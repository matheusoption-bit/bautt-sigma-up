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Ex3.xml" ContentType="application/vnd.ms-office.chartex+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Ex4.xml" ContentType="application/vnd.ms-office.chartex+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Ex5.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EstaPastaDeTrabalho" defaultThemeVersion="166925"/>
  <mc:AlternateContent xmlns:mc="http://schemas.openxmlformats.org/markup-compatibility/2006">
    <mc:Choice Requires="x15">
      <x15ac:absPath xmlns:x15ac="http://schemas.microsoft.com/office/spreadsheetml/2010/11/ac" url="C:\Users\caio_\Desktop\"/>
    </mc:Choice>
  </mc:AlternateContent>
  <xr:revisionPtr revIDLastSave="0" documentId="13_ncr:1_{B1A3DA0C-71FE-4F59-9511-EF3A73EA9DBC}" xr6:coauthVersionLast="47" xr6:coauthVersionMax="47" xr10:uidLastSave="{00000000-0000-0000-0000-000000000000}"/>
  <bookViews>
    <workbookView xWindow="6435" yWindow="1080" windowWidth="30435" windowHeight="13845" tabRatio="444" firstSheet="2" activeTab="2" xr2:uid="{64422915-4F52-4703-AFC5-E3401D70EF0F}"/>
  </bookViews>
  <sheets>
    <sheet name="ORÇ#1" sheetId="2" state="hidden" r:id="rId1"/>
    <sheet name="Planilha1" sheetId="1" state="hidden" r:id="rId2"/>
    <sheet name="SIMULAÇÃO 01" sheetId="3" r:id="rId3"/>
    <sheet name="SIMULAÇÃO 02" sheetId="11" r:id="rId4"/>
    <sheet name="SIMULAÇÃO 03" sheetId="12" r:id="rId5"/>
    <sheet name="SIMULAÇÃO 04" sheetId="13" r:id="rId6"/>
    <sheet name="COMPARATIVO" sheetId="14" r:id="rId7"/>
    <sheet name="RELATÓRIO" sheetId="9" state="hidden" r:id="rId8"/>
  </sheets>
  <definedNames>
    <definedName name="_xlchart.v5.0" hidden="1">COMPARATIVO!$B$50:$B$58</definedName>
    <definedName name="_xlchart.v5.1" hidden="1">COMPARATIVO!$C$49</definedName>
    <definedName name="_xlchart.v5.10" hidden="1">COMPARATIVO!$C$49</definedName>
    <definedName name="_xlchart.v5.11" hidden="1">COMPARATIVO!$G$50:$G$58</definedName>
    <definedName name="_xlchart.v5.12" hidden="1">COMPARATIVO!$B$50:$B$58</definedName>
    <definedName name="_xlchart.v5.13" hidden="1">COMPARATIVO!$C$49</definedName>
    <definedName name="_xlchart.v5.14" hidden="1">COMPARATIVO!$H$50:$H$58</definedName>
    <definedName name="_xlchart.v5.15" hidden="1">COMPARATIVO!$B$50:$B$58</definedName>
    <definedName name="_xlchart.v5.16" hidden="1">COMPARATIVO!$C$49</definedName>
    <definedName name="_xlchart.v5.17" hidden="1">COMPARATIVO!$C$50:$C$58</definedName>
    <definedName name="_xlchart.v5.2" hidden="1">COMPARATIVO!$E$50:$E$58</definedName>
    <definedName name="_xlchart.v5.3" hidden="1">COMPARATIVO!$B$50:$B$58</definedName>
    <definedName name="_xlchart.v5.4" hidden="1">COMPARATIVO!$C$49</definedName>
    <definedName name="_xlchart.v5.5" hidden="1">COMPARATIVO!$E$50:$E$58</definedName>
    <definedName name="_xlchart.v5.6" hidden="1">COMPARATIVO!$B$50:$B$58</definedName>
    <definedName name="_xlchart.v5.7" hidden="1">COMPARATIVO!$C$49</definedName>
    <definedName name="_xlchart.v5.8" hidden="1">COMPARATIVO!$F$50:$F$58</definedName>
    <definedName name="_xlchart.v5.9" hidden="1">COMPARATIVO!$B$50:$B$58</definedName>
    <definedName name="_xlnm.Print_Area" localSheetId="6">COMPARATIVO!$B$6:$AW$71</definedName>
    <definedName name="_xlnm.Print_Area" localSheetId="2">'SIMULAÇÃO 01'!$B$6:$AW$251</definedName>
    <definedName name="_xlnm.Print_Area" localSheetId="3">'SIMULAÇÃO 02'!$B$6:$AW$251</definedName>
    <definedName name="_xlnm.Print_Area" localSheetId="4">'SIMULAÇÃO 03'!$B$6:$AW$251</definedName>
    <definedName name="_xlnm.Print_Area" localSheetId="5">'SIMULAÇÃO 04'!$B$6:$AW$251</definedName>
    <definedName name="asdasd" localSheetId="7">#REF!</definedName>
    <definedName name="asdasd">#REF!</definedName>
    <definedName name="asdasdasdefasdf" localSheetId="7">#REF!</definedName>
    <definedName name="asdasdasdefasdf">#REF!</definedName>
    <definedName name="DadosExternos_1" localSheetId="0" hidden="1">'ORÇ#1'!$A$1:$AK$8174</definedName>
    <definedName name="DFGDFG" localSheetId="7">#REF!</definedName>
    <definedName name="DFGDFG">#REF!</definedName>
    <definedName name="FDFSDFSD" localSheetId="7">#REF!</definedName>
    <definedName name="FDFSDFSD">#REF!</definedName>
    <definedName name="GHFHGF" localSheetId="7">#REF!</definedName>
    <definedName name="GHFHGF">#REF!</definedName>
    <definedName name="ghjghj" localSheetId="7">#REF!</definedName>
    <definedName name="ghjghj">#REF!</definedName>
    <definedName name="GRTG" localSheetId="7">#REF!</definedName>
    <definedName name="GRTG">#REF!</definedName>
    <definedName name="gyhfgh" localSheetId="7">#REF!</definedName>
    <definedName name="gyhfgh">#REF!</definedName>
    <definedName name="HGVG" localSheetId="7">#REF!</definedName>
    <definedName name="HGVG">#REF!</definedName>
    <definedName name="IND" localSheetId="7">#REF!</definedName>
    <definedName name="IND">#REF!</definedName>
    <definedName name="INDT" localSheetId="7">#REF!</definedName>
    <definedName name="INDT">#REF!</definedName>
    <definedName name="ORÇ" localSheetId="7">#REF!</definedName>
    <definedName name="ORÇ">#REF!</definedName>
    <definedName name="ORÇDET" localSheetId="7">#REF!</definedName>
    <definedName name="ORÇDET">#REF!</definedName>
    <definedName name="PF04.011" localSheetId="7">#REF!</definedName>
    <definedName name="PF04.011">#REF!</definedName>
    <definedName name="RES" localSheetId="7">#REF!</definedName>
    <definedName name="RES">#REF!</definedName>
    <definedName name="sadfsd" localSheetId="7">#REF!</definedName>
    <definedName name="sadfsd">#REF!</definedName>
    <definedName name="saswd" localSheetId="7">#REF!</definedName>
    <definedName name="saswd">#REF!</definedName>
    <definedName name="SDFSDF" localSheetId="7">#REF!</definedName>
    <definedName name="SDFSDF">#REF!</definedName>
    <definedName name="sdfsfd" localSheetId="7">#REF!</definedName>
    <definedName name="sdfsfd">#REF!</definedName>
    <definedName name="_xlnm.Print_Titles" localSheetId="6">COMPARATIVO!#REF!</definedName>
    <definedName name="_xlnm.Print_Titles" localSheetId="2">'SIMULAÇÃO 01'!$6:$7</definedName>
    <definedName name="_xlnm.Print_Titles" localSheetId="3">'SIMULAÇÃO 02'!$6:$7</definedName>
    <definedName name="_xlnm.Print_Titles" localSheetId="4">'SIMULAÇÃO 03'!$6:$7</definedName>
    <definedName name="_xlnm.Print_Titles" localSheetId="5">'SIMULAÇÃO 04'!$6:$7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3" i="3" l="1"/>
  <c r="C263" i="3"/>
  <c r="C260" i="3"/>
  <c r="E263" i="3"/>
  <c r="AH214" i="3"/>
  <c r="AN152" i="3"/>
  <c r="AZ39" i="3"/>
  <c r="AY39" i="3"/>
  <c r="AZ38" i="3"/>
  <c r="AY37" i="3"/>
  <c r="AZ37" i="3" s="1"/>
  <c r="AY36" i="3"/>
  <c r="AY38" i="3" l="1"/>
  <c r="AZ36" i="3" l="1"/>
  <c r="AZ35" i="3"/>
  <c r="AN130" i="13"/>
  <c r="AN132" i="13" s="1"/>
  <c r="AN133" i="13" s="1"/>
  <c r="AN127" i="13"/>
  <c r="AN126" i="13" s="1"/>
  <c r="AH197" i="13" s="1"/>
  <c r="Z132" i="13"/>
  <c r="AN132" i="12"/>
  <c r="AN133" i="12" s="1"/>
  <c r="AN130" i="12"/>
  <c r="AN127" i="12"/>
  <c r="AN126" i="12" s="1"/>
  <c r="AH197" i="12" s="1"/>
  <c r="Z132" i="12"/>
  <c r="AN130" i="11"/>
  <c r="AN132" i="11" s="1"/>
  <c r="AN133" i="11" s="1"/>
  <c r="AN127" i="11"/>
  <c r="AN126" i="11" s="1"/>
  <c r="Z132" i="11"/>
  <c r="Z123" i="11"/>
  <c r="Z124" i="11"/>
  <c r="Z125" i="11"/>
  <c r="Z126" i="11"/>
  <c r="AH191" i="11" s="1"/>
  <c r="Z127" i="11"/>
  <c r="Z128" i="11"/>
  <c r="AH193" i="11" s="1"/>
  <c r="Z129" i="11"/>
  <c r="Z130" i="11"/>
  <c r="AH195" i="11" s="1"/>
  <c r="Z131" i="11"/>
  <c r="Z133" i="11"/>
  <c r="AH192" i="11"/>
  <c r="AO10" i="13"/>
  <c r="Z10" i="13"/>
  <c r="H10" i="13"/>
  <c r="AO10" i="12"/>
  <c r="Z10" i="12"/>
  <c r="H10" i="12"/>
  <c r="AH185" i="13"/>
  <c r="AH184" i="13"/>
  <c r="Z177" i="13"/>
  <c r="AH213" i="13" s="1"/>
  <c r="U172" i="13"/>
  <c r="AH212" i="13" s="1"/>
  <c r="Z162" i="13"/>
  <c r="AH211" i="13" s="1"/>
  <c r="Z161" i="13"/>
  <c r="AH210" i="13" s="1"/>
  <c r="Z160" i="13"/>
  <c r="AH209" i="13" s="1"/>
  <c r="Z159" i="13"/>
  <c r="AH208" i="13" s="1"/>
  <c r="Z152" i="13"/>
  <c r="AH207" i="13" s="1"/>
  <c r="AP151" i="13"/>
  <c r="Z151" i="13"/>
  <c r="AP150" i="13"/>
  <c r="Z150" i="13"/>
  <c r="AH205" i="13" s="1"/>
  <c r="AP149" i="13"/>
  <c r="Z149" i="13"/>
  <c r="AP148" i="13"/>
  <c r="Z148" i="13"/>
  <c r="AH203" i="13" s="1"/>
  <c r="Z147" i="13"/>
  <c r="AH202" i="13" s="1"/>
  <c r="Z146" i="13"/>
  <c r="AH201" i="13" s="1"/>
  <c r="Z141" i="13"/>
  <c r="Z140" i="13"/>
  <c r="Z133" i="13"/>
  <c r="AH199" i="13" s="1"/>
  <c r="Z131" i="13"/>
  <c r="AH196" i="13" s="1"/>
  <c r="Z130" i="13"/>
  <c r="AH195" i="13" s="1"/>
  <c r="Z129" i="13"/>
  <c r="AH194" i="13" s="1"/>
  <c r="Z128" i="13"/>
  <c r="AH193" i="13" s="1"/>
  <c r="Z127" i="13"/>
  <c r="AH192" i="13" s="1"/>
  <c r="Z126" i="13"/>
  <c r="AH191" i="13" s="1"/>
  <c r="Z125" i="13"/>
  <c r="AH190" i="13" s="1"/>
  <c r="Z124" i="13"/>
  <c r="AH189" i="13" s="1"/>
  <c r="Z123" i="13"/>
  <c r="AH188" i="13" s="1"/>
  <c r="AG109" i="13"/>
  <c r="AG108" i="13"/>
  <c r="AG107" i="13"/>
  <c r="AG106" i="13"/>
  <c r="AG105" i="13"/>
  <c r="AG104" i="13"/>
  <c r="AG103" i="13"/>
  <c r="AG102" i="13"/>
  <c r="AG101" i="13"/>
  <c r="AG100" i="13"/>
  <c r="AG99" i="13"/>
  <c r="AG98" i="13"/>
  <c r="AG97" i="13"/>
  <c r="AG96" i="13"/>
  <c r="AG95" i="13"/>
  <c r="AB91" i="13"/>
  <c r="AB88" i="13"/>
  <c r="AB87" i="13"/>
  <c r="AB86" i="13"/>
  <c r="AB85" i="13"/>
  <c r="AB84" i="13"/>
  <c r="AB83" i="13"/>
  <c r="AB82" i="13"/>
  <c r="AB81" i="13"/>
  <c r="AB80" i="13"/>
  <c r="AB79" i="13"/>
  <c r="AB78" i="13"/>
  <c r="AB77" i="13"/>
  <c r="AB76" i="13"/>
  <c r="AB75" i="13"/>
  <c r="N60" i="13"/>
  <c r="AH49" i="13"/>
  <c r="R46" i="13"/>
  <c r="Z49" i="13" s="1"/>
  <c r="J46" i="13"/>
  <c r="AN185" i="13" s="1"/>
  <c r="R45" i="13"/>
  <c r="J45" i="13"/>
  <c r="J30" i="13"/>
  <c r="AI26" i="13"/>
  <c r="Z26" i="13"/>
  <c r="AI25" i="13"/>
  <c r="Z25" i="13"/>
  <c r="AI24" i="13"/>
  <c r="Z24" i="13"/>
  <c r="AI23" i="13"/>
  <c r="Z23" i="13"/>
  <c r="AI22" i="13"/>
  <c r="Z22" i="13"/>
  <c r="AI21" i="13"/>
  <c r="Z21" i="13"/>
  <c r="AI20" i="13"/>
  <c r="Z20" i="13"/>
  <c r="AI19" i="13"/>
  <c r="Z19" i="13"/>
  <c r="AI18" i="13"/>
  <c r="Z18" i="13"/>
  <c r="AI17" i="13"/>
  <c r="Z17" i="13"/>
  <c r="AI16" i="13"/>
  <c r="Z16" i="13"/>
  <c r="AI15" i="13"/>
  <c r="Z15" i="13"/>
  <c r="AH185" i="12"/>
  <c r="AH184" i="12"/>
  <c r="AN184" i="12" s="1"/>
  <c r="Z177" i="12"/>
  <c r="AH213" i="12" s="1"/>
  <c r="U172" i="12"/>
  <c r="AH212" i="12" s="1"/>
  <c r="Z162" i="12"/>
  <c r="AH211" i="12" s="1"/>
  <c r="Z161" i="12"/>
  <c r="AH210" i="12" s="1"/>
  <c r="Z160" i="12"/>
  <c r="AH209" i="12" s="1"/>
  <c r="Z159" i="12"/>
  <c r="AH208" i="12" s="1"/>
  <c r="Z152" i="12"/>
  <c r="AH207" i="12" s="1"/>
  <c r="AP151" i="12"/>
  <c r="Z151" i="12"/>
  <c r="AP150" i="12"/>
  <c r="Z150" i="12"/>
  <c r="AH205" i="12" s="1"/>
  <c r="AP149" i="12"/>
  <c r="Z149" i="12"/>
  <c r="AH204" i="12" s="1"/>
  <c r="AP148" i="12"/>
  <c r="Z148" i="12"/>
  <c r="AH203" i="12" s="1"/>
  <c r="Z147" i="12"/>
  <c r="AH202" i="12" s="1"/>
  <c r="Z146" i="12"/>
  <c r="Z141" i="12"/>
  <c r="Z140" i="12"/>
  <c r="Z133" i="12"/>
  <c r="AH199" i="12" s="1"/>
  <c r="Z131" i="12"/>
  <c r="AH196" i="12" s="1"/>
  <c r="Z130" i="12"/>
  <c r="AH195" i="12" s="1"/>
  <c r="Z129" i="12"/>
  <c r="AH194" i="12" s="1"/>
  <c r="Z128" i="12"/>
  <c r="AH193" i="12" s="1"/>
  <c r="Z127" i="12"/>
  <c r="AH192" i="12" s="1"/>
  <c r="Z126" i="12"/>
  <c r="AH191" i="12" s="1"/>
  <c r="Z125" i="12"/>
  <c r="AH190" i="12" s="1"/>
  <c r="Z124" i="12"/>
  <c r="AH189" i="12" s="1"/>
  <c r="Z123" i="12"/>
  <c r="AH188" i="12" s="1"/>
  <c r="AG109" i="12"/>
  <c r="AG108" i="12"/>
  <c r="AG107" i="12"/>
  <c r="AG106" i="12"/>
  <c r="AG105" i="12"/>
  <c r="AG104" i="12"/>
  <c r="AG103" i="12"/>
  <c r="AG102" i="12"/>
  <c r="AG101" i="12"/>
  <c r="AG100" i="12"/>
  <c r="AG99" i="12"/>
  <c r="AG98" i="12"/>
  <c r="AG97" i="12"/>
  <c r="AG96" i="12"/>
  <c r="AG95" i="12"/>
  <c r="AG111" i="12" s="1"/>
  <c r="AB91" i="12"/>
  <c r="AB88" i="12"/>
  <c r="AB87" i="12"/>
  <c r="AB86" i="12"/>
  <c r="AB85" i="12"/>
  <c r="AB84" i="12"/>
  <c r="AB83" i="12"/>
  <c r="AB82" i="12"/>
  <c r="AB81" i="12"/>
  <c r="AB80" i="12"/>
  <c r="AB79" i="12"/>
  <c r="AB78" i="12"/>
  <c r="AB77" i="12"/>
  <c r="AB76" i="12"/>
  <c r="AB75" i="12"/>
  <c r="N60" i="12"/>
  <c r="AH49" i="12"/>
  <c r="R46" i="12"/>
  <c r="R44" i="12" s="1"/>
  <c r="AB44" i="12" s="1"/>
  <c r="J46" i="12"/>
  <c r="R45" i="12"/>
  <c r="J45" i="12"/>
  <c r="J44" i="12" s="1"/>
  <c r="K30" i="12"/>
  <c r="L30" i="12" s="1"/>
  <c r="J30" i="12"/>
  <c r="AI26" i="12"/>
  <c r="Z26" i="12"/>
  <c r="AI25" i="12"/>
  <c r="Z25" i="12"/>
  <c r="AI24" i="12"/>
  <c r="Z24" i="12"/>
  <c r="AI23" i="12"/>
  <c r="Z23" i="12"/>
  <c r="AI22" i="12"/>
  <c r="Z22" i="12"/>
  <c r="AI21" i="12"/>
  <c r="Z21" i="12"/>
  <c r="AI20" i="12"/>
  <c r="Z20" i="12"/>
  <c r="AI19" i="12"/>
  <c r="Z19" i="12"/>
  <c r="AI18" i="12"/>
  <c r="Z18" i="12"/>
  <c r="AI17" i="12"/>
  <c r="Z17" i="12"/>
  <c r="AI16" i="12"/>
  <c r="Z16" i="12"/>
  <c r="AI15" i="12"/>
  <c r="Z15" i="12"/>
  <c r="AH185" i="11"/>
  <c r="AH184" i="11"/>
  <c r="Z177" i="11"/>
  <c r="AH213" i="11" s="1"/>
  <c r="Z162" i="11"/>
  <c r="AH211" i="11" s="1"/>
  <c r="Z152" i="11"/>
  <c r="AH207" i="11" s="1"/>
  <c r="Z151" i="11"/>
  <c r="Z150" i="11"/>
  <c r="AH205" i="11" s="1"/>
  <c r="Z149" i="11"/>
  <c r="AH204" i="11" s="1"/>
  <c r="AH190" i="11"/>
  <c r="AG109" i="11"/>
  <c r="AG108" i="11"/>
  <c r="AG107" i="11"/>
  <c r="AG106" i="11"/>
  <c r="AG105" i="11"/>
  <c r="AG104" i="11"/>
  <c r="AG103" i="11"/>
  <c r="AG102" i="11"/>
  <c r="AG101" i="11"/>
  <c r="AG100" i="11"/>
  <c r="AG99" i="11"/>
  <c r="AG98" i="11"/>
  <c r="AG97" i="11"/>
  <c r="AG96" i="11"/>
  <c r="AG95" i="11"/>
  <c r="AB91" i="11"/>
  <c r="AB88" i="11"/>
  <c r="AB87" i="11"/>
  <c r="AB86" i="11"/>
  <c r="AB85" i="11"/>
  <c r="AB84" i="11"/>
  <c r="AB83" i="11"/>
  <c r="AB82" i="11"/>
  <c r="AB81" i="11"/>
  <c r="AB80" i="11"/>
  <c r="AB79" i="11"/>
  <c r="AB78" i="11"/>
  <c r="AB77" i="11"/>
  <c r="AB76" i="11"/>
  <c r="AB75" i="11"/>
  <c r="N60" i="11"/>
  <c r="N61" i="11" s="1"/>
  <c r="AH49" i="11"/>
  <c r="R46" i="11"/>
  <c r="Z49" i="11" s="1"/>
  <c r="J46" i="11"/>
  <c r="AN184" i="11" s="1"/>
  <c r="R45" i="11"/>
  <c r="AB45" i="11" s="1"/>
  <c r="J45" i="11"/>
  <c r="J30" i="11"/>
  <c r="K30" i="11" s="1"/>
  <c r="AI26" i="11"/>
  <c r="Z26" i="11"/>
  <c r="AI25" i="11"/>
  <c r="Z25" i="11"/>
  <c r="Z24" i="11"/>
  <c r="AI24" i="11" s="1"/>
  <c r="Z23" i="11"/>
  <c r="AI23" i="11" s="1"/>
  <c r="Z22" i="11"/>
  <c r="AI22" i="11" s="1"/>
  <c r="Z21" i="11"/>
  <c r="AI21" i="11" s="1"/>
  <c r="AI20" i="11"/>
  <c r="Z20" i="11"/>
  <c r="Z19" i="11"/>
  <c r="AI19" i="11" s="1"/>
  <c r="Z18" i="11"/>
  <c r="AI18" i="11" s="1"/>
  <c r="Z17" i="11"/>
  <c r="AI17" i="11" s="1"/>
  <c r="Z16" i="11"/>
  <c r="AI16" i="11" s="1"/>
  <c r="Z15" i="11"/>
  <c r="C49" i="14"/>
  <c r="C264" i="3" l="1"/>
  <c r="AH198" i="13"/>
  <c r="AN198" i="13" s="1"/>
  <c r="AN207" i="13"/>
  <c r="AN191" i="13"/>
  <c r="N61" i="13"/>
  <c r="AB90" i="13"/>
  <c r="AB92" i="13" s="1"/>
  <c r="AN184" i="13"/>
  <c r="AG111" i="13"/>
  <c r="M114" i="13" s="1" a="1"/>
  <c r="M114" i="13" s="1"/>
  <c r="R114" i="13" s="1" a="1"/>
  <c r="R114" i="13" s="1"/>
  <c r="AN195" i="13"/>
  <c r="J44" i="13"/>
  <c r="R44" i="13"/>
  <c r="AB44" i="13" s="1"/>
  <c r="AN199" i="13"/>
  <c r="AH198" i="12"/>
  <c r="AN198" i="12" s="1"/>
  <c r="AN185" i="12"/>
  <c r="AB45" i="12"/>
  <c r="Z49" i="12"/>
  <c r="AN190" i="12"/>
  <c r="AN202" i="12"/>
  <c r="AN210" i="12"/>
  <c r="N61" i="12"/>
  <c r="AN194" i="12"/>
  <c r="AB90" i="12"/>
  <c r="AB92" i="12" s="1"/>
  <c r="M114" i="12" s="1" a="1"/>
  <c r="M114" i="12" s="1"/>
  <c r="R114" i="12" s="1" a="1"/>
  <c r="R114" i="12" s="1"/>
  <c r="Z135" i="11"/>
  <c r="J44" i="11"/>
  <c r="AH45" i="12"/>
  <c r="J54" i="12" s="1"/>
  <c r="AH206" i="12"/>
  <c r="AN206" i="12" s="1"/>
  <c r="AH45" i="13"/>
  <c r="J54" i="13" s="1"/>
  <c r="AH200" i="12"/>
  <c r="U169" i="12"/>
  <c r="AH200" i="13"/>
  <c r="AN200" i="13" s="1"/>
  <c r="Z154" i="13"/>
  <c r="AH206" i="13"/>
  <c r="AN206" i="13" s="1"/>
  <c r="AH46" i="12"/>
  <c r="Z154" i="12"/>
  <c r="AN190" i="13"/>
  <c r="AN201" i="13"/>
  <c r="AN209" i="13"/>
  <c r="AN211" i="13"/>
  <c r="AN210" i="13"/>
  <c r="AN193" i="13"/>
  <c r="AN213" i="13"/>
  <c r="AN202" i="13"/>
  <c r="AN212" i="13"/>
  <c r="AN205" i="13"/>
  <c r="AN192" i="13"/>
  <c r="AN194" i="13"/>
  <c r="AN196" i="13"/>
  <c r="AN197" i="13"/>
  <c r="AN188" i="13"/>
  <c r="AN189" i="13"/>
  <c r="AN208" i="13"/>
  <c r="AH46" i="13"/>
  <c r="Z164" i="13"/>
  <c r="AN203" i="13"/>
  <c r="AB45" i="13"/>
  <c r="L169" i="13"/>
  <c r="AH204" i="13"/>
  <c r="U169" i="13"/>
  <c r="Z135" i="13"/>
  <c r="K30" i="13"/>
  <c r="AN205" i="12"/>
  <c r="M30" i="12"/>
  <c r="AN189" i="12"/>
  <c r="AN188" i="12"/>
  <c r="AN200" i="12"/>
  <c r="AN209" i="12"/>
  <c r="AN208" i="12"/>
  <c r="AN196" i="12"/>
  <c r="AN199" i="12"/>
  <c r="AN211" i="12"/>
  <c r="AN192" i="12"/>
  <c r="AN193" i="12"/>
  <c r="AN204" i="12"/>
  <c r="AN212" i="12"/>
  <c r="AN197" i="12"/>
  <c r="AN213" i="12"/>
  <c r="Z164" i="12"/>
  <c r="AN191" i="12"/>
  <c r="AN195" i="12"/>
  <c r="AN203" i="12"/>
  <c r="AN207" i="12"/>
  <c r="L169" i="12"/>
  <c r="Z135" i="12"/>
  <c r="AH201" i="12"/>
  <c r="AG111" i="11"/>
  <c r="AB90" i="11"/>
  <c r="AB92" i="11" s="1"/>
  <c r="M114" i="11" s="1" a="1"/>
  <c r="M114" i="11" s="1"/>
  <c r="R114" i="11" s="1" a="1"/>
  <c r="R114" i="11" s="1"/>
  <c r="AH46" i="11"/>
  <c r="AH181" i="11" s="1"/>
  <c r="AH45" i="11"/>
  <c r="AN185" i="11"/>
  <c r="AN205" i="11"/>
  <c r="AN204" i="11"/>
  <c r="AN213" i="11"/>
  <c r="L30" i="11"/>
  <c r="AN211" i="11"/>
  <c r="AN192" i="11"/>
  <c r="AN190" i="11"/>
  <c r="AN193" i="11"/>
  <c r="AN191" i="11"/>
  <c r="AN195" i="11"/>
  <c r="AN207" i="11"/>
  <c r="AI15" i="11"/>
  <c r="R44" i="11"/>
  <c r="AB44" i="11" s="1"/>
  <c r="AR45" i="11" l="1"/>
  <c r="AH186" i="12"/>
  <c r="U120" i="12"/>
  <c r="AM115" i="12"/>
  <c r="AH198" i="11"/>
  <c r="AN198" i="11" s="1"/>
  <c r="AH44" i="12"/>
  <c r="AR44" i="12" s="1"/>
  <c r="J54" i="11"/>
  <c r="AN120" i="11"/>
  <c r="AH194" i="11" s="1"/>
  <c r="AN194" i="11" s="1"/>
  <c r="AR45" i="12"/>
  <c r="AH44" i="11"/>
  <c r="AR44" i="11" s="1"/>
  <c r="AN120" i="12"/>
  <c r="AH181" i="12"/>
  <c r="AT193" i="12" s="1"/>
  <c r="AT190" i="11"/>
  <c r="AT192" i="11"/>
  <c r="AT207" i="11"/>
  <c r="AT191" i="11"/>
  <c r="AT204" i="11"/>
  <c r="AT205" i="11"/>
  <c r="AH186" i="13"/>
  <c r="AM115" i="13"/>
  <c r="U120" i="13"/>
  <c r="AH181" i="13"/>
  <c r="AT204" i="13" s="1"/>
  <c r="AN120" i="13"/>
  <c r="AH44" i="13"/>
  <c r="Z56" i="13"/>
  <c r="N58" i="13"/>
  <c r="AH183" i="13" s="1"/>
  <c r="AN204" i="13"/>
  <c r="AR45" i="13"/>
  <c r="L30" i="13"/>
  <c r="AN201" i="12"/>
  <c r="N30" i="12"/>
  <c r="Z56" i="12"/>
  <c r="N58" i="12"/>
  <c r="AH183" i="12" s="1"/>
  <c r="AH115" i="12"/>
  <c r="AH187" i="12"/>
  <c r="AN186" i="12"/>
  <c r="AT195" i="11"/>
  <c r="AT211" i="11"/>
  <c r="AT193" i="11"/>
  <c r="AT184" i="11"/>
  <c r="AT213" i="11"/>
  <c r="N58" i="11"/>
  <c r="AH183" i="11" s="1"/>
  <c r="Z56" i="11"/>
  <c r="AN181" i="11"/>
  <c r="AT185" i="11"/>
  <c r="AH186" i="11"/>
  <c r="AM115" i="11"/>
  <c r="U120" i="11"/>
  <c r="M30" i="11"/>
  <c r="AE120" i="12" l="1"/>
  <c r="B169" i="12" s="1"/>
  <c r="AE120" i="11"/>
  <c r="AT198" i="11"/>
  <c r="AT194" i="11"/>
  <c r="AT202" i="12"/>
  <c r="AT192" i="12"/>
  <c r="AT197" i="12"/>
  <c r="AT207" i="12"/>
  <c r="AN181" i="12"/>
  <c r="AT198" i="12"/>
  <c r="AT199" i="12"/>
  <c r="AT206" i="12"/>
  <c r="AT213" i="12"/>
  <c r="AT185" i="12"/>
  <c r="AT186" i="12"/>
  <c r="AT184" i="12"/>
  <c r="AT204" i="12"/>
  <c r="AT196" i="12"/>
  <c r="AT211" i="12"/>
  <c r="AT210" i="12"/>
  <c r="AT212" i="12"/>
  <c r="AT200" i="12"/>
  <c r="AT189" i="12"/>
  <c r="AT190" i="12"/>
  <c r="AT205" i="12"/>
  <c r="AT209" i="12"/>
  <c r="AT188" i="12"/>
  <c r="AT194" i="12"/>
  <c r="AT203" i="12"/>
  <c r="AT208" i="12"/>
  <c r="AT191" i="12"/>
  <c r="AT195" i="12"/>
  <c r="AT201" i="12"/>
  <c r="AN183" i="13"/>
  <c r="AT183" i="13"/>
  <c r="B120" i="13"/>
  <c r="AH182" i="13"/>
  <c r="AH214" i="13" s="1"/>
  <c r="Z57" i="13"/>
  <c r="Z62" i="13"/>
  <c r="AR44" i="13"/>
  <c r="AE120" i="13"/>
  <c r="B169" i="13" s="1"/>
  <c r="AT185" i="13"/>
  <c r="AT184" i="13"/>
  <c r="AN181" i="13"/>
  <c r="AT192" i="13"/>
  <c r="AT188" i="13"/>
  <c r="AT191" i="13"/>
  <c r="AT190" i="13"/>
  <c r="AT213" i="13"/>
  <c r="AT195" i="13"/>
  <c r="AT201" i="13"/>
  <c r="AT200" i="13"/>
  <c r="AT199" i="13"/>
  <c r="AT207" i="13"/>
  <c r="AT206" i="13"/>
  <c r="AT194" i="13"/>
  <c r="AT209" i="13"/>
  <c r="AT196" i="13"/>
  <c r="AT203" i="13"/>
  <c r="AT202" i="13"/>
  <c r="AT212" i="13"/>
  <c r="AT189" i="13"/>
  <c r="AT211" i="13"/>
  <c r="AT208" i="13"/>
  <c r="AT210" i="13"/>
  <c r="AT198" i="13"/>
  <c r="AT193" i="13"/>
  <c r="AT205" i="13"/>
  <c r="AT197" i="13"/>
  <c r="AH115" i="13"/>
  <c r="AH187" i="13"/>
  <c r="M30" i="13"/>
  <c r="AN186" i="13"/>
  <c r="AT186" i="13"/>
  <c r="AT183" i="12"/>
  <c r="AN183" i="12"/>
  <c r="O30" i="12"/>
  <c r="B120" i="12"/>
  <c r="AH182" i="12"/>
  <c r="Z57" i="12"/>
  <c r="Z62" i="12"/>
  <c r="AT187" i="12"/>
  <c r="AN187" i="12"/>
  <c r="AN186" i="11"/>
  <c r="AT186" i="11"/>
  <c r="AH115" i="11"/>
  <c r="AH187" i="11"/>
  <c r="N30" i="11"/>
  <c r="Z147" i="11"/>
  <c r="Z146" i="11"/>
  <c r="B169" i="11"/>
  <c r="AP148" i="11"/>
  <c r="Z148" i="11"/>
  <c r="AH203" i="11" s="1"/>
  <c r="B120" i="11"/>
  <c r="AH182" i="11"/>
  <c r="Z57" i="11"/>
  <c r="AT183" i="11"/>
  <c r="AN183" i="11"/>
  <c r="Z160" i="11"/>
  <c r="AH209" i="11" s="1"/>
  <c r="Z141" i="11"/>
  <c r="Z159" i="11"/>
  <c r="Z140" i="11"/>
  <c r="AH199" i="11"/>
  <c r="AH189" i="11"/>
  <c r="AH196" i="11"/>
  <c r="Z161" i="11"/>
  <c r="AH210" i="11" s="1"/>
  <c r="Z62" i="11"/>
  <c r="AH200" i="11" l="1"/>
  <c r="AT214" i="13"/>
  <c r="AN214" i="13"/>
  <c r="AN182" i="13"/>
  <c r="AT182" i="13"/>
  <c r="Z63" i="13"/>
  <c r="L120" i="13"/>
  <c r="AT187" i="13"/>
  <c r="AN187" i="13"/>
  <c r="N30" i="13"/>
  <c r="Z63" i="12"/>
  <c r="L120" i="12"/>
  <c r="AN182" i="12"/>
  <c r="AT182" i="12"/>
  <c r="AH214" i="12"/>
  <c r="P30" i="12"/>
  <c r="AT200" i="11"/>
  <c r="AN200" i="11"/>
  <c r="Z154" i="11"/>
  <c r="AH201" i="11"/>
  <c r="L169" i="11"/>
  <c r="Z63" i="11"/>
  <c r="L120" i="11"/>
  <c r="AT209" i="11"/>
  <c r="AN209" i="11"/>
  <c r="AH202" i="11"/>
  <c r="U169" i="11"/>
  <c r="AH197" i="11"/>
  <c r="AT187" i="11"/>
  <c r="AN187" i="11"/>
  <c r="O30" i="11"/>
  <c r="AN210" i="11"/>
  <c r="AT210" i="11"/>
  <c r="AN182" i="11"/>
  <c r="AT182" i="11"/>
  <c r="AH188" i="11"/>
  <c r="AT203" i="11"/>
  <c r="AN203" i="11"/>
  <c r="AH208" i="11"/>
  <c r="Z164" i="11"/>
  <c r="AT189" i="11"/>
  <c r="AN189" i="11"/>
  <c r="AP150" i="11"/>
  <c r="AP151" i="11" s="1"/>
  <c r="AP149" i="11"/>
  <c r="AT196" i="11"/>
  <c r="AN196" i="11"/>
  <c r="AT199" i="11"/>
  <c r="AN199" i="11"/>
  <c r="AT214" i="12" l="1"/>
  <c r="AN214" i="12"/>
  <c r="O30" i="13"/>
  <c r="Q30" i="12"/>
  <c r="U172" i="11"/>
  <c r="AH212" i="11" s="1"/>
  <c r="AT212" i="11" s="1"/>
  <c r="AH206" i="11"/>
  <c r="AT197" i="11"/>
  <c r="AN197" i="11"/>
  <c r="AN202" i="11"/>
  <c r="AT202" i="11"/>
  <c r="P30" i="11"/>
  <c r="AT208" i="11"/>
  <c r="AN208" i="11"/>
  <c r="AT188" i="11"/>
  <c r="AN188" i="11"/>
  <c r="AT201" i="11"/>
  <c r="AN201" i="11"/>
  <c r="P30" i="13" l="1"/>
  <c r="R30" i="12"/>
  <c r="AH214" i="11"/>
  <c r="AN212" i="11"/>
  <c r="AN206" i="11"/>
  <c r="AT206" i="11"/>
  <c r="Q30" i="11"/>
  <c r="AT214" i="11" l="1"/>
  <c r="AN214" i="11"/>
  <c r="Q30" i="13"/>
  <c r="S30" i="12"/>
  <c r="R30" i="11"/>
  <c r="R30" i="13" l="1"/>
  <c r="T30" i="12"/>
  <c r="S30" i="11"/>
  <c r="S30" i="13" l="1"/>
  <c r="U30" i="12"/>
  <c r="T30" i="11"/>
  <c r="T30" i="13" l="1"/>
  <c r="V30" i="12"/>
  <c r="U30" i="11"/>
  <c r="U30" i="13" l="1"/>
  <c r="W30" i="12"/>
  <c r="V30" i="11"/>
  <c r="V30" i="13" l="1"/>
  <c r="X30" i="12"/>
  <c r="W30" i="11"/>
  <c r="W30" i="13" l="1"/>
  <c r="Y30" i="12"/>
  <c r="X30" i="11"/>
  <c r="X30" i="13" l="1"/>
  <c r="Z30" i="12"/>
  <c r="Y30" i="11"/>
  <c r="Y30" i="13" l="1"/>
  <c r="AA30" i="12"/>
  <c r="Z30" i="11"/>
  <c r="Z30" i="13" l="1"/>
  <c r="AB30" i="12"/>
  <c r="AA30" i="11"/>
  <c r="AA30" i="13" l="1"/>
  <c r="AC30" i="12"/>
  <c r="AB30" i="11"/>
  <c r="AB30" i="13" l="1"/>
  <c r="AD30" i="12"/>
  <c r="AC30" i="11"/>
  <c r="AC30" i="13" l="1"/>
  <c r="AE30" i="12"/>
  <c r="AD30" i="11"/>
  <c r="AD30" i="13" l="1"/>
  <c r="AF30" i="12"/>
  <c r="AE30" i="11"/>
  <c r="AE30" i="13" l="1"/>
  <c r="AG30" i="12"/>
  <c r="AF30" i="11"/>
  <c r="AF30" i="13" l="1"/>
  <c r="AH30" i="12"/>
  <c r="AG30" i="11"/>
  <c r="AG30" i="13" l="1"/>
  <c r="AI30" i="12"/>
  <c r="AH30" i="11"/>
  <c r="AH30" i="13" l="1"/>
  <c r="AJ30" i="12"/>
  <c r="AI30" i="11"/>
  <c r="AI30" i="13" l="1"/>
  <c r="AK30" i="12"/>
  <c r="AJ30" i="11"/>
  <c r="AJ30" i="13" l="1"/>
  <c r="AL30" i="12"/>
  <c r="AK30" i="11"/>
  <c r="AK30" i="13" l="1"/>
  <c r="AM30" i="12"/>
  <c r="AL30" i="11"/>
  <c r="AL30" i="13" l="1"/>
  <c r="AN30" i="12"/>
  <c r="AM30" i="11"/>
  <c r="AM30" i="13" l="1"/>
  <c r="AO30" i="12"/>
  <c r="AN30" i="11"/>
  <c r="AN30" i="13" l="1"/>
  <c r="AP30" i="12"/>
  <c r="AO30" i="11"/>
  <c r="AO30" i="13" l="1"/>
  <c r="AQ30" i="12"/>
  <c r="AP30" i="11"/>
  <c r="AP30" i="13" l="1"/>
  <c r="AR30" i="12"/>
  <c r="AQ30" i="11"/>
  <c r="AQ30" i="13" l="1"/>
  <c r="AS30" i="12"/>
  <c r="AR30" i="11"/>
  <c r="AR30" i="13" l="1"/>
  <c r="AT30" i="12"/>
  <c r="AS30" i="11"/>
  <c r="AS30" i="13" l="1"/>
  <c r="AU30" i="12"/>
  <c r="AT30" i="11"/>
  <c r="AT30" i="13" l="1"/>
  <c r="AV30" i="12"/>
  <c r="AU30" i="11"/>
  <c r="AU30" i="13" l="1"/>
  <c r="AW30" i="12"/>
  <c r="AV30" i="11"/>
  <c r="AV30" i="13" l="1"/>
  <c r="AW30" i="11"/>
  <c r="AW30" i="13" l="1"/>
  <c r="AQ43" i="14" l="1" a="1"/>
  <c r="AQ43" i="14" s="1"/>
  <c r="H58" i="14" s="1"/>
  <c r="AJ43" i="14" a="1"/>
  <c r="AJ43" i="14" s="1"/>
  <c r="G58" i="14" s="1"/>
  <c r="AC43" i="14" a="1"/>
  <c r="AC43" i="14" s="1"/>
  <c r="F58" i="14" s="1"/>
  <c r="AQ42" i="14" a="1"/>
  <c r="AQ42" i="14" s="1"/>
  <c r="AJ42" i="14" a="1"/>
  <c r="AJ42" i="14" s="1"/>
  <c r="AC42" i="14" a="1"/>
  <c r="AC42" i="14" s="1"/>
  <c r="AQ41" i="14" a="1"/>
  <c r="AQ41" i="14" s="1"/>
  <c r="AJ41" i="14" a="1"/>
  <c r="AJ41" i="14" s="1"/>
  <c r="AC41" i="14" a="1"/>
  <c r="AC41" i="14" s="1"/>
  <c r="AQ40" i="14" a="1"/>
  <c r="AQ40" i="14" s="1"/>
  <c r="AJ40" i="14" a="1"/>
  <c r="AJ40" i="14" s="1"/>
  <c r="AC40" i="14" a="1"/>
  <c r="AC40" i="14" s="1"/>
  <c r="AQ39" i="14" a="1"/>
  <c r="AQ39" i="14" s="1"/>
  <c r="AJ39" i="14" a="1"/>
  <c r="AJ39" i="14" s="1"/>
  <c r="AC39" i="14" a="1"/>
  <c r="AC39" i="14" s="1"/>
  <c r="AQ38" i="14" a="1"/>
  <c r="AQ38" i="14" s="1"/>
  <c r="AJ38" i="14" a="1"/>
  <c r="AJ38" i="14" s="1"/>
  <c r="AC38" i="14" a="1"/>
  <c r="AC38" i="14" s="1"/>
  <c r="AQ37" i="14" a="1"/>
  <c r="AQ37" i="14" s="1"/>
  <c r="AJ37" i="14" a="1"/>
  <c r="AJ37" i="14" s="1"/>
  <c r="AC37" i="14" a="1"/>
  <c r="AC37" i="14" s="1"/>
  <c r="AQ36" i="14" a="1"/>
  <c r="AQ36" i="14" s="1"/>
  <c r="AJ36" i="14" a="1"/>
  <c r="AJ36" i="14" s="1"/>
  <c r="AC36" i="14" a="1"/>
  <c r="AC36" i="14" s="1"/>
  <c r="AQ35" i="14" a="1"/>
  <c r="AQ35" i="14" s="1"/>
  <c r="AJ35" i="14" a="1"/>
  <c r="AJ35" i="14" s="1"/>
  <c r="AC35" i="14" a="1"/>
  <c r="AC35" i="14" s="1"/>
  <c r="AQ34" i="14" a="1"/>
  <c r="AQ34" i="14" s="1"/>
  <c r="AJ34" i="14" a="1"/>
  <c r="AJ34" i="14" s="1"/>
  <c r="AC34" i="14" a="1"/>
  <c r="AC34" i="14" s="1"/>
  <c r="V34" i="14" a="1"/>
  <c r="V34" i="14" s="1"/>
  <c r="AQ33" i="14" a="1"/>
  <c r="AQ33" i="14" s="1"/>
  <c r="AJ33" i="14" a="1"/>
  <c r="AJ33" i="14" s="1"/>
  <c r="AC33" i="14" a="1"/>
  <c r="AC33" i="14" s="1"/>
  <c r="AQ32" i="14" a="1"/>
  <c r="AQ32" i="14" s="1"/>
  <c r="AJ32" i="14" a="1"/>
  <c r="AJ32" i="14" s="1"/>
  <c r="AC32" i="14" a="1"/>
  <c r="AC32" i="14" s="1"/>
  <c r="AQ31" i="14" a="1"/>
  <c r="AQ31" i="14" s="1"/>
  <c r="AJ31" i="14" a="1"/>
  <c r="AJ31" i="14" s="1"/>
  <c r="AC31" i="14" a="1"/>
  <c r="AC31" i="14" s="1"/>
  <c r="AQ30" i="14" a="1"/>
  <c r="AQ30" i="14" s="1"/>
  <c r="AJ30" i="14" a="1"/>
  <c r="AJ30" i="14" s="1"/>
  <c r="AC30" i="14" a="1"/>
  <c r="AC30" i="14" s="1"/>
  <c r="AQ29" i="14" a="1"/>
  <c r="AQ29" i="14" s="1"/>
  <c r="H54" i="14" s="1"/>
  <c r="AJ29" i="14" a="1"/>
  <c r="AJ29" i="14" s="1"/>
  <c r="G54" i="14" s="1"/>
  <c r="AC29" i="14" a="1"/>
  <c r="AC29" i="14" s="1"/>
  <c r="F54" i="14" s="1"/>
  <c r="AQ28" i="14" a="1"/>
  <c r="AQ28" i="14" s="1"/>
  <c r="AJ28" i="14" a="1"/>
  <c r="AJ28" i="14" s="1"/>
  <c r="AC28" i="14" a="1"/>
  <c r="AC28" i="14" s="1"/>
  <c r="AQ27" i="14" a="1"/>
  <c r="AQ27" i="14" s="1"/>
  <c r="AJ27" i="14" a="1"/>
  <c r="AJ27" i="14" s="1"/>
  <c r="AC27" i="14" a="1"/>
  <c r="AC27" i="14" s="1"/>
  <c r="AQ26" i="14" a="1"/>
  <c r="AQ26" i="14" s="1"/>
  <c r="AJ26" i="14" a="1"/>
  <c r="AJ26" i="14" s="1"/>
  <c r="AC26" i="14" a="1"/>
  <c r="AC26" i="14" s="1"/>
  <c r="AQ25" i="14" a="1"/>
  <c r="AQ25" i="14" s="1"/>
  <c r="AJ25" i="14" a="1"/>
  <c r="AJ25" i="14" s="1"/>
  <c r="AC25" i="14" a="1"/>
  <c r="AC25" i="14" s="1"/>
  <c r="AQ24" i="14" a="1"/>
  <c r="AQ24" i="14" s="1"/>
  <c r="AJ24" i="14" a="1"/>
  <c r="AJ24" i="14" s="1"/>
  <c r="AC24" i="14" a="1"/>
  <c r="AC24" i="14" s="1"/>
  <c r="AQ23" i="14" a="1"/>
  <c r="AQ23" i="14" s="1"/>
  <c r="AJ23" i="14" a="1"/>
  <c r="AJ23" i="14" s="1"/>
  <c r="AC23" i="14" a="1"/>
  <c r="AC23" i="14" s="1"/>
  <c r="AQ22" i="14" a="1"/>
  <c r="AQ22" i="14" s="1"/>
  <c r="AJ22" i="14" a="1"/>
  <c r="AJ22" i="14" s="1"/>
  <c r="AC22" i="14" a="1"/>
  <c r="AC22" i="14" s="1"/>
  <c r="AQ21" i="14" a="1"/>
  <c r="AQ21" i="14" s="1"/>
  <c r="AJ21" i="14" a="1"/>
  <c r="AJ21" i="14" s="1"/>
  <c r="AC21" i="14" a="1"/>
  <c r="AC21" i="14" s="1"/>
  <c r="AQ20" i="14" a="1"/>
  <c r="AQ20" i="14" s="1"/>
  <c r="AJ20" i="14" a="1"/>
  <c r="AJ20" i="14" s="1"/>
  <c r="AC20" i="14" a="1"/>
  <c r="AC20" i="14" s="1"/>
  <c r="AQ19" i="14" a="1"/>
  <c r="AQ19" i="14" s="1"/>
  <c r="AJ19" i="14" a="1"/>
  <c r="AJ19" i="14" s="1"/>
  <c r="AC19" i="14" a="1"/>
  <c r="AC19" i="14" s="1"/>
  <c r="AQ18" i="14" a="1"/>
  <c r="AQ18" i="14" s="1"/>
  <c r="AJ18" i="14" a="1"/>
  <c r="AJ18" i="14" s="1"/>
  <c r="AC18" i="14" a="1"/>
  <c r="AC18" i="14" s="1"/>
  <c r="AQ17" i="14" a="1"/>
  <c r="AQ17" i="14" s="1"/>
  <c r="AJ17" i="14" a="1"/>
  <c r="AJ17" i="14" s="1"/>
  <c r="AC17" i="14" a="1"/>
  <c r="AC17" i="14" s="1"/>
  <c r="AQ16" i="14" a="1"/>
  <c r="AQ16" i="14" s="1"/>
  <c r="AJ16" i="14" a="1"/>
  <c r="AJ16" i="14" s="1"/>
  <c r="AC16" i="14" a="1"/>
  <c r="AC16" i="14" s="1"/>
  <c r="AQ15" i="14" a="1"/>
  <c r="AQ15" i="14" s="1"/>
  <c r="AJ15" i="14" a="1"/>
  <c r="AJ15" i="14" s="1"/>
  <c r="AC15" i="14" a="1"/>
  <c r="AC15" i="14" s="1"/>
  <c r="AQ14" i="14" a="1"/>
  <c r="AQ14" i="14" s="1"/>
  <c r="AJ14" i="14" a="1"/>
  <c r="AJ14" i="14" s="1"/>
  <c r="AC14" i="14" a="1"/>
  <c r="AC14" i="14" s="1"/>
  <c r="AQ13" i="14" a="1"/>
  <c r="AQ13" i="14" s="1"/>
  <c r="AJ13" i="14" a="1"/>
  <c r="AJ13" i="14" s="1"/>
  <c r="AC13" i="14" a="1"/>
  <c r="AC13" i="14" s="1"/>
  <c r="AQ12" i="14" a="1"/>
  <c r="AQ12" i="14" s="1"/>
  <c r="AJ12" i="14" a="1"/>
  <c r="AJ12" i="14" s="1"/>
  <c r="AC12" i="14" a="1"/>
  <c r="AC12" i="14" s="1"/>
  <c r="AQ11" i="14" a="1"/>
  <c r="AQ11" i="14" s="1"/>
  <c r="AJ11" i="14" a="1"/>
  <c r="AJ11" i="14" s="1"/>
  <c r="AC11" i="14" a="1"/>
  <c r="AC11" i="14" s="1"/>
  <c r="AQ10" i="14" a="1"/>
  <c r="AQ10" i="14" s="1"/>
  <c r="H50" i="14" s="1"/>
  <c r="AJ10" i="14" a="1"/>
  <c r="AJ10" i="14" s="1"/>
  <c r="G50" i="14" s="1"/>
  <c r="AC10" i="14" a="1"/>
  <c r="AC10" i="14" s="1"/>
  <c r="F50" i="14" s="1"/>
  <c r="AY35" i="13"/>
  <c r="AY35" i="12"/>
  <c r="AH49" i="3"/>
  <c r="R46" i="3"/>
  <c r="R44" i="3" s="1"/>
  <c r="AB44" i="3" s="1"/>
  <c r="J46" i="3"/>
  <c r="R45" i="3"/>
  <c r="J45" i="3"/>
  <c r="J30" i="3"/>
  <c r="K30" i="3" s="1"/>
  <c r="L30" i="3" s="1"/>
  <c r="M30" i="3" s="1"/>
  <c r="N30" i="3" s="1"/>
  <c r="O30" i="3" s="1"/>
  <c r="P30" i="3" s="1"/>
  <c r="Q30" i="3" s="1"/>
  <c r="R30" i="3" s="1"/>
  <c r="S30" i="3" s="1"/>
  <c r="T30" i="3" s="1"/>
  <c r="U30" i="3" s="1"/>
  <c r="V30" i="3" s="1"/>
  <c r="W30" i="3" s="1"/>
  <c r="X30" i="3" s="1"/>
  <c r="Y30" i="3" s="1"/>
  <c r="Z30" i="3" s="1"/>
  <c r="AA30" i="3" s="1"/>
  <c r="AB30" i="3" s="1"/>
  <c r="AC30" i="3" s="1"/>
  <c r="AD30" i="3" s="1"/>
  <c r="AE30" i="3" s="1"/>
  <c r="AF30" i="3" s="1"/>
  <c r="AG30" i="3" s="1"/>
  <c r="AH30" i="3" s="1"/>
  <c r="AI30" i="3" s="1"/>
  <c r="AJ30" i="3" s="1"/>
  <c r="AK30" i="3" s="1"/>
  <c r="AL30" i="3" s="1"/>
  <c r="AM30" i="3" s="1"/>
  <c r="AN30" i="3" s="1"/>
  <c r="AO30" i="3" s="1"/>
  <c r="AP30" i="3" s="1"/>
  <c r="AQ30" i="3" s="1"/>
  <c r="AR30" i="3" s="1"/>
  <c r="AS30" i="3" s="1"/>
  <c r="AT30" i="3" s="1"/>
  <c r="AU30" i="3" s="1"/>
  <c r="AV30" i="3" s="1"/>
  <c r="AW30" i="3" s="1"/>
  <c r="AO10" i="11"/>
  <c r="Z10" i="11"/>
  <c r="H10" i="11"/>
  <c r="AY35" i="11"/>
  <c r="AH185" i="3"/>
  <c r="AN185" i="3" s="1"/>
  <c r="AH184" i="3"/>
  <c r="V13" i="14" s="1" a="1"/>
  <c r="V13" i="14" s="1"/>
  <c r="Z177" i="3"/>
  <c r="AH213" i="3" s="1"/>
  <c r="Z162" i="3"/>
  <c r="AH211" i="3" s="1"/>
  <c r="AN211" i="3" s="1"/>
  <c r="Z152" i="3"/>
  <c r="AH207" i="3" s="1"/>
  <c r="V36" i="14" s="1" a="1"/>
  <c r="V36" i="14" s="1"/>
  <c r="Z151" i="3"/>
  <c r="Z150" i="3"/>
  <c r="AH205" i="3" s="1"/>
  <c r="AN205" i="3" s="1"/>
  <c r="Z149" i="3"/>
  <c r="AH204" i="3" s="1"/>
  <c r="V33" i="14" s="1" a="1"/>
  <c r="V33" i="14" s="1"/>
  <c r="H53" i="14" l="1"/>
  <c r="H51" i="14"/>
  <c r="F57" i="14"/>
  <c r="J44" i="3"/>
  <c r="V40" i="14" a="1"/>
  <c r="V40" i="14" s="1"/>
  <c r="AB45" i="3"/>
  <c r="V14" i="14" a="1"/>
  <c r="V14" i="14" s="1"/>
  <c r="AN207" i="3"/>
  <c r="AN213" i="3"/>
  <c r="V42" i="14" a="1"/>
  <c r="V42" i="14" s="1"/>
  <c r="AN184" i="3"/>
  <c r="Z49" i="3"/>
  <c r="AN204" i="3"/>
  <c r="F52" i="14"/>
  <c r="G52" i="14"/>
  <c r="H52" i="14"/>
  <c r="H56" i="14"/>
  <c r="AZ35" i="13"/>
  <c r="AY36" i="13" s="1"/>
  <c r="AZ35" i="12"/>
  <c r="J35" i="12" s="1"/>
  <c r="Q35" i="12"/>
  <c r="R35" i="12"/>
  <c r="AZ35" i="11"/>
  <c r="AY36" i="11" s="1"/>
  <c r="Z35" i="11"/>
  <c r="AA35" i="11"/>
  <c r="AB35" i="11"/>
  <c r="AE35" i="11"/>
  <c r="AF35" i="11"/>
  <c r="AL35" i="11"/>
  <c r="G55" i="14"/>
  <c r="AQ44" i="14"/>
  <c r="F51" i="14"/>
  <c r="G51" i="14"/>
  <c r="F56" i="14"/>
  <c r="G56" i="14"/>
  <c r="F53" i="14"/>
  <c r="F55" i="14"/>
  <c r="G53" i="14"/>
  <c r="H55" i="14"/>
  <c r="G57" i="14"/>
  <c r="AC44" i="14"/>
  <c r="H57" i="14"/>
  <c r="AJ44" i="14"/>
  <c r="Z130" i="3"/>
  <c r="AH195" i="3" s="1"/>
  <c r="Z128" i="3"/>
  <c r="AH193" i="3" s="1"/>
  <c r="Z127" i="3"/>
  <c r="AH192" i="3" s="1"/>
  <c r="Z126" i="3"/>
  <c r="AH191" i="3" s="1"/>
  <c r="Z125" i="3"/>
  <c r="AH190" i="3" s="1"/>
  <c r="AG109" i="3"/>
  <c r="AG108" i="3"/>
  <c r="AG107" i="3"/>
  <c r="AG106" i="3"/>
  <c r="AG105" i="3"/>
  <c r="AG104" i="3"/>
  <c r="AG103" i="3"/>
  <c r="AG102" i="3"/>
  <c r="AG101" i="3"/>
  <c r="AG100" i="3"/>
  <c r="AG99" i="3"/>
  <c r="AG98" i="3"/>
  <c r="AG97" i="3"/>
  <c r="AG96" i="3"/>
  <c r="AG95" i="3"/>
  <c r="AB91" i="3"/>
  <c r="AB88" i="3"/>
  <c r="AB87" i="3"/>
  <c r="AB86" i="3"/>
  <c r="AB85" i="3"/>
  <c r="AB84" i="3"/>
  <c r="AB83" i="3"/>
  <c r="AB82" i="3"/>
  <c r="AB81" i="3"/>
  <c r="AB80" i="3"/>
  <c r="AB79" i="3"/>
  <c r="AB78" i="3"/>
  <c r="AB77" i="3"/>
  <c r="AB76" i="3"/>
  <c r="AB75" i="3"/>
  <c r="R35" i="13" l="1"/>
  <c r="Q35" i="13"/>
  <c r="AE35" i="13"/>
  <c r="S35" i="13"/>
  <c r="AG35" i="13"/>
  <c r="P35" i="13"/>
  <c r="AW35" i="13"/>
  <c r="AS35" i="13"/>
  <c r="AA35" i="13"/>
  <c r="Z35" i="13"/>
  <c r="AL35" i="13"/>
  <c r="O35" i="13"/>
  <c r="AD35" i="13"/>
  <c r="AC35" i="13"/>
  <c r="AR35" i="13"/>
  <c r="AQ35" i="13"/>
  <c r="AO35" i="13"/>
  <c r="U35" i="13"/>
  <c r="AM35" i="13"/>
  <c r="AF35" i="13"/>
  <c r="N35" i="13"/>
  <c r="AB35" i="13"/>
  <c r="AP35" i="13"/>
  <c r="AN35" i="13"/>
  <c r="T35" i="13"/>
  <c r="AV35" i="12"/>
  <c r="AR35" i="12"/>
  <c r="AO35" i="12"/>
  <c r="AY36" i="12"/>
  <c r="AS36" i="12" s="1"/>
  <c r="AE35" i="12"/>
  <c r="P35" i="12"/>
  <c r="AQ35" i="12"/>
  <c r="O35" i="12"/>
  <c r="N35" i="12"/>
  <c r="M35" i="12"/>
  <c r="Y35" i="12"/>
  <c r="AF35" i="12"/>
  <c r="AS35" i="12"/>
  <c r="AP35" i="12"/>
  <c r="X35" i="12"/>
  <c r="AL35" i="12"/>
  <c r="AK35" i="12"/>
  <c r="U35" i="12"/>
  <c r="AD35" i="12"/>
  <c r="AC35" i="12"/>
  <c r="Z35" i="12"/>
  <c r="AJ35" i="12"/>
  <c r="T35" i="12"/>
  <c r="AB35" i="12"/>
  <c r="AA35" i="12"/>
  <c r="AN35" i="12"/>
  <c r="AM35" i="12"/>
  <c r="AW35" i="12"/>
  <c r="AG35" i="12"/>
  <c r="S35" i="12"/>
  <c r="AS35" i="11"/>
  <c r="AW35" i="11"/>
  <c r="AV35" i="11"/>
  <c r="Y35" i="11"/>
  <c r="U35" i="11"/>
  <c r="AP35" i="11"/>
  <c r="S35" i="11"/>
  <c r="AO35" i="11"/>
  <c r="Q35" i="11"/>
  <c r="AN35" i="11"/>
  <c r="AM35" i="11"/>
  <c r="V19" i="14" a="1"/>
  <c r="V19" i="14" s="1"/>
  <c r="AN190" i="3"/>
  <c r="AN193" i="3"/>
  <c r="V22" i="14" a="1"/>
  <c r="V22" i="14" s="1"/>
  <c r="AN192" i="3"/>
  <c r="V21" i="14" a="1"/>
  <c r="V21" i="14" s="1"/>
  <c r="AN191" i="3"/>
  <c r="V20" i="14" a="1"/>
  <c r="V20" i="14" s="1"/>
  <c r="V24" i="14" a="1"/>
  <c r="V24" i="14" s="1"/>
  <c r="AN195" i="3"/>
  <c r="AK35" i="13"/>
  <c r="Y35" i="13"/>
  <c r="M35" i="13"/>
  <c r="AV35" i="13"/>
  <c r="AJ35" i="13"/>
  <c r="X35" i="13"/>
  <c r="L35" i="13"/>
  <c r="AU35" i="13"/>
  <c r="AI35" i="13"/>
  <c r="W35" i="13"/>
  <c r="K35" i="13"/>
  <c r="AT35" i="13"/>
  <c r="AH35" i="13"/>
  <c r="V35" i="13"/>
  <c r="J35" i="13"/>
  <c r="AZ36" i="13"/>
  <c r="AY37" i="13" s="1"/>
  <c r="P36" i="13"/>
  <c r="AN36" i="13"/>
  <c r="AV36" i="13"/>
  <c r="K35" i="12"/>
  <c r="AU35" i="12"/>
  <c r="AI35" i="12"/>
  <c r="W35" i="12"/>
  <c r="L35" i="12"/>
  <c r="AT35" i="12"/>
  <c r="AH35" i="12"/>
  <c r="V35" i="12"/>
  <c r="T35" i="11"/>
  <c r="AK35" i="11"/>
  <c r="R35" i="11"/>
  <c r="AJ35" i="11"/>
  <c r="AG35" i="11"/>
  <c r="P35" i="11"/>
  <c r="AR35" i="11"/>
  <c r="AD35" i="11"/>
  <c r="O35" i="11"/>
  <c r="AQ35" i="11"/>
  <c r="AC35" i="11"/>
  <c r="N35" i="11"/>
  <c r="M35" i="11"/>
  <c r="X35" i="11"/>
  <c r="L35" i="11"/>
  <c r="AU35" i="11"/>
  <c r="AI35" i="11"/>
  <c r="W35" i="11"/>
  <c r="K35" i="11"/>
  <c r="AT35" i="11"/>
  <c r="AH35" i="11"/>
  <c r="V35" i="11"/>
  <c r="J35" i="11"/>
  <c r="AZ36" i="11"/>
  <c r="AY37" i="11" s="1"/>
  <c r="AZ36" i="12"/>
  <c r="AY37" i="12" s="1"/>
  <c r="AG111" i="3"/>
  <c r="AB90" i="3"/>
  <c r="AB92" i="3" s="1"/>
  <c r="N60" i="3"/>
  <c r="AO36" i="13" l="1"/>
  <c r="O36" i="13"/>
  <c r="M36" i="13"/>
  <c r="AK36" i="13"/>
  <c r="AB36" i="13"/>
  <c r="Z36" i="13"/>
  <c r="N36" i="13"/>
  <c r="AL36" i="13"/>
  <c r="AC36" i="13"/>
  <c r="Y36" i="13"/>
  <c r="AM36" i="13"/>
  <c r="AA36" i="13"/>
  <c r="AW36" i="13"/>
  <c r="Q36" i="13"/>
  <c r="M114" i="3" a="1"/>
  <c r="M114" i="3" s="1"/>
  <c r="R114" i="3" s="1" a="1"/>
  <c r="R114" i="3" s="1"/>
  <c r="AH186" i="3" s="1"/>
  <c r="AJ36" i="13"/>
  <c r="X36" i="13"/>
  <c r="AU36" i="13"/>
  <c r="W36" i="13"/>
  <c r="AT36" i="13"/>
  <c r="U36" i="13"/>
  <c r="L36" i="13"/>
  <c r="AI36" i="13"/>
  <c r="K36" i="13"/>
  <c r="J36" i="13"/>
  <c r="AR36" i="13"/>
  <c r="AZ37" i="13"/>
  <c r="K37" i="13" s="1"/>
  <c r="AY38" i="13"/>
  <c r="T36" i="13"/>
  <c r="AQ36" i="13"/>
  <c r="S36" i="13"/>
  <c r="AH36" i="13"/>
  <c r="V36" i="13"/>
  <c r="AS36" i="13"/>
  <c r="AG36" i="13"/>
  <c r="AF36" i="13"/>
  <c r="AE36" i="13"/>
  <c r="AP36" i="13"/>
  <c r="AD36" i="13"/>
  <c r="R36" i="13"/>
  <c r="T36" i="12"/>
  <c r="AQ36" i="12"/>
  <c r="U36" i="12"/>
  <c r="AF36" i="12"/>
  <c r="S36" i="12"/>
  <c r="AP36" i="12"/>
  <c r="AC36" i="12"/>
  <c r="AG36" i="12"/>
  <c r="AR36" i="12"/>
  <c r="R36" i="12"/>
  <c r="AN36" i="12"/>
  <c r="AA36" i="12"/>
  <c r="N36" i="12"/>
  <c r="X36" i="12"/>
  <c r="Z37" i="12"/>
  <c r="AA37" i="12"/>
  <c r="AB37" i="12"/>
  <c r="AC37" i="12"/>
  <c r="AQ37" i="12"/>
  <c r="AW37" i="12"/>
  <c r="AB36" i="12"/>
  <c r="AM36" i="12"/>
  <c r="O36" i="12"/>
  <c r="AL36" i="12"/>
  <c r="AK36" i="12"/>
  <c r="M36" i="12"/>
  <c r="AJ36" i="12"/>
  <c r="AU36" i="12"/>
  <c r="AI36" i="12"/>
  <c r="W36" i="12"/>
  <c r="K36" i="12"/>
  <c r="AE36" i="12"/>
  <c r="AD36" i="12"/>
  <c r="AO36" i="12"/>
  <c r="Q36" i="12"/>
  <c r="P36" i="12"/>
  <c r="Z36" i="12"/>
  <c r="AW36" i="12"/>
  <c r="Y36" i="12"/>
  <c r="AV36" i="12"/>
  <c r="L36" i="12"/>
  <c r="AT36" i="12"/>
  <c r="AH36" i="12"/>
  <c r="V36" i="12"/>
  <c r="J36" i="12"/>
  <c r="AH36" i="11"/>
  <c r="AR36" i="11"/>
  <c r="AT36" i="11"/>
  <c r="AG36" i="11"/>
  <c r="AD36" i="11"/>
  <c r="V36" i="11"/>
  <c r="AS36" i="11"/>
  <c r="T36" i="11"/>
  <c r="AC36" i="11"/>
  <c r="AB36" i="11"/>
  <c r="Z36" i="11"/>
  <c r="U36" i="11"/>
  <c r="P36" i="11"/>
  <c r="O36" i="11"/>
  <c r="AK36" i="11"/>
  <c r="J36" i="11"/>
  <c r="AE36" i="11"/>
  <c r="R36" i="11"/>
  <c r="AO36" i="11"/>
  <c r="AL36" i="11"/>
  <c r="N36" i="11"/>
  <c r="AV36" i="11"/>
  <c r="L36" i="11"/>
  <c r="AY38" i="11"/>
  <c r="AZ37" i="11"/>
  <c r="J37" i="11" s="1"/>
  <c r="AF36" i="11"/>
  <c r="AQ36" i="11"/>
  <c r="S36" i="11"/>
  <c r="AP36" i="11"/>
  <c r="Q36" i="11"/>
  <c r="AN36" i="11"/>
  <c r="AM36" i="11"/>
  <c r="AA36" i="11"/>
  <c r="AW36" i="11"/>
  <c r="Y36" i="11"/>
  <c r="M36" i="11"/>
  <c r="AJ36" i="11"/>
  <c r="X36" i="11"/>
  <c r="AU36" i="11"/>
  <c r="AI36" i="11"/>
  <c r="W36" i="11"/>
  <c r="K36" i="11"/>
  <c r="AZ37" i="12"/>
  <c r="T37" i="12" s="1"/>
  <c r="AY38" i="12"/>
  <c r="N61" i="3"/>
  <c r="AN130" i="3"/>
  <c r="AN132" i="3" s="1"/>
  <c r="AM115" i="3"/>
  <c r="U120" i="3"/>
  <c r="Z132" i="3" s="1"/>
  <c r="AB37" i="13" l="1"/>
  <c r="AS37" i="13"/>
  <c r="T37" i="13"/>
  <c r="S37" i="13"/>
  <c r="AH37" i="13"/>
  <c r="Q37" i="13"/>
  <c r="AD37" i="13"/>
  <c r="AC37" i="13"/>
  <c r="U37" i="13"/>
  <c r="AO37" i="13"/>
  <c r="AG37" i="13"/>
  <c r="J37" i="13"/>
  <c r="AR37" i="13"/>
  <c r="AP37" i="13"/>
  <c r="AF37" i="13"/>
  <c r="AT37" i="13"/>
  <c r="V37" i="13"/>
  <c r="AQ37" i="13"/>
  <c r="R37" i="13"/>
  <c r="AE37" i="13"/>
  <c r="S37" i="12"/>
  <c r="R37" i="12"/>
  <c r="Q37" i="12"/>
  <c r="Y37" i="12"/>
  <c r="AM37" i="12"/>
  <c r="AP37" i="12"/>
  <c r="AO37" i="12"/>
  <c r="AK37" i="12"/>
  <c r="P37" i="12"/>
  <c r="AE37" i="12"/>
  <c r="N37" i="12"/>
  <c r="AN37" i="12"/>
  <c r="AL37" i="12"/>
  <c r="O37" i="12"/>
  <c r="AD37" i="12"/>
  <c r="M37" i="12"/>
  <c r="AH198" i="3"/>
  <c r="AN198" i="3" s="1"/>
  <c r="AN133" i="3"/>
  <c r="AN186" i="3"/>
  <c r="V15" i="14" a="1"/>
  <c r="V15" i="14" s="1"/>
  <c r="O37" i="13"/>
  <c r="Z37" i="13"/>
  <c r="AZ38" i="13"/>
  <c r="AY39" i="13" s="1"/>
  <c r="K38" i="13"/>
  <c r="L38" i="13"/>
  <c r="M38" i="13"/>
  <c r="N38" i="13"/>
  <c r="Z38" i="13"/>
  <c r="AA38" i="13"/>
  <c r="AB38" i="13"/>
  <c r="AC38" i="13"/>
  <c r="AN38" i="13"/>
  <c r="AO38" i="13"/>
  <c r="AP38" i="13"/>
  <c r="AS38" i="13"/>
  <c r="AW37" i="13"/>
  <c r="Y37" i="13"/>
  <c r="M37" i="13"/>
  <c r="AM37" i="13"/>
  <c r="AL37" i="13"/>
  <c r="AV37" i="13"/>
  <c r="AJ37" i="13"/>
  <c r="X37" i="13"/>
  <c r="L37" i="13"/>
  <c r="AN37" i="13"/>
  <c r="P37" i="13"/>
  <c r="AA37" i="13"/>
  <c r="N37" i="13"/>
  <c r="AK37" i="13"/>
  <c r="AU37" i="13"/>
  <c r="AI37" i="13"/>
  <c r="W37" i="13"/>
  <c r="AV37" i="12"/>
  <c r="L37" i="12"/>
  <c r="AJ37" i="12"/>
  <c r="AU37" i="12"/>
  <c r="W37" i="12"/>
  <c r="AT37" i="12"/>
  <c r="AH37" i="12"/>
  <c r="V37" i="12"/>
  <c r="J37" i="12"/>
  <c r="X37" i="12"/>
  <c r="K37" i="12"/>
  <c r="AS37" i="12"/>
  <c r="AG37" i="12"/>
  <c r="U37" i="12"/>
  <c r="L38" i="12"/>
  <c r="M38" i="12"/>
  <c r="N38" i="12"/>
  <c r="O38" i="12"/>
  <c r="P38" i="12"/>
  <c r="Q38" i="12"/>
  <c r="R38" i="12"/>
  <c r="S38" i="12"/>
  <c r="X38" i="12"/>
  <c r="AB38" i="12"/>
  <c r="AC38" i="12"/>
  <c r="AD38" i="12"/>
  <c r="AE38" i="12"/>
  <c r="AJ38" i="12"/>
  <c r="AK38" i="12"/>
  <c r="AL38" i="12"/>
  <c r="AM38" i="12"/>
  <c r="AN38" i="12"/>
  <c r="AU38" i="12"/>
  <c r="AV38" i="12"/>
  <c r="AW38" i="12"/>
  <c r="AI37" i="12"/>
  <c r="AR37" i="12"/>
  <c r="AF37" i="12"/>
  <c r="AF37" i="11"/>
  <c r="AE37" i="11"/>
  <c r="AA37" i="11"/>
  <c r="AD37" i="11"/>
  <c r="AB37" i="11"/>
  <c r="AS37" i="11"/>
  <c r="AR37" i="11"/>
  <c r="R37" i="11"/>
  <c r="U37" i="11"/>
  <c r="AQ37" i="11"/>
  <c r="AP37" i="11"/>
  <c r="AO37" i="11"/>
  <c r="AN37" i="11"/>
  <c r="Q37" i="11"/>
  <c r="AC37" i="11"/>
  <c r="T37" i="11"/>
  <c r="S37" i="11"/>
  <c r="AG37" i="11"/>
  <c r="P37" i="11"/>
  <c r="AK37" i="11"/>
  <c r="AL37" i="11"/>
  <c r="Y37" i="11"/>
  <c r="X37" i="11"/>
  <c r="Z37" i="11"/>
  <c r="N37" i="11"/>
  <c r="AJ37" i="11"/>
  <c r="AU37" i="11"/>
  <c r="AI37" i="11"/>
  <c r="W37" i="11"/>
  <c r="K37" i="11"/>
  <c r="AZ38" i="11"/>
  <c r="AY39" i="11" s="1"/>
  <c r="AM37" i="11"/>
  <c r="O37" i="11"/>
  <c r="AW37" i="11"/>
  <c r="M37" i="11"/>
  <c r="AV37" i="11"/>
  <c r="L37" i="11"/>
  <c r="AT37" i="11"/>
  <c r="AH37" i="11"/>
  <c r="V37" i="11"/>
  <c r="AZ38" i="12"/>
  <c r="AY39" i="12" s="1"/>
  <c r="AH115" i="3"/>
  <c r="AH187" i="3"/>
  <c r="Z141" i="3"/>
  <c r="Z140" i="3"/>
  <c r="AH200" i="3" s="1"/>
  <c r="Z133" i="3"/>
  <c r="AH199" i="3" s="1"/>
  <c r="Z131" i="3"/>
  <c r="AH196" i="3" s="1"/>
  <c r="Z123" i="3"/>
  <c r="AH188" i="3" s="1"/>
  <c r="Z124" i="3"/>
  <c r="AH189" i="3" s="1"/>
  <c r="Y38" i="13" l="1"/>
  <c r="AK38" i="13"/>
  <c r="V38" i="13"/>
  <c r="R38" i="13"/>
  <c r="AM38" i="13"/>
  <c r="AL38" i="13"/>
  <c r="AH38" i="13"/>
  <c r="J38" i="13"/>
  <c r="W38" i="13"/>
  <c r="AI38" i="13"/>
  <c r="AV38" i="13"/>
  <c r="AU38" i="13"/>
  <c r="AG38" i="13"/>
  <c r="P38" i="13"/>
  <c r="X38" i="13"/>
  <c r="AJ38" i="13"/>
  <c r="AW38" i="13"/>
  <c r="Q38" i="13"/>
  <c r="AT38" i="13"/>
  <c r="AD38" i="13"/>
  <c r="O38" i="13"/>
  <c r="AA38" i="12"/>
  <c r="AQ38" i="12"/>
  <c r="Z38" i="12"/>
  <c r="AP38" i="12"/>
  <c r="AO38" i="12"/>
  <c r="Y38" i="12"/>
  <c r="V27" i="14" a="1"/>
  <c r="V27" i="14" s="1"/>
  <c r="AN199" i="3"/>
  <c r="V28" i="14" a="1"/>
  <c r="V28" i="14" s="1"/>
  <c r="AN188" i="3"/>
  <c r="V17" i="14" a="1"/>
  <c r="V17" i="14" s="1"/>
  <c r="V29" i="14" a="1"/>
  <c r="V29" i="14" s="1"/>
  <c r="E54" i="14" s="1"/>
  <c r="C54" i="14" s="1" a="1"/>
  <c r="C54" i="14" s="1"/>
  <c r="AN200" i="3"/>
  <c r="V25" i="14" a="1"/>
  <c r="V25" i="14" s="1"/>
  <c r="AN196" i="3"/>
  <c r="AN187" i="3"/>
  <c r="V16" i="14" a="1"/>
  <c r="V16" i="14" s="1"/>
  <c r="E52" i="14" s="1"/>
  <c r="C52" i="14" s="1" a="1"/>
  <c r="C52" i="14" s="1"/>
  <c r="V18" i="14" a="1"/>
  <c r="V18" i="14" s="1"/>
  <c r="AN189" i="3"/>
  <c r="AZ39" i="13"/>
  <c r="J39" i="13" s="1"/>
  <c r="L39" i="13"/>
  <c r="M39" i="13"/>
  <c r="N39" i="13"/>
  <c r="O39" i="13"/>
  <c r="P39" i="13"/>
  <c r="Q39" i="13"/>
  <c r="W39" i="13"/>
  <c r="X39" i="13"/>
  <c r="Y39" i="13"/>
  <c r="Z39" i="13"/>
  <c r="AA39" i="13"/>
  <c r="AB39" i="13"/>
  <c r="AC39" i="13"/>
  <c r="AJ39" i="13"/>
  <c r="AK39" i="13"/>
  <c r="AL39" i="13"/>
  <c r="AM39" i="13"/>
  <c r="AN39" i="13"/>
  <c r="AO39" i="13"/>
  <c r="AU39" i="13"/>
  <c r="AV39" i="13"/>
  <c r="AW39" i="13"/>
  <c r="AR38" i="13"/>
  <c r="AF38" i="13"/>
  <c r="T38" i="13"/>
  <c r="U38" i="13"/>
  <c r="AQ38" i="13"/>
  <c r="AE38" i="13"/>
  <c r="S38" i="13"/>
  <c r="AI38" i="12"/>
  <c r="V38" i="12"/>
  <c r="AH38" i="12"/>
  <c r="AG38" i="12"/>
  <c r="U38" i="12"/>
  <c r="W38" i="12"/>
  <c r="K38" i="12"/>
  <c r="AT38" i="12"/>
  <c r="J38" i="12"/>
  <c r="AS38" i="12"/>
  <c r="AR38" i="12"/>
  <c r="AF38" i="12"/>
  <c r="T38" i="12"/>
  <c r="AZ39" i="11"/>
  <c r="J39" i="11" s="1"/>
  <c r="N39" i="11"/>
  <c r="O39" i="11"/>
  <c r="P39" i="11"/>
  <c r="Q39" i="11"/>
  <c r="R39" i="11"/>
  <c r="S39" i="11"/>
  <c r="T39" i="11"/>
  <c r="V39" i="11"/>
  <c r="Z39" i="11"/>
  <c r="AA39" i="11"/>
  <c r="AB39" i="11"/>
  <c r="AC39" i="11"/>
  <c r="AD39" i="11"/>
  <c r="AE39" i="11"/>
  <c r="AF39" i="11"/>
  <c r="AH39" i="11"/>
  <c r="AL39" i="11"/>
  <c r="AM39" i="11"/>
  <c r="AN39" i="11"/>
  <c r="AO39" i="11"/>
  <c r="AP39" i="11"/>
  <c r="AQ39" i="11"/>
  <c r="AR39" i="11"/>
  <c r="AT39" i="11"/>
  <c r="AR38" i="11"/>
  <c r="AQ38" i="11"/>
  <c r="AG38" i="11"/>
  <c r="AA38" i="11"/>
  <c r="AK38" i="11"/>
  <c r="U38" i="11"/>
  <c r="S38" i="11"/>
  <c r="AP38" i="11"/>
  <c r="R38" i="11"/>
  <c r="AO38" i="11"/>
  <c r="Q38" i="11"/>
  <c r="P38" i="11"/>
  <c r="O38" i="11"/>
  <c r="AS38" i="11"/>
  <c r="T38" i="11"/>
  <c r="AB38" i="11"/>
  <c r="AM38" i="11"/>
  <c r="AL38" i="11"/>
  <c r="N38" i="11"/>
  <c r="AW38" i="11"/>
  <c r="Y38" i="11"/>
  <c r="M38" i="11"/>
  <c r="AJ38" i="11"/>
  <c r="AU38" i="11"/>
  <c r="W38" i="11"/>
  <c r="K38" i="11"/>
  <c r="AF38" i="11"/>
  <c r="AE38" i="11"/>
  <c r="AD38" i="11"/>
  <c r="AC38" i="11"/>
  <c r="AN38" i="11"/>
  <c r="Z38" i="11"/>
  <c r="AV38" i="11"/>
  <c r="X38" i="11"/>
  <c r="L38" i="11"/>
  <c r="AI38" i="11"/>
  <c r="AT38" i="11"/>
  <c r="AH38" i="11"/>
  <c r="V38" i="11"/>
  <c r="J38" i="11"/>
  <c r="AZ39" i="12"/>
  <c r="T39" i="12" s="1"/>
  <c r="AY35" i="3"/>
  <c r="AI26" i="3"/>
  <c r="AI25" i="3"/>
  <c r="Z26" i="3"/>
  <c r="Z25" i="3"/>
  <c r="Z24" i="3"/>
  <c r="AI24" i="3" s="1"/>
  <c r="Z23" i="3"/>
  <c r="AI23" i="3" s="1"/>
  <c r="Z22" i="3"/>
  <c r="AI22" i="3" s="1"/>
  <c r="Z21" i="3"/>
  <c r="AI21" i="3" s="1"/>
  <c r="Z20" i="3"/>
  <c r="AI20" i="3" s="1"/>
  <c r="Z19" i="3"/>
  <c r="AI19" i="3" s="1"/>
  <c r="Z18" i="3"/>
  <c r="AI18" i="3" s="1"/>
  <c r="Z17" i="3"/>
  <c r="AI17" i="3" s="1"/>
  <c r="Z16" i="3"/>
  <c r="AI16" i="3" s="1"/>
  <c r="Z15" i="3"/>
  <c r="AH39" i="13" l="1"/>
  <c r="AS39" i="13"/>
  <c r="AG39" i="13"/>
  <c r="U39" i="13"/>
  <c r="AR39" i="13"/>
  <c r="AF39" i="13"/>
  <c r="T39" i="13"/>
  <c r="AI39" i="13"/>
  <c r="K39" i="13"/>
  <c r="AT39" i="13"/>
  <c r="V39" i="13"/>
  <c r="AQ39" i="13"/>
  <c r="AE39" i="13"/>
  <c r="S39" i="13"/>
  <c r="AP39" i="13"/>
  <c r="AD39" i="13"/>
  <c r="R39" i="13"/>
  <c r="AK39" i="11"/>
  <c r="M39" i="11"/>
  <c r="AV39" i="11"/>
  <c r="AJ39" i="11"/>
  <c r="X39" i="11"/>
  <c r="L39" i="11"/>
  <c r="AW39" i="11"/>
  <c r="Y39" i="11"/>
  <c r="AU39" i="11"/>
  <c r="AI39" i="11"/>
  <c r="W39" i="11"/>
  <c r="K39" i="11"/>
  <c r="AS39" i="11"/>
  <c r="AG39" i="11"/>
  <c r="U39" i="11"/>
  <c r="AI15" i="3"/>
  <c r="AH46" i="3"/>
  <c r="AH45" i="3"/>
  <c r="AR45" i="3" s="1"/>
  <c r="AQ39" i="12"/>
  <c r="Q39" i="12"/>
  <c r="AW39" i="12"/>
  <c r="AO39" i="12"/>
  <c r="AN39" i="12"/>
  <c r="AM39" i="12"/>
  <c r="AL39" i="12"/>
  <c r="X39" i="12"/>
  <c r="AD39" i="12"/>
  <c r="AB39" i="12"/>
  <c r="N39" i="12"/>
  <c r="AI39" i="12"/>
  <c r="L39" i="12"/>
  <c r="S39" i="12"/>
  <c r="R39" i="12"/>
  <c r="P39" i="12"/>
  <c r="AA39" i="12"/>
  <c r="Z39" i="12"/>
  <c r="M39" i="12"/>
  <c r="AJ39" i="12"/>
  <c r="AT39" i="12"/>
  <c r="AH39" i="12"/>
  <c r="V39" i="12"/>
  <c r="J39" i="12"/>
  <c r="AP39" i="12"/>
  <c r="Y39" i="12"/>
  <c r="K39" i="12"/>
  <c r="AU39" i="12"/>
  <c r="AS39" i="12"/>
  <c r="AG39" i="12"/>
  <c r="U39" i="12"/>
  <c r="AE39" i="12"/>
  <c r="AC39" i="12"/>
  <c r="O39" i="12"/>
  <c r="AK39" i="12"/>
  <c r="AV39" i="12"/>
  <c r="W39" i="12"/>
  <c r="AR39" i="12"/>
  <c r="AF39" i="12"/>
  <c r="AW35" i="3"/>
  <c r="J35" i="3"/>
  <c r="K35" i="3"/>
  <c r="N35" i="3"/>
  <c r="AH44" i="3" l="1"/>
  <c r="AR44" i="3" s="1"/>
  <c r="AN120" i="3"/>
  <c r="AH181" i="3"/>
  <c r="Z129" i="3"/>
  <c r="J54" i="3"/>
  <c r="T35" i="3"/>
  <c r="X35" i="3"/>
  <c r="V35" i="3"/>
  <c r="Y35" i="3"/>
  <c r="Q35" i="3"/>
  <c r="R35" i="3"/>
  <c r="O35" i="3"/>
  <c r="M35" i="3"/>
  <c r="S35" i="3"/>
  <c r="W35" i="3"/>
  <c r="L35" i="3"/>
  <c r="P35" i="3"/>
  <c r="AR35" i="3"/>
  <c r="AV35" i="3"/>
  <c r="AP35" i="3"/>
  <c r="AH35" i="3"/>
  <c r="AB35" i="3"/>
  <c r="AI35" i="3"/>
  <c r="AG35" i="3"/>
  <c r="AF35" i="3"/>
  <c r="AJ35" i="3"/>
  <c r="AE35" i="3"/>
  <c r="AD35" i="3"/>
  <c r="AQ35" i="3"/>
  <c r="AN35" i="3"/>
  <c r="AT35" i="3"/>
  <c r="AM35" i="3"/>
  <c r="U35" i="3"/>
  <c r="AK35" i="3"/>
  <c r="AU35" i="3"/>
  <c r="AC35" i="3"/>
  <c r="AA35" i="3"/>
  <c r="AL35" i="3"/>
  <c r="Z35" i="3"/>
  <c r="AS35" i="3"/>
  <c r="AO35" i="3"/>
  <c r="Z56" i="3" l="1"/>
  <c r="Z57" i="3" s="1"/>
  <c r="V10" i="14" a="1"/>
  <c r="V10" i="14" s="1"/>
  <c r="E50" i="14" s="1"/>
  <c r="C50" i="14" s="1" a="1"/>
  <c r="C50" i="14" s="1"/>
  <c r="AN181" i="3"/>
  <c r="AT205" i="3"/>
  <c r="AT211" i="3"/>
  <c r="AT185" i="3"/>
  <c r="AT184" i="3"/>
  <c r="AT204" i="3"/>
  <c r="AT213" i="3"/>
  <c r="AT207" i="3"/>
  <c r="AT191" i="3"/>
  <c r="AT190" i="3"/>
  <c r="AT195" i="3"/>
  <c r="AT193" i="3"/>
  <c r="AT192" i="3"/>
  <c r="AT198" i="3"/>
  <c r="AT186" i="3"/>
  <c r="AT199" i="3"/>
  <c r="AT187" i="3"/>
  <c r="AT188" i="3"/>
  <c r="AT189" i="3"/>
  <c r="AT200" i="3"/>
  <c r="AT196" i="3"/>
  <c r="Z135" i="3"/>
  <c r="AH194" i="3"/>
  <c r="AE120" i="3"/>
  <c r="B169" i="3" s="1"/>
  <c r="N58" i="3"/>
  <c r="Z62" i="3" s="1"/>
  <c r="Z63" i="3" s="1"/>
  <c r="AH182" i="3"/>
  <c r="AO36" i="3"/>
  <c r="Z36" i="3"/>
  <c r="R36" i="3"/>
  <c r="AG36" i="3"/>
  <c r="AT36" i="3"/>
  <c r="N36" i="3"/>
  <c r="K36" i="3"/>
  <c r="AV36" i="3"/>
  <c r="AD36" i="3"/>
  <c r="AP36" i="3"/>
  <c r="AL36" i="3"/>
  <c r="AQ36" i="3"/>
  <c r="S36" i="3"/>
  <c r="O36" i="3"/>
  <c r="T36" i="3"/>
  <c r="AE36" i="3"/>
  <c r="AM36" i="3"/>
  <c r="AF36" i="3"/>
  <c r="AR36" i="3"/>
  <c r="P36" i="3"/>
  <c r="W36" i="3"/>
  <c r="U36" i="3"/>
  <c r="Q36" i="3"/>
  <c r="AU36" i="3"/>
  <c r="Y37" i="3"/>
  <c r="AB36" i="3"/>
  <c r="AS36" i="3"/>
  <c r="AI36" i="3"/>
  <c r="M36" i="3"/>
  <c r="AN36" i="3"/>
  <c r="J36" i="3"/>
  <c r="L36" i="3"/>
  <c r="Y36" i="3"/>
  <c r="AC36" i="3"/>
  <c r="V36" i="3"/>
  <c r="X36" i="3"/>
  <c r="AK36" i="3"/>
  <c r="AA36" i="3"/>
  <c r="AH36" i="3"/>
  <c r="AJ36" i="3"/>
  <c r="AW36" i="3"/>
  <c r="AT182" i="3" l="1"/>
  <c r="V11" i="14" a="1"/>
  <c r="V11" i="14" s="1"/>
  <c r="AN182" i="3"/>
  <c r="AT194" i="3"/>
  <c r="V23" i="14" a="1"/>
  <c r="V23" i="14" s="1"/>
  <c r="AN194" i="3"/>
  <c r="AH183" i="3"/>
  <c r="Z161" i="3"/>
  <c r="AH210" i="3" s="1"/>
  <c r="Z160" i="3"/>
  <c r="AH209" i="3" s="1"/>
  <c r="Z159" i="3"/>
  <c r="AH208" i="3" s="1"/>
  <c r="AP148" i="3"/>
  <c r="Z148" i="3"/>
  <c r="AH203" i="3" s="1"/>
  <c r="Z147" i="3"/>
  <c r="Z146" i="3"/>
  <c r="B120" i="3"/>
  <c r="AD37" i="3"/>
  <c r="AC37" i="3"/>
  <c r="AM37" i="3"/>
  <c r="P37" i="3"/>
  <c r="AT37" i="3"/>
  <c r="AL37" i="3"/>
  <c r="X37" i="3"/>
  <c r="AJ37" i="3"/>
  <c r="AV37" i="3"/>
  <c r="W37" i="3"/>
  <c r="AN37" i="3"/>
  <c r="AH37" i="3"/>
  <c r="AI37" i="3"/>
  <c r="AE37" i="3"/>
  <c r="AU37" i="3"/>
  <c r="U37" i="3"/>
  <c r="AK37" i="3"/>
  <c r="M37" i="3"/>
  <c r="AG37" i="3"/>
  <c r="Z37" i="3"/>
  <c r="AW37" i="3"/>
  <c r="O37" i="3"/>
  <c r="S37" i="3"/>
  <c r="AA37" i="3"/>
  <c r="AQ37" i="3"/>
  <c r="V37" i="3"/>
  <c r="AB37" i="3"/>
  <c r="AR37" i="3"/>
  <c r="L37" i="3"/>
  <c r="Q37" i="3"/>
  <c r="N37" i="3"/>
  <c r="AO37" i="3"/>
  <c r="T37" i="3"/>
  <c r="AS37" i="3"/>
  <c r="J37" i="3"/>
  <c r="R37" i="3"/>
  <c r="AF37" i="3"/>
  <c r="K37" i="3"/>
  <c r="AP37" i="3"/>
  <c r="AN203" i="3" l="1"/>
  <c r="AT203" i="3"/>
  <c r="V32" i="14" a="1"/>
  <c r="V32" i="14" s="1"/>
  <c r="AT210" i="3"/>
  <c r="AN210" i="3"/>
  <c r="V39" i="14" a="1"/>
  <c r="V39" i="14" s="1"/>
  <c r="AN209" i="3"/>
  <c r="V38" i="14" a="1"/>
  <c r="V38" i="14" s="1"/>
  <c r="AT209" i="3"/>
  <c r="V12" i="14" a="1"/>
  <c r="V12" i="14" s="1"/>
  <c r="E51" i="14" s="1"/>
  <c r="C51" i="14" s="1" a="1"/>
  <c r="C51" i="14" s="1"/>
  <c r="AT183" i="3"/>
  <c r="AN183" i="3"/>
  <c r="V37" i="14" a="1"/>
  <c r="V37" i="14" s="1"/>
  <c r="AT208" i="3"/>
  <c r="AN208" i="3"/>
  <c r="L120" i="3"/>
  <c r="L169" i="3"/>
  <c r="AH201" i="3"/>
  <c r="U169" i="3"/>
  <c r="AH202" i="3"/>
  <c r="Z164" i="3"/>
  <c r="AP149" i="3"/>
  <c r="AP150" i="3"/>
  <c r="AP151" i="3" s="1"/>
  <c r="Z154" i="3"/>
  <c r="AN127" i="3"/>
  <c r="AW38" i="3"/>
  <c r="U38" i="3"/>
  <c r="AE38" i="3"/>
  <c r="AH38" i="3"/>
  <c r="AR38" i="3"/>
  <c r="AT38" i="3"/>
  <c r="AG38" i="3"/>
  <c r="AK38" i="3"/>
  <c r="AL38" i="3"/>
  <c r="L38" i="3"/>
  <c r="V38" i="3"/>
  <c r="N38" i="3"/>
  <c r="Z38" i="3"/>
  <c r="AQ38" i="3"/>
  <c r="AU38" i="3"/>
  <c r="AA38" i="3"/>
  <c r="AJ38" i="3"/>
  <c r="R38" i="3"/>
  <c r="X38" i="3"/>
  <c r="AM38" i="3"/>
  <c r="O38" i="3"/>
  <c r="K39" i="3"/>
  <c r="K38" i="3"/>
  <c r="S38" i="3"/>
  <c r="AI38" i="3"/>
  <c r="W38" i="3"/>
  <c r="AP38" i="3"/>
  <c r="P38" i="3"/>
  <c r="T38" i="3"/>
  <c r="M38" i="3"/>
  <c r="AB38" i="3"/>
  <c r="AC38" i="3"/>
  <c r="AD38" i="3"/>
  <c r="AS38" i="3"/>
  <c r="J38" i="3"/>
  <c r="AV38" i="3"/>
  <c r="Q38" i="3"/>
  <c r="AF38" i="3"/>
  <c r="Y38" i="3"/>
  <c r="AN38" i="3"/>
  <c r="AO38" i="3"/>
  <c r="V31" i="14" l="1" a="1"/>
  <c r="V31" i="14" s="1"/>
  <c r="AT202" i="3"/>
  <c r="AN202" i="3"/>
  <c r="E56" i="14"/>
  <c r="C56" i="14" s="1" a="1"/>
  <c r="C56" i="14" s="1"/>
  <c r="V30" i="14" a="1"/>
  <c r="V30" i="14" s="1"/>
  <c r="AT201" i="3"/>
  <c r="AN201" i="3"/>
  <c r="U172" i="3"/>
  <c r="AH212" i="3" s="1"/>
  <c r="AN126" i="3"/>
  <c r="AH197" i="3"/>
  <c r="AH206" i="3"/>
  <c r="AM39" i="3"/>
  <c r="T39" i="3"/>
  <c r="P39" i="3"/>
  <c r="AK39" i="3"/>
  <c r="AG39" i="3"/>
  <c r="S39" i="3"/>
  <c r="W39" i="3"/>
  <c r="L39" i="3"/>
  <c r="X39" i="3"/>
  <c r="AB39" i="3"/>
  <c r="AW39" i="3"/>
  <c r="AS39" i="3"/>
  <c r="AI39" i="3"/>
  <c r="AN39" i="3"/>
  <c r="AO39" i="3"/>
  <c r="O39" i="3"/>
  <c r="V39" i="3"/>
  <c r="AL39" i="3"/>
  <c r="AU39" i="3"/>
  <c r="AE39" i="3"/>
  <c r="M39" i="3"/>
  <c r="Y39" i="3"/>
  <c r="U39" i="3"/>
  <c r="AJ39" i="3"/>
  <c r="AV39" i="3"/>
  <c r="J39" i="3"/>
  <c r="AP39" i="3"/>
  <c r="AC39" i="3"/>
  <c r="AR39" i="3"/>
  <c r="AH39" i="3"/>
  <c r="AD39" i="3"/>
  <c r="N39" i="3"/>
  <c r="AT39" i="3"/>
  <c r="AQ39" i="3"/>
  <c r="AA39" i="3"/>
  <c r="Z39" i="3"/>
  <c r="AF39" i="3"/>
  <c r="R39" i="3"/>
  <c r="Q39" i="3"/>
  <c r="AT212" i="3" l="1"/>
  <c r="AN212" i="3"/>
  <c r="V41" i="14" a="1"/>
  <c r="V41" i="14" s="1"/>
  <c r="E57" i="14" s="1"/>
  <c r="C57" i="14" s="1" a="1"/>
  <c r="C57" i="14" s="1"/>
  <c r="AT206" i="3"/>
  <c r="V35" i="14" a="1"/>
  <c r="V35" i="14" s="1"/>
  <c r="AN206" i="3"/>
  <c r="AN197" i="3"/>
  <c r="AT197" i="3"/>
  <c r="V26" i="14" a="1"/>
  <c r="V26" i="14" s="1"/>
  <c r="E53" i="14" s="1"/>
  <c r="C53" i="14" s="1" a="1"/>
  <c r="C53" i="14" s="1"/>
  <c r="E55" i="14"/>
  <c r="C55" i="14" s="1" a="1"/>
  <c r="C55" i="14" s="1"/>
  <c r="AW49" i="9"/>
  <c r="AV49" i="9"/>
  <c r="AU49" i="9"/>
  <c r="AT49" i="9"/>
  <c r="AS49" i="9"/>
  <c r="AR49" i="9"/>
  <c r="AQ49" i="9"/>
  <c r="AP49" i="9"/>
  <c r="AO49" i="9"/>
  <c r="AN49" i="9"/>
  <c r="AM49" i="9"/>
  <c r="AL49" i="9"/>
  <c r="AW47" i="9"/>
  <c r="AV47" i="9"/>
  <c r="AU47" i="9"/>
  <c r="AT47" i="9"/>
  <c r="AS47" i="9"/>
  <c r="AR47" i="9"/>
  <c r="AQ47" i="9"/>
  <c r="AP47" i="9"/>
  <c r="AO47" i="9"/>
  <c r="AN47" i="9"/>
  <c r="AM47" i="9"/>
  <c r="AL47" i="9"/>
  <c r="AW45" i="9"/>
  <c r="AV45" i="9"/>
  <c r="AU45" i="9"/>
  <c r="AT45" i="9"/>
  <c r="AS45" i="9"/>
  <c r="AR45" i="9"/>
  <c r="AQ45" i="9"/>
  <c r="AP45" i="9"/>
  <c r="AO45" i="9"/>
  <c r="AN45" i="9"/>
  <c r="AM45" i="9"/>
  <c r="AL45" i="9"/>
  <c r="AW43" i="9"/>
  <c r="AV43" i="9"/>
  <c r="AU43" i="9"/>
  <c r="AT43" i="9"/>
  <c r="AS43" i="9"/>
  <c r="AR43" i="9"/>
  <c r="AQ43" i="9"/>
  <c r="AP43" i="9"/>
  <c r="AO43" i="9"/>
  <c r="AN43" i="9"/>
  <c r="AM43" i="9"/>
  <c r="AL43" i="9"/>
  <c r="AW41" i="9"/>
  <c r="AV41" i="9"/>
  <c r="AU41" i="9"/>
  <c r="AT41" i="9"/>
  <c r="AS41" i="9"/>
  <c r="AR41" i="9"/>
  <c r="AQ41" i="9"/>
  <c r="AP41" i="9"/>
  <c r="AO41" i="9"/>
  <c r="AN41" i="9"/>
  <c r="AM41" i="9"/>
  <c r="AL41" i="9"/>
  <c r="AW39" i="9"/>
  <c r="AV39" i="9"/>
  <c r="AU39" i="9"/>
  <c r="AT39" i="9"/>
  <c r="AS39" i="9"/>
  <c r="AR39" i="9"/>
  <c r="AQ39" i="9"/>
  <c r="AP39" i="9"/>
  <c r="AO39" i="9"/>
  <c r="AN39" i="9"/>
  <c r="AM39" i="9"/>
  <c r="AL39" i="9"/>
  <c r="AW37" i="9"/>
  <c r="AV37" i="9"/>
  <c r="AU37" i="9"/>
  <c r="AT37" i="9"/>
  <c r="AS37" i="9"/>
  <c r="AR37" i="9"/>
  <c r="AQ37" i="9"/>
  <c r="AP37" i="9"/>
  <c r="AO37" i="9"/>
  <c r="AN37" i="9"/>
  <c r="AM37" i="9"/>
  <c r="AL37" i="9"/>
  <c r="AW35" i="9"/>
  <c r="AV35" i="9"/>
  <c r="AU35" i="9"/>
  <c r="AT35" i="9"/>
  <c r="AS35" i="9"/>
  <c r="AR35" i="9"/>
  <c r="AQ35" i="9"/>
  <c r="AP35" i="9"/>
  <c r="AO35" i="9"/>
  <c r="AN35" i="9"/>
  <c r="AM35" i="9"/>
  <c r="AL35" i="9"/>
  <c r="AW33" i="9"/>
  <c r="AV33" i="9"/>
  <c r="AU33" i="9"/>
  <c r="AT33" i="9"/>
  <c r="AS33" i="9"/>
  <c r="AR33" i="9"/>
  <c r="AQ33" i="9"/>
  <c r="AP33" i="9"/>
  <c r="AO33" i="9"/>
  <c r="AN33" i="9"/>
  <c r="AM33" i="9"/>
  <c r="AL33" i="9"/>
  <c r="AW31" i="9"/>
  <c r="AV31" i="9"/>
  <c r="AU31" i="9"/>
  <c r="AT31" i="9"/>
  <c r="AS31" i="9"/>
  <c r="AR31" i="9"/>
  <c r="AQ31" i="9"/>
  <c r="AP31" i="9"/>
  <c r="AO31" i="9"/>
  <c r="AN31" i="9"/>
  <c r="AM31" i="9"/>
  <c r="AL31" i="9"/>
  <c r="AW29" i="9"/>
  <c r="AV29" i="9"/>
  <c r="AU29" i="9"/>
  <c r="AT29" i="9"/>
  <c r="AS29" i="9"/>
  <c r="AR29" i="9"/>
  <c r="AQ29" i="9"/>
  <c r="AP29" i="9"/>
  <c r="AO29" i="9"/>
  <c r="AN29" i="9"/>
  <c r="AM29" i="9"/>
  <c r="AL29" i="9"/>
  <c r="AW27" i="9"/>
  <c r="AV27" i="9"/>
  <c r="AU27" i="9"/>
  <c r="AT27" i="9"/>
  <c r="AS27" i="9"/>
  <c r="AR27" i="9"/>
  <c r="AQ27" i="9"/>
  <c r="AP27" i="9"/>
  <c r="AO27" i="9"/>
  <c r="AN27" i="9"/>
  <c r="AM27" i="9"/>
  <c r="AL27" i="9"/>
  <c r="AW25" i="9"/>
  <c r="AV25" i="9"/>
  <c r="AU25" i="9"/>
  <c r="AT25" i="9"/>
  <c r="AS25" i="9"/>
  <c r="AR25" i="9"/>
  <c r="AQ25" i="9"/>
  <c r="AP25" i="9"/>
  <c r="AO25" i="9"/>
  <c r="AN25" i="9"/>
  <c r="AM25" i="9"/>
  <c r="AL25" i="9"/>
  <c r="AW23" i="9"/>
  <c r="AV23" i="9"/>
  <c r="AU23" i="9"/>
  <c r="AT23" i="9"/>
  <c r="AS23" i="9"/>
  <c r="AR23" i="9"/>
  <c r="AQ23" i="9"/>
  <c r="AP23" i="9"/>
  <c r="AO23" i="9"/>
  <c r="AN23" i="9"/>
  <c r="AM23" i="9"/>
  <c r="AL23" i="9"/>
  <c r="AW21" i="9"/>
  <c r="AV21" i="9"/>
  <c r="AU21" i="9"/>
  <c r="AT21" i="9"/>
  <c r="AS21" i="9"/>
  <c r="AR21" i="9"/>
  <c r="AQ21" i="9"/>
  <c r="AP21" i="9"/>
  <c r="AO21" i="9"/>
  <c r="AN21" i="9"/>
  <c r="AM21" i="9"/>
  <c r="AL21" i="9"/>
  <c r="AW19" i="9"/>
  <c r="AV19" i="9"/>
  <c r="AU19" i="9"/>
  <c r="AT19" i="9"/>
  <c r="AS19" i="9"/>
  <c r="AR19" i="9"/>
  <c r="AQ19" i="9"/>
  <c r="AP19" i="9"/>
  <c r="AO19" i="9"/>
  <c r="AN19" i="9"/>
  <c r="AM19" i="9"/>
  <c r="AL19" i="9"/>
  <c r="AW17" i="9"/>
  <c r="AV17" i="9"/>
  <c r="AU17" i="9"/>
  <c r="AT17" i="9"/>
  <c r="AS17" i="9"/>
  <c r="AR17" i="9"/>
  <c r="AQ17" i="9"/>
  <c r="AP17" i="9"/>
  <c r="AO17" i="9"/>
  <c r="AN17" i="9"/>
  <c r="AM17" i="9"/>
  <c r="AL17" i="9"/>
  <c r="AW15" i="9"/>
  <c r="AV15" i="9"/>
  <c r="AU15" i="9"/>
  <c r="AT15" i="9"/>
  <c r="AS15" i="9"/>
  <c r="AR15" i="9"/>
  <c r="AQ15" i="9"/>
  <c r="AP15" i="9"/>
  <c r="AO15" i="9"/>
  <c r="AN15" i="9"/>
  <c r="AM15" i="9"/>
  <c r="AL15" i="9"/>
  <c r="AW13" i="9"/>
  <c r="AV13" i="9"/>
  <c r="AU13" i="9"/>
  <c r="AT13" i="9"/>
  <c r="AS13" i="9"/>
  <c r="AR13" i="9"/>
  <c r="AQ13" i="9"/>
  <c r="AP13" i="9"/>
  <c r="AO13" i="9"/>
  <c r="AN13" i="9"/>
  <c r="AM13" i="9"/>
  <c r="AL13" i="9"/>
  <c r="AD49" i="9"/>
  <c r="AC49" i="9"/>
  <c r="AB49" i="9"/>
  <c r="AA49" i="9"/>
  <c r="Z49" i="9"/>
  <c r="Y49" i="9"/>
  <c r="X49" i="9"/>
  <c r="W49" i="9"/>
  <c r="V49" i="9"/>
  <c r="U49" i="9"/>
  <c r="T49" i="9"/>
  <c r="S49" i="9"/>
  <c r="AD47" i="9"/>
  <c r="AC47" i="9"/>
  <c r="AB47" i="9"/>
  <c r="AA47" i="9"/>
  <c r="Z47" i="9"/>
  <c r="Y47" i="9"/>
  <c r="X47" i="9"/>
  <c r="W47" i="9"/>
  <c r="V47" i="9"/>
  <c r="U47" i="9"/>
  <c r="T47" i="9"/>
  <c r="S47" i="9"/>
  <c r="AD45" i="9"/>
  <c r="AC45" i="9"/>
  <c r="AB45" i="9"/>
  <c r="AA45" i="9"/>
  <c r="Z45" i="9"/>
  <c r="Y45" i="9"/>
  <c r="X45" i="9"/>
  <c r="W45" i="9"/>
  <c r="V45" i="9"/>
  <c r="U45" i="9"/>
  <c r="T45" i="9"/>
  <c r="S45" i="9"/>
  <c r="AD43" i="9"/>
  <c r="AC43" i="9"/>
  <c r="AB43" i="9"/>
  <c r="AA43" i="9"/>
  <c r="Z43" i="9"/>
  <c r="Y43" i="9"/>
  <c r="X43" i="9"/>
  <c r="W43" i="9"/>
  <c r="V43" i="9"/>
  <c r="U43" i="9"/>
  <c r="T43" i="9"/>
  <c r="S43" i="9"/>
  <c r="AD41" i="9"/>
  <c r="AC41" i="9"/>
  <c r="AB41" i="9"/>
  <c r="AA41" i="9"/>
  <c r="Z41" i="9"/>
  <c r="Y41" i="9"/>
  <c r="X41" i="9"/>
  <c r="W41" i="9"/>
  <c r="V41" i="9"/>
  <c r="U41" i="9"/>
  <c r="T41" i="9"/>
  <c r="S41" i="9"/>
  <c r="AD39" i="9"/>
  <c r="AC39" i="9"/>
  <c r="AB39" i="9"/>
  <c r="AA39" i="9"/>
  <c r="Z39" i="9"/>
  <c r="Y39" i="9"/>
  <c r="X39" i="9"/>
  <c r="W39" i="9"/>
  <c r="V39" i="9"/>
  <c r="U39" i="9"/>
  <c r="T39" i="9"/>
  <c r="S39" i="9"/>
  <c r="AD37" i="9"/>
  <c r="AC37" i="9"/>
  <c r="AB37" i="9"/>
  <c r="AA37" i="9"/>
  <c r="Z37" i="9"/>
  <c r="Y37" i="9"/>
  <c r="X37" i="9"/>
  <c r="W37" i="9"/>
  <c r="V37" i="9"/>
  <c r="U37" i="9"/>
  <c r="T37" i="9"/>
  <c r="S37" i="9"/>
  <c r="AD35" i="9"/>
  <c r="AC35" i="9"/>
  <c r="AB35" i="9"/>
  <c r="AA35" i="9"/>
  <c r="Z35" i="9"/>
  <c r="Y35" i="9"/>
  <c r="X35" i="9"/>
  <c r="W35" i="9"/>
  <c r="V35" i="9"/>
  <c r="U35" i="9"/>
  <c r="T35" i="9"/>
  <c r="S35" i="9"/>
  <c r="AD33" i="9"/>
  <c r="AC33" i="9"/>
  <c r="AB33" i="9"/>
  <c r="AA33" i="9"/>
  <c r="Z33" i="9"/>
  <c r="Y33" i="9"/>
  <c r="X33" i="9"/>
  <c r="W33" i="9"/>
  <c r="V33" i="9"/>
  <c r="U33" i="9"/>
  <c r="T33" i="9"/>
  <c r="S33" i="9"/>
  <c r="AD31" i="9"/>
  <c r="AC31" i="9"/>
  <c r="AB31" i="9"/>
  <c r="AA31" i="9"/>
  <c r="Z31" i="9"/>
  <c r="Y31" i="9"/>
  <c r="X31" i="9"/>
  <c r="W31" i="9"/>
  <c r="V31" i="9"/>
  <c r="U31" i="9"/>
  <c r="T31" i="9"/>
  <c r="S31" i="9"/>
  <c r="AD29" i="9"/>
  <c r="AC29" i="9"/>
  <c r="AB29" i="9"/>
  <c r="AA29" i="9"/>
  <c r="Z29" i="9"/>
  <c r="Y29" i="9"/>
  <c r="X29" i="9"/>
  <c r="W29" i="9"/>
  <c r="V29" i="9"/>
  <c r="U29" i="9"/>
  <c r="T29" i="9"/>
  <c r="S29" i="9"/>
  <c r="AD27" i="9"/>
  <c r="AC27" i="9"/>
  <c r="AB27" i="9"/>
  <c r="AA27" i="9"/>
  <c r="Z27" i="9"/>
  <c r="Y27" i="9"/>
  <c r="X27" i="9"/>
  <c r="W27" i="9"/>
  <c r="V27" i="9"/>
  <c r="U27" i="9"/>
  <c r="T27" i="9"/>
  <c r="S27" i="9"/>
  <c r="AD25" i="9"/>
  <c r="AC25" i="9"/>
  <c r="AB25" i="9"/>
  <c r="AA25" i="9"/>
  <c r="Z25" i="9"/>
  <c r="Y25" i="9"/>
  <c r="X25" i="9"/>
  <c r="W25" i="9"/>
  <c r="V25" i="9"/>
  <c r="U25" i="9"/>
  <c r="T25" i="9"/>
  <c r="S25" i="9"/>
  <c r="AD23" i="9"/>
  <c r="AC23" i="9"/>
  <c r="AB23" i="9"/>
  <c r="AA23" i="9"/>
  <c r="Z23" i="9"/>
  <c r="Y23" i="9"/>
  <c r="X23" i="9"/>
  <c r="W23" i="9"/>
  <c r="V23" i="9"/>
  <c r="U23" i="9"/>
  <c r="T23" i="9"/>
  <c r="S23" i="9"/>
  <c r="AD21" i="9"/>
  <c r="AC21" i="9"/>
  <c r="AB21" i="9"/>
  <c r="AA21" i="9"/>
  <c r="Z21" i="9"/>
  <c r="Y21" i="9"/>
  <c r="X21" i="9"/>
  <c r="W21" i="9"/>
  <c r="V21" i="9"/>
  <c r="U21" i="9"/>
  <c r="T21" i="9"/>
  <c r="S21" i="9"/>
  <c r="AD19" i="9"/>
  <c r="AC19" i="9"/>
  <c r="AB19" i="9"/>
  <c r="AA19" i="9"/>
  <c r="Z19" i="9"/>
  <c r="Y19" i="9"/>
  <c r="X19" i="9"/>
  <c r="W19" i="9"/>
  <c r="V19" i="9"/>
  <c r="U19" i="9"/>
  <c r="T19" i="9"/>
  <c r="S19" i="9"/>
  <c r="AD17" i="9"/>
  <c r="AC17" i="9"/>
  <c r="AB17" i="9"/>
  <c r="AA17" i="9"/>
  <c r="Z17" i="9"/>
  <c r="Y17" i="9"/>
  <c r="X17" i="9"/>
  <c r="W17" i="9"/>
  <c r="V17" i="9"/>
  <c r="U17" i="9"/>
  <c r="T17" i="9"/>
  <c r="S17" i="9"/>
  <c r="AD15" i="9"/>
  <c r="AC15" i="9"/>
  <c r="AB15" i="9"/>
  <c r="AA15" i="9"/>
  <c r="Z15" i="9"/>
  <c r="Y15" i="9"/>
  <c r="X15" i="9"/>
  <c r="W15" i="9"/>
  <c r="V15" i="9"/>
  <c r="U15" i="9"/>
  <c r="T15" i="9"/>
  <c r="S15" i="9"/>
  <c r="AD13" i="9"/>
  <c r="AC13" i="9"/>
  <c r="AB13" i="9"/>
  <c r="AA13" i="9"/>
  <c r="Z13" i="9"/>
  <c r="Y13" i="9"/>
  <c r="X13" i="9"/>
  <c r="W13" i="9"/>
  <c r="V13" i="9"/>
  <c r="U13" i="9"/>
  <c r="T13" i="9"/>
  <c r="S13" i="9"/>
  <c r="AN214" i="3" l="1"/>
  <c r="V43" i="14" a="1"/>
  <c r="V43" i="14" s="1"/>
  <c r="AT214" i="3"/>
  <c r="AW11" i="9"/>
  <c r="AV11" i="9"/>
  <c r="AU11" i="9"/>
  <c r="AT11" i="9"/>
  <c r="AS11" i="9"/>
  <c r="AR11" i="9"/>
  <c r="AQ11" i="9"/>
  <c r="AP11" i="9"/>
  <c r="AO11" i="9"/>
  <c r="AN11" i="9"/>
  <c r="AM11" i="9"/>
  <c r="AL11" i="9"/>
  <c r="AW9" i="9"/>
  <c r="BX30" i="9" s="1"/>
  <c r="AV9" i="9"/>
  <c r="BW30" i="9" s="1"/>
  <c r="AU9" i="9"/>
  <c r="BV30" i="9" s="1"/>
  <c r="AT9" i="9"/>
  <c r="BU30" i="9" s="1"/>
  <c r="AS9" i="9"/>
  <c r="BT30" i="9" s="1"/>
  <c r="AR9" i="9"/>
  <c r="BS30" i="9" s="1"/>
  <c r="AQ9" i="9"/>
  <c r="BR30" i="9" s="1"/>
  <c r="AP9" i="9"/>
  <c r="BQ30" i="9" s="1"/>
  <c r="AO9" i="9"/>
  <c r="BP30" i="9" s="1"/>
  <c r="AN9" i="9"/>
  <c r="BO30" i="9" s="1"/>
  <c r="AM9" i="9"/>
  <c r="BN30" i="9" s="1"/>
  <c r="AL9" i="9"/>
  <c r="BM30" i="9" s="1"/>
  <c r="AT7" i="9"/>
  <c r="AN7" i="9"/>
  <c r="AH7" i="9"/>
  <c r="E58" i="14" l="1"/>
  <c r="C58" i="14" s="1" a="1"/>
  <c r="C58" i="14" s="1"/>
  <c r="V44" i="14"/>
  <c r="T11" i="9"/>
  <c r="U11" i="9"/>
  <c r="V11" i="9"/>
  <c r="W11" i="9"/>
  <c r="X11" i="9"/>
  <c r="Y11" i="9"/>
  <c r="Z11" i="9"/>
  <c r="AA11" i="9"/>
  <c r="AB11" i="9"/>
  <c r="AC11" i="9"/>
  <c r="AD11" i="9"/>
  <c r="S11" i="9"/>
  <c r="AA7" i="9"/>
  <c r="U7" i="9"/>
  <c r="O7" i="9"/>
  <c r="J7" i="9"/>
  <c r="G7" i="9"/>
  <c r="C7" i="9"/>
  <c r="F49" i="9"/>
  <c r="F47" i="9"/>
  <c r="G47" i="9" s="1"/>
  <c r="F45" i="9"/>
  <c r="F43" i="9"/>
  <c r="F41" i="9"/>
  <c r="F39" i="9"/>
  <c r="F37" i="9"/>
  <c r="F35" i="9"/>
  <c r="F33" i="9"/>
  <c r="F31" i="9"/>
  <c r="F29" i="9"/>
  <c r="F27" i="9"/>
  <c r="F25" i="9"/>
  <c r="F23" i="9"/>
  <c r="F21" i="9"/>
  <c r="F19" i="9"/>
  <c r="F17" i="9"/>
  <c r="F15" i="9"/>
  <c r="F13" i="9"/>
  <c r="F11" i="9"/>
  <c r="D49" i="9"/>
  <c r="C49" i="9"/>
  <c r="O49" i="9" s="1"/>
  <c r="AH49" i="9" s="1"/>
  <c r="D47" i="9"/>
  <c r="C47" i="9"/>
  <c r="O47" i="9" s="1"/>
  <c r="AH47" i="9" s="1"/>
  <c r="D45" i="9"/>
  <c r="C45" i="9"/>
  <c r="O45" i="9" s="1"/>
  <c r="AH45" i="9" s="1"/>
  <c r="D43" i="9"/>
  <c r="C43" i="9"/>
  <c r="O43" i="9" s="1"/>
  <c r="AH43" i="9" s="1"/>
  <c r="D41" i="9"/>
  <c r="G41" i="9" s="1"/>
  <c r="C41" i="9"/>
  <c r="O41" i="9" s="1"/>
  <c r="AH41" i="9" s="1"/>
  <c r="D39" i="9"/>
  <c r="C39" i="9"/>
  <c r="O39" i="9" s="1"/>
  <c r="AH39" i="9" s="1"/>
  <c r="D37" i="9"/>
  <c r="G37" i="9" s="1"/>
  <c r="C37" i="9"/>
  <c r="O37" i="9" s="1"/>
  <c r="AH37" i="9" s="1"/>
  <c r="D35" i="9"/>
  <c r="C35" i="9"/>
  <c r="O35" i="9" s="1"/>
  <c r="AH35" i="9" s="1"/>
  <c r="D33" i="9"/>
  <c r="C33" i="9"/>
  <c r="O33" i="9" s="1"/>
  <c r="AH33" i="9" s="1"/>
  <c r="D31" i="9"/>
  <c r="C31" i="9"/>
  <c r="O31" i="9" s="1"/>
  <c r="AH31" i="9" s="1"/>
  <c r="D29" i="9"/>
  <c r="C29" i="9"/>
  <c r="O29" i="9" s="1"/>
  <c r="AH29" i="9" s="1"/>
  <c r="D27" i="9"/>
  <c r="C27" i="9"/>
  <c r="O27" i="9" s="1"/>
  <c r="AH27" i="9" s="1"/>
  <c r="D25" i="9"/>
  <c r="C25" i="9"/>
  <c r="O25" i="9" s="1"/>
  <c r="AH25" i="9" s="1"/>
  <c r="D23" i="9"/>
  <c r="C23" i="9"/>
  <c r="O23" i="9" s="1"/>
  <c r="AH23" i="9" s="1"/>
  <c r="D21" i="9"/>
  <c r="C21" i="9"/>
  <c r="O21" i="9" s="1"/>
  <c r="AH21" i="9" s="1"/>
  <c r="D19" i="9"/>
  <c r="C19" i="9"/>
  <c r="O19" i="9" s="1"/>
  <c r="AH19" i="9" s="1"/>
  <c r="D17" i="9"/>
  <c r="G17" i="9" s="1"/>
  <c r="C17" i="9"/>
  <c r="O17" i="9" s="1"/>
  <c r="AH17" i="9" s="1"/>
  <c r="D15" i="9"/>
  <c r="C15" i="9"/>
  <c r="O15" i="9" s="1"/>
  <c r="AH15" i="9" s="1"/>
  <c r="D13" i="9"/>
  <c r="C13" i="9"/>
  <c r="O13" i="9" s="1"/>
  <c r="AH13" i="9" s="1"/>
  <c r="D11" i="9"/>
  <c r="C11" i="9"/>
  <c r="O11" i="9" s="1"/>
  <c r="AH11" i="9" s="1"/>
  <c r="AC9" i="9"/>
  <c r="BK30" i="9" s="1"/>
  <c r="AD9" i="9"/>
  <c r="BL30" i="9" s="1"/>
  <c r="T9" i="9"/>
  <c r="BB30" i="9" s="1"/>
  <c r="U9" i="9"/>
  <c r="BC30" i="9" s="1"/>
  <c r="V9" i="9"/>
  <c r="BD30" i="9" s="1"/>
  <c r="W9" i="9"/>
  <c r="BE30" i="9" s="1"/>
  <c r="X9" i="9"/>
  <c r="BF30" i="9" s="1"/>
  <c r="Y9" i="9"/>
  <c r="BG30" i="9" s="1"/>
  <c r="Z9" i="9"/>
  <c r="BH30" i="9" s="1"/>
  <c r="AA9" i="9"/>
  <c r="BI30" i="9" s="1"/>
  <c r="AB9" i="9"/>
  <c r="BJ30" i="9" s="1"/>
  <c r="S9" i="9"/>
  <c r="BA30" i="9" s="1"/>
  <c r="G21" i="9" l="1"/>
  <c r="G45" i="9"/>
  <c r="G13" i="9"/>
  <c r="G25" i="9"/>
  <c r="G49" i="9"/>
  <c r="G43" i="9"/>
  <c r="G23" i="9"/>
  <c r="G35" i="9"/>
  <c r="G19" i="9"/>
  <c r="G15" i="9"/>
  <c r="G39" i="9"/>
  <c r="G29" i="9"/>
  <c r="G31" i="9"/>
  <c r="G33" i="9"/>
  <c r="G27" i="9"/>
  <c r="I52" i="9"/>
  <c r="G11" i="9"/>
  <c r="I33" i="9" l="1"/>
  <c r="P33" i="9" l="1"/>
  <c r="AI33" i="9" s="1"/>
  <c r="I47" i="9"/>
  <c r="I11" i="9"/>
  <c r="I13" i="9"/>
  <c r="I17" i="9"/>
  <c r="I15" i="9"/>
  <c r="I45" i="9" l="1"/>
  <c r="I31" i="9"/>
  <c r="I35" i="9"/>
  <c r="P47" i="9"/>
  <c r="AI47" i="9" s="1"/>
  <c r="I41" i="9"/>
  <c r="I25" i="9"/>
  <c r="P11" i="9"/>
  <c r="AI11" i="9" s="1"/>
  <c r="I19" i="9"/>
  <c r="I39" i="9"/>
  <c r="P13" i="9"/>
  <c r="AI13" i="9" s="1"/>
  <c r="I43" i="9"/>
  <c r="Y20" i="9"/>
  <c r="I27" i="9"/>
  <c r="P15" i="9"/>
  <c r="AI15" i="9" s="1"/>
  <c r="P17" i="9"/>
  <c r="AI17" i="9" s="1"/>
  <c r="I29" i="9"/>
  <c r="C3" i="1" a="1"/>
  <c r="C3" i="1" s="1"/>
  <c r="D3" i="1" a="1"/>
  <c r="D3" i="1" s="1"/>
  <c r="C4" i="1" a="1"/>
  <c r="C4" i="1" s="1"/>
  <c r="D4" i="1" a="1"/>
  <c r="D4" i="1" s="1"/>
  <c r="C5" i="1" a="1"/>
  <c r="C5" i="1" s="1"/>
  <c r="D5" i="1" a="1"/>
  <c r="D5" i="1"/>
  <c r="C6" i="1" a="1"/>
  <c r="C6" i="1" s="1"/>
  <c r="D6" i="1" a="1"/>
  <c r="D6" i="1" s="1"/>
  <c r="C7" i="1" a="1"/>
  <c r="C7" i="1" s="1"/>
  <c r="D7" i="1" a="1"/>
  <c r="D7" i="1" s="1"/>
  <c r="C8" i="1" a="1"/>
  <c r="C8" i="1" s="1"/>
  <c r="D8" i="1" a="1"/>
  <c r="D8" i="1"/>
  <c r="C9" i="1" a="1"/>
  <c r="C9" i="1" s="1"/>
  <c r="D9" i="1" a="1"/>
  <c r="D9" i="1" s="1"/>
  <c r="C10" i="1" a="1"/>
  <c r="C10" i="1" s="1"/>
  <c r="D10" i="1" a="1"/>
  <c r="D10" i="1" s="1"/>
  <c r="C11" i="1" a="1"/>
  <c r="C11" i="1" s="1"/>
  <c r="D11" i="1" a="1"/>
  <c r="D11" i="1"/>
  <c r="C12" i="1" a="1"/>
  <c r="C12" i="1" s="1"/>
  <c r="D12" i="1" a="1"/>
  <c r="D12" i="1" s="1"/>
  <c r="C13" i="1" a="1"/>
  <c r="C13" i="1" s="1"/>
  <c r="D13" i="1" a="1"/>
  <c r="D13" i="1" s="1"/>
  <c r="C14" i="1" a="1"/>
  <c r="C14" i="1" s="1"/>
  <c r="D14" i="1" a="1"/>
  <c r="D14" i="1"/>
  <c r="C15" i="1" a="1"/>
  <c r="C15" i="1" s="1"/>
  <c r="D15" i="1" a="1"/>
  <c r="D15" i="1" s="1"/>
  <c r="C16" i="1" a="1"/>
  <c r="C16" i="1" s="1"/>
  <c r="D16" i="1" a="1"/>
  <c r="D16" i="1" s="1"/>
  <c r="C17" i="1" a="1"/>
  <c r="C17" i="1" s="1"/>
  <c r="D17" i="1" a="1"/>
  <c r="D17" i="1"/>
  <c r="C18" i="1" a="1"/>
  <c r="C18" i="1" s="1"/>
  <c r="D18" i="1" a="1"/>
  <c r="D18" i="1" s="1"/>
  <c r="C19" i="1" a="1"/>
  <c r="C19" i="1" s="1"/>
  <c r="D19" i="1" a="1"/>
  <c r="D19" i="1" s="1"/>
  <c r="C20" i="1" a="1"/>
  <c r="C20" i="1" s="1"/>
  <c r="D20" i="1" a="1"/>
  <c r="D20" i="1"/>
  <c r="C21" i="1" a="1"/>
  <c r="C21" i="1" s="1"/>
  <c r="D21" i="1" a="1"/>
  <c r="D21" i="1" s="1"/>
  <c r="C22" i="1" a="1"/>
  <c r="C22" i="1" s="1"/>
  <c r="D22" i="1" a="1"/>
  <c r="D22" i="1" s="1"/>
  <c r="C23" i="1" a="1"/>
  <c r="C23" i="1" s="1"/>
  <c r="D23" i="1" a="1"/>
  <c r="D23" i="1"/>
  <c r="C24" i="1" a="1"/>
  <c r="C24" i="1" s="1"/>
  <c r="D24" i="1" a="1"/>
  <c r="D24" i="1" s="1"/>
  <c r="C25" i="1" a="1"/>
  <c r="C25" i="1" s="1"/>
  <c r="D25" i="1" a="1"/>
  <c r="D25" i="1" s="1"/>
  <c r="C26" i="1" a="1"/>
  <c r="C26" i="1" s="1"/>
  <c r="D26" i="1" a="1"/>
  <c r="D26" i="1"/>
  <c r="C27" i="1" a="1"/>
  <c r="C27" i="1" s="1"/>
  <c r="D27" i="1" a="1"/>
  <c r="D27" i="1" s="1"/>
  <c r="C28" i="1" a="1"/>
  <c r="C28" i="1" s="1"/>
  <c r="D28" i="1" a="1"/>
  <c r="D28" i="1" s="1"/>
  <c r="C29" i="1" a="1"/>
  <c r="C29" i="1" s="1"/>
  <c r="D29" i="1" a="1"/>
  <c r="D29" i="1" s="1"/>
  <c r="C30" i="1" a="1"/>
  <c r="C30" i="1" s="1"/>
  <c r="D30" i="1" a="1"/>
  <c r="D30" i="1" s="1"/>
  <c r="C31" i="1" a="1"/>
  <c r="C31" i="1" s="1"/>
  <c r="D31" i="1" a="1"/>
  <c r="D31" i="1" s="1"/>
  <c r="D2" i="1" a="1"/>
  <c r="D2" i="1" s="1"/>
  <c r="C2" i="1" a="1"/>
  <c r="C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2" i="1" a="1"/>
  <c r="B2" i="1" s="1"/>
  <c r="AL20" i="9" l="1"/>
  <c r="AR20" i="9"/>
  <c r="AV20" i="9"/>
  <c r="V20" i="9"/>
  <c r="I37" i="9"/>
  <c r="P41" i="9"/>
  <c r="AI41" i="9" s="1"/>
  <c r="P43" i="9"/>
  <c r="AI43" i="9" s="1"/>
  <c r="I23" i="9"/>
  <c r="AA20" i="9"/>
  <c r="Z20" i="9"/>
  <c r="AM20" i="9"/>
  <c r="P35" i="9"/>
  <c r="AI35" i="9" s="1"/>
  <c r="AN20" i="9"/>
  <c r="AS20" i="9"/>
  <c r="AO20" i="9"/>
  <c r="P19" i="9"/>
  <c r="AI19" i="9" s="1"/>
  <c r="P31" i="9"/>
  <c r="AI31" i="9" s="1"/>
  <c r="P39" i="9"/>
  <c r="AI39" i="9" s="1"/>
  <c r="AT20" i="9"/>
  <c r="AQ20" i="9"/>
  <c r="AD20" i="9"/>
  <c r="P25" i="9"/>
  <c r="AI25" i="9" s="1"/>
  <c r="U20" i="9"/>
  <c r="P29" i="9"/>
  <c r="AI29" i="9" s="1"/>
  <c r="T20" i="9"/>
  <c r="W20" i="9"/>
  <c r="AP20" i="9"/>
  <c r="AU20" i="9"/>
  <c r="AC20" i="9"/>
  <c r="AW20" i="9"/>
  <c r="I49" i="9"/>
  <c r="P27" i="9"/>
  <c r="AI27" i="9" s="1"/>
  <c r="P45" i="9"/>
  <c r="AI45" i="9" s="1"/>
  <c r="AB20" i="9"/>
  <c r="X20" i="9"/>
  <c r="S20" i="9"/>
  <c r="AL12" i="9"/>
  <c r="AQ12" i="9"/>
  <c r="AC12" i="9"/>
  <c r="W12" i="9"/>
  <c r="AO12" i="9"/>
  <c r="AR12" i="9"/>
  <c r="AP12" i="9"/>
  <c r="AS12" i="9"/>
  <c r="AB12" i="9"/>
  <c r="AT12" i="9"/>
  <c r="AD12" i="9"/>
  <c r="AU12" i="9"/>
  <c r="AW12" i="9"/>
  <c r="Y12" i="9"/>
  <c r="T12" i="9"/>
  <c r="AV12" i="9"/>
  <c r="AM12" i="9"/>
  <c r="X12" i="9"/>
  <c r="AN12" i="9"/>
  <c r="Z12" i="9"/>
  <c r="V12" i="9"/>
  <c r="U12" i="9"/>
  <c r="AA12" i="9"/>
  <c r="I21" i="9"/>
  <c r="K45" i="9" s="1"/>
  <c r="Q45" i="9" s="1"/>
  <c r="AJ45" i="9" s="1"/>
  <c r="AB14" i="9"/>
  <c r="AO14" i="9"/>
  <c r="AV14" i="9"/>
  <c r="AT14" i="9"/>
  <c r="V14" i="9"/>
  <c r="Y14" i="9"/>
  <c r="U14" i="9"/>
  <c r="AW14" i="9"/>
  <c r="AA14" i="9"/>
  <c r="AN14" i="9"/>
  <c r="X14" i="9"/>
  <c r="AC14" i="9"/>
  <c r="AR14" i="9"/>
  <c r="T14" i="9"/>
  <c r="AL14" i="9"/>
  <c r="AM14" i="9"/>
  <c r="S14" i="9"/>
  <c r="AS14" i="9"/>
  <c r="AP14" i="9"/>
  <c r="Z14" i="9"/>
  <c r="AD14" i="9"/>
  <c r="AQ14" i="9"/>
  <c r="AU14" i="9"/>
  <c r="W14" i="9"/>
  <c r="Z16" i="9"/>
  <c r="AB16" i="9"/>
  <c r="AU16" i="9"/>
  <c r="AD16" i="9"/>
  <c r="AW16" i="9"/>
  <c r="T16" i="9"/>
  <c r="AM16" i="9"/>
  <c r="AO16" i="9"/>
  <c r="W16" i="9"/>
  <c r="AC16" i="9"/>
  <c r="AA16" i="9"/>
  <c r="S16" i="9"/>
  <c r="AR16" i="9"/>
  <c r="U16" i="9"/>
  <c r="AT16" i="9"/>
  <c r="Y16" i="9"/>
  <c r="V16" i="9"/>
  <c r="AN16" i="9"/>
  <c r="X16" i="9"/>
  <c r="AL16" i="9"/>
  <c r="AV16" i="9"/>
  <c r="AQ16" i="9"/>
  <c r="AS16" i="9"/>
  <c r="AP16" i="9"/>
  <c r="Y18" i="9"/>
  <c r="AP18" i="9"/>
  <c r="AD18" i="9"/>
  <c r="AS18" i="9"/>
  <c r="AN18" i="9"/>
  <c r="AV18" i="9"/>
  <c r="AM18" i="9"/>
  <c r="V18" i="9"/>
  <c r="AO18" i="9"/>
  <c r="U18" i="9"/>
  <c r="AC18" i="9"/>
  <c r="AW18" i="9"/>
  <c r="AL18" i="9"/>
  <c r="W18" i="9"/>
  <c r="AT18" i="9"/>
  <c r="X18" i="9"/>
  <c r="AB18" i="9"/>
  <c r="AU18" i="9"/>
  <c r="S18" i="9"/>
  <c r="AQ18" i="9"/>
  <c r="Z18" i="9"/>
  <c r="AA18" i="9"/>
  <c r="T18" i="9"/>
  <c r="AR18" i="9"/>
  <c r="K19" i="9" l="1"/>
  <c r="Q19" i="9" s="1"/>
  <c r="AJ19" i="9" s="1"/>
  <c r="K11" i="9"/>
  <c r="Q11" i="9" s="1"/>
  <c r="AJ11" i="9" s="1"/>
  <c r="P23" i="9"/>
  <c r="AI23" i="9" s="1"/>
  <c r="K23" i="9"/>
  <c r="Q23" i="9" s="1"/>
  <c r="AJ23" i="9" s="1"/>
  <c r="K33" i="9"/>
  <c r="Q33" i="9" s="1"/>
  <c r="AJ33" i="9" s="1"/>
  <c r="K43" i="9"/>
  <c r="Q43" i="9" s="1"/>
  <c r="AJ43" i="9" s="1"/>
  <c r="P21" i="9"/>
  <c r="AI21" i="9" s="1"/>
  <c r="K21" i="9"/>
  <c r="Q21" i="9" s="1"/>
  <c r="AJ21" i="9" s="1"/>
  <c r="K13" i="9"/>
  <c r="Q13" i="9" s="1"/>
  <c r="AJ13" i="9" s="1"/>
  <c r="K17" i="9"/>
  <c r="Q17" i="9" s="1"/>
  <c r="AJ17" i="9" s="1"/>
  <c r="K15" i="9"/>
  <c r="Q15" i="9" s="1"/>
  <c r="AJ15" i="9" s="1"/>
  <c r="K47" i="9"/>
  <c r="Q47" i="9" s="1"/>
  <c r="AJ47" i="9" s="1"/>
  <c r="K25" i="9"/>
  <c r="Q25" i="9" s="1"/>
  <c r="AJ25" i="9" s="1"/>
  <c r="I55" i="9"/>
  <c r="K41" i="9"/>
  <c r="Q41" i="9" s="1"/>
  <c r="AJ41" i="9" s="1"/>
  <c r="K27" i="9"/>
  <c r="Q27" i="9" s="1"/>
  <c r="AJ27" i="9" s="1"/>
  <c r="K29" i="9"/>
  <c r="Q29" i="9" s="1"/>
  <c r="AJ29" i="9" s="1"/>
  <c r="K39" i="9"/>
  <c r="Q39" i="9" s="1"/>
  <c r="AJ39" i="9" s="1"/>
  <c r="K35" i="9"/>
  <c r="Q35" i="9" s="1"/>
  <c r="AJ35" i="9" s="1"/>
  <c r="P37" i="9"/>
  <c r="AI37" i="9" s="1"/>
  <c r="K37" i="9"/>
  <c r="Q37" i="9" s="1"/>
  <c r="AJ37" i="9" s="1"/>
  <c r="P49" i="9"/>
  <c r="AI49" i="9" s="1"/>
  <c r="K49" i="9"/>
  <c r="Q49" i="9" s="1"/>
  <c r="AJ49" i="9" s="1"/>
  <c r="K31" i="9"/>
  <c r="Q31" i="9" s="1"/>
  <c r="AJ31" i="9" s="1"/>
  <c r="AW24" i="9"/>
  <c r="AD24" i="9"/>
  <c r="AS24" i="9"/>
  <c r="Y24" i="9"/>
  <c r="AV24" i="9"/>
  <c r="AC24" i="9"/>
  <c r="Z24" i="9"/>
  <c r="X24" i="9"/>
  <c r="V24" i="9"/>
  <c r="AU24" i="9"/>
  <c r="AB24" i="9"/>
  <c r="T24" i="9"/>
  <c r="AT24" i="9"/>
  <c r="AA24" i="9"/>
  <c r="W24" i="9"/>
  <c r="AO24" i="9"/>
  <c r="AR24" i="9"/>
  <c r="AQ24" i="9"/>
  <c r="AN24" i="9"/>
  <c r="AP24" i="9"/>
  <c r="U24" i="9"/>
  <c r="AL24" i="9"/>
  <c r="S24" i="9"/>
  <c r="AM24" i="9"/>
  <c r="AW22" i="9" l="1"/>
  <c r="AD22" i="9"/>
  <c r="AO22" i="9"/>
  <c r="AV22" i="9"/>
  <c r="AC22" i="9"/>
  <c r="Y22" i="9"/>
  <c r="X22" i="9"/>
  <c r="AP22" i="9"/>
  <c r="AM22" i="9"/>
  <c r="AU22" i="9"/>
  <c r="AB22" i="9"/>
  <c r="AS22" i="9"/>
  <c r="AT22" i="9"/>
  <c r="AA22" i="9"/>
  <c r="AR22" i="9"/>
  <c r="AQ22" i="9"/>
  <c r="T22" i="9"/>
  <c r="Z22" i="9"/>
  <c r="V22" i="9"/>
  <c r="AN22" i="9"/>
  <c r="W22" i="9"/>
  <c r="U22" i="9"/>
  <c r="AL22" i="9"/>
  <c r="S22" i="9"/>
  <c r="AW26" i="9"/>
  <c r="AD26" i="9"/>
  <c r="X26" i="9"/>
  <c r="T26" i="9"/>
  <c r="AV26" i="9"/>
  <c r="AC26" i="9"/>
  <c r="AU26" i="9"/>
  <c r="AB26" i="9"/>
  <c r="AT26" i="9"/>
  <c r="AA26" i="9"/>
  <c r="Z26" i="9"/>
  <c r="AQ26" i="9"/>
  <c r="AN26" i="9"/>
  <c r="AS26" i="9"/>
  <c r="AR26" i="9"/>
  <c r="Y26" i="9"/>
  <c r="AO26" i="9"/>
  <c r="AM26" i="9"/>
  <c r="AP26" i="9"/>
  <c r="W26" i="9"/>
  <c r="V26" i="9"/>
  <c r="AL26" i="9"/>
  <c r="S26" i="9"/>
  <c r="U26" i="9"/>
  <c r="AW28" i="9" l="1"/>
  <c r="AD28" i="9"/>
  <c r="AN28" i="9"/>
  <c r="AV28" i="9"/>
  <c r="AC28" i="9"/>
  <c r="AS28" i="9"/>
  <c r="X28" i="9"/>
  <c r="U28" i="9"/>
  <c r="AU28" i="9"/>
  <c r="AB28" i="9"/>
  <c r="Z28" i="9"/>
  <c r="T28" i="9"/>
  <c r="AT28" i="9"/>
  <c r="AA28" i="9"/>
  <c r="AO28" i="9"/>
  <c r="AQ28" i="9"/>
  <c r="V28" i="9"/>
  <c r="AR28" i="9"/>
  <c r="Y28" i="9"/>
  <c r="AP28" i="9"/>
  <c r="W28" i="9"/>
  <c r="AL28" i="9"/>
  <c r="S28" i="9"/>
  <c r="AM28" i="9"/>
  <c r="AW30" i="9" l="1"/>
  <c r="AD30" i="9"/>
  <c r="Z30" i="9"/>
  <c r="AO30" i="9"/>
  <c r="AV30" i="9"/>
  <c r="AC30" i="9"/>
  <c r="AQ30" i="9"/>
  <c r="V30" i="9"/>
  <c r="AM30" i="9"/>
  <c r="AU30" i="9"/>
  <c r="AB30" i="9"/>
  <c r="AT30" i="9"/>
  <c r="AA30" i="9"/>
  <c r="X30" i="9"/>
  <c r="T30" i="9"/>
  <c r="AS30" i="9"/>
  <c r="AR30" i="9"/>
  <c r="Y30" i="9"/>
  <c r="U30" i="9"/>
  <c r="AP30" i="9"/>
  <c r="W30" i="9"/>
  <c r="AN30" i="9"/>
  <c r="AL30" i="9"/>
  <c r="S30" i="9"/>
  <c r="AW32" i="9" l="1"/>
  <c r="AD32" i="9"/>
  <c r="AQ32" i="9"/>
  <c r="AV32" i="9"/>
  <c r="AC32" i="9"/>
  <c r="AU32" i="9"/>
  <c r="AB32" i="9"/>
  <c r="AM32" i="9"/>
  <c r="AT32" i="9"/>
  <c r="AA32" i="9"/>
  <c r="X32" i="9"/>
  <c r="AS32" i="9"/>
  <c r="Z32" i="9"/>
  <c r="AR32" i="9"/>
  <c r="Y32" i="9"/>
  <c r="AO32" i="9"/>
  <c r="AN32" i="9"/>
  <c r="U32" i="9"/>
  <c r="AP32" i="9"/>
  <c r="W32" i="9"/>
  <c r="V32" i="9"/>
  <c r="T32" i="9"/>
  <c r="AL32" i="9"/>
  <c r="S32" i="9"/>
  <c r="AW34" i="9" l="1"/>
  <c r="AD34" i="9"/>
  <c r="Z34" i="9"/>
  <c r="AV34" i="9"/>
  <c r="AC34" i="9"/>
  <c r="AS34" i="9"/>
  <c r="AQ34" i="9"/>
  <c r="AU34" i="9"/>
  <c r="AB34" i="9"/>
  <c r="AT34" i="9"/>
  <c r="AA34" i="9"/>
  <c r="AO34" i="9"/>
  <c r="V34" i="9"/>
  <c r="U34" i="9"/>
  <c r="AM34" i="9"/>
  <c r="AR34" i="9"/>
  <c r="Y34" i="9"/>
  <c r="X34" i="9"/>
  <c r="AP34" i="9"/>
  <c r="W34" i="9"/>
  <c r="AN34" i="9"/>
  <c r="AL34" i="9"/>
  <c r="S34" i="9"/>
  <c r="T34" i="9"/>
  <c r="AW36" i="9" l="1"/>
  <c r="AD36" i="9"/>
  <c r="U36" i="9"/>
  <c r="AV36" i="9"/>
  <c r="AC36" i="9"/>
  <c r="V36" i="9"/>
  <c r="T36" i="9"/>
  <c r="AU36" i="9"/>
  <c r="AB36" i="9"/>
  <c r="AS36" i="9"/>
  <c r="AT36" i="9"/>
  <c r="AA36" i="9"/>
  <c r="X36" i="9"/>
  <c r="AM36" i="9"/>
  <c r="Z36" i="9"/>
  <c r="AQ36" i="9"/>
  <c r="AO36" i="9"/>
  <c r="AR36" i="9"/>
  <c r="Y36" i="9"/>
  <c r="AP36" i="9"/>
  <c r="W36" i="9"/>
  <c r="AL36" i="9"/>
  <c r="S36" i="9"/>
  <c r="AN36" i="9"/>
  <c r="AW38" i="9" l="1"/>
  <c r="AD38" i="9"/>
  <c r="V38" i="9"/>
  <c r="AM38" i="9"/>
  <c r="AV38" i="9"/>
  <c r="AC38" i="9"/>
  <c r="X38" i="9"/>
  <c r="AU38" i="9"/>
  <c r="AB38" i="9"/>
  <c r="AT38" i="9"/>
  <c r="AA38" i="9"/>
  <c r="Z38" i="9"/>
  <c r="AQ38" i="9"/>
  <c r="AN38" i="9"/>
  <c r="AS38" i="9"/>
  <c r="AR38" i="9"/>
  <c r="Y38" i="9"/>
  <c r="AO38" i="9"/>
  <c r="U38" i="9"/>
  <c r="T38" i="9"/>
  <c r="AP38" i="9"/>
  <c r="W38" i="9"/>
  <c r="AL38" i="9"/>
  <c r="S38" i="9"/>
  <c r="AW40" i="9" l="1"/>
  <c r="AD40" i="9"/>
  <c r="X40" i="9"/>
  <c r="AV40" i="9"/>
  <c r="AC40" i="9"/>
  <c r="U40" i="9"/>
  <c r="AU40" i="9"/>
  <c r="AB40" i="9"/>
  <c r="T40" i="9"/>
  <c r="AT40" i="9"/>
  <c r="AA40" i="9"/>
  <c r="AS40" i="9"/>
  <c r="Z40" i="9"/>
  <c r="AO40" i="9"/>
  <c r="AR40" i="9"/>
  <c r="Y40" i="9"/>
  <c r="AQ40" i="9"/>
  <c r="AP40" i="9"/>
  <c r="W40" i="9"/>
  <c r="V40" i="9"/>
  <c r="AN40" i="9"/>
  <c r="AL40" i="9"/>
  <c r="S40" i="9"/>
  <c r="AM40" i="9"/>
  <c r="AW42" i="9" l="1"/>
  <c r="AD42" i="9"/>
  <c r="U42" i="9"/>
  <c r="AV42" i="9"/>
  <c r="AC42" i="9"/>
  <c r="V42" i="9"/>
  <c r="AU42" i="9"/>
  <c r="AB42" i="9"/>
  <c r="AT42" i="9"/>
  <c r="AA42" i="9"/>
  <c r="AQ42" i="9"/>
  <c r="AO42" i="9"/>
  <c r="AS42" i="9"/>
  <c r="Z42" i="9"/>
  <c r="X42" i="9"/>
  <c r="AR42" i="9"/>
  <c r="Y42" i="9"/>
  <c r="AN42" i="9"/>
  <c r="T42" i="9"/>
  <c r="AP42" i="9"/>
  <c r="W42" i="9"/>
  <c r="AM42" i="9"/>
  <c r="AL42" i="9"/>
  <c r="S42" i="9"/>
  <c r="AW44" i="9" l="1"/>
  <c r="AD44" i="9"/>
  <c r="X44" i="9"/>
  <c r="AV44" i="9"/>
  <c r="AC44" i="9"/>
  <c r="AM44" i="9"/>
  <c r="AU44" i="9"/>
  <c r="AB44" i="9"/>
  <c r="AT44" i="9"/>
  <c r="AA44" i="9"/>
  <c r="AS44" i="9"/>
  <c r="Z44" i="9"/>
  <c r="AQ44" i="9"/>
  <c r="AO44" i="9"/>
  <c r="U44" i="9"/>
  <c r="AR44" i="9"/>
  <c r="Y44" i="9"/>
  <c r="V44" i="9"/>
  <c r="AN44" i="9"/>
  <c r="AP44" i="9"/>
  <c r="W44" i="9"/>
  <c r="AL44" i="9"/>
  <c r="S44" i="9"/>
  <c r="T44" i="9"/>
  <c r="AW46" i="9" l="1"/>
  <c r="AD46" i="9"/>
  <c r="U46" i="9"/>
  <c r="AV46" i="9"/>
  <c r="AC46" i="9"/>
  <c r="AU46" i="9"/>
  <c r="AB46" i="9"/>
  <c r="AM46" i="9"/>
  <c r="AT46" i="9"/>
  <c r="AA46" i="9"/>
  <c r="AQ46" i="9"/>
  <c r="T46" i="9"/>
  <c r="AS46" i="9"/>
  <c r="Z46" i="9"/>
  <c r="V46" i="9"/>
  <c r="AR46" i="9"/>
  <c r="Y46" i="9"/>
  <c r="X46" i="9"/>
  <c r="AO46" i="9"/>
  <c r="AP46" i="9"/>
  <c r="W46" i="9"/>
  <c r="AN46" i="9"/>
  <c r="AL46" i="9"/>
  <c r="S46" i="9"/>
  <c r="AW48" i="9" l="1"/>
  <c r="AD48" i="9"/>
  <c r="AQ48" i="9"/>
  <c r="AV48" i="9"/>
  <c r="AC48" i="9"/>
  <c r="X48" i="9"/>
  <c r="AU48" i="9"/>
  <c r="AB48" i="9"/>
  <c r="AT48" i="9"/>
  <c r="AA48" i="9"/>
  <c r="AO48" i="9"/>
  <c r="AS48" i="9"/>
  <c r="Z48" i="9"/>
  <c r="T48" i="9"/>
  <c r="AR48" i="9"/>
  <c r="Y48" i="9"/>
  <c r="AM48" i="9"/>
  <c r="AN48" i="9"/>
  <c r="AP48" i="9"/>
  <c r="W48" i="9"/>
  <c r="V48" i="9"/>
  <c r="AL48" i="9"/>
  <c r="S48" i="9"/>
  <c r="U48" i="9"/>
  <c r="AW50" i="9" l="1"/>
  <c r="AD50" i="9"/>
  <c r="AO50" i="9"/>
  <c r="AM50" i="9"/>
  <c r="AV50" i="9"/>
  <c r="AC50" i="9"/>
  <c r="V50" i="9"/>
  <c r="AN50" i="9"/>
  <c r="AU50" i="9"/>
  <c r="AB50" i="9"/>
  <c r="X50" i="9"/>
  <c r="AT50" i="9"/>
  <c r="AA50" i="9"/>
  <c r="U50" i="9"/>
  <c r="AS50" i="9"/>
  <c r="Z50" i="9"/>
  <c r="AR50" i="9"/>
  <c r="Y50" i="9"/>
  <c r="AQ50" i="9"/>
  <c r="AP50" i="9"/>
  <c r="W50" i="9"/>
  <c r="T50" i="9"/>
  <c r="AL50" i="9"/>
  <c r="S50" i="9"/>
  <c r="AU55" i="9" l="1"/>
  <c r="BV35" i="9" s="1"/>
  <c r="AL55" i="9"/>
  <c r="BM35" i="9" s="1"/>
  <c r="AA52" i="9"/>
  <c r="AA55" i="9"/>
  <c r="BI35" i="9" s="1"/>
  <c r="X52" i="9"/>
  <c r="X55" i="9"/>
  <c r="BF35" i="9" s="1"/>
  <c r="AV52" i="9"/>
  <c r="AV55" i="9"/>
  <c r="BW35" i="9" s="1"/>
  <c r="AD52" i="9"/>
  <c r="AD55" i="9"/>
  <c r="BL35" i="9" s="1"/>
  <c r="T52" i="9"/>
  <c r="T55" i="9"/>
  <c r="BB35" i="9" s="1"/>
  <c r="AW52" i="9"/>
  <c r="AW55" i="9"/>
  <c r="BX35" i="9" s="1"/>
  <c r="AM52" i="9"/>
  <c r="AM55" i="9"/>
  <c r="BN35" i="9" s="1"/>
  <c r="AQ52" i="9"/>
  <c r="AQ55" i="9"/>
  <c r="BR35" i="9" s="1"/>
  <c r="AU52" i="9"/>
  <c r="U52" i="9"/>
  <c r="U55" i="9"/>
  <c r="BC35" i="9" s="1"/>
  <c r="V52" i="9"/>
  <c r="V55" i="9"/>
  <c r="BD35" i="9" s="1"/>
  <c r="AN52" i="9"/>
  <c r="AN55" i="9"/>
  <c r="BO35" i="9" s="1"/>
  <c r="AC52" i="9"/>
  <c r="AC55" i="9"/>
  <c r="BK35" i="9" s="1"/>
  <c r="AO52" i="9"/>
  <c r="AO55" i="9"/>
  <c r="BP35" i="9" s="1"/>
  <c r="Y52" i="9"/>
  <c r="Y55" i="9"/>
  <c r="BG35" i="9" s="1"/>
  <c r="AR52" i="9"/>
  <c r="AR55" i="9"/>
  <c r="BS35" i="9" s="1"/>
  <c r="AP52" i="9"/>
  <c r="AP55" i="9"/>
  <c r="BQ35" i="9" s="1"/>
  <c r="Z52" i="9"/>
  <c r="Z55" i="9"/>
  <c r="BH35" i="9" s="1"/>
  <c r="AT52" i="9"/>
  <c r="AT55" i="9"/>
  <c r="BU35" i="9" s="1"/>
  <c r="AB52" i="9"/>
  <c r="AB55" i="9"/>
  <c r="BJ35" i="9" s="1"/>
  <c r="AS52" i="9"/>
  <c r="AS55" i="9"/>
  <c r="BT35" i="9" s="1"/>
  <c r="W52" i="9"/>
  <c r="W55" i="9"/>
  <c r="BE35" i="9" s="1"/>
  <c r="AL52" i="9" l="1"/>
  <c r="S12" i="9" l="1"/>
  <c r="S55" i="9"/>
  <c r="BA35" i="9" s="1"/>
  <c r="S56" i="9" l="1"/>
  <c r="BA46" i="9" s="1"/>
  <c r="S52" i="9"/>
  <c r="X53" i="9"/>
  <c r="S53" i="9" l="1"/>
  <c r="T56" i="9"/>
  <c r="BB46" i="9" s="1"/>
  <c r="Y53" i="9"/>
  <c r="X56" i="9"/>
  <c r="BF46" i="9" s="1"/>
  <c r="T53" i="9" l="1"/>
  <c r="U56" i="9"/>
  <c r="BC46" i="9" s="1"/>
  <c r="Y56" i="9"/>
  <c r="BG46" i="9" s="1"/>
  <c r="Z53" i="9"/>
  <c r="W56" i="9" l="1"/>
  <c r="BE46" i="9" s="1"/>
  <c r="V56" i="9"/>
  <c r="BD46" i="9" s="1"/>
  <c r="U53" i="9"/>
  <c r="AA53" i="9"/>
  <c r="Z56" i="9"/>
  <c r="BH46" i="9" s="1"/>
  <c r="W53" i="9" l="1"/>
  <c r="V53" i="9"/>
  <c r="AA56" i="9"/>
  <c r="BI46" i="9" s="1"/>
  <c r="AB53" i="9"/>
  <c r="AC53" i="9" l="1"/>
  <c r="AB56" i="9"/>
  <c r="BJ46" i="9" s="1"/>
  <c r="AC56" i="9" l="1"/>
  <c r="BK46" i="9" s="1"/>
  <c r="AD53" i="9"/>
  <c r="AL53" i="9" l="1"/>
  <c r="AD56" i="9"/>
  <c r="BL46" i="9" s="1"/>
  <c r="AL56" i="9" l="1"/>
  <c r="BM46" i="9" s="1"/>
  <c r="AM53" i="9"/>
  <c r="AN53" i="9" l="1"/>
  <c r="AM56" i="9"/>
  <c r="BN46" i="9" s="1"/>
  <c r="AN56" i="9" l="1"/>
  <c r="BO46" i="9" s="1"/>
  <c r="AO53" i="9"/>
  <c r="AP53" i="9" l="1"/>
  <c r="AO56" i="9"/>
  <c r="BP46" i="9" s="1"/>
  <c r="AP56" i="9" l="1"/>
  <c r="BQ46" i="9" s="1"/>
  <c r="AQ53" i="9"/>
  <c r="AR53" i="9" l="1"/>
  <c r="AQ56" i="9"/>
  <c r="BR46" i="9" s="1"/>
  <c r="AR56" i="9" l="1"/>
  <c r="BS46" i="9" s="1"/>
  <c r="AS53" i="9"/>
  <c r="AT53" i="9" l="1"/>
  <c r="AS56" i="9"/>
  <c r="BT46" i="9" s="1"/>
  <c r="AT56" i="9" l="1"/>
  <c r="BU46" i="9" s="1"/>
  <c r="AU53" i="9"/>
  <c r="AW53" i="9" l="1"/>
  <c r="AV53" i="9"/>
  <c r="AU56" i="9"/>
  <c r="BV46" i="9" s="1"/>
  <c r="AW56" i="9" l="1"/>
  <c r="BX46" i="9" s="1"/>
  <c r="AV56" i="9"/>
  <c r="BW46" i="9" s="1"/>
  <c r="C26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B2D59C-9FA5-4C57-80A0-55C4A9AEA595}" keepAlive="1" name="Consulta - ORÇ#1" description="Conexão com a consulta 'ORÇ#1' na pasta de trabalho." type="5" refreshedVersion="8" background="1" saveData="1">
    <dbPr connection="Provider=Microsoft.Mashup.OleDb.1;Data Source=$Workbook$;Location=ORÇ#1;Extended Properties=&quot;&quot;" command="SELECT * FROM [ORÇ#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<sst xmlns="http://schemas.openxmlformats.org/spreadsheetml/2006/main" count="65132" uniqueCount="6259">
  <si>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</si>
  <si>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</si>
  <si>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</si>
  <si>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</si>
  <si>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</si>
  <si>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</si>
  <si>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</si>
  <si>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</si>
  <si>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</si>
  <si>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</si>
  <si>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</si>
  <si>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</si>
  <si>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</si>
  <si>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</si>
  <si>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</si>
  <si>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</si>
  <si>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</si>
  <si>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</si>
  <si>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</si>
  <si>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</si>
  <si>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</si>
  <si>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</si>
  <si>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</si>
  <si>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</si>
  <si>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</si>
  <si>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</si>
  <si>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</si>
  <si>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</si>
  <si>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</si>
  <si>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</si>
  <si>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</si>
  <si>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</si>
  <si>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</si>
  <si>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</si>
  <si>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</si>
  <si>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</si>
  <si>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</si>
  <si>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a</t>
  </si>
  <si>
    <t>AAS</t>
  </si>
  <si>
    <t>ITEM</t>
  </si>
  <si>
    <t>CPU</t>
  </si>
  <si>
    <t>SINAPI</t>
  </si>
  <si>
    <t>DESCRIÇÃO DO SERVIÇO</t>
  </si>
  <si>
    <t>QUANT.</t>
  </si>
  <si>
    <t>UNID.</t>
  </si>
  <si>
    <t>PREÇO UNITÁRIO</t>
  </si>
  <si>
    <t>PREÇO
TOTAL</t>
  </si>
  <si>
    <t>PREÇO UNIT.
M.O.</t>
  </si>
  <si>
    <t>TOTAL
MÃO DE OBRA</t>
  </si>
  <si>
    <t>PREÇO UNIT.
MAT.</t>
  </si>
  <si>
    <t>TOTAL
MATERIAL</t>
  </si>
  <si>
    <t>PREÇO UNIT.
EQUIP.</t>
  </si>
  <si>
    <t>TOTAL
EQUIPAMENTO</t>
  </si>
  <si>
    <t>PREÇO
TOTAL + BDI</t>
  </si>
  <si>
    <t>INCIDÊNCIA (%)</t>
  </si>
  <si>
    <t xml:space="preserve">   OBSERVAÇÕES</t>
  </si>
  <si>
    <t>n1</t>
  </si>
  <si>
    <t>1</t>
  </si>
  <si>
    <t>CI</t>
  </si>
  <si>
    <t>CUSTOS INDIRETOS</t>
  </si>
  <si>
    <t>224917,9</t>
  </si>
  <si>
    <t>221273,5002</t>
  </si>
  <si>
    <t>3644,3998</t>
  </si>
  <si>
    <t>0</t>
  </si>
  <si>
    <t>269901,48</t>
  </si>
  <si>
    <t>0,036284423385</t>
  </si>
  <si>
    <t>n2</t>
  </si>
  <si>
    <t>CI.1</t>
  </si>
  <si>
    <t>1.1</t>
  </si>
  <si>
    <t>CUSTO ADMINISTRATIVO</t>
  </si>
  <si>
    <t>n3</t>
  </si>
  <si>
    <t>1.1.1</t>
  </si>
  <si>
    <t>93567</t>
  </si>
  <si>
    <t>ENGENHEIRO CIVIL DE OBRA PLENO COM ENCARGOS COMPLEMENTARES</t>
  </si>
  <si>
    <t>10</t>
  </si>
  <si>
    <t>MES</t>
  </si>
  <si>
    <t>22491,79</t>
  </si>
  <si>
    <t>22127,35</t>
  </si>
  <si>
    <t>364,44</t>
  </si>
  <si>
    <t>n4</t>
  </si>
  <si>
    <t>2</t>
  </si>
  <si>
    <t>93567-2</t>
  </si>
  <si>
    <t>1.1.1.1</t>
  </si>
  <si>
    <t>40813</t>
  </si>
  <si>
    <t>ENGENHEIRO CIVIL DE OBRA PLENO (MENSALISTA)</t>
  </si>
  <si>
    <t>21872,32</t>
  </si>
  <si>
    <t>26246,784</t>
  </si>
  <si>
    <t>10 MES</t>
  </si>
  <si>
    <t>3</t>
  </si>
  <si>
    <t>93567-3</t>
  </si>
  <si>
    <t>1.1.1.2</t>
  </si>
  <si>
    <t>40863</t>
  </si>
  <si>
    <t>EXAMES - MENSALISTA (COLETADO CAIXA - ENCARGOS COMPLEMENTARES)</t>
  </si>
  <si>
    <t>215,56</t>
  </si>
  <si>
    <t>258,672</t>
  </si>
  <si>
    <t>4</t>
  </si>
  <si>
    <t>93567-4</t>
  </si>
  <si>
    <t>1.1.1.3</t>
  </si>
  <si>
    <t>40864</t>
  </si>
  <si>
    <t>SEGURO - MENSALISTA (COLETADO CAIXA - ENCARGOS COMPLEMENTARES)</t>
  </si>
  <si>
    <t>12,89</t>
  </si>
  <si>
    <t>15,468</t>
  </si>
  <si>
    <t>5</t>
  </si>
  <si>
    <t>93567-5</t>
  </si>
  <si>
    <t>1.1.1.4</t>
  </si>
  <si>
    <t>43474</t>
  </si>
  <si>
    <t>FERRAMENTAS - FAMILIA ENGENHEIRO CIVIL - MENSALISTA (ENCARGOS COMPLEMENTARES - COLETADO CAIXA)</t>
  </si>
  <si>
    <t>2,54</t>
  </si>
  <si>
    <t>3,048</t>
  </si>
  <si>
    <t>6</t>
  </si>
  <si>
    <t>93567-6</t>
  </si>
  <si>
    <t>1.1.1.5</t>
  </si>
  <si>
    <t>43498</t>
  </si>
  <si>
    <t>EPI - FAMILIA ENGENHEIRO CIVIL - MENSALISTA (ENCARGOS COMPLEMENTARES - COLETADO CAIXA)</t>
  </si>
  <si>
    <t>133,45</t>
  </si>
  <si>
    <t>160,14</t>
  </si>
  <si>
    <t>7</t>
  </si>
  <si>
    <t>93567-7</t>
  </si>
  <si>
    <t>1.1.1.6</t>
  </si>
  <si>
    <t>95417</t>
  </si>
  <si>
    <t>CURSO DE CAPACITAÇÃO PARA ENGENHEIRO CIVIL DE OBRA PLENO (ENCARGOS COMPLEMENTARES) - MENSALISTA</t>
  </si>
  <si>
    <t>255,03</t>
  </si>
  <si>
    <t>306,036</t>
  </si>
  <si>
    <t>8</t>
  </si>
  <si>
    <t>93567-8</t>
  </si>
  <si>
    <t/>
  </si>
  <si>
    <t>9</t>
  </si>
  <si>
    <t>93567-9</t>
  </si>
  <si>
    <t>93567-10</t>
  </si>
  <si>
    <t>11</t>
  </si>
  <si>
    <t>93567-11</t>
  </si>
  <si>
    <t>12</t>
  </si>
  <si>
    <t>93567-12</t>
  </si>
  <si>
    <t>13</t>
  </si>
  <si>
    <t>93567-13</t>
  </si>
  <si>
    <t>14</t>
  </si>
  <si>
    <t>93567-14</t>
  </si>
  <si>
    <t>15</t>
  </si>
  <si>
    <t>93567-15</t>
  </si>
  <si>
    <t>16</t>
  </si>
  <si>
    <t>93567-16</t>
  </si>
  <si>
    <t>0-2</t>
  </si>
  <si>
    <t>0-3</t>
  </si>
  <si>
    <t>0-4</t>
  </si>
  <si>
    <t>0-5</t>
  </si>
  <si>
    <t>0-6</t>
  </si>
  <si>
    <t>0-7</t>
  </si>
  <si>
    <t>0-8</t>
  </si>
  <si>
    <t>0-9</t>
  </si>
  <si>
    <t>0-10</t>
  </si>
  <si>
    <t>0-11</t>
  </si>
  <si>
    <t>0-12</t>
  </si>
  <si>
    <t>0-13</t>
  </si>
  <si>
    <t>0-14</t>
  </si>
  <si>
    <t>0-15</t>
  </si>
  <si>
    <t>0-16</t>
  </si>
  <si>
    <t>CI.2</t>
  </si>
  <si>
    <t>CI.3</t>
  </si>
  <si>
    <t>SP</t>
  </si>
  <si>
    <t>SERVIÇOS PRELIMINARES</t>
  </si>
  <si>
    <t>79014,27</t>
  </si>
  <si>
    <t>12461,1629</t>
  </si>
  <si>
    <t>66306,7948</t>
  </si>
  <si>
    <t>244,7184</t>
  </si>
  <si>
    <t>94817,124</t>
  </si>
  <si>
    <t>0,012746816621</t>
  </si>
  <si>
    <t>SP.1</t>
  </si>
  <si>
    <t>2.1</t>
  </si>
  <si>
    <t>CANTEIRO DE OBRAS</t>
  </si>
  <si>
    <t>62929,53</t>
  </si>
  <si>
    <t>8861,8775</t>
  </si>
  <si>
    <t>53828,7775</t>
  </si>
  <si>
    <t>238,875</t>
  </si>
  <si>
    <t>75515,436</t>
  </si>
  <si>
    <t>0,010151978611</t>
  </si>
  <si>
    <t>2.1.1</t>
  </si>
  <si>
    <t>98459</t>
  </si>
  <si>
    <t>TAPUME COM TELHA METÁLICA. AF_05/2018</t>
  </si>
  <si>
    <t>477</t>
  </si>
  <si>
    <t>M2</t>
  </si>
  <si>
    <t>130,64</t>
  </si>
  <si>
    <t>62315,28</t>
  </si>
  <si>
    <t>17,9703</t>
  </si>
  <si>
    <t>8571,815</t>
  </si>
  <si>
    <t>112,6697</t>
  </si>
  <si>
    <t>53743,465</t>
  </si>
  <si>
    <t>74778,336</t>
  </si>
  <si>
    <t>0,010052885977</t>
  </si>
  <si>
    <t>98459-2</t>
  </si>
  <si>
    <t>2.1.1.1</t>
  </si>
  <si>
    <t>3992</t>
  </si>
  <si>
    <t>TABUA APARELHADA *2,5 X 30* CM, EM MACARANDUBA/MASSARANDUBA, ANGELIM OU EQUIVALENTE DA REGIAO</t>
  </si>
  <si>
    <t>M</t>
  </si>
  <si>
    <t>36,75</t>
  </si>
  <si>
    <t>44,1</t>
  </si>
  <si>
    <t>477 M</t>
  </si>
  <si>
    <t>98459-3</t>
  </si>
  <si>
    <t>2.1.1.2</t>
  </si>
  <si>
    <t>4433</t>
  </si>
  <si>
    <t>CAIBRO NAO APARELHADO *6 X 6* CM, EM MACARANDUBA/MASSARANDUBA, ANGELIM OU EQUIVALENTE DA REGIAO - BRUTA</t>
  </si>
  <si>
    <t>1,2273</t>
  </si>
  <si>
    <t>30,97</t>
  </si>
  <si>
    <t>38</t>
  </si>
  <si>
    <t>45,6114</t>
  </si>
  <si>
    <t>585,4221 M</t>
  </si>
  <si>
    <t>98459-4</t>
  </si>
  <si>
    <t>2.1.1.3</t>
  </si>
  <si>
    <t>5061</t>
  </si>
  <si>
    <t>PREGO DE ACO POLIDO COM CABECA 18 X 27 (2 1/2 X 10)</t>
  </si>
  <si>
    <t>0,0428</t>
  </si>
  <si>
    <t>KG</t>
  </si>
  <si>
    <t>13,51</t>
  </si>
  <si>
    <t>0,57</t>
  </si>
  <si>
    <t>0,6939</t>
  </si>
  <si>
    <t>20,4156 KG</t>
  </si>
  <si>
    <t>98459-5</t>
  </si>
  <si>
    <t>2.1.1.4</t>
  </si>
  <si>
    <t>7243</t>
  </si>
  <si>
    <t>TELHA TRAPEZOIDAL EM ACO ZINCADO, SEM PINTURA, ALTURA DE APROXIMADAMENTE 40 MM, ESPESSURA DE 0,50 MM E LARGURA UTIL DE 980 MM</t>
  </si>
  <si>
    <t>0,5853</t>
  </si>
  <si>
    <t>53,19</t>
  </si>
  <si>
    <t>31,13</t>
  </si>
  <si>
    <t>37,3585</t>
  </si>
  <si>
    <t>279,1881 M2</t>
  </si>
  <si>
    <t>98459-6</t>
  </si>
  <si>
    <t>2.1.1.5</t>
  </si>
  <si>
    <t>88239</t>
  </si>
  <si>
    <t>AJUDANTE DE CARPINTEIRO COM ENCARGOS COMPLEMENTARES</t>
  </si>
  <si>
    <t>0,1897</t>
  </si>
  <si>
    <t>H</t>
  </si>
  <si>
    <t>27,15</t>
  </si>
  <si>
    <t>5,15</t>
  </si>
  <si>
    <t>6,1804</t>
  </si>
  <si>
    <t>90,4869 H</t>
  </si>
  <si>
    <t>98459-7</t>
  </si>
  <si>
    <t>2.1.1.6</t>
  </si>
  <si>
    <t>88262</t>
  </si>
  <si>
    <t>CARPINTEIRO DE FORMAS COM ENCARGOS COMPLEMENTARES</t>
  </si>
  <si>
    <t>0,5691</t>
  </si>
  <si>
    <t>31,33</t>
  </si>
  <si>
    <t>17,82</t>
  </si>
  <si>
    <t>21,3959</t>
  </si>
  <si>
    <t>271,4607 H</t>
  </si>
  <si>
    <t>98459-8</t>
  </si>
  <si>
    <t>2.1.1.7</t>
  </si>
  <si>
    <t>91692</t>
  </si>
  <si>
    <t>SERRA CIRCULAR DE BANCADA COM MOTOR ELÉTRICO POTÊNCIA DE 5HP, COM COIFA PARA DISCO 10" - CHP DIURNO. AF_08/2015</t>
  </si>
  <si>
    <t>0,0044</t>
  </si>
  <si>
    <t>CHP</t>
  </si>
  <si>
    <t>32,54</t>
  </si>
  <si>
    <t>0,14</t>
  </si>
  <si>
    <t>0,1718</t>
  </si>
  <si>
    <t>2,0988 CHP</t>
  </si>
  <si>
    <t>98459-9</t>
  </si>
  <si>
    <t>2.1.1.8</t>
  </si>
  <si>
    <t>91693</t>
  </si>
  <si>
    <t>SERRA CIRCULAR DE BANCADA COM MOTOR ELÉTRICO POTÊNCIA DE 5HP, COM COIFA PARA DISCO 10" - CHI DIURNO. AF_08/2015</t>
  </si>
  <si>
    <t>0,0191</t>
  </si>
  <si>
    <t>CHI</t>
  </si>
  <si>
    <t>31,48</t>
  </si>
  <si>
    <t>0,6</t>
  </si>
  <si>
    <t>0,7215</t>
  </si>
  <si>
    <t>9,1107 CHI</t>
  </si>
  <si>
    <t>98459-10</t>
  </si>
  <si>
    <t>2.1.1.9</t>
  </si>
  <si>
    <t>94974</t>
  </si>
  <si>
    <t>CONCRETO MAGRO PARA LASTRO, TRAÇO 1:4,5:4,5 (EM MASSA SECA DE CIMENTO/ AREIA MÉDIA/ BRITA 1) - PREPARO MANUAL. AF_05/2021</t>
  </si>
  <si>
    <t>0,0012</t>
  </si>
  <si>
    <t>M3</t>
  </si>
  <si>
    <t>400,13</t>
  </si>
  <si>
    <t>0,48</t>
  </si>
  <si>
    <t>0,5762</t>
  </si>
  <si>
    <t>0,5724 M3</t>
  </si>
  <si>
    <t>98459-11</t>
  </si>
  <si>
    <t>98459-12</t>
  </si>
  <si>
    <t>98459-13</t>
  </si>
  <si>
    <t>98459-14</t>
  </si>
  <si>
    <t>98459-15</t>
  </si>
  <si>
    <t>98459-16</t>
  </si>
  <si>
    <t>2.1.2</t>
  </si>
  <si>
    <t>98525</t>
  </si>
  <si>
    <t>LIMPEZA MECANIZADA DE CAMADA VEGETAL, VEGETAÇÃO E PEQUENAS ÁRVORES (DIÂMETRO DE TRONCO MENOR QUE 0,20 M), COM TRATOR DE ESTEIRAS.AF_05/2018</t>
  </si>
  <si>
    <t>1365</t>
  </si>
  <si>
    <t>0,45</t>
  </si>
  <si>
    <t>614,25</t>
  </si>
  <si>
    <t>0,2125</t>
  </si>
  <si>
    <t>290,0625</t>
  </si>
  <si>
    <t>0,0625</t>
  </si>
  <si>
    <t>85,3125</t>
  </si>
  <si>
    <t>0,175</t>
  </si>
  <si>
    <t>737,1</t>
  </si>
  <si>
    <t>9,9092633641e-05</t>
  </si>
  <si>
    <t>98525-2</t>
  </si>
  <si>
    <t>2.1.2.1</t>
  </si>
  <si>
    <t>88316</t>
  </si>
  <si>
    <t>SERVENTE COM ENCARGOS COMPLEMENTARES</t>
  </si>
  <si>
    <t>0,003</t>
  </si>
  <si>
    <t>27,32</t>
  </si>
  <si>
    <t>0,08</t>
  </si>
  <si>
    <t>0,0984</t>
  </si>
  <si>
    <t>4,095 H</t>
  </si>
  <si>
    <t>98525-3</t>
  </si>
  <si>
    <t>2.1.2.2</t>
  </si>
  <si>
    <t>88441</t>
  </si>
  <si>
    <t>JARDINEIRO COM ENCARGOS COMPLEMENTARES</t>
  </si>
  <si>
    <t>27,14</t>
  </si>
  <si>
    <t>0,0977</t>
  </si>
  <si>
    <t>98525-4</t>
  </si>
  <si>
    <t>2.1.2.3</t>
  </si>
  <si>
    <t>89031</t>
  </si>
  <si>
    <t>TRATOR DE ESTEIRAS, POTÊNCIA 100 HP, PESO OPERACIONAL 9,4 T, COM LÂMINA 2,19 M3 - CHI DIURNO. AF_06/2014</t>
  </si>
  <si>
    <t>0,0024</t>
  </si>
  <si>
    <t>76,02</t>
  </si>
  <si>
    <t>0,18</t>
  </si>
  <si>
    <t>0,2189</t>
  </si>
  <si>
    <t>3,276 CHI</t>
  </si>
  <si>
    <t>98525-5</t>
  </si>
  <si>
    <t>2.1.2.4</t>
  </si>
  <si>
    <t>89032</t>
  </si>
  <si>
    <t>TRATOR DE ESTEIRAS, POTÊNCIA 100 HP, PESO OPERACIONAL 9,4 T, COM LÂMINA 2,19 M3 - CHP DIURNO. AF_06/2014</t>
  </si>
  <si>
    <t>0,0006</t>
  </si>
  <si>
    <t>184,63</t>
  </si>
  <si>
    <t>0,11</t>
  </si>
  <si>
    <t>0,1329</t>
  </si>
  <si>
    <t>0,819 CHP</t>
  </si>
  <si>
    <t>98525-6</t>
  </si>
  <si>
    <t>98525-7</t>
  </si>
  <si>
    <t>98525-8</t>
  </si>
  <si>
    <t>98525-9</t>
  </si>
  <si>
    <t>98525-10</t>
  </si>
  <si>
    <t>98525-11</t>
  </si>
  <si>
    <t>98525-12</t>
  </si>
  <si>
    <t>98525-13</t>
  </si>
  <si>
    <t>98525-14</t>
  </si>
  <si>
    <t>98525-15</t>
  </si>
  <si>
    <t>98525-16</t>
  </si>
  <si>
    <t>SP.2</t>
  </si>
  <si>
    <t>2.2</t>
  </si>
  <si>
    <t>EDIFICAÇÕES PROVISÓRIAS</t>
  </si>
  <si>
    <t>15442,5</t>
  </si>
  <si>
    <t>3198,6147</t>
  </si>
  <si>
    <t>12239,1548</t>
  </si>
  <si>
    <t>3,1365</t>
  </si>
  <si>
    <t>18531</t>
  </si>
  <si>
    <t>0,0024912299471</t>
  </si>
  <si>
    <t>2.2.1</t>
  </si>
  <si>
    <t>93207</t>
  </si>
  <si>
    <t>EXECUÇÃO DE ESCRITÓRIO EM CANTEIRO DE OBRA EM CHAPA DE MADEIRA COMPENSADA, NÃO INCLUSO MOBILIÁRIO E EQUIPAMENTOS. AF_02/2016</t>
  </si>
  <si>
    <t>230,93</t>
  </si>
  <si>
    <t>2309,3</t>
  </si>
  <si>
    <t>49,4948</t>
  </si>
  <si>
    <t>494,9477</t>
  </si>
  <si>
    <t>181,3853</t>
  </si>
  <si>
    <t>1813,8532</t>
  </si>
  <si>
    <t>0,0333</t>
  </si>
  <si>
    <t>0,3327</t>
  </si>
  <si>
    <t>2771,16</t>
  </si>
  <si>
    <t>0,00037254313206</t>
  </si>
  <si>
    <t>93207-2</t>
  </si>
  <si>
    <t>2.2.1.1</t>
  </si>
  <si>
    <t>3080</t>
  </si>
  <si>
    <t>FECHADURA ESPELHO PARA PORTA EXTERNA, EM ACO INOX (MAQUINA, TESTA E CONTRA-TESTA) E EM ZAMAC (MACANETA, LINGUETA E TRINCOS) COM ACABAMENTO CROMADO, MAQUINA DE 40 MM, INCLUINDO CHAVE TIPO CILINDRO</t>
  </si>
  <si>
    <t>0,0578</t>
  </si>
  <si>
    <t>CJ</t>
  </si>
  <si>
    <t>103</t>
  </si>
  <si>
    <t>5,95</t>
  </si>
  <si>
    <t>7,1441</t>
  </si>
  <si>
    <t>0,578 CJ</t>
  </si>
  <si>
    <t>93207-3</t>
  </si>
  <si>
    <t>2.2.1.2</t>
  </si>
  <si>
    <t>3097</t>
  </si>
  <si>
    <t>FECHADURA ROSETA REDONDA PARA PORTA DE BANHEIRO, EM ACO INOX (MAQUINA, TESTA E CONTRA-TESTA) E EM ZAMAC (MACANETA, LINGUETA E TRINCOS) COM ACABAMENTO CROMADO, MAQUINA DE 40 MM, INCLUINDO CHAVE TIPO TRANQUETA</t>
  </si>
  <si>
    <t>0,0385</t>
  </si>
  <si>
    <t>115,32</t>
  </si>
  <si>
    <t>4,43</t>
  </si>
  <si>
    <t>5,3278</t>
  </si>
  <si>
    <t>0,385 CJ</t>
  </si>
  <si>
    <t>93207-4</t>
  </si>
  <si>
    <t>2.2.1.3</t>
  </si>
  <si>
    <t>10886</t>
  </si>
  <si>
    <t>EXTINTOR DE INCENDIO PORTATIL COM CARGA DE AGUA PRESSURIZADA DE 10 L, CLASSE A</t>
  </si>
  <si>
    <t>0,0193</t>
  </si>
  <si>
    <t>UN</t>
  </si>
  <si>
    <t>196,52</t>
  </si>
  <si>
    <t>3,79</t>
  </si>
  <si>
    <t>4,5514</t>
  </si>
  <si>
    <t>0,193 UN</t>
  </si>
  <si>
    <t>93207-5</t>
  </si>
  <si>
    <t>2.2.1.4</t>
  </si>
  <si>
    <t>10891</t>
  </si>
  <si>
    <t>EXTINTOR DE INCENDIO PORTATIL COM CARGA DE PO QUIMICO SECO (PQS) DE 4 KG, CLASSE BC</t>
  </si>
  <si>
    <t>190,04</t>
  </si>
  <si>
    <t>3,66</t>
  </si>
  <si>
    <t>4,4013</t>
  </si>
  <si>
    <t>93207-6</t>
  </si>
  <si>
    <t>2.2.1.5</t>
  </si>
  <si>
    <t>11587</t>
  </si>
  <si>
    <t>FORRO DE PVC LISO, BRANCO, REGUA DE 10 CM, ESPESSURA DE 8 MM A 10 MM (COM COLOCACAO / SEM ESTRUTURA METALICA)</t>
  </si>
  <si>
    <t>0,9938</t>
  </si>
  <si>
    <t>90,73</t>
  </si>
  <si>
    <t>90,16</t>
  </si>
  <si>
    <t>108,201</t>
  </si>
  <si>
    <t>9,938 M2</t>
  </si>
  <si>
    <t>93207-7</t>
  </si>
  <si>
    <t>2.2.1.6</t>
  </si>
  <si>
    <t>86888</t>
  </si>
  <si>
    <t>VASO SANITÁRIO SIFONADO COM CAIXA ACOPLADA LOUÇA BRANCA - FORNECIMENTO E INSTALAÇÃO. AF_01/2020</t>
  </si>
  <si>
    <t>474,14</t>
  </si>
  <si>
    <t>18,25</t>
  </si>
  <si>
    <t>21,9053</t>
  </si>
  <si>
    <t>0,385 UN</t>
  </si>
  <si>
    <t>93207-8</t>
  </si>
  <si>
    <t>2.2.1.7</t>
  </si>
  <si>
    <t>86934</t>
  </si>
  <si>
    <t>BANCADA DE MÁRMORE SINTÉTICO 120 X 60CM, COM CUBA INTEGRADA, INCLUSO SIFÃO TIPO FLEXÍVEL EM PVC, VÁLVULA EM PLÁSTICO CROMADO TIPO AMERICANA E TORNEIRA CROMADA LONGA, DE PAREDE, PADRÃO POPULAR - FORNECIMENTO E INSTALAÇÃO. AF_01/2020</t>
  </si>
  <si>
    <t>467,44</t>
  </si>
  <si>
    <t>9,02</t>
  </si>
  <si>
    <t>10,8259</t>
  </si>
  <si>
    <t>93207-9</t>
  </si>
  <si>
    <t>2.2.1.8</t>
  </si>
  <si>
    <t>86943</t>
  </si>
  <si>
    <t>LAVATÓRIO LOUÇA BRANCA SUSPENSO, 29,5 X 39CM OU EQUIVALENTE, PADRÃO POPULAR, INCLUSO SIFÃO FLEXÍVEL EM PVC, VÁLVULA E ENGATE FLEXÍVEL 30CM EM PLÁSTICO E TORNEIRA CROMADA DE MESA, PADRÃO POPULAR - FORNECIMENTO E INSTALAÇÃO. AF_01/2020</t>
  </si>
  <si>
    <t>262,89</t>
  </si>
  <si>
    <t>10,12</t>
  </si>
  <si>
    <t>12,1455</t>
  </si>
  <si>
    <t>93207-10</t>
  </si>
  <si>
    <t>2.2.1.9</t>
  </si>
  <si>
    <t>87548</t>
  </si>
  <si>
    <t>MASSA ÚNICA, PARA RECEBIMENTO DE PINTURA, EM ARGAMASSA TRAÇO 1:2:8, PREPARO MANUAL, APLICADA MANUALMENTE EM FACES INTERNAS DE PAREDES, ESPESSURA DE 10MM, COM EXECUÇÃO DE TALISCAS. AF_06/2014</t>
  </si>
  <si>
    <t>28,23</t>
  </si>
  <si>
    <t>1,08</t>
  </si>
  <si>
    <t>1,3042</t>
  </si>
  <si>
    <t>0,385 M2</t>
  </si>
  <si>
    <t>93207-11</t>
  </si>
  <si>
    <t>2.2.1.10</t>
  </si>
  <si>
    <t>87885</t>
  </si>
  <si>
    <t>CHAPISCO APLICADO NO TETO OU EM ALVENARIA E ESTRUTURA, COM ROLO PARA TEXTURA ACRÍLICA. ARGAMASSA INDUSTRIALIZADA COM PREPARO EM MISTURADOR 300 KG. AF_10/2022</t>
  </si>
  <si>
    <t>0,2047</t>
  </si>
  <si>
    <t>9,52</t>
  </si>
  <si>
    <t>1,94</t>
  </si>
  <si>
    <t>2,3385</t>
  </si>
  <si>
    <t>2,047 M2</t>
  </si>
  <si>
    <t>93207-12</t>
  </si>
  <si>
    <t>2.2.1.11</t>
  </si>
  <si>
    <t>88489</t>
  </si>
  <si>
    <t>PINTURA LÁTEX ACRÍLICA PREMIUM, APLICAÇÃO MANUAL EM PAREDES, DUAS DEMÃOS. AF_04/2023</t>
  </si>
  <si>
    <t>4,4976</t>
  </si>
  <si>
    <t>14,3</t>
  </si>
  <si>
    <t>64,31</t>
  </si>
  <si>
    <t>77,1788</t>
  </si>
  <si>
    <t>44,976 M2</t>
  </si>
  <si>
    <t>93207-13</t>
  </si>
  <si>
    <t>2.2.1.12</t>
  </si>
  <si>
    <t>89171</t>
  </si>
  <si>
    <t>(COMPOSIÇÃO REPRESENTATIVA) DO SERVIÇO DE REVESTIMENTO CERÂMICO PARA PISO COM PLACAS TIPO ESMALTADA EXTRA DE DIMENSÕES 35X35 CM, PARA EDIFICAÇÃO HABITACIONAL UNIFAMILIAR (CASA) E EDIFICAÇÃO PÚBLICA PADRÃO. AF_11/2014</t>
  </si>
  <si>
    <t>0,0806</t>
  </si>
  <si>
    <t>64,38</t>
  </si>
  <si>
    <t>5,18</t>
  </si>
  <si>
    <t>6,2268</t>
  </si>
  <si>
    <t>0,806 M2</t>
  </si>
  <si>
    <t>93207-14</t>
  </si>
  <si>
    <t>2.2.1.13</t>
  </si>
  <si>
    <t>89173</t>
  </si>
  <si>
    <t>(COMPOSIÇÃO REPRESENTATIVA) DO SERVIÇO DE EMBOÇO/MASSA ÚNICA, APLICADO MANUALMENTE, TRAÇO 1:2:8, EM BETONEIRA DE 400L, PAREDES INTERNAS, COM EXECUÇÃO DE TALISCAS, EDIFICAÇÃO HABITACIONAL UNIFAMILIAR (CASAS) E EDIFICAÇÃO PÚBLICA PADRÃO. AF_12/2014</t>
  </si>
  <si>
    <t>37,53</t>
  </si>
  <si>
    <t>7,68</t>
  </si>
  <si>
    <t>9,2189</t>
  </si>
  <si>
    <t>93207-15</t>
  </si>
  <si>
    <t>2.2.1.14</t>
  </si>
  <si>
    <t>89482</t>
  </si>
  <si>
    <t>CAIXA SIFONADA, PVC, DN 100 X 100 X 50 MM, FORNECIDA E INSTALADA EM RAMAIS DE ENCAMINHAMENTO DE ÁGUA PLUVIAL. AF_06/2022</t>
  </si>
  <si>
    <t>44,64</t>
  </si>
  <si>
    <t>1,71</t>
  </si>
  <si>
    <t>2,0624</t>
  </si>
  <si>
    <t>93207-16</t>
  </si>
  <si>
    <t>2.2.1.15</t>
  </si>
  <si>
    <t>89711</t>
  </si>
  <si>
    <t>TUBO PVC, SERIE NORMAL, ESGOTO PREDIAL, DN 40 MM, FORNECIDO E INSTALADO EM RAMAL DE DESCARGA OU RAMAL DE ESGOTO SANITÁRIO. AF_08/2022</t>
  </si>
  <si>
    <t>0,1388</t>
  </si>
  <si>
    <t>26,3</t>
  </si>
  <si>
    <t>3,65</t>
  </si>
  <si>
    <t>4,3805</t>
  </si>
  <si>
    <t>1,388 M</t>
  </si>
  <si>
    <t>2.2.2</t>
  </si>
  <si>
    <t>93208</t>
  </si>
  <si>
    <t>EXECUÇÃO DE ALMOXARIFADO EM CANTEIRO DE OBRA EM CHAPA DE MADEIRA COMPENSADA, INCLUSO PRATELEIRAS. AF_02/2016</t>
  </si>
  <si>
    <t>20</t>
  </si>
  <si>
    <t>343,7</t>
  </si>
  <si>
    <t>6874</t>
  </si>
  <si>
    <t>64,4084</t>
  </si>
  <si>
    <t>1288,1672</t>
  </si>
  <si>
    <t>279,1896</t>
  </si>
  <si>
    <t>5583,7929</t>
  </si>
  <si>
    <t>0,0668</t>
  </si>
  <si>
    <t>1,3365</t>
  </si>
  <si>
    <t>8248,8</t>
  </si>
  <si>
    <t>0,0011089340882</t>
  </si>
  <si>
    <t>93208-2</t>
  </si>
  <si>
    <t>2.2.2.1</t>
  </si>
  <si>
    <t>4513</t>
  </si>
  <si>
    <t>CAIBRO 5 X 5 CM EM PINUS, MISTA OU EQUIVALENTE DA REGIAO - BRUTA</t>
  </si>
  <si>
    <t>3,4844</t>
  </si>
  <si>
    <t>5,36</t>
  </si>
  <si>
    <t>18,67</t>
  </si>
  <si>
    <t>22,4117</t>
  </si>
  <si>
    <t>69,688 M</t>
  </si>
  <si>
    <t>93208-3</t>
  </si>
  <si>
    <t>2.2.2.2</t>
  </si>
  <si>
    <t>6193</t>
  </si>
  <si>
    <t>TABUA NAO APARELHADA *2,5 X 20* CM, EM MACARANDUBA/MASSARANDUBA, ANGELIM OU EQUIVALENTE DA REGIAO - BRUTA</t>
  </si>
  <si>
    <t>3,9174</t>
  </si>
  <si>
    <t>22,38</t>
  </si>
  <si>
    <t>87,67</t>
  </si>
  <si>
    <t>105,2057</t>
  </si>
  <si>
    <t>78,348 M</t>
  </si>
  <si>
    <t>93208-4</t>
  </si>
  <si>
    <t>2.2.2.3</t>
  </si>
  <si>
    <t>0,0252</t>
  </si>
  <si>
    <t>4,95</t>
  </si>
  <si>
    <t>5,9428</t>
  </si>
  <si>
    <t>0,504 UN</t>
  </si>
  <si>
    <t>93208-5</t>
  </si>
  <si>
    <t>2.2.2.4</t>
  </si>
  <si>
    <t>4,78</t>
  </si>
  <si>
    <t>5,7468</t>
  </si>
  <si>
    <t>93208-6</t>
  </si>
  <si>
    <t>2.2.2.5</t>
  </si>
  <si>
    <t>11455</t>
  </si>
  <si>
    <t>FERROLHO COM FECHO / TRINCO REDONDO, EM ACO GALVANIZADO / ZINCADO, DE SOBREPOR, COM COMPRIMENTO DE 8" E ESPESSURA MINIMA DA CHAPA DE 1,50 MM</t>
  </si>
  <si>
    <t>16,1</t>
  </si>
  <si>
    <t>0,4</t>
  </si>
  <si>
    <t>0,4869</t>
  </si>
  <si>
    <t>93208-7</t>
  </si>
  <si>
    <t>2.2.2.6</t>
  </si>
  <si>
    <t>108,876</t>
  </si>
  <si>
    <t>20 M2</t>
  </si>
  <si>
    <t>93208-8</t>
  </si>
  <si>
    <t>2.2.2.7</t>
  </si>
  <si>
    <t>0,9794</t>
  </si>
  <si>
    <t>30,68</t>
  </si>
  <si>
    <t>36,8215</t>
  </si>
  <si>
    <t>19,588 H</t>
  </si>
  <si>
    <t>93208-9</t>
  </si>
  <si>
    <t>2.2.2.8</t>
  </si>
  <si>
    <t>3,7457</t>
  </si>
  <si>
    <t>53,56</t>
  </si>
  <si>
    <t>64,2762</t>
  </si>
  <si>
    <t>74,914 M2</t>
  </si>
  <si>
    <t>93208-10</t>
  </si>
  <si>
    <t>2.2.2.9</t>
  </si>
  <si>
    <t>91170</t>
  </si>
  <si>
    <t>FIXAÇÃO DE TUBOS HORIZONTAIS DE PVC, CPVC OU COBRE DIÂMETROS MENORES OU IGUAIS A 40 MM OU ELETROCALHAS ATÉ 150MM DE LARGURA, COM ABRAÇADEIRA METÁLICA RÍGIDA TIPO D 1/2, FIXADA EM PERFILADO EM LAJE. AF_05/2015</t>
  </si>
  <si>
    <t>0,2518</t>
  </si>
  <si>
    <t>4,11</t>
  </si>
  <si>
    <t>1,03</t>
  </si>
  <si>
    <t>1,2419</t>
  </si>
  <si>
    <t>5,036 M</t>
  </si>
  <si>
    <t>93208-11</t>
  </si>
  <si>
    <t>2.2.2.10</t>
  </si>
  <si>
    <t>91173</t>
  </si>
  <si>
    <t>FIXAÇÃO DE TUBOS VERTICAIS DE PPR DIÂMETROS MENORES OU IGUAIS A 40 MM COM ABRAÇADEIRA METÁLICA RÍGIDA TIPO D 1/2", FIXADA EM PERFILADO EM ALVENARIA. AF_05/2015</t>
  </si>
  <si>
    <t>0,2266</t>
  </si>
  <si>
    <t>2,07</t>
  </si>
  <si>
    <t>0,46</t>
  </si>
  <si>
    <t>0,5629</t>
  </si>
  <si>
    <t>4,532 M</t>
  </si>
  <si>
    <t>93208-12</t>
  </si>
  <si>
    <t>2.2.2.11</t>
  </si>
  <si>
    <t>91341</t>
  </si>
  <si>
    <t>PORTA EM ALUMÍNIO DE ABRIR TIPO VENEZIANA COM GUARNIÇÃO, FIXAÇÃO COM PARAFUSOS - FORNECIMENTO E INSTALAÇÃO. AF_12/2019</t>
  </si>
  <si>
    <t>0,0634</t>
  </si>
  <si>
    <t>640,38</t>
  </si>
  <si>
    <t>40,6</t>
  </si>
  <si>
    <t>48,7201</t>
  </si>
  <si>
    <t>1,268 M2</t>
  </si>
  <si>
    <t>93208-13</t>
  </si>
  <si>
    <t>2.2.2.12</t>
  </si>
  <si>
    <t>91862</t>
  </si>
  <si>
    <t>ELETRODUTO RÍGIDO ROSCÁVEL, PVC, DN 20 MM (1/2"), PARA CIRCUITOS TERMINAIS, INSTALADO EM FORRO - FORNECIMENTO E INSTALAÇÃO. AF_03/2023</t>
  </si>
  <si>
    <t>11,56</t>
  </si>
  <si>
    <t>2,91</t>
  </si>
  <si>
    <t>3,493</t>
  </si>
  <si>
    <t>93208-14</t>
  </si>
  <si>
    <t>2.2.2.13</t>
  </si>
  <si>
    <t>91870</t>
  </si>
  <si>
    <t>ELETRODUTO RÍGIDO ROSCÁVEL, PVC, DN 20 MM (1/2"), PARA CIRCUITOS TERMINAIS, INSTALADO EM PAREDE - FORNECIMENTO E INSTALAÇÃO. AF_03/2023</t>
  </si>
  <si>
    <t>15,9</t>
  </si>
  <si>
    <t>3,6</t>
  </si>
  <si>
    <t>4,3235</t>
  </si>
  <si>
    <t>93208-15</t>
  </si>
  <si>
    <t>2.2.2.14</t>
  </si>
  <si>
    <t>91911</t>
  </si>
  <si>
    <t>CURVA 90 GRAUS PARA ELETRODUTO, PVC, ROSCÁVEL, DN 20 MM (1/2"), PARA CIRCUITOS TERMINAIS, INSTALADA EM PAREDE - FORNECIMENTO E INSTALAÇÃO. AF_03/2023</t>
  </si>
  <si>
    <t>0,0755</t>
  </si>
  <si>
    <t>22,8</t>
  </si>
  <si>
    <t>1,72</t>
  </si>
  <si>
    <t>2,0657</t>
  </si>
  <si>
    <t>1,51 UN</t>
  </si>
  <si>
    <t>93208-16</t>
  </si>
  <si>
    <t>2.2.2.15</t>
  </si>
  <si>
    <t>91924</t>
  </si>
  <si>
    <t>CABO DE COBRE FLEXÍVEL ISOLADO, 1,5 MM², ANTI-CHAMA 450/750 V, PARA CIRCUITOS TERMINAIS - FORNECIMENTO E INSTALAÇÃO. AF_03/2023</t>
  </si>
  <si>
    <t>0,6219</t>
  </si>
  <si>
    <t>3,13</t>
  </si>
  <si>
    <t>2,3359</t>
  </si>
  <si>
    <t>12,438 M</t>
  </si>
  <si>
    <t>2.2.3</t>
  </si>
  <si>
    <t>93212</t>
  </si>
  <si>
    <t>EXECUÇÃO DE SANITÁRIO E VESTIÁRIO EM CANTEIRO DE OBRA EM CHAPA DE MADEIRA COMPENSADA, NÃO INCLUSO MOBILIÁRIO. AF_02/2016</t>
  </si>
  <si>
    <t>221,97</t>
  </si>
  <si>
    <t>1109,85</t>
  </si>
  <si>
    <t>54,2376</t>
  </si>
  <si>
    <t>271,188</t>
  </si>
  <si>
    <t>167,6665</t>
  </si>
  <si>
    <t>838,3327</t>
  </si>
  <si>
    <t>0,0432</t>
  </si>
  <si>
    <t>0,2161</t>
  </si>
  <si>
    <t>1331,82</t>
  </si>
  <si>
    <t>0,00017904429702</t>
  </si>
  <si>
    <t>93212-2</t>
  </si>
  <si>
    <t>2.2.3.1</t>
  </si>
  <si>
    <t>0,0348</t>
  </si>
  <si>
    <t>3,58</t>
  </si>
  <si>
    <t>4,3013</t>
  </si>
  <si>
    <t>0,174 CJ</t>
  </si>
  <si>
    <t>93212-3</t>
  </si>
  <si>
    <t>2.2.3.2</t>
  </si>
  <si>
    <t>3659</t>
  </si>
  <si>
    <t>JUNCAO SIMPLES DE REDUCAO, PVC, DN 100 X 50 MM, SERIE NORMAL PARA ESGOTO PREDIAL</t>
  </si>
  <si>
    <t>0,0174</t>
  </si>
  <si>
    <t>20,41</t>
  </si>
  <si>
    <t>0,35</t>
  </si>
  <si>
    <t>0,4262</t>
  </si>
  <si>
    <t>0,087 UN</t>
  </si>
  <si>
    <t>93212-4</t>
  </si>
  <si>
    <t>2.2.3.3</t>
  </si>
  <si>
    <t>3670</t>
  </si>
  <si>
    <t>JUNCAO SIMPLES, PVC, 45 GRAUS, DN 100 X 100 MM, SERIE NORMAL PARA ESGOTO PREDIAL</t>
  </si>
  <si>
    <t>26,21</t>
  </si>
  <si>
    <t>0,91</t>
  </si>
  <si>
    <t>1,0945</t>
  </si>
  <si>
    <t>0,174 UN</t>
  </si>
  <si>
    <t>93212-5</t>
  </si>
  <si>
    <t>2.2.3.4</t>
  </si>
  <si>
    <t>0,9762</t>
  </si>
  <si>
    <t>88,57</t>
  </si>
  <si>
    <t>106,2848</t>
  </si>
  <si>
    <t>4,881 M2</t>
  </si>
  <si>
    <t>93212-6</t>
  </si>
  <si>
    <t>2.2.3.5</t>
  </si>
  <si>
    <t>11697</t>
  </si>
  <si>
    <t>MICTORIO COLETIVO ACO INOX (AISI 304), E = 0,8 MM, DE *100 X 40 X 30* CM (C X A X P)</t>
  </si>
  <si>
    <t>668,58</t>
  </si>
  <si>
    <t>11,63</t>
  </si>
  <si>
    <t>13,96</t>
  </si>
  <si>
    <t>93212-7</t>
  </si>
  <si>
    <t>2.2.3.6</t>
  </si>
  <si>
    <t>11712</t>
  </si>
  <si>
    <t>CAIXA SIFONADA, PVC, 150 X 150 X 50 MM, COM GRELHA QUADRADA, BRANCA (NBR 5688)</t>
  </si>
  <si>
    <t>48,86</t>
  </si>
  <si>
    <t>1,7</t>
  </si>
  <si>
    <t>2,0404</t>
  </si>
  <si>
    <t>93212-8</t>
  </si>
  <si>
    <t>2.2.3.7</t>
  </si>
  <si>
    <t>21112</t>
  </si>
  <si>
    <t>VALVULA DE DESCARGA EM METAL CROMADO PARA MICTORIO COM ACIONAMENTO POR PRESSAO E FECHAMENTO AUTOMATICO</t>
  </si>
  <si>
    <t>271,07</t>
  </si>
  <si>
    <t>4,71</t>
  </si>
  <si>
    <t>5,6599</t>
  </si>
  <si>
    <t>93212-9</t>
  </si>
  <si>
    <t>2.2.3.8</t>
  </si>
  <si>
    <t>43777</t>
  </si>
  <si>
    <t>PORTA DE MADEIRA, FOLHA LEVE (NBR 15930), DE 600 X 2100 MM, E = 35 MM, NUCLEO COLMEIA, CAPA LISA EM HDF, ACABAMENTO MELAMINICO EM PADRAO MADEIRA</t>
  </si>
  <si>
    <t>0,0447618</t>
  </si>
  <si>
    <t>266,33</t>
  </si>
  <si>
    <t>11,92</t>
  </si>
  <si>
    <t>14,3057</t>
  </si>
  <si>
    <t>0,2238 UN</t>
  </si>
  <si>
    <t>93212-10</t>
  </si>
  <si>
    <t>2.2.3.9</t>
  </si>
  <si>
    <t>0,0522</t>
  </si>
  <si>
    <t>24,75</t>
  </si>
  <si>
    <t>29,7001</t>
  </si>
  <si>
    <t>0,261 UN</t>
  </si>
  <si>
    <t>93212-11</t>
  </si>
  <si>
    <t>2.2.3.10</t>
  </si>
  <si>
    <t>13,72</t>
  </si>
  <si>
    <t>16,4674</t>
  </si>
  <si>
    <t>93212-12</t>
  </si>
  <si>
    <t>2.2.3.11</t>
  </si>
  <si>
    <t>0,1894</t>
  </si>
  <si>
    <t>5,34</t>
  </si>
  <si>
    <t>6,4161</t>
  </si>
  <si>
    <t>0,947 M2</t>
  </si>
  <si>
    <t>93212-13</t>
  </si>
  <si>
    <t>2.2.3.12</t>
  </si>
  <si>
    <t>87777</t>
  </si>
  <si>
    <t>EMBOÇO OU MASSA ÚNICA EM ARGAMASSA TRAÇO 1:2:8, PREPARO MANUAL, APLICADA MANUALMENTE EM PANOS DE FACHADA COM PRESENÇA DE VÃOS, ESPESSURA DE 25 MM. AF_08/2022</t>
  </si>
  <si>
    <t>0,1681</t>
  </si>
  <si>
    <t>62,33</t>
  </si>
  <si>
    <t>10,47</t>
  </si>
  <si>
    <t>12,5732</t>
  </si>
  <si>
    <t>0,8405 M2</t>
  </si>
  <si>
    <t>93212-14</t>
  </si>
  <si>
    <t>2.2.3.13</t>
  </si>
  <si>
    <t>0,7679</t>
  </si>
  <si>
    <t>7,31</t>
  </si>
  <si>
    <t>8,7725</t>
  </si>
  <si>
    <t>3,8395 M2</t>
  </si>
  <si>
    <t>93212-15</t>
  </si>
  <si>
    <t>2.2.3.14</t>
  </si>
  <si>
    <t>87903</t>
  </si>
  <si>
    <t>CHAPISCO APLICADO EM ALVENARIA (COM PRESENÇA DE VÃOS) E ESTRUTURAS DE CONCRETO DE FACHADA, COM ROLO PARA TEXTURA ACRÍLICA.  ARGAMASSA INDUSTRIALIZADA COM PREPARO EM MISTURADOR 300 KG. AF_10/2022</t>
  </si>
  <si>
    <t>12,27</t>
  </si>
  <si>
    <t>2,06</t>
  </si>
  <si>
    <t>2,4751</t>
  </si>
  <si>
    <t>93212-16</t>
  </si>
  <si>
    <t>2.2.3.15</t>
  </si>
  <si>
    <t>2,4442</t>
  </si>
  <si>
    <t>34,95</t>
  </si>
  <si>
    <t>41,9425</t>
  </si>
  <si>
    <t>12,221 M2</t>
  </si>
  <si>
    <t>2.2.4</t>
  </si>
  <si>
    <t>93585</t>
  </si>
  <si>
    <t>EXECUÇÃO DE GUARITA EM CANTEIRO DE OBRA EM CHAPA DE MADEIRA COMPENSADA, NÃO INCLUSO MOBILIÁRIO. AF_04/2016</t>
  </si>
  <si>
    <t>387,06</t>
  </si>
  <si>
    <t>1935,3</t>
  </si>
  <si>
    <t>67,4423</t>
  </si>
  <si>
    <t>337,2113</t>
  </si>
  <si>
    <t>319,5642</t>
  </si>
  <si>
    <t>1597,8212</t>
  </si>
  <si>
    <t>0,031</t>
  </si>
  <si>
    <t>0,1549</t>
  </si>
  <si>
    <t>2322,36</t>
  </si>
  <si>
    <t>0,00031220834169</t>
  </si>
  <si>
    <t>93585-2</t>
  </si>
  <si>
    <t>2.2.4.1</t>
  </si>
  <si>
    <t>0,1931</t>
  </si>
  <si>
    <t>19,88</t>
  </si>
  <si>
    <t>23,8672</t>
  </si>
  <si>
    <t>0,9655 CJ</t>
  </si>
  <si>
    <t>93585-3</t>
  </si>
  <si>
    <t>2.2.4.2</t>
  </si>
  <si>
    <t>3,7181</t>
  </si>
  <si>
    <t>53,16</t>
  </si>
  <si>
    <t>63,8026</t>
  </si>
  <si>
    <t>18,5905 M2</t>
  </si>
  <si>
    <t>93585-4</t>
  </si>
  <si>
    <t>2.2.4.3</t>
  </si>
  <si>
    <t>90822</t>
  </si>
  <si>
    <t>PORTA DE MADEIRA PARA PINTURA, SEMI-OCA (LEVE OU MÉDIA), 80X210CM, ESPESSURA DE 3,5CM, INCLUSO DOBRADIÇAS - FORNECIMENTO E INSTALAÇÃO. AF_12/2019</t>
  </si>
  <si>
    <t>429,25</t>
  </si>
  <si>
    <t>82,88</t>
  </si>
  <si>
    <t>99,4658</t>
  </si>
  <si>
    <t>0,9655 UN</t>
  </si>
  <si>
    <t>93585-5</t>
  </si>
  <si>
    <t>2.2.4.4</t>
  </si>
  <si>
    <t>0,2124</t>
  </si>
  <si>
    <t>0,87</t>
  </si>
  <si>
    <t>1,0476</t>
  </si>
  <si>
    <t>1,062 M</t>
  </si>
  <si>
    <t>93585-6</t>
  </si>
  <si>
    <t>2.2.4.5</t>
  </si>
  <si>
    <t>0,473</t>
  </si>
  <si>
    <t>0,97</t>
  </si>
  <si>
    <t>1,1749</t>
  </si>
  <si>
    <t>2,365 M</t>
  </si>
  <si>
    <t>93585-7</t>
  </si>
  <si>
    <t>2.2.4.6</t>
  </si>
  <si>
    <t>91852</t>
  </si>
  <si>
    <t>ELETRODUTO FLEXÍVEL CORRUGADO, PVC, DN 20 MM (1/2"), PARA CIRCUITOS TERMINAIS, INSTALADO EM PAREDE - FORNECIMENTO E INSTALAÇÃO. AF_03/2023</t>
  </si>
  <si>
    <t>11,51</t>
  </si>
  <si>
    <t>2,22</t>
  </si>
  <si>
    <t>2,6671</t>
  </si>
  <si>
    <t>0,9655 M</t>
  </si>
  <si>
    <t>93585-8</t>
  </si>
  <si>
    <t>2.2.4.7</t>
  </si>
  <si>
    <t>2,45</t>
  </si>
  <si>
    <t>2,9464</t>
  </si>
  <si>
    <t>93585-9</t>
  </si>
  <si>
    <t>2.2.4.8</t>
  </si>
  <si>
    <t>0,4826</t>
  </si>
  <si>
    <t>7,67</t>
  </si>
  <si>
    <t>9,208</t>
  </si>
  <si>
    <t>2,413 M</t>
  </si>
  <si>
    <t>93585-10</t>
  </si>
  <si>
    <t>2.2.4.9</t>
  </si>
  <si>
    <t>91926</t>
  </si>
  <si>
    <t>CABO DE COBRE FLEXÍVEL ISOLADO, 2,5 MM², ANTI-CHAMA 450/750 V, PARA CIRCUITOS TERMINAIS - FORNECIMENTO E INSTALAÇÃO. AF_03/2023</t>
  </si>
  <si>
    <t>2,1429</t>
  </si>
  <si>
    <t>4,4</t>
  </si>
  <si>
    <t>9,42</t>
  </si>
  <si>
    <t>11,3145</t>
  </si>
  <si>
    <t>10,7145 M</t>
  </si>
  <si>
    <t>93585-11</t>
  </si>
  <si>
    <t>2.2.4.10</t>
  </si>
  <si>
    <t>92027</t>
  </si>
  <si>
    <t>INTERRUPTOR SIMPLES (2 MÓDULOS) COM 1 TOMADA DE EMBUTIR 2P+T 10 A, INCLUINDO SUPORTE E PLACA - FORNECIMENTO E INSTALAÇÃO. AF_03/2023</t>
  </si>
  <si>
    <t>88,53</t>
  </si>
  <si>
    <t>17,09</t>
  </si>
  <si>
    <t>20,5142</t>
  </si>
  <si>
    <t>93585-12</t>
  </si>
  <si>
    <t>2.2.4.11</t>
  </si>
  <si>
    <t>92543</t>
  </si>
  <si>
    <t>TRAMA DE MADEIRA COMPOSTA POR TERÇAS PARA TELHADOS DE ATÉ 2 ÁGUAS PARA TELHA ONDULADA DE FIBROCIMENTO, METÁLICA, PLÁSTICA OU TERMOACÚSTICA, INCLUSO TRANSPORTE VERTICAL. AF_07/2019</t>
  </si>
  <si>
    <t>1,5965</t>
  </si>
  <si>
    <t>27,38</t>
  </si>
  <si>
    <t>43,71</t>
  </si>
  <si>
    <t>52,4546</t>
  </si>
  <si>
    <t>7,9825 M2</t>
  </si>
  <si>
    <t>93585-13</t>
  </si>
  <si>
    <t>2.2.4.12</t>
  </si>
  <si>
    <t>94210</t>
  </si>
  <si>
    <t>TELHAMENTO COM TELHA ONDULADA DE FIBROCIMENTO E = 6 MM, COM RECOBRIMENTO LATERAL DE 1 1/4 DE ONDA PARA TELHADO COM INCLINAÇÃO MÁXIMA DE 10°, COM ATÉ 2 ÁGUAS, INCLUSO IÇAMENTO. AF_07/2019</t>
  </si>
  <si>
    <t>48,5</t>
  </si>
  <si>
    <t>77,43</t>
  </si>
  <si>
    <t>92,9163</t>
  </si>
  <si>
    <t>93585-14</t>
  </si>
  <si>
    <t>2.2.4.13</t>
  </si>
  <si>
    <t>95240</t>
  </si>
  <si>
    <t>LASTRO DE CONCRETO MAGRO, APLICADO EM PISOS, LAJES SOBRE SOLO OU RADIERS, ESPESSURA DE 3 CM. AF_07/2016</t>
  </si>
  <si>
    <t>1,8263</t>
  </si>
  <si>
    <t>17,27</t>
  </si>
  <si>
    <t>31,54</t>
  </si>
  <si>
    <t>37,8482</t>
  </si>
  <si>
    <t>9,1315 M2</t>
  </si>
  <si>
    <t>93585-15</t>
  </si>
  <si>
    <t>2.2.4.14</t>
  </si>
  <si>
    <t>95811</t>
  </si>
  <si>
    <t>CONDULETE DE PVC, TIPO LB, PARA ELETRODUTO DE PVC SOLDÁVEL DN 25 MM (3/4''), APARENTE - FORNECIMENTO E INSTALAÇÃO. AF_10/2022</t>
  </si>
  <si>
    <t>0,3861</t>
  </si>
  <si>
    <t>21,51</t>
  </si>
  <si>
    <t>8,3</t>
  </si>
  <si>
    <t>9,966</t>
  </si>
  <si>
    <t>1,9305 UN</t>
  </si>
  <si>
    <t>93585-16</t>
  </si>
  <si>
    <t>2.2.4.15</t>
  </si>
  <si>
    <t>97593</t>
  </si>
  <si>
    <t>LUMINÁRIA TIPO SPOT, DE SOBREPOR, COM 1 LÂMPADA FLUORESCENTE DE 15 W, SEM REATOR - FORNECIMENTO E INSTALAÇÃO. AF_02/2020</t>
  </si>
  <si>
    <t>152,63</t>
  </si>
  <si>
    <t>29,47</t>
  </si>
  <si>
    <t>35,3674</t>
  </si>
  <si>
    <t>2.2.5</t>
  </si>
  <si>
    <t>93210</t>
  </si>
  <si>
    <t>EXECUÇÃO DE REFEITÓRIO EM CANTEIRO DE OBRA EM CHAPA DE MADEIRA COMPENSADA, NÃO INCLUSO MOBILIÁRIO E EQUIPAMENTOS. AF_02/2016</t>
  </si>
  <si>
    <t>214,27</t>
  </si>
  <si>
    <t>3214,05</t>
  </si>
  <si>
    <t>53,8067</t>
  </si>
  <si>
    <t>807,1005</t>
  </si>
  <si>
    <t>160,357</t>
  </si>
  <si>
    <t>2405,3548</t>
  </si>
  <si>
    <t>0,0731</t>
  </si>
  <si>
    <t>1,0963</t>
  </si>
  <si>
    <t>3856,86</t>
  </si>
  <si>
    <t>0,00051850008816</t>
  </si>
  <si>
    <t>93210-2</t>
  </si>
  <si>
    <t>2.2.5.1</t>
  </si>
  <si>
    <t>0,0268</t>
  </si>
  <si>
    <t>2,76</t>
  </si>
  <si>
    <t>3,3125</t>
  </si>
  <si>
    <t>0,402 CJ</t>
  </si>
  <si>
    <t>93210-3</t>
  </si>
  <si>
    <t>2.2.5.2</t>
  </si>
  <si>
    <t>5,26</t>
  </si>
  <si>
    <t>6,3201</t>
  </si>
  <si>
    <t>0,402 UN</t>
  </si>
  <si>
    <t>93210-4</t>
  </si>
  <si>
    <t>2.2.5.3</t>
  </si>
  <si>
    <t>5,09</t>
  </si>
  <si>
    <t>6,1117</t>
  </si>
  <si>
    <t>93210-5</t>
  </si>
  <si>
    <t>2.2.5.4</t>
  </si>
  <si>
    <t>15 M2</t>
  </si>
  <si>
    <t>93210-6</t>
  </si>
  <si>
    <t>2.2.5.5</t>
  </si>
  <si>
    <t>37525</t>
  </si>
  <si>
    <t>TELA PLASTICA TECIDA LISTRADA BRANCA E LARANJA, TIPO GUARDA CORPO, EM POLIETILENO MONOFILADO, ROLO 1,20 X 50 M (L X C)</t>
  </si>
  <si>
    <t>1,2782</t>
  </si>
  <si>
    <t>2,73</t>
  </si>
  <si>
    <t>3,48</t>
  </si>
  <si>
    <t>4,1874</t>
  </si>
  <si>
    <t>19,173 M</t>
  </si>
  <si>
    <t>93210-7</t>
  </si>
  <si>
    <t>2.2.5.6</t>
  </si>
  <si>
    <t>12,52</t>
  </si>
  <si>
    <t>15,0329</t>
  </si>
  <si>
    <t>93210-8</t>
  </si>
  <si>
    <t>2.2.5.7</t>
  </si>
  <si>
    <t>7,04</t>
  </si>
  <si>
    <t>8,4545</t>
  </si>
  <si>
    <t>93210-9</t>
  </si>
  <si>
    <t>2.2.5.8</t>
  </si>
  <si>
    <t>1,1155</t>
  </si>
  <si>
    <t>34,94</t>
  </si>
  <si>
    <t>41,9383</t>
  </si>
  <si>
    <t>16,7325 H</t>
  </si>
  <si>
    <t>93210-10</t>
  </si>
  <si>
    <t>2.2.5.9</t>
  </si>
  <si>
    <t>1,4293</t>
  </si>
  <si>
    <t>20,43</t>
  </si>
  <si>
    <t>24,5268</t>
  </si>
  <si>
    <t>21,4395 M2</t>
  </si>
  <si>
    <t>93210-11</t>
  </si>
  <si>
    <t>2.2.5.10</t>
  </si>
  <si>
    <t>0,0886</t>
  </si>
  <si>
    <t>2,33</t>
  </si>
  <si>
    <t>2,7962</t>
  </si>
  <si>
    <t>1,329 M</t>
  </si>
  <si>
    <t>93210-12</t>
  </si>
  <si>
    <t>2.2.5.11</t>
  </si>
  <si>
    <t>89714</t>
  </si>
  <si>
    <t>TUBO PVC, SERIE NORMAL, ESGOTO PREDIAL, DN 100 MM, FORNECIDO E INSTALADO EM RAMAL DE DESCARGA OU RAMAL DE ESGOTO SANITÁRIO. AF_08/2022</t>
  </si>
  <si>
    <t>0,1423</t>
  </si>
  <si>
    <t>45,7</t>
  </si>
  <si>
    <t>6,5</t>
  </si>
  <si>
    <t>7,8037</t>
  </si>
  <si>
    <t>2,1345 M</t>
  </si>
  <si>
    <t>93210-13</t>
  </si>
  <si>
    <t>2.2.5.12</t>
  </si>
  <si>
    <t>89724</t>
  </si>
  <si>
    <t>JOELHO 90 GRAUS, PVC, SERIE NORMAL, ESGOTO PREDIAL, DN 40 MM, JUNTA SOLDÁVEL, FORNECIDO E INSTALADO EM RAMAL DE DESCARGA OU RAMAL DE ESGOTO SANITÁRIO. AF_08/2022</t>
  </si>
  <si>
    <t>0,0537</t>
  </si>
  <si>
    <t>0,64</t>
  </si>
  <si>
    <t>0,7733</t>
  </si>
  <si>
    <t>0,8055 UN</t>
  </si>
  <si>
    <t>93210-14</t>
  </si>
  <si>
    <t>2.2.5.13</t>
  </si>
  <si>
    <t>89957</t>
  </si>
  <si>
    <t>PONTO DE CONSUMO TERMINAL DE ÁGUA FRIA (SUBRAMAL) COM TUBULAÇÃO DE PVC, DN 25 MM, INSTALADO EM RAMAL DE ÁGUA, INCLUSOS RASGO E CHUMBAMENTO EM ALVENARIA. AF_12/2014</t>
  </si>
  <si>
    <t>181,34</t>
  </si>
  <si>
    <t>9,73</t>
  </si>
  <si>
    <t>11,6855</t>
  </si>
  <si>
    <t>93210-15</t>
  </si>
  <si>
    <t>2.2.5.14</t>
  </si>
  <si>
    <t>11,5</t>
  </si>
  <si>
    <t>13,8047</t>
  </si>
  <si>
    <t>93210-16</t>
  </si>
  <si>
    <t>2.2.5.15</t>
  </si>
  <si>
    <t>0,3221</t>
  </si>
  <si>
    <t>1,32</t>
  </si>
  <si>
    <t>1,5886</t>
  </si>
  <si>
    <t>4,8315 M</t>
  </si>
  <si>
    <t>SP.3</t>
  </si>
  <si>
    <t>2.3</t>
  </si>
  <si>
    <t>LIGAÇÕES PROVISÓRIAS</t>
  </si>
  <si>
    <t>642,24</t>
  </si>
  <si>
    <t>400,6707</t>
  </si>
  <si>
    <t>238,8625</t>
  </si>
  <si>
    <t>2,7068</t>
  </si>
  <si>
    <t>770,688</t>
  </si>
  <si>
    <t>0,00010360806354</t>
  </si>
  <si>
    <t>2.3.1</t>
  </si>
  <si>
    <t>104122</t>
  </si>
  <si>
    <t>COMPOSIÇÃO PARAMÉTRICA DE LIGAÇÃO PREDIAL DE ÁGUA, REDE DN 50 MM, RAMAL PREDIAL DE 20 MM, L = 6,0 M, LARGURA DA VALA = 0,65 M; COM COLAR DE TOMADA DE PVC; ESCAVAÇÃO MANUAL, PREPARO DE FUNDO DE VALA E REATERRO COMPACTADO. AF_06/2022</t>
  </si>
  <si>
    <t>104122-2</t>
  </si>
  <si>
    <t>2.3.1.1</t>
  </si>
  <si>
    <t>93358</t>
  </si>
  <si>
    <t>ESCAVAÇÃO MANUAL DE VALA COM PROFUNDIDADE MENOR OU IGUAL A 1,30 M. AF_02/2021</t>
  </si>
  <si>
    <t>3,4538</t>
  </si>
  <si>
    <t>108,07</t>
  </si>
  <si>
    <t>373,25</t>
  </si>
  <si>
    <t>447,9026</t>
  </si>
  <si>
    <t>3,4538 M3</t>
  </si>
  <si>
    <t>104122-3</t>
  </si>
  <si>
    <t>2.3.1.2</t>
  </si>
  <si>
    <t>93382</t>
  </si>
  <si>
    <t>REATERRO MANUAL DE VALAS, COM COMPACTADOR DE SOLOS DE PERCUSSÃO. AF_08/2023</t>
  </si>
  <si>
    <t>3,2569</t>
  </si>
  <si>
    <t>30,74</t>
  </si>
  <si>
    <t>100,11</t>
  </si>
  <si>
    <t>120,1405</t>
  </si>
  <si>
    <t>3,2569 M3</t>
  </si>
  <si>
    <t>104122-4</t>
  </si>
  <si>
    <t>2.3.1.3</t>
  </si>
  <si>
    <t>101618</t>
  </si>
  <si>
    <t>PREPARO DE FUNDO DE VALA COM LARGURA MENOR QUE 1,5 M, COM CAMADA DE AREIA, LANÇAMENTO MANUAL. AF_08/2020</t>
  </si>
  <si>
    <t>0,195</t>
  </si>
  <si>
    <t>223,46</t>
  </si>
  <si>
    <t>43,57</t>
  </si>
  <si>
    <t>52,2896</t>
  </si>
  <si>
    <t>0,195 M3</t>
  </si>
  <si>
    <t>104122-5</t>
  </si>
  <si>
    <t>2.3.1.4</t>
  </si>
  <si>
    <t>104031</t>
  </si>
  <si>
    <t>COLAR DE TOMADA, PVC, COM TRAVAS, DE 60 MM X 1/2" OU 60 MM X 3/4", PARA LIGAÇÃO PREDIAL DE ÁGUA. AF_06/2022</t>
  </si>
  <si>
    <t>19,52</t>
  </si>
  <si>
    <t>23,424</t>
  </si>
  <si>
    <t>1 UN</t>
  </si>
  <si>
    <t>104122-6</t>
  </si>
  <si>
    <t>2.3.1.5</t>
  </si>
  <si>
    <t>104046</t>
  </si>
  <si>
    <t>COTOVELO/JOELHO COM ADAPTADOR, POLIPROPILENO, PARA TUBOS EM PEAD, 20 MM X 1/2", PARA LIGAÇÃO PREDIAL DE ÁGUA. AF_06/2022</t>
  </si>
  <si>
    <t>8,58</t>
  </si>
  <si>
    <t>10,296</t>
  </si>
  <si>
    <t>104122-7</t>
  </si>
  <si>
    <t>2.3.1.6</t>
  </si>
  <si>
    <t>104056</t>
  </si>
  <si>
    <t>REGISTRO ESFERA, PVC, COM ROSCA, 1/2", PARA LIGAÇÃO PREDIAL DE ÁGUA. AF_06/2022</t>
  </si>
  <si>
    <t>30,2</t>
  </si>
  <si>
    <t>36,24</t>
  </si>
  <si>
    <t>104122-8</t>
  </si>
  <si>
    <t>2.3.1.7</t>
  </si>
  <si>
    <t>104058</t>
  </si>
  <si>
    <t>LUVA, PVC, ROSCÁVEL, 1/2", PARA LIGAÇÃO PREDIAL DE ÁGUA. AF_06/2022</t>
  </si>
  <si>
    <t>8,39</t>
  </si>
  <si>
    <t>10,068</t>
  </si>
  <si>
    <t>104122-9</t>
  </si>
  <si>
    <t>2.3.1.8</t>
  </si>
  <si>
    <t>104060</t>
  </si>
  <si>
    <t>TUBO, PEAD, PE-80, DE = 20 MM X 2,3 MM, PARA LIGAÇÃO PREDIAL DE ÁGUA. AF_06/2022</t>
  </si>
  <si>
    <t>9,77</t>
  </si>
  <si>
    <t>58,62</t>
  </si>
  <si>
    <t>70,344</t>
  </si>
  <si>
    <t>6 M</t>
  </si>
  <si>
    <t>104122-10</t>
  </si>
  <si>
    <t>104122-11</t>
  </si>
  <si>
    <t>104122-12</t>
  </si>
  <si>
    <t>104122-13</t>
  </si>
  <si>
    <t>104122-14</t>
  </si>
  <si>
    <t>104122-15</t>
  </si>
  <si>
    <t>104122-16</t>
  </si>
  <si>
    <t>MT</t>
  </si>
  <si>
    <t>MOVIMENTAÇÃO DE TERRA</t>
  </si>
  <si>
    <t>3576,3</t>
  </si>
  <si>
    <t>1172,0647</t>
  </si>
  <si>
    <t>571,0059</t>
  </si>
  <si>
    <t>1833,2294</t>
  </si>
  <si>
    <t>4291,56</t>
  </si>
  <si>
    <t>0,00057693933365</t>
  </si>
  <si>
    <t>MT.1</t>
  </si>
  <si>
    <t>3.1</t>
  </si>
  <si>
    <t>TERRAPLENAGEM</t>
  </si>
  <si>
    <t>3.1.1</t>
  </si>
  <si>
    <t>100576</t>
  </si>
  <si>
    <t>REGULARIZAÇÃO E COMPACTAÇÃO DE SUBLEITO DE SOLO  PREDOMINANTEMENTE ARGILOSO. AF_11/2019</t>
  </si>
  <si>
    <t>2,62</t>
  </si>
  <si>
    <t>0,8587</t>
  </si>
  <si>
    <t>0,4183</t>
  </si>
  <si>
    <t>1,343</t>
  </si>
  <si>
    <t>100576-2</t>
  </si>
  <si>
    <t>3.1.1.1</t>
  </si>
  <si>
    <t>5901</t>
  </si>
  <si>
    <t>CAMINHÃO PIPA 10.000 L TRUCADO, PESO BRUTO TOTAL 23.000 KG, CARGA ÚTIL MÁXIMA 15.935 KG, DISTÂNCIA ENTRE EIXOS 4,8 M, POTÊNCIA 230 CV, INCLUSIVE TANQUE DE AÇO PARA TRANSPORTE DE ÁGUA - CHP DIURNO. AF_06/2014</t>
  </si>
  <si>
    <t>0,001</t>
  </si>
  <si>
    <t>303,29</t>
  </si>
  <si>
    <t>0,3</t>
  </si>
  <si>
    <t>0,3639</t>
  </si>
  <si>
    <t>1,365 CHP</t>
  </si>
  <si>
    <t>100576-3</t>
  </si>
  <si>
    <t>3.1.1.2</t>
  </si>
  <si>
    <t>5903</t>
  </si>
  <si>
    <t>CAMINHÃO PIPA 10.000 L TRUCADO, PESO BRUTO TOTAL 23.000 KG, CARGA ÚTIL MÁXIMA 15.935 KG, DISTÂNCIA ENTRE EIXOS 4,8 M, POTÊNCIA 230 CV, INCLUSIVE TANQUE DE AÇO PARA TRANSPORTE DE ÁGUA - CHI DIURNO. AF_06/2014</t>
  </si>
  <si>
    <t>0,007</t>
  </si>
  <si>
    <t>79,09</t>
  </si>
  <si>
    <t>0,55</t>
  </si>
  <si>
    <t>0,6644</t>
  </si>
  <si>
    <t>9,555 CHI</t>
  </si>
  <si>
    <t>100576-4</t>
  </si>
  <si>
    <t>3.1.1.3</t>
  </si>
  <si>
    <t>5932</t>
  </si>
  <si>
    <t>MOTONIVELADORA POTÊNCIA BÁSICA LÍQUIDA (PRIMEIRA MARCHA) 125 HP, PESO BRUTO 13032 KG, LARGURA DA LÂMINA DE 3,7 M - CHP DIURNO. AF_06/2014</t>
  </si>
  <si>
    <t>0,0001</t>
  </si>
  <si>
    <t>246,07</t>
  </si>
  <si>
    <t>0,02</t>
  </si>
  <si>
    <t>0,0295</t>
  </si>
  <si>
    <t>0,1365 CHP</t>
  </si>
  <si>
    <t>100576-5</t>
  </si>
  <si>
    <t>3.1.1.4</t>
  </si>
  <si>
    <t>5934</t>
  </si>
  <si>
    <t>MOTONIVELADORA POTÊNCIA BÁSICA LÍQUIDA (PRIMEIRA MARCHA) 125 HP, PESO BRUTO 13032 KG, LARGURA DA LÂMINA DE 3,7 M - CHI DIURNO. AF_06/2014</t>
  </si>
  <si>
    <t>0,008</t>
  </si>
  <si>
    <t>100,42</t>
  </si>
  <si>
    <t>0,8</t>
  </si>
  <si>
    <t>0,964</t>
  </si>
  <si>
    <t>10,92 CHI</t>
  </si>
  <si>
    <t>100576-6</t>
  </si>
  <si>
    <t>3.1.1.5</t>
  </si>
  <si>
    <t>73436</t>
  </si>
  <si>
    <t>ROLO COMPACTADOR VIBRATÓRIO PÉ DE CARNEIRO PARA SOLOS, POTÊNCIA 80 HP, PESO OPERACIONAL SEM/COM LASTRO 7,4 / 8,8 T, LARGURA DE TRABALHO 1,68 M - CHP DIURNO. AF_02/2016</t>
  </si>
  <si>
    <t>0,002</t>
  </si>
  <si>
    <t>162,31</t>
  </si>
  <si>
    <t>0,32</t>
  </si>
  <si>
    <t>0,3895</t>
  </si>
  <si>
    <t>2,73 CHP</t>
  </si>
  <si>
    <t>100576-7</t>
  </si>
  <si>
    <t>3.1.1.6</t>
  </si>
  <si>
    <t>0,21</t>
  </si>
  <si>
    <t>0,2623</t>
  </si>
  <si>
    <t>10,92 H</t>
  </si>
  <si>
    <t>100576-8</t>
  </si>
  <si>
    <t>3.1.1.7</t>
  </si>
  <si>
    <t>93244</t>
  </si>
  <si>
    <t>ROLO COMPACTADOR VIBRATÓRIO PÉ DE CARNEIRO PARA SOLOS, POTÊNCIA 80 HP, PESO OPERACIONAL SEM/COM LASTRO 7,4 / 8,8 T, LARGURA DE TRABALHO 1,68 M - CHI DIURNO. AF_02/2016</t>
  </si>
  <si>
    <t>0,006</t>
  </si>
  <si>
    <t>70,68</t>
  </si>
  <si>
    <t>0,42</t>
  </si>
  <si>
    <t>0,5089</t>
  </si>
  <si>
    <t>8,19 CHI</t>
  </si>
  <si>
    <t>100576-9</t>
  </si>
  <si>
    <t>100576-10</t>
  </si>
  <si>
    <t>100576-11</t>
  </si>
  <si>
    <t>100576-12</t>
  </si>
  <si>
    <t>100576-13</t>
  </si>
  <si>
    <t>100576-14</t>
  </si>
  <si>
    <t>100576-15</t>
  </si>
  <si>
    <t>100576-16</t>
  </si>
  <si>
    <t>3.1.2</t>
  </si>
  <si>
    <t>94328</t>
  </si>
  <si>
    <t>680</t>
  </si>
  <si>
    <t>94328-2</t>
  </si>
  <si>
    <t>94328-3</t>
  </si>
  <si>
    <t>94328-4</t>
  </si>
  <si>
    <t>94328-5</t>
  </si>
  <si>
    <t>94328-6</t>
  </si>
  <si>
    <t>94328-7</t>
  </si>
  <si>
    <t>94328-8</t>
  </si>
  <si>
    <t>94328-9</t>
  </si>
  <si>
    <t>94328-10</t>
  </si>
  <si>
    <t>94328-11</t>
  </si>
  <si>
    <t>94328-12</t>
  </si>
  <si>
    <t>94328-13</t>
  </si>
  <si>
    <t>94328-14</t>
  </si>
  <si>
    <t>94328-15</t>
  </si>
  <si>
    <t>94328-16</t>
  </si>
  <si>
    <t>MT.2</t>
  </si>
  <si>
    <t>MT.3</t>
  </si>
  <si>
    <t>CT</t>
  </si>
  <si>
    <t>CONTENÇÕES</t>
  </si>
  <si>
    <t>18143,65</t>
  </si>
  <si>
    <t>3071,6219</t>
  </si>
  <si>
    <t>14826,5265</t>
  </si>
  <si>
    <t>245,1515</t>
  </si>
  <si>
    <t>21772,38</t>
  </si>
  <si>
    <t>0,0029269874845</t>
  </si>
  <si>
    <t>CT.1</t>
  </si>
  <si>
    <t>4.1</t>
  </si>
  <si>
    <t>MURO DE ARRIMO</t>
  </si>
  <si>
    <t>4.1.1</t>
  </si>
  <si>
    <t>100343</t>
  </si>
  <si>
    <t>ARMAÇÃO DE CORTINA DE CONTENÇÃO EM CONCRETO ARMADO, COM AÇO CA-50 DE 8 MM - MONTAGEM. AF_07/2019</t>
  </si>
  <si>
    <t>875</t>
  </si>
  <si>
    <t>13,6</t>
  </si>
  <si>
    <t>11900</t>
  </si>
  <si>
    <t>2,5972</t>
  </si>
  <si>
    <t>2272,5389</t>
  </si>
  <si>
    <t>11,0028</t>
  </si>
  <si>
    <t>9627,4611</t>
  </si>
  <si>
    <t>14280</t>
  </si>
  <si>
    <t>0,0019197433298</t>
  </si>
  <si>
    <t>100343-2</t>
  </si>
  <si>
    <t>4.1.1.1</t>
  </si>
  <si>
    <t>39017</t>
  </si>
  <si>
    <t>ESPACADOR / DISTANCIADOR CIRCULAR COM ENTRADA LATERAL, EM PLASTICO, PARA VERGALHAO *4,2 A 12,5* MM, COBRIMENTO 20 MM</t>
  </si>
  <si>
    <t>0,743</t>
  </si>
  <si>
    <t>0,22</t>
  </si>
  <si>
    <t>0,16</t>
  </si>
  <si>
    <t>0,1962</t>
  </si>
  <si>
    <t>650,125 UN</t>
  </si>
  <si>
    <t>100343-3</t>
  </si>
  <si>
    <t>4.1.1.2</t>
  </si>
  <si>
    <t>43132</t>
  </si>
  <si>
    <t>ARAME RECOZIDO 16 BWG, D = 1,65 MM (0,016 KG/M) OU 18 BWG, D = 1,25 MM (0,01 KG/M)</t>
  </si>
  <si>
    <t>0,025</t>
  </si>
  <si>
    <t>23,18</t>
  </si>
  <si>
    <t>0,6954</t>
  </si>
  <si>
    <t>21,875 KG</t>
  </si>
  <si>
    <t>100343-4</t>
  </si>
  <si>
    <t>4.1.1.3</t>
  </si>
  <si>
    <t>88245</t>
  </si>
  <si>
    <t>ARMADOR COM ENCARGOS COMPLEMENTARES</t>
  </si>
  <si>
    <t>0,0906</t>
  </si>
  <si>
    <t>31,51</t>
  </si>
  <si>
    <t>2,85</t>
  </si>
  <si>
    <t>3,4258</t>
  </si>
  <si>
    <t>79,275 H</t>
  </si>
  <si>
    <t>100343-5</t>
  </si>
  <si>
    <t>4.1.1.4</t>
  </si>
  <si>
    <t>92802</t>
  </si>
  <si>
    <t>CORTE E DOBRA DE AÇO CA-50, DIÂMETRO DE 8,0 MM. AF_06/2022</t>
  </si>
  <si>
    <t>10,02</t>
  </si>
  <si>
    <t>12,024</t>
  </si>
  <si>
    <t>875 KG</t>
  </si>
  <si>
    <t>100343-6</t>
  </si>
  <si>
    <t>100343-7</t>
  </si>
  <si>
    <t>100343-8</t>
  </si>
  <si>
    <t>100343-9</t>
  </si>
  <si>
    <t>100343-10</t>
  </si>
  <si>
    <t>100343-11</t>
  </si>
  <si>
    <t>100343-12</t>
  </si>
  <si>
    <t>100343-13</t>
  </si>
  <si>
    <t>100343-14</t>
  </si>
  <si>
    <t>100343-15</t>
  </si>
  <si>
    <t>100343-16</t>
  </si>
  <si>
    <t>4.1.2</t>
  </si>
  <si>
    <t>100341</t>
  </si>
  <si>
    <t>FABRICAÇÃO, MONTAGEM E DESMONTAGEM DE FÔRMA PARA CORTINA DE CONTENÇÃO, EM CHAPA DE MADEIRA COMPENSADA PLASTIFICADA, E = 18 MM, 10 UTILIZAÇÕES. AF_07/2019</t>
  </si>
  <si>
    <t>35</t>
  </si>
  <si>
    <t>39,67</t>
  </si>
  <si>
    <t>1388,45</t>
  </si>
  <si>
    <t>16,3152</t>
  </si>
  <si>
    <t>571,0334</t>
  </si>
  <si>
    <t>16,3854</t>
  </si>
  <si>
    <t>573,4902</t>
  </si>
  <si>
    <t>6,9693</t>
  </si>
  <si>
    <t>243,9264</t>
  </si>
  <si>
    <t>1666,14</t>
  </si>
  <si>
    <t>0,00022398887616</t>
  </si>
  <si>
    <t>100341-2</t>
  </si>
  <si>
    <t>4.1.2.1</t>
  </si>
  <si>
    <t>1345</t>
  </si>
  <si>
    <t>CHAPA/PAINEL DE MADEIRA COMPENSADA PLASTIFICADA (MADEIRITE PLASTIFICADO) PARA FORMA DE CONCRETO, DE 2200 x 1100 MM, E = *17* MM</t>
  </si>
  <si>
    <t>0,1103</t>
  </si>
  <si>
    <t>72,2</t>
  </si>
  <si>
    <t>7,96</t>
  </si>
  <si>
    <t>9,5564</t>
  </si>
  <si>
    <t>3,8605 M2</t>
  </si>
  <si>
    <t>100341-3</t>
  </si>
  <si>
    <t>4.1.2.2</t>
  </si>
  <si>
    <t>2692</t>
  </si>
  <si>
    <t>DESMOLDANTE PROTETOR PARA FORMAS DE MADEIRA, DE BASE OLEOSA EMULSIONADA EM AGUA</t>
  </si>
  <si>
    <t>0,0035</t>
  </si>
  <si>
    <t>L</t>
  </si>
  <si>
    <t>6,72</t>
  </si>
  <si>
    <t>0,0282</t>
  </si>
  <si>
    <t>0,1225 L</t>
  </si>
  <si>
    <t>100341-4</t>
  </si>
  <si>
    <t>4.1.2.3</t>
  </si>
  <si>
    <t>4491</t>
  </si>
  <si>
    <t>PONTALETE *7,5 X 7,5* CM EM PINUS, MISTA OU EQUIVALENTE DA REGIAO - BRUTA</t>
  </si>
  <si>
    <t>7,61</t>
  </si>
  <si>
    <t>3,19</t>
  </si>
  <si>
    <t>3,8354</t>
  </si>
  <si>
    <t>14,7 M</t>
  </si>
  <si>
    <t>100341-5</t>
  </si>
  <si>
    <t>4.1.2.4</t>
  </si>
  <si>
    <t>5068</t>
  </si>
  <si>
    <t>PREGO DE ACO POLIDO COM CABECA 17 X 21 (2 X 11)</t>
  </si>
  <si>
    <t>13,74</t>
  </si>
  <si>
    <t>0,09</t>
  </si>
  <si>
    <t>0,1154</t>
  </si>
  <si>
    <t>0,245 KG</t>
  </si>
  <si>
    <t>100341-6</t>
  </si>
  <si>
    <t>4.1.2.5</t>
  </si>
  <si>
    <t>40271</t>
  </si>
  <si>
    <t>LOCACAO DE APRUMADOR METALICO DE PILAR, COM ALTURA E ANGULO REGULAVEIS, EXTENSAO DE *1,50* A *2,80* M</t>
  </si>
  <si>
    <t>0,1247</t>
  </si>
  <si>
    <t>UNXMES</t>
  </si>
  <si>
    <t>19,13</t>
  </si>
  <si>
    <t>2,38</t>
  </si>
  <si>
    <t>2,8626</t>
  </si>
  <si>
    <t>4,3645 UNXMES</t>
  </si>
  <si>
    <t>100341-7</t>
  </si>
  <si>
    <t>4.1.2.6</t>
  </si>
  <si>
    <t>40275</t>
  </si>
  <si>
    <t>LOCACAO DE VIGA SANDUICHE METALICA VAZADA PARA TRAVAMENTO DE PILARES, ALTURA DE *8* CM, LARGURA DE *6* CM E EXTENSAO DE 2 M</t>
  </si>
  <si>
    <t>0,1371</t>
  </si>
  <si>
    <t>2,74</t>
  </si>
  <si>
    <t>3,2904</t>
  </si>
  <si>
    <t>4,7985 UNXMES</t>
  </si>
  <si>
    <t>100341-8</t>
  </si>
  <si>
    <t>4.1.2.7</t>
  </si>
  <si>
    <t>40287</t>
  </si>
  <si>
    <t>LOCACAO DE BARRA DE ANCORAGEM DE 0,80 A 1,20 M DE EXTENSAO, COM ROSCA DE 5/8", INCLUINDO PORCA E FLANGE</t>
  </si>
  <si>
    <t>0,2494</t>
  </si>
  <si>
    <t>7,36</t>
  </si>
  <si>
    <t>1,83</t>
  </si>
  <si>
    <t>2,2027</t>
  </si>
  <si>
    <t>8,729 MES</t>
  </si>
  <si>
    <t>100341-9</t>
  </si>
  <si>
    <t>4.1.2.8</t>
  </si>
  <si>
    <t>0,0124</t>
  </si>
  <si>
    <t>0,33</t>
  </si>
  <si>
    <t>0,404</t>
  </si>
  <si>
    <t>0,434 H</t>
  </si>
  <si>
    <t>100341-10</t>
  </si>
  <si>
    <t>4.1.2.9</t>
  </si>
  <si>
    <t>0,6675</t>
  </si>
  <si>
    <t>20,91</t>
  </si>
  <si>
    <t>25,0953</t>
  </si>
  <si>
    <t>23,3625 H</t>
  </si>
  <si>
    <t>100341-11</t>
  </si>
  <si>
    <t>4.1.2.10</t>
  </si>
  <si>
    <t>0,0014</t>
  </si>
  <si>
    <t>0,04</t>
  </si>
  <si>
    <t>0,0547</t>
  </si>
  <si>
    <t>0,049 CHP</t>
  </si>
  <si>
    <t>100341-12</t>
  </si>
  <si>
    <t>4.1.2.11</t>
  </si>
  <si>
    <t>0,0058</t>
  </si>
  <si>
    <t>0,2191</t>
  </si>
  <si>
    <t>0,203 CHI</t>
  </si>
  <si>
    <t>100341-13</t>
  </si>
  <si>
    <t>100341-14</t>
  </si>
  <si>
    <t>100341-15</t>
  </si>
  <si>
    <t>100341-16</t>
  </si>
  <si>
    <t>4.1.3</t>
  </si>
  <si>
    <t>100349</t>
  </si>
  <si>
    <t>CONCRETAGEM DE CORTINA DE CONTENÇÃO, ATRAVÉS DE BOMBA   LANÇAMENTO, ADENSAMENTO E ACABAMENTO. AF_07/2019</t>
  </si>
  <si>
    <t>8,75</t>
  </si>
  <si>
    <t>554,88</t>
  </si>
  <si>
    <t>4855,2</t>
  </si>
  <si>
    <t>26,0628</t>
  </si>
  <si>
    <t>228,0497</t>
  </si>
  <si>
    <t>528,6372</t>
  </si>
  <si>
    <t>4625,5752</t>
  </si>
  <si>
    <t>1,2251</t>
  </si>
  <si>
    <t>5826,24</t>
  </si>
  <si>
    <t>0,00078325527856</t>
  </si>
  <si>
    <t>100349-2</t>
  </si>
  <si>
    <t>4.1.3.1</t>
  </si>
  <si>
    <t>1525</t>
  </si>
  <si>
    <t>CONCRETO USINADO BOMBEAVEL, CLASSE DE RESISTENCIA C30, BRITA 0 E 1, SLUMP = 100 +/- 20 MM, COM BOMBEAMENTO (DISPONIBILIZACAO DE BOMBA), SEM O LANCAMENTO (NBR 8953)</t>
  </si>
  <si>
    <t>1,103</t>
  </si>
  <si>
    <t>471,67</t>
  </si>
  <si>
    <t>520,25</t>
  </si>
  <si>
    <t>624,3024</t>
  </si>
  <si>
    <t>9,6513 M3</t>
  </si>
  <si>
    <t>100349-3</t>
  </si>
  <si>
    <t>4.1.3.2</t>
  </si>
  <si>
    <t>88309</t>
  </si>
  <si>
    <t>PEDREIRO COM ENCARGOS COMPLEMENTARES</t>
  </si>
  <si>
    <t>1,0844</t>
  </si>
  <si>
    <t>31,75</t>
  </si>
  <si>
    <t>34,42</t>
  </si>
  <si>
    <t>41,3156</t>
  </si>
  <si>
    <t>9,4885 H</t>
  </si>
  <si>
    <t>100349-4</t>
  </si>
  <si>
    <t>4.1.3.3</t>
  </si>
  <si>
    <t>90586</t>
  </si>
  <si>
    <t>VIBRADOR DE IMERSÃO, DIÂMETRO DE PONTEIRA 45MM, MOTOR ELÉTRICO TRIFÁSICO POTÊNCIA DE 2 CV - CHP DIURNO. AF_06/2015</t>
  </si>
  <si>
    <t>0,122</t>
  </si>
  <si>
    <t>1,19</t>
  </si>
  <si>
    <t>0,1742</t>
  </si>
  <si>
    <t>1,0675 CHP</t>
  </si>
  <si>
    <t>100349-5</t>
  </si>
  <si>
    <t>4.1.3.4</t>
  </si>
  <si>
    <t>90587</t>
  </si>
  <si>
    <t>VIBRADOR DE IMERSÃO, DIÂMETRO DE PONTEIRA 45MM, MOTOR ELÉTRICO TRIFÁSICO POTÊNCIA DE 2 CV - CHI DIURNO. AF_06/2015</t>
  </si>
  <si>
    <t>0,1491</t>
  </si>
  <si>
    <t>0,49</t>
  </si>
  <si>
    <t>0,07</t>
  </si>
  <si>
    <t>0,0877</t>
  </si>
  <si>
    <t>1,3046 CHI</t>
  </si>
  <si>
    <t>100349-6</t>
  </si>
  <si>
    <t>100349-7</t>
  </si>
  <si>
    <t>100349-8</t>
  </si>
  <si>
    <t>100349-9</t>
  </si>
  <si>
    <t>100349-10</t>
  </si>
  <si>
    <t>100349-11</t>
  </si>
  <si>
    <t>100349-12</t>
  </si>
  <si>
    <t>100349-13</t>
  </si>
  <si>
    <t>100349-14</t>
  </si>
  <si>
    <t>100349-15</t>
  </si>
  <si>
    <t>100349-16</t>
  </si>
  <si>
    <t>CT.2</t>
  </si>
  <si>
    <t>CT.3</t>
  </si>
  <si>
    <t>FD</t>
  </si>
  <si>
    <t>FUNDAÇÕES</t>
  </si>
  <si>
    <t>142139,3277</t>
  </si>
  <si>
    <t>29809,1162</t>
  </si>
  <si>
    <t>101327,3796</t>
  </si>
  <si>
    <t>10987,6702</t>
  </si>
  <si>
    <t>170567,1932</t>
  </si>
  <si>
    <t>0,022930338341</t>
  </si>
  <si>
    <t>FD.1</t>
  </si>
  <si>
    <t>5.1</t>
  </si>
  <si>
    <t>FUNDAÇÕES PROFUNDAS</t>
  </si>
  <si>
    <t>72096,9</t>
  </si>
  <si>
    <t>6206,9599</t>
  </si>
  <si>
    <t>54899,9981</t>
  </si>
  <si>
    <t>10980,3064</t>
  </si>
  <si>
    <t>86516,28</t>
  </si>
  <si>
    <t>0,011630885956</t>
  </si>
  <si>
    <t>5.1.1</t>
  </si>
  <si>
    <t>100652</t>
  </si>
  <si>
    <t>ESTACA HÉLICE CONTÍNUA , DIÂMETRO DE 50 CM, INCLUSO CONCRETO FCK=30MPA E ARMADURA MÍNIMA (EXCLUSIVE BOMBEAMENTO, MOBILIZAÇÃO E DESMOBILIZAÇÃO). AF_12/2019_PA</t>
  </si>
  <si>
    <t>300</t>
  </si>
  <si>
    <t>237,08</t>
  </si>
  <si>
    <t>71124</t>
  </si>
  <si>
    <t>18,3512</t>
  </si>
  <si>
    <t>5505,3638</t>
  </si>
  <si>
    <t>182,187</t>
  </si>
  <si>
    <t>54656,0956</t>
  </si>
  <si>
    <t>36,5418</t>
  </si>
  <si>
    <t>10962,5406</t>
  </si>
  <si>
    <t>85348,8</t>
  </si>
  <si>
    <t>0,011473934839</t>
  </si>
  <si>
    <t>100652-2</t>
  </si>
  <si>
    <t>5.1.1.1</t>
  </si>
  <si>
    <t>43360</t>
  </si>
  <si>
    <t>CONCRETO USINADO BOMBEAVEL, CLASSE DE RESISTENCIA C30, COM BRITA 0 E 1, SLUMP = 220 +/- 30 MM, EXCLUI SERVICO DE BOMBEAMENTO (NBR 8953)</t>
  </si>
  <si>
    <t>0,2776</t>
  </si>
  <si>
    <t>509,73</t>
  </si>
  <si>
    <t>141,5</t>
  </si>
  <si>
    <t>169,8013</t>
  </si>
  <si>
    <t>83,28 M3</t>
  </si>
  <si>
    <t>100652-3</t>
  </si>
  <si>
    <t>5.1.1.2</t>
  </si>
  <si>
    <t>0,307</t>
  </si>
  <si>
    <t>8,38</t>
  </si>
  <si>
    <t>10,0647</t>
  </si>
  <si>
    <t>92,1 H</t>
  </si>
  <si>
    <t>100652-4</t>
  </si>
  <si>
    <t>5.1.1.3</t>
  </si>
  <si>
    <t>90674</t>
  </si>
  <si>
    <t>PERFURATRIZ COM TORRE METÁLICA PARA EXECUÇÃO DE ESTACA HÉLICE CONTÍNUA, PROFUNDIDADE MÁXIMA DE 30 M, DIÂMETRO MÁXIMO DE 800 MM, POTÊNCIA INSTALADA DE 268 HP, MESA ROTATIVA COM TORQUE MÁXIMO DE 170 KNM - CHP DIURNO. AF_06/2015</t>
  </si>
  <si>
    <t>0,0296</t>
  </si>
  <si>
    <t>671,15</t>
  </si>
  <si>
    <t>19,86</t>
  </si>
  <si>
    <t>23,8392</t>
  </si>
  <si>
    <t>8,88 CHP</t>
  </si>
  <si>
    <t>100652-5</t>
  </si>
  <si>
    <t>5.1.1.4</t>
  </si>
  <si>
    <t>90675</t>
  </si>
  <si>
    <t>PERFURATRIZ COM TORRE METÁLICA PARA EXECUÇÃO DE ESTACA HÉLICE CONTÍNUA, PROFUNDIDADE MÁXIMA DE 30 M, DIÂMETRO MÁXIMO DE 800 MM, POTÊNCIA INSTALADA DE 268 HP, MESA ROTATIVA COM TORQUE MÁXIMO DE 170 KNM - CHI DIURNO. AF_06/2015</t>
  </si>
  <si>
    <t>0,0727</t>
  </si>
  <si>
    <t>299,98</t>
  </si>
  <si>
    <t>21,8</t>
  </si>
  <si>
    <t>26,1703</t>
  </si>
  <si>
    <t>21,81 CHI</t>
  </si>
  <si>
    <t>100652-6</t>
  </si>
  <si>
    <t>5.1.1.5</t>
  </si>
  <si>
    <t>90776</t>
  </si>
  <si>
    <t>ENCARREGADO GERAL COM ENCARGOS COMPLEMENTARES</t>
  </si>
  <si>
    <t>0,1023</t>
  </si>
  <si>
    <t>40,9</t>
  </si>
  <si>
    <t>4,18</t>
  </si>
  <si>
    <t>5,0209</t>
  </si>
  <si>
    <t>30,69 H</t>
  </si>
  <si>
    <t>100652-7</t>
  </si>
  <si>
    <t>5.1.1.6</t>
  </si>
  <si>
    <t>90778</t>
  </si>
  <si>
    <t>0,0192</t>
  </si>
  <si>
    <t>128,79</t>
  </si>
  <si>
    <t>2,47</t>
  </si>
  <si>
    <t>2,9673</t>
  </si>
  <si>
    <t>5,76 H</t>
  </si>
  <si>
    <t>100652-8</t>
  </si>
  <si>
    <t>5.1.1.7</t>
  </si>
  <si>
    <t>95579</t>
  </si>
  <si>
    <t>MONTAGEM DE ARMADURA DE ESTACAS, DIÂMETRO = 16,0 MM. AF_09/2021_PS</t>
  </si>
  <si>
    <t>3,3641</t>
  </si>
  <si>
    <t>8,66</t>
  </si>
  <si>
    <t>29,13</t>
  </si>
  <si>
    <t>34,9597</t>
  </si>
  <si>
    <t>1009,23 KG</t>
  </si>
  <si>
    <t>100652-9</t>
  </si>
  <si>
    <t>5.1.1.8</t>
  </si>
  <si>
    <t>95584</t>
  </si>
  <si>
    <t>MONTAGEM DE ARMADURA TRANSVERSAL DE ESTACAS DE SEÇÃO CIRCULAR, DIÂMETRO = 6,30 MM. AF_09/2021_PS</t>
  </si>
  <si>
    <t>0,4916</t>
  </si>
  <si>
    <t>14,65</t>
  </si>
  <si>
    <t>7,2</t>
  </si>
  <si>
    <t>8,6423</t>
  </si>
  <si>
    <t>147,48 KG</t>
  </si>
  <si>
    <t>100652-10</t>
  </si>
  <si>
    <t>5.1.1.9</t>
  </si>
  <si>
    <t>97913</t>
  </si>
  <si>
    <t>TRANSPORTE COM CAMINHÃO BASCULANTE DE 6 M³, EM VIA URBANA EM REVESTIMENTO PRIMÁRIO (UNIDADE: M3XKM). AF_07/2020</t>
  </si>
  <si>
    <t>0,0773</t>
  </si>
  <si>
    <t>M3XKM</t>
  </si>
  <si>
    <t>3,25</t>
  </si>
  <si>
    <t>0,25</t>
  </si>
  <si>
    <t>0,3015</t>
  </si>
  <si>
    <t>23,19 M3XKM</t>
  </si>
  <si>
    <t>100652-11</t>
  </si>
  <si>
    <t>5.1.1.10</t>
  </si>
  <si>
    <t>100973</t>
  </si>
  <si>
    <t>CARGA, MANOBRA E DESCARGA DE SOLOS E MATERIAIS GRANULARES EM CAMINHÃO BASCULANTE 6 M³ - CARGA COM PÁ CARREGADEIRA (CAÇAMBA DE 1,7 A 2,8 M³ / 128 HP) E DESCARGA LIVRE (UNIDADE: M3). AF_07/2020</t>
  </si>
  <si>
    <t>0,2576</t>
  </si>
  <si>
    <t>8,97</t>
  </si>
  <si>
    <t>2,31</t>
  </si>
  <si>
    <t>2,7728</t>
  </si>
  <si>
    <t>77,28 M3</t>
  </si>
  <si>
    <t>100652-12</t>
  </si>
  <si>
    <t>100652-13</t>
  </si>
  <si>
    <t>100652-14</t>
  </si>
  <si>
    <t>100652-15</t>
  </si>
  <si>
    <t>100652-16</t>
  </si>
  <si>
    <t>5.1.2</t>
  </si>
  <si>
    <t>95602</t>
  </si>
  <si>
    <t>ARRASAMENTO MECANICO DE ESTACA DE CONCRETO ARMADO, DIAMETROS DE 41 CM A 60 CM. AF_05/2021</t>
  </si>
  <si>
    <t>30</t>
  </si>
  <si>
    <t>32,43</t>
  </si>
  <si>
    <t>972,9</t>
  </si>
  <si>
    <t>23,3865</t>
  </si>
  <si>
    <t>701,5961</t>
  </si>
  <si>
    <t>8,1301</t>
  </si>
  <si>
    <t>243,9025</t>
  </si>
  <si>
    <t>0,5922</t>
  </si>
  <si>
    <t>17,7657</t>
  </si>
  <si>
    <t>1167,48</t>
  </si>
  <si>
    <t>0,00015695111643</t>
  </si>
  <si>
    <t>95602-2</t>
  </si>
  <si>
    <t>5.1.2.1</t>
  </si>
  <si>
    <t>0,5808</t>
  </si>
  <si>
    <t>15,86</t>
  </si>
  <si>
    <t>19,0409</t>
  </si>
  <si>
    <t>17,424 H</t>
  </si>
  <si>
    <t>95602-3</t>
  </si>
  <si>
    <t>5.1.2.2</t>
  </si>
  <si>
    <t>102274</t>
  </si>
  <si>
    <t>MARTELO DEMOLIDOR ELÉTRICO, COM POTÊNCIA DE 2.000 W, 1.000 IMPACTOS POR MINUTO, PESO DE 30 KG -  CHI DIURNO. AF_01/2021</t>
  </si>
  <si>
    <t>0,3205</t>
  </si>
  <si>
    <t>27,65</t>
  </si>
  <si>
    <t>8,86</t>
  </si>
  <si>
    <t>10,6342</t>
  </si>
  <si>
    <t>9,615 CHI</t>
  </si>
  <si>
    <t>95602-4</t>
  </si>
  <si>
    <t>5.1.2.3</t>
  </si>
  <si>
    <t>102275</t>
  </si>
  <si>
    <t>MARTELO DEMOLIDOR ELÉTRICO, COM POTÊNCIA DE 2.000 W, 1.000 IMPACTOS POR MINUTO, PESO DE 30 KG - CHP DIURNO. AF_01/2021</t>
  </si>
  <si>
    <t>0,2603</t>
  </si>
  <si>
    <t>29,64</t>
  </si>
  <si>
    <t>7,71</t>
  </si>
  <si>
    <t>9,2584</t>
  </si>
  <si>
    <t>7,809 CHP</t>
  </si>
  <si>
    <t>95602-5</t>
  </si>
  <si>
    <t>95602-6</t>
  </si>
  <si>
    <t>95602-7</t>
  </si>
  <si>
    <t>95602-8</t>
  </si>
  <si>
    <t>95602-9</t>
  </si>
  <si>
    <t>95602-10</t>
  </si>
  <si>
    <t>95602-11</t>
  </si>
  <si>
    <t>95602-12</t>
  </si>
  <si>
    <t>95602-13</t>
  </si>
  <si>
    <t>95602-14</t>
  </si>
  <si>
    <t>95602-15</t>
  </si>
  <si>
    <t>95602-16</t>
  </si>
  <si>
    <t>FD.2</t>
  </si>
  <si>
    <t>5.2</t>
  </si>
  <si>
    <t>BLOCOS DE COROAMENTO</t>
  </si>
  <si>
    <t>20900,2952</t>
  </si>
  <si>
    <t>5980,5418</t>
  </si>
  <si>
    <t>14915,9867</t>
  </si>
  <si>
    <t>2,2533</t>
  </si>
  <si>
    <t>25080,3542</t>
  </si>
  <si>
    <t>0,0033716976724</t>
  </si>
  <si>
    <t>5.2.1</t>
  </si>
  <si>
    <t>96523</t>
  </si>
  <si>
    <t>ESCAVAÇÃO MANUAL PARA BLOCO DE COROAMENTO OU SAPATA (INCLUINDO ESCAVAÇÃO PARA COLOCAÇÃO DE FÔRMAS). AF_06/2017</t>
  </si>
  <si>
    <t>9,72</t>
  </si>
  <si>
    <t>121,15</t>
  </si>
  <si>
    <t>1177,578</t>
  </si>
  <si>
    <t>88,9941</t>
  </si>
  <si>
    <t>865,0224</t>
  </si>
  <si>
    <t>32,1559</t>
  </si>
  <si>
    <t>312,5556</t>
  </si>
  <si>
    <t>1413,0936</t>
  </si>
  <si>
    <t>0,00018997037906</t>
  </si>
  <si>
    <t>96523-2</t>
  </si>
  <si>
    <t>5.2.1.1</t>
  </si>
  <si>
    <t>1,189</t>
  </si>
  <si>
    <t>37,75</t>
  </si>
  <si>
    <t>45,3009</t>
  </si>
  <si>
    <t>11,5571 H</t>
  </si>
  <si>
    <t>96523-3</t>
  </si>
  <si>
    <t>5.2.1.2</t>
  </si>
  <si>
    <t>3,053</t>
  </si>
  <si>
    <t>83,4</t>
  </si>
  <si>
    <t>100,0896</t>
  </si>
  <si>
    <t>29,6752 H</t>
  </si>
  <si>
    <t>96523-4</t>
  </si>
  <si>
    <t>96523-5</t>
  </si>
  <si>
    <t>96523-6</t>
  </si>
  <si>
    <t>96523-7</t>
  </si>
  <si>
    <t>96523-8</t>
  </si>
  <si>
    <t>96523-9</t>
  </si>
  <si>
    <t>96523-10</t>
  </si>
  <si>
    <t>96523-11</t>
  </si>
  <si>
    <t>96523-12</t>
  </si>
  <si>
    <t>96523-13</t>
  </si>
  <si>
    <t>96523-14</t>
  </si>
  <si>
    <t>96523-15</t>
  </si>
  <si>
    <t>96523-16</t>
  </si>
  <si>
    <t>5.2.2</t>
  </si>
  <si>
    <t>96619</t>
  </si>
  <si>
    <t>LASTRO DE CONCRETO MAGRO, APLICADO EM BLOCOS DE COROAMENTO OU SAPATAS, ESPESSURA DE 5 CM. AF_08/2017</t>
  </si>
  <si>
    <t>10,8</t>
  </si>
  <si>
    <t>30,33</t>
  </si>
  <si>
    <t>327,564</t>
  </si>
  <si>
    <t>13,1467</t>
  </si>
  <si>
    <t>141,9843</t>
  </si>
  <si>
    <t>16,9618</t>
  </si>
  <si>
    <t>183,188</t>
  </si>
  <si>
    <t>0,151</t>
  </si>
  <si>
    <t>1,6308</t>
  </si>
  <si>
    <t>393,0768</t>
  </si>
  <si>
    <t>5,2843596982e-05</t>
  </si>
  <si>
    <t>96619-2</t>
  </si>
  <si>
    <t>5.2.2.1</t>
  </si>
  <si>
    <t>0,3106</t>
  </si>
  <si>
    <t>9,86</t>
  </si>
  <si>
    <t>11,8339</t>
  </si>
  <si>
    <t>3,3545 H</t>
  </si>
  <si>
    <t>96619-3</t>
  </si>
  <si>
    <t>5.2.2.2</t>
  </si>
  <si>
    <t>0,0847</t>
  </si>
  <si>
    <t>2,7768</t>
  </si>
  <si>
    <t>0,9148 H</t>
  </si>
  <si>
    <t>96619-4</t>
  </si>
  <si>
    <t>5.2.2.3</t>
  </si>
  <si>
    <t>94968</t>
  </si>
  <si>
    <t>CONCRETO MAGRO PARA LASTRO, TRAÇO 1:4,5:4,5 (EM MASSA SECA DE CIMENTO/ AREIA MÉDIA/ BRITA 1) - PREPARO MECÂNICO COM BETONEIRA 600 L. AF_05/2021</t>
  </si>
  <si>
    <t>0,0565</t>
  </si>
  <si>
    <t>321,46</t>
  </si>
  <si>
    <t>18,16</t>
  </si>
  <si>
    <t>21,795</t>
  </si>
  <si>
    <t>0,6102 M3</t>
  </si>
  <si>
    <t>96619-5</t>
  </si>
  <si>
    <t>96619-6</t>
  </si>
  <si>
    <t>96619-7</t>
  </si>
  <si>
    <t>96619-8</t>
  </si>
  <si>
    <t>96619-9</t>
  </si>
  <si>
    <t>96619-10</t>
  </si>
  <si>
    <t>96619-11</t>
  </si>
  <si>
    <t>96619-12</t>
  </si>
  <si>
    <t>96619-13</t>
  </si>
  <si>
    <t>96619-14</t>
  </si>
  <si>
    <t>96619-15</t>
  </si>
  <si>
    <t>96619-16</t>
  </si>
  <si>
    <t>5.2.3</t>
  </si>
  <si>
    <t>96534</t>
  </si>
  <si>
    <t>FABRICAÇÃO, MONTAGEM E DESMONTAGEM DE FÔRMA PARA BLOCO DE COROAMENTO, EM MADEIRA SERRADA, E=25 MM, 4 UTILIZAÇÕES. AF_06/2017</t>
  </si>
  <si>
    <t>51,84</t>
  </si>
  <si>
    <t>104,07</t>
  </si>
  <si>
    <t>5394,9888</t>
  </si>
  <si>
    <t>46,003</t>
  </si>
  <si>
    <t>2384,7978</t>
  </si>
  <si>
    <t>58,0569</t>
  </si>
  <si>
    <t>3009,672</t>
  </si>
  <si>
    <t>6473,9866</t>
  </si>
  <si>
    <t>0,00087033561035</t>
  </si>
  <si>
    <t>96534-2</t>
  </si>
  <si>
    <t>5.2.3.1</t>
  </si>
  <si>
    <t>0,017</t>
  </si>
  <si>
    <t>0,8813 L</t>
  </si>
  <si>
    <t>96534-3</t>
  </si>
  <si>
    <t>5.2.3.2</t>
  </si>
  <si>
    <t>0,625</t>
  </si>
  <si>
    <t>4,75</t>
  </si>
  <si>
    <t>5,7075</t>
  </si>
  <si>
    <t>32,4 M</t>
  </si>
  <si>
    <t>96534-4</t>
  </si>
  <si>
    <t>5.2.3.3</t>
  </si>
  <si>
    <t>4517</t>
  </si>
  <si>
    <t>SARRAFO *2,5 X 7,5* CM EM PINUS, MISTA OU EQUIVALENTE DA REGIAO - BRUTA</t>
  </si>
  <si>
    <t>0,924</t>
  </si>
  <si>
    <t>2,66</t>
  </si>
  <si>
    <t>2,9494</t>
  </si>
  <si>
    <t>47,9002 M</t>
  </si>
  <si>
    <t>96534-5</t>
  </si>
  <si>
    <t>5.2.3.4</t>
  </si>
  <si>
    <t>5074</t>
  </si>
  <si>
    <t>PREGO DE ACO POLIDO COM CABECA 15 X 18 (1 1/2 X 13)</t>
  </si>
  <si>
    <t>0,011</t>
  </si>
  <si>
    <t>15,4</t>
  </si>
  <si>
    <t>0,2033</t>
  </si>
  <si>
    <t>0,5702 KG</t>
  </si>
  <si>
    <t>96534-6</t>
  </si>
  <si>
    <t>5.2.3.5</t>
  </si>
  <si>
    <t>6189</t>
  </si>
  <si>
    <t>TABUA NAO APARELHADA *2,5 X 30* CM, EM MACARANDUBA/MASSARANDUBA, ANGELIM OU EQUIVALENTE DA REGIAO - BRUTA</t>
  </si>
  <si>
    <t>1,059</t>
  </si>
  <si>
    <t>32,67</t>
  </si>
  <si>
    <t>34,59</t>
  </si>
  <si>
    <t>41,517</t>
  </si>
  <si>
    <t>54,8986 M</t>
  </si>
  <si>
    <t>96534-7</t>
  </si>
  <si>
    <t>5.2.3.6</t>
  </si>
  <si>
    <t>40304</t>
  </si>
  <si>
    <t>PREGO DE ACO POLIDO COM CABECA DUPLA 17 X 27 (2 1/2 X 11)</t>
  </si>
  <si>
    <t>0,044</t>
  </si>
  <si>
    <t>16,96</t>
  </si>
  <si>
    <t>0,74</t>
  </si>
  <si>
    <t>0,8955</t>
  </si>
  <si>
    <t>2,281 KG</t>
  </si>
  <si>
    <t>96534-8</t>
  </si>
  <si>
    <t>5.2.3.7</t>
  </si>
  <si>
    <t>0,589</t>
  </si>
  <si>
    <t>15,99</t>
  </si>
  <si>
    <t>19,1896</t>
  </si>
  <si>
    <t>30,5338 H</t>
  </si>
  <si>
    <t>96534-9</t>
  </si>
  <si>
    <t>5.2.3.8</t>
  </si>
  <si>
    <t>1,413</t>
  </si>
  <si>
    <t>44,26</t>
  </si>
  <si>
    <t>53,1231</t>
  </si>
  <si>
    <t>73,2499 H</t>
  </si>
  <si>
    <t>96534-10</t>
  </si>
  <si>
    <t>5.2.3.9</t>
  </si>
  <si>
    <t>0,018</t>
  </si>
  <si>
    <t>0,58</t>
  </si>
  <si>
    <t>0,7029</t>
  </si>
  <si>
    <t>0,9331 CHP</t>
  </si>
  <si>
    <t>96534-11</t>
  </si>
  <si>
    <t>5.2.3.10</t>
  </si>
  <si>
    <t>0,014</t>
  </si>
  <si>
    <t>0,44</t>
  </si>
  <si>
    <t>0,5289</t>
  </si>
  <si>
    <t>0,7258 CHI</t>
  </si>
  <si>
    <t>96534-12</t>
  </si>
  <si>
    <t>96534-13</t>
  </si>
  <si>
    <t>96534-14</t>
  </si>
  <si>
    <t>96534-15</t>
  </si>
  <si>
    <t>96534-16</t>
  </si>
  <si>
    <t>5.2.4</t>
  </si>
  <si>
    <t>96545</t>
  </si>
  <si>
    <t>ARMAÇÃO DE BLOCO, VIGA BALDRAME OU SAPATA UTILIZANDO AÇO CA-50 DE 8 MM - MONTAGEM. AF_06/2017</t>
  </si>
  <si>
    <t>622,08</t>
  </si>
  <si>
    <t>15,39</t>
  </si>
  <si>
    <t>9573,8112</t>
  </si>
  <si>
    <t>3,918</t>
  </si>
  <si>
    <t>2437,3119</t>
  </si>
  <si>
    <t>11,472</t>
  </si>
  <si>
    <t>7136,4993</t>
  </si>
  <si>
    <t>11488,5734</t>
  </si>
  <si>
    <t>0,0015444756464</t>
  </si>
  <si>
    <t>96545-2</t>
  </si>
  <si>
    <t>5.2.4.1</t>
  </si>
  <si>
    <t>0,724</t>
  </si>
  <si>
    <t>0,15</t>
  </si>
  <si>
    <t>0,1911</t>
  </si>
  <si>
    <t>450,3859 UN</t>
  </si>
  <si>
    <t>96545-3</t>
  </si>
  <si>
    <t>5.2.4.2</t>
  </si>
  <si>
    <t>15,552 KG</t>
  </si>
  <si>
    <t>96545-4</t>
  </si>
  <si>
    <t>5.2.4.3</t>
  </si>
  <si>
    <t>88238</t>
  </si>
  <si>
    <t>AJUDANTE DE ARMADOR COM ENCARGOS COMPLEMENTARES</t>
  </si>
  <si>
    <t>0,0375</t>
  </si>
  <si>
    <t>27,27</t>
  </si>
  <si>
    <t>1,02</t>
  </si>
  <si>
    <t>1,2271</t>
  </si>
  <si>
    <t>23,328 H</t>
  </si>
  <si>
    <t>96545-5</t>
  </si>
  <si>
    <t>5.2.4.4</t>
  </si>
  <si>
    <t>0,1155</t>
  </si>
  <si>
    <t>3,63</t>
  </si>
  <si>
    <t>4,3673</t>
  </si>
  <si>
    <t>71,8502 H</t>
  </si>
  <si>
    <t>96545-6</t>
  </si>
  <si>
    <t>5.2.4.5</t>
  </si>
  <si>
    <t>622,08 KG</t>
  </si>
  <si>
    <t>96545-7</t>
  </si>
  <si>
    <t>96545-8</t>
  </si>
  <si>
    <t>96545-9</t>
  </si>
  <si>
    <t>96545-10</t>
  </si>
  <si>
    <t>96545-11</t>
  </si>
  <si>
    <t>96545-12</t>
  </si>
  <si>
    <t>96545-13</t>
  </si>
  <si>
    <t>96545-14</t>
  </si>
  <si>
    <t>96545-15</t>
  </si>
  <si>
    <t>96545-16</t>
  </si>
  <si>
    <t>5.2.5</t>
  </si>
  <si>
    <t>96557</t>
  </si>
  <si>
    <t>CONCRETAGEM DE BLOCOS DE COROAMENTO E VIGAS BALDRAMES, FCK 30 MPA, COM USO DE BOMBA  LANÇAMENTO, ADENSAMENTO E ACABAMENTO. AF_06/2017</t>
  </si>
  <si>
    <t>7,78</t>
  </si>
  <si>
    <t>568,94</t>
  </si>
  <si>
    <t>4426,3532</t>
  </si>
  <si>
    <t>19,4634</t>
  </si>
  <si>
    <t>151,4254</t>
  </si>
  <si>
    <t>549,3666</t>
  </si>
  <si>
    <t>4274,0718</t>
  </si>
  <si>
    <t>0,6225</t>
  </si>
  <si>
    <t>5311,6238</t>
  </si>
  <si>
    <t>0,00071407243958</t>
  </si>
  <si>
    <t>96557-2</t>
  </si>
  <si>
    <t>5.2.5.1</t>
  </si>
  <si>
    <t>1,15</t>
  </si>
  <si>
    <t>542,42</t>
  </si>
  <si>
    <t>650,9046</t>
  </si>
  <si>
    <t>8,947 M3</t>
  </si>
  <si>
    <t>96557-3</t>
  </si>
  <si>
    <t>5.2.5.2</t>
  </si>
  <si>
    <t>0,363</t>
  </si>
  <si>
    <t>11,52</t>
  </si>
  <si>
    <t>13,8303</t>
  </si>
  <si>
    <t>2,8241 H</t>
  </si>
  <si>
    <t>96557-4</t>
  </si>
  <si>
    <t>5.2.5.3</t>
  </si>
  <si>
    <t>0,544</t>
  </si>
  <si>
    <t>14,86</t>
  </si>
  <si>
    <t>17,8345</t>
  </si>
  <si>
    <t>4,2323 H</t>
  </si>
  <si>
    <t>96557-5</t>
  </si>
  <si>
    <t>5.2.5.4</t>
  </si>
  <si>
    <t>0,088</t>
  </si>
  <si>
    <t>0,1</t>
  </si>
  <si>
    <t>0,1257</t>
  </si>
  <si>
    <t>0,6846 CHP</t>
  </si>
  <si>
    <t>96557-6</t>
  </si>
  <si>
    <t>5.2.5.5</t>
  </si>
  <si>
    <t>0,093</t>
  </si>
  <si>
    <t>0,7235 CHI</t>
  </si>
  <si>
    <t>96557-7</t>
  </si>
  <si>
    <t>96557-8</t>
  </si>
  <si>
    <t>96557-9</t>
  </si>
  <si>
    <t>96557-10</t>
  </si>
  <si>
    <t>96557-11</t>
  </si>
  <si>
    <t>96557-12</t>
  </si>
  <si>
    <t>96557-13</t>
  </si>
  <si>
    <t>96557-14</t>
  </si>
  <si>
    <t>96557-15</t>
  </si>
  <si>
    <t>96557-16</t>
  </si>
  <si>
    <t>FD.3</t>
  </si>
  <si>
    <t>5.3</t>
  </si>
  <si>
    <t>VIGAS BALDRAME</t>
  </si>
  <si>
    <t>49142,1325</t>
  </si>
  <si>
    <t>17621,6144</t>
  </si>
  <si>
    <t>31511,3948</t>
  </si>
  <si>
    <t>5,1106</t>
  </si>
  <si>
    <t>58970,559</t>
  </si>
  <si>
    <t>0,0079277547125</t>
  </si>
  <si>
    <t>5.3.1</t>
  </si>
  <si>
    <t>96527</t>
  </si>
  <si>
    <t>ESCAVAÇÃO MANUAL DE VALA PARA VIGA BALDRAME (INCLUINDO ESCAVAÇÃO PARA COLOCAÇÃO DE FÔRMAS). AF_06/2017</t>
  </si>
  <si>
    <t>19,26</t>
  </si>
  <si>
    <t>159,37</t>
  </si>
  <si>
    <t>3069,4662</t>
  </si>
  <si>
    <t>116,9587</t>
  </si>
  <si>
    <t>2252,6248</t>
  </si>
  <si>
    <t>42,4113</t>
  </si>
  <si>
    <t>816,8414</t>
  </si>
  <si>
    <t>3683,3594</t>
  </si>
  <si>
    <t>0,00049517540029</t>
  </si>
  <si>
    <t>96527-2</t>
  </si>
  <si>
    <t>5.3.1.1</t>
  </si>
  <si>
    <t>1,459</t>
  </si>
  <si>
    <t>46,32</t>
  </si>
  <si>
    <t>55,5879</t>
  </si>
  <si>
    <t>28,1003 H</t>
  </si>
  <si>
    <t>96527-3</t>
  </si>
  <si>
    <t>5.3.1.2</t>
  </si>
  <si>
    <t>4,138</t>
  </si>
  <si>
    <t>113,05</t>
  </si>
  <si>
    <t>135,6602</t>
  </si>
  <si>
    <t>79,6979 H</t>
  </si>
  <si>
    <t>96527-4</t>
  </si>
  <si>
    <t>96527-5</t>
  </si>
  <si>
    <t>96527-6</t>
  </si>
  <si>
    <t>96527-7</t>
  </si>
  <si>
    <t>96527-8</t>
  </si>
  <si>
    <t>96527-9</t>
  </si>
  <si>
    <t>96527-10</t>
  </si>
  <si>
    <t>96527-11</t>
  </si>
  <si>
    <t>96527-12</t>
  </si>
  <si>
    <t>96527-13</t>
  </si>
  <si>
    <t>96527-14</t>
  </si>
  <si>
    <t>96527-15</t>
  </si>
  <si>
    <t>96527-16</t>
  </si>
  <si>
    <t>5.3.2</t>
  </si>
  <si>
    <t>25,68</t>
  </si>
  <si>
    <t>778,8744</t>
  </si>
  <si>
    <t>337,607</t>
  </si>
  <si>
    <t>435,5803</t>
  </si>
  <si>
    <t>3,8776</t>
  </si>
  <si>
    <t>934,6493</t>
  </si>
  <si>
    <t>0,0001256503306</t>
  </si>
  <si>
    <t>5.3.2.1</t>
  </si>
  <si>
    <t>7,9762 H</t>
  </si>
  <si>
    <t>5.3.2.2</t>
  </si>
  <si>
    <t>2,1751 H</t>
  </si>
  <si>
    <t>5.3.2.3</t>
  </si>
  <si>
    <t>1,4509 M3</t>
  </si>
  <si>
    <t>5.3.3</t>
  </si>
  <si>
    <t>96542</t>
  </si>
  <si>
    <t>FABRICAÇÃO, MONTAGEM E DESMONTAGEM DE FÔRMA PARA VIGA BALDRAME, EM CHAPA DE MADEIRA COMPENSADA RESINADA, E=17 MM, 4 UTILIZAÇÕES. AF_06/2017</t>
  </si>
  <si>
    <t>173,85</t>
  </si>
  <si>
    <t>100,97</t>
  </si>
  <si>
    <t>17553,6345</t>
  </si>
  <si>
    <t>56,9533</t>
  </si>
  <si>
    <t>9901,3361</t>
  </si>
  <si>
    <t>44,0067</t>
  </si>
  <si>
    <t>7650,5577</t>
  </si>
  <si>
    <t>21064,3614</t>
  </si>
  <si>
    <t>0,0028318044324</t>
  </si>
  <si>
    <t>96542-2</t>
  </si>
  <si>
    <t>5.3.3.1</t>
  </si>
  <si>
    <t>1358</t>
  </si>
  <si>
    <t>CHAPA/PAINEL DE MADEIRA COMPENSADA RESINADA (MADEIRITE RESINADO ROSA) PARA FORMA DE CONCRETO, DE 2200 x 1100 MM, E = 17 MM</t>
  </si>
  <si>
    <t>0,315</t>
  </si>
  <si>
    <t>42,63</t>
  </si>
  <si>
    <t>13,42</t>
  </si>
  <si>
    <t>16,1141</t>
  </si>
  <si>
    <t>54,7628 M2</t>
  </si>
  <si>
    <t>96542-3</t>
  </si>
  <si>
    <t>5.3.3.2</t>
  </si>
  <si>
    <t>0,01</t>
  </si>
  <si>
    <t>0,06</t>
  </si>
  <si>
    <t>1,7385 L</t>
  </si>
  <si>
    <t>96542-4</t>
  </si>
  <si>
    <t>5.3.3.3</t>
  </si>
  <si>
    <t>1,218</t>
  </si>
  <si>
    <t>9,26</t>
  </si>
  <si>
    <t>11,1228</t>
  </si>
  <si>
    <t>211,7493 M</t>
  </si>
  <si>
    <t>96542-5</t>
  </si>
  <si>
    <t>5.3.3.4</t>
  </si>
  <si>
    <t>0,722</t>
  </si>
  <si>
    <t>1,92</t>
  </si>
  <si>
    <t>2,3046</t>
  </si>
  <si>
    <t>125,5197 M</t>
  </si>
  <si>
    <t>96542-6</t>
  </si>
  <si>
    <t>5.3.3.5</t>
  </si>
  <si>
    <t>5073</t>
  </si>
  <si>
    <t>PREGO DE ACO POLIDO COM CABECA 17 X 24 (2 1/4 X 11)</t>
  </si>
  <si>
    <t>0,019</t>
  </si>
  <si>
    <t>14,01</t>
  </si>
  <si>
    <t>0,26</t>
  </si>
  <si>
    <t>0,3194</t>
  </si>
  <si>
    <t>3,3032 KG</t>
  </si>
  <si>
    <t>96542-7</t>
  </si>
  <si>
    <t>5.3.3.6</t>
  </si>
  <si>
    <t>20247</t>
  </si>
  <si>
    <t>PREGO DE ACO POLIDO COM CABECA 15 X 15 (1 1/4 X 13)</t>
  </si>
  <si>
    <t>0,004</t>
  </si>
  <si>
    <t>15,21</t>
  </si>
  <si>
    <t>0,073</t>
  </si>
  <si>
    <t>0,6954 KG</t>
  </si>
  <si>
    <t>96542-8</t>
  </si>
  <si>
    <t>5.3.3.7</t>
  </si>
  <si>
    <t>0,2035</t>
  </si>
  <si>
    <t>1,7385 KG</t>
  </si>
  <si>
    <t>96542-9</t>
  </si>
  <si>
    <t>5.3.3.8</t>
  </si>
  <si>
    <t>0,725</t>
  </si>
  <si>
    <t>19,68</t>
  </si>
  <si>
    <t>23,6205</t>
  </si>
  <si>
    <t>126,0413 H</t>
  </si>
  <si>
    <t>96542-10</t>
  </si>
  <si>
    <t>5.3.3.9</t>
  </si>
  <si>
    <t>1,749</t>
  </si>
  <si>
    <t>54,79</t>
  </si>
  <si>
    <t>65,7554</t>
  </si>
  <si>
    <t>304,0637 H</t>
  </si>
  <si>
    <t>96542-11</t>
  </si>
  <si>
    <t>5.3.3.10</t>
  </si>
  <si>
    <t>0,5467</t>
  </si>
  <si>
    <t>2,4339 CHP</t>
  </si>
  <si>
    <t>96542-12</t>
  </si>
  <si>
    <t>5.3.3.11</t>
  </si>
  <si>
    <t>0,029</t>
  </si>
  <si>
    <t>1,0955</t>
  </si>
  <si>
    <t>5,0417 CHI</t>
  </si>
  <si>
    <t>96542-13</t>
  </si>
  <si>
    <t>96542-14</t>
  </si>
  <si>
    <t>96542-15</t>
  </si>
  <si>
    <t>96542-16</t>
  </si>
  <si>
    <t>5.3.4</t>
  </si>
  <si>
    <t>1232,8</t>
  </si>
  <si>
    <t>18972,792</t>
  </si>
  <si>
    <t>4830,1152</t>
  </si>
  <si>
    <t>14142,6768</t>
  </si>
  <si>
    <t>22767,3504</t>
  </si>
  <si>
    <t>0,0030607471336</t>
  </si>
  <si>
    <t>5.3.4.1</t>
  </si>
  <si>
    <t>892,5472 UN</t>
  </si>
  <si>
    <t>5.3.4.2</t>
  </si>
  <si>
    <t>30,82 KG</t>
  </si>
  <si>
    <t>5.3.4.3</t>
  </si>
  <si>
    <t>46,23 H</t>
  </si>
  <si>
    <t>5.3.4.4</t>
  </si>
  <si>
    <t>142,3884 H</t>
  </si>
  <si>
    <t>5.3.4.5</t>
  </si>
  <si>
    <t>1232,8 KG</t>
  </si>
  <si>
    <t>5.3.5</t>
  </si>
  <si>
    <t>15,41</t>
  </si>
  <si>
    <t>8767,3654</t>
  </si>
  <si>
    <t>299,9313</t>
  </si>
  <si>
    <t>8465,7387</t>
  </si>
  <si>
    <t>1,233</t>
  </si>
  <si>
    <t>10520,8385</t>
  </si>
  <si>
    <t>0,0014143774157</t>
  </si>
  <si>
    <t>5.3.5.1</t>
  </si>
  <si>
    <t>17,7215 M3</t>
  </si>
  <si>
    <t>5.3.5.2</t>
  </si>
  <si>
    <t>5,5938 H</t>
  </si>
  <si>
    <t>5.3.5.3</t>
  </si>
  <si>
    <t>8,383 H</t>
  </si>
  <si>
    <t>5.3.5.4</t>
  </si>
  <si>
    <t>1,3561 CHP</t>
  </si>
  <si>
    <t>5.3.5.5</t>
  </si>
  <si>
    <t>1,4331 CHI</t>
  </si>
  <si>
    <t>SE</t>
  </si>
  <si>
    <t>ESTRUTURA</t>
  </si>
  <si>
    <t>1436404</t>
  </si>
  <si>
    <t>289684,755</t>
  </si>
  <si>
    <t>1029293,3453</t>
  </si>
  <si>
    <t>117355,6895</t>
  </si>
  <si>
    <t>1723684,8</t>
  </si>
  <si>
    <t>0,23172495781</t>
  </si>
  <si>
    <t>SE.1</t>
  </si>
  <si>
    <t>6.1</t>
  </si>
  <si>
    <t>PILARES</t>
  </si>
  <si>
    <t>398736</t>
  </si>
  <si>
    <t>90969,3139</t>
  </si>
  <si>
    <t>276369,6842</t>
  </si>
  <si>
    <t>31374,4489</t>
  </si>
  <si>
    <t>478483,2</t>
  </si>
  <si>
    <t>0,064325275324</t>
  </si>
  <si>
    <t>6.1.1</t>
  </si>
  <si>
    <t>92419</t>
  </si>
  <si>
    <t>MONTAGEM E DESMONTAGEM DE FÔRMA DE PILARES RETANGULARES E ESTRUTURAS SIMILARES, PÉ-DIREITO SIMPLES, EM CHAPA DE MADEIRA COMPENSADA RESINADA, 4 UTILIZAÇÕES. AF_09/2020</t>
  </si>
  <si>
    <t>1800</t>
  </si>
  <si>
    <t>90,14</t>
  </si>
  <si>
    <t>162252</t>
  </si>
  <si>
    <t>34,5095</t>
  </si>
  <si>
    <t>62117,1708</t>
  </si>
  <si>
    <t>38,2002</t>
  </si>
  <si>
    <t>68760,3328</t>
  </si>
  <si>
    <t>17,4202</t>
  </si>
  <si>
    <t>31356,4444</t>
  </si>
  <si>
    <t>194702,4</t>
  </si>
  <si>
    <t>0,026174974349</t>
  </si>
  <si>
    <t>92419-2</t>
  </si>
  <si>
    <t>6.1.1.1</t>
  </si>
  <si>
    <t>18 L</t>
  </si>
  <si>
    <t>92419-3</t>
  </si>
  <si>
    <t>6.1.1.2</t>
  </si>
  <si>
    <t>0,196</t>
  </si>
  <si>
    <t>3,74</t>
  </si>
  <si>
    <t>4,4994</t>
  </si>
  <si>
    <t>352,8 UNXMES</t>
  </si>
  <si>
    <t>92419-4</t>
  </si>
  <si>
    <t>6.1.1.3</t>
  </si>
  <si>
    <t>0,393</t>
  </si>
  <si>
    <t>7,86</t>
  </si>
  <si>
    <t>9,432</t>
  </si>
  <si>
    <t>707,4 UNXMES</t>
  </si>
  <si>
    <t>92419-5</t>
  </si>
  <si>
    <t>6.1.1.4</t>
  </si>
  <si>
    <t>0,785</t>
  </si>
  <si>
    <t>5,77</t>
  </si>
  <si>
    <t>6,9331</t>
  </si>
  <si>
    <t>1413 MES</t>
  </si>
  <si>
    <t>92419-6</t>
  </si>
  <si>
    <t>6.1.1.5</t>
  </si>
  <si>
    <t>0,3867</t>
  </si>
  <si>
    <t>34,2 KG</t>
  </si>
  <si>
    <t>92419-7</t>
  </si>
  <si>
    <t>6.1.1.6</t>
  </si>
  <si>
    <t>0,159</t>
  </si>
  <si>
    <t>4,31</t>
  </si>
  <si>
    <t>5,1802</t>
  </si>
  <si>
    <t>286,2 H</t>
  </si>
  <si>
    <t>92419-8</t>
  </si>
  <si>
    <t>6.1.1.7</t>
  </si>
  <si>
    <t>0,866</t>
  </si>
  <si>
    <t>27,13</t>
  </si>
  <si>
    <t>32,5581</t>
  </si>
  <si>
    <t>1558,8 H</t>
  </si>
  <si>
    <t>92419-9</t>
  </si>
  <si>
    <t>6.1.1.8</t>
  </si>
  <si>
    <t>92263</t>
  </si>
  <si>
    <t>FABRICAÇÃO DE FÔRMA PARA PILARES E ESTRUTURAS SIMILARES, EM CHAPA DE MADEIRA COMPENSADA RESINADA, E = 17 MM. AF_09/2020</t>
  </si>
  <si>
    <t>0,263</t>
  </si>
  <si>
    <t>155,74</t>
  </si>
  <si>
    <t>40,95</t>
  </si>
  <si>
    <t>49,1515</t>
  </si>
  <si>
    <t>473,4 M2</t>
  </si>
  <si>
    <t>92419-10</t>
  </si>
  <si>
    <t>92419-11</t>
  </si>
  <si>
    <t>92419-12</t>
  </si>
  <si>
    <t>92419-13</t>
  </si>
  <si>
    <t>92419-14</t>
  </si>
  <si>
    <t>92419-15</t>
  </si>
  <si>
    <t>92419-16</t>
  </si>
  <si>
    <t>6.1.2</t>
  </si>
  <si>
    <t>92761</t>
  </si>
  <si>
    <t>ARMAÇÃO DE PILAR OU VIGA DE ESTRUTURA CONVENCIONAL DE CONCRETO ARMADO UTILIZANDO AÇO CA-50 DE 8,0 MM - MONTAGEM. AF_06/2022</t>
  </si>
  <si>
    <t>12000</t>
  </si>
  <si>
    <t>12,76</t>
  </si>
  <si>
    <t>153120</t>
  </si>
  <si>
    <t>1,9382</t>
  </si>
  <si>
    <t>23258,7342</t>
  </si>
  <si>
    <t>10,8218</t>
  </si>
  <si>
    <t>129861,2658</t>
  </si>
  <si>
    <t>183744</t>
  </si>
  <si>
    <t>0,024701772997</t>
  </si>
  <si>
    <t>92761-2</t>
  </si>
  <si>
    <t>6.1.2.1</t>
  </si>
  <si>
    <t>8916 UN</t>
  </si>
  <si>
    <t>92761-3</t>
  </si>
  <si>
    <t>6.1.2.2</t>
  </si>
  <si>
    <t>300 KG</t>
  </si>
  <si>
    <t>92761-4</t>
  </si>
  <si>
    <t>6.1.2.3</t>
  </si>
  <si>
    <t>0,0092</t>
  </si>
  <si>
    <t>0,3011</t>
  </si>
  <si>
    <t>110,4 H</t>
  </si>
  <si>
    <t>92761-5</t>
  </si>
  <si>
    <t>6.1.2.4</t>
  </si>
  <si>
    <t>0,0561</t>
  </si>
  <si>
    <t>1,76</t>
  </si>
  <si>
    <t>2,1213</t>
  </si>
  <si>
    <t>673,2 H</t>
  </si>
  <si>
    <t>92761-6</t>
  </si>
  <si>
    <t>6.1.2.5</t>
  </si>
  <si>
    <t>12000 KG</t>
  </si>
  <si>
    <t>92761-7</t>
  </si>
  <si>
    <t>92761-8</t>
  </si>
  <si>
    <t>92761-9</t>
  </si>
  <si>
    <t>92761-10</t>
  </si>
  <si>
    <t>92761-11</t>
  </si>
  <si>
    <t>92761-12</t>
  </si>
  <si>
    <t>92761-13</t>
  </si>
  <si>
    <t>92761-14</t>
  </si>
  <si>
    <t>92761-15</t>
  </si>
  <si>
    <t>92761-16</t>
  </si>
  <si>
    <t>6.1.3</t>
  </si>
  <si>
    <t>103672</t>
  </si>
  <si>
    <t>CONCRETAGEM DE PILARES, FCK = 25 MPA, COM USO DE BOMBA - LANÇAMENTO, ADENSAMENTO E ACABAMENTO. AF_02/2022_PS</t>
  </si>
  <si>
    <t>150</t>
  </si>
  <si>
    <t>555,76</t>
  </si>
  <si>
    <t>83364</t>
  </si>
  <si>
    <t>37,2894</t>
  </si>
  <si>
    <t>5593,409</t>
  </si>
  <si>
    <t>518,3206</t>
  </si>
  <si>
    <t>77748,0855</t>
  </si>
  <si>
    <t>0,12</t>
  </si>
  <si>
    <t>18,0045</t>
  </si>
  <si>
    <t>100036,8</t>
  </si>
  <si>
    <t>0,013448527979</t>
  </si>
  <si>
    <t>103672-2</t>
  </si>
  <si>
    <t>6.1.3.1</t>
  </si>
  <si>
    <t>1527</t>
  </si>
  <si>
    <t>CONCRETO USINADO BOMBEAVEL, CLASSE DE RESISTENCIA C25, BRITA 0 E 1, SLUMP = 100 +/- 20 MM, COM BOMBEAMENTO (DISPONIBILIZACAO DE BOMBA), SEM O LANCAMENTO (NBR 8953)</t>
  </si>
  <si>
    <t>457,6</t>
  </si>
  <si>
    <t>504,73</t>
  </si>
  <si>
    <t>605,6794</t>
  </si>
  <si>
    <t>165,45 M3</t>
  </si>
  <si>
    <t>103672-3</t>
  </si>
  <si>
    <t>6.1.3.2</t>
  </si>
  <si>
    <t>0,224</t>
  </si>
  <si>
    <t>7,01</t>
  </si>
  <si>
    <t>8,4215</t>
  </si>
  <si>
    <t>33,6 H</t>
  </si>
  <si>
    <t>103672-4</t>
  </si>
  <si>
    <t>6.1.3.3</t>
  </si>
  <si>
    <t>7,11</t>
  </si>
  <si>
    <t>8,5344</t>
  </si>
  <si>
    <t>103672-5</t>
  </si>
  <si>
    <t>6.1.3.4</t>
  </si>
  <si>
    <t>1,345</t>
  </si>
  <si>
    <t>36,74</t>
  </si>
  <si>
    <t>44,0945</t>
  </si>
  <si>
    <t>201,75 H</t>
  </si>
  <si>
    <t>103672-6</t>
  </si>
  <si>
    <t>6.1.3.5</t>
  </si>
  <si>
    <t>0,094</t>
  </si>
  <si>
    <t>0,1342</t>
  </si>
  <si>
    <t>14,1 CHP</t>
  </si>
  <si>
    <t>103672-7</t>
  </si>
  <si>
    <t>6.1.3.6</t>
  </si>
  <si>
    <t>0,13</t>
  </si>
  <si>
    <t>0,0764</t>
  </si>
  <si>
    <t>19,5 CHI</t>
  </si>
  <si>
    <t>103672-8</t>
  </si>
  <si>
    <t>103672-9</t>
  </si>
  <si>
    <t>103672-10</t>
  </si>
  <si>
    <t>103672-11</t>
  </si>
  <si>
    <t>103672-12</t>
  </si>
  <si>
    <t>103672-13</t>
  </si>
  <si>
    <t>103672-14</t>
  </si>
  <si>
    <t>103672-15</t>
  </si>
  <si>
    <t>103672-16</t>
  </si>
  <si>
    <t>SE.2</t>
  </si>
  <si>
    <t>6.2</t>
  </si>
  <si>
    <t>VIGAS</t>
  </si>
  <si>
    <t>430862,5</t>
  </si>
  <si>
    <t>111635,4115</t>
  </si>
  <si>
    <t>251778,4858</t>
  </si>
  <si>
    <t>67413,5478</t>
  </si>
  <si>
    <t>517035</t>
  </si>
  <si>
    <t>0,069508017684</t>
  </si>
  <si>
    <t>6.2.1</t>
  </si>
  <si>
    <t>92456</t>
  </si>
  <si>
    <t>MONTAGEM E DESMONTAGEM DE FÔRMA DE VIGA, ESCORAMENTO METÁLICO, PÉ-DIREITO SIMPLES, EM CHAPA DE MADEIRA RESINADA, 4 UTILIZAÇÕES. AF_09/2020</t>
  </si>
  <si>
    <t>1500</t>
  </si>
  <si>
    <t>155,9</t>
  </si>
  <si>
    <t>233850</t>
  </si>
  <si>
    <t>58,3849</t>
  </si>
  <si>
    <t>87577,2911</t>
  </si>
  <si>
    <t>52,5644</t>
  </si>
  <si>
    <t>78846,6103</t>
  </si>
  <si>
    <t>44,9307</t>
  </si>
  <si>
    <t>67396,0447</t>
  </si>
  <si>
    <t>280620</t>
  </si>
  <si>
    <t>0,037725376275</t>
  </si>
  <si>
    <t>92456-2</t>
  </si>
  <si>
    <t>6.2.1.1</t>
  </si>
  <si>
    <t>15 L</t>
  </si>
  <si>
    <t>92456-3</t>
  </si>
  <si>
    <t>6.2.1.2</t>
  </si>
  <si>
    <t>0,519</t>
  </si>
  <si>
    <t>3,94</t>
  </si>
  <si>
    <t>4,7395</t>
  </si>
  <si>
    <t>778,5 M</t>
  </si>
  <si>
    <t>92456-4</t>
  </si>
  <si>
    <t>6.2.1.3</t>
  </si>
  <si>
    <t>10749</t>
  </si>
  <si>
    <t>LOCACAO DE ESCORA METALICA TELESCOPICA, COM ALTURA REGULAVEL DE *1,80* A *3,20* M, COM CAPACIDADE DE CARGA DE NO MINIMO 1000 KGF (10 KN), INCLUSO TRIPE E FORCADO</t>
  </si>
  <si>
    <t>1,186</t>
  </si>
  <si>
    <t>22,18</t>
  </si>
  <si>
    <t>31,5666</t>
  </si>
  <si>
    <t>1779 UNXMES</t>
  </si>
  <si>
    <t>92456-5</t>
  </si>
  <si>
    <t>6.2.1.4</t>
  </si>
  <si>
    <t>0,356</t>
  </si>
  <si>
    <t>7,12</t>
  </si>
  <si>
    <t>8,544</t>
  </si>
  <si>
    <t>534 UNXMES</t>
  </si>
  <si>
    <t>92456-6</t>
  </si>
  <si>
    <t>6.2.1.5</t>
  </si>
  <si>
    <t>0,474</t>
  </si>
  <si>
    <t>4,1864</t>
  </si>
  <si>
    <t>711 MES</t>
  </si>
  <si>
    <t>92456-7</t>
  </si>
  <si>
    <t>6.2.1.6</t>
  </si>
  <si>
    <t>0,033</t>
  </si>
  <si>
    <t>0,6716</t>
  </si>
  <si>
    <t>49,5 KG</t>
  </si>
  <si>
    <t>92456-8</t>
  </si>
  <si>
    <t>6.2.1.7</t>
  </si>
  <si>
    <t>40339</t>
  </si>
  <si>
    <t>LOCACAO DE CRUZETA, SIMPLES, PARA ESCORA METALICA, COMPRIMENTO ENTRE 50 A 60 CM, PARA ESCORA DE 1,80 A 3,20 METROS E TUBO EXTERNO ATE 48 MM DE DIAMETRO</t>
  </si>
  <si>
    <t>6,71</t>
  </si>
  <si>
    <t>7,95</t>
  </si>
  <si>
    <t>9,5497</t>
  </si>
  <si>
    <t>92456-9</t>
  </si>
  <si>
    <t>6.2.1.8</t>
  </si>
  <si>
    <t>8,14</t>
  </si>
  <si>
    <t>9,774</t>
  </si>
  <si>
    <t>450 H</t>
  </si>
  <si>
    <t>92456-10</t>
  </si>
  <si>
    <t>6.2.1.9</t>
  </si>
  <si>
    <t>1,635</t>
  </si>
  <si>
    <t>51,22</t>
  </si>
  <si>
    <t>61,4695</t>
  </si>
  <si>
    <t>2452,5 H</t>
  </si>
  <si>
    <t>92456-11</t>
  </si>
  <si>
    <t>6.2.1.10</t>
  </si>
  <si>
    <t>92265</t>
  </si>
  <si>
    <t>FABRICAÇÃO DE FÔRMA PARA VIGAS, EM CHAPA DE MADEIRA COMPENSADA RESINADA, E = 17 MM. AF_09/2020</t>
  </si>
  <si>
    <t>0,414</t>
  </si>
  <si>
    <t>113,88</t>
  </si>
  <si>
    <t>47,14</t>
  </si>
  <si>
    <t>56,5756</t>
  </si>
  <si>
    <t>621 M2</t>
  </si>
  <si>
    <t>92456-12</t>
  </si>
  <si>
    <t>92456-13</t>
  </si>
  <si>
    <t>92456-14</t>
  </si>
  <si>
    <t>92456-15</t>
  </si>
  <si>
    <t>92456-16</t>
  </si>
  <si>
    <t>6.2.2</t>
  </si>
  <si>
    <t>10000</t>
  </si>
  <si>
    <t>127600</t>
  </si>
  <si>
    <t>19382,2785</t>
  </si>
  <si>
    <t>108217,7215</t>
  </si>
  <si>
    <t>0,020584810831</t>
  </si>
  <si>
    <t>6.2.2.1</t>
  </si>
  <si>
    <t>7430 UN</t>
  </si>
  <si>
    <t>6.2.2.2</t>
  </si>
  <si>
    <t>250 KG</t>
  </si>
  <si>
    <t>6.2.2.3</t>
  </si>
  <si>
    <t>92 H</t>
  </si>
  <si>
    <t>6.2.2.4</t>
  </si>
  <si>
    <t>561 H</t>
  </si>
  <si>
    <t>6.2.2.5</t>
  </si>
  <si>
    <t>10000 KG</t>
  </si>
  <si>
    <t>6.2.3</t>
  </si>
  <si>
    <t>103675</t>
  </si>
  <si>
    <t>CONCRETAGEM DE VIGAS E LAJES, FCK=25 MPA, PARA LAJES MACIÇAS OU NERVURADAS COM USO DE BOMBA - LANÇAMENTO, ADENSAMENTO E ACABAMENTO. AF_02/2022_PS</t>
  </si>
  <si>
    <t>125</t>
  </si>
  <si>
    <t>555,3</t>
  </si>
  <si>
    <t>69412,5</t>
  </si>
  <si>
    <t>37,4067</t>
  </si>
  <si>
    <t>4675,842</t>
  </si>
  <si>
    <t>517,7132</t>
  </si>
  <si>
    <t>64714,154</t>
  </si>
  <si>
    <t>17,5031</t>
  </si>
  <si>
    <t>83295</t>
  </si>
  <si>
    <t>0,011197830578</t>
  </si>
  <si>
    <t>103675-2</t>
  </si>
  <si>
    <t>6.2.3.1</t>
  </si>
  <si>
    <t>137,875 M3</t>
  </si>
  <si>
    <t>103675-3</t>
  </si>
  <si>
    <t>6.2.3.2</t>
  </si>
  <si>
    <t>0,125</t>
  </si>
  <si>
    <t>3,91</t>
  </si>
  <si>
    <t>4,6995</t>
  </si>
  <si>
    <t>15,625 H</t>
  </si>
  <si>
    <t>103675-4</t>
  </si>
  <si>
    <t>6.2.3.3</t>
  </si>
  <si>
    <t>0,753</t>
  </si>
  <si>
    <t>23,9</t>
  </si>
  <si>
    <t>28,6893</t>
  </si>
  <si>
    <t>94,125 H</t>
  </si>
  <si>
    <t>103675-5</t>
  </si>
  <si>
    <t>6.2.3.4</t>
  </si>
  <si>
    <t>0,826</t>
  </si>
  <si>
    <t>22,56</t>
  </si>
  <si>
    <t>27,0796</t>
  </si>
  <si>
    <t>103,25 H</t>
  </si>
  <si>
    <t>103675-6</t>
  </si>
  <si>
    <t>6.2.3.5</t>
  </si>
  <si>
    <t>0,1714</t>
  </si>
  <si>
    <t>15 CHP</t>
  </si>
  <si>
    <t>103675-7</t>
  </si>
  <si>
    <t>6.2.3.6</t>
  </si>
  <si>
    <t>0,131</t>
  </si>
  <si>
    <t>0,077</t>
  </si>
  <si>
    <t>16,375 CHI</t>
  </si>
  <si>
    <t>103675-8</t>
  </si>
  <si>
    <t>103675-9</t>
  </si>
  <si>
    <t>103675-10</t>
  </si>
  <si>
    <t>103675-11</t>
  </si>
  <si>
    <t>103675-12</t>
  </si>
  <si>
    <t>103675-13</t>
  </si>
  <si>
    <t>103675-14</t>
  </si>
  <si>
    <t>103675-15</t>
  </si>
  <si>
    <t>103675-16</t>
  </si>
  <si>
    <t>SE.3</t>
  </si>
  <si>
    <t>6.3</t>
  </si>
  <si>
    <t>LAJES</t>
  </si>
  <si>
    <t>606805,5</t>
  </si>
  <si>
    <t>87080,0296</t>
  </si>
  <si>
    <t>501145,1754</t>
  </si>
  <si>
    <t>18567,6927</t>
  </si>
  <si>
    <t>728166,6</t>
  </si>
  <si>
    <t>0,097891664799</t>
  </si>
  <si>
    <t>6.3.1</t>
  </si>
  <si>
    <t>92514</t>
  </si>
  <si>
    <t>MONTAGEM E DESMONTAGEM DE FÔRMA DE LAJE MACIÇA, PÉ-DIREITO SIMPLES, EM CHAPA DE MADEIRA COMPENSADA RESINADA, 4 UTILIZAÇÕES. AF_09/2020</t>
  </si>
  <si>
    <t>2100</t>
  </si>
  <si>
    <t>59,5</t>
  </si>
  <si>
    <t>124950</t>
  </si>
  <si>
    <t>17,6916</t>
  </si>
  <si>
    <t>37152,4173</t>
  </si>
  <si>
    <t>32,9876</t>
  </si>
  <si>
    <t>69273,9978</t>
  </si>
  <si>
    <t>8,8208</t>
  </si>
  <si>
    <t>18523,5849</t>
  </si>
  <si>
    <t>149940</t>
  </si>
  <si>
    <t>0,020157304963</t>
  </si>
  <si>
    <t>92514-2</t>
  </si>
  <si>
    <t>6.3.1.1</t>
  </si>
  <si>
    <t>21 L</t>
  </si>
  <si>
    <t>92514-3</t>
  </si>
  <si>
    <t>6.3.1.2</t>
  </si>
  <si>
    <t>0,397</t>
  </si>
  <si>
    <t>8,8</t>
  </si>
  <si>
    <t>10,5666</t>
  </si>
  <si>
    <t>833,7 UNXMES</t>
  </si>
  <si>
    <t>92514-4</t>
  </si>
  <si>
    <t>6.3.1.3</t>
  </si>
  <si>
    <t>40270</t>
  </si>
  <si>
    <t>VIGA DE ESCORAMAENTO H20, DE MADEIRA, PESO DE 5,00 A 5,20 KG/M, COM EXTREMIDADES PLASTICAS</t>
  </si>
  <si>
    <t>0,095</t>
  </si>
  <si>
    <t>126,05</t>
  </si>
  <si>
    <t>11,97</t>
  </si>
  <si>
    <t>14,3697</t>
  </si>
  <si>
    <t>199,5 M</t>
  </si>
  <si>
    <t>92514-5</t>
  </si>
  <si>
    <t>6.3.1.4</t>
  </si>
  <si>
    <t>0,116</t>
  </si>
  <si>
    <t>3,14</t>
  </si>
  <si>
    <t>3,7793</t>
  </si>
  <si>
    <t>243,6 H</t>
  </si>
  <si>
    <t>92514-6</t>
  </si>
  <si>
    <t>6.3.1.5</t>
  </si>
  <si>
    <t>0,635</t>
  </si>
  <si>
    <t>19,89</t>
  </si>
  <si>
    <t>23,8735</t>
  </si>
  <si>
    <t>1333,5 H</t>
  </si>
  <si>
    <t>92514-7</t>
  </si>
  <si>
    <t>6.3.1.6</t>
  </si>
  <si>
    <t>92267</t>
  </si>
  <si>
    <t>FABRICAÇÃO DE FÔRMA PARA LAJES, EM CHAPA DE MADEIRA COMPENSADA RESINADA, E = 17 MM. AF_09/2020</t>
  </si>
  <si>
    <t>0,341</t>
  </si>
  <si>
    <t>45,89</t>
  </si>
  <si>
    <t>15,64</t>
  </si>
  <si>
    <t>18,7782</t>
  </si>
  <si>
    <t>716,1 M2</t>
  </si>
  <si>
    <t>92514-8</t>
  </si>
  <si>
    <t>92514-9</t>
  </si>
  <si>
    <t>92514-10</t>
  </si>
  <si>
    <t>92514-11</t>
  </si>
  <si>
    <t>92514-12</t>
  </si>
  <si>
    <t>92514-13</t>
  </si>
  <si>
    <t>92514-14</t>
  </si>
  <si>
    <t>92514-15</t>
  </si>
  <si>
    <t>92514-16</t>
  </si>
  <si>
    <t>6.3.2</t>
  </si>
  <si>
    <t>92770</t>
  </si>
  <si>
    <t>ARMAÇÃO DE LAJE DE ESTRUTURA CONVENCIONAL DE CONCRETO ARMADO UTILIZANDO AÇO CA-50 DE 8,0 MM - MONTAGEM. AF_06/2022</t>
  </si>
  <si>
    <t>25200</t>
  </si>
  <si>
    <t>12,18</t>
  </si>
  <si>
    <t>306936</t>
  </si>
  <si>
    <t>1,5137</t>
  </si>
  <si>
    <t>38144,4904</t>
  </si>
  <si>
    <t>10,6663</t>
  </si>
  <si>
    <t>268791,5096</t>
  </si>
  <si>
    <t>368323,2</t>
  </si>
  <si>
    <t>0,04951582678</t>
  </si>
  <si>
    <t>92770-2</t>
  </si>
  <si>
    <t>6.3.2.1</t>
  </si>
  <si>
    <t>0,728</t>
  </si>
  <si>
    <t>0,1922</t>
  </si>
  <si>
    <t>18345,6 UN</t>
  </si>
  <si>
    <t>92770-3</t>
  </si>
  <si>
    <t>6.3.2.2</t>
  </si>
  <si>
    <t>630 KG</t>
  </si>
  <si>
    <t>92770-4</t>
  </si>
  <si>
    <t>6.3.2.3</t>
  </si>
  <si>
    <t>0,0066</t>
  </si>
  <si>
    <t>0,17</t>
  </si>
  <si>
    <t>0,216</t>
  </si>
  <si>
    <t>166,32 H</t>
  </si>
  <si>
    <t>92770-5</t>
  </si>
  <si>
    <t>6.3.2.4</t>
  </si>
  <si>
    <t>0,0403</t>
  </si>
  <si>
    <t>1,26</t>
  </si>
  <si>
    <t>1,5238</t>
  </si>
  <si>
    <t>1015,56 H</t>
  </si>
  <si>
    <t>92770-6</t>
  </si>
  <si>
    <t>6.3.2.5</t>
  </si>
  <si>
    <t>25200 KG</t>
  </si>
  <si>
    <t>92770-7</t>
  </si>
  <si>
    <t>92770-8</t>
  </si>
  <si>
    <t>92770-9</t>
  </si>
  <si>
    <t>92770-10</t>
  </si>
  <si>
    <t>92770-11</t>
  </si>
  <si>
    <t>92770-12</t>
  </si>
  <si>
    <t>92770-13</t>
  </si>
  <si>
    <t>92770-14</t>
  </si>
  <si>
    <t>92770-15</t>
  </si>
  <si>
    <t>92770-16</t>
  </si>
  <si>
    <t>6.3.3</t>
  </si>
  <si>
    <t>315</t>
  </si>
  <si>
    <t>174919,5</t>
  </si>
  <si>
    <t>11783,1219</t>
  </si>
  <si>
    <t>163079,668</t>
  </si>
  <si>
    <t>44,1079</t>
  </si>
  <si>
    <t>209903,4</t>
  </si>
  <si>
    <t>0,028218533057</t>
  </si>
  <si>
    <t>6.3.3.1</t>
  </si>
  <si>
    <t>347,445 M3</t>
  </si>
  <si>
    <t>6.3.3.2</t>
  </si>
  <si>
    <t>39,375 H</t>
  </si>
  <si>
    <t>6.3.3.3</t>
  </si>
  <si>
    <t>237,195 H</t>
  </si>
  <si>
    <t>6.3.3.4</t>
  </si>
  <si>
    <t>260,19 H</t>
  </si>
  <si>
    <t>6.3.3.5</t>
  </si>
  <si>
    <t>37,8 CHP</t>
  </si>
  <si>
    <t>6.3.3.6</t>
  </si>
  <si>
    <t>41,265 CHI</t>
  </si>
  <si>
    <t>AL</t>
  </si>
  <si>
    <t>ALVENARIAS</t>
  </si>
  <si>
    <t>324261,229</t>
  </si>
  <si>
    <t>136727,7057</t>
  </si>
  <si>
    <t>187484,6811</t>
  </si>
  <si>
    <t>24,4211</t>
  </si>
  <si>
    <t>389113,4748</t>
  </si>
  <si>
    <t>0,052310784159</t>
  </si>
  <si>
    <t>AL.1</t>
  </si>
  <si>
    <t>7.1</t>
  </si>
  <si>
    <t>BLOCOS CERÂMICOS</t>
  </si>
  <si>
    <t>254790</t>
  </si>
  <si>
    <t>121057,95</t>
  </si>
  <si>
    <t>133732,05</t>
  </si>
  <si>
    <t>305748</t>
  </si>
  <si>
    <t>0,041103479244</t>
  </si>
  <si>
    <t>7.1.1</t>
  </si>
  <si>
    <t>103356</t>
  </si>
  <si>
    <t>ALVENARIA DE VEDAÇÃO DE BLOCOS CERÂMICOS FURADOS NA HORIZONTAL DE 9X19X29 CM (ESPESSURA 9 CM) E ARGAMASSA DE ASSENTAMENTO COM PREPARO EM BETONEIRA. AF_12/2021</t>
  </si>
  <si>
    <t>4500</t>
  </si>
  <si>
    <t>56,62</t>
  </si>
  <si>
    <t>26,9018</t>
  </si>
  <si>
    <t>29,7182</t>
  </si>
  <si>
    <t>103356-2</t>
  </si>
  <si>
    <t>7.1.1.1</t>
  </si>
  <si>
    <t>7268</t>
  </si>
  <si>
    <t>BLOCO CERAMICO / TIJOLO VAZADO PARA ALVENARIA DE VEDACAO, 8 FUROS NA HORIZONTAL, 9 X 19 X 29 CM (L X A X C)</t>
  </si>
  <si>
    <t>18,87</t>
  </si>
  <si>
    <t>0,9</t>
  </si>
  <si>
    <t>16,98</t>
  </si>
  <si>
    <t>20,3796</t>
  </si>
  <si>
    <t>84915 UN</t>
  </si>
  <si>
    <t>103356-3</t>
  </si>
  <si>
    <t>7.1.1.2</t>
  </si>
  <si>
    <t>34557</t>
  </si>
  <si>
    <t>TELA DE ACO SOLDADA GALVANIZADA/ZINCADA PARA ALVENARIA, FIO D = *1,20 A 1,70* MM, MALHA 15 X 15 MM, (C X L) *50 X 7,5* CM</t>
  </si>
  <si>
    <t>2,11</t>
  </si>
  <si>
    <t>0,88</t>
  </si>
  <si>
    <t>1,0634</t>
  </si>
  <si>
    <t>1890 M</t>
  </si>
  <si>
    <t>103356-4</t>
  </si>
  <si>
    <t>7.1.1.3</t>
  </si>
  <si>
    <t>37395</t>
  </si>
  <si>
    <t>PINO DE ACO COM FURO, HASTE = 27 MM (ACAO DIRETA)</t>
  </si>
  <si>
    <t>0,005</t>
  </si>
  <si>
    <t>CENTO</t>
  </si>
  <si>
    <t>38,74</t>
  </si>
  <si>
    <t>0,19</t>
  </si>
  <si>
    <t>0,2324</t>
  </si>
  <si>
    <t>22,5 CENTO</t>
  </si>
  <si>
    <t>103356-5</t>
  </si>
  <si>
    <t>7.1.1.4</t>
  </si>
  <si>
    <t>87292</t>
  </si>
  <si>
    <t>ARGAMASSA TRAÇO 1:2:8 (EM VOLUME DE CIMENTO, CAL E AREIA MÉDIA ÚMIDA) PARA EMBOÇO/MASSA ÚNICA/ASSENTAMENTO DE ALVENARIA DE VEDAÇÃO, PREPARO MECÂNICO COM BETONEIRA 400 L. AF_08/2019</t>
  </si>
  <si>
    <t>0,0077</t>
  </si>
  <si>
    <t>470,58</t>
  </si>
  <si>
    <t>3,62</t>
  </si>
  <si>
    <t>4,3482</t>
  </si>
  <si>
    <t>34,65 M3</t>
  </si>
  <si>
    <t>103356-6</t>
  </si>
  <si>
    <t>7.1.1.5</t>
  </si>
  <si>
    <t>0,77</t>
  </si>
  <si>
    <t>24,44</t>
  </si>
  <si>
    <t>29,337</t>
  </si>
  <si>
    <t>3465 H</t>
  </si>
  <si>
    <t>103356-7</t>
  </si>
  <si>
    <t>7.1.1.6</t>
  </si>
  <si>
    <t>0,385</t>
  </si>
  <si>
    <t>10,51</t>
  </si>
  <si>
    <t>12,6218</t>
  </si>
  <si>
    <t>1732,5 H</t>
  </si>
  <si>
    <t>103356-8</t>
  </si>
  <si>
    <t>103356-9</t>
  </si>
  <si>
    <t>103356-10</t>
  </si>
  <si>
    <t>103356-11</t>
  </si>
  <si>
    <t>103356-12</t>
  </si>
  <si>
    <t>103356-13</t>
  </si>
  <si>
    <t>103356-14</t>
  </si>
  <si>
    <t>103356-15</t>
  </si>
  <si>
    <t>103356-16</t>
  </si>
  <si>
    <t>AL.2</t>
  </si>
  <si>
    <t>7.2</t>
  </si>
  <si>
    <t>VERGAS E CONTRAVERGAS</t>
  </si>
  <si>
    <t>69471,229</t>
  </si>
  <si>
    <t>15669,7557</t>
  </si>
  <si>
    <t>53752,6311</t>
  </si>
  <si>
    <t>83365,4748</t>
  </si>
  <si>
    <t>0,011207304915</t>
  </si>
  <si>
    <t>7.2.1</t>
  </si>
  <si>
    <t>93187</t>
  </si>
  <si>
    <t>VERGA MOLDADA IN LOCO EM CONCRETO PARA JANELAS COM MAIS DE 1,5 M DE VÃO. AF_03/2016</t>
  </si>
  <si>
    <t>165,5</t>
  </si>
  <si>
    <t>115,14</t>
  </si>
  <si>
    <t>19055,67</t>
  </si>
  <si>
    <t>25,9012</t>
  </si>
  <si>
    <t>4286,6535</t>
  </si>
  <si>
    <t>89,1585</t>
  </si>
  <si>
    <t>14755,7246</t>
  </si>
  <si>
    <t>0,0402</t>
  </si>
  <si>
    <t>6,646</t>
  </si>
  <si>
    <t>22866,804</t>
  </si>
  <si>
    <t>0,0030741172586</t>
  </si>
  <si>
    <t>93187-2</t>
  </si>
  <si>
    <t>7.2.1.1</t>
  </si>
  <si>
    <t>0,0564</t>
  </si>
  <si>
    <t>1,1585 L</t>
  </si>
  <si>
    <t>93187-3</t>
  </si>
  <si>
    <t>7.2.1.2</t>
  </si>
  <si>
    <t>1,67</t>
  </si>
  <si>
    <t>2,009</t>
  </si>
  <si>
    <t>36,41 M</t>
  </si>
  <si>
    <t>93187-4</t>
  </si>
  <si>
    <t>7.2.1.3</t>
  </si>
  <si>
    <t>1,584</t>
  </si>
  <si>
    <t>993 UN</t>
  </si>
  <si>
    <t>93187-5</t>
  </si>
  <si>
    <t>7.2.1.4</t>
  </si>
  <si>
    <t>0,36</t>
  </si>
  <si>
    <t>11,43</t>
  </si>
  <si>
    <t>13,716</t>
  </si>
  <si>
    <t>59,58 H</t>
  </si>
  <si>
    <t>93187-6</t>
  </si>
  <si>
    <t>7.2.1.5</t>
  </si>
  <si>
    <t>4,91</t>
  </si>
  <si>
    <t>5,9011</t>
  </si>
  <si>
    <t>29,79 H</t>
  </si>
  <si>
    <t>93187-7</t>
  </si>
  <si>
    <t>7.2.1.6</t>
  </si>
  <si>
    <t>92270</t>
  </si>
  <si>
    <t>FABRICAÇÃO DE FÔRMA PARA VIGAS, COM MADEIRA SERRADA, E = 25 MM. AF_09/2020</t>
  </si>
  <si>
    <t>196,83</t>
  </si>
  <si>
    <t>78,73</t>
  </si>
  <si>
    <t>94,4784</t>
  </si>
  <si>
    <t>66,2 M2</t>
  </si>
  <si>
    <t>93187-8</t>
  </si>
  <si>
    <t>7.2.1.7</t>
  </si>
  <si>
    <t>0,79</t>
  </si>
  <si>
    <t>7,91</t>
  </si>
  <si>
    <t>9,499</t>
  </si>
  <si>
    <t>130,745 KG</t>
  </si>
  <si>
    <t>93187-9</t>
  </si>
  <si>
    <t>7.2.1.8</t>
  </si>
  <si>
    <t>94970</t>
  </si>
  <si>
    <t>CONCRETO FCK = 20MPA, TRAÇO 1:2,7:3 (EM MASSA SECA DE CIMENTO/ AREIA MÉDIA/ BRITA 1) - PREPARO MECÂNICO COM BETONEIRA 600 L. AF_05/2021</t>
  </si>
  <si>
    <t>0,024</t>
  </si>
  <si>
    <t>380,59</t>
  </si>
  <si>
    <t>9,13</t>
  </si>
  <si>
    <t>10,961</t>
  </si>
  <si>
    <t>3,972 M3</t>
  </si>
  <si>
    <t>93187-10</t>
  </si>
  <si>
    <t>93187-11</t>
  </si>
  <si>
    <t>93187-12</t>
  </si>
  <si>
    <t>93187-13</t>
  </si>
  <si>
    <t>93187-14</t>
  </si>
  <si>
    <t>93187-15</t>
  </si>
  <si>
    <t>93187-16</t>
  </si>
  <si>
    <t>7.2.2</t>
  </si>
  <si>
    <t>93189</t>
  </si>
  <si>
    <t>VERGA MOLDADA IN LOCO EM CONCRETO PARA PORTAS COM MAIS DE 1,5 M DE VÃO. AF_03/2016</t>
  </si>
  <si>
    <t>277,16</t>
  </si>
  <si>
    <t>115,9</t>
  </si>
  <si>
    <t>32122,844</t>
  </si>
  <si>
    <t>25,5671</t>
  </si>
  <si>
    <t>7086,1669</t>
  </si>
  <si>
    <t>90,2526</t>
  </si>
  <si>
    <t>25014,4198</t>
  </si>
  <si>
    <t>11,1286</t>
  </si>
  <si>
    <t>38547,4128</t>
  </si>
  <si>
    <t>0,0051821525633</t>
  </si>
  <si>
    <t>93189-2</t>
  </si>
  <si>
    <t>7.2.2.1</t>
  </si>
  <si>
    <t>1,9401 L</t>
  </si>
  <si>
    <t>93189-3</t>
  </si>
  <si>
    <t>7.2.2.2</t>
  </si>
  <si>
    <t>0,379</t>
  </si>
  <si>
    <t>2,88</t>
  </si>
  <si>
    <t>3,461</t>
  </si>
  <si>
    <t>105,0436 M</t>
  </si>
  <si>
    <t>93189-4</t>
  </si>
  <si>
    <t>7.2.2.3</t>
  </si>
  <si>
    <t>1662,96 UN</t>
  </si>
  <si>
    <t>93189-5</t>
  </si>
  <si>
    <t>7.2.2.4</t>
  </si>
  <si>
    <t>11,11</t>
  </si>
  <si>
    <t>13,335</t>
  </si>
  <si>
    <t>97,006 H</t>
  </si>
  <si>
    <t>93189-6</t>
  </si>
  <si>
    <t>7.2.2.5</t>
  </si>
  <si>
    <t>5,7372</t>
  </si>
  <si>
    <t>48,503 H</t>
  </si>
  <si>
    <t>93189-7</t>
  </si>
  <si>
    <t>7.2.2.6</t>
  </si>
  <si>
    <t>110,864 M2</t>
  </si>
  <si>
    <t>93189-8</t>
  </si>
  <si>
    <t>7.2.2.7</t>
  </si>
  <si>
    <t>218,9564 KG</t>
  </si>
  <si>
    <t>93189-9</t>
  </si>
  <si>
    <t>7.2.2.8</t>
  </si>
  <si>
    <t>6,6518 M3</t>
  </si>
  <si>
    <t>93189-10</t>
  </si>
  <si>
    <t>93189-11</t>
  </si>
  <si>
    <t>93189-12</t>
  </si>
  <si>
    <t>93189-13</t>
  </si>
  <si>
    <t>93189-14</t>
  </si>
  <si>
    <t>93189-15</t>
  </si>
  <si>
    <t>93189-16</t>
  </si>
  <si>
    <t>7.2.3</t>
  </si>
  <si>
    <t>93197</t>
  </si>
  <si>
    <t>CONTRAVERGA MOLDADA IN LOCO EM CONCRETO PARA VÃOS DE MAIS DE 1,5 M DE COMPRIMENTO. AF_03/2016</t>
  </si>
  <si>
    <t>110,53</t>
  </si>
  <si>
    <t>18292,715</t>
  </si>
  <si>
    <t>25,9634</t>
  </si>
  <si>
    <t>4296,9353</t>
  </si>
  <si>
    <t>84,4863</t>
  </si>
  <si>
    <t>13982,4868</t>
  </si>
  <si>
    <t>6,6465</t>
  </si>
  <si>
    <t>21951,258</t>
  </si>
  <si>
    <t>0,0029510350929</t>
  </si>
  <si>
    <t>93197-2</t>
  </si>
  <si>
    <t>7.2.3.1</t>
  </si>
  <si>
    <t>93197-3</t>
  </si>
  <si>
    <t>7.2.3.2</t>
  </si>
  <si>
    <t>93197-4</t>
  </si>
  <si>
    <t>7.2.3.3</t>
  </si>
  <si>
    <t>93197-5</t>
  </si>
  <si>
    <t>7.2.3.4</t>
  </si>
  <si>
    <t>93197-6</t>
  </si>
  <si>
    <t>7.2.3.5</t>
  </si>
  <si>
    <t>93197-7</t>
  </si>
  <si>
    <t>7.2.3.6</t>
  </si>
  <si>
    <t>92801</t>
  </si>
  <si>
    <t>CORTE E DOBRA DE AÇO CA-50, DIÂMETRO DE 6,3 MM. AF_06/2022</t>
  </si>
  <si>
    <t>10,15</t>
  </si>
  <si>
    <t>4,97</t>
  </si>
  <si>
    <t>5,9682</t>
  </si>
  <si>
    <t>81,095 KG</t>
  </si>
  <si>
    <t>93197-8</t>
  </si>
  <si>
    <t>7.2.3.7</t>
  </si>
  <si>
    <t>93197-9</t>
  </si>
  <si>
    <t>93197-10</t>
  </si>
  <si>
    <t>93197-11</t>
  </si>
  <si>
    <t>93197-12</t>
  </si>
  <si>
    <t>93197-13</t>
  </si>
  <si>
    <t>93197-14</t>
  </si>
  <si>
    <t>93197-15</t>
  </si>
  <si>
    <t>93197-16</t>
  </si>
  <si>
    <t>AL.3</t>
  </si>
  <si>
    <t>IP</t>
  </si>
  <si>
    <t>INSTALAÇÕES PREDIAIS</t>
  </si>
  <si>
    <t>2032618</t>
  </si>
  <si>
    <t>1108465,9718</t>
  </si>
  <si>
    <t>924152,0282</t>
  </si>
  <si>
    <t>2439141,6</t>
  </si>
  <si>
    <t>0,32790797038</t>
  </si>
  <si>
    <t>IP.1</t>
  </si>
  <si>
    <t>8.1</t>
  </si>
  <si>
    <t>INSTALAÇÕES ELÉTRICAS</t>
  </si>
  <si>
    <t>1066900</t>
  </si>
  <si>
    <t>611310,6027</t>
  </si>
  <si>
    <t>455589,3973</t>
  </si>
  <si>
    <t>1280280</t>
  </si>
  <si>
    <t>0,17211547551</t>
  </si>
  <si>
    <t>8.1.1</t>
  </si>
  <si>
    <t>104474</t>
  </si>
  <si>
    <t>COMPOSIÇÃO PARAMÉTRICA DE PONTO ELÉTRICO DE ILUMINAÇÃO, COM INTERRUPTOR PARALELO, EM EDIFÍCIO RESIDENCIAL COM ELETRODUTO EMBUTIDO EM RASGOS NAS PAREDES, INCLUSO CAIXA ELÉTRICA, MÓDULO DE TOMADA, ELETRODUTO, CABO, RASGO, QUEBRA E CHUMBAMENTO (SEM LUMINÁRIA</t>
  </si>
  <si>
    <t>2500</t>
  </si>
  <si>
    <t>426,76</t>
  </si>
  <si>
    <t>244,5242</t>
  </si>
  <si>
    <t>182,2358</t>
  </si>
  <si>
    <t>104474-2</t>
  </si>
  <si>
    <t>8.1.1.1</t>
  </si>
  <si>
    <t>90447</t>
  </si>
  <si>
    <t>RASGO EM ALVENARIA PARA ELETRODUTOS COM DIAMETROS MENORES OU IGUAIS A 40 MM. AF_05/2015</t>
  </si>
  <si>
    <t>2,2</t>
  </si>
  <si>
    <t>9,9</t>
  </si>
  <si>
    <t>21,78</t>
  </si>
  <si>
    <t>26,136</t>
  </si>
  <si>
    <t>5500 M</t>
  </si>
  <si>
    <t>104474-3</t>
  </si>
  <si>
    <t>8.1.1.2</t>
  </si>
  <si>
    <t>90456</t>
  </si>
  <si>
    <t>QUEBRA EM ALVENARIA PARA INSTALAÇÃO DE CAIXA DE TOMADA (4X4 OU 4X2). AF_05/2015</t>
  </si>
  <si>
    <t>5,65</t>
  </si>
  <si>
    <t>11,3</t>
  </si>
  <si>
    <t>13,56</t>
  </si>
  <si>
    <t>5000 UN</t>
  </si>
  <si>
    <t>104474-4</t>
  </si>
  <si>
    <t>8.1.1.3</t>
  </si>
  <si>
    <t>90466</t>
  </si>
  <si>
    <t>CHUMBAMENTO LINEAR EM ALVENARIA PARA RAMAIS/DISTRIBUIÇÃO COM DIÂMETROS MENORES OU IGUAIS A 40 MM. AF_05/2015</t>
  </si>
  <si>
    <t>16,89</t>
  </si>
  <si>
    <t>37,15</t>
  </si>
  <si>
    <t>44,5896</t>
  </si>
  <si>
    <t>104474-5</t>
  </si>
  <si>
    <t>8.1.1.4</t>
  </si>
  <si>
    <t>91845</t>
  </si>
  <si>
    <t>ELETRODUTO FLEXÍVEL CORRUGADO REFORÇADO, PVC, DN 25 MM (3/4"), PARA CIRCUITOS TERMINAIS, INSTALADO EM LAJE - FORNECIMENTO E INSTALAÇÃO. AF_03/2023</t>
  </si>
  <si>
    <t>5,4475</t>
  </si>
  <si>
    <t>9,33</t>
  </si>
  <si>
    <t>50,82</t>
  </si>
  <si>
    <t>60,9902</t>
  </si>
  <si>
    <t>13618,75 M</t>
  </si>
  <si>
    <t>104474-6</t>
  </si>
  <si>
    <t>8.1.1.5</t>
  </si>
  <si>
    <t>91855</t>
  </si>
  <si>
    <t>ELETRODUTO FLEXÍVEL CORRUGADO REFORÇADO, PVC, DN 25 MM (3/4"), PARA CIRCUITOS TERMINAIS, INSTALADO EM PAREDE - FORNECIMENTO E INSTALAÇÃO. AF_03/2023</t>
  </si>
  <si>
    <t>30,18</t>
  </si>
  <si>
    <t>36,2208</t>
  </si>
  <si>
    <t>104474-7</t>
  </si>
  <si>
    <t>8.1.1.6</t>
  </si>
  <si>
    <t>32,1525</t>
  </si>
  <si>
    <t>100,63</t>
  </si>
  <si>
    <t>120,7648</t>
  </si>
  <si>
    <t>80381,25 M</t>
  </si>
  <si>
    <t>104474-8</t>
  </si>
  <si>
    <t>8.1.1.7</t>
  </si>
  <si>
    <t>1,875</t>
  </si>
  <si>
    <t>8,25</t>
  </si>
  <si>
    <t>4687,5 M</t>
  </si>
  <si>
    <t>104474-9</t>
  </si>
  <si>
    <t>8.1.1.8</t>
  </si>
  <si>
    <t>91937</t>
  </si>
  <si>
    <t>CAIXA OCTOGONAL 3" X 3", PVC, INSTALADA EM LAJE - FORNECIMENTO E INSTALAÇÃO. AF_03/2023</t>
  </si>
  <si>
    <t>24,492</t>
  </si>
  <si>
    <t>2500 UN</t>
  </si>
  <si>
    <t>104474-10</t>
  </si>
  <si>
    <t>8.1.1.9</t>
  </si>
  <si>
    <t>91940</t>
  </si>
  <si>
    <t>CAIXA RETANGULAR 4" X 2" MÉDIA (1,30 M DO PISO), PVC, INSTALADA EM PAREDE - FORNECIMENTO E INSTALAÇÃO. AF_03/2023</t>
  </si>
  <si>
    <t>24,45</t>
  </si>
  <si>
    <t>48,9</t>
  </si>
  <si>
    <t>58,68</t>
  </si>
  <si>
    <t>104474-11</t>
  </si>
  <si>
    <t>8.1.1.10</t>
  </si>
  <si>
    <t>91955</t>
  </si>
  <si>
    <t>INTERRUPTOR PARALELO (1 MÓDULO), 10A/250V, INCLUINDO SUPORTE E PLACA - FORNECIMENTO E INSTALAÇÃO. AF_03/2023</t>
  </si>
  <si>
    <t>48,67</t>
  </si>
  <si>
    <t>97,34</t>
  </si>
  <si>
    <t>116,808</t>
  </si>
  <si>
    <t>104474-12</t>
  </si>
  <si>
    <t>104474-13</t>
  </si>
  <si>
    <t>104474-14</t>
  </si>
  <si>
    <t>104474-15</t>
  </si>
  <si>
    <t>104474-16</t>
  </si>
  <si>
    <t>IP.2</t>
  </si>
  <si>
    <t>8.2</t>
  </si>
  <si>
    <t>INSTALAÇÕES HIDROSSANITÁRIAS</t>
  </si>
  <si>
    <t>540820</t>
  </si>
  <si>
    <t>297237,8255</t>
  </si>
  <si>
    <t>243582,1745</t>
  </si>
  <si>
    <t>648984</t>
  </si>
  <si>
    <t>0,087246688036</t>
  </si>
  <si>
    <t>8.2.1</t>
  </si>
  <si>
    <t>89959</t>
  </si>
  <si>
    <t>PONTO DE CONSUMO TERMINAL DE ÁGUA QUENTE (SUBRAMAL) COM TUBULAÇÃO DE CPVC, DN 22 MM, INSTALADO EM RAMAL DE ÁGUA, INCLUSOS RASGO E CHUMBAMENTO EM ALVENARIA. AF_12/2014</t>
  </si>
  <si>
    <t>2000</t>
  </si>
  <si>
    <t>270,41</t>
  </si>
  <si>
    <t>148,6189</t>
  </si>
  <si>
    <t>121,7911</t>
  </si>
  <si>
    <t>89959-2</t>
  </si>
  <si>
    <t>8.2.1.1</t>
  </si>
  <si>
    <t>89634</t>
  </si>
  <si>
    <t>TUBO, CPVC, SOLDÁVEL, DN 22MM, INSTALADO EM RAMAL OU SUB-RAMAL DE ÁGUA - FORNECIMENTO E INSTALAÇÃO. AF_06/2022</t>
  </si>
  <si>
    <t>2,69</t>
  </si>
  <si>
    <t>38,48</t>
  </si>
  <si>
    <t>103,51</t>
  </si>
  <si>
    <t>124,2134</t>
  </si>
  <si>
    <t>5380 M</t>
  </si>
  <si>
    <t>89959-3</t>
  </si>
  <si>
    <t>8.2.1.2</t>
  </si>
  <si>
    <t>89641</t>
  </si>
  <si>
    <t>JOELHO 90 GRAUS, CPVC, SOLDÁVEL, DN 22MM, INSTALADO EM RAMAL OU SUB-RAMAL DE ÁGUA - FORNECIMENTO E INSTALAÇÃO. AF_06/2022</t>
  </si>
  <si>
    <t>2,56</t>
  </si>
  <si>
    <t>14,84</t>
  </si>
  <si>
    <t>37,99</t>
  </si>
  <si>
    <t>45,5885</t>
  </si>
  <si>
    <t>5120 UN</t>
  </si>
  <si>
    <t>89959-4</t>
  </si>
  <si>
    <t>8.2.1.3</t>
  </si>
  <si>
    <t>89645</t>
  </si>
  <si>
    <t>JOELHO DE TRANSIÇÃO, 90 GRAUS, CPVC, SOLDÁVEL, DN 22MM X 3/4, INSTALADO EM RAMAL OU SUB-RAMAL DE ÁGUA - FORNECIMENTO E INSTALAÇÃO. AF_06/2022</t>
  </si>
  <si>
    <t>0,67</t>
  </si>
  <si>
    <t>30,01</t>
  </si>
  <si>
    <t>20,1</t>
  </si>
  <si>
    <t>24,128</t>
  </si>
  <si>
    <t>1340 UN</t>
  </si>
  <si>
    <t>89959-5</t>
  </si>
  <si>
    <t>8.2.1.4</t>
  </si>
  <si>
    <t>89697</t>
  </si>
  <si>
    <t>TE, CPVC, SOLDÁVEL, DN 22MM, INSTALADO EM RAMAL OU SUB-RAMAL DE ÁGUA - FORNECIMENTO E INSTALAÇÃO. AF_06/2022</t>
  </si>
  <si>
    <t>0,83</t>
  </si>
  <si>
    <t>19,46</t>
  </si>
  <si>
    <t>16,15</t>
  </si>
  <si>
    <t>19,3822</t>
  </si>
  <si>
    <t>1660 UN</t>
  </si>
  <si>
    <t>89959-6</t>
  </si>
  <si>
    <t>8.2.1.5</t>
  </si>
  <si>
    <t>90443</t>
  </si>
  <si>
    <t>RASGO EM ALVENARIA PARA RAMAIS/ DISTRIBUIÇÃO COM DIAMETROS MENORES OU IGUAIS A 40 MM. AF_05/2015</t>
  </si>
  <si>
    <t>17,56</t>
  </si>
  <si>
    <t>47,23</t>
  </si>
  <si>
    <t>56,6837</t>
  </si>
  <si>
    <t>89959-7</t>
  </si>
  <si>
    <t>8.2.1.6</t>
  </si>
  <si>
    <t>45,43</t>
  </si>
  <si>
    <t>54,5209</t>
  </si>
  <si>
    <t>89959-8</t>
  </si>
  <si>
    <t>89959-9</t>
  </si>
  <si>
    <t>89959-10</t>
  </si>
  <si>
    <t>89959-11</t>
  </si>
  <si>
    <t>89959-12</t>
  </si>
  <si>
    <t>89959-13</t>
  </si>
  <si>
    <t>89959-14</t>
  </si>
  <si>
    <t>89959-15</t>
  </si>
  <si>
    <t>89959-16</t>
  </si>
  <si>
    <t>IP.3</t>
  </si>
  <si>
    <t>8.3</t>
  </si>
  <si>
    <t>INSTALAÇÕES DE GÁS</t>
  </si>
  <si>
    <t>424898</t>
  </si>
  <si>
    <t>199917,5436</t>
  </si>
  <si>
    <t>224980,4564</t>
  </si>
  <si>
    <t>509877,6</t>
  </si>
  <si>
    <t>0,068545806836</t>
  </si>
  <si>
    <t>8.3.1</t>
  </si>
  <si>
    <t>101937</t>
  </si>
  <si>
    <t>INSTALAÇÃO DE TUBOS E CONEXÕES, EM AÇO/FERRO GALVANIZADO, PARA O CENTRO DE MEDIÇÃO DE GÁS DE EDIFÍCIO RESIDENCIAL, COM 4 PAVIMENTOS, 16 UNIDADES HABITACIONAIS, DN 50 (2) - FORNECIMENTO E INSTALAÇÃO. AF_10/2020</t>
  </si>
  <si>
    <t>25</t>
  </si>
  <si>
    <t>16995,92</t>
  </si>
  <si>
    <t>7996,7017</t>
  </si>
  <si>
    <t>8999,2183</t>
  </si>
  <si>
    <t>101937-2</t>
  </si>
  <si>
    <t>8.3.1.1</t>
  </si>
  <si>
    <t>1166</t>
  </si>
  <si>
    <t>CAP OU TAMPAO DE FERRO GALVANIZADO, COM ROSCA BSP, DE 2"</t>
  </si>
  <si>
    <t>30,94</t>
  </si>
  <si>
    <t>495,04</t>
  </si>
  <si>
    <t>594,048</t>
  </si>
  <si>
    <t>400 UN</t>
  </si>
  <si>
    <t>101937-3</t>
  </si>
  <si>
    <t>8.3.1.2</t>
  </si>
  <si>
    <t>3148</t>
  </si>
  <si>
    <t>FITA VEDA ROSCA EM ROLOS DE 18 MM X 50 M (L X C)</t>
  </si>
  <si>
    <t>1,74</t>
  </si>
  <si>
    <t>9,25</t>
  </si>
  <si>
    <t>16,09</t>
  </si>
  <si>
    <t>19,314</t>
  </si>
  <si>
    <t>43,5 UN</t>
  </si>
  <si>
    <t>101937-4</t>
  </si>
  <si>
    <t>8.3.1.3</t>
  </si>
  <si>
    <t>3471</t>
  </si>
  <si>
    <t>COTOVELO 90 GRAUS DE FERRO GALVANIZADO, COM ROSCA BSP, DE 2"</t>
  </si>
  <si>
    <t>55,7</t>
  </si>
  <si>
    <t>167,1</t>
  </si>
  <si>
    <t>200,52</t>
  </si>
  <si>
    <t>75 UN</t>
  </si>
  <si>
    <t>101937-5</t>
  </si>
  <si>
    <t>8.3.1.4</t>
  </si>
  <si>
    <t>4181</t>
  </si>
  <si>
    <t>NIPLE DE FERRO GALVANIZADO, COM ROSCA BSP, DE 2"</t>
  </si>
  <si>
    <t>39,24</t>
  </si>
  <si>
    <t>627,84</t>
  </si>
  <si>
    <t>753,408</t>
  </si>
  <si>
    <t>101937-6</t>
  </si>
  <si>
    <t>8.3.1.5</t>
  </si>
  <si>
    <t>6298</t>
  </si>
  <si>
    <t>TE DE FERRO GALVANIZADO, DE 2"</t>
  </si>
  <si>
    <t>19</t>
  </si>
  <si>
    <t>74,06</t>
  </si>
  <si>
    <t>1407,14</t>
  </si>
  <si>
    <t>1688,568</t>
  </si>
  <si>
    <t>475 UN</t>
  </si>
  <si>
    <t>101937-7</t>
  </si>
  <si>
    <t>8.3.1.6</t>
  </si>
  <si>
    <t>7307</t>
  </si>
  <si>
    <t>FUNDO ANTICORROSIVO PARA METAIS FERROSOS (ZARCAO)</t>
  </si>
  <si>
    <t>0,412</t>
  </si>
  <si>
    <t>42,55</t>
  </si>
  <si>
    <t>17,53</t>
  </si>
  <si>
    <t>21,0367</t>
  </si>
  <si>
    <t>10,3 L</t>
  </si>
  <si>
    <t>101937-8</t>
  </si>
  <si>
    <t>8.3.1.7</t>
  </si>
  <si>
    <t>7696</t>
  </si>
  <si>
    <t>TUBO ACO GALVANIZADO COM COSTURA, CLASSE MEDIA, DN 2", E = *3,65* MM, PESO *5,10* KG/M (NBR 5580)</t>
  </si>
  <si>
    <t>11,2223</t>
  </si>
  <si>
    <t>72,86</t>
  </si>
  <si>
    <t>817,65</t>
  </si>
  <si>
    <t>981,1881</t>
  </si>
  <si>
    <t>280,5575 M</t>
  </si>
  <si>
    <t>101937-9</t>
  </si>
  <si>
    <t>8.3.1.8</t>
  </si>
  <si>
    <t>11747</t>
  </si>
  <si>
    <t>VALVULA DE ESFERA BRUTA EM BRONZE, BITOLA 2 " (REF 1552-B)</t>
  </si>
  <si>
    <t>17</t>
  </si>
  <si>
    <t>188,55</t>
  </si>
  <si>
    <t>3205,35</t>
  </si>
  <si>
    <t>3846,42</t>
  </si>
  <si>
    <t>425 UN</t>
  </si>
  <si>
    <t>101937-10</t>
  </si>
  <si>
    <t>8.3.1.9</t>
  </si>
  <si>
    <t>88248</t>
  </si>
  <si>
    <t>AUXILIAR DE ENCANADOR OU BOMBEIRO HIDRÁULICO COM ENCARGOS COMPLEMENTARES</t>
  </si>
  <si>
    <t>159,7098</t>
  </si>
  <si>
    <t>29,61</t>
  </si>
  <si>
    <t>4729</t>
  </si>
  <si>
    <t>5674,8086</t>
  </si>
  <si>
    <t>3992,745 H</t>
  </si>
  <si>
    <t>101937-11</t>
  </si>
  <si>
    <t>8.3.1.10</t>
  </si>
  <si>
    <t>88267</t>
  </si>
  <si>
    <t>ENCANADOR OU BOMBEIRO HIDRÁULICO COM ENCARGOS COMPLEMENTARES</t>
  </si>
  <si>
    <t>34,52</t>
  </si>
  <si>
    <t>5513,18</t>
  </si>
  <si>
    <t>6615,8188</t>
  </si>
  <si>
    <t>101937-12</t>
  </si>
  <si>
    <t>101937-13</t>
  </si>
  <si>
    <t>101937-14</t>
  </si>
  <si>
    <t>101937-15</t>
  </si>
  <si>
    <t>101937-16</t>
  </si>
  <si>
    <t>PV</t>
  </si>
  <si>
    <t>PAVIMENTAÇÕES</t>
  </si>
  <si>
    <t>86827,5139</t>
  </si>
  <si>
    <t>32041,2369</t>
  </si>
  <si>
    <t>54528,9297</t>
  </si>
  <si>
    <t>168,628</t>
  </si>
  <si>
    <t>104193,0167</t>
  </si>
  <si>
    <t>0,014007272324</t>
  </si>
  <si>
    <t>PV.1</t>
  </si>
  <si>
    <t>9.1</t>
  </si>
  <si>
    <t>PISOS</t>
  </si>
  <si>
    <t>3011,04</t>
  </si>
  <si>
    <t>551,8878</t>
  </si>
  <si>
    <t>2449,2788</t>
  </si>
  <si>
    <t>9,8734</t>
  </si>
  <si>
    <t>3613,248</t>
  </si>
  <si>
    <t>0,00048574991225</t>
  </si>
  <si>
    <t>9.1.1</t>
  </si>
  <si>
    <t>92396</t>
  </si>
  <si>
    <t>EXECUÇÃO DE PASSEIO EM PISO INTERTRAVADO, COM BLOCO RETANGULAR COR NATURAL DE 20 X 10 CM, ESPESSURA 6 CM. AF_10/2022</t>
  </si>
  <si>
    <t>34</t>
  </si>
  <si>
    <t>88,56</t>
  </si>
  <si>
    <t>16,232</t>
  </si>
  <si>
    <t>72,0376</t>
  </si>
  <si>
    <t>0,2904</t>
  </si>
  <si>
    <t>92396-2</t>
  </si>
  <si>
    <t>9.1.1.1</t>
  </si>
  <si>
    <t>370</t>
  </si>
  <si>
    <t>AREIA MEDIA - POSTO JAZIDA/FORNECEDOR (RETIRADO NA JAZIDA, SEM TRANSPORTE)</t>
  </si>
  <si>
    <t>0,0568</t>
  </si>
  <si>
    <t>65</t>
  </si>
  <si>
    <t>3,69</t>
  </si>
  <si>
    <t>4,4304</t>
  </si>
  <si>
    <t>1,9312 M3</t>
  </si>
  <si>
    <t>92396-3</t>
  </si>
  <si>
    <t>9.1.1.2</t>
  </si>
  <si>
    <t>4741</t>
  </si>
  <si>
    <t>PO DE PEDRA (POSTO PEDREIRA/FORNECEDOR, SEM FRETE)</t>
  </si>
  <si>
    <t>0,0098</t>
  </si>
  <si>
    <t>65,77</t>
  </si>
  <si>
    <t>0,7735</t>
  </si>
  <si>
    <t>0,3332 M3</t>
  </si>
  <si>
    <t>92396-4</t>
  </si>
  <si>
    <t>9.1.1.3</t>
  </si>
  <si>
    <t>36155</t>
  </si>
  <si>
    <t>BLOQUETE/PISO INTERTRAVADO DE CONCRETO - MODELO ONDA/16 FACES/RETANGULAR/TIJOLINHO/PAVER/HOLANDES/PARALELEPIPEDO, 20 CM X 10 CM, E = 6 CM, RESISTENCIA DE 35 MPA (NBR 9781), COR NATURAL</t>
  </si>
  <si>
    <t>59,8</t>
  </si>
  <si>
    <t>61,59</t>
  </si>
  <si>
    <t>73,9128</t>
  </si>
  <si>
    <t>35,02 M2</t>
  </si>
  <si>
    <t>92396-5</t>
  </si>
  <si>
    <t>9.1.1.4</t>
  </si>
  <si>
    <t>88260</t>
  </si>
  <si>
    <t>CALCETEIRO COM ENCARGOS COMPLEMENTARES</t>
  </si>
  <si>
    <t>0,3725</t>
  </si>
  <si>
    <t>31,49</t>
  </si>
  <si>
    <t>11,73</t>
  </si>
  <si>
    <t>14,076</t>
  </si>
  <si>
    <t>12,665 H</t>
  </si>
  <si>
    <t>92396-6</t>
  </si>
  <si>
    <t>9.1.1.5</t>
  </si>
  <si>
    <t>10,17</t>
  </si>
  <si>
    <t>12,212</t>
  </si>
  <si>
    <t>92396-7</t>
  </si>
  <si>
    <t>9.1.1.6</t>
  </si>
  <si>
    <t>91277</t>
  </si>
  <si>
    <t>PLACA VIBRATÓRIA REVERSÍVEL COM MOTOR 4 TEMPOS A GASOLINA, FORÇA CENTRÍFUGA DE 25 KN (2500 KGF), POTÊNCIA 5,5 CV - CHP DIURNO. AF_08/2015</t>
  </si>
  <si>
    <t>0,0041</t>
  </si>
  <si>
    <t>8,99</t>
  </si>
  <si>
    <t>0,03</t>
  </si>
  <si>
    <t>0,0442</t>
  </si>
  <si>
    <t>0,1394 CHP</t>
  </si>
  <si>
    <t>92396-8</t>
  </si>
  <si>
    <t>9.1.1.7</t>
  </si>
  <si>
    <t>91278</t>
  </si>
  <si>
    <t>PLACA VIBRATÓRIA REVERSÍVEL COM MOTOR 4 TEMPOS A GASOLINA, FORÇA CENTRÍFUGA DE 25 KN (2500 KGF), POTÊNCIA 5,5 CV - CHI DIURNO. AF_08/2015</t>
  </si>
  <si>
    <t>0,1821</t>
  </si>
  <si>
    <t>0,59</t>
  </si>
  <si>
    <t>0,1289</t>
  </si>
  <si>
    <t>6,1914 CHI</t>
  </si>
  <si>
    <t>92396-9</t>
  </si>
  <si>
    <t>9.1.1.8</t>
  </si>
  <si>
    <t>91283</t>
  </si>
  <si>
    <t>CORTADORA DE PISO COM MOTOR 4 TEMPOS A GASOLINA, POTÊNCIA DE 13 HP, COM DISCO DE CORTE DIAMANTADO SEGMENTADO PARA CONCRETO, DIÂMETRO DE 350 MM, FURO DE 1" (14 X 1") - CHP DIURNO. AF_08/2015</t>
  </si>
  <si>
    <t>0,0491</t>
  </si>
  <si>
    <t>9,84</t>
  </si>
  <si>
    <t>0,5798</t>
  </si>
  <si>
    <t>1,6694 CHP</t>
  </si>
  <si>
    <t>92396-10</t>
  </si>
  <si>
    <t>9.1.1.9</t>
  </si>
  <si>
    <t>91285</t>
  </si>
  <si>
    <t>CORTADORA DE PISO COM MOTOR 4 TEMPOS A GASOLINA, POTÊNCIA DE 13 HP, COM DISCO DE CORTE DIAMANTADO SEGMENTADO PARA CONCRETO, DIÂMETRO DE 350 MM, FURO DE 1" (14 X 1") - CHI DIURNO. AF_08/2015</t>
  </si>
  <si>
    <t>0,1596</t>
  </si>
  <si>
    <t>4,6614 CHI</t>
  </si>
  <si>
    <t>92396-11</t>
  </si>
  <si>
    <t>92396-12</t>
  </si>
  <si>
    <t>92396-13</t>
  </si>
  <si>
    <t>92396-14</t>
  </si>
  <si>
    <t>92396-15</t>
  </si>
  <si>
    <t>92396-16</t>
  </si>
  <si>
    <t>PV.2</t>
  </si>
  <si>
    <t>9.2</t>
  </si>
  <si>
    <t>CONTRAPISOS</t>
  </si>
  <si>
    <t>83816,4739</t>
  </si>
  <si>
    <t>31489,3491</t>
  </si>
  <si>
    <t>52079,6509</t>
  </si>
  <si>
    <t>158,7547</t>
  </si>
  <si>
    <t>100579,7687</t>
  </si>
  <si>
    <t>0,013521522412</t>
  </si>
  <si>
    <t>9.2.1</t>
  </si>
  <si>
    <t>87640</t>
  </si>
  <si>
    <t>CONTRAPISO EM ARGAMASSA TRAÇO 1:4 (CIMENTO E AREIA), PREPARO MECÂNICO COM BETONEIRA 400 L, APLICADO EM ÁREAS SECAS SOBRE LAJE, ADERIDO, ACABAMENTO NÃO REFORÇADO, ESPESSURA 4CM. AF_07/2021</t>
  </si>
  <si>
    <t>1393,49</t>
  </si>
  <si>
    <t>42,95</t>
  </si>
  <si>
    <t>59850,3955</t>
  </si>
  <si>
    <t>14,6913</t>
  </si>
  <si>
    <t>20472,1913</t>
  </si>
  <si>
    <t>28,1182</t>
  </si>
  <si>
    <t>39182,4319</t>
  </si>
  <si>
    <t>0,0903</t>
  </si>
  <si>
    <t>125,8536</t>
  </si>
  <si>
    <t>71820,4746</t>
  </si>
  <si>
    <t>0,0096552434914</t>
  </si>
  <si>
    <t>87640-2</t>
  </si>
  <si>
    <t>9.2.1.1</t>
  </si>
  <si>
    <t>1379</t>
  </si>
  <si>
    <t>CIMENTO PORTLAND COMPOSTO CP II-32</t>
  </si>
  <si>
    <t>0,5</t>
  </si>
  <si>
    <t>696,745 KG</t>
  </si>
  <si>
    <t>87640-3</t>
  </si>
  <si>
    <t>9.2.1.2</t>
  </si>
  <si>
    <t>7334</t>
  </si>
  <si>
    <t>ADITIVO ADESIVO LIQUIDO PARA ARGAMASSAS DE REVESTIMENTOS CIMENTICIOS</t>
  </si>
  <si>
    <t>17,77</t>
  </si>
  <si>
    <t>3,73</t>
  </si>
  <si>
    <t>4,478</t>
  </si>
  <si>
    <t>292,6329 L</t>
  </si>
  <si>
    <t>87640-4</t>
  </si>
  <si>
    <t>9.2.1.3</t>
  </si>
  <si>
    <t>87301</t>
  </si>
  <si>
    <t>ARGAMASSA TRAÇO 1:4 (EM VOLUME DE CIMENTO E AREIA MÉDIA ÚMIDA) PARA CONTRAPISO, PREPARO MECÂNICO COM BETONEIRA 400 L. AF_08/2019</t>
  </si>
  <si>
    <t>0,053</t>
  </si>
  <si>
    <t>502,2</t>
  </si>
  <si>
    <t>26,61</t>
  </si>
  <si>
    <t>31,9399</t>
  </si>
  <si>
    <t>73,855 M3</t>
  </si>
  <si>
    <t>87640-5</t>
  </si>
  <si>
    <t>9.2.1.4</t>
  </si>
  <si>
    <t>0,271</t>
  </si>
  <si>
    <t>8,6</t>
  </si>
  <si>
    <t>10,3251</t>
  </si>
  <si>
    <t>377,6358 H</t>
  </si>
  <si>
    <t>87640-6</t>
  </si>
  <si>
    <t>9.2.1.5</t>
  </si>
  <si>
    <t>0,136</t>
  </si>
  <si>
    <t>3,71</t>
  </si>
  <si>
    <t>4,4586</t>
  </si>
  <si>
    <t>189,5146 H</t>
  </si>
  <si>
    <t>87640-7</t>
  </si>
  <si>
    <t>87640-8</t>
  </si>
  <si>
    <t>87640-9</t>
  </si>
  <si>
    <t>87640-10</t>
  </si>
  <si>
    <t>87640-11</t>
  </si>
  <si>
    <t>87640-12</t>
  </si>
  <si>
    <t>87640-13</t>
  </si>
  <si>
    <t>87640-14</t>
  </si>
  <si>
    <t>87640-15</t>
  </si>
  <si>
    <t>87640-16</t>
  </si>
  <si>
    <t>9.2.2</t>
  </si>
  <si>
    <t>87745</t>
  </si>
  <si>
    <t>CONTRAPISO EM ARGAMASSA TRAÇO 1:4 (CIMENTO E AREIA), PREPARO MECÂNICO COM BETONEIRA 400 L, APLICADO EM ÁREAS MOLHADAS SOBRE LAJE, ADERIDO, ACABAMENTO NÃO REFORÇADO, ESPESSURA 3CM. AF_07/2021</t>
  </si>
  <si>
    <t>468,82</t>
  </si>
  <si>
    <t>51,12</t>
  </si>
  <si>
    <t>23966,0784</t>
  </si>
  <si>
    <t>23,4998</t>
  </si>
  <si>
    <t>11017,1578</t>
  </si>
  <si>
    <t>27,51</t>
  </si>
  <si>
    <t>12897,2189</t>
  </si>
  <si>
    <t>0,0702</t>
  </si>
  <si>
    <t>32,9011</t>
  </si>
  <si>
    <t>28759,2941</t>
  </si>
  <si>
    <t>0,0038662789202</t>
  </si>
  <si>
    <t>87745-2</t>
  </si>
  <si>
    <t>9.2.2.1</t>
  </si>
  <si>
    <t>234,41 KG</t>
  </si>
  <si>
    <t>87745-3</t>
  </si>
  <si>
    <t>9.2.2.2</t>
  </si>
  <si>
    <t>98,4522 L</t>
  </si>
  <si>
    <t>87745-4</t>
  </si>
  <si>
    <t>9.2.2.3</t>
  </si>
  <si>
    <t>0,0431</t>
  </si>
  <si>
    <t>21,64</t>
  </si>
  <si>
    <t>25,9738</t>
  </si>
  <si>
    <t>20,2061 M3</t>
  </si>
  <si>
    <t>87745-5</t>
  </si>
  <si>
    <t>9.2.2.4</t>
  </si>
  <si>
    <t>0,561</t>
  </si>
  <si>
    <t>17,81</t>
  </si>
  <si>
    <t>21,3741</t>
  </si>
  <si>
    <t>263,008 H</t>
  </si>
  <si>
    <t>87745-6</t>
  </si>
  <si>
    <t>9.2.2.5</t>
  </si>
  <si>
    <t>0,28</t>
  </si>
  <si>
    <t>7,64</t>
  </si>
  <si>
    <t>9,1795</t>
  </si>
  <si>
    <t>131,2696 H</t>
  </si>
  <si>
    <t>87745-7</t>
  </si>
  <si>
    <t>87745-8</t>
  </si>
  <si>
    <t>87745-9</t>
  </si>
  <si>
    <t>87745-10</t>
  </si>
  <si>
    <t>87745-11</t>
  </si>
  <si>
    <t>87745-12</t>
  </si>
  <si>
    <t>87745-13</t>
  </si>
  <si>
    <t>87745-14</t>
  </si>
  <si>
    <t>87745-15</t>
  </si>
  <si>
    <t>87745-16</t>
  </si>
  <si>
    <t>PV.3</t>
  </si>
  <si>
    <t>RV</t>
  </si>
  <si>
    <t>REVESTIMENTOS</t>
  </si>
  <si>
    <t>826939,3407</t>
  </si>
  <si>
    <t>259846,2695</t>
  </si>
  <si>
    <t>566925,1429</t>
  </si>
  <si>
    <t>104,9552</t>
  </si>
  <si>
    <t>992327,2089</t>
  </si>
  <si>
    <t>0,13340430954</t>
  </si>
  <si>
    <t>RV.1</t>
  </si>
  <si>
    <t>10.1</t>
  </si>
  <si>
    <t>REVESTIMENTOS DE PAREDE</t>
  </si>
  <si>
    <t>340375,8191</t>
  </si>
  <si>
    <t>149394,113</t>
  </si>
  <si>
    <t>190813,7779</t>
  </si>
  <si>
    <t>408450,983</t>
  </si>
  <si>
    <t>0,054910437681</t>
  </si>
  <si>
    <t>10.1.1</t>
  </si>
  <si>
    <t>87879</t>
  </si>
  <si>
    <t>CHAPISCO APLICADO EM ALVENARIAS E ESTRUTURAS DE CONCRETO INTERNAS, COM COLHER DE PEDREIRO.  ARGAMASSA TRAÇO 1:3 COM PREPARO EM BETONEIRA 400L. AF_10/2022</t>
  </si>
  <si>
    <t>2091,45</t>
  </si>
  <si>
    <t>4,48</t>
  </si>
  <si>
    <t>9369,696</t>
  </si>
  <si>
    <t>2,5219</t>
  </si>
  <si>
    <t>5274,4742</t>
  </si>
  <si>
    <t>1,9581</t>
  </si>
  <si>
    <t>4095,2218</t>
  </si>
  <si>
    <t>11243,6352</t>
  </si>
  <si>
    <t>0,0015115471763</t>
  </si>
  <si>
    <t>87879-2</t>
  </si>
  <si>
    <t>10.1.1.1</t>
  </si>
  <si>
    <t>87313</t>
  </si>
  <si>
    <t>ARGAMASSA TRAÇO 1:3 (EM VOLUME DE CIMENTO E AREIA GROSSA ÚMIDA) PARA CHAPISCO CONVENCIONAL, PREPARO MECÂNICO COM BETONEIRA 400 L. AF_08/2019</t>
  </si>
  <si>
    <t>0,0037</t>
  </si>
  <si>
    <t>441,25</t>
  </si>
  <si>
    <t>1,63</t>
  </si>
  <si>
    <t>1,9591</t>
  </si>
  <si>
    <t>7,7384 M3</t>
  </si>
  <si>
    <t>87879-3</t>
  </si>
  <si>
    <t>10.1.1.2</t>
  </si>
  <si>
    <t>0,0681</t>
  </si>
  <si>
    <t>2,16</t>
  </si>
  <si>
    <t>2,5946</t>
  </si>
  <si>
    <t>142,4277 H</t>
  </si>
  <si>
    <t>87879-4</t>
  </si>
  <si>
    <t>10.1.1.3</t>
  </si>
  <si>
    <t>0,0255</t>
  </si>
  <si>
    <t>0,69</t>
  </si>
  <si>
    <t>0,836</t>
  </si>
  <si>
    <t>53,332 H</t>
  </si>
  <si>
    <t>87879-5</t>
  </si>
  <si>
    <t>87879-6</t>
  </si>
  <si>
    <t>87879-7</t>
  </si>
  <si>
    <t>87879-8</t>
  </si>
  <si>
    <t>87879-9</t>
  </si>
  <si>
    <t>87879-10</t>
  </si>
  <si>
    <t>87879-11</t>
  </si>
  <si>
    <t>87879-12</t>
  </si>
  <si>
    <t>87879-13</t>
  </si>
  <si>
    <t>87879-14</t>
  </si>
  <si>
    <t>87879-15</t>
  </si>
  <si>
    <t>87879-16</t>
  </si>
  <si>
    <t>10.1.2</t>
  </si>
  <si>
    <t>87531</t>
  </si>
  <si>
    <t>EMBOÇO, PARA RECEBIMENTO DE CERÂMICA, EM ARGAMASSA TRAÇO 1:2:8, PREPARO MECÂNICO COM BETONEIRA 400L, APLICADO MANUALMENTE EM FACES INTERNAS DE PAREDES, PARA AMBIENTE COM ÁREA ENTRE 5M2 E 10M2, ESPESSURA DE 20MM, COM EXECUÇÃO DE TALISCAS. AF_06/2014</t>
  </si>
  <si>
    <t>35,65</t>
  </si>
  <si>
    <t>74560,1925</t>
  </si>
  <si>
    <t>17,0923</t>
  </si>
  <si>
    <t>35747,7499</t>
  </si>
  <si>
    <t>18,4774</t>
  </si>
  <si>
    <t>38644,5143</t>
  </si>
  <si>
    <t>0,0502</t>
  </si>
  <si>
    <t>89472,231</t>
  </si>
  <si>
    <t>0,012028271615</t>
  </si>
  <si>
    <t>87531-2</t>
  </si>
  <si>
    <t>10.1.2.1</t>
  </si>
  <si>
    <t>0,0376</t>
  </si>
  <si>
    <t>17,69</t>
  </si>
  <si>
    <t>21,2326</t>
  </si>
  <si>
    <t>78,6385 M3</t>
  </si>
  <si>
    <t>87531-3</t>
  </si>
  <si>
    <t>10.1.2.2</t>
  </si>
  <si>
    <t>0,43</t>
  </si>
  <si>
    <t>13,65</t>
  </si>
  <si>
    <t>16,383</t>
  </si>
  <si>
    <t>899,3235 H</t>
  </si>
  <si>
    <t>87531-4</t>
  </si>
  <si>
    <t>10.1.2.3</t>
  </si>
  <si>
    <t>0,158</t>
  </si>
  <si>
    <t>5,1799</t>
  </si>
  <si>
    <t>330,4491 H</t>
  </si>
  <si>
    <t>87531-5</t>
  </si>
  <si>
    <t>87531-6</t>
  </si>
  <si>
    <t>87531-7</t>
  </si>
  <si>
    <t>87531-8</t>
  </si>
  <si>
    <t>87531-9</t>
  </si>
  <si>
    <t>87531-10</t>
  </si>
  <si>
    <t>87531-11</t>
  </si>
  <si>
    <t>87531-12</t>
  </si>
  <si>
    <t>87531-13</t>
  </si>
  <si>
    <t>87531-14</t>
  </si>
  <si>
    <t>87531-15</t>
  </si>
  <si>
    <t>87531-16</t>
  </si>
  <si>
    <t>10.1.3</t>
  </si>
  <si>
    <t>87273</t>
  </si>
  <si>
    <t>REVESTIMENTO CERÂMICO PARA PAREDES INTERNAS COM PLACAS TIPO ESMALTADA EXTRA  DE DIMENSÕES 33X45 CM APLICADAS NA ALTURA INTEIRA DAS PAREDES. AF_02/2023_PE</t>
  </si>
  <si>
    <t>1304,2</t>
  </si>
  <si>
    <t>80,09</t>
  </si>
  <si>
    <t>104453,378</t>
  </si>
  <si>
    <t>22,8571</t>
  </si>
  <si>
    <t>29810,2605</t>
  </si>
  <si>
    <t>57,2329</t>
  </si>
  <si>
    <t>74643,1175</t>
  </si>
  <si>
    <t>125344,0536</t>
  </si>
  <si>
    <t>0,01685072905</t>
  </si>
  <si>
    <t>87273-2</t>
  </si>
  <si>
    <t>10.1.3.1</t>
  </si>
  <si>
    <t>536</t>
  </si>
  <si>
    <t>REVESTIMENTO EM CERAMICA ESMALTADA EXTRA, PEI MENOR OU IGUAL A 3, FORMATO MENOR OU IGUAL A 2025 CM2</t>
  </si>
  <si>
    <t>1,0798</t>
  </si>
  <si>
    <t>39,9</t>
  </si>
  <si>
    <t>43,08</t>
  </si>
  <si>
    <t>51,7008</t>
  </si>
  <si>
    <t>1408,2752 M2</t>
  </si>
  <si>
    <t>87273-3</t>
  </si>
  <si>
    <t>10.1.3.2</t>
  </si>
  <si>
    <t>1381</t>
  </si>
  <si>
    <t>ARGAMASSA COLANTE AC I PARA CERAMICAS</t>
  </si>
  <si>
    <t>6,85</t>
  </si>
  <si>
    <t>5,41</t>
  </si>
  <si>
    <t>6,4938</t>
  </si>
  <si>
    <t>8933,77 KG</t>
  </si>
  <si>
    <t>87273-4</t>
  </si>
  <si>
    <t>10.1.3.3</t>
  </si>
  <si>
    <t>34357</t>
  </si>
  <si>
    <t>REJUNTE CIMENTICIO, QUALQUER COR</t>
  </si>
  <si>
    <t>0,222</t>
  </si>
  <si>
    <t>4,63</t>
  </si>
  <si>
    <t>1,2334</t>
  </si>
  <si>
    <t>289,5324 KG</t>
  </si>
  <si>
    <t>87273-5</t>
  </si>
  <si>
    <t>10.1.3.4</t>
  </si>
  <si>
    <t>88256</t>
  </si>
  <si>
    <t>AZULEJISTA OU LADRILHISTA COM ENCARGOS COMPLEMENTARES</t>
  </si>
  <si>
    <t>0,697</t>
  </si>
  <si>
    <t>31,59</t>
  </si>
  <si>
    <t>22,01</t>
  </si>
  <si>
    <t>26,4219</t>
  </si>
  <si>
    <t>909,0274 H</t>
  </si>
  <si>
    <t>87273-6</t>
  </si>
  <si>
    <t>10.1.3.5</t>
  </si>
  <si>
    <t>0,3138</t>
  </si>
  <si>
    <t>8,57</t>
  </si>
  <si>
    <t>10,2876</t>
  </si>
  <si>
    <t>409,258 H</t>
  </si>
  <si>
    <t>87273-7</t>
  </si>
  <si>
    <t>87273-8</t>
  </si>
  <si>
    <t>87273-9</t>
  </si>
  <si>
    <t>87273-10</t>
  </si>
  <si>
    <t>87273-11</t>
  </si>
  <si>
    <t>87273-12</t>
  </si>
  <si>
    <t>87273-13</t>
  </si>
  <si>
    <t>87273-14</t>
  </si>
  <si>
    <t>87273-15</t>
  </si>
  <si>
    <t>87273-16</t>
  </si>
  <si>
    <t>10.1.4</t>
  </si>
  <si>
    <t>87424</t>
  </si>
  <si>
    <t>APLICAÇÃO MANUAL DE GESSO SARRAFEADO (COM TALISCAS) EM PAREDES, ESPESSURA DE 1,0CM. AF_03/2023</t>
  </si>
  <si>
    <t>3634,4465</t>
  </si>
  <si>
    <t>41,82</t>
  </si>
  <si>
    <t>151992,5526</t>
  </si>
  <si>
    <t>21,6158</t>
  </si>
  <si>
    <t>78561,6284</t>
  </si>
  <si>
    <t>20,2042</t>
  </si>
  <si>
    <t>73430,9243</t>
  </si>
  <si>
    <t>182391,0632</t>
  </si>
  <si>
    <t>0,02451988984</t>
  </si>
  <si>
    <t>87424-2</t>
  </si>
  <si>
    <t>10.1.4.1</t>
  </si>
  <si>
    <t>3315</t>
  </si>
  <si>
    <t>GESSO EM PO PARA REVESTIMENTOS/MOLDURAS/SANCAS E USO GERAL</t>
  </si>
  <si>
    <t>17,07379</t>
  </si>
  <si>
    <t>0,76</t>
  </si>
  <si>
    <t>12,97</t>
  </si>
  <si>
    <t>15,5713</t>
  </si>
  <si>
    <t>62053,7763 KG</t>
  </si>
  <si>
    <t>87424-3</t>
  </si>
  <si>
    <t>10.1.4.2</t>
  </si>
  <si>
    <t>88269</t>
  </si>
  <si>
    <t>GESSEIRO COM ENCARGOS COMPLEMENTARES</t>
  </si>
  <si>
    <t>0,71867</t>
  </si>
  <si>
    <t>22,64</t>
  </si>
  <si>
    <t>27,1744</t>
  </si>
  <si>
    <t>2611,9677 H</t>
  </si>
  <si>
    <t>87424-4</t>
  </si>
  <si>
    <t>10.1.4.3</t>
  </si>
  <si>
    <t>0,22758</t>
  </si>
  <si>
    <t>6,21</t>
  </si>
  <si>
    <t>7,461</t>
  </si>
  <si>
    <t>827,1273 H</t>
  </si>
  <si>
    <t>87424-5</t>
  </si>
  <si>
    <t>87424-6</t>
  </si>
  <si>
    <t>87424-7</t>
  </si>
  <si>
    <t>87424-8</t>
  </si>
  <si>
    <t>87424-9</t>
  </si>
  <si>
    <t>87424-10</t>
  </si>
  <si>
    <t>87424-11</t>
  </si>
  <si>
    <t>87424-12</t>
  </si>
  <si>
    <t>87424-13</t>
  </si>
  <si>
    <t>87424-14</t>
  </si>
  <si>
    <t>87424-15</t>
  </si>
  <si>
    <t>87424-16</t>
  </si>
  <si>
    <t>RV.2</t>
  </si>
  <si>
    <t>10.2</t>
  </si>
  <si>
    <t>REVESTIMENTOS DE PISO</t>
  </si>
  <si>
    <t>396387,6703</t>
  </si>
  <si>
    <t>63197,6008</t>
  </si>
  <si>
    <t>333190,0695</t>
  </si>
  <si>
    <t>475665,2044</t>
  </si>
  <si>
    <t>0,063946435805</t>
  </si>
  <si>
    <t>10.2.1</t>
  </si>
  <si>
    <t>87262</t>
  </si>
  <si>
    <t>REVESTIMENTO CERÂMICO PARA PISO COM PLACAS TIPO PORCELANATO DE DIMENSÕES 60X60 CM APLICADA EM AMBIENTES DE ÁREA ENTRE 5 M² E 10 M². AF_02/2023_PE</t>
  </si>
  <si>
    <t>1746,49</t>
  </si>
  <si>
    <t>189,67</t>
  </si>
  <si>
    <t>331256,7583</t>
  </si>
  <si>
    <t>23,2586</t>
  </si>
  <si>
    <t>40620,884</t>
  </si>
  <si>
    <t>166,4114</t>
  </si>
  <si>
    <t>290635,8743</t>
  </si>
  <si>
    <t>397508,11</t>
  </si>
  <si>
    <t>0,053439323714</t>
  </si>
  <si>
    <t>87262-2</t>
  </si>
  <si>
    <t>10.2.1.1</t>
  </si>
  <si>
    <t>0,141</t>
  </si>
  <si>
    <t>0,65</t>
  </si>
  <si>
    <t>0,7834</t>
  </si>
  <si>
    <t>246,2551 KG</t>
  </si>
  <si>
    <t>87262-3</t>
  </si>
  <si>
    <t>10.2.1.2</t>
  </si>
  <si>
    <t>37595</t>
  </si>
  <si>
    <t>ARGAMASSA COLANTE TIPO AC III</t>
  </si>
  <si>
    <t>2,42</t>
  </si>
  <si>
    <t>22,09</t>
  </si>
  <si>
    <t>26,5135</t>
  </si>
  <si>
    <t>15945,4537 KG</t>
  </si>
  <si>
    <t>87262-4</t>
  </si>
  <si>
    <t>10.2.1.3</t>
  </si>
  <si>
    <t>38195</t>
  </si>
  <si>
    <t>PISO PORCELANATO, BORDA RETA, EXTRA, FORMATO MAIOR QUE 2025 CM2</t>
  </si>
  <si>
    <t>1,0864</t>
  </si>
  <si>
    <t>125,11</t>
  </si>
  <si>
    <t>135,91</t>
  </si>
  <si>
    <t>163,1034</t>
  </si>
  <si>
    <t>1897,3867 M2</t>
  </si>
  <si>
    <t>87262-5</t>
  </si>
  <si>
    <t>10.2.1.4</t>
  </si>
  <si>
    <t>0,8038</t>
  </si>
  <si>
    <t>25,39</t>
  </si>
  <si>
    <t>30,4705</t>
  </si>
  <si>
    <t>1403,8287 H</t>
  </si>
  <si>
    <t>87262-6</t>
  </si>
  <si>
    <t>10.2.1.5</t>
  </si>
  <si>
    <t>0,2064</t>
  </si>
  <si>
    <t>5,63</t>
  </si>
  <si>
    <t>6,7666</t>
  </si>
  <si>
    <t>360,4755 H</t>
  </si>
  <si>
    <t>87262-7</t>
  </si>
  <si>
    <t>87262-8</t>
  </si>
  <si>
    <t>87262-9</t>
  </si>
  <si>
    <t>87262-10</t>
  </si>
  <si>
    <t>87262-11</t>
  </si>
  <si>
    <t>87262-12</t>
  </si>
  <si>
    <t>87262-13</t>
  </si>
  <si>
    <t>87262-14</t>
  </si>
  <si>
    <t>87262-15</t>
  </si>
  <si>
    <t>87262-16</t>
  </si>
  <si>
    <t>10.2.2</t>
  </si>
  <si>
    <t>101739</t>
  </si>
  <si>
    <t>RODAPÉ EM MADEIRA, ALTURA 7CM, FIXADO COM COLA E PARAFUSOS. AF_09/2020</t>
  </si>
  <si>
    <t>1663,2</t>
  </si>
  <si>
    <t>39,16</t>
  </si>
  <si>
    <t>65130,912</t>
  </si>
  <si>
    <t>13,5743</t>
  </si>
  <si>
    <t>22576,7167</t>
  </si>
  <si>
    <t>25,5857</t>
  </si>
  <si>
    <t>42554,1953</t>
  </si>
  <si>
    <t>78157,0944</t>
  </si>
  <si>
    <t>0,01050711209</t>
  </si>
  <si>
    <t>101739-2</t>
  </si>
  <si>
    <t>10.2.2.1</t>
  </si>
  <si>
    <t>6186</t>
  </si>
  <si>
    <t>RODAPE DE MADEIRA MACICA CUMARU/IPE CHAMPANHE OU EQUIVALENTE DA REGIAO, *1,5 X 7 CM</t>
  </si>
  <si>
    <t>1,035</t>
  </si>
  <si>
    <t>18,05</t>
  </si>
  <si>
    <t>18,68</t>
  </si>
  <si>
    <t>22,4181</t>
  </si>
  <si>
    <t>1721,412 M</t>
  </si>
  <si>
    <t>101739-3</t>
  </si>
  <si>
    <t>10.2.2.2</t>
  </si>
  <si>
    <t>7568</t>
  </si>
  <si>
    <t>BUCHA DE NYLON SEM ABA S10, COM PARAFUSO DE 6,10 X 65 MM EM ACO ZINCADO COM ROSCA SOBERBA, CABECA CHATA E FENDA PHILLIPS</t>
  </si>
  <si>
    <t>1,1581</t>
  </si>
  <si>
    <t>0,63</t>
  </si>
  <si>
    <t>0,7643</t>
  </si>
  <si>
    <t>1926,1519 UN</t>
  </si>
  <si>
    <t>101739-4</t>
  </si>
  <si>
    <t>10.2.2.3</t>
  </si>
  <si>
    <t>44396</t>
  </si>
  <si>
    <t>COLA BRANCA BASE PVA</t>
  </si>
  <si>
    <t>43,96</t>
  </si>
  <si>
    <t>1,77</t>
  </si>
  <si>
    <t>2,1259</t>
  </si>
  <si>
    <t>67,027 KG</t>
  </si>
  <si>
    <t>101739-5</t>
  </si>
  <si>
    <t>10.2.2.4</t>
  </si>
  <si>
    <t>0,1765</t>
  </si>
  <si>
    <t>4,82</t>
  </si>
  <si>
    <t>5,7864</t>
  </si>
  <si>
    <t>293,5548 H</t>
  </si>
  <si>
    <t>101739-6</t>
  </si>
  <si>
    <t>10.2.2.5</t>
  </si>
  <si>
    <t>88320</t>
  </si>
  <si>
    <t>TAQUEADOR OU TAQUEIRO COM ENCARGOS COMPLEMENTARES</t>
  </si>
  <si>
    <t>0,4235</t>
  </si>
  <si>
    <t>13,26</t>
  </si>
  <si>
    <t>15,9219</t>
  </si>
  <si>
    <t>704,3652 H</t>
  </si>
  <si>
    <t>101739-7</t>
  </si>
  <si>
    <t>101739-8</t>
  </si>
  <si>
    <t>101739-9</t>
  </si>
  <si>
    <t>101739-10</t>
  </si>
  <si>
    <t>101739-11</t>
  </si>
  <si>
    <t>101739-12</t>
  </si>
  <si>
    <t>101739-13</t>
  </si>
  <si>
    <t>101739-14</t>
  </si>
  <si>
    <t>101739-15</t>
  </si>
  <si>
    <t>101739-16</t>
  </si>
  <si>
    <t>RV.3</t>
  </si>
  <si>
    <t>10.3</t>
  </si>
  <si>
    <t>REVESTIMENTOS DE TETO</t>
  </si>
  <si>
    <t>90175,8513</t>
  </si>
  <si>
    <t>47254,5558</t>
  </si>
  <si>
    <t>42921,2955</t>
  </si>
  <si>
    <t>108211,0216</t>
  </si>
  <si>
    <t>0,014547436054</t>
  </si>
  <si>
    <t>10.3.1</t>
  </si>
  <si>
    <t>87415</t>
  </si>
  <si>
    <t>APLICAÇÃO MANUAL DE GESSO DESEMPENADO (SEM TALISCAS) EM TETO DE AMBIENTES DE ÁREA ENTRE 5M² E 10M², ESPESSURA DE 1,0CM. AF_03/2023</t>
  </si>
  <si>
    <t>1223,1</t>
  </si>
  <si>
    <t>37,21</t>
  </si>
  <si>
    <t>45511,551</t>
  </si>
  <si>
    <t>18,1639</t>
  </si>
  <si>
    <t>22216,3067</t>
  </si>
  <si>
    <t>19,0461</t>
  </si>
  <si>
    <t>23295,2443</t>
  </si>
  <si>
    <t>54613,8612</t>
  </si>
  <si>
    <t>0,0073420585262</t>
  </si>
  <si>
    <t>87415-2</t>
  </si>
  <si>
    <t>10.3.1.1</t>
  </si>
  <si>
    <t>20882,9525 KG</t>
  </si>
  <si>
    <t>87415-3</t>
  </si>
  <si>
    <t>10.3.1.2</t>
  </si>
  <si>
    <t>0,6037</t>
  </si>
  <si>
    <t>19,02</t>
  </si>
  <si>
    <t>22,8271</t>
  </si>
  <si>
    <t>738,3855 H</t>
  </si>
  <si>
    <t>87415-4</t>
  </si>
  <si>
    <t>10.3.1.3</t>
  </si>
  <si>
    <t>0,19117</t>
  </si>
  <si>
    <t>5,22</t>
  </si>
  <si>
    <t>6,2673</t>
  </si>
  <si>
    <t>233,82 H</t>
  </si>
  <si>
    <t>87415-5</t>
  </si>
  <si>
    <t>87415-6</t>
  </si>
  <si>
    <t>87415-7</t>
  </si>
  <si>
    <t>87415-8</t>
  </si>
  <si>
    <t>87415-9</t>
  </si>
  <si>
    <t>87415-10</t>
  </si>
  <si>
    <t>87415-11</t>
  </si>
  <si>
    <t>87415-12</t>
  </si>
  <si>
    <t>87415-13</t>
  </si>
  <si>
    <t>87415-14</t>
  </si>
  <si>
    <t>87415-15</t>
  </si>
  <si>
    <t>87415-16</t>
  </si>
  <si>
    <t>10.3.2</t>
  </si>
  <si>
    <t>96109</t>
  </si>
  <si>
    <t>FORRO EM PLACAS DE GESSO, PARA AMBIENTES RESIDENCIAIS. AF_08/2023_PS</t>
  </si>
  <si>
    <t>779,89</t>
  </si>
  <si>
    <t>57,27</t>
  </si>
  <si>
    <t>44664,3003</t>
  </si>
  <si>
    <t>32,1048</t>
  </si>
  <si>
    <t>25038,2492</t>
  </si>
  <si>
    <t>25,1652</t>
  </si>
  <si>
    <t>19626,0511</t>
  </si>
  <si>
    <t>53597,1604</t>
  </si>
  <si>
    <t>0,0072053775278</t>
  </si>
  <si>
    <t>96109-2</t>
  </si>
  <si>
    <t>10.3.2.1</t>
  </si>
  <si>
    <t>345</t>
  </si>
  <si>
    <t>ARAME GALVANIZADO 18 BWG, D = 1,24MM (0,009 KG/M)</t>
  </si>
  <si>
    <t>0,0217</t>
  </si>
  <si>
    <t>33,06</t>
  </si>
  <si>
    <t>0,71</t>
  </si>
  <si>
    <t>0,8609</t>
  </si>
  <si>
    <t>16,9236 KG</t>
  </si>
  <si>
    <t>96109-3</t>
  </si>
  <si>
    <t>10.3.2.2</t>
  </si>
  <si>
    <t>1,8127</t>
  </si>
  <si>
    <t>1,37</t>
  </si>
  <si>
    <t>1,6532</t>
  </si>
  <si>
    <t>1413,7066 KG</t>
  </si>
  <si>
    <t>96109-4</t>
  </si>
  <si>
    <t>10.3.2.3</t>
  </si>
  <si>
    <t>4812</t>
  </si>
  <si>
    <t>PLACA DE GESSO PARA FORRO, *60 X 60* CM, ESPESSURA DE 12 MM (SEM COLOCACAO)</t>
  </si>
  <si>
    <t>1,0414</t>
  </si>
  <si>
    <t>10,58</t>
  </si>
  <si>
    <t>11,01</t>
  </si>
  <si>
    <t>13,2216</t>
  </si>
  <si>
    <t>812,1774 M2</t>
  </si>
  <si>
    <t>96109-5</t>
  </si>
  <si>
    <t>10.3.2.4</t>
  </si>
  <si>
    <t>20250</t>
  </si>
  <si>
    <t>SISAL EM FIBRA / ESTOPA SISAL PARA GESSO</t>
  </si>
  <si>
    <t>0,0078</t>
  </si>
  <si>
    <t>26,75</t>
  </si>
  <si>
    <t>0,2</t>
  </si>
  <si>
    <t>0,2504</t>
  </si>
  <si>
    <t>6,0831 KG</t>
  </si>
  <si>
    <t>96109-6</t>
  </si>
  <si>
    <t>10.3.2.5</t>
  </si>
  <si>
    <t>40547</t>
  </si>
  <si>
    <t>PARAFUSO ZINCADO, AUTOBROCANTE, FLANGEADO, 4,2 MM X 19 MM</t>
  </si>
  <si>
    <t>0,0293</t>
  </si>
  <si>
    <t>31,56</t>
  </si>
  <si>
    <t>0,92</t>
  </si>
  <si>
    <t>1,1096</t>
  </si>
  <si>
    <t>22,8508 CENTO</t>
  </si>
  <si>
    <t>96109-7</t>
  </si>
  <si>
    <t>10.3.2.6</t>
  </si>
  <si>
    <t>0,9123</t>
  </si>
  <si>
    <t>28,74</t>
  </si>
  <si>
    <t>34,4959</t>
  </si>
  <si>
    <t>711,4936 H</t>
  </si>
  <si>
    <t>96109-8</t>
  </si>
  <si>
    <t>10.3.2.7</t>
  </si>
  <si>
    <t>0,5244</t>
  </si>
  <si>
    <t>14,32</t>
  </si>
  <si>
    <t>17,1919</t>
  </si>
  <si>
    <t>408,9743 H</t>
  </si>
  <si>
    <t>96109-9</t>
  </si>
  <si>
    <t>96109-10</t>
  </si>
  <si>
    <t>96109-11</t>
  </si>
  <si>
    <t>96109-12</t>
  </si>
  <si>
    <t>96109-13</t>
  </si>
  <si>
    <t>96109-14</t>
  </si>
  <si>
    <t>96109-15</t>
  </si>
  <si>
    <t>96109-16</t>
  </si>
  <si>
    <t>IM</t>
  </si>
  <si>
    <t>IMPERMEABILIZAÇÕES</t>
  </si>
  <si>
    <t>135014,2868</t>
  </si>
  <si>
    <t>44248,5477</t>
  </si>
  <si>
    <t>90690,2546</t>
  </si>
  <si>
    <t>48,0357</t>
  </si>
  <si>
    <t>162017,1442</t>
  </si>
  <si>
    <t>0,021780905596</t>
  </si>
  <si>
    <t>IM.1</t>
  </si>
  <si>
    <t>11.1</t>
  </si>
  <si>
    <t>IMPERMEABILIZAÇÕES INTERNAS</t>
  </si>
  <si>
    <t>14002,1288</t>
  </si>
  <si>
    <t>6996,4341</t>
  </si>
  <si>
    <t>7005,6948</t>
  </si>
  <si>
    <t>16802,5546</t>
  </si>
  <si>
    <t>0,0022588649953</t>
  </si>
  <si>
    <t>11.1.1</t>
  </si>
  <si>
    <t>98555</t>
  </si>
  <si>
    <t>IMPERMEABILIZAÇÃO DE SUPERFÍCIE COM ARGAMASSA POLIMÉRICA / MEMBRANA ACRÍLICA, 3 DEMÃOS. AF_06/2018</t>
  </si>
  <si>
    <t>461,964</t>
  </si>
  <si>
    <t>30,31</t>
  </si>
  <si>
    <t>15,145</t>
  </si>
  <si>
    <t>15,165</t>
  </si>
  <si>
    <t>98555-2</t>
  </si>
  <si>
    <t>11.1.1.1</t>
  </si>
  <si>
    <t>135</t>
  </si>
  <si>
    <t>ARGAMASSA POLIMERICA IMPERMEABILIZANTE SEMIFLEXIVEL, BICOMPONENTE (MEMBRANA IMPERMEABILIZANTE ACRILICA)</t>
  </si>
  <si>
    <t>3,2</t>
  </si>
  <si>
    <t>3,21</t>
  </si>
  <si>
    <t>10,27</t>
  </si>
  <si>
    <t>12,3264</t>
  </si>
  <si>
    <t>1478,2848 KG</t>
  </si>
  <si>
    <t>98555-3</t>
  </si>
  <si>
    <t>11.1.1.2</t>
  </si>
  <si>
    <t>88243</t>
  </si>
  <si>
    <t>AJUDANTE ESPECIALIZADO COM ENCARGOS COMPLEMENTARES</t>
  </si>
  <si>
    <t>0,108</t>
  </si>
  <si>
    <t>29,22</t>
  </si>
  <si>
    <t>3,15</t>
  </si>
  <si>
    <t>3,7869</t>
  </si>
  <si>
    <t>49,8921 H</t>
  </si>
  <si>
    <t>98555-4</t>
  </si>
  <si>
    <t>11.1.1.3</t>
  </si>
  <si>
    <t>88270</t>
  </si>
  <si>
    <t>IMPERMEABILIZADOR COM ENCARGOS COMPLEMENTARES</t>
  </si>
  <si>
    <t>0,532</t>
  </si>
  <si>
    <t>20,2692</t>
  </si>
  <si>
    <t>245,7648 H</t>
  </si>
  <si>
    <t>98555-5</t>
  </si>
  <si>
    <t>98555-6</t>
  </si>
  <si>
    <t>98555-7</t>
  </si>
  <si>
    <t>98555-8</t>
  </si>
  <si>
    <t>98555-9</t>
  </si>
  <si>
    <t>98555-10</t>
  </si>
  <si>
    <t>98555-11</t>
  </si>
  <si>
    <t>98555-12</t>
  </si>
  <si>
    <t>98555-13</t>
  </si>
  <si>
    <t>98555-14</t>
  </si>
  <si>
    <t>98555-15</t>
  </si>
  <si>
    <t>98555-16</t>
  </si>
  <si>
    <t>IM.2</t>
  </si>
  <si>
    <t>11.2</t>
  </si>
  <si>
    <t>IMPERMEABILIZAÇÕES EXTERNAS</t>
  </si>
  <si>
    <t>112531,755</t>
  </si>
  <si>
    <t>35168,1385</t>
  </si>
  <si>
    <t>77288,1319</t>
  </si>
  <si>
    <t>135038,106</t>
  </si>
  <si>
    <t>0,018153956811</t>
  </si>
  <si>
    <t>11.2.1</t>
  </si>
  <si>
    <t>98546</t>
  </si>
  <si>
    <t>IMPERMEABILIZAÇÃO DE SUPERFÍCIE COM MANTA ASFÁLTICA, UMA CAMADA, INCLUSIVE APLICAÇÃO DE PRIMER ASFÁLTICO, E=3MM. AF_06/2018</t>
  </si>
  <si>
    <t>684,25</t>
  </si>
  <si>
    <t>115,79</t>
  </si>
  <si>
    <t>79229,3075</t>
  </si>
  <si>
    <t>26,9463</t>
  </si>
  <si>
    <t>18437,999</t>
  </si>
  <si>
    <t>88,8437</t>
  </si>
  <si>
    <t>60791,3085</t>
  </si>
  <si>
    <t>95075,169</t>
  </si>
  <si>
    <t>0,012781507109</t>
  </si>
  <si>
    <t>98546-2</t>
  </si>
  <si>
    <t>11.2.1.1</t>
  </si>
  <si>
    <t>511</t>
  </si>
  <si>
    <t>PRIMER PARA MANTA ASFALTICA A BASE DE ASFALTO MODIFICADO DILUIDO EM SOLVENTE, APLICACAO A FRIO</t>
  </si>
  <si>
    <t>0,615</t>
  </si>
  <si>
    <t>11,68</t>
  </si>
  <si>
    <t>14,022</t>
  </si>
  <si>
    <t>420,8138 L</t>
  </si>
  <si>
    <t>98546-3</t>
  </si>
  <si>
    <t>11.2.1.2</t>
  </si>
  <si>
    <t>4014</t>
  </si>
  <si>
    <t>MANTA ASFALTICA ELASTOMERICA EM POLIESTER 3 MM, TIPO III, CLASSE B, ACABAMENTO PP (NBR 9952)</t>
  </si>
  <si>
    <t>1,125</t>
  </si>
  <si>
    <t>59,02</t>
  </si>
  <si>
    <t>66,39</t>
  </si>
  <si>
    <t>79,677</t>
  </si>
  <si>
    <t>769,7813 M2</t>
  </si>
  <si>
    <t>98546-4</t>
  </si>
  <si>
    <t>11.2.1.3</t>
  </si>
  <si>
    <t>4226</t>
  </si>
  <si>
    <t>GAS DE COZINHA - GLP</t>
  </si>
  <si>
    <t>7,8</t>
  </si>
  <si>
    <t>2,02</t>
  </si>
  <si>
    <t>2,4336</t>
  </si>
  <si>
    <t>177,905 KG</t>
  </si>
  <si>
    <t>98546-5</t>
  </si>
  <si>
    <t>11.2.1.4</t>
  </si>
  <si>
    <t>0,192</t>
  </si>
  <si>
    <t>5,61</t>
  </si>
  <si>
    <t>6,7323</t>
  </si>
  <si>
    <t>131,376 H</t>
  </si>
  <si>
    <t>98546-6</t>
  </si>
  <si>
    <t>11.2.1.5</t>
  </si>
  <si>
    <t>0,948</t>
  </si>
  <si>
    <t>30,09</t>
  </si>
  <si>
    <t>36,1188</t>
  </si>
  <si>
    <t>648,669 H</t>
  </si>
  <si>
    <t>98546-7</t>
  </si>
  <si>
    <t>98546-8</t>
  </si>
  <si>
    <t>98546-9</t>
  </si>
  <si>
    <t>98546-10</t>
  </si>
  <si>
    <t>98546-11</t>
  </si>
  <si>
    <t>98546-12</t>
  </si>
  <si>
    <t>98546-13</t>
  </si>
  <si>
    <t>98546-14</t>
  </si>
  <si>
    <t>98546-15</t>
  </si>
  <si>
    <t>98546-16</t>
  </si>
  <si>
    <t>11.2.2</t>
  </si>
  <si>
    <t>87755</t>
  </si>
  <si>
    <t>CONTRAPISO EM ARGAMASSA TRAÇO 1:4 (CIMENTO E AREIA), PREPARO MECÂNICO COM BETONEIRA 400 L, APLICADO EM ÁREAS MOLHADAS SOBRE IMPERMEABILIZAÇÃO, ACABAMENTO NÃO REFORÇADO, ESPESSURA 3CM. AF_07/2021</t>
  </si>
  <si>
    <t>33302,4475</t>
  </si>
  <si>
    <t>24,4503</t>
  </si>
  <si>
    <t>16730,1396</t>
  </si>
  <si>
    <t>24,1094</t>
  </si>
  <si>
    <t>16496,8233</t>
  </si>
  <si>
    <t>39962,937</t>
  </si>
  <si>
    <t>0,005372449702</t>
  </si>
  <si>
    <t>87755-2</t>
  </si>
  <si>
    <t>11.2.2.1</t>
  </si>
  <si>
    <t>342,125 KG</t>
  </si>
  <si>
    <t>87755-3</t>
  </si>
  <si>
    <t>11.2.2.2</t>
  </si>
  <si>
    <t>29,4912 M3</t>
  </si>
  <si>
    <t>87755-4</t>
  </si>
  <si>
    <t>11.2.2.3</t>
  </si>
  <si>
    <t>18,7</t>
  </si>
  <si>
    <t>22,4409</t>
  </si>
  <si>
    <t>403,0233 H</t>
  </si>
  <si>
    <t>87755-5</t>
  </si>
  <si>
    <t>11.2.2.4</t>
  </si>
  <si>
    <t>0,294</t>
  </si>
  <si>
    <t>8,03</t>
  </si>
  <si>
    <t>9,6385</t>
  </si>
  <si>
    <t>201,1695 H</t>
  </si>
  <si>
    <t>87755-6</t>
  </si>
  <si>
    <t>87755-7</t>
  </si>
  <si>
    <t>87755-8</t>
  </si>
  <si>
    <t>87755-9</t>
  </si>
  <si>
    <t>87755-10</t>
  </si>
  <si>
    <t>87755-11</t>
  </si>
  <si>
    <t>87755-12</t>
  </si>
  <si>
    <t>87755-13</t>
  </si>
  <si>
    <t>87755-14</t>
  </si>
  <si>
    <t>87755-15</t>
  </si>
  <si>
    <t>87755-16</t>
  </si>
  <si>
    <t>IM.3</t>
  </si>
  <si>
    <t>11.3</t>
  </si>
  <si>
    <t>IMPERMEABILIZAÇÃO DE FUNDAÇÕES</t>
  </si>
  <si>
    <t>8480,403</t>
  </si>
  <si>
    <t>2083,975</t>
  </si>
  <si>
    <t>6396,428</t>
  </si>
  <si>
    <t>10176,4836</t>
  </si>
  <si>
    <t>0,0013680837894</t>
  </si>
  <si>
    <t>11.3.1</t>
  </si>
  <si>
    <t>98557</t>
  </si>
  <si>
    <t>IMPERMEABILIZAÇÃO DE SUPERFÍCIE COM EMULSÃO ASFÁLTICA, 2 DEMÃOS AF_06/2018</t>
  </si>
  <si>
    <t>48,78</t>
  </si>
  <si>
    <t>11,9872</t>
  </si>
  <si>
    <t>36,7928</t>
  </si>
  <si>
    <t>98557-2</t>
  </si>
  <si>
    <t>11.3.1.1</t>
  </si>
  <si>
    <t>626</t>
  </si>
  <si>
    <t>MANTA LIQUIDA DE BASE ASFALTICA MODIFICADA COM A ADICAO DE ELASTOMEROS DILUIDOS EM SOLVENTE ORGANICO, APLICACAO A FRIO (MEMBRANA IMPERMEABILIZANTE ASFASTICA)</t>
  </si>
  <si>
    <t>1,5</t>
  </si>
  <si>
    <t>21,94</t>
  </si>
  <si>
    <t>32,91</t>
  </si>
  <si>
    <t>39,492</t>
  </si>
  <si>
    <t>260,775 KG</t>
  </si>
  <si>
    <t>98557-3</t>
  </si>
  <si>
    <t>11.3.1.2</t>
  </si>
  <si>
    <t>0,085</t>
  </si>
  <si>
    <t>2,48</t>
  </si>
  <si>
    <t>2,9804</t>
  </si>
  <si>
    <t>14,7773 H</t>
  </si>
  <si>
    <t>98557-4</t>
  </si>
  <si>
    <t>11.3.1.3</t>
  </si>
  <si>
    <t>0,422</t>
  </si>
  <si>
    <t>13,39</t>
  </si>
  <si>
    <t>16,0782</t>
  </si>
  <si>
    <t>73,3647 H</t>
  </si>
  <si>
    <t>98557-5</t>
  </si>
  <si>
    <t>98557-6</t>
  </si>
  <si>
    <t>98557-7</t>
  </si>
  <si>
    <t>98557-8</t>
  </si>
  <si>
    <t>98557-9</t>
  </si>
  <si>
    <t>98557-10</t>
  </si>
  <si>
    <t>98557-11</t>
  </si>
  <si>
    <t>98557-12</t>
  </si>
  <si>
    <t>98557-13</t>
  </si>
  <si>
    <t>98557-14</t>
  </si>
  <si>
    <t>98557-15</t>
  </si>
  <si>
    <t>98557-16</t>
  </si>
  <si>
    <t>GT</t>
  </si>
  <si>
    <t>GRANITOS</t>
  </si>
  <si>
    <t>107778,4734</t>
  </si>
  <si>
    <t>12266,7226</t>
  </si>
  <si>
    <t>95496,6255</t>
  </si>
  <si>
    <t>7,5626</t>
  </si>
  <si>
    <t>129334,1681</t>
  </si>
  <si>
    <t>0,017387143311</t>
  </si>
  <si>
    <t>GT.1</t>
  </si>
  <si>
    <t>12.1</t>
  </si>
  <si>
    <t>BANCADAS</t>
  </si>
  <si>
    <t>41962,432</t>
  </si>
  <si>
    <t>2391,1051</t>
  </si>
  <si>
    <t>39571,3269</t>
  </si>
  <si>
    <t>50354,9184</t>
  </si>
  <si>
    <t>0,0067695041121</t>
  </si>
  <si>
    <t>12.1.1</t>
  </si>
  <si>
    <t>86889</t>
  </si>
  <si>
    <t>BANCADA DE GRANITO CINZA POLIDO, DE 1,50 X 0,60 M, PARA PIA DE COZINHA - FORNECIMENTO E INSTALAÇÃO. AF_01/2020</t>
  </si>
  <si>
    <t>42,4</t>
  </si>
  <si>
    <t>989,68</t>
  </si>
  <si>
    <t>56,394</t>
  </si>
  <si>
    <t>933,286</t>
  </si>
  <si>
    <t>86889-2</t>
  </si>
  <si>
    <t>12.1.1.1</t>
  </si>
  <si>
    <t>4823</t>
  </si>
  <si>
    <t>MASSA PLASTICA PARA MARMORE/GRANITO</t>
  </si>
  <si>
    <t>0,5228</t>
  </si>
  <si>
    <t>42,01</t>
  </si>
  <si>
    <t>21,96</t>
  </si>
  <si>
    <t>26,3554</t>
  </si>
  <si>
    <t>22,1667 KG</t>
  </si>
  <si>
    <t>86889-3</t>
  </si>
  <si>
    <t>12.1.1.2</t>
  </si>
  <si>
    <t>3,3</t>
  </si>
  <si>
    <t>3,96</t>
  </si>
  <si>
    <t>254,4 UN</t>
  </si>
  <si>
    <t>86889-4</t>
  </si>
  <si>
    <t>12.1.1.3</t>
  </si>
  <si>
    <t>11795</t>
  </si>
  <si>
    <t>GRANITO PARA BANCADA, POLIDO, TIPO ANDORINHA/ QUARTZ/ CASTELO/ CORUMBA OU OUTROS EQUIVALENTES DA REGIAO, E=  *2,5* CM</t>
  </si>
  <si>
    <t>1,005</t>
  </si>
  <si>
    <t>830,18</t>
  </si>
  <si>
    <t>834,33</t>
  </si>
  <si>
    <t>1001,1971</t>
  </si>
  <si>
    <t>42,612 M2</t>
  </si>
  <si>
    <t>86889-5</t>
  </si>
  <si>
    <t>12.1.1.4</t>
  </si>
  <si>
    <t>37329</t>
  </si>
  <si>
    <t>REJUNTE EPOXI, QUALQUER COR</t>
  </si>
  <si>
    <t>0,0211</t>
  </si>
  <si>
    <t>97,7</t>
  </si>
  <si>
    <t>2,4738</t>
  </si>
  <si>
    <t>0,8946 KG</t>
  </si>
  <si>
    <t>86889-6</t>
  </si>
  <si>
    <t>12.1.1.5</t>
  </si>
  <si>
    <t>37591</t>
  </si>
  <si>
    <t>SUPORTE MAO-FRANCESA EM ACO, ABAS IGUAIS 40 CM, CAPACIDADE MINIMA 70 KG, BRANCO</t>
  </si>
  <si>
    <t>26,35</t>
  </si>
  <si>
    <t>52,7</t>
  </si>
  <si>
    <t>63,24</t>
  </si>
  <si>
    <t>84,8 UN</t>
  </si>
  <si>
    <t>86889-7</t>
  </si>
  <si>
    <t>12.1.1.6</t>
  </si>
  <si>
    <t>88274</t>
  </si>
  <si>
    <t>MARMORISTA/GRANITEIRO COM ENCARGOS COMPLEMENTARES</t>
  </si>
  <si>
    <t>1,4944</t>
  </si>
  <si>
    <t>32,44</t>
  </si>
  <si>
    <t>48,47</t>
  </si>
  <si>
    <t>58,174</t>
  </si>
  <si>
    <t>63,3626 H</t>
  </si>
  <si>
    <t>86889-8</t>
  </si>
  <si>
    <t>12.1.1.7</t>
  </si>
  <si>
    <t>0,9834</t>
  </si>
  <si>
    <t>26,86</t>
  </si>
  <si>
    <t>32,2398</t>
  </si>
  <si>
    <t>41,6962 H</t>
  </si>
  <si>
    <t>86889-9</t>
  </si>
  <si>
    <t>86889-10</t>
  </si>
  <si>
    <t>86889-11</t>
  </si>
  <si>
    <t>86889-12</t>
  </si>
  <si>
    <t>86889-13</t>
  </si>
  <si>
    <t>86889-14</t>
  </si>
  <si>
    <t>86889-15</t>
  </si>
  <si>
    <t>86889-16</t>
  </si>
  <si>
    <t>GT.2</t>
  </si>
  <si>
    <t>12.2</t>
  </si>
  <si>
    <t>SOLEIRAS</t>
  </si>
  <si>
    <t>26467,5164</t>
  </si>
  <si>
    <t>3472,5646</t>
  </si>
  <si>
    <t>22994,9518</t>
  </si>
  <si>
    <t>31761,0197</t>
  </si>
  <si>
    <t>0,0042698183248</t>
  </si>
  <si>
    <t>12.2.1</t>
  </si>
  <si>
    <t>98689</t>
  </si>
  <si>
    <t>SOLEIRA EM GRANITO, LARGURA 15 CM, ESPESSURA 2,0 CM. AF_09/2020</t>
  </si>
  <si>
    <t>183,56</t>
  </si>
  <si>
    <t>144,19</t>
  </si>
  <si>
    <t>18,9179</t>
  </si>
  <si>
    <t>125,2721</t>
  </si>
  <si>
    <t>98689-2</t>
  </si>
  <si>
    <t>12.2.1.1</t>
  </si>
  <si>
    <t>20232</t>
  </si>
  <si>
    <t>SOLEIRA EM GRANITO, POLIDO, TIPO ANDORINHA/ QUARTZ/ CASTELO/ CORUMBA OU OUTROS EQUIVALENTES DA REGIAO, L= *15* CM, E=  *2,0* CM</t>
  </si>
  <si>
    <t>115,88</t>
  </si>
  <si>
    <t>139,056</t>
  </si>
  <si>
    <t>183,56 M</t>
  </si>
  <si>
    <t>98689-3</t>
  </si>
  <si>
    <t>12.2.1.2</t>
  </si>
  <si>
    <t>1,29</t>
  </si>
  <si>
    <t>3,12</t>
  </si>
  <si>
    <t>3,7462</t>
  </si>
  <si>
    <t>236,7924 KG</t>
  </si>
  <si>
    <t>98689-4</t>
  </si>
  <si>
    <t>12.2.1.3</t>
  </si>
  <si>
    <t>0,547</t>
  </si>
  <si>
    <t>17,74</t>
  </si>
  <si>
    <t>21,2936</t>
  </si>
  <si>
    <t>100,4073 H</t>
  </si>
  <si>
    <t>98689-5</t>
  </si>
  <si>
    <t>12.2.1.4</t>
  </si>
  <si>
    <t>0,273</t>
  </si>
  <si>
    <t>7,45</t>
  </si>
  <si>
    <t>8,95</t>
  </si>
  <si>
    <t>50,1119 H</t>
  </si>
  <si>
    <t>98689-6</t>
  </si>
  <si>
    <t>98689-7</t>
  </si>
  <si>
    <t>98689-8</t>
  </si>
  <si>
    <t>98689-9</t>
  </si>
  <si>
    <t>98689-10</t>
  </si>
  <si>
    <t>98689-11</t>
  </si>
  <si>
    <t>98689-12</t>
  </si>
  <si>
    <t>98689-13</t>
  </si>
  <si>
    <t>98689-14</t>
  </si>
  <si>
    <t>98689-15</t>
  </si>
  <si>
    <t>98689-16</t>
  </si>
  <si>
    <t>GT.3</t>
  </si>
  <si>
    <t>12.3</t>
  </si>
  <si>
    <t>PEITORIS</t>
  </si>
  <si>
    <t>39348,525</t>
  </si>
  <si>
    <t>6403,0529</t>
  </si>
  <si>
    <t>32930,3468</t>
  </si>
  <si>
    <t>47218,23</t>
  </si>
  <si>
    <t>0,0063478208745</t>
  </si>
  <si>
    <t>12.3.1</t>
  </si>
  <si>
    <t>101965</t>
  </si>
  <si>
    <t>PEITORIL LINEAR EM GRANITO OU MÁRMORE, L = 15CM, COMPRIMENTO DE ATÉ 2M, ASSENTADO COM ARGAMASSA 1:6 COM ADITIVO. AF_11/2020</t>
  </si>
  <si>
    <t>251,75</t>
  </si>
  <si>
    <t>156,3</t>
  </si>
  <si>
    <t>25,4342</t>
  </si>
  <si>
    <t>130,8057</t>
  </si>
  <si>
    <t>101965-2</t>
  </si>
  <si>
    <t>12.3.1.1</t>
  </si>
  <si>
    <t>34747</t>
  </si>
  <si>
    <t>PEITORIL EM MARMORE, POLIDO, BRANCO COMUM, L= *15* CM, E=  *2,0* CM, COM PINGADEIRA</t>
  </si>
  <si>
    <t>1,04</t>
  </si>
  <si>
    <t>116,88</t>
  </si>
  <si>
    <t>121,55</t>
  </si>
  <si>
    <t>145,8662</t>
  </si>
  <si>
    <t>261,82 M</t>
  </si>
  <si>
    <t>101965-3</t>
  </si>
  <si>
    <t>12.3.1.2</t>
  </si>
  <si>
    <t>87283</t>
  </si>
  <si>
    <t>ARGAMASSA TRAÇO 1:6 (EM VOLUME DE CIMENTO E AREIA MÉDIA ÚMIDA) COM ADIÇÃO DE PLASTIFICANTE PARA EMBOÇO/MASSA ÚNICA/ASSENTAMENTO DE ALVENARIA DE VEDAÇÃO, PREPARO MECÂNICO COM BETONEIRA 400 L. AF_08/2019</t>
  </si>
  <si>
    <t>377,97</t>
  </si>
  <si>
    <t>2,26</t>
  </si>
  <si>
    <t>2,7214</t>
  </si>
  <si>
    <t>1,5105 M3</t>
  </si>
  <si>
    <t>101965-4</t>
  </si>
  <si>
    <t>12.3.1.3</t>
  </si>
  <si>
    <t>0,419</t>
  </si>
  <si>
    <t>13,59</t>
  </si>
  <si>
    <t>16,3108</t>
  </si>
  <si>
    <t>105,4833 H</t>
  </si>
  <si>
    <t>101965-5</t>
  </si>
  <si>
    <t>12.3.1.4</t>
  </si>
  <si>
    <t>0,209</t>
  </si>
  <si>
    <t>5,7</t>
  </si>
  <si>
    <t>6,8519</t>
  </si>
  <si>
    <t>52,6158 H</t>
  </si>
  <si>
    <t>101965-6</t>
  </si>
  <si>
    <t>12.3.1.5</t>
  </si>
  <si>
    <t>0,021</t>
  </si>
  <si>
    <t>0,68</t>
  </si>
  <si>
    <t>0,82</t>
  </si>
  <si>
    <t>5,2868 CHP</t>
  </si>
  <si>
    <t>101965-7</t>
  </si>
  <si>
    <t>12.3.1.6</t>
  </si>
  <si>
    <t>0,398</t>
  </si>
  <si>
    <t>15,0348</t>
  </si>
  <si>
    <t>100,1965 CHI</t>
  </si>
  <si>
    <t>101965-8</t>
  </si>
  <si>
    <t>101965-9</t>
  </si>
  <si>
    <t>101965-10</t>
  </si>
  <si>
    <t>101965-11</t>
  </si>
  <si>
    <t>101965-12</t>
  </si>
  <si>
    <t>101965-13</t>
  </si>
  <si>
    <t>101965-14</t>
  </si>
  <si>
    <t>101965-15</t>
  </si>
  <si>
    <t>101965-16</t>
  </si>
  <si>
    <t>LM</t>
  </si>
  <si>
    <t>LOUÇAS E METAIS</t>
  </si>
  <si>
    <t>84710,27</t>
  </si>
  <si>
    <t>6151,4969</t>
  </si>
  <si>
    <t>78558,7731</t>
  </si>
  <si>
    <t>101652,324</t>
  </si>
  <si>
    <t>0,013665712252</t>
  </si>
  <si>
    <t>LM.1</t>
  </si>
  <si>
    <t>13.1</t>
  </si>
  <si>
    <t>LOUÇAS</t>
  </si>
  <si>
    <t>42529,12</t>
  </si>
  <si>
    <t>4124,3707</t>
  </si>
  <si>
    <t>38404,7493</t>
  </si>
  <si>
    <t>51034,944</t>
  </si>
  <si>
    <t>0,0068609239027</t>
  </si>
  <si>
    <t>13.1.1</t>
  </si>
  <si>
    <t>86931</t>
  </si>
  <si>
    <t>VASO SANITÁRIO SIFONADO COM CAIXA ACOPLADA LOUÇA BRANCA, INCLUSO ENGATE FLEXÍVEL EM PLÁSTICO BRANCO, 1/2  X 40CM - FORNECIMENTO E INSTALAÇÃO. AF_01/2020</t>
  </si>
  <si>
    <t>37</t>
  </si>
  <si>
    <t>489</t>
  </si>
  <si>
    <t>18093</t>
  </si>
  <si>
    <t>35,2008</t>
  </si>
  <si>
    <t>1302,4295</t>
  </si>
  <si>
    <t>453,7992</t>
  </si>
  <si>
    <t>16790,5705</t>
  </si>
  <si>
    <t>21711,6</t>
  </si>
  <si>
    <t>0,0029188164761</t>
  </si>
  <si>
    <t>86931-2</t>
  </si>
  <si>
    <t>13.1.1.1</t>
  </si>
  <si>
    <t>86885</t>
  </si>
  <si>
    <t>ENGATE FLEXÍVEL EM PLÁSTICO BRANCO, 1/2 X 40CM - FORNECIMENTO E INSTALAÇÃO. AF_01/2020</t>
  </si>
  <si>
    <t>17,832</t>
  </si>
  <si>
    <t>37 UN</t>
  </si>
  <si>
    <t>86931-3</t>
  </si>
  <si>
    <t>13.1.1.2</t>
  </si>
  <si>
    <t>568,968</t>
  </si>
  <si>
    <t>86931-4</t>
  </si>
  <si>
    <t>86931-5</t>
  </si>
  <si>
    <t>86931-6</t>
  </si>
  <si>
    <t>86931-7</t>
  </si>
  <si>
    <t>86931-8</t>
  </si>
  <si>
    <t>86931-9</t>
  </si>
  <si>
    <t>86931-10</t>
  </si>
  <si>
    <t>86931-11</t>
  </si>
  <si>
    <t>86931-12</t>
  </si>
  <si>
    <t>86931-13</t>
  </si>
  <si>
    <t>86931-14</t>
  </si>
  <si>
    <t>86931-15</t>
  </si>
  <si>
    <t>86931-16</t>
  </si>
  <si>
    <t>13.1.2</t>
  </si>
  <si>
    <t>86937</t>
  </si>
  <si>
    <t>CUBA DE EMBUTIR OVAL EM LOUÇA BRANCA, 35 X 50CM OU EQUIVALENTE, INCLUSO VÁLVULA EM METAL CROMADO E SIFÃO FLEXÍVEL EM PVC - FORNECIMENTO E INSTALAÇÃO. AF_01/2020</t>
  </si>
  <si>
    <t>226,74</t>
  </si>
  <si>
    <t>8616,12</t>
  </si>
  <si>
    <t>34,8908</t>
  </si>
  <si>
    <t>1325,8495</t>
  </si>
  <si>
    <t>191,8492</t>
  </si>
  <si>
    <t>7290,2705</t>
  </si>
  <si>
    <t>10339,344</t>
  </si>
  <si>
    <t>0,0013899780587</t>
  </si>
  <si>
    <t>86937-2</t>
  </si>
  <si>
    <t>13.1.2.1</t>
  </si>
  <si>
    <t>86877</t>
  </si>
  <si>
    <t>VÁLVULA EM METAL CROMADO 1.1/2 X 1.1/2 PARA TANQUE OU LAVATÓRIO, COM OU SEM LADRÃO - FORNECIMENTO E INSTALAÇÃO. AF_01/2020</t>
  </si>
  <si>
    <t>64,23</t>
  </si>
  <si>
    <t>77,076</t>
  </si>
  <si>
    <t>38 UN</t>
  </si>
  <si>
    <t>86937-3</t>
  </si>
  <si>
    <t>13.1.2.2</t>
  </si>
  <si>
    <t>86883</t>
  </si>
  <si>
    <t>SIFÃO DO TIPO FLEXÍVEL EM PVC 1  X 1.1/2  - FORNECIMENTO E INSTALAÇÃO. AF_01/2020</t>
  </si>
  <si>
    <t>14,51</t>
  </si>
  <si>
    <t>17,412</t>
  </si>
  <si>
    <t>86937-4</t>
  </si>
  <si>
    <t>13.1.2.3</t>
  </si>
  <si>
    <t>86901</t>
  </si>
  <si>
    <t>CUBA DE EMBUTIR OVAL EM LOUÇA BRANCA, 35 X 50CM OU EQUIVALENTE - FORNECIMENTO E INSTALAÇÃO. AF_01/2020</t>
  </si>
  <si>
    <t>148</t>
  </si>
  <si>
    <t>177,6</t>
  </si>
  <si>
    <t>86937-5</t>
  </si>
  <si>
    <t>86937-6</t>
  </si>
  <si>
    <t>86937-7</t>
  </si>
  <si>
    <t>86937-8</t>
  </si>
  <si>
    <t>86937-9</t>
  </si>
  <si>
    <t>86937-10</t>
  </si>
  <si>
    <t>86937-11</t>
  </si>
  <si>
    <t>86937-12</t>
  </si>
  <si>
    <t>86937-13</t>
  </si>
  <si>
    <t>86937-14</t>
  </si>
  <si>
    <t>86937-15</t>
  </si>
  <si>
    <t>86937-16</t>
  </si>
  <si>
    <t>13.1.3</t>
  </si>
  <si>
    <t>86920</t>
  </si>
  <si>
    <t>TANQUE DE LOUÇA BRANCA COM COLUNA, 30L OU EQUIVALENTE, INCLUSO SIFÃO FLEXÍVEL EM PVC, VÁLVULA PLÁSTICA E TORNEIRA DE METAL CROMADO PADRÃO POPULAR - FORNECIMENTO E INSTALAÇÃO. AF_01/2020</t>
  </si>
  <si>
    <t>791</t>
  </si>
  <si>
    <t>15820</t>
  </si>
  <si>
    <t>74,8046</t>
  </si>
  <si>
    <t>1496,0918</t>
  </si>
  <si>
    <t>716,1954</t>
  </si>
  <si>
    <t>14323,9082</t>
  </si>
  <si>
    <t>18984</t>
  </si>
  <si>
    <t>0,0025521293679</t>
  </si>
  <si>
    <t>86920-2</t>
  </si>
  <si>
    <t>13.1.3.1</t>
  </si>
  <si>
    <t>86872</t>
  </si>
  <si>
    <t>TANQUE DE LOUÇA BRANCA COM COLUNA, 30L OU EQUIVALENTE - FORNECIMENTO E INSTALAÇÃO. AF_01/2020</t>
  </si>
  <si>
    <t>708,33</t>
  </si>
  <si>
    <t>849,996</t>
  </si>
  <si>
    <t>20 UN</t>
  </si>
  <si>
    <t>86920-3</t>
  </si>
  <si>
    <t>13.1.3.2</t>
  </si>
  <si>
    <t>86879</t>
  </si>
  <si>
    <t>VÁLVULA EM PLÁSTICO 1 PARA PIA, TANQUE OU LAVATÓRIO, COM OU SEM LADRÃO - FORNECIMENTO E INSTALAÇÃO. AF_01/2020</t>
  </si>
  <si>
    <t>11,74</t>
  </si>
  <si>
    <t>14,088</t>
  </si>
  <si>
    <t>86920-4</t>
  </si>
  <si>
    <t>13.1.3.3</t>
  </si>
  <si>
    <t>86920-5</t>
  </si>
  <si>
    <t>13.1.3.4</t>
  </si>
  <si>
    <t>86913</t>
  </si>
  <si>
    <t>TORNEIRA CROMADA 1/2 OU 3/4 PARA TANQUE, PADRÃO POPULAR - FORNECIMENTO E INSTALAÇÃO. AF_01/2020</t>
  </si>
  <si>
    <t>56,42</t>
  </si>
  <si>
    <t>67,704</t>
  </si>
  <si>
    <t>86920-6</t>
  </si>
  <si>
    <t>86920-7</t>
  </si>
  <si>
    <t>86920-8</t>
  </si>
  <si>
    <t>86920-9</t>
  </si>
  <si>
    <t>86920-10</t>
  </si>
  <si>
    <t>86920-11</t>
  </si>
  <si>
    <t>86920-12</t>
  </si>
  <si>
    <t>86920-13</t>
  </si>
  <si>
    <t>86920-14</t>
  </si>
  <si>
    <t>86920-15</t>
  </si>
  <si>
    <t>86920-16</t>
  </si>
  <si>
    <t>LM.2</t>
  </si>
  <si>
    <t>13.2</t>
  </si>
  <si>
    <t>METAIS</t>
  </si>
  <si>
    <t>42181,15</t>
  </si>
  <si>
    <t>2027,1262</t>
  </si>
  <si>
    <t>40154,0238</t>
  </si>
  <si>
    <t>50617,38</t>
  </si>
  <si>
    <t>0,0068047883492</t>
  </si>
  <si>
    <t>13.2.1</t>
  </si>
  <si>
    <t>1128,4</t>
  </si>
  <si>
    <t>5,1346</t>
  </si>
  <si>
    <t>102,691</t>
  </si>
  <si>
    <t>51,2854</t>
  </si>
  <si>
    <t>1025,709</t>
  </si>
  <si>
    <t>1354,08</t>
  </si>
  <si>
    <t>0,0001820368381</t>
  </si>
  <si>
    <t>86913-2</t>
  </si>
  <si>
    <t>13.2.1.1</t>
  </si>
  <si>
    <t>3146</t>
  </si>
  <si>
    <t>FITA VEDA ROSCA EM ROLOS DE 18 MM X 10 M (L X C)</t>
  </si>
  <si>
    <t>2,51</t>
  </si>
  <si>
    <t>0,05</t>
  </si>
  <si>
    <t>0,0633</t>
  </si>
  <si>
    <t>0,42 UN</t>
  </si>
  <si>
    <t>86913-3</t>
  </si>
  <si>
    <t>13.2.1.2</t>
  </si>
  <si>
    <t>7604</t>
  </si>
  <si>
    <t>TORNEIRA METALICA CROMADA PARA TANQUE / JARDIM, SEM BICO , CANO LONGO, DE PAREDE, PADRAO POPULAR / USO GERAL, 1/2 " OU 3/4 " (REF 1126)</t>
  </si>
  <si>
    <t>49,8</t>
  </si>
  <si>
    <t>59,76</t>
  </si>
  <si>
    <t>86913-4</t>
  </si>
  <si>
    <t>13.2.1.3</t>
  </si>
  <si>
    <t>0,1525</t>
  </si>
  <si>
    <t>6,3172</t>
  </si>
  <si>
    <t>3,05 H</t>
  </si>
  <si>
    <t>86913-5</t>
  </si>
  <si>
    <t>13.2.1.4</t>
  </si>
  <si>
    <t>0,0481</t>
  </si>
  <si>
    <t>1,31</t>
  </si>
  <si>
    <t>1,5769</t>
  </si>
  <si>
    <t>0,962 H</t>
  </si>
  <si>
    <t>86913-6</t>
  </si>
  <si>
    <t>86913-7</t>
  </si>
  <si>
    <t>86913-8</t>
  </si>
  <si>
    <t>86913-9</t>
  </si>
  <si>
    <t>86913-10</t>
  </si>
  <si>
    <t>86913-11</t>
  </si>
  <si>
    <t>86913-12</t>
  </si>
  <si>
    <t>86913-13</t>
  </si>
  <si>
    <t>86913-14</t>
  </si>
  <si>
    <t>86913-15</t>
  </si>
  <si>
    <t>86913-16</t>
  </si>
  <si>
    <t>13.2.2</t>
  </si>
  <si>
    <t>86915</t>
  </si>
  <si>
    <t>TORNEIRA CROMADA DE MESA, 1/2 OU 3/4, PARA LAVATÓRIO, PADRÃO MÉDIO - FORNECIMENTO E INSTALAÇÃO. AF_01/2020</t>
  </si>
  <si>
    <t>144,14</t>
  </si>
  <si>
    <t>5477,32</t>
  </si>
  <si>
    <t>3,2218</t>
  </si>
  <si>
    <t>122,4279</t>
  </si>
  <si>
    <t>140,9182</t>
  </si>
  <si>
    <t>5354,8921</t>
  </si>
  <si>
    <t>6572,784</t>
  </si>
  <si>
    <t>0,00088361752397</t>
  </si>
  <si>
    <t>86915-2</t>
  </si>
  <si>
    <t>13.2.2.1</t>
  </si>
  <si>
    <t>0,798 UN</t>
  </si>
  <si>
    <t>86915-3</t>
  </si>
  <si>
    <t>13.2.2.2</t>
  </si>
  <si>
    <t>36791</t>
  </si>
  <si>
    <t>TORNEIRA METALICA CROMADA DE MESA PARA LAVATORIO, BICA ALTA, COM AREJADOR (REF 1195)</t>
  </si>
  <si>
    <t>139,96</t>
  </si>
  <si>
    <t>167,952</t>
  </si>
  <si>
    <t>86915-4</t>
  </si>
  <si>
    <t>13.2.2.3</t>
  </si>
  <si>
    <t>0,096</t>
  </si>
  <si>
    <t>3,31</t>
  </si>
  <si>
    <t>3,9767</t>
  </si>
  <si>
    <t>3,648 H</t>
  </si>
  <si>
    <t>86915-5</t>
  </si>
  <si>
    <t>13.2.2.4</t>
  </si>
  <si>
    <t>0,0303</t>
  </si>
  <si>
    <t>0,9934</t>
  </si>
  <si>
    <t>1,1514 H</t>
  </si>
  <si>
    <t>86915-6</t>
  </si>
  <si>
    <t>86915-7</t>
  </si>
  <si>
    <t>86915-8</t>
  </si>
  <si>
    <t>86915-9</t>
  </si>
  <si>
    <t>86915-10</t>
  </si>
  <si>
    <t>86915-11</t>
  </si>
  <si>
    <t>86915-12</t>
  </si>
  <si>
    <t>86915-13</t>
  </si>
  <si>
    <t>86915-14</t>
  </si>
  <si>
    <t>86915-15</t>
  </si>
  <si>
    <t>86915-16</t>
  </si>
  <si>
    <t>13.2.3</t>
  </si>
  <si>
    <t>86935</t>
  </si>
  <si>
    <t>CUBA DE EMBUTIR DE AÇO INOXIDÁVEL MÉDIA, INCLUSO VÁLVULA TIPO AMERICANA EM METAL CROMADO E SIFÃO FLEXÍVEL EM PVC - FORNECIMENTO E INSTALAÇÃO. AF_01/2020</t>
  </si>
  <si>
    <t>41</t>
  </si>
  <si>
    <t>289,72</t>
  </si>
  <si>
    <t>11878,52</t>
  </si>
  <si>
    <t>23,4654</t>
  </si>
  <si>
    <t>962,0809</t>
  </si>
  <si>
    <t>266,2546</t>
  </si>
  <si>
    <t>10916,4391</t>
  </si>
  <si>
    <t>14254,224</t>
  </si>
  <si>
    <t>0,0019162781124</t>
  </si>
  <si>
    <t>86935-2</t>
  </si>
  <si>
    <t>13.2.3.1</t>
  </si>
  <si>
    <t>86878</t>
  </si>
  <si>
    <t>VÁLVULA EM METAL CROMADO TIPO AMERICANA 3.1/2 X 1.1/2 PARA PIA - FORNECIMENTO E INSTALAÇÃO. AF_01/2020</t>
  </si>
  <si>
    <t>69,08</t>
  </si>
  <si>
    <t>82,896</t>
  </si>
  <si>
    <t>41 UN</t>
  </si>
  <si>
    <t>86935-3</t>
  </si>
  <si>
    <t>13.2.3.2</t>
  </si>
  <si>
    <t>86935-4</t>
  </si>
  <si>
    <t>13.2.3.3</t>
  </si>
  <si>
    <t>86900</t>
  </si>
  <si>
    <t>CUBA DE EMBUTIR RETANGULAR DE AÇO INOXIDÁVEL, 46 X 30 X 12 CM - FORNECIMENTO E INSTALAÇÃO. AF_01/2020</t>
  </si>
  <si>
    <t>206,13</t>
  </si>
  <si>
    <t>247,356</t>
  </si>
  <si>
    <t>86935-5</t>
  </si>
  <si>
    <t>86935-6</t>
  </si>
  <si>
    <t>86935-7</t>
  </si>
  <si>
    <t>86935-8</t>
  </si>
  <si>
    <t>86935-9</t>
  </si>
  <si>
    <t>86935-10</t>
  </si>
  <si>
    <t>86935-11</t>
  </si>
  <si>
    <t>86935-12</t>
  </si>
  <si>
    <t>86935-13</t>
  </si>
  <si>
    <t>86935-14</t>
  </si>
  <si>
    <t>86935-15</t>
  </si>
  <si>
    <t>86935-16</t>
  </si>
  <si>
    <t>13.2.4</t>
  </si>
  <si>
    <t>86908</t>
  </si>
  <si>
    <t>APARELHO MISTURADOR DE MESA PARA PIA DE COZINHA, PADRÃO MÉDIO - FORNECIMENTO E INSTALAÇÃO. AF_01/2020</t>
  </si>
  <si>
    <t>486,41</t>
  </si>
  <si>
    <t>19942,81</t>
  </si>
  <si>
    <t>7,6313</t>
  </si>
  <si>
    <t>312,8814</t>
  </si>
  <si>
    <t>478,7787</t>
  </si>
  <si>
    <t>19629,9286</t>
  </si>
  <si>
    <t>23931,372</t>
  </si>
  <si>
    <t>0,0032172333172</t>
  </si>
  <si>
    <t>86908-2</t>
  </si>
  <si>
    <t>13.2.4.1</t>
  </si>
  <si>
    <t>0,042</t>
  </si>
  <si>
    <t>0,1265</t>
  </si>
  <si>
    <t>1,722 UN</t>
  </si>
  <si>
    <t>86908-3</t>
  </si>
  <si>
    <t>13.2.4.2</t>
  </si>
  <si>
    <t>11771</t>
  </si>
  <si>
    <t>MISTURADOR DE PAREDE, DE METAL CROMADO, PARA COZINHA, BICA ALTA MOVEL, COM AREJADOR ARTICULADO (REF 1258)</t>
  </si>
  <si>
    <t>476,54</t>
  </si>
  <si>
    <t>571,848</t>
  </si>
  <si>
    <t>86908-4</t>
  </si>
  <si>
    <t>13.2.4.3</t>
  </si>
  <si>
    <t>7,82</t>
  </si>
  <si>
    <t>9,3867</t>
  </si>
  <si>
    <t>9,2906 H</t>
  </si>
  <si>
    <t>86908-5</t>
  </si>
  <si>
    <t>13.2.4.4</t>
  </si>
  <si>
    <t>0,0714</t>
  </si>
  <si>
    <t>1,95</t>
  </si>
  <si>
    <t>2,3408</t>
  </si>
  <si>
    <t>2,9274 H</t>
  </si>
  <si>
    <t>86908-6</t>
  </si>
  <si>
    <t>86908-7</t>
  </si>
  <si>
    <t>86908-8</t>
  </si>
  <si>
    <t>86908-9</t>
  </si>
  <si>
    <t>86908-10</t>
  </si>
  <si>
    <t>86908-11</t>
  </si>
  <si>
    <t>86908-12</t>
  </si>
  <si>
    <t>86908-13</t>
  </si>
  <si>
    <t>86908-14</t>
  </si>
  <si>
    <t>86908-15</t>
  </si>
  <si>
    <t>86908-16</t>
  </si>
  <si>
    <t>13.2.5</t>
  </si>
  <si>
    <t>100860</t>
  </si>
  <si>
    <t>CHUVEIRO ELÉTRICO COMUM CORPO PLÁSTICO, TIPO DUCHA  FORNECIMENTO E INSTALAÇÃO. AF_01/2020</t>
  </si>
  <si>
    <t>107,26</t>
  </si>
  <si>
    <t>3754,1</t>
  </si>
  <si>
    <t>15,0584</t>
  </si>
  <si>
    <t>527,0448</t>
  </si>
  <si>
    <t>92,2016</t>
  </si>
  <si>
    <t>3227,0552</t>
  </si>
  <si>
    <t>4504,92</t>
  </si>
  <si>
    <t>0,00060562255751</t>
  </si>
  <si>
    <t>100860-2</t>
  </si>
  <si>
    <t>13.2.5.1</t>
  </si>
  <si>
    <t>1368</t>
  </si>
  <si>
    <t>CHUVEIRO COMUM EM PLASTICO BRANCO, COM CANO, 3 TEMPERATURAS, 5500 W (110/220 V)</t>
  </si>
  <si>
    <t>87,95</t>
  </si>
  <si>
    <t>105,54</t>
  </si>
  <si>
    <t>35 UN</t>
  </si>
  <si>
    <t>100860-3</t>
  </si>
  <si>
    <t>13.2.5.2</t>
  </si>
  <si>
    <t>0,735 UN</t>
  </si>
  <si>
    <t>100860-4</t>
  </si>
  <si>
    <t>13.2.5.3</t>
  </si>
  <si>
    <t>0,4467</t>
  </si>
  <si>
    <t>15,42</t>
  </si>
  <si>
    <t>18,5041</t>
  </si>
  <si>
    <t>15,6345 H</t>
  </si>
  <si>
    <t>100860-5</t>
  </si>
  <si>
    <t>13.2.5.4</t>
  </si>
  <si>
    <t>0,1407</t>
  </si>
  <si>
    <t>3,84</t>
  </si>
  <si>
    <t>4,6127</t>
  </si>
  <si>
    <t>4,9245 H</t>
  </si>
  <si>
    <t>100860-6</t>
  </si>
  <si>
    <t>100860-7</t>
  </si>
  <si>
    <t>100860-8</t>
  </si>
  <si>
    <t>100860-9</t>
  </si>
  <si>
    <t>100860-10</t>
  </si>
  <si>
    <t>100860-11</t>
  </si>
  <si>
    <t>100860-12</t>
  </si>
  <si>
    <t>100860-13</t>
  </si>
  <si>
    <t>100860-14</t>
  </si>
  <si>
    <t>100860-15</t>
  </si>
  <si>
    <t>100860-16</t>
  </si>
  <si>
    <t>LM.3</t>
  </si>
  <si>
    <t>ES</t>
  </si>
  <si>
    <t>ESQUADRIAS</t>
  </si>
  <si>
    <t>369064,133</t>
  </si>
  <si>
    <t>63043,6568</t>
  </si>
  <si>
    <t>306020,4762</t>
  </si>
  <si>
    <t>442876,9596</t>
  </si>
  <si>
    <t>0,059538521647</t>
  </si>
  <si>
    <t>ES.1</t>
  </si>
  <si>
    <t>14.1</t>
  </si>
  <si>
    <t>KIT PORTA PRONTA</t>
  </si>
  <si>
    <t>141416,34</t>
  </si>
  <si>
    <t>28212,3587</t>
  </si>
  <si>
    <t>113203,9813</t>
  </si>
  <si>
    <t>169699,608</t>
  </si>
  <si>
    <t>0,022813703819</t>
  </si>
  <si>
    <t>14.1.1</t>
  </si>
  <si>
    <t>90842</t>
  </si>
  <si>
    <t>KIT DE PORTA DE MADEIRA PARA PINTURA, SEMI-OCA (LEVE OU MÉDIA), PADRÃO MÉDIO, 70X210CM, ESPESSURA DE 3,5CM, ITENS INCLUSOS: DOBRADIÇAS, MONTAGEM E INSTALAÇÃO DO BATENTE, FECHADURA COM EXECUÇÃO DO FURO - FORNECIMENTO E INSTALAÇÃO. AF_12/2019</t>
  </si>
  <si>
    <t>1277,43</t>
  </si>
  <si>
    <t>48542,34</t>
  </si>
  <si>
    <t>256,899</t>
  </si>
  <si>
    <t>9762,1635</t>
  </si>
  <si>
    <t>1020,531</t>
  </si>
  <si>
    <t>38780,1765</t>
  </si>
  <si>
    <t>58250,808</t>
  </si>
  <si>
    <t>0,0078309944057</t>
  </si>
  <si>
    <t>90842-2</t>
  </si>
  <si>
    <t>14.1.1.1</t>
  </si>
  <si>
    <t>90806</t>
  </si>
  <si>
    <t>BATENTE PARA PORTA DE MADEIRA, FIXAÇÃO COM ARGAMASSA, PADRÃO MÉDIO - FORNECIMENTO E INSTALAÇÃO. AF_12/2019</t>
  </si>
  <si>
    <t>508,68</t>
  </si>
  <si>
    <t>610,416</t>
  </si>
  <si>
    <t>90842-3</t>
  </si>
  <si>
    <t>14.1.1.2</t>
  </si>
  <si>
    <t>90821</t>
  </si>
  <si>
    <t>PORTA DE MADEIRA PARA PINTURA, SEMI-OCA (LEVE OU MÉDIA), 70X210CM, ESPESSURA DE 3,5CM, INCLUSO DOBRADIÇAS - FORNECIMENTO E INSTALAÇÃO. AF_12/2019</t>
  </si>
  <si>
    <t>402,81</t>
  </si>
  <si>
    <t>483,372</t>
  </si>
  <si>
    <t>90842-4</t>
  </si>
  <si>
    <t>14.1.1.3</t>
  </si>
  <si>
    <t>91306</t>
  </si>
  <si>
    <t>FECHADURA DE EMBUTIR PARA PORTAS INTERNAS, COMPLETA, ACABAMENTO PADRÃO MÉDIO, COM EXECUÇÃO DE FURO - FORNECIMENTO E INSTALAÇÃO. AF_12/2019</t>
  </si>
  <si>
    <t>219,24</t>
  </si>
  <si>
    <t>263,088</t>
  </si>
  <si>
    <t>90842-5</t>
  </si>
  <si>
    <t>14.1.1.4</t>
  </si>
  <si>
    <t>100659</t>
  </si>
  <si>
    <t>ALIZAR DE 5X1,5CM PARA PORTA FIXADO COM PREGOS, PADRÃO MÉDIO - FORNECIMENTO E INSTALAÇÃO. AF_12/2019</t>
  </si>
  <si>
    <t>9,8</t>
  </si>
  <si>
    <t>14,97</t>
  </si>
  <si>
    <t>146,7</t>
  </si>
  <si>
    <t>176,0472</t>
  </si>
  <si>
    <t>372,4 M</t>
  </si>
  <si>
    <t>90842-6</t>
  </si>
  <si>
    <t>90842-7</t>
  </si>
  <si>
    <t>90842-8</t>
  </si>
  <si>
    <t>90842-9</t>
  </si>
  <si>
    <t>90842-10</t>
  </si>
  <si>
    <t>90842-11</t>
  </si>
  <si>
    <t>90842-12</t>
  </si>
  <si>
    <t>90842-13</t>
  </si>
  <si>
    <t>90842-14</t>
  </si>
  <si>
    <t>90842-15</t>
  </si>
  <si>
    <t>90842-16</t>
  </si>
  <si>
    <t>14.1.2</t>
  </si>
  <si>
    <t>90843</t>
  </si>
  <si>
    <t>KIT DE PORTA DE MADEIRA PARA PINTURA, SEMI-OCA (LEVE OU MÉDIA), PADRÃO MÉDIO, 80X210CM, ESPESSURA DE 3,5CM, ITENS INCLUSOS: DOBRADIÇAS, MONTAGEM E INSTALAÇÃO DO BATENTE, FECHADURA COM EXECUÇÃO DO FURO - FORNECIMENTO E INSTALAÇÃO. AF_12/2019</t>
  </si>
  <si>
    <t>46</t>
  </si>
  <si>
    <t>1336,56</t>
  </si>
  <si>
    <t>61481,76</t>
  </si>
  <si>
    <t>269,7355</t>
  </si>
  <si>
    <t>12407,8324</t>
  </si>
  <si>
    <t>1066,8245</t>
  </si>
  <si>
    <t>49073,9276</t>
  </si>
  <si>
    <t>73778,112</t>
  </si>
  <si>
    <t>0,0099184200559</t>
  </si>
  <si>
    <t>90843-2</t>
  </si>
  <si>
    <t>14.1.2.1</t>
  </si>
  <si>
    <t>46 UN</t>
  </si>
  <si>
    <t>90843-3</t>
  </si>
  <si>
    <t>14.1.2.2</t>
  </si>
  <si>
    <t>515,1</t>
  </si>
  <si>
    <t>90843-4</t>
  </si>
  <si>
    <t>14.1.2.3</t>
  </si>
  <si>
    <t>90830</t>
  </si>
  <si>
    <t>FECHADURA DE EMBUTIR COM CILINDRO, EXTERNA, COMPLETA, ACABAMENTO PADRÃO MÉDIO, INCLUSO EXECUÇÃO DE FURO - FORNECIMENTO E INSTALAÇÃO. AF_12/2019</t>
  </si>
  <si>
    <t>248,93</t>
  </si>
  <si>
    <t>298,716</t>
  </si>
  <si>
    <t>90843-5</t>
  </si>
  <si>
    <t>14.1.2.4</t>
  </si>
  <si>
    <t>149,7</t>
  </si>
  <si>
    <t>179,64</t>
  </si>
  <si>
    <t>460 M</t>
  </si>
  <si>
    <t>90843-6</t>
  </si>
  <si>
    <t>90843-7</t>
  </si>
  <si>
    <t>90843-8</t>
  </si>
  <si>
    <t>90843-9</t>
  </si>
  <si>
    <t>90843-10</t>
  </si>
  <si>
    <t>90843-11</t>
  </si>
  <si>
    <t>90843-12</t>
  </si>
  <si>
    <t>90843-13</t>
  </si>
  <si>
    <t>90843-14</t>
  </si>
  <si>
    <t>90843-15</t>
  </si>
  <si>
    <t>90843-16</t>
  </si>
  <si>
    <t>14.1.3</t>
  </si>
  <si>
    <t>90844</t>
  </si>
  <si>
    <t>KIT DE PORTA DE MADEIRA PARA PINTURA, SEMI-OCA (LEVE OU MÉDIA), PADRÃO MÉDIO, 90X210CM, ESPESSURA DE 3,5CM, ITENS INCLUSOS: DOBRADIÇAS, MONTAGEM E INSTALAÇÃO DO BATENTE, FECHADURA COM EXECUÇÃO DO FURO - FORNECIMENTO E INSTALAÇÃO. AF_12/2019</t>
  </si>
  <si>
    <t>22</t>
  </si>
  <si>
    <t>1426,92</t>
  </si>
  <si>
    <t>31392,24</t>
  </si>
  <si>
    <t>274,6529</t>
  </si>
  <si>
    <t>6042,3628</t>
  </si>
  <si>
    <t>1152,2671</t>
  </si>
  <si>
    <t>25349,8772</t>
  </si>
  <si>
    <t>37670,688</t>
  </si>
  <si>
    <t>0,0050642893569</t>
  </si>
  <si>
    <t>90844-2</t>
  </si>
  <si>
    <t>14.1.3.1</t>
  </si>
  <si>
    <t>22 UN</t>
  </si>
  <si>
    <t>90844-3</t>
  </si>
  <si>
    <t>14.1.3.2</t>
  </si>
  <si>
    <t>90823</t>
  </si>
  <si>
    <t>PORTA DE MADEIRA PARA PINTURA, SEMI-OCA (LEVE OU MÉDIA), 90X210CM, ESPESSURA DE 3,5CM, INCLUSO DOBRADIÇAS - FORNECIMENTO E INSTALAÇÃO. AF_12/2019</t>
  </si>
  <si>
    <t>516,62</t>
  </si>
  <si>
    <t>619,944</t>
  </si>
  <si>
    <t>90844-4</t>
  </si>
  <si>
    <t>14.1.3.3</t>
  </si>
  <si>
    <t>90844-5</t>
  </si>
  <si>
    <t>14.1.3.4</t>
  </si>
  <si>
    <t>10,2</t>
  </si>
  <si>
    <t>152,69</t>
  </si>
  <si>
    <t>183,2328</t>
  </si>
  <si>
    <t>224,4 M</t>
  </si>
  <si>
    <t>90844-6</t>
  </si>
  <si>
    <t>90844-7</t>
  </si>
  <si>
    <t>90844-8</t>
  </si>
  <si>
    <t>90844-9</t>
  </si>
  <si>
    <t>90844-10</t>
  </si>
  <si>
    <t>90844-11</t>
  </si>
  <si>
    <t>90844-12</t>
  </si>
  <si>
    <t>90844-13</t>
  </si>
  <si>
    <t>90844-14</t>
  </si>
  <si>
    <t>90844-15</t>
  </si>
  <si>
    <t>90844-16</t>
  </si>
  <si>
    <t>ES.2</t>
  </si>
  <si>
    <t>14.2</t>
  </si>
  <si>
    <t>ESQUADRIAS DE ALUMÍNIO</t>
  </si>
  <si>
    <t>211779,32</t>
  </si>
  <si>
    <t>32160,274</t>
  </si>
  <si>
    <t>179619,046</t>
  </si>
  <si>
    <t>254135,184</t>
  </si>
  <si>
    <t>0,034164868652</t>
  </si>
  <si>
    <t>14.2.1</t>
  </si>
  <si>
    <t>94589</t>
  </si>
  <si>
    <t>CONTRAMARCO DE ALUMÍNIO, FIXAÇÃO COM ARGAMASSA - FORNECIMENTO E INSTALAÇÃO. AF_12/2019</t>
  </si>
  <si>
    <t>735</t>
  </si>
  <si>
    <t>23,33</t>
  </si>
  <si>
    <t>17147,55</t>
  </si>
  <si>
    <t>12,1573</t>
  </si>
  <si>
    <t>8935,6311</t>
  </si>
  <si>
    <t>11,1727</t>
  </si>
  <si>
    <t>8211,9189</t>
  </si>
  <si>
    <t>20577,06</t>
  </si>
  <si>
    <t>0,0027662936752</t>
  </si>
  <si>
    <t>94589-2</t>
  </si>
  <si>
    <t>14.2.1.1</t>
  </si>
  <si>
    <t>43657</t>
  </si>
  <si>
    <t>CONTRAMARCO DE ALUMINIO (PERFIL 25) PARA ESQUADRIAS, TIPO CONVENCIONAL / CADEIRINHA, 60 MM (CM-060), INCLUSO CONEXOES, GRAPAS E TRAVAMENTOS</t>
  </si>
  <si>
    <t>6,39</t>
  </si>
  <si>
    <t>7,668</t>
  </si>
  <si>
    <t>735 M</t>
  </si>
  <si>
    <t>94589-3</t>
  </si>
  <si>
    <t>14.2.1.2</t>
  </si>
  <si>
    <t>0,347</t>
  </si>
  <si>
    <t>13,2207</t>
  </si>
  <si>
    <t>255,045 H</t>
  </si>
  <si>
    <t>94589-4</t>
  </si>
  <si>
    <t>14.2.1.3</t>
  </si>
  <si>
    <t>0,174</t>
  </si>
  <si>
    <t>5,7044</t>
  </si>
  <si>
    <t>127,89 H</t>
  </si>
  <si>
    <t>94589-5</t>
  </si>
  <si>
    <t>14.2.1.4</t>
  </si>
  <si>
    <t>88629</t>
  </si>
  <si>
    <t>ARGAMASSA TRAÇO 1:3 (EM VOLUME DE CIMENTO E AREIA MÉDIA ÚMIDA), PREPARO MANUAL. AF_08/2019</t>
  </si>
  <si>
    <t>593,45</t>
  </si>
  <si>
    <t>1,18</t>
  </si>
  <si>
    <t>1,4243</t>
  </si>
  <si>
    <t>1,47 M3</t>
  </si>
  <si>
    <t>94589-6</t>
  </si>
  <si>
    <t>94589-7</t>
  </si>
  <si>
    <t>94589-8</t>
  </si>
  <si>
    <t>94589-9</t>
  </si>
  <si>
    <t>94589-10</t>
  </si>
  <si>
    <t>94589-11</t>
  </si>
  <si>
    <t>94589-12</t>
  </si>
  <si>
    <t>94589-13</t>
  </si>
  <si>
    <t>94589-14</t>
  </si>
  <si>
    <t>94589-15</t>
  </si>
  <si>
    <t>94589-16</t>
  </si>
  <si>
    <t>14.2.2</t>
  </si>
  <si>
    <t>100702</t>
  </si>
  <si>
    <t>PORTA DE CORRER DE ALUMÍNIO, COM DUAS FOLHAS PARA VIDRO, INCLUSO VIDRO LISO INCOLOR, FECHADURA E PUXADOR, SEM ALIZAR. AF_12/2019</t>
  </si>
  <si>
    <t>245</t>
  </si>
  <si>
    <t>463,4</t>
  </si>
  <si>
    <t>113533</t>
  </si>
  <si>
    <t>9,5514</t>
  </si>
  <si>
    <t>2340,1035</t>
  </si>
  <si>
    <t>453,8486</t>
  </si>
  <si>
    <t>111192,8965</t>
  </si>
  <si>
    <t>136239,6</t>
  </si>
  <si>
    <t>0,018315480627</t>
  </si>
  <si>
    <t>100702-2</t>
  </si>
  <si>
    <t>14.2.2.1</t>
  </si>
  <si>
    <t>142</t>
  </si>
  <si>
    <t>SELANTE ELASTICO MONOCOMPONENTE A BASE DE POLIURETANO (PU) PARA JUNTAS DIVERSAS</t>
  </si>
  <si>
    <t>0,0637</t>
  </si>
  <si>
    <t>310ML</t>
  </si>
  <si>
    <t>33,57</t>
  </si>
  <si>
    <t>2,13</t>
  </si>
  <si>
    <t>2,5661</t>
  </si>
  <si>
    <t>15,6065 310ML</t>
  </si>
  <si>
    <t>100702-3</t>
  </si>
  <si>
    <t>14.2.2.2</t>
  </si>
  <si>
    <t>4922</t>
  </si>
  <si>
    <t>PORTA DE CORRER EM ALUMINIO, DUAS FOLHAS MOVEIS COM VIDRO, FECHADURA E PUXADOR EMBUTIDO, ACABAMENTO ANODIZADO NATURAL, SEM GUARNICAO/ALIZAR/VISTA</t>
  </si>
  <si>
    <t>392,2</t>
  </si>
  <si>
    <t>470,64</t>
  </si>
  <si>
    <t>245 M2</t>
  </si>
  <si>
    <t>100702-4</t>
  </si>
  <si>
    <t>14.2.2.3</t>
  </si>
  <si>
    <t>4,72</t>
  </si>
  <si>
    <t>2,59</t>
  </si>
  <si>
    <t>3,1152</t>
  </si>
  <si>
    <t>1156,4 UN</t>
  </si>
  <si>
    <t>100702-5</t>
  </si>
  <si>
    <t>14.2.2.4</t>
  </si>
  <si>
    <t>36888</t>
  </si>
  <si>
    <t>GUARNICAO / MOLDURA / ARREMATE DE ACABAMENTO PARA ESQUADRIA, EM ALUMINIO PERFIL 25, ACABAMENTO ANODIZADO BRANCO OU BRILHANTE, PARA 1 FACE</t>
  </si>
  <si>
    <t>2,202</t>
  </si>
  <si>
    <t>24,38</t>
  </si>
  <si>
    <t>53,68</t>
  </si>
  <si>
    <t>64,4217</t>
  </si>
  <si>
    <t>539,49 M</t>
  </si>
  <si>
    <t>100702-6</t>
  </si>
  <si>
    <t>14.2.2.5</t>
  </si>
  <si>
    <t>0,282</t>
  </si>
  <si>
    <t>10,7442</t>
  </si>
  <si>
    <t>69,09 H</t>
  </si>
  <si>
    <t>100702-7</t>
  </si>
  <si>
    <t>14.2.2.6</t>
  </si>
  <si>
    <t>3,85</t>
  </si>
  <si>
    <t>4,6225</t>
  </si>
  <si>
    <t>34,545 H</t>
  </si>
  <si>
    <t>100702-8</t>
  </si>
  <si>
    <t>100702-9</t>
  </si>
  <si>
    <t>100702-10</t>
  </si>
  <si>
    <t>100702-11</t>
  </si>
  <si>
    <t>100702-12</t>
  </si>
  <si>
    <t>100702-13</t>
  </si>
  <si>
    <t>100702-14</t>
  </si>
  <si>
    <t>100702-15</t>
  </si>
  <si>
    <t>100702-16</t>
  </si>
  <si>
    <t>14.2.3</t>
  </si>
  <si>
    <t>94570</t>
  </si>
  <si>
    <t>JANELA DE ALUMÍNIO DE CORRER COM 2 FOLHAS PARA VIDROS, COM VIDROS, BATENTE, ACABAMENTO COM ACETATO OU BRILHANTE E FERRAGENS. EXCLUSIVE ALIZAR E CONTRAMARCO. FORNECIMENTO E INSTALAÇÃO. AF_12/2019</t>
  </si>
  <si>
    <t>127</t>
  </si>
  <si>
    <t>316,36</t>
  </si>
  <si>
    <t>40177,72</t>
  </si>
  <si>
    <t>17,5833</t>
  </si>
  <si>
    <t>2233,0835</t>
  </si>
  <si>
    <t>298,7767</t>
  </si>
  <si>
    <t>37944,6365</t>
  </si>
  <si>
    <t>48213,264</t>
  </si>
  <si>
    <t>0,0064815890737</t>
  </si>
  <si>
    <t>94570-2</t>
  </si>
  <si>
    <t>14.2.3.1</t>
  </si>
  <si>
    <t>4377</t>
  </si>
  <si>
    <t>PARAFUSO DE ACO ZINCADO COM ROSCA SOBERBA, CABECA CHATA E FENDA SIMPLES, DIAMETRO 4,2 MM, COMPRIMENTO * 32 * MM</t>
  </si>
  <si>
    <t>9,2</t>
  </si>
  <si>
    <t>1,93</t>
  </si>
  <si>
    <t>2,3184</t>
  </si>
  <si>
    <t>1168,4 UN</t>
  </si>
  <si>
    <t>94570-3</t>
  </si>
  <si>
    <t>14.2.3.2</t>
  </si>
  <si>
    <t>36896</t>
  </si>
  <si>
    <t>JANELA DE CORRER, EM ALUMINIO PERFIL 25, 100 X 120 CM (A X L), 2 FLS MOVEIS, SEM BANDEIRA, ACABAMENTO BRANCO OU BRILHANTE, BATENTE DE 6 A 7 CM, COM VIDRO 4 MM, SEM GUARNICAO</t>
  </si>
  <si>
    <t>0,8333</t>
  </si>
  <si>
    <t>332,5</t>
  </si>
  <si>
    <t>277,07</t>
  </si>
  <si>
    <t>332,4867</t>
  </si>
  <si>
    <t>105,8291 UN</t>
  </si>
  <si>
    <t>94570-4</t>
  </si>
  <si>
    <t>14.2.3.3</t>
  </si>
  <si>
    <t>39961</t>
  </si>
  <si>
    <t>SILICONE ACETICO USO GERAL INCOLOR 280 G</t>
  </si>
  <si>
    <t>0,6233</t>
  </si>
  <si>
    <t>13,82</t>
  </si>
  <si>
    <t>16,5898</t>
  </si>
  <si>
    <t>79,1591 UN</t>
  </si>
  <si>
    <t>94570-5</t>
  </si>
  <si>
    <t>14.2.3.4</t>
  </si>
  <si>
    <t>16,47</t>
  </si>
  <si>
    <t>19,7739</t>
  </si>
  <si>
    <t>65,913 H</t>
  </si>
  <si>
    <t>94570-6</t>
  </si>
  <si>
    <t>14.2.3.5</t>
  </si>
  <si>
    <t>0,259</t>
  </si>
  <si>
    <t>7,07</t>
  </si>
  <si>
    <t>8,4911</t>
  </si>
  <si>
    <t>32,893 H</t>
  </si>
  <si>
    <t>94570-7</t>
  </si>
  <si>
    <t>94570-8</t>
  </si>
  <si>
    <t>94570-9</t>
  </si>
  <si>
    <t>94570-10</t>
  </si>
  <si>
    <t>94570-11</t>
  </si>
  <si>
    <t>94570-12</t>
  </si>
  <si>
    <t>94570-13</t>
  </si>
  <si>
    <t>94570-14</t>
  </si>
  <si>
    <t>94570-15</t>
  </si>
  <si>
    <t>94570-16</t>
  </si>
  <si>
    <t>14.2.4</t>
  </si>
  <si>
    <t>94569</t>
  </si>
  <si>
    <t>JANELA DE ALUMÍNIO TIPO MAXIM-AR, COM VIDROS, BATENTE E FERRAGENS. EXCLUSIVE ALIZAR, ACABAMENTO E CONTRAMARCO. FORNECIMENTO E INSTALAÇÃO. AF_12/2019</t>
  </si>
  <si>
    <t>620,35</t>
  </si>
  <si>
    <t>8064,55</t>
  </si>
  <si>
    <t>57,8884</t>
  </si>
  <si>
    <t>752,5492</t>
  </si>
  <si>
    <t>562,4616</t>
  </si>
  <si>
    <t>7312,0008</t>
  </si>
  <si>
    <t>9677,46</t>
  </si>
  <si>
    <t>0,0013009971488</t>
  </si>
  <si>
    <t>94569-2</t>
  </si>
  <si>
    <t>14.2.4.1</t>
  </si>
  <si>
    <t>24,4</t>
  </si>
  <si>
    <t>5,12</t>
  </si>
  <si>
    <t>6,1488</t>
  </si>
  <si>
    <t>317,2 UN</t>
  </si>
  <si>
    <t>94569-3</t>
  </si>
  <si>
    <t>14.2.4.2</t>
  </si>
  <si>
    <t>34381</t>
  </si>
  <si>
    <t>JANELA MAXIM AR, EM ALUMINIO PERFIL 25, 60 X 80 CM (A X L), ACABAMENTO BRANCO OU BRILHANTE, BATENTE DE 4 A 5 CM, COM VIDRO 4 MM, SEM GUARNICAO/ALIZAR</t>
  </si>
  <si>
    <t>2,0833</t>
  </si>
  <si>
    <t>244,85</t>
  </si>
  <si>
    <t>510,09</t>
  </si>
  <si>
    <t>612,1152</t>
  </si>
  <si>
    <t>27,0829 UN</t>
  </si>
  <si>
    <t>94569-4</t>
  </si>
  <si>
    <t>14.2.4.3</t>
  </si>
  <si>
    <t>1,2467</t>
  </si>
  <si>
    <t>33,1822</t>
  </si>
  <si>
    <t>16,2071 UN</t>
  </si>
  <si>
    <t>94569-5</t>
  </si>
  <si>
    <t>14.2.4.4</t>
  </si>
  <si>
    <t>1,707</t>
  </si>
  <si>
    <t>54,19</t>
  </si>
  <si>
    <t>65,0367</t>
  </si>
  <si>
    <t>22,191 H</t>
  </si>
  <si>
    <t>94569-6</t>
  </si>
  <si>
    <t>14.2.4.5</t>
  </si>
  <si>
    <t>0,853</t>
  </si>
  <si>
    <t>23,3</t>
  </si>
  <si>
    <t>27,9648</t>
  </si>
  <si>
    <t>11,089 H</t>
  </si>
  <si>
    <t>94569-7</t>
  </si>
  <si>
    <t>94569-8</t>
  </si>
  <si>
    <t>94569-9</t>
  </si>
  <si>
    <t>94569-10</t>
  </si>
  <si>
    <t>94569-11</t>
  </si>
  <si>
    <t>94569-12</t>
  </si>
  <si>
    <t>94569-13</t>
  </si>
  <si>
    <t>94569-14</t>
  </si>
  <si>
    <t>94569-15</t>
  </si>
  <si>
    <t>94569-16</t>
  </si>
  <si>
    <t>14.2.5</t>
  </si>
  <si>
    <t>99862</t>
  </si>
  <si>
    <t>GRADIL EM ALUMÍNIO FIXADO EM VÃOS DE JANELAS, FORMADO POR TUBOS DE 3/4". AF_04/2019</t>
  </si>
  <si>
    <t>50</t>
  </si>
  <si>
    <t>657,13</t>
  </si>
  <si>
    <t>32856,5</t>
  </si>
  <si>
    <t>357,9781</t>
  </si>
  <si>
    <t>17898,9067</t>
  </si>
  <si>
    <t>299,1519</t>
  </si>
  <si>
    <t>14957,5933</t>
  </si>
  <si>
    <t>39427,8</t>
  </si>
  <si>
    <t>0,0053005081274</t>
  </si>
  <si>
    <t>99862-2</t>
  </si>
  <si>
    <t>14.2.5.1</t>
  </si>
  <si>
    <t>5,333</t>
  </si>
  <si>
    <t>2,93</t>
  </si>
  <si>
    <t>3,5198</t>
  </si>
  <si>
    <t>266,65 UN</t>
  </si>
  <si>
    <t>99862-3</t>
  </si>
  <si>
    <t>14.2.5.2</t>
  </si>
  <si>
    <t>11002</t>
  </si>
  <si>
    <t>ELETRODO REVESTIDO AWS - E6013, DIAMETRO IGUAL A 2,50 MM</t>
  </si>
  <si>
    <t>0,115</t>
  </si>
  <si>
    <t>41,69</t>
  </si>
  <si>
    <t>4,79</t>
  </si>
  <si>
    <t>5,7532</t>
  </si>
  <si>
    <t>5,75 KG</t>
  </si>
  <si>
    <t>99862-4</t>
  </si>
  <si>
    <t>14.2.5.3</t>
  </si>
  <si>
    <t>34360</t>
  </si>
  <si>
    <t>PERFIL DE ALUMINIO ANODIZADO</t>
  </si>
  <si>
    <t>4,327</t>
  </si>
  <si>
    <t>38,68</t>
  </si>
  <si>
    <t>167,36</t>
  </si>
  <si>
    <t>200,842</t>
  </si>
  <si>
    <t>216,35 KG</t>
  </si>
  <si>
    <t>99862-5</t>
  </si>
  <si>
    <t>14.2.5.4</t>
  </si>
  <si>
    <t>88251</t>
  </si>
  <si>
    <t>AUXILIAR DE SERRALHEIRO COM ENCARGOS COMPLEMENTARES</t>
  </si>
  <si>
    <t>7,259</t>
  </si>
  <si>
    <t>197,95</t>
  </si>
  <si>
    <t>237,5435</t>
  </si>
  <si>
    <t>362,95 H</t>
  </si>
  <si>
    <t>99862-6</t>
  </si>
  <si>
    <t>14.2.5.5</t>
  </si>
  <si>
    <t>88315</t>
  </si>
  <si>
    <t>SERRALHEIRO COM ENCARGOS COMPLEMENTARES</t>
  </si>
  <si>
    <t>8,837</t>
  </si>
  <si>
    <t>32,15</t>
  </si>
  <si>
    <t>284,1</t>
  </si>
  <si>
    <t>340,9315</t>
  </si>
  <si>
    <t>441,85 H</t>
  </si>
  <si>
    <t>99862-7</t>
  </si>
  <si>
    <t>99862-8</t>
  </si>
  <si>
    <t>99862-9</t>
  </si>
  <si>
    <t>99862-10</t>
  </si>
  <si>
    <t>99862-11</t>
  </si>
  <si>
    <t>99862-12</t>
  </si>
  <si>
    <t>99862-13</t>
  </si>
  <si>
    <t>99862-14</t>
  </si>
  <si>
    <t>99862-15</t>
  </si>
  <si>
    <t>99862-16</t>
  </si>
  <si>
    <t>ES.3</t>
  </si>
  <si>
    <t>14.3</t>
  </si>
  <si>
    <t>ESQUADRIAS DE AÇO</t>
  </si>
  <si>
    <t>15868,473</t>
  </si>
  <si>
    <t>2671,0241</t>
  </si>
  <si>
    <t>13197,4489</t>
  </si>
  <si>
    <t>19042,1676</t>
  </si>
  <si>
    <t>0,0025599491761</t>
  </si>
  <si>
    <t>14.3.1</t>
  </si>
  <si>
    <t>90838</t>
  </si>
  <si>
    <t>PORTA CORTA-FOGO 90X210X4CM - FORNECIMENTO E INSTALAÇÃO. AF_12/2019</t>
  </si>
  <si>
    <t>1691,76</t>
  </si>
  <si>
    <t>10150,56</t>
  </si>
  <si>
    <t>124,6681</t>
  </si>
  <si>
    <t>748,0086</t>
  </si>
  <si>
    <t>1567,0919</t>
  </si>
  <si>
    <t>9402,5514</t>
  </si>
  <si>
    <t>12180,672</t>
  </si>
  <si>
    <t>0,0016375184751</t>
  </si>
  <si>
    <t>90838-2</t>
  </si>
  <si>
    <t>14.3.1.1</t>
  </si>
  <si>
    <t>11154</t>
  </si>
  <si>
    <t>PORTA CORTA-FOGO PARA SAIDA DE EMERGENCIA, COM FECHADURA, VAO LUZ DE 90 X 210 CM, CLASSE P-90 (NBR 11742)</t>
  </si>
  <si>
    <t>1509,43</t>
  </si>
  <si>
    <t>1811,316</t>
  </si>
  <si>
    <t>6 UN</t>
  </si>
  <si>
    <t>90838-3</t>
  </si>
  <si>
    <t>14.3.1.2</t>
  </si>
  <si>
    <t>3,464</t>
  </si>
  <si>
    <t>109,98</t>
  </si>
  <si>
    <t>131,9784</t>
  </si>
  <si>
    <t>20,784 H</t>
  </si>
  <si>
    <t>90838-4</t>
  </si>
  <si>
    <t>14.3.1.3</t>
  </si>
  <si>
    <t>1,732</t>
  </si>
  <si>
    <t>47,31</t>
  </si>
  <si>
    <t>56,7819</t>
  </si>
  <si>
    <t>10,392 H</t>
  </si>
  <si>
    <t>90838-5</t>
  </si>
  <si>
    <t>14.3.1.4</t>
  </si>
  <si>
    <t>0,0422</t>
  </si>
  <si>
    <t>25,04</t>
  </si>
  <si>
    <t>30,0523</t>
  </si>
  <si>
    <t>0,2532 M3</t>
  </si>
  <si>
    <t>90838-6</t>
  </si>
  <si>
    <t>90838-7</t>
  </si>
  <si>
    <t>90838-8</t>
  </si>
  <si>
    <t>90838-9</t>
  </si>
  <si>
    <t>90838-10</t>
  </si>
  <si>
    <t>90838-11</t>
  </si>
  <si>
    <t>90838-12</t>
  </si>
  <si>
    <t>90838-13</t>
  </si>
  <si>
    <t>90838-14</t>
  </si>
  <si>
    <t>90838-15</t>
  </si>
  <si>
    <t>90838-16</t>
  </si>
  <si>
    <t>14.3.2</t>
  </si>
  <si>
    <t>99855</t>
  </si>
  <si>
    <t>CORRIMÃO SIMPLES, DIÂMETRO EXTERNO = 1 1/2, EM AÇO GALVANIZADO. AF_04/2019_PS</t>
  </si>
  <si>
    <t>50,1</t>
  </si>
  <si>
    <t>114,13</t>
  </si>
  <si>
    <t>5717,913</t>
  </si>
  <si>
    <t>38,3835</t>
  </si>
  <si>
    <t>1923,0155</t>
  </si>
  <si>
    <t>75,7465</t>
  </si>
  <si>
    <t>3794,8975</t>
  </si>
  <si>
    <t>6861,4956</t>
  </si>
  <si>
    <t>0,00092243070102</t>
  </si>
  <si>
    <t>99855-2</t>
  </si>
  <si>
    <t>14.3.2.1</t>
  </si>
  <si>
    <t>3,273</t>
  </si>
  <si>
    <t>1,8</t>
  </si>
  <si>
    <t>2,1602</t>
  </si>
  <si>
    <t>163,9773 UN</t>
  </si>
  <si>
    <t>99855-3</t>
  </si>
  <si>
    <t>14.3.2.2</t>
  </si>
  <si>
    <t>0,2001</t>
  </si>
  <si>
    <t>0,2004 KG</t>
  </si>
  <si>
    <t>99855-4</t>
  </si>
  <si>
    <t>14.3.2.3</t>
  </si>
  <si>
    <t>11033</t>
  </si>
  <si>
    <t>SUPORTE PARA CALHA DE 150 MM EM FERRO GALVANIZADO</t>
  </si>
  <si>
    <t>1,091</t>
  </si>
  <si>
    <t>7,85</t>
  </si>
  <si>
    <t>8,56</t>
  </si>
  <si>
    <t>10,2772</t>
  </si>
  <si>
    <t>54,6591 UN</t>
  </si>
  <si>
    <t>99855-5</t>
  </si>
  <si>
    <t>14.3.2.4</t>
  </si>
  <si>
    <t>21012</t>
  </si>
  <si>
    <t>TUBO ACO GALVANIZADO COM COSTURA, CLASSE LEVE, DN 40 MM ( 1 1/2"),  E = 3,00 MM,  *3,48* KG/M (NBR 5580)</t>
  </si>
  <si>
    <t>1,029</t>
  </si>
  <si>
    <t>50,47</t>
  </si>
  <si>
    <t>51,93</t>
  </si>
  <si>
    <t>62,3204</t>
  </si>
  <si>
    <t>51,5529 M</t>
  </si>
  <si>
    <t>99855-6</t>
  </si>
  <si>
    <t>14.3.2.5</t>
  </si>
  <si>
    <t>0,778</t>
  </si>
  <si>
    <t>21,21</t>
  </si>
  <si>
    <t>25,4593</t>
  </si>
  <si>
    <t>38,9778 H</t>
  </si>
  <si>
    <t>99855-7</t>
  </si>
  <si>
    <t>14.3.2.6</t>
  </si>
  <si>
    <t>30,47</t>
  </si>
  <si>
    <t>36,5738</t>
  </si>
  <si>
    <t>47,4948 H</t>
  </si>
  <si>
    <t>99855-8</t>
  </si>
  <si>
    <t>99855-9</t>
  </si>
  <si>
    <t>99855-10</t>
  </si>
  <si>
    <t>99855-11</t>
  </si>
  <si>
    <t>99855-12</t>
  </si>
  <si>
    <t>99855-13</t>
  </si>
  <si>
    <t>99855-14</t>
  </si>
  <si>
    <t>99855-15</t>
  </si>
  <si>
    <t>99855-16</t>
  </si>
  <si>
    <t>PT</t>
  </si>
  <si>
    <t>PINTURAS</t>
  </si>
  <si>
    <t>166057,4887</t>
  </si>
  <si>
    <t>60001,3393</t>
  </si>
  <si>
    <t>106056,1494</t>
  </si>
  <si>
    <t>199268,9865</t>
  </si>
  <si>
    <t>0,026788887085</t>
  </si>
  <si>
    <t>PT.1</t>
  </si>
  <si>
    <t>15.1</t>
  </si>
  <si>
    <t>PINTURA INTERNA</t>
  </si>
  <si>
    <t>93431,9064</t>
  </si>
  <si>
    <t>39348,6243</t>
  </si>
  <si>
    <t>54083,2821</t>
  </si>
  <si>
    <t>112118,2876</t>
  </si>
  <si>
    <t>0,015072712522</t>
  </si>
  <si>
    <t>15.1.1</t>
  </si>
  <si>
    <t>51972,585</t>
  </si>
  <si>
    <t>5,5533</t>
  </si>
  <si>
    <t>20183,1738</t>
  </si>
  <si>
    <t>8,7467</t>
  </si>
  <si>
    <t>31789,4112</t>
  </si>
  <si>
    <t>62367,1019</t>
  </si>
  <si>
    <t>0,0083843717051</t>
  </si>
  <si>
    <t>88489-2</t>
  </si>
  <si>
    <t>15.1.1.1</t>
  </si>
  <si>
    <t>7356</t>
  </si>
  <si>
    <t>TINTA LATEX ACRILICA PREMIUM, COR BRANCO FOSCO</t>
  </si>
  <si>
    <t>0,2285</t>
  </si>
  <si>
    <t>30,14</t>
  </si>
  <si>
    <t>6,88</t>
  </si>
  <si>
    <t>8,2644</t>
  </si>
  <si>
    <t>830,471 L</t>
  </si>
  <si>
    <t>88489-3</t>
  </si>
  <si>
    <t>15.1.1.2</t>
  </si>
  <si>
    <t>88310</t>
  </si>
  <si>
    <t>PINTOR COM ENCARGOS COMPLEMENTARES</t>
  </si>
  <si>
    <t>0,1631</t>
  </si>
  <si>
    <t>36,48</t>
  </si>
  <si>
    <t>5,94</t>
  </si>
  <si>
    <t>7,1399</t>
  </si>
  <si>
    <t>592,7782 H</t>
  </si>
  <si>
    <t>88489-4</t>
  </si>
  <si>
    <t>15.1.1.3</t>
  </si>
  <si>
    <t>0,0544</t>
  </si>
  <si>
    <t>1,48</t>
  </si>
  <si>
    <t>1,7834</t>
  </si>
  <si>
    <t>197,7139 H</t>
  </si>
  <si>
    <t>88489-5</t>
  </si>
  <si>
    <t>88489-6</t>
  </si>
  <si>
    <t>88489-7</t>
  </si>
  <si>
    <t>88489-8</t>
  </si>
  <si>
    <t>88489-9</t>
  </si>
  <si>
    <t>88489-10</t>
  </si>
  <si>
    <t>88489-11</t>
  </si>
  <si>
    <t>88489-12</t>
  </si>
  <si>
    <t>88489-13</t>
  </si>
  <si>
    <t>88489-14</t>
  </si>
  <si>
    <t>88489-15</t>
  </si>
  <si>
    <t>88489-16</t>
  </si>
  <si>
    <t>15.1.2</t>
  </si>
  <si>
    <t>88488</t>
  </si>
  <si>
    <t>PINTURA LÁTEX ACRÍLICA PREMIUM, APLICAÇÃO MANUAL EM TETO, DUAS DEMÃOS. AF_04/2023</t>
  </si>
  <si>
    <t>2002,99</t>
  </si>
  <si>
    <t>17,22</t>
  </si>
  <si>
    <t>34491,4878</t>
  </si>
  <si>
    <t>7,746</t>
  </si>
  <si>
    <t>15515,1325</t>
  </si>
  <si>
    <t>9,474</t>
  </si>
  <si>
    <t>18976,3553</t>
  </si>
  <si>
    <t>41389,7854</t>
  </si>
  <si>
    <t>0,0055642692134</t>
  </si>
  <si>
    <t>88488-2</t>
  </si>
  <si>
    <t>15.1.2.1</t>
  </si>
  <si>
    <t>457,6832 L</t>
  </si>
  <si>
    <t>88488-3</t>
  </si>
  <si>
    <t>15.1.2.2</t>
  </si>
  <si>
    <t>0,227</t>
  </si>
  <si>
    <t>8,28</t>
  </si>
  <si>
    <t>9,9372</t>
  </si>
  <si>
    <t>454,6787 H</t>
  </si>
  <si>
    <t>88488-4</t>
  </si>
  <si>
    <t>15.1.2.3</t>
  </si>
  <si>
    <t>0,0757</t>
  </si>
  <si>
    <t>2,4817</t>
  </si>
  <si>
    <t>151,6263 H</t>
  </si>
  <si>
    <t>88488-5</t>
  </si>
  <si>
    <t>88488-6</t>
  </si>
  <si>
    <t>88488-7</t>
  </si>
  <si>
    <t>88488-8</t>
  </si>
  <si>
    <t>88488-9</t>
  </si>
  <si>
    <t>88488-10</t>
  </si>
  <si>
    <t>88488-11</t>
  </si>
  <si>
    <t>88488-12</t>
  </si>
  <si>
    <t>88488-13</t>
  </si>
  <si>
    <t>88488-14</t>
  </si>
  <si>
    <t>88488-15</t>
  </si>
  <si>
    <t>88488-16</t>
  </si>
  <si>
    <t>15.1.3</t>
  </si>
  <si>
    <t>102219</t>
  </si>
  <si>
    <t>PINTURA TINTA DE ACABAMENTO (PIGMENTADA) ESMALTE SINTÉTICO ACETINADO EM MADEIRA, 2 DEMÃOS. AF_01/2021</t>
  </si>
  <si>
    <t>349,44</t>
  </si>
  <si>
    <t>19,94</t>
  </si>
  <si>
    <t>6967,8336</t>
  </si>
  <si>
    <t>10,4462</t>
  </si>
  <si>
    <t>3650,3181</t>
  </si>
  <si>
    <t>9,4938</t>
  </si>
  <si>
    <t>3317,5155</t>
  </si>
  <si>
    <t>8361,4003</t>
  </si>
  <si>
    <t>0,0011240716031</t>
  </si>
  <si>
    <t>102219-2</t>
  </si>
  <si>
    <t>15.1.3.1</t>
  </si>
  <si>
    <t>5318</t>
  </si>
  <si>
    <t>DILUENTE AGUARRAS</t>
  </si>
  <si>
    <t>25,02</t>
  </si>
  <si>
    <t>0,4203</t>
  </si>
  <si>
    <t>4,8922 L</t>
  </si>
  <si>
    <t>102219-3</t>
  </si>
  <si>
    <t>15.1.3.2</t>
  </si>
  <si>
    <t>7311</t>
  </si>
  <si>
    <t>TINTA ESMALTE SINTETICO PREMIUM ACETINADO</t>
  </si>
  <si>
    <t>0,1403</t>
  </si>
  <si>
    <t>40,75</t>
  </si>
  <si>
    <t>5,71</t>
  </si>
  <si>
    <t>6,8607</t>
  </si>
  <si>
    <t>49,0264 L</t>
  </si>
  <si>
    <t>102219-4</t>
  </si>
  <si>
    <t>15.1.3.3</t>
  </si>
  <si>
    <t>0,3805</t>
  </si>
  <si>
    <t>13,88</t>
  </si>
  <si>
    <t>16,6568</t>
  </si>
  <si>
    <t>132,9619 H</t>
  </si>
  <si>
    <t>102219-5</t>
  </si>
  <si>
    <t>102219-6</t>
  </si>
  <si>
    <t>102219-7</t>
  </si>
  <si>
    <t>102219-8</t>
  </si>
  <si>
    <t>102219-9</t>
  </si>
  <si>
    <t>102219-10</t>
  </si>
  <si>
    <t>102219-11</t>
  </si>
  <si>
    <t>102219-12</t>
  </si>
  <si>
    <t>102219-13</t>
  </si>
  <si>
    <t>102219-14</t>
  </si>
  <si>
    <t>102219-15</t>
  </si>
  <si>
    <t>102219-16</t>
  </si>
  <si>
    <t>PT.2</t>
  </si>
  <si>
    <t>15.2</t>
  </si>
  <si>
    <t>PINTURA ÁREAS TÉCNICAS</t>
  </si>
  <si>
    <t>15272,5202</t>
  </si>
  <si>
    <t>5512,2408</t>
  </si>
  <si>
    <t>9760,2793</t>
  </si>
  <si>
    <t>18327,0242</t>
  </si>
  <si>
    <t>0,0024638082947</t>
  </si>
  <si>
    <t>15.2.1</t>
  </si>
  <si>
    <t>95305</t>
  </si>
  <si>
    <t>TEXTURA ACRÍLICA, APLICAÇÃO MANUAL EM PAREDE, UMA DEMÃO. AF_04/2023</t>
  </si>
  <si>
    <t>831,592</t>
  </si>
  <si>
    <t>14,98</t>
  </si>
  <si>
    <t>12457,2482</t>
  </si>
  <si>
    <t>5,251</t>
  </si>
  <si>
    <t>4366,7163</t>
  </si>
  <si>
    <t>9,729</t>
  </si>
  <si>
    <t>8090,5318</t>
  </si>
  <si>
    <t>14948,6978</t>
  </si>
  <si>
    <t>0,0020096402574</t>
  </si>
  <si>
    <t>95305-2</t>
  </si>
  <si>
    <t>15.2.1.1</t>
  </si>
  <si>
    <t>38877</t>
  </si>
  <si>
    <t>MASSA PREMIUM PARA TEXTURA LISA DE BASE ACRILICA, USO INTERNO E EXTERNO</t>
  </si>
  <si>
    <t>1,1074</t>
  </si>
  <si>
    <t>7,19</t>
  </si>
  <si>
    <t>9,5546</t>
  </si>
  <si>
    <t>920,905 KG</t>
  </si>
  <si>
    <t>95305-3</t>
  </si>
  <si>
    <t>15.2.1.2</t>
  </si>
  <si>
    <t>0,1541</t>
  </si>
  <si>
    <t>5,62</t>
  </si>
  <si>
    <t>6,7459</t>
  </si>
  <si>
    <t>128,1483 H</t>
  </si>
  <si>
    <t>95305-4</t>
  </si>
  <si>
    <t>15.2.1.3</t>
  </si>
  <si>
    <t>0,0514</t>
  </si>
  <si>
    <t>1,4</t>
  </si>
  <si>
    <t>1,6851</t>
  </si>
  <si>
    <t>42,7438 H</t>
  </si>
  <si>
    <t>95305-5</t>
  </si>
  <si>
    <t>95305-6</t>
  </si>
  <si>
    <t>95305-7</t>
  </si>
  <si>
    <t>95305-8</t>
  </si>
  <si>
    <t>95305-9</t>
  </si>
  <si>
    <t>95305-10</t>
  </si>
  <si>
    <t>95305-11</t>
  </si>
  <si>
    <t>95305-12</t>
  </si>
  <si>
    <t>95305-13</t>
  </si>
  <si>
    <t>95305-14</t>
  </si>
  <si>
    <t>95305-15</t>
  </si>
  <si>
    <t>95305-16</t>
  </si>
  <si>
    <t>15.2.2</t>
  </si>
  <si>
    <t>102507</t>
  </si>
  <si>
    <t>PINTURA DE DEMARCAÇÃO DE VAGA COM TINTA EPÓXI, E = 10 CM, APLICAÇÃO MANUAL. AF_05/2021</t>
  </si>
  <si>
    <t>384,6</t>
  </si>
  <si>
    <t>7,32</t>
  </si>
  <si>
    <t>2815,272</t>
  </si>
  <si>
    <t>2,9785</t>
  </si>
  <si>
    <t>1145,5245</t>
  </si>
  <si>
    <t>4,3415</t>
  </si>
  <si>
    <t>1669,7475</t>
  </si>
  <si>
    <t>3378,3264</t>
  </si>
  <si>
    <t>0,00045416803728</t>
  </si>
  <si>
    <t>102507-2</t>
  </si>
  <si>
    <t>15.2.2.1</t>
  </si>
  <si>
    <t>5330</t>
  </si>
  <si>
    <t>DILUENTE EPOXI</t>
  </si>
  <si>
    <t>57,03</t>
  </si>
  <si>
    <t>0,34</t>
  </si>
  <si>
    <t>0,4106</t>
  </si>
  <si>
    <t>2,3076 L</t>
  </si>
  <si>
    <t>102507-3</t>
  </si>
  <si>
    <t>15.2.2.2</t>
  </si>
  <si>
    <t>7304</t>
  </si>
  <si>
    <t>TINTA EPOXI BASE AGUA PREMIUM, BRANCA</t>
  </si>
  <si>
    <t>0,032</t>
  </si>
  <si>
    <t>81,39</t>
  </si>
  <si>
    <t>2,6</t>
  </si>
  <si>
    <t>3,1254</t>
  </si>
  <si>
    <t>12,3072 L</t>
  </si>
  <si>
    <t>102507-4</t>
  </si>
  <si>
    <t>15.2.2.3</t>
  </si>
  <si>
    <t>12815</t>
  </si>
  <si>
    <t>FITA CREPE ROLO DE 25 MM X 50 M</t>
  </si>
  <si>
    <t>10,3</t>
  </si>
  <si>
    <t>0,41</t>
  </si>
  <si>
    <t>0,4944</t>
  </si>
  <si>
    <t>15,384 UN</t>
  </si>
  <si>
    <t>102507-5</t>
  </si>
  <si>
    <t>15.2.2.4</t>
  </si>
  <si>
    <t>0,083</t>
  </si>
  <si>
    <t>3,02</t>
  </si>
  <si>
    <t>3,6334</t>
  </si>
  <si>
    <t>31,9218 H</t>
  </si>
  <si>
    <t>102507-6</t>
  </si>
  <si>
    <t>15.2.2.5</t>
  </si>
  <si>
    <t>0,035</t>
  </si>
  <si>
    <t>0,95</t>
  </si>
  <si>
    <t>1,1474</t>
  </si>
  <si>
    <t>13,461 H</t>
  </si>
  <si>
    <t>102507-7</t>
  </si>
  <si>
    <t>102507-8</t>
  </si>
  <si>
    <t>102507-9</t>
  </si>
  <si>
    <t>102507-10</t>
  </si>
  <si>
    <t>102507-11</t>
  </si>
  <si>
    <t>102507-12</t>
  </si>
  <si>
    <t>102507-13</t>
  </si>
  <si>
    <t>102507-14</t>
  </si>
  <si>
    <t>102507-15</t>
  </si>
  <si>
    <t>102507-16</t>
  </si>
  <si>
    <t>PT.3</t>
  </si>
  <si>
    <t>15.3</t>
  </si>
  <si>
    <t>PINTURA EXTERNA</t>
  </si>
  <si>
    <t>57353,0622</t>
  </si>
  <si>
    <t>15140,4742</t>
  </si>
  <si>
    <t>42212,588</t>
  </si>
  <si>
    <t>68823,6746</t>
  </si>
  <si>
    <t>0,0092523662691</t>
  </si>
  <si>
    <t>15.3.1</t>
  </si>
  <si>
    <t>88411</t>
  </si>
  <si>
    <t>APLICAÇÃO MANUAL DE FUNDO SELADOR ACRÍLICO EM PANOS COM PRESENÇA DE VÃOS DE EDIFÍCIOS DE MÚLTIPLOS PAVIMENTOS. AF_06/2014</t>
  </si>
  <si>
    <t>2361,18</t>
  </si>
  <si>
    <t>3,83</t>
  </si>
  <si>
    <t>9043,3194</t>
  </si>
  <si>
    <t>1,5279</t>
  </si>
  <si>
    <t>3607,7072</t>
  </si>
  <si>
    <t>2,3021</t>
  </si>
  <si>
    <t>5435,6122</t>
  </si>
  <si>
    <t>10851,9833</t>
  </si>
  <si>
    <t>0,0014588951342</t>
  </si>
  <si>
    <t>88411-2</t>
  </si>
  <si>
    <t>15.3.1.1</t>
  </si>
  <si>
    <t>6085</t>
  </si>
  <si>
    <t>SELADOR ACRILICO OPACO PREMIUM INTERIOR/EXTERIOR</t>
  </si>
  <si>
    <t>11,29</t>
  </si>
  <si>
    <t>2,1677</t>
  </si>
  <si>
    <t>377,7888 L</t>
  </si>
  <si>
    <t>88411-3</t>
  </si>
  <si>
    <t>15.3.1.2</t>
  </si>
  <si>
    <t>0,047</t>
  </si>
  <si>
    <t>2,0575</t>
  </si>
  <si>
    <t>110,9755 H</t>
  </si>
  <si>
    <t>88411-4</t>
  </si>
  <si>
    <t>15.3.1.3</t>
  </si>
  <si>
    <t>0,012</t>
  </si>
  <si>
    <t>0,3934</t>
  </si>
  <si>
    <t>28,3342 H</t>
  </si>
  <si>
    <t>88411-5</t>
  </si>
  <si>
    <t>88411-6</t>
  </si>
  <si>
    <t>88411-7</t>
  </si>
  <si>
    <t>88411-8</t>
  </si>
  <si>
    <t>88411-9</t>
  </si>
  <si>
    <t>88411-10</t>
  </si>
  <si>
    <t>88411-11</t>
  </si>
  <si>
    <t>88411-12</t>
  </si>
  <si>
    <t>88411-13</t>
  </si>
  <si>
    <t>88411-14</t>
  </si>
  <si>
    <t>88411-15</t>
  </si>
  <si>
    <t>88411-16</t>
  </si>
  <si>
    <t>15.3.2</t>
  </si>
  <si>
    <t>88416</t>
  </si>
  <si>
    <t>APLICAÇÃO MANUAL DE PINTURA COM TINTA TEXTURIZADA ACRÍLICA EM PANOS COM PRESENÇA DE VÃOS DE EDIFÍCIOS DE MÚLTIPLOS PAVIMENTOS, UMA COR. AF_06/2014</t>
  </si>
  <si>
    <t>20,46</t>
  </si>
  <si>
    <t>48309,7428</t>
  </si>
  <si>
    <t>4,8843</t>
  </si>
  <si>
    <t>11532,767</t>
  </si>
  <si>
    <t>15,5757</t>
  </si>
  <si>
    <t>36776,9758</t>
  </si>
  <si>
    <t>57971,6914</t>
  </si>
  <si>
    <t>0,0077934711349</t>
  </si>
  <si>
    <t>88416-2</t>
  </si>
  <si>
    <t>15.3.2.1</t>
  </si>
  <si>
    <t>1,938</t>
  </si>
  <si>
    <t>13,93</t>
  </si>
  <si>
    <t>16,7211</t>
  </si>
  <si>
    <t>4575,9668 KG</t>
  </si>
  <si>
    <t>88416-3</t>
  </si>
  <si>
    <t>15.3.2.2</t>
  </si>
  <si>
    <t>5,5</t>
  </si>
  <si>
    <t>6,6102</t>
  </si>
  <si>
    <t>356,5382 H</t>
  </si>
  <si>
    <t>88416-4</t>
  </si>
  <si>
    <t>15.3.2.3</t>
  </si>
  <si>
    <t>0,038</t>
  </si>
  <si>
    <t>1,2458</t>
  </si>
  <si>
    <t>89,7248 H</t>
  </si>
  <si>
    <t>88416-5</t>
  </si>
  <si>
    <t>88416-6</t>
  </si>
  <si>
    <t>88416-7</t>
  </si>
  <si>
    <t>88416-8</t>
  </si>
  <si>
    <t>88416-9</t>
  </si>
  <si>
    <t>88416-10</t>
  </si>
  <si>
    <t>88416-11</t>
  </si>
  <si>
    <t>88416-12</t>
  </si>
  <si>
    <t>88416-13</t>
  </si>
  <si>
    <t>88416-14</t>
  </si>
  <si>
    <t>88416-15</t>
  </si>
  <si>
    <t>88416-16</t>
  </si>
  <si>
    <t>CB</t>
  </si>
  <si>
    <t>COBERTURA</t>
  </si>
  <si>
    <t>36344,6984</t>
  </si>
  <si>
    <t>5255,4506</t>
  </si>
  <si>
    <t>31089,2478</t>
  </si>
  <si>
    <t>43613,6381</t>
  </si>
  <si>
    <t>0,0058632346493</t>
  </si>
  <si>
    <t>CB.1</t>
  </si>
  <si>
    <t>16.1</t>
  </si>
  <si>
    <t>TELHADO</t>
  </si>
  <si>
    <t>16.1.1</t>
  </si>
  <si>
    <t>362,48</t>
  </si>
  <si>
    <t>9924,7024</t>
  </si>
  <si>
    <t>4,2904</t>
  </si>
  <si>
    <t>1555,1735</t>
  </si>
  <si>
    <t>23,0896</t>
  </si>
  <si>
    <t>8369,5289</t>
  </si>
  <si>
    <t>11909,6429</t>
  </si>
  <si>
    <t>0,0016010824565</t>
  </si>
  <si>
    <t>92543-2</t>
  </si>
  <si>
    <t>16.1.1.1</t>
  </si>
  <si>
    <t>4425</t>
  </si>
  <si>
    <t>VIGA NAO APARELHADA *6 X 12* CM, EM MACARANDUBA/MASSARANDUBA, ANGELIM OU EQUIVALENTE DA REGIAO - BRUTA</t>
  </si>
  <si>
    <t>0,634</t>
  </si>
  <si>
    <t>33,5</t>
  </si>
  <si>
    <t>21,23</t>
  </si>
  <si>
    <t>25,4868</t>
  </si>
  <si>
    <t>229,8123 M</t>
  </si>
  <si>
    <t>92543-3</t>
  </si>
  <si>
    <t>16.1.1.2</t>
  </si>
  <si>
    <t>40568</t>
  </si>
  <si>
    <t>PREGO DE ACO POLIDO COM CABECA 22 X 48 (4 1/4 X 5)</t>
  </si>
  <si>
    <t>13,84</t>
  </si>
  <si>
    <t>0,4982</t>
  </si>
  <si>
    <t>10,8744 KG</t>
  </si>
  <si>
    <t>92543-4</t>
  </si>
  <si>
    <t>16.1.1.3</t>
  </si>
  <si>
    <t>0,065</t>
  </si>
  <si>
    <t>2,1177</t>
  </si>
  <si>
    <t>23,5612 H</t>
  </si>
  <si>
    <t>92543-5</t>
  </si>
  <si>
    <t>16.1.1.4</t>
  </si>
  <si>
    <t>0,118</t>
  </si>
  <si>
    <t>4,4363</t>
  </si>
  <si>
    <t>42,7726 H</t>
  </si>
  <si>
    <t>92543-6</t>
  </si>
  <si>
    <t>16.1.1.5</t>
  </si>
  <si>
    <t>93281</t>
  </si>
  <si>
    <t>GUINCHO ELÉTRICO DE COLUNA, CAPACIDADE 400 KG, COM MOTO FREIO, MOTOR TRIFÁSICO DE 1,25 CV - CHP DIURNO. AF_03/2016</t>
  </si>
  <si>
    <t>0,0046</t>
  </si>
  <si>
    <t>27,7</t>
  </si>
  <si>
    <t>0,1529</t>
  </si>
  <si>
    <t>1,6674 CHP</t>
  </si>
  <si>
    <t>92543-7</t>
  </si>
  <si>
    <t>16.1.1.6</t>
  </si>
  <si>
    <t>93282</t>
  </si>
  <si>
    <t>GUINCHO ELÉTRICO DE COLUNA, CAPACIDADE 400 KG, COM MOTO FREIO, MOTOR TRIFÁSICO DE 1,25 CV - CHI DIURNO. AF_03/2016</t>
  </si>
  <si>
    <t>0,0064</t>
  </si>
  <si>
    <t>26,83</t>
  </si>
  <si>
    <t>0,2061</t>
  </si>
  <si>
    <t>2,3199 CHI</t>
  </si>
  <si>
    <t>92543-8</t>
  </si>
  <si>
    <t>92543-9</t>
  </si>
  <si>
    <t>92543-10</t>
  </si>
  <si>
    <t>92543-11</t>
  </si>
  <si>
    <t>92543-12</t>
  </si>
  <si>
    <t>92543-13</t>
  </si>
  <si>
    <t>92543-14</t>
  </si>
  <si>
    <t>92543-15</t>
  </si>
  <si>
    <t>92543-16</t>
  </si>
  <si>
    <t>16.1.2</t>
  </si>
  <si>
    <t>17580,28</t>
  </si>
  <si>
    <t>6,5763</t>
  </si>
  <si>
    <t>2383,7668</t>
  </si>
  <si>
    <t>41,9237</t>
  </si>
  <si>
    <t>15196,5132</t>
  </si>
  <si>
    <t>21096,336</t>
  </si>
  <si>
    <t>0,0028361029635</t>
  </si>
  <si>
    <t>94210-2</t>
  </si>
  <si>
    <t>16.1.2.1</t>
  </si>
  <si>
    <t>1607</t>
  </si>
  <si>
    <t>CONJUNTO ARRUELAS DE VEDACAO 5/16" PARA TELHA FIBROCIMENTO (UMA ARRUELA METALICA E UMA ARRUELA PVC - CONICAS)</t>
  </si>
  <si>
    <t>0,4234</t>
  </si>
  <si>
    <t>456,7248 CJ</t>
  </si>
  <si>
    <t>94210-3</t>
  </si>
  <si>
    <t>16.1.2.2</t>
  </si>
  <si>
    <t>4302</t>
  </si>
  <si>
    <t>PARAFUSO ZINCADO ROSCA SOBERBA, CABECA SEXTAVADA, 5/16 " X 250 MM, PARA FIXACAO DE TELHA EM MADEIRA</t>
  </si>
  <si>
    <t>4,28</t>
  </si>
  <si>
    <t>5,39</t>
  </si>
  <si>
    <t>6,4714</t>
  </si>
  <si>
    <t>456,7248 UN</t>
  </si>
  <si>
    <t>94210-4</t>
  </si>
  <si>
    <t>16.1.2.3</t>
  </si>
  <si>
    <t>7194</t>
  </si>
  <si>
    <t>TELHA DE FIBROCIMENTO ONDULADA E = 6 MM, DE 2,44 X 1,10 M (SEM AMIANTO)</t>
  </si>
  <si>
    <t>1,357</t>
  </si>
  <si>
    <t>24,98</t>
  </si>
  <si>
    <t>33,89</t>
  </si>
  <si>
    <t>40,6774</t>
  </si>
  <si>
    <t>491,8854 M2</t>
  </si>
  <si>
    <t>94210-5</t>
  </si>
  <si>
    <t>16.1.2.4</t>
  </si>
  <si>
    <t>0,166</t>
  </si>
  <si>
    <t>4,53</t>
  </si>
  <si>
    <t>5,4421</t>
  </si>
  <si>
    <t>60,1717 H</t>
  </si>
  <si>
    <t>94210-6</t>
  </si>
  <si>
    <t>16.1.2.5</t>
  </si>
  <si>
    <t>88323</t>
  </si>
  <si>
    <t>TELHADISTA COM ENCARGOS COMPLEMENTARES</t>
  </si>
  <si>
    <t>0,128</t>
  </si>
  <si>
    <t>4,01</t>
  </si>
  <si>
    <t>4,8123</t>
  </si>
  <si>
    <t>46,3974 H</t>
  </si>
  <si>
    <t>94210-7</t>
  </si>
  <si>
    <t>16.1.2.6</t>
  </si>
  <si>
    <t>0,0053</t>
  </si>
  <si>
    <t>0,1762</t>
  </si>
  <si>
    <t>1,9211 CHP</t>
  </si>
  <si>
    <t>94210-8</t>
  </si>
  <si>
    <t>16.1.2.7</t>
  </si>
  <si>
    <t>0,0073</t>
  </si>
  <si>
    <t>0,235</t>
  </si>
  <si>
    <t>2,6461 CHI</t>
  </si>
  <si>
    <t>94210-9</t>
  </si>
  <si>
    <t>94210-10</t>
  </si>
  <si>
    <t>94210-11</t>
  </si>
  <si>
    <t>94210-12</t>
  </si>
  <si>
    <t>94210-13</t>
  </si>
  <si>
    <t>94210-14</t>
  </si>
  <si>
    <t>94210-15</t>
  </si>
  <si>
    <t>94210-16</t>
  </si>
  <si>
    <t>16.1.3</t>
  </si>
  <si>
    <t>94227</t>
  </si>
  <si>
    <t>CALHA EM CHAPA DE AÇO GALVANIZADO NÚMERO 24, DESENVOLVIMENTO DE 33 CM, INCLUSO TRANSPORTE VERTICAL. AF_07/2019</t>
  </si>
  <si>
    <t>28,95</t>
  </si>
  <si>
    <t>65,96</t>
  </si>
  <si>
    <t>1909,542</t>
  </si>
  <si>
    <t>10,6594</t>
  </si>
  <si>
    <t>308,5894</t>
  </si>
  <si>
    <t>55,3006</t>
  </si>
  <si>
    <t>1600,9526</t>
  </si>
  <si>
    <t>2291,4504</t>
  </si>
  <si>
    <t>0,00030805298466</t>
  </si>
  <si>
    <t>94227-2</t>
  </si>
  <si>
    <t>16.1.3.1</t>
  </si>
  <si>
    <t>2,1351</t>
  </si>
  <si>
    <t>1,5344 310ML</t>
  </si>
  <si>
    <t>94227-3</t>
  </si>
  <si>
    <t>16.1.3.2</t>
  </si>
  <si>
    <t>0,1297</t>
  </si>
  <si>
    <t>0,2316 KG</t>
  </si>
  <si>
    <t>94227-4</t>
  </si>
  <si>
    <t>16.1.3.3</t>
  </si>
  <si>
    <t>5104</t>
  </si>
  <si>
    <t>REBITE DE REPUXO EM ALUMINIO VAZADO, DIAMETRO 3,2 X 8 MM DE COMPRIMENTO (1KG = 1025 UNIDADES)</t>
  </si>
  <si>
    <t>0,0016</t>
  </si>
  <si>
    <t>63,07</t>
  </si>
  <si>
    <t>0,1211</t>
  </si>
  <si>
    <t>0,0463 KG</t>
  </si>
  <si>
    <t>94227-5</t>
  </si>
  <si>
    <t>16.1.3.4</t>
  </si>
  <si>
    <t>13388</t>
  </si>
  <si>
    <t>SOLDA EM BARRA DE ESTANHO-CHUMBO 50/50</t>
  </si>
  <si>
    <t>0,059</t>
  </si>
  <si>
    <t>211,3</t>
  </si>
  <si>
    <t>12,46</t>
  </si>
  <si>
    <t>14,96</t>
  </si>
  <si>
    <t>1,7081 KG</t>
  </si>
  <si>
    <t>94227-6</t>
  </si>
  <si>
    <t>16.1.3.5</t>
  </si>
  <si>
    <t>40782</t>
  </si>
  <si>
    <t>CALHA QUADRADA DE CHAPA DE ACO GALVANIZADA NUM 24, CORTE 33 CM</t>
  </si>
  <si>
    <t>1,05</t>
  </si>
  <si>
    <t>35,33</t>
  </si>
  <si>
    <t>37,09</t>
  </si>
  <si>
    <t>44,5158</t>
  </si>
  <si>
    <t>30,3975 M</t>
  </si>
  <si>
    <t>94227-7</t>
  </si>
  <si>
    <t>16.1.3.6</t>
  </si>
  <si>
    <t>7,7</t>
  </si>
  <si>
    <t>9,2451</t>
  </si>
  <si>
    <t>8,1639 H</t>
  </si>
  <si>
    <t>94227-8</t>
  </si>
  <si>
    <t>16.1.3.7</t>
  </si>
  <si>
    <t>0,188</t>
  </si>
  <si>
    <t>5,89</t>
  </si>
  <si>
    <t>7,068</t>
  </si>
  <si>
    <t>5,4426 H</t>
  </si>
  <si>
    <t>94227-9</t>
  </si>
  <si>
    <t>16.1.3.8</t>
  </si>
  <si>
    <t>0,0132</t>
  </si>
  <si>
    <t>0,4388</t>
  </si>
  <si>
    <t>0,3821 CHP</t>
  </si>
  <si>
    <t>94227-10</t>
  </si>
  <si>
    <t>16.1.3.9</t>
  </si>
  <si>
    <t>0,0183</t>
  </si>
  <si>
    <t>0,5892</t>
  </si>
  <si>
    <t>0,5298 CHI</t>
  </si>
  <si>
    <t>94227-11</t>
  </si>
  <si>
    <t>94227-12</t>
  </si>
  <si>
    <t>94227-13</t>
  </si>
  <si>
    <t>94227-14</t>
  </si>
  <si>
    <t>94227-15</t>
  </si>
  <si>
    <t>94227-16</t>
  </si>
  <si>
    <t>16.1.4</t>
  </si>
  <si>
    <t>100327</t>
  </si>
  <si>
    <t>RUFO EXTERNO/INTERNO EM CHAPA DE AÇO GALVANIZADO NÚMERO 26, CORTE DE 33 CM, INCLUSO IÇAMENTO. AF_07/2019</t>
  </si>
  <si>
    <t>114,7</t>
  </si>
  <si>
    <t>60,42</t>
  </si>
  <si>
    <t>6930,174</t>
  </si>
  <si>
    <t>8,7875</t>
  </si>
  <si>
    <t>1007,9208</t>
  </si>
  <si>
    <t>51,6325</t>
  </si>
  <si>
    <t>5922,2532</t>
  </si>
  <si>
    <t>8316,2088</t>
  </si>
  <si>
    <t>0,0011179962446</t>
  </si>
  <si>
    <t>100327-2</t>
  </si>
  <si>
    <t>16.1.4.1</t>
  </si>
  <si>
    <t>0,211</t>
  </si>
  <si>
    <t>7,08</t>
  </si>
  <si>
    <t>8,4999</t>
  </si>
  <si>
    <t>24,2017 310ML</t>
  </si>
  <si>
    <t>100327-3</t>
  </si>
  <si>
    <t>16.1.4.2</t>
  </si>
  <si>
    <t>1113</t>
  </si>
  <si>
    <t>RUFO EXTERNO/INTERNO DE CHAPA DE ACO GALVANIZADA NUM 26, CORTE 33 CM</t>
  </si>
  <si>
    <t>27,4</t>
  </si>
  <si>
    <t>28,77</t>
  </si>
  <si>
    <t>34,524</t>
  </si>
  <si>
    <t>120,435 M</t>
  </si>
  <si>
    <t>100327-4</t>
  </si>
  <si>
    <t>16.1.4.3</t>
  </si>
  <si>
    <t>0,9176 KG</t>
  </si>
  <si>
    <t>100327-5</t>
  </si>
  <si>
    <t>16.1.4.4</t>
  </si>
  <si>
    <t>0,1835 KG</t>
  </si>
  <si>
    <t>100327-6</t>
  </si>
  <si>
    <t>16.1.4.5</t>
  </si>
  <si>
    <t>6,7673 KG</t>
  </si>
  <si>
    <t>100327-7</t>
  </si>
  <si>
    <t>16.1.4.6</t>
  </si>
  <si>
    <t>0,239</t>
  </si>
  <si>
    <t>6,52</t>
  </si>
  <si>
    <t>7,8354</t>
  </si>
  <si>
    <t>27,4133 H</t>
  </si>
  <si>
    <t>100327-8</t>
  </si>
  <si>
    <t>16.1.4.7</t>
  </si>
  <si>
    <t>0,145</t>
  </si>
  <si>
    <t>4,54</t>
  </si>
  <si>
    <t>5,4514</t>
  </si>
  <si>
    <t>16,6315 H</t>
  </si>
  <si>
    <t>100327-9</t>
  </si>
  <si>
    <t>16.1.4.8</t>
  </si>
  <si>
    <t>1,514 CHP</t>
  </si>
  <si>
    <t>100327-10</t>
  </si>
  <si>
    <t>16.1.4.9</t>
  </si>
  <si>
    <t>2,099 CHI</t>
  </si>
  <si>
    <t>100327-11</t>
  </si>
  <si>
    <t>100327-12</t>
  </si>
  <si>
    <t>100327-13</t>
  </si>
  <si>
    <t>100327-14</t>
  </si>
  <si>
    <t>100327-15</t>
  </si>
  <si>
    <t>100327-16</t>
  </si>
  <si>
    <t>CB.2</t>
  </si>
  <si>
    <t>CB.3</t>
  </si>
  <si>
    <t>CP</t>
  </si>
  <si>
    <t>COMPLEMENTOS</t>
  </si>
  <si>
    <t>96743,18</t>
  </si>
  <si>
    <t>4521,4051</t>
  </si>
  <si>
    <t>91447,0854</t>
  </si>
  <si>
    <t>774,6895</t>
  </si>
  <si>
    <t>116091,816</t>
  </si>
  <si>
    <t>0,015606897018</t>
  </si>
  <si>
    <t>CP.1</t>
  </si>
  <si>
    <t>17.1</t>
  </si>
  <si>
    <t>PAISAGISMO</t>
  </si>
  <si>
    <t>8560,58</t>
  </si>
  <si>
    <t>2512,3266</t>
  </si>
  <si>
    <t>5298,5667</t>
  </si>
  <si>
    <t>749,6867</t>
  </si>
  <si>
    <t>10272,696</t>
  </si>
  <si>
    <t>0,001381018181</t>
  </si>
  <si>
    <t>17.1.1</t>
  </si>
  <si>
    <t>98511</t>
  </si>
  <si>
    <t>PLANTIO DE ÁRVORE ORNAMENTAL COM ALTURA DE MUDA MAIOR QUE 2,00 M E MENOR OU IGUAL A 4,00 M. AF_05/2018</t>
  </si>
  <si>
    <t>140,28</t>
  </si>
  <si>
    <t>1402,8</t>
  </si>
  <si>
    <t>25,6128</t>
  </si>
  <si>
    <t>256,1278</t>
  </si>
  <si>
    <t>114,6672</t>
  </si>
  <si>
    <t>1146,6722</t>
  </si>
  <si>
    <t>1683,36</t>
  </si>
  <si>
    <t>0,00022630386076</t>
  </si>
  <si>
    <t>98511-2</t>
  </si>
  <si>
    <t>17.1.1.1</t>
  </si>
  <si>
    <t>359</t>
  </si>
  <si>
    <t>MUDA DE ARVORE ORNAMENTAL, OITI/AROEIRA SALSA/ANGICO/IPE/JACARANDA OU EQUIVALENTE  DA REGIAO, H= *2* M</t>
  </si>
  <si>
    <t>104,82</t>
  </si>
  <si>
    <t>125,784</t>
  </si>
  <si>
    <t>10 UN</t>
  </si>
  <si>
    <t>98511-3</t>
  </si>
  <si>
    <t>17.1.1.2</t>
  </si>
  <si>
    <t>1,0401</t>
  </si>
  <si>
    <t>28,41</t>
  </si>
  <si>
    <t>34,0986</t>
  </si>
  <si>
    <t>10,401 H</t>
  </si>
  <si>
    <t>98511-4</t>
  </si>
  <si>
    <t>17.1.1.3</t>
  </si>
  <si>
    <t>7,05</t>
  </si>
  <si>
    <t>8,4677</t>
  </si>
  <si>
    <t>2,6 H</t>
  </si>
  <si>
    <t>98511-5</t>
  </si>
  <si>
    <t>98511-6</t>
  </si>
  <si>
    <t>98511-7</t>
  </si>
  <si>
    <t>98511-8</t>
  </si>
  <si>
    <t>98511-9</t>
  </si>
  <si>
    <t>98511-10</t>
  </si>
  <si>
    <t>98511-11</t>
  </si>
  <si>
    <t>98511-12</t>
  </si>
  <si>
    <t>98511-13</t>
  </si>
  <si>
    <t>98511-14</t>
  </si>
  <si>
    <t>98511-15</t>
  </si>
  <si>
    <t>98511-16</t>
  </si>
  <si>
    <t>17.1.2</t>
  </si>
  <si>
    <t>98516</t>
  </si>
  <si>
    <t>PLANTIO DE PALMEIRA COM ALTURA DE MUDA MENOR OU IGUAL A 2,00 M. AF_05/2018</t>
  </si>
  <si>
    <t>405,54</t>
  </si>
  <si>
    <t>4866,48</t>
  </si>
  <si>
    <t>152,7729</t>
  </si>
  <si>
    <t>1833,2745</t>
  </si>
  <si>
    <t>190,2932</t>
  </si>
  <si>
    <t>2283,5188</t>
  </si>
  <si>
    <t>62,4739</t>
  </si>
  <si>
    <t>5839,776</t>
  </si>
  <si>
    <t>0,00078507500165</t>
  </si>
  <si>
    <t>98516-2</t>
  </si>
  <si>
    <t>17.1.2.1</t>
  </si>
  <si>
    <t>38641</t>
  </si>
  <si>
    <t>MUDA DE PALMEIRA ARECA, H= *1,50* M</t>
  </si>
  <si>
    <t>103,44</t>
  </si>
  <si>
    <t>124,128</t>
  </si>
  <si>
    <t>12 UN</t>
  </si>
  <si>
    <t>98516-3</t>
  </si>
  <si>
    <t>17.1.2.2</t>
  </si>
  <si>
    <t>4,362</t>
  </si>
  <si>
    <t>119,16</t>
  </si>
  <si>
    <t>143,0038</t>
  </si>
  <si>
    <t>52,344 H</t>
  </si>
  <si>
    <t>98516-4</t>
  </si>
  <si>
    <t>17.1.2.3</t>
  </si>
  <si>
    <t>1,0905</t>
  </si>
  <si>
    <t>29,59</t>
  </si>
  <si>
    <t>35,5154</t>
  </si>
  <si>
    <t>13,086 H</t>
  </si>
  <si>
    <t>98516-5</t>
  </si>
  <si>
    <t>17.1.2.4</t>
  </si>
  <si>
    <t>91634</t>
  </si>
  <si>
    <t>GUINDAUTO HIDRÁULICO, CAPACIDADE MÁXIMA DE CARGA 6500 KG, MOMENTO MÁXIMO DE CARGA 5,8 TM, ALCANCE MÁXIMO HORIZONTAL 7,60 M, INCLUSIVE CAMINHÃO TOCO PBT 9.700 KG, POTÊNCIA DE 160 CV - CHP DIURNO. AF_08/2015</t>
  </si>
  <si>
    <t>0,2999</t>
  </si>
  <si>
    <t>226,43</t>
  </si>
  <si>
    <t>67,9</t>
  </si>
  <si>
    <t>81,4876</t>
  </si>
  <si>
    <t>3,5988 CHP</t>
  </si>
  <si>
    <t>98516-6</t>
  </si>
  <si>
    <t>17.1.2.5</t>
  </si>
  <si>
    <t>91635</t>
  </si>
  <si>
    <t>GUINDAUTO HIDRÁULICO, CAPACIDADE MÁXIMA DE CARGA 6500 KG, MOMENTO MÁXIMO DE CARGA 5,8 TM, ALCANCE MÁXIMO HORIZONTAL 7,60 M, INCLUSIVE CAMINHÃO TOCO PBT 9.700 KG, POTÊNCIA DE 160 CV - CHI DIURNO. AF_08/2015</t>
  </si>
  <si>
    <t>1,2252</t>
  </si>
  <si>
    <t>69,75</t>
  </si>
  <si>
    <t>85,45</t>
  </si>
  <si>
    <t>102,5492</t>
  </si>
  <si>
    <t>14,7024 CHI</t>
  </si>
  <si>
    <t>98516-7</t>
  </si>
  <si>
    <t>98516-8</t>
  </si>
  <si>
    <t>98516-9</t>
  </si>
  <si>
    <t>98516-10</t>
  </si>
  <si>
    <t>98516-11</t>
  </si>
  <si>
    <t>98516-12</t>
  </si>
  <si>
    <t>98516-13</t>
  </si>
  <si>
    <t>98516-14</t>
  </si>
  <si>
    <t>98516-15</t>
  </si>
  <si>
    <t>98516-16</t>
  </si>
  <si>
    <t>17.1.3</t>
  </si>
  <si>
    <t>103946</t>
  </si>
  <si>
    <t>PLANTIO DE GRAMA ESMERALDA OU SÃO CARLOS OU CURITIBANA, EM PLACAS. AF_05/2022</t>
  </si>
  <si>
    <t>110</t>
  </si>
  <si>
    <t>20,83</t>
  </si>
  <si>
    <t>2291,3</t>
  </si>
  <si>
    <t>3,8448</t>
  </si>
  <si>
    <t>422,9243</t>
  </si>
  <si>
    <t>16,9852</t>
  </si>
  <si>
    <t>1868,3757</t>
  </si>
  <si>
    <t>2749,56</t>
  </si>
  <si>
    <t>0,00036963931862</t>
  </si>
  <si>
    <t>103946-2</t>
  </si>
  <si>
    <t>17.1.3.1</t>
  </si>
  <si>
    <t>3322</t>
  </si>
  <si>
    <t>GRAMA ESMERALDA OU SAO CARLOS OU CURITIBANA, EM PLACAS, SEM PLANTIO</t>
  </si>
  <si>
    <t>15,5</t>
  </si>
  <si>
    <t>18,6</t>
  </si>
  <si>
    <t>110 M2</t>
  </si>
  <si>
    <t>103946-3</t>
  </si>
  <si>
    <t>17.1.3.2</t>
  </si>
  <si>
    <t>0,1564</t>
  </si>
  <si>
    <t>4,27</t>
  </si>
  <si>
    <t>5,1274</t>
  </si>
  <si>
    <t>17,204 H</t>
  </si>
  <si>
    <t>103946-4</t>
  </si>
  <si>
    <t>17.1.3.3</t>
  </si>
  <si>
    <t>0,0391</t>
  </si>
  <si>
    <t>1,06</t>
  </si>
  <si>
    <t>1,2734</t>
  </si>
  <si>
    <t>4,301 H</t>
  </si>
  <si>
    <t>103946-5</t>
  </si>
  <si>
    <t>103946-6</t>
  </si>
  <si>
    <t>103946-7</t>
  </si>
  <si>
    <t>103946-8</t>
  </si>
  <si>
    <t>103946-9</t>
  </si>
  <si>
    <t>103946-10</t>
  </si>
  <si>
    <t>103946-11</t>
  </si>
  <si>
    <t>103946-12</t>
  </si>
  <si>
    <t>103946-13</t>
  </si>
  <si>
    <t>103946-14</t>
  </si>
  <si>
    <t>103946-15</t>
  </si>
  <si>
    <t>103946-16</t>
  </si>
  <si>
    <t>CP.2</t>
  </si>
  <si>
    <t>17.2</t>
  </si>
  <si>
    <t>MOBILIÁRIO</t>
  </si>
  <si>
    <t>64965,9</t>
  </si>
  <si>
    <t>465,8057</t>
  </si>
  <si>
    <t>64500,0943</t>
  </si>
  <si>
    <t>77959,08</t>
  </si>
  <si>
    <t>0,010480491865</t>
  </si>
  <si>
    <t>17.2.1</t>
  </si>
  <si>
    <t>103186</t>
  </si>
  <si>
    <t>INSTALAÇÃO DE MULTIEXERCITADOR COM SEIS FUNÇÕES, EM TUBO DE AÇO CARBONO - EQUIPAMENTO DE GINÁSTICA PARA ACADEMIA AO AR LIVRE / ACADEMIA DA TERCEIRA IDADE - ATI, INSTALADO SOBRE PISO DE CONCRETO EXISTENTE. AF_10/2021</t>
  </si>
  <si>
    <t>6496,59</t>
  </si>
  <si>
    <t>46,5806</t>
  </si>
  <si>
    <t>6450,0094</t>
  </si>
  <si>
    <t>103186-2</t>
  </si>
  <si>
    <t>17.2.1.1</t>
  </si>
  <si>
    <t>42430</t>
  </si>
  <si>
    <t>MULTIEXERCITADOR COM SEIS FUNCOES, EM TUBO DE ACO CARBONO, PINTURA NO PROCESSO ELETROSTATICO - EQUIPAMENTO DE GINASTICA PARA ACADEMIA AO AR LIVRE / ACADEMIA DA TERCEIRA IDADE - ATI</t>
  </si>
  <si>
    <t>6434,22</t>
  </si>
  <si>
    <t>7721,064</t>
  </si>
  <si>
    <t>103186-3</t>
  </si>
  <si>
    <t>17.2.1.2</t>
  </si>
  <si>
    <t>1,3736</t>
  </si>
  <si>
    <t>43,61</t>
  </si>
  <si>
    <t>52,3342</t>
  </si>
  <si>
    <t>13,736 H</t>
  </si>
  <si>
    <t>103186-4</t>
  </si>
  <si>
    <t>17.2.1.3</t>
  </si>
  <si>
    <t>0,6868</t>
  </si>
  <si>
    <t>18,76</t>
  </si>
  <si>
    <t>22,5161</t>
  </si>
  <si>
    <t>6,868 H</t>
  </si>
  <si>
    <t>103186-5</t>
  </si>
  <si>
    <t>103186-6</t>
  </si>
  <si>
    <t>103186-7</t>
  </si>
  <si>
    <t>103186-8</t>
  </si>
  <si>
    <t>103186-9</t>
  </si>
  <si>
    <t>103186-10</t>
  </si>
  <si>
    <t>103186-11</t>
  </si>
  <si>
    <t>103186-12</t>
  </si>
  <si>
    <t>103186-13</t>
  </si>
  <si>
    <t>103186-14</t>
  </si>
  <si>
    <t>103186-15</t>
  </si>
  <si>
    <t>103186-16</t>
  </si>
  <si>
    <t>CP.3</t>
  </si>
  <si>
    <t>17.3</t>
  </si>
  <si>
    <t>SINALIZAÇÃO VISUAL PREDIAL</t>
  </si>
  <si>
    <t>23216,7</t>
  </si>
  <si>
    <t>1543,2728</t>
  </si>
  <si>
    <t>21648,4244</t>
  </si>
  <si>
    <t>25,0028</t>
  </si>
  <si>
    <t>27860,04</t>
  </si>
  <si>
    <t>0,0037453869719</t>
  </si>
  <si>
    <t>17.3.1</t>
  </si>
  <si>
    <t>103210</t>
  </si>
  <si>
    <t>INSTALAÇÃO DE PLACA ORIENTATIVA SOBRE EXERCÍCIOS, 2,00M X 1,00M, EM TUBO DE AÇO CARBONO - PARA ACADEMIA AO AR LIVRE / ACADEMIA DA TERCEIRA IDADE - ATI, INSTALADO SOBRE PISO DE CONCRETO EXISTENTE. AF_10/2021</t>
  </si>
  <si>
    <t>2321,67</t>
  </si>
  <si>
    <t>154,3273</t>
  </si>
  <si>
    <t>2164,8424</t>
  </si>
  <si>
    <t>2,5003</t>
  </si>
  <si>
    <t>103210-2</t>
  </si>
  <si>
    <t>17.3.1.1</t>
  </si>
  <si>
    <t>4721</t>
  </si>
  <si>
    <t>PEDRA BRITADA N. 1 (9,5 a 19 MM) POSTO PEDREIRA/FORNECEDOR, SEM FRETE</t>
  </si>
  <si>
    <t>69,63</t>
  </si>
  <si>
    <t>0,2005</t>
  </si>
  <si>
    <t>0,024 M3</t>
  </si>
  <si>
    <t>103210-3</t>
  </si>
  <si>
    <t>17.3.1.2</t>
  </si>
  <si>
    <t>5795</t>
  </si>
  <si>
    <t>MARTELETE OU ROMPEDOR PNEUMÁTICO MANUAL, 28 KG, COM SILENCIADOR - CHP DIURNO. AF_07/2016</t>
  </si>
  <si>
    <t>0,1167</t>
  </si>
  <si>
    <t>30,3</t>
  </si>
  <si>
    <t>3,53</t>
  </si>
  <si>
    <t>4,2432</t>
  </si>
  <si>
    <t>1,167 CHP</t>
  </si>
  <si>
    <t>103210-4</t>
  </si>
  <si>
    <t>17.3.1.3</t>
  </si>
  <si>
    <t>5952</t>
  </si>
  <si>
    <t>MARTELETE OU ROMPEDOR PNEUMÁTICO MANUAL, 28 KG, COM SILENCIADOR - CHI DIURNO. AF_07/2016</t>
  </si>
  <si>
    <t>1,2833</t>
  </si>
  <si>
    <t>28,6</t>
  </si>
  <si>
    <t>36,7</t>
  </si>
  <si>
    <t>44,0429</t>
  </si>
  <si>
    <t>12,833 CHI</t>
  </si>
  <si>
    <t>103210-5</t>
  </si>
  <si>
    <t>17.3.1.4</t>
  </si>
  <si>
    <t>42438</t>
  </si>
  <si>
    <t>PLACA ORIENTATIVA SOBRE EXERCICIOS, 2,00 M X 1,00 M ( CHAPA GALVANIZADA #20), ESTRUTURA EM TUBOS REDONDOS DE ACO CARBONO, PINTURA NO PROCESSO ELETROSTATICO, ADESIVO FRENTE E VERSO - PARA ACADEMIA AO AR LIVRE / ACADEMIA DA TERCEIRA IDADE - ATI</t>
  </si>
  <si>
    <t>2090,75</t>
  </si>
  <si>
    <t>2508,9</t>
  </si>
  <si>
    <t>103210-6</t>
  </si>
  <si>
    <t>17.3.1.5</t>
  </si>
  <si>
    <t>87298</t>
  </si>
  <si>
    <t>ARGAMASSA TRAÇO 1:3 (EM VOLUME DE CIMENTO E AREIA MÉDIA ÚMIDA) PARA CONTRAPISO, PREPARO MECÂNICO COM BETONEIRA 400 L. AF_08/2019</t>
  </si>
  <si>
    <t>0,0032</t>
  </si>
  <si>
    <t>552,37</t>
  </si>
  <si>
    <t>2,1211</t>
  </si>
  <si>
    <t>0,032 M3</t>
  </si>
  <si>
    <t>103210-7</t>
  </si>
  <si>
    <t>17.3.1.6</t>
  </si>
  <si>
    <t>3,4922</t>
  </si>
  <si>
    <t>110,87</t>
  </si>
  <si>
    <t>133,0528</t>
  </si>
  <si>
    <t>34,922 H</t>
  </si>
  <si>
    <t>103210-8</t>
  </si>
  <si>
    <t>17.3.1.7</t>
  </si>
  <si>
    <t>1,7461</t>
  </si>
  <si>
    <t>47,7</t>
  </si>
  <si>
    <t>57,2441</t>
  </si>
  <si>
    <t>17,461 H</t>
  </si>
  <si>
    <t>103210-9</t>
  </si>
  <si>
    <t>17.3.1.8</t>
  </si>
  <si>
    <t>102486</t>
  </si>
  <si>
    <t>CONCRETO FCK = 15MPA, TRAÇO 1:3,4:3,4 (EM MASSA SECA DE CIMENTO/ AREIA MÉDIA/ SEIXO ROLADO) - PREPARO MANUAL. AF_05/2021</t>
  </si>
  <si>
    <t>0,0569</t>
  </si>
  <si>
    <t>530,77</t>
  </si>
  <si>
    <t>36,241</t>
  </si>
  <si>
    <t>0,569 M3</t>
  </si>
  <si>
    <t>103210-10</t>
  </si>
  <si>
    <t>103210-11</t>
  </si>
  <si>
    <t>103210-12</t>
  </si>
  <si>
    <t>103210-13</t>
  </si>
  <si>
    <t>103210-14</t>
  </si>
  <si>
    <t>103210-15</t>
  </si>
  <si>
    <t>103210-16</t>
  </si>
  <si>
    <t>18</t>
  </si>
  <si>
    <t>LP</t>
  </si>
  <si>
    <t>LIMPEZA</t>
  </si>
  <si>
    <t>28191,2681</t>
  </si>
  <si>
    <t>19332,2386</t>
  </si>
  <si>
    <t>8859,0295</t>
  </si>
  <si>
    <t>33829,5217</t>
  </si>
  <si>
    <t>0,0045478990667</t>
  </si>
  <si>
    <t>LP.1</t>
  </si>
  <si>
    <t>18.1</t>
  </si>
  <si>
    <t>LIMPEZA INTERNA</t>
  </si>
  <si>
    <t>27670,0781</t>
  </si>
  <si>
    <t>18952,1314</t>
  </si>
  <si>
    <t>8717,9467</t>
  </si>
  <si>
    <t>33204,0937</t>
  </si>
  <si>
    <t>0,0044638191485</t>
  </si>
  <si>
    <t>18.1.1</t>
  </si>
  <si>
    <t>99805</t>
  </si>
  <si>
    <t>LIMPEZA DE PISO CERÂMICO OU COM PEDRAS RÚSTICAS UTILIZANDO ÁCIDO MURIÁTICO. AF_04/2019</t>
  </si>
  <si>
    <t>14,29</t>
  </si>
  <si>
    <t>24957,3421</t>
  </si>
  <si>
    <t>9,7605</t>
  </si>
  <si>
    <t>17046,5997</t>
  </si>
  <si>
    <t>4,5295</t>
  </si>
  <si>
    <t>7910,7424</t>
  </si>
  <si>
    <t>29948,8105</t>
  </si>
  <si>
    <t>0,0040261925232</t>
  </si>
  <si>
    <t>99805-2</t>
  </si>
  <si>
    <t>18.1.1.1</t>
  </si>
  <si>
    <t>ACIDO CLORIDRICO / ACIDO MURIATICO, DILUICAO 10% A 12% PARA USO EM LIMPEZA</t>
  </si>
  <si>
    <t>1,0032</t>
  </si>
  <si>
    <t>76,8456 L</t>
  </si>
  <si>
    <t>99805-3</t>
  </si>
  <si>
    <t>18.1.1.2</t>
  </si>
  <si>
    <t>0,493</t>
  </si>
  <si>
    <t>13,46</t>
  </si>
  <si>
    <t>16,1625</t>
  </si>
  <si>
    <t>861,0196 H</t>
  </si>
  <si>
    <t>99805-4</t>
  </si>
  <si>
    <t>99805-5</t>
  </si>
  <si>
    <t>99805-6</t>
  </si>
  <si>
    <t>99805-7</t>
  </si>
  <si>
    <t>99805-8</t>
  </si>
  <si>
    <t>99805-9</t>
  </si>
  <si>
    <t>99805-10</t>
  </si>
  <si>
    <t>99805-11</t>
  </si>
  <si>
    <t>99805-12</t>
  </si>
  <si>
    <t>99805-13</t>
  </si>
  <si>
    <t>99805-14</t>
  </si>
  <si>
    <t>99805-15</t>
  </si>
  <si>
    <t>99805-16</t>
  </si>
  <si>
    <t>18.1.2</t>
  </si>
  <si>
    <t>99807</t>
  </si>
  <si>
    <t>LIMPEZA DE REVESTIMENTO CERÂMICO EM PAREDE UTILIZANDO DETERGENTE NEUTRO E ESCOVAÇÃO MANUAL. AF_04/2019</t>
  </si>
  <si>
    <t>2,08</t>
  </si>
  <si>
    <t>2712,736</t>
  </si>
  <si>
    <t>1,4611</t>
  </si>
  <si>
    <t>1905,5316</t>
  </si>
  <si>
    <t>0,6189</t>
  </si>
  <si>
    <t>807,2044</t>
  </si>
  <si>
    <t>3255,2832</t>
  </si>
  <si>
    <t>0,00043762662534</t>
  </si>
  <si>
    <t>99807-2</t>
  </si>
  <si>
    <t>18.1.2.1</t>
  </si>
  <si>
    <t>44329</t>
  </si>
  <si>
    <t>DETERGENTE NEUTRO USO GERAL, CONCENTRADO</t>
  </si>
  <si>
    <t>15,47</t>
  </si>
  <si>
    <t>0,1114</t>
  </si>
  <si>
    <t>7,8252 L</t>
  </si>
  <si>
    <t>99807-3</t>
  </si>
  <si>
    <t>18.1.2.2</t>
  </si>
  <si>
    <t>1,99</t>
  </si>
  <si>
    <t>2,3932</t>
  </si>
  <si>
    <t>95,2066 H</t>
  </si>
  <si>
    <t>99807-4</t>
  </si>
  <si>
    <t>99807-5</t>
  </si>
  <si>
    <t>99807-6</t>
  </si>
  <si>
    <t>99807-7</t>
  </si>
  <si>
    <t>99807-8</t>
  </si>
  <si>
    <t>99807-9</t>
  </si>
  <si>
    <t>99807-10</t>
  </si>
  <si>
    <t>99807-11</t>
  </si>
  <si>
    <t>99807-12</t>
  </si>
  <si>
    <t>99807-13</t>
  </si>
  <si>
    <t>99807-14</t>
  </si>
  <si>
    <t>99807-15</t>
  </si>
  <si>
    <t>99807-16</t>
  </si>
  <si>
    <t>LP.2</t>
  </si>
  <si>
    <t>18.2</t>
  </si>
  <si>
    <t>LIMPEZA ÁREAS TÉCNICAS E EXTERNAS</t>
  </si>
  <si>
    <t>521,19</t>
  </si>
  <si>
    <t>380,1072</t>
  </si>
  <si>
    <t>141,0828</t>
  </si>
  <si>
    <t>625,428</t>
  </si>
  <si>
    <t>8,4079918156e-05</t>
  </si>
  <si>
    <t>18.2.1</t>
  </si>
  <si>
    <t>99811</t>
  </si>
  <si>
    <t>LIMPEZA DE CONTRAPISO COM VASSOURA A SECO. AF_04/2019</t>
  </si>
  <si>
    <t>115,82</t>
  </si>
  <si>
    <t>4,5</t>
  </si>
  <si>
    <t>3,2819</t>
  </si>
  <si>
    <t>1,2181</t>
  </si>
  <si>
    <t>99811-2</t>
  </si>
  <si>
    <t>18.2.1.1</t>
  </si>
  <si>
    <t>0,165</t>
  </si>
  <si>
    <t>5,4094</t>
  </si>
  <si>
    <t>19,1103 H</t>
  </si>
  <si>
    <t>99811-3</t>
  </si>
  <si>
    <t>99811-4</t>
  </si>
  <si>
    <t>99811-5</t>
  </si>
  <si>
    <t>99811-6</t>
  </si>
  <si>
    <t>99811-7</t>
  </si>
  <si>
    <t>99811-8</t>
  </si>
  <si>
    <t>99811-9</t>
  </si>
  <si>
    <t>99811-10</t>
  </si>
  <si>
    <t>99811-11</t>
  </si>
  <si>
    <t>99811-12</t>
  </si>
  <si>
    <t>99811-13</t>
  </si>
  <si>
    <t>99811-14</t>
  </si>
  <si>
    <t>99811-15</t>
  </si>
  <si>
    <t>99811-16</t>
  </si>
  <si>
    <t>LP.3</t>
  </si>
  <si>
    <t>0.1</t>
  </si>
  <si>
    <t>0.2</t>
  </si>
  <si>
    <t>0.3</t>
  </si>
  <si>
    <t>CUSTO TOTAL DA OBRA</t>
  </si>
  <si>
    <t>6198745,3298</t>
  </si>
  <si>
    <t>TOTAL M.O.</t>
  </si>
  <si>
    <t>2309374,2625</t>
  </si>
  <si>
    <t>TOTAL MAT.</t>
  </si>
  <si>
    <t>3757277,8754</t>
  </si>
  <si>
    <t>TOTAL EQUIP.</t>
  </si>
  <si>
    <t>131794,751</t>
  </si>
  <si>
    <t>BDI</t>
  </si>
  <si>
    <t>TIPO DE OBRA:</t>
  </si>
  <si>
    <t>PRIVADA</t>
  </si>
  <si>
    <t>1239749,066</t>
  </si>
  <si>
    <t>ADMINISTRAÇÃO CENTRAL</t>
  </si>
  <si>
    <t>BDI PARA OBRAS PÚBLICAS:</t>
  </si>
  <si>
    <t>SEGUROS E GARANTIAS</t>
  </si>
  <si>
    <t>RISCOS</t>
  </si>
  <si>
    <t>DESPESAS FINANCEIRAS</t>
  </si>
  <si>
    <t>BDI PARA OBRAS PRIVADAS:</t>
  </si>
  <si>
    <t>LUCRO</t>
  </si>
  <si>
    <t>IMPOSTOS</t>
  </si>
  <si>
    <t>CUSTOS COM TERRENO</t>
  </si>
  <si>
    <t>1000000</t>
  </si>
  <si>
    <t>SOMA DE SERVIÇOS NÃO CONSIDERADOS PELO CUB:</t>
  </si>
  <si>
    <t>257026,1577</t>
  </si>
  <si>
    <t>LOTE</t>
  </si>
  <si>
    <t>CUSTOS COM COMERCIALIZAÇÃO</t>
  </si>
  <si>
    <t>850000</t>
  </si>
  <si>
    <t>CORRETAGEM</t>
  </si>
  <si>
    <t>300000</t>
  </si>
  <si>
    <t>MARKETING E PUBLICIDADE</t>
  </si>
  <si>
    <t>400000</t>
  </si>
  <si>
    <t>ADMINISTRAÇÃO PARA VENDAS</t>
  </si>
  <si>
    <t>150000</t>
  </si>
  <si>
    <t>CUSTO TOTAL DO EMPREENDIMENTO</t>
  </si>
  <si>
    <t>9288494,3957</t>
  </si>
  <si>
    <t>PÚBLICA</t>
  </si>
  <si>
    <t>OBRA</t>
  </si>
  <si>
    <t>ETAPA</t>
  </si>
  <si>
    <t>ORÇAMENTO</t>
  </si>
  <si>
    <t>%</t>
  </si>
  <si>
    <t>CUSTO TOTAL DE CONSTRUÇÃO</t>
  </si>
  <si>
    <t>DATA</t>
  </si>
  <si>
    <t>EQUALIZAÇÃO</t>
  </si>
  <si>
    <t>TOTAL</t>
  </si>
  <si>
    <t>AVANÇO FÍSICO PLANEJADO MENSAL</t>
  </si>
  <si>
    <t>AVANÇO FÍSICO PLANEJADO ACUMULADO</t>
  </si>
  <si>
    <t>FÍSICO-FINANCEIRO MENSAL DE OBRA</t>
  </si>
  <si>
    <t>FÍSICO-FINANCEIRO ACUMULADO DE OBRA</t>
  </si>
  <si>
    <t>DIFERENÇA</t>
  </si>
  <si>
    <t>RELATÓRIO DE EQUALIZAÇÃO DE ORÇAMENTO PARA PLANILHA PCI</t>
  </si>
  <si>
    <t>LOCAL</t>
  </si>
  <si>
    <t>PCI ADOTADO (C/ BDI)</t>
  </si>
  <si>
    <t>CUSTO TOTAL COM BDI</t>
  </si>
  <si>
    <t>PESO</t>
  </si>
  <si>
    <t>SAÍDAS</t>
  </si>
  <si>
    <t>ACUMULADO</t>
  </si>
  <si>
    <t>INFORMAÇÕES DO EMPREENDIMENTO</t>
  </si>
  <si>
    <t>CIDADE / UF</t>
  </si>
  <si>
    <t>MAPA DAS UNIDADES</t>
  </si>
  <si>
    <t>TIPOLOGIA</t>
  </si>
  <si>
    <t>ÁREA PRIVATIVA</t>
  </si>
  <si>
    <t>VALOR / UNIDADE</t>
  </si>
  <si>
    <t>PERMUTA</t>
  </si>
  <si>
    <t>PREÇO M²</t>
  </si>
  <si>
    <t>Ed. Curupira | EW Esteves Construções</t>
  </si>
  <si>
    <t>Ribeirão Preto / SP</t>
  </si>
  <si>
    <t>1º Pav. Final 1 e 3</t>
  </si>
  <si>
    <t>1º Pav. Final 2 e 4</t>
  </si>
  <si>
    <t>2º Pav. Final 1 e 3</t>
  </si>
  <si>
    <t>2º Pav. Final 2 e 4</t>
  </si>
  <si>
    <t>3º Pav. Final 1 e 3</t>
  </si>
  <si>
    <t>3º Pav. Final 2 e 4</t>
  </si>
  <si>
    <t>4º Pav. Final 1 e 3</t>
  </si>
  <si>
    <t>4º Pav. Final 2 e 4</t>
  </si>
  <si>
    <t>5º Pav. Final 1 e 3</t>
  </si>
  <si>
    <t>5º Pav. Final 2 e 4</t>
  </si>
  <si>
    <t>LINHA DO TEMPO</t>
  </si>
  <si>
    <t>INÍCIO</t>
  </si>
  <si>
    <t>START VENDAS</t>
  </si>
  <si>
    <t>Viabilidade</t>
  </si>
  <si>
    <t>Aprovação</t>
  </si>
  <si>
    <t>Vendas</t>
  </si>
  <si>
    <t>Obras</t>
  </si>
  <si>
    <t>Legalização</t>
  </si>
  <si>
    <t>MESES</t>
  </si>
  <si>
    <t>I</t>
  </si>
  <si>
    <t>T</t>
  </si>
  <si>
    <t>QUADRO RESUMO</t>
  </si>
  <si>
    <t>UNIDADES</t>
  </si>
  <si>
    <t>VALOR GERAL DE VENDA (VGV)</t>
  </si>
  <si>
    <t>Vendável</t>
  </si>
  <si>
    <t>Permuta</t>
  </si>
  <si>
    <t>ESCALA:</t>
  </si>
  <si>
    <t>MENSAL</t>
  </si>
  <si>
    <t>ÁREA DO LOTE</t>
  </si>
  <si>
    <t>ÁREA TOTAL CONSTRUÍDA</t>
  </si>
  <si>
    <t>ÁREA COMPUTÁVEL</t>
  </si>
  <si>
    <t>EFICIÊNCIA</t>
  </si>
  <si>
    <t>C.A.</t>
  </si>
  <si>
    <t>CUSTO BASE</t>
  </si>
  <si>
    <t>ITBI / REGISTRO</t>
  </si>
  <si>
    <t>VALOR VENAL</t>
  </si>
  <si>
    <t>OUTORGA ONEROSA</t>
  </si>
  <si>
    <t>CEPAC</t>
  </si>
  <si>
    <t>CUSTO TOTAL</t>
  </si>
  <si>
    <t>CUSTO OBRA</t>
  </si>
  <si>
    <t>PAGAMENTO</t>
  </si>
  <si>
    <t>PERMUTA FINANCEIRA</t>
  </si>
  <si>
    <t>PERMUTA FÍSICA FORA</t>
  </si>
  <si>
    <t>COMISSÃO</t>
  </si>
  <si>
    <t>ÁREA</t>
  </si>
  <si>
    <t>REFERÊNCIA PROJETO PADRÃO (NBR 12.721)</t>
  </si>
  <si>
    <t>MÊS DE REFERÊNCIA</t>
  </si>
  <si>
    <t>CUSTO / M²</t>
  </si>
  <si>
    <t>CUSTO HISTÓRICO / M² (ÁREA TOTAL CONSTRUÍDA)</t>
  </si>
  <si>
    <t>COEFICIENTE</t>
  </si>
  <si>
    <t>ÁREA EQUIVALENTE</t>
  </si>
  <si>
    <t>OBSERVAÇÕES</t>
  </si>
  <si>
    <t>Garagem (Subsolo 1)</t>
  </si>
  <si>
    <t>0,50 a 0,75</t>
  </si>
  <si>
    <t>Garagem (Subsolo 3)</t>
  </si>
  <si>
    <t>Garagem (Subsolo 4)</t>
  </si>
  <si>
    <t>Garagem (Subsolo 5)</t>
  </si>
  <si>
    <t>Salas sem acabamento</t>
  </si>
  <si>
    <t>0,75 a 0,90</t>
  </si>
  <si>
    <t>Lojas sem acabamento</t>
  </si>
  <si>
    <t>0,40 a 0,60</t>
  </si>
  <si>
    <t>Varandas</t>
  </si>
  <si>
    <t>0,75 a 1,00</t>
  </si>
  <si>
    <t>Terraço ou áreas descobertas sobre lajes</t>
  </si>
  <si>
    <t>0,30 a 0,60</t>
  </si>
  <si>
    <t>Estacionamento sobre terreno</t>
  </si>
  <si>
    <t>0,05 a 0,10</t>
  </si>
  <si>
    <t>Barrilhete</t>
  </si>
  <si>
    <t>Caixa d´água</t>
  </si>
  <si>
    <t>Casa de máquinas</t>
  </si>
  <si>
    <t>COEF. EQUIV.</t>
  </si>
  <si>
    <t>Esta área está considerada como área construída no projeto arquitetônico.</t>
  </si>
  <si>
    <t>ÁREA EQUIV.</t>
  </si>
  <si>
    <t>Piscinas, quintais, etc</t>
  </si>
  <si>
    <t>Garagem (Subsolo 2) - Térreo</t>
  </si>
  <si>
    <t>ÁREA RESIDUAL</t>
  </si>
  <si>
    <t>ÁREA EQUIVALENTE TOTAL</t>
  </si>
  <si>
    <t>ITENS NÃO CONSIDERADOS NO CUB</t>
  </si>
  <si>
    <t>QUANTIDADE</t>
  </si>
  <si>
    <t>UNIDADE</t>
  </si>
  <si>
    <t>VALOR UNITÁRIO</t>
  </si>
  <si>
    <t>VALOR TOTAL</t>
  </si>
  <si>
    <t>vb</t>
  </si>
  <si>
    <t>Elevadores</t>
  </si>
  <si>
    <t>Fogões</t>
  </si>
  <si>
    <t>Aquecedores</t>
  </si>
  <si>
    <t>Bombas de recalque</t>
  </si>
  <si>
    <t>Incineração</t>
  </si>
  <si>
    <t>Ar condicionado</t>
  </si>
  <si>
    <t>Calefação</t>
  </si>
  <si>
    <t>Ventilação e exaustão</t>
  </si>
  <si>
    <t>Urbanização</t>
  </si>
  <si>
    <t>Ajardinamento</t>
  </si>
  <si>
    <t>Instalação e regulamentação do condomínio</t>
  </si>
  <si>
    <t xml:space="preserve">Outros </t>
  </si>
  <si>
    <t>Fundações especiais (CUB = fundações diretas até 2,50m)</t>
  </si>
  <si>
    <t>Playground (quando fora da área construída)</t>
  </si>
  <si>
    <t>Recreação (piscina, campos de esportes)</t>
  </si>
  <si>
    <t>R8 – A</t>
  </si>
  <si>
    <t>TAXA DE ADMINISTRAÇÃO DE OBRA</t>
  </si>
  <si>
    <t>Índice</t>
  </si>
  <si>
    <t>Mensal</t>
  </si>
  <si>
    <t>Valor Total</t>
  </si>
  <si>
    <t>CUB Ajustado</t>
  </si>
  <si>
    <t>CUSTOS E DESPESAS EXTRAS</t>
  </si>
  <si>
    <t>VALOR TERRENO</t>
  </si>
  <si>
    <t>VALOR TERRENO GERAL</t>
  </si>
  <si>
    <t>VGV NOMINAL</t>
  </si>
  <si>
    <t>VGV GERAL</t>
  </si>
  <si>
    <t>DESCRIÇÃO</t>
  </si>
  <si>
    <t>BASE</t>
  </si>
  <si>
    <t>ÍNDICE</t>
  </si>
  <si>
    <t>VALOR</t>
  </si>
  <si>
    <t>GESTÃO DO PROJETO</t>
  </si>
  <si>
    <t>IPTU</t>
  </si>
  <si>
    <t>INCORPORAÇÃO</t>
  </si>
  <si>
    <t>Projetos</t>
  </si>
  <si>
    <t>Despesas Legais</t>
  </si>
  <si>
    <t>Aprovação CEF</t>
  </si>
  <si>
    <t>Demolições</t>
  </si>
  <si>
    <t>Canteiro</t>
  </si>
  <si>
    <t>Máquinas e Equipamentos</t>
  </si>
  <si>
    <t>Regularização</t>
  </si>
  <si>
    <t>Infraestrutura não Incidente</t>
  </si>
  <si>
    <t>Assistência Técnica</t>
  </si>
  <si>
    <t>Outros (reembolso entrada 4 aptos)</t>
  </si>
  <si>
    <t>Custo Obra</t>
  </si>
  <si>
    <t>VGV Geral</t>
  </si>
  <si>
    <t>Base</t>
  </si>
  <si>
    <t>Valor Mensal</t>
  </si>
  <si>
    <t>Folha Pagamento</t>
  </si>
  <si>
    <t>COMERCIALIZAÇÃO</t>
  </si>
  <si>
    <t>Documentação</t>
  </si>
  <si>
    <t>Registro</t>
  </si>
  <si>
    <t>Valor Terreno</t>
  </si>
  <si>
    <t>VGV Nominal</t>
  </si>
  <si>
    <t>Corretagem</t>
  </si>
  <si>
    <t>Administração de Vendas</t>
  </si>
  <si>
    <t>Marketing e Publicidade</t>
  </si>
  <si>
    <t>Stand de Vendas</t>
  </si>
  <si>
    <t>Apartamento Decorado</t>
  </si>
  <si>
    <t>Apartamento Modelo</t>
  </si>
  <si>
    <t>Outros</t>
  </si>
  <si>
    <t>SEGUROS</t>
  </si>
  <si>
    <t>Expectativa</t>
  </si>
  <si>
    <t>Ganho de Capital</t>
  </si>
  <si>
    <t>Imposto</t>
  </si>
  <si>
    <t>Risco de Engenhairia</t>
  </si>
  <si>
    <t>Conclusão de Obra</t>
  </si>
  <si>
    <t>ADMINISTRAÇÃO DE VENDAS</t>
  </si>
  <si>
    <t>CUSTO DE CAPITAL</t>
  </si>
  <si>
    <t>Sem Corretagem e Administração</t>
  </si>
  <si>
    <t>TAXA</t>
  </si>
  <si>
    <t>PERÍODO</t>
  </si>
  <si>
    <t>QUADRO RESUMO DO EMPREENDIMENTO</t>
  </si>
  <si>
    <t xml:space="preserve"> Comercialização</t>
  </si>
  <si>
    <t xml:space="preserve"> Seguros</t>
  </si>
  <si>
    <t xml:space="preserve"> Taxas Custos e Despesas Extras</t>
  </si>
  <si>
    <t xml:space="preserve"> Obra</t>
  </si>
  <si>
    <t xml:space="preserve"> Terreno</t>
  </si>
  <si>
    <t>Negociação do Lote</t>
  </si>
  <si>
    <t>Comissão, ITBI e Registro</t>
  </si>
  <si>
    <t>Outorga Onerosa</t>
  </si>
  <si>
    <t>Taxa de Administração de Obra</t>
  </si>
  <si>
    <t>Gestão do Projeto</t>
  </si>
  <si>
    <t>Incorporação</t>
  </si>
  <si>
    <t>Recebimento em Imóveis</t>
  </si>
  <si>
    <t>Impostos</t>
  </si>
  <si>
    <t>Custo de Capital</t>
  </si>
  <si>
    <t>RECEITA DE VENDAS</t>
  </si>
  <si>
    <t>RESULTADO</t>
  </si>
  <si>
    <t>SIMULAÇÃO 01</t>
  </si>
  <si>
    <t>SIMULAÇÃO 02</t>
  </si>
  <si>
    <t>Selecione</t>
  </si>
  <si>
    <t>SIMULAÇÃO 03</t>
  </si>
  <si>
    <t>SIMULAÇÃO 04</t>
  </si>
  <si>
    <t>ANÁLISE COMPARATIVA DE SIMULAÇÕES</t>
  </si>
  <si>
    <t>ANÁLISE DE VIABILIDADE FINANCEIRA PRELIMINAR</t>
  </si>
  <si>
    <t>GLOBAL</t>
  </si>
  <si>
    <t>VALOR:</t>
  </si>
  <si>
    <t>Terreno</t>
  </si>
  <si>
    <t>Obra</t>
  </si>
  <si>
    <t>Comercialização</t>
  </si>
  <si>
    <t>Seguros</t>
  </si>
  <si>
    <t>Receita de Vendas</t>
  </si>
  <si>
    <t>Resultado</t>
  </si>
  <si>
    <t>ANÁLISE GRÁFICA</t>
  </si>
  <si>
    <t xml:space="preserve"> Taxas, Custos e Despesas Extras</t>
  </si>
  <si>
    <t>Despesas Extras</t>
  </si>
  <si>
    <t>Custo Contábil</t>
  </si>
  <si>
    <t>RECEBIMENTO EM IMÓVEIS</t>
  </si>
  <si>
    <t>Reprovado</t>
  </si>
  <si>
    <t>Popular</t>
  </si>
  <si>
    <t>Normal</t>
  </si>
  <si>
    <t>Alto</t>
  </si>
  <si>
    <t>Total</t>
  </si>
  <si>
    <t>Luxo</t>
  </si>
  <si>
    <t>Marcador</t>
  </si>
  <si>
    <t>Complemento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</si>
</sst>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R$&quot;\ * #,##0.00_-;\-&quot;R$&quot;\ * #,##0.00_-;_-&quot;R$&quot;\ * &quot;-&quot;??_-;_-@_-"/>
    <numFmt numFmtId="164" formatCode="&quot;R$&quot;\ #,##0.00"/>
    <numFmt numFmtId="165" formatCode="0.0000"/>
    <numFmt numFmtId="166" formatCode="[&gt;999999]\ 0.00,,\ &quot;M&quot;;\ 0,\ &quot;k&quot;"/>
    <numFmt numFmtId="167" formatCode="_(* #,##0.0_);_(* \(#,##0.0\);_(* &quot;-&quot;??_);_(@_)"/>
    <numFmt numFmtId="168" formatCode="0.00&quot; m²&quot;"/>
    <numFmt numFmtId="169" formatCode="&quot;R$&quot;\ #,##0.00&quot; / m²&quot;"/>
    <numFmt numFmtId="170" formatCode="0.00%\ &quot;a.a.&quot;"/>
    <numFmt numFmtId="171" formatCode="0&quot; meses&quot;"/>
  </numFmts>
  <fonts count="4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4"/>
      <color theme="0"/>
      <name val="Calibri"/>
      <family val="2"/>
      <scheme val="minor"/>
    </font>
    <font>
      <b/>
      <sz val="14"/>
      <color theme="0"/>
      <name val="Calibri"/>
      <family val="2"/>
      <scheme val="minor"/>
    </font>
    <font>
      <b/>
      <sz val="12"/>
      <color theme="0"/>
      <name val="Calibri"/>
      <family val="2"/>
      <scheme val="minor"/>
    </font>
    <font>
      <sz val="11"/>
      <color theme="0"/>
      <name val="Calibri"/>
      <family val="2"/>
      <scheme val="minor"/>
    </font>
    <font>
      <sz val="10"/>
      <color theme="1"/>
      <name val="Calibri"/>
      <family val="2"/>
      <scheme val="minor"/>
    </font>
    <font>
      <sz val="14"/>
      <color theme="1"/>
      <name val="Calibri"/>
      <family val="2"/>
      <scheme val="minor"/>
    </font>
    <font>
      <sz val="13"/>
      <color theme="1"/>
      <name val="Calibri"/>
      <family val="2"/>
      <scheme val="minor"/>
    </font>
    <font>
      <b/>
      <sz val="13"/>
      <color theme="0"/>
      <name val="Calibri"/>
      <family val="2"/>
      <scheme val="minor"/>
    </font>
    <font>
      <b/>
      <sz val="18"/>
      <color theme="1"/>
      <name val="Calibri"/>
      <family val="2"/>
      <scheme val="minor"/>
    </font>
    <font>
      <b/>
      <sz val="12"/>
      <name val="Calibri"/>
      <family val="2"/>
      <scheme val="minor"/>
    </font>
    <font>
      <sz val="12"/>
      <name val="Calibri"/>
      <family val="2"/>
      <scheme val="minor"/>
    </font>
    <font>
      <sz val="8"/>
      <color theme="1"/>
      <name val="Calibri"/>
      <family val="2"/>
      <scheme val="minor"/>
    </font>
    <font>
      <b/>
      <sz val="10"/>
      <color theme="1"/>
      <name val="Calibri"/>
      <family val="2"/>
      <scheme val="minor"/>
    </font>
    <font>
      <b/>
      <sz val="9"/>
      <color theme="0"/>
      <name val="Calibri"/>
      <family val="2"/>
      <scheme val="minor"/>
    </font>
    <font>
      <b/>
      <sz val="8"/>
      <color theme="1"/>
      <name val="Calibri"/>
      <family val="2"/>
      <scheme val="minor"/>
    </font>
    <font>
      <b/>
      <sz val="8"/>
      <name val="Calibri"/>
      <family val="2"/>
      <scheme val="minor"/>
    </font>
    <font>
      <sz val="11"/>
      <color theme="1"/>
      <name val="Century Gothic"/>
      <family val="2"/>
    </font>
    <font>
      <sz val="11"/>
      <color theme="3" tint="-0.249977111117893"/>
      <name val="Century Gothic"/>
      <family val="2"/>
    </font>
    <font>
      <b/>
      <sz val="11"/>
      <color theme="3" tint="-0.249977111117893"/>
      <name val="Century Gothic"/>
      <family val="2"/>
    </font>
    <font>
      <b/>
      <sz val="14"/>
      <color theme="0"/>
      <name val="Century Gothic"/>
      <family val="2"/>
    </font>
    <font>
      <sz val="11"/>
      <color theme="0" tint="-4.9989318521683403E-2"/>
      <name val="Century Gothic"/>
      <family val="2"/>
    </font>
    <font>
      <b/>
      <sz val="14"/>
      <color theme="0"/>
      <name val="Aptos"/>
      <family val="2"/>
    </font>
    <font>
      <b/>
      <sz val="12"/>
      <color theme="0"/>
      <name val="Aptos"/>
      <family val="2"/>
    </font>
    <font>
      <sz val="11"/>
      <color theme="1"/>
      <name val="Aptos"/>
      <family val="2"/>
    </font>
    <font>
      <b/>
      <sz val="12"/>
      <color theme="0" tint="-4.9989318521683403E-2"/>
      <name val="Aptos"/>
      <family val="2"/>
    </font>
    <font>
      <b/>
      <sz val="12"/>
      <color theme="3" tint="-0.249977111117893"/>
      <name val="Aptos"/>
      <family val="2"/>
    </font>
    <font>
      <sz val="11"/>
      <color theme="3" tint="-0.249977111117893"/>
      <name val="Calibri"/>
      <family val="2"/>
      <scheme val="minor"/>
    </font>
    <font>
      <b/>
      <sz val="14"/>
      <color theme="3" tint="-0.249977111117893"/>
      <name val="Calibri"/>
      <family val="2"/>
      <scheme val="minor"/>
    </font>
    <font>
      <sz val="10"/>
      <color theme="3" tint="-0.249977111117893"/>
      <name val="Century Gothic"/>
      <family val="2"/>
    </font>
    <font>
      <b/>
      <sz val="12"/>
      <color theme="3" tint="-0.249977111117893"/>
      <name val="Century Gothic"/>
      <family val="2"/>
    </font>
    <font>
      <b/>
      <sz val="14"/>
      <name val="Aptos"/>
      <family val="2"/>
    </font>
    <font>
      <b/>
      <sz val="14"/>
      <color theme="4" tint="0.59999389629810485"/>
      <name val="Aptos"/>
      <family val="2"/>
    </font>
    <font>
      <b/>
      <sz val="14"/>
      <color theme="3" tint="-0.249977111117893"/>
      <name val="Aptos"/>
      <family val="2"/>
    </font>
    <font>
      <sz val="8"/>
      <name val="Calibri"/>
      <family val="2"/>
      <scheme val="minor"/>
    </font>
    <font>
      <sz val="11"/>
      <name val="Calibri"/>
      <family val="2"/>
      <scheme val="minor"/>
    </font>
    <font>
      <b/>
      <sz val="12"/>
      <color theme="3" tint="-0.499984740745262"/>
      <name val="Century Gothic"/>
      <family val="2"/>
    </font>
  </fonts>
  <fills count="20">
    <fill>
      <patternFill patternType="none"/>
    </fill>
    <fill>
      <patternFill patternType="gray125"/>
    </fill>
    <fill>
      <patternFill patternType="solid">
        <fgColor theme="0" tint="-4.9989318521683403E-2"/>
        <bgColor indexed="64"/>
      </patternFill>
    </fill>
    <fill>
      <gradientFill degree="270">
        <stop position="0">
          <color rgb="FF5E5E5E"/>
        </stop>
        <stop position="1">
          <color theme="2" tint="-9.8025452436902985E-2"/>
        </stop>
      </gradientFill>
    </fill>
    <fill>
      <patternFill patternType="solid">
        <fgColor theme="1"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1" tint="0.249977111117893"/>
        <bgColor theme="0" tint="-0.14999847407452621"/>
      </patternFill>
    </fill>
    <fill>
      <patternFill patternType="solid">
        <fgColor theme="1" tint="0.14999847407452621"/>
        <bgColor indexed="64"/>
      </patternFill>
    </fill>
    <fill>
      <patternFill patternType="solid">
        <fgColor rgb="FFE9EAF7"/>
        <bgColor indexed="64"/>
      </patternFill>
    </fill>
    <fill>
      <patternFill patternType="solid">
        <fgColor rgb="FF3B495B"/>
        <bgColor indexed="64"/>
      </patternFill>
    </fill>
    <fill>
      <patternFill patternType="solid">
        <fgColor rgb="FF34465C"/>
        <bgColor indexed="64"/>
      </patternFill>
    </fill>
    <fill>
      <patternFill patternType="solid">
        <fgColor rgb="FFF8C3A2"/>
        <bgColor indexed="64"/>
      </patternFill>
    </fill>
    <fill>
      <patternFill patternType="solid">
        <fgColor rgb="FFED6E1F"/>
        <bgColor indexed="64"/>
      </patternFill>
    </fill>
    <fill>
      <patternFill patternType="solid">
        <fgColor rgb="FFEEEEEE"/>
        <bgColor indexed="64"/>
      </patternFill>
    </fill>
    <fill>
      <patternFill patternType="solid">
        <fgColor rgb="FF131E32"/>
        <bgColor indexed="64"/>
      </patternFill>
    </fill>
  </fills>
  <borders count="61">
    <border>
      <left/>
      <right/>
      <top/>
      <bottom/>
      <diagonal/>
    </border>
    <border>
      <left/>
      <right/>
      <top style="thin">
        <color theme="1" tint="0.249977111117893"/>
      </top>
      <bottom style="thin">
        <color theme="1" tint="0.249977111117893"/>
      </bottom>
      <diagonal/>
    </border>
    <border>
      <left style="thin">
        <color indexed="64"/>
      </left>
      <right style="thin">
        <color indexed="64"/>
      </right>
      <top style="thin">
        <color indexed="64"/>
      </top>
      <bottom style="thin">
        <color theme="2"/>
      </bottom>
      <diagonal/>
    </border>
    <border>
      <left style="thin">
        <color indexed="64"/>
      </left>
      <right style="thin">
        <color indexed="64"/>
      </right>
      <top style="thin">
        <color theme="2"/>
      </top>
      <bottom style="thin">
        <color indexed="64"/>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left>
      <right/>
      <top style="thin">
        <color indexed="64"/>
      </top>
      <bottom style="thin">
        <color indexed="64"/>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indexed="64"/>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indexed="64"/>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indexed="64"/>
      </right>
      <top style="thin">
        <color theme="0" tint="-0.34998626667073579"/>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indexed="64"/>
      </bottom>
      <diagonal/>
    </border>
    <border>
      <left/>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style="thin">
        <color indexed="64"/>
      </left>
      <right style="thin">
        <color theme="0"/>
      </right>
      <top style="thin">
        <color indexed="64"/>
      </top>
      <bottom style="thin">
        <color indexed="64"/>
      </bottom>
      <diagonal/>
    </border>
    <border>
      <left/>
      <right/>
      <top/>
      <bottom style="medium">
        <color theme="0"/>
      </bottom>
      <diagonal/>
    </border>
    <border>
      <left style="medium">
        <color theme="0"/>
      </left>
      <right style="medium">
        <color theme="0"/>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top/>
      <bottom style="medium">
        <color theme="0"/>
      </bottom>
      <diagonal/>
    </border>
    <border>
      <left/>
      <right style="medium">
        <color theme="0"/>
      </right>
      <top style="medium">
        <color theme="0"/>
      </top>
      <bottom/>
      <diagonal/>
    </border>
    <border>
      <left style="medium">
        <color theme="0"/>
      </left>
      <right style="medium">
        <color theme="0"/>
      </right>
      <top style="medium">
        <color theme="0"/>
      </top>
      <bottom/>
      <diagonal/>
    </border>
    <border>
      <left style="medium">
        <color theme="0"/>
      </left>
      <right/>
      <top style="medium">
        <color theme="0"/>
      </top>
      <bottom/>
      <diagonal/>
    </border>
    <border>
      <left/>
      <right/>
      <top style="medium">
        <color theme="0"/>
      </top>
      <bottom style="medium">
        <color theme="0"/>
      </bottom>
      <diagonal/>
    </border>
    <border>
      <left/>
      <right/>
      <top style="medium">
        <color theme="0"/>
      </top>
      <bottom/>
      <diagonal/>
    </border>
    <border>
      <left/>
      <right style="thick">
        <color theme="0"/>
      </right>
      <top/>
      <bottom/>
      <diagonal/>
    </border>
    <border>
      <left style="medium">
        <color theme="0"/>
      </left>
      <right style="thick">
        <color theme="0"/>
      </right>
      <top/>
      <bottom style="medium">
        <color theme="0"/>
      </bottom>
      <diagonal/>
    </border>
    <border>
      <left style="medium">
        <color theme="0"/>
      </left>
      <right style="thick">
        <color theme="0"/>
      </right>
      <top style="medium">
        <color theme="0"/>
      </top>
      <bottom style="medium">
        <color theme="0"/>
      </bottom>
      <diagonal/>
    </border>
    <border>
      <left style="medium">
        <color theme="0"/>
      </left>
      <right style="thick">
        <color theme="0"/>
      </right>
      <top style="medium">
        <color theme="0"/>
      </top>
      <bottom/>
      <diagonal/>
    </border>
    <border>
      <left style="thick">
        <color theme="0"/>
      </left>
      <right/>
      <top style="medium">
        <color theme="0"/>
      </top>
      <bottom/>
      <diagonal/>
    </border>
    <border>
      <left style="thick">
        <color theme="0"/>
      </left>
      <right style="medium">
        <color theme="0"/>
      </right>
      <top style="medium">
        <color theme="0"/>
      </top>
      <bottom style="medium">
        <color theme="0"/>
      </bottom>
      <diagonal/>
    </border>
    <border>
      <left style="thick">
        <color theme="0"/>
      </left>
      <right style="medium">
        <color theme="0"/>
      </right>
      <top style="medium">
        <color theme="0"/>
      </top>
      <bottom/>
      <diagonal/>
    </border>
    <border>
      <left style="thick">
        <color theme="0"/>
      </left>
      <right style="medium">
        <color theme="0"/>
      </right>
      <top/>
      <bottom style="medium">
        <color theme="0"/>
      </bottom>
      <diagonal/>
    </border>
    <border>
      <left/>
      <right style="thick">
        <color theme="0"/>
      </right>
      <top style="medium">
        <color theme="0"/>
      </top>
      <bottom/>
      <diagonal/>
    </border>
    <border>
      <left style="thin">
        <color rgb="FF3B495B"/>
      </left>
      <right/>
      <top style="thin">
        <color rgb="FF3B495B"/>
      </top>
      <bottom style="thin">
        <color rgb="FF3B495B"/>
      </bottom>
      <diagonal/>
    </border>
    <border>
      <left/>
      <right/>
      <top style="thin">
        <color rgb="FF3B495B"/>
      </top>
      <bottom style="thin">
        <color rgb="FF3B495B"/>
      </bottom>
      <diagonal/>
    </border>
    <border>
      <left/>
      <right style="thin">
        <color rgb="FF3B495B"/>
      </right>
      <top style="thin">
        <color rgb="FF3B495B"/>
      </top>
      <bottom style="thin">
        <color rgb="FF3B495B"/>
      </bottom>
      <diagonal/>
    </border>
    <border>
      <left/>
      <right/>
      <top style="thin">
        <color theme="1" tint="0.249977111117893"/>
      </top>
      <bottom/>
      <diagonal/>
    </border>
    <border>
      <left/>
      <right/>
      <top style="thin">
        <color rgb="FF131E32"/>
      </top>
      <bottom style="thin">
        <color rgb="FF131E32"/>
      </bottom>
      <diagonal/>
    </border>
    <border>
      <left style="thin">
        <color rgb="FF131E32"/>
      </left>
      <right/>
      <top/>
      <bottom/>
      <diagonal/>
    </border>
    <border>
      <left/>
      <right/>
      <top style="thin">
        <color rgb="FF34465C"/>
      </top>
      <bottom style="thin">
        <color rgb="FF34465C"/>
      </bottom>
      <diagonal/>
    </border>
    <border>
      <left style="thin">
        <color rgb="FF34465C"/>
      </left>
      <right/>
      <top/>
      <bottom/>
      <diagonal/>
    </border>
  </borders>
  <cellStyleXfs count="5">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xf numFmtId="44" fontId="1" fillId="0" borderId="0" applyFont="0" applyFill="0" applyBorder="0" applyAlignment="0" applyProtection="0"/>
  </cellStyleXfs>
  <cellXfs count="389">
    <xf numFmtId="0" fontId="0" fillId="0" borderId="0" xfId="0"/>
    <xf numFmtId="0" fontId="0" fillId="2" borderId="0" xfId="0" applyFill="1" applyAlignment="1">
      <alignment horizontal="center" vertical="center"/>
    </xf>
    <xf numFmtId="0" fontId="0" fillId="2" borderId="0" xfId="0" applyFill="1" applyAlignment="1">
      <alignment horizontal="left" vertical="center"/>
    </xf>
    <xf numFmtId="164" fontId="0" fillId="2" borderId="0" xfId="1" applyNumberFormat="1" applyFont="1" applyFill="1" applyAlignment="1">
      <alignment horizontal="center" vertical="center"/>
    </xf>
    <xf numFmtId="2" fontId="6" fillId="3" borderId="0" xfId="0" applyNumberFormat="1" applyFont="1" applyFill="1" applyAlignment="1">
      <alignment horizontal="center" vertical="center"/>
    </xf>
    <xf numFmtId="0" fontId="2" fillId="0" borderId="0" xfId="0" applyFont="1"/>
    <xf numFmtId="0" fontId="7" fillId="0" borderId="0" xfId="0" applyFont="1"/>
    <xf numFmtId="2" fontId="0" fillId="0" borderId="0" xfId="0" applyNumberFormat="1"/>
    <xf numFmtId="0" fontId="9" fillId="0" borderId="0" xfId="0" applyFont="1"/>
    <xf numFmtId="0" fontId="10" fillId="0" borderId="0" xfId="0" applyFont="1"/>
    <xf numFmtId="165" fontId="0" fillId="0" borderId="0" xfId="0" applyNumberFormat="1"/>
    <xf numFmtId="0" fontId="12" fillId="0" borderId="0" xfId="0" applyFont="1" applyAlignment="1">
      <alignment vertical="center"/>
    </xf>
    <xf numFmtId="164" fontId="6" fillId="4" borderId="6" xfId="0" applyNumberFormat="1" applyFont="1" applyFill="1" applyBorder="1" applyAlignment="1">
      <alignment horizontal="center" vertical="center"/>
    </xf>
    <xf numFmtId="164" fontId="13" fillId="0" borderId="0" xfId="0" applyNumberFormat="1" applyFont="1" applyAlignment="1">
      <alignment horizontal="center" vertical="center"/>
    </xf>
    <xf numFmtId="164" fontId="6" fillId="0" borderId="0" xfId="0" applyNumberFormat="1" applyFont="1" applyAlignment="1">
      <alignment horizontal="center" vertical="center"/>
    </xf>
    <xf numFmtId="0" fontId="6" fillId="0" borderId="0" xfId="0" applyFont="1" applyAlignment="1">
      <alignment horizontal="center" vertical="center"/>
    </xf>
    <xf numFmtId="164" fontId="5" fillId="4" borderId="6" xfId="0" applyNumberFormat="1" applyFont="1" applyFill="1" applyBorder="1" applyAlignment="1">
      <alignment horizontal="center" vertical="center"/>
    </xf>
    <xf numFmtId="17" fontId="6" fillId="4" borderId="6" xfId="0" applyNumberFormat="1" applyFont="1" applyFill="1" applyBorder="1" applyAlignment="1">
      <alignment horizontal="centerContinuous" vertical="center" wrapText="1"/>
    </xf>
    <xf numFmtId="0" fontId="13" fillId="9" borderId="5" xfId="0" applyFont="1" applyFill="1" applyBorder="1" applyAlignment="1">
      <alignment horizontal="center" vertical="center"/>
    </xf>
    <xf numFmtId="17" fontId="6" fillId="4" borderId="7" xfId="0" applyNumberFormat="1" applyFont="1" applyFill="1" applyBorder="1" applyAlignment="1">
      <alignment horizontal="centerContinuous" vertical="center" wrapText="1"/>
    </xf>
    <xf numFmtId="17" fontId="6" fillId="4" borderId="8" xfId="0" applyNumberFormat="1" applyFont="1" applyFill="1" applyBorder="1" applyAlignment="1">
      <alignment horizontal="left" vertical="center" wrapText="1" indent="1"/>
    </xf>
    <xf numFmtId="164" fontId="6" fillId="4" borderId="7" xfId="0" applyNumberFormat="1" applyFont="1" applyFill="1" applyBorder="1" applyAlignment="1">
      <alignment horizontal="center" vertical="center"/>
    </xf>
    <xf numFmtId="14" fontId="14" fillId="2" borderId="5" xfId="0" applyNumberFormat="1" applyFont="1" applyFill="1" applyBorder="1" applyAlignment="1">
      <alignment horizontal="center" vertical="center"/>
    </xf>
    <xf numFmtId="0" fontId="8" fillId="0" borderId="0" xfId="0" applyFont="1" applyAlignment="1">
      <alignment horizontal="center" vertical="center"/>
    </xf>
    <xf numFmtId="164" fontId="8" fillId="0" borderId="0" xfId="0" applyNumberFormat="1" applyFont="1" applyAlignment="1">
      <alignment horizontal="center" vertical="center"/>
    </xf>
    <xf numFmtId="164" fontId="0" fillId="0" borderId="0" xfId="0" applyNumberFormat="1"/>
    <xf numFmtId="0" fontId="0" fillId="0" borderId="0" xfId="0" applyAlignment="1">
      <alignment horizontal="center"/>
    </xf>
    <xf numFmtId="17" fontId="6" fillId="4" borderId="8" xfId="0" applyNumberFormat="1" applyFont="1" applyFill="1" applyBorder="1" applyAlignment="1">
      <alignment horizontal="centerContinuous" vertical="center" wrapText="1"/>
    </xf>
    <xf numFmtId="0" fontId="0" fillId="0" borderId="0" xfId="0" applyAlignment="1">
      <alignment horizontal="centerContinuous"/>
    </xf>
    <xf numFmtId="9" fontId="15" fillId="5" borderId="2" xfId="2" applyFont="1" applyFill="1" applyBorder="1" applyAlignment="1" applyProtection="1">
      <alignment horizontal="centerContinuous" vertical="center"/>
    </xf>
    <xf numFmtId="17" fontId="17" fillId="4" borderId="8" xfId="0" applyNumberFormat="1" applyFont="1" applyFill="1" applyBorder="1" applyAlignment="1">
      <alignment horizontal="centerContinuous" vertical="center" wrapText="1"/>
    </xf>
    <xf numFmtId="10" fontId="15" fillId="6" borderId="5" xfId="2" applyNumberFormat="1" applyFont="1" applyFill="1" applyBorder="1" applyAlignment="1" applyProtection="1">
      <alignment horizontal="center" vertical="center"/>
    </xf>
    <xf numFmtId="10" fontId="18" fillId="9" borderId="5" xfId="2" applyNumberFormat="1" applyFont="1" applyFill="1" applyBorder="1" applyAlignment="1" applyProtection="1">
      <alignment horizontal="center" vertical="center"/>
    </xf>
    <xf numFmtId="9" fontId="15" fillId="5" borderId="2" xfId="2" applyFont="1" applyFill="1" applyBorder="1" applyAlignment="1" applyProtection="1">
      <alignment horizontal="center" vertical="center"/>
    </xf>
    <xf numFmtId="10" fontId="15" fillId="6" borderId="5" xfId="2" applyNumberFormat="1" applyFont="1" applyFill="1" applyBorder="1" applyAlignment="1" applyProtection="1">
      <alignment horizontal="centerContinuous" vertical="center"/>
    </xf>
    <xf numFmtId="10" fontId="18" fillId="9" borderId="5" xfId="2" applyNumberFormat="1" applyFont="1" applyFill="1" applyBorder="1" applyAlignment="1" applyProtection="1">
      <alignment horizontal="centerContinuous" vertical="center"/>
    </xf>
    <xf numFmtId="0" fontId="15" fillId="0" borderId="0" xfId="0" applyFont="1" applyAlignment="1">
      <alignment horizontal="centerContinuous"/>
    </xf>
    <xf numFmtId="166" fontId="15" fillId="5" borderId="3" xfId="2" applyNumberFormat="1" applyFont="1" applyFill="1" applyBorder="1" applyAlignment="1" applyProtection="1">
      <alignment horizontal="centerContinuous" vertical="center"/>
    </xf>
    <xf numFmtId="166" fontId="15" fillId="8" borderId="5" xfId="4" applyNumberFormat="1" applyFont="1" applyFill="1" applyBorder="1" applyAlignment="1" applyProtection="1">
      <alignment horizontal="centerContinuous" vertical="center"/>
    </xf>
    <xf numFmtId="166" fontId="19" fillId="10" borderId="5" xfId="4" applyNumberFormat="1" applyFont="1" applyFill="1" applyBorder="1" applyAlignment="1" applyProtection="1">
      <alignment horizontal="centerContinuous" vertical="center"/>
    </xf>
    <xf numFmtId="166" fontId="15" fillId="5" borderId="3" xfId="2" applyNumberFormat="1" applyFont="1" applyFill="1" applyBorder="1" applyAlignment="1" applyProtection="1">
      <alignment horizontal="center" vertical="center"/>
    </xf>
    <xf numFmtId="0" fontId="15" fillId="0" borderId="0" xfId="0" applyFont="1" applyAlignment="1">
      <alignment horizontal="center"/>
    </xf>
    <xf numFmtId="166" fontId="15" fillId="8" borderId="5" xfId="4" applyNumberFormat="1" applyFont="1" applyFill="1" applyBorder="1" applyAlignment="1" applyProtection="1">
      <alignment horizontal="center" vertical="center"/>
    </xf>
    <xf numFmtId="166" fontId="19" fillId="10" borderId="5" xfId="4" applyNumberFormat="1" applyFont="1" applyFill="1" applyBorder="1" applyAlignment="1" applyProtection="1">
      <alignment horizontal="center" vertical="center"/>
    </xf>
    <xf numFmtId="17" fontId="17" fillId="4" borderId="28" xfId="0" applyNumberFormat="1" applyFont="1" applyFill="1" applyBorder="1" applyAlignment="1">
      <alignment horizontal="centerContinuous" vertical="center" wrapText="1"/>
    </xf>
    <xf numFmtId="0" fontId="5" fillId="12" borderId="0" xfId="3" applyFont="1" applyFill="1" applyAlignment="1" applyProtection="1">
      <alignment horizontal="center" vertical="center"/>
    </xf>
    <xf numFmtId="0" fontId="0" fillId="12" borderId="0" xfId="0" applyFill="1"/>
    <xf numFmtId="17" fontId="5" fillId="14" borderId="1" xfId="0" applyNumberFormat="1" applyFont="1" applyFill="1" applyBorder="1" applyAlignment="1">
      <alignment vertical="center" wrapText="1"/>
    </xf>
    <xf numFmtId="0" fontId="0" fillId="0" borderId="44" xfId="0" applyBorder="1"/>
    <xf numFmtId="0" fontId="0" fillId="0" borderId="0" xfId="0" applyAlignment="1">
      <alignment horizontal="center" vertical="center"/>
    </xf>
    <xf numFmtId="17" fontId="0" fillId="0" borderId="0" xfId="0" applyNumberFormat="1" applyAlignment="1">
      <alignment horizontal="center" vertical="center"/>
    </xf>
    <xf numFmtId="14" fontId="0" fillId="0" borderId="0" xfId="0" applyNumberFormat="1"/>
    <xf numFmtId="17" fontId="23" fillId="15" borderId="1" xfId="0" applyNumberFormat="1" applyFont="1" applyFill="1" applyBorder="1" applyAlignment="1">
      <alignment vertical="center" wrapText="1"/>
    </xf>
    <xf numFmtId="0" fontId="20" fillId="0" borderId="0" xfId="0" applyFont="1"/>
    <xf numFmtId="17" fontId="23" fillId="14" borderId="1" xfId="0" applyNumberFormat="1" applyFont="1" applyFill="1" applyBorder="1" applyAlignment="1">
      <alignment vertical="center" wrapText="1"/>
    </xf>
    <xf numFmtId="0" fontId="20" fillId="0" borderId="0" xfId="0" applyFont="1" applyAlignment="1">
      <alignment horizontal="center"/>
    </xf>
    <xf numFmtId="0" fontId="20" fillId="0" borderId="44" xfId="0" applyFont="1" applyBorder="1"/>
    <xf numFmtId="0" fontId="24" fillId="2" borderId="49" xfId="0" applyFont="1" applyFill="1" applyBorder="1" applyAlignment="1">
      <alignment horizontal="center" vertical="center"/>
    </xf>
    <xf numFmtId="0" fontId="24" fillId="2" borderId="30" xfId="0" applyFont="1" applyFill="1" applyBorder="1" applyAlignment="1">
      <alignment horizontal="center" vertical="center"/>
    </xf>
    <xf numFmtId="0" fontId="24" fillId="2" borderId="32" xfId="0" applyFont="1" applyFill="1" applyBorder="1" applyAlignment="1">
      <alignment horizontal="center" vertical="center"/>
    </xf>
    <xf numFmtId="0" fontId="24" fillId="2" borderId="50" xfId="0" applyFont="1" applyFill="1" applyBorder="1" applyAlignment="1">
      <alignment horizontal="center" vertical="center"/>
    </xf>
    <xf numFmtId="0" fontId="24" fillId="2" borderId="40" xfId="0" applyFont="1" applyFill="1" applyBorder="1" applyAlignment="1">
      <alignment horizontal="center" vertical="center"/>
    </xf>
    <xf numFmtId="0" fontId="24" fillId="2" borderId="41" xfId="0" applyFont="1" applyFill="1" applyBorder="1" applyAlignment="1">
      <alignment horizontal="center" vertical="center"/>
    </xf>
    <xf numFmtId="17" fontId="25" fillId="14" borderId="1" xfId="0" applyNumberFormat="1" applyFont="1" applyFill="1" applyBorder="1" applyAlignment="1">
      <alignment vertical="center" wrapText="1"/>
    </xf>
    <xf numFmtId="0" fontId="27" fillId="0" borderId="0" xfId="0" applyFont="1"/>
    <xf numFmtId="0" fontId="26" fillId="4" borderId="37" xfId="0" applyFont="1" applyFill="1" applyBorder="1" applyAlignment="1">
      <alignment horizontal="center" vertical="center"/>
    </xf>
    <xf numFmtId="0" fontId="0" fillId="0" borderId="36" xfId="0" applyBorder="1"/>
    <xf numFmtId="0" fontId="0" fillId="0" borderId="37" xfId="0" applyBorder="1"/>
    <xf numFmtId="0" fontId="0" fillId="0" borderId="45" xfId="0" applyBorder="1"/>
    <xf numFmtId="0" fontId="30" fillId="0" borderId="0" xfId="0" applyFont="1"/>
    <xf numFmtId="17" fontId="31" fillId="14" borderId="1" xfId="0" applyNumberFormat="1" applyFont="1" applyFill="1" applyBorder="1" applyAlignment="1">
      <alignment vertical="center" wrapText="1"/>
    </xf>
    <xf numFmtId="0" fontId="21" fillId="0" borderId="0" xfId="0" applyFont="1"/>
    <xf numFmtId="0" fontId="21" fillId="0" borderId="44" xfId="0" applyFont="1" applyBorder="1"/>
    <xf numFmtId="164" fontId="32" fillId="13" borderId="30" xfId="0" applyNumberFormat="1" applyFont="1" applyFill="1" applyBorder="1" applyAlignment="1">
      <alignment horizontal="center" vertical="center"/>
    </xf>
    <xf numFmtId="164" fontId="32" fillId="13" borderId="40" xfId="0" applyNumberFormat="1" applyFont="1" applyFill="1" applyBorder="1" applyAlignment="1">
      <alignment horizontal="center" vertical="center"/>
    </xf>
    <xf numFmtId="0" fontId="26" fillId="4" borderId="36" xfId="0" applyFont="1" applyFill="1" applyBorder="1" applyAlignment="1">
      <alignment horizontal="center" vertical="center"/>
    </xf>
    <xf numFmtId="17" fontId="5" fillId="17" borderId="0" xfId="0" applyNumberFormat="1" applyFont="1" applyFill="1" applyAlignment="1">
      <alignment vertical="center" wrapText="1"/>
    </xf>
    <xf numFmtId="17" fontId="31" fillId="17" borderId="0" xfId="0" applyNumberFormat="1" applyFont="1" applyFill="1" applyAlignment="1">
      <alignment vertical="center" wrapText="1"/>
    </xf>
    <xf numFmtId="17" fontId="34" fillId="17" borderId="0" xfId="0" applyNumberFormat="1" applyFont="1" applyFill="1" applyAlignment="1">
      <alignment horizontal="left" vertical="center" indent="1"/>
    </xf>
    <xf numFmtId="0" fontId="26" fillId="4" borderId="29" xfId="0" applyFont="1" applyFill="1" applyBorder="1" applyAlignment="1">
      <alignment vertical="center"/>
    </xf>
    <xf numFmtId="0" fontId="30" fillId="18" borderId="0" xfId="0" applyFont="1" applyFill="1"/>
    <xf numFmtId="0" fontId="30" fillId="18" borderId="29" xfId="0" applyFont="1" applyFill="1" applyBorder="1"/>
    <xf numFmtId="164" fontId="22" fillId="18" borderId="43" xfId="0" applyNumberFormat="1" applyFont="1" applyFill="1" applyBorder="1" applyAlignment="1">
      <alignment vertical="center"/>
    </xf>
    <xf numFmtId="164" fontId="22" fillId="18" borderId="0" xfId="0" applyNumberFormat="1" applyFont="1" applyFill="1" applyAlignment="1">
      <alignment vertical="center"/>
    </xf>
    <xf numFmtId="164" fontId="22" fillId="18" borderId="29" xfId="0" applyNumberFormat="1" applyFont="1" applyFill="1" applyBorder="1" applyAlignment="1">
      <alignment vertical="center"/>
    </xf>
    <xf numFmtId="164" fontId="22" fillId="18" borderId="42" xfId="0" applyNumberFormat="1" applyFont="1" applyFill="1" applyBorder="1" applyAlignment="1">
      <alignment vertical="center"/>
    </xf>
    <xf numFmtId="0" fontId="26" fillId="4" borderId="43" xfId="0" applyFont="1" applyFill="1" applyBorder="1" applyAlignment="1">
      <alignment vertical="center"/>
    </xf>
    <xf numFmtId="164" fontId="26" fillId="4" borderId="43" xfId="0" applyNumberFormat="1" applyFont="1" applyFill="1" applyBorder="1" applyAlignment="1">
      <alignment vertical="center"/>
    </xf>
    <xf numFmtId="164" fontId="26" fillId="4" borderId="29" xfId="0" applyNumberFormat="1" applyFont="1" applyFill="1" applyBorder="1" applyAlignment="1">
      <alignment vertical="center"/>
    </xf>
    <xf numFmtId="17" fontId="23" fillId="19" borderId="0" xfId="0" applyNumberFormat="1" applyFont="1" applyFill="1" applyAlignment="1">
      <alignment vertical="center" wrapText="1"/>
    </xf>
    <xf numFmtId="17" fontId="35" fillId="19" borderId="0" xfId="0" applyNumberFormat="1" applyFont="1" applyFill="1" applyAlignment="1">
      <alignment horizontal="left" vertical="center" indent="1"/>
    </xf>
    <xf numFmtId="164" fontId="32" fillId="13" borderId="31" xfId="0" applyNumberFormat="1" applyFont="1" applyFill="1" applyBorder="1" applyAlignment="1">
      <alignment horizontal="center" vertical="center"/>
    </xf>
    <xf numFmtId="164" fontId="32" fillId="13" borderId="39" xfId="0" applyNumberFormat="1" applyFont="1" applyFill="1" applyBorder="1" applyAlignment="1">
      <alignment horizontal="center" vertical="center"/>
    </xf>
    <xf numFmtId="17" fontId="25" fillId="15" borderId="1" xfId="0" applyNumberFormat="1" applyFont="1" applyFill="1" applyBorder="1" applyAlignment="1">
      <alignment horizontal="left" vertical="center" indent="1"/>
    </xf>
    <xf numFmtId="17" fontId="25" fillId="14" borderId="1" xfId="0" applyNumberFormat="1" applyFont="1" applyFill="1" applyBorder="1" applyAlignment="1">
      <alignment horizontal="left" vertical="center" indent="1"/>
    </xf>
    <xf numFmtId="0" fontId="4" fillId="12" borderId="0" xfId="3" applyFont="1" applyFill="1" applyBorder="1" applyAlignment="1" applyProtection="1">
      <alignment horizontal="center" vertical="center"/>
    </xf>
    <xf numFmtId="0" fontId="5" fillId="12" borderId="0" xfId="3" applyFont="1" applyFill="1" applyBorder="1" applyAlignment="1" applyProtection="1">
      <alignment horizontal="center" vertical="center"/>
    </xf>
    <xf numFmtId="0" fontId="0" fillId="0" borderId="58" xfId="0" applyBorder="1"/>
    <xf numFmtId="0" fontId="26" fillId="4" borderId="0" xfId="0" applyFont="1" applyFill="1" applyAlignment="1">
      <alignment vertical="center"/>
    </xf>
    <xf numFmtId="164" fontId="26" fillId="4" borderId="0" xfId="0" applyNumberFormat="1" applyFont="1" applyFill="1" applyAlignment="1">
      <alignment vertical="center"/>
    </xf>
    <xf numFmtId="17" fontId="0" fillId="0" borderId="0" xfId="0" applyNumberFormat="1"/>
    <xf numFmtId="0" fontId="0" fillId="0" borderId="60" xfId="0" applyBorder="1"/>
    <xf numFmtId="0" fontId="38" fillId="0" borderId="0" xfId="0" applyFont="1"/>
    <xf numFmtId="17" fontId="38" fillId="0" borderId="0" xfId="0" applyNumberFormat="1" applyFont="1"/>
    <xf numFmtId="0" fontId="37" fillId="0" borderId="0" xfId="0" applyFont="1"/>
    <xf numFmtId="164" fontId="38" fillId="0" borderId="0" xfId="0" applyNumberFormat="1" applyFont="1"/>
    <xf numFmtId="164" fontId="33" fillId="2" borderId="40" xfId="0" applyNumberFormat="1" applyFont="1" applyFill="1" applyBorder="1" applyAlignment="1">
      <alignment horizontal="center" vertical="center"/>
    </xf>
    <xf numFmtId="164" fontId="33" fillId="2" borderId="41" xfId="0" applyNumberFormat="1" applyFont="1" applyFill="1" applyBorder="1" applyAlignment="1">
      <alignment horizontal="center" vertical="center"/>
    </xf>
    <xf numFmtId="17" fontId="35" fillId="19" borderId="0" xfId="0" applyNumberFormat="1" applyFont="1" applyFill="1" applyAlignment="1">
      <alignment horizontal="right" vertical="center" wrapText="1" indent="1"/>
    </xf>
    <xf numFmtId="0" fontId="26" fillId="4" borderId="33" xfId="0" applyFont="1" applyFill="1" applyBorder="1" applyAlignment="1">
      <alignment horizontal="center" vertical="center"/>
    </xf>
    <xf numFmtId="0" fontId="26" fillId="4" borderId="34" xfId="0" applyFont="1" applyFill="1" applyBorder="1" applyAlignment="1">
      <alignment horizontal="center" vertical="center"/>
    </xf>
    <xf numFmtId="164" fontId="33" fillId="2" borderId="34" xfId="0" applyNumberFormat="1" applyFont="1" applyFill="1" applyBorder="1" applyAlignment="1">
      <alignment horizontal="center" vertical="center"/>
    </xf>
    <xf numFmtId="164" fontId="33" fillId="2" borderId="35" xfId="0" applyNumberFormat="1" applyFont="1" applyFill="1" applyBorder="1" applyAlignment="1">
      <alignment horizontal="center" vertical="center"/>
    </xf>
    <xf numFmtId="10" fontId="21" fillId="13" borderId="30" xfId="2" applyNumberFormat="1" applyFont="1" applyFill="1" applyBorder="1" applyAlignment="1" applyProtection="1">
      <alignment horizontal="center" vertical="center"/>
      <protection locked="0"/>
    </xf>
    <xf numFmtId="10" fontId="21" fillId="13" borderId="40" xfId="2" applyNumberFormat="1" applyFont="1" applyFill="1" applyBorder="1" applyAlignment="1" applyProtection="1">
      <alignment horizontal="center" vertical="center"/>
      <protection locked="0"/>
    </xf>
    <xf numFmtId="164" fontId="22" fillId="2" borderId="40" xfId="0" applyNumberFormat="1" applyFont="1" applyFill="1" applyBorder="1" applyAlignment="1">
      <alignment horizontal="center" vertical="center"/>
    </xf>
    <xf numFmtId="164" fontId="22" fillId="2" borderId="41" xfId="0" applyNumberFormat="1" applyFont="1" applyFill="1" applyBorder="1" applyAlignment="1">
      <alignment horizontal="center" vertical="center"/>
    </xf>
    <xf numFmtId="164" fontId="22" fillId="6" borderId="42" xfId="0" applyNumberFormat="1" applyFont="1" applyFill="1" applyBorder="1" applyAlignment="1">
      <alignment horizontal="center" vertical="center"/>
    </xf>
    <xf numFmtId="164" fontId="22" fillId="6" borderId="31" xfId="0" applyNumberFormat="1" applyFont="1" applyFill="1" applyBorder="1" applyAlignment="1">
      <alignment horizontal="center" vertical="center"/>
    </xf>
    <xf numFmtId="164" fontId="22" fillId="2" borderId="32" xfId="0" applyNumberFormat="1" applyFont="1" applyFill="1" applyBorder="1" applyAlignment="1">
      <alignment horizontal="center" vertical="center"/>
    </xf>
    <xf numFmtId="164" fontId="22" fillId="2" borderId="42" xfId="0" applyNumberFormat="1" applyFont="1" applyFill="1" applyBorder="1" applyAlignment="1">
      <alignment horizontal="center" vertical="center"/>
    </xf>
    <xf numFmtId="49" fontId="32" fillId="13" borderId="30" xfId="0" applyNumberFormat="1" applyFont="1" applyFill="1" applyBorder="1" applyAlignment="1" applyProtection="1">
      <alignment horizontal="center" vertical="center"/>
      <protection locked="0"/>
    </xf>
    <xf numFmtId="49" fontId="32" fillId="13" borderId="32" xfId="0" applyNumberFormat="1" applyFont="1" applyFill="1" applyBorder="1" applyAlignment="1" applyProtection="1">
      <alignment horizontal="center" vertical="center"/>
      <protection locked="0"/>
    </xf>
    <xf numFmtId="49" fontId="32" fillId="13" borderId="40" xfId="0" applyNumberFormat="1" applyFont="1" applyFill="1" applyBorder="1" applyAlignment="1" applyProtection="1">
      <alignment horizontal="center" vertical="center"/>
      <protection locked="0"/>
    </xf>
    <xf numFmtId="49" fontId="32" fillId="13" borderId="41" xfId="0" applyNumberFormat="1" applyFont="1" applyFill="1" applyBorder="1" applyAlignment="1" applyProtection="1">
      <alignment horizontal="center" vertical="center"/>
      <protection locked="0"/>
    </xf>
    <xf numFmtId="164" fontId="21" fillId="16" borderId="37" xfId="0" applyNumberFormat="1" applyFont="1" applyFill="1" applyBorder="1" applyAlignment="1" applyProtection="1">
      <alignment horizontal="center" vertical="center"/>
      <protection locked="0"/>
    </xf>
    <xf numFmtId="164" fontId="21" fillId="16" borderId="38" xfId="0" applyNumberFormat="1" applyFont="1" applyFill="1" applyBorder="1" applyAlignment="1" applyProtection="1">
      <alignment horizontal="center" vertical="center"/>
      <protection locked="0"/>
    </xf>
    <xf numFmtId="17" fontId="21" fillId="13" borderId="30" xfId="0" applyNumberFormat="1" applyFont="1" applyFill="1" applyBorder="1" applyAlignment="1" applyProtection="1">
      <alignment horizontal="center" vertical="center"/>
      <protection locked="0"/>
    </xf>
    <xf numFmtId="17" fontId="21" fillId="13" borderId="32" xfId="0" applyNumberFormat="1" applyFont="1" applyFill="1" applyBorder="1" applyAlignment="1" applyProtection="1">
      <alignment horizontal="center" vertical="center"/>
      <protection locked="0"/>
    </xf>
    <xf numFmtId="164" fontId="21" fillId="13" borderId="40" xfId="0" applyNumberFormat="1" applyFont="1" applyFill="1" applyBorder="1" applyAlignment="1" applyProtection="1">
      <alignment horizontal="center" vertical="center"/>
      <protection locked="0"/>
    </xf>
    <xf numFmtId="164" fontId="21" fillId="13" borderId="41" xfId="0" applyNumberFormat="1" applyFont="1" applyFill="1" applyBorder="1" applyAlignment="1" applyProtection="1">
      <alignment horizontal="center" vertical="center"/>
      <protection locked="0"/>
    </xf>
    <xf numFmtId="0" fontId="0" fillId="0" borderId="0" xfId="0"/>
    <xf numFmtId="0" fontId="21" fillId="16" borderId="30" xfId="0" applyFont="1" applyFill="1" applyBorder="1" applyAlignment="1" applyProtection="1">
      <alignment horizontal="center" vertical="center"/>
      <protection locked="0"/>
    </xf>
    <xf numFmtId="164" fontId="22" fillId="2" borderId="30" xfId="0" applyNumberFormat="1" applyFont="1" applyFill="1" applyBorder="1" applyAlignment="1">
      <alignment horizontal="center" vertical="center"/>
    </xf>
    <xf numFmtId="0" fontId="26" fillId="4" borderId="36" xfId="0" applyFont="1" applyFill="1" applyBorder="1" applyAlignment="1">
      <alignment horizontal="center" vertical="center"/>
    </xf>
    <xf numFmtId="0" fontId="26" fillId="4" borderId="37" xfId="0" applyFont="1" applyFill="1" applyBorder="1" applyAlignment="1">
      <alignment horizontal="center" vertical="center"/>
    </xf>
    <xf numFmtId="0" fontId="26" fillId="4" borderId="38" xfId="0" applyFont="1" applyFill="1" applyBorder="1" applyAlignment="1">
      <alignment horizontal="center" vertical="center"/>
    </xf>
    <xf numFmtId="164" fontId="33" fillId="2" borderId="39" xfId="0" applyNumberFormat="1" applyFont="1" applyFill="1" applyBorder="1" applyAlignment="1">
      <alignment horizontal="center" vertical="center"/>
    </xf>
    <xf numFmtId="10" fontId="21" fillId="13" borderId="32" xfId="2" applyNumberFormat="1" applyFont="1" applyFill="1" applyBorder="1" applyAlignment="1" applyProtection="1">
      <alignment horizontal="center" vertical="center"/>
      <protection locked="0"/>
    </xf>
    <xf numFmtId="10" fontId="21" fillId="13" borderId="42" xfId="2" applyNumberFormat="1" applyFont="1" applyFill="1" applyBorder="1" applyAlignment="1" applyProtection="1">
      <alignment horizontal="center" vertical="center"/>
      <protection locked="0"/>
    </xf>
    <xf numFmtId="164" fontId="21" fillId="16" borderId="32" xfId="0" applyNumberFormat="1" applyFont="1" applyFill="1" applyBorder="1" applyAlignment="1" applyProtection="1">
      <alignment horizontal="center" vertical="center"/>
      <protection locked="0"/>
    </xf>
    <xf numFmtId="164" fontId="21" fillId="16" borderId="42" xfId="0" applyNumberFormat="1" applyFont="1" applyFill="1" applyBorder="1" applyAlignment="1" applyProtection="1">
      <alignment horizontal="center" vertical="center"/>
      <protection locked="0"/>
    </xf>
    <xf numFmtId="164" fontId="22" fillId="2" borderId="31" xfId="0" applyNumberFormat="1" applyFont="1" applyFill="1" applyBorder="1" applyAlignment="1">
      <alignment horizontal="center" vertical="center"/>
    </xf>
    <xf numFmtId="2" fontId="21" fillId="13" borderId="30" xfId="0" applyNumberFormat="1" applyFont="1" applyFill="1" applyBorder="1" applyAlignment="1" applyProtection="1">
      <alignment horizontal="center" vertical="center"/>
      <protection locked="0"/>
    </xf>
    <xf numFmtId="49" fontId="21" fillId="13" borderId="30" xfId="0" applyNumberFormat="1" applyFont="1" applyFill="1" applyBorder="1" applyAlignment="1" applyProtection="1">
      <alignment horizontal="center" vertical="center"/>
      <protection locked="0"/>
    </xf>
    <xf numFmtId="164" fontId="21" fillId="13" borderId="30" xfId="0" applyNumberFormat="1" applyFont="1" applyFill="1" applyBorder="1" applyAlignment="1" applyProtection="1">
      <alignment horizontal="center" vertical="center"/>
      <protection locked="0"/>
    </xf>
    <xf numFmtId="49" fontId="22" fillId="2" borderId="31" xfId="0" applyNumberFormat="1" applyFont="1" applyFill="1" applyBorder="1" applyAlignment="1">
      <alignment horizontal="center" vertical="center"/>
    </xf>
    <xf numFmtId="49" fontId="22" fillId="2" borderId="30" xfId="0" applyNumberFormat="1" applyFont="1" applyFill="1" applyBorder="1" applyAlignment="1">
      <alignment horizontal="center" vertical="center"/>
    </xf>
    <xf numFmtId="49" fontId="22" fillId="2" borderId="39" xfId="0" applyNumberFormat="1" applyFont="1" applyFill="1" applyBorder="1" applyAlignment="1">
      <alignment horizontal="center" vertical="center"/>
    </xf>
    <xf numFmtId="49" fontId="22" fillId="2" borderId="40" xfId="0" applyNumberFormat="1" applyFont="1" applyFill="1" applyBorder="1" applyAlignment="1">
      <alignment horizontal="center" vertical="center"/>
    </xf>
    <xf numFmtId="2" fontId="21" fillId="13" borderId="40" xfId="0" applyNumberFormat="1" applyFont="1" applyFill="1" applyBorder="1" applyAlignment="1" applyProtection="1">
      <alignment horizontal="center" vertical="center"/>
      <protection locked="0"/>
    </xf>
    <xf numFmtId="49" fontId="21" fillId="13" borderId="40" xfId="0" applyNumberFormat="1" applyFont="1" applyFill="1" applyBorder="1" applyAlignment="1" applyProtection="1">
      <alignment horizontal="center" vertical="center"/>
      <protection locked="0"/>
    </xf>
    <xf numFmtId="164" fontId="22" fillId="6" borderId="30" xfId="0" applyNumberFormat="1" applyFont="1" applyFill="1" applyBorder="1" applyAlignment="1">
      <alignment horizontal="center" vertical="center"/>
    </xf>
    <xf numFmtId="164" fontId="22" fillId="6" borderId="32" xfId="0" applyNumberFormat="1" applyFont="1" applyFill="1" applyBorder="1" applyAlignment="1">
      <alignment horizontal="center" vertical="center"/>
    </xf>
    <xf numFmtId="10" fontId="21" fillId="13" borderId="39" xfId="2" applyNumberFormat="1" applyFont="1" applyFill="1" applyBorder="1" applyAlignment="1" applyProtection="1">
      <alignment horizontal="center" vertical="center"/>
      <protection locked="0"/>
    </xf>
    <xf numFmtId="168" fontId="21" fillId="13" borderId="30" xfId="0" applyNumberFormat="1" applyFont="1" applyFill="1" applyBorder="1" applyAlignment="1" applyProtection="1">
      <alignment horizontal="center" vertical="center"/>
      <protection locked="0"/>
    </xf>
    <xf numFmtId="164" fontId="21" fillId="16" borderId="39" xfId="0" applyNumberFormat="1" applyFont="1" applyFill="1" applyBorder="1" applyAlignment="1" applyProtection="1">
      <alignment horizontal="center" vertical="center"/>
      <protection locked="0"/>
    </xf>
    <xf numFmtId="164" fontId="21" fillId="16" borderId="40" xfId="0" applyNumberFormat="1" applyFont="1" applyFill="1" applyBorder="1" applyAlignment="1" applyProtection="1">
      <alignment horizontal="center" vertical="center"/>
      <protection locked="0"/>
    </xf>
    <xf numFmtId="169" fontId="22" fillId="2" borderId="40" xfId="0" applyNumberFormat="1" applyFont="1" applyFill="1" applyBorder="1" applyAlignment="1">
      <alignment horizontal="center" vertical="center"/>
    </xf>
    <xf numFmtId="0" fontId="26" fillId="4" borderId="31" xfId="0" applyFont="1" applyFill="1" applyBorder="1" applyAlignment="1">
      <alignment horizontal="center" vertical="center"/>
    </xf>
    <xf numFmtId="0" fontId="26" fillId="4" borderId="30" xfId="0" applyFont="1" applyFill="1" applyBorder="1" applyAlignment="1">
      <alignment horizontal="center" vertical="center"/>
    </xf>
    <xf numFmtId="168" fontId="22" fillId="2" borderId="40" xfId="0" applyNumberFormat="1" applyFont="1" applyFill="1" applyBorder="1" applyAlignment="1">
      <alignment horizontal="center" vertical="center"/>
    </xf>
    <xf numFmtId="0" fontId="26" fillId="4" borderId="39" xfId="0" applyFont="1" applyFill="1" applyBorder="1" applyAlignment="1">
      <alignment horizontal="center" vertical="center"/>
    </xf>
    <xf numFmtId="0" fontId="26" fillId="4" borderId="40" xfId="0" applyFont="1" applyFill="1" applyBorder="1" applyAlignment="1">
      <alignment horizontal="center" vertical="center"/>
    </xf>
    <xf numFmtId="168" fontId="33" fillId="2" borderId="37" xfId="0" applyNumberFormat="1" applyFont="1" applyFill="1" applyBorder="1" applyAlignment="1">
      <alignment horizontal="center" vertical="center"/>
    </xf>
    <xf numFmtId="168" fontId="33" fillId="2" borderId="38" xfId="0" applyNumberFormat="1" applyFont="1" applyFill="1" applyBorder="1" applyAlignment="1">
      <alignment horizontal="center" vertical="center"/>
    </xf>
    <xf numFmtId="168" fontId="33" fillId="2" borderId="30" xfId="0" applyNumberFormat="1" applyFont="1" applyFill="1" applyBorder="1" applyAlignment="1">
      <alignment horizontal="center" vertical="center"/>
    </xf>
    <xf numFmtId="168" fontId="33" fillId="2" borderId="32" xfId="0" applyNumberFormat="1" applyFont="1" applyFill="1" applyBorder="1" applyAlignment="1">
      <alignment horizontal="center" vertical="center"/>
    </xf>
    <xf numFmtId="168" fontId="33" fillId="2" borderId="40" xfId="0" applyNumberFormat="1" applyFont="1" applyFill="1" applyBorder="1" applyAlignment="1">
      <alignment horizontal="center" vertical="center"/>
    </xf>
    <xf numFmtId="168" fontId="33" fillId="2" borderId="41" xfId="0" applyNumberFormat="1" applyFont="1" applyFill="1" applyBorder="1" applyAlignment="1">
      <alignment horizontal="center" vertical="center"/>
    </xf>
    <xf numFmtId="168" fontId="21" fillId="13" borderId="40" xfId="0" applyNumberFormat="1" applyFont="1" applyFill="1" applyBorder="1" applyAlignment="1" applyProtection="1">
      <alignment horizontal="center" vertical="center"/>
      <protection locked="0"/>
    </xf>
    <xf numFmtId="168" fontId="22" fillId="2" borderId="30" xfId="0" applyNumberFormat="1" applyFont="1" applyFill="1" applyBorder="1" applyAlignment="1">
      <alignment horizontal="center" vertical="center"/>
    </xf>
    <xf numFmtId="164" fontId="22" fillId="2" borderId="39" xfId="0" applyNumberFormat="1" applyFont="1" applyFill="1" applyBorder="1" applyAlignment="1">
      <alignment horizontal="center" vertical="center"/>
    </xf>
    <xf numFmtId="169" fontId="33" fillId="2" borderId="43" xfId="2" applyNumberFormat="1" applyFont="1" applyFill="1" applyBorder="1" applyAlignment="1">
      <alignment horizontal="center" vertical="center"/>
    </xf>
    <xf numFmtId="0" fontId="26" fillId="4" borderId="29" xfId="0" applyFont="1" applyFill="1" applyBorder="1" applyAlignment="1">
      <alignment horizontal="center" vertical="center"/>
    </xf>
    <xf numFmtId="164" fontId="33" fillId="2" borderId="42" xfId="2" applyNumberFormat="1" applyFont="1" applyFill="1" applyBorder="1" applyAlignment="1">
      <alignment horizontal="center" vertical="center"/>
    </xf>
    <xf numFmtId="10" fontId="33" fillId="2" borderId="42" xfId="2" applyNumberFormat="1" applyFont="1" applyFill="1" applyBorder="1" applyAlignment="1">
      <alignment horizontal="center" vertical="center"/>
    </xf>
    <xf numFmtId="169" fontId="21" fillId="13" borderId="37" xfId="2" applyNumberFormat="1" applyFont="1" applyFill="1" applyBorder="1" applyAlignment="1" applyProtection="1">
      <alignment horizontal="center" vertical="center"/>
      <protection locked="0"/>
    </xf>
    <xf numFmtId="164" fontId="22" fillId="2" borderId="37" xfId="0" applyNumberFormat="1" applyFont="1" applyFill="1" applyBorder="1" applyAlignment="1">
      <alignment horizontal="center" vertical="center"/>
    </xf>
    <xf numFmtId="164" fontId="22" fillId="2" borderId="38" xfId="0" applyNumberFormat="1" applyFont="1" applyFill="1" applyBorder="1" applyAlignment="1">
      <alignment horizontal="center" vertical="center"/>
    </xf>
    <xf numFmtId="164" fontId="22" fillId="2" borderId="43" xfId="0" applyNumberFormat="1" applyFont="1" applyFill="1" applyBorder="1" applyAlignment="1">
      <alignment horizontal="center" vertical="center"/>
    </xf>
    <xf numFmtId="10" fontId="21" fillId="13" borderId="41" xfId="2" applyNumberFormat="1" applyFont="1" applyFill="1" applyBorder="1" applyAlignment="1" applyProtection="1">
      <alignment horizontal="center" vertical="center"/>
      <protection locked="0"/>
    </xf>
    <xf numFmtId="10" fontId="21" fillId="13" borderId="43" xfId="2" applyNumberFormat="1" applyFont="1" applyFill="1" applyBorder="1" applyAlignment="1" applyProtection="1">
      <alignment horizontal="center" vertical="center"/>
      <protection locked="0"/>
    </xf>
    <xf numFmtId="164" fontId="21" fillId="13" borderId="32" xfId="0" applyNumberFormat="1" applyFont="1" applyFill="1" applyBorder="1" applyAlignment="1" applyProtection="1">
      <alignment horizontal="center" vertical="center"/>
      <protection locked="0"/>
    </xf>
    <xf numFmtId="164" fontId="21" fillId="13" borderId="34" xfId="0" applyNumberFormat="1" applyFont="1" applyFill="1" applyBorder="1" applyAlignment="1" applyProtection="1">
      <alignment horizontal="center" vertical="center"/>
      <protection locked="0"/>
    </xf>
    <xf numFmtId="164" fontId="21" fillId="13" borderId="35" xfId="0" applyNumberFormat="1" applyFont="1" applyFill="1" applyBorder="1" applyAlignment="1" applyProtection="1">
      <alignment horizontal="center" vertical="center"/>
      <protection locked="0"/>
    </xf>
    <xf numFmtId="14" fontId="21" fillId="13" borderId="34" xfId="0" applyNumberFormat="1" applyFont="1" applyFill="1" applyBorder="1" applyAlignment="1" applyProtection="1">
      <alignment horizontal="center" vertical="center"/>
      <protection locked="0"/>
    </xf>
    <xf numFmtId="0" fontId="21" fillId="13" borderId="31" xfId="0" applyFont="1" applyFill="1" applyBorder="1" applyAlignment="1" applyProtection="1">
      <alignment horizontal="center" vertical="center"/>
      <protection locked="0"/>
    </xf>
    <xf numFmtId="0" fontId="21" fillId="13" borderId="30" xfId="0" applyFont="1" applyFill="1" applyBorder="1" applyAlignment="1" applyProtection="1">
      <alignment horizontal="center" vertical="center"/>
      <protection locked="0"/>
    </xf>
    <xf numFmtId="0" fontId="21" fillId="13" borderId="39" xfId="0" applyFont="1" applyFill="1" applyBorder="1" applyAlignment="1" applyProtection="1">
      <alignment horizontal="center" vertical="center"/>
      <protection locked="0"/>
    </xf>
    <xf numFmtId="0" fontId="21" fillId="13" borderId="40" xfId="0" applyFont="1" applyFill="1" applyBorder="1" applyAlignment="1" applyProtection="1">
      <alignment horizontal="center" vertical="center"/>
      <protection locked="0"/>
    </xf>
    <xf numFmtId="1" fontId="21" fillId="13" borderId="32" xfId="0" applyNumberFormat="1" applyFont="1" applyFill="1" applyBorder="1" applyAlignment="1" applyProtection="1">
      <alignment horizontal="center" vertical="center"/>
      <protection locked="0"/>
    </xf>
    <xf numFmtId="1" fontId="21" fillId="13" borderId="42" xfId="0" applyNumberFormat="1" applyFont="1" applyFill="1" applyBorder="1" applyAlignment="1" applyProtection="1">
      <alignment horizontal="center" vertical="center"/>
      <protection locked="0"/>
    </xf>
    <xf numFmtId="1" fontId="21" fillId="13" borderId="31" xfId="0" applyNumberFormat="1" applyFont="1" applyFill="1" applyBorder="1" applyAlignment="1" applyProtection="1">
      <alignment horizontal="center" vertical="center"/>
      <protection locked="0"/>
    </xf>
    <xf numFmtId="1" fontId="21" fillId="13" borderId="41" xfId="0" applyNumberFormat="1" applyFont="1" applyFill="1" applyBorder="1" applyAlignment="1" applyProtection="1">
      <alignment horizontal="center" vertical="center"/>
      <protection locked="0"/>
    </xf>
    <xf numFmtId="1" fontId="21" fillId="13" borderId="43" xfId="0" applyNumberFormat="1" applyFont="1" applyFill="1" applyBorder="1" applyAlignment="1" applyProtection="1">
      <alignment horizontal="center" vertical="center"/>
      <protection locked="0"/>
    </xf>
    <xf numFmtId="1" fontId="21" fillId="13" borderId="39" xfId="0" applyNumberFormat="1" applyFont="1" applyFill="1" applyBorder="1" applyAlignment="1" applyProtection="1">
      <alignment horizontal="center" vertical="center"/>
      <protection locked="0"/>
    </xf>
    <xf numFmtId="1" fontId="21" fillId="13" borderId="30" xfId="0" applyNumberFormat="1" applyFont="1" applyFill="1" applyBorder="1" applyAlignment="1" applyProtection="1">
      <alignment horizontal="center" vertical="center"/>
      <protection locked="0"/>
    </xf>
    <xf numFmtId="1" fontId="21" fillId="13" borderId="46" xfId="0" applyNumberFormat="1" applyFont="1" applyFill="1" applyBorder="1" applyAlignment="1" applyProtection="1">
      <alignment horizontal="center" vertical="center"/>
      <protection locked="0"/>
    </xf>
    <xf numFmtId="1" fontId="21" fillId="13" borderId="40" xfId="0" applyNumberFormat="1" applyFont="1" applyFill="1" applyBorder="1" applyAlignment="1" applyProtection="1">
      <alignment horizontal="center" vertical="center"/>
      <protection locked="0"/>
    </xf>
    <xf numFmtId="1" fontId="21" fillId="13" borderId="47" xfId="0" applyNumberFormat="1" applyFont="1" applyFill="1" applyBorder="1" applyAlignment="1" applyProtection="1">
      <alignment horizontal="center" vertical="center"/>
      <protection locked="0"/>
    </xf>
    <xf numFmtId="0" fontId="22" fillId="2" borderId="31" xfId="0" applyFont="1" applyFill="1" applyBorder="1" applyAlignment="1">
      <alignment horizontal="center" vertical="center"/>
    </xf>
    <xf numFmtId="0" fontId="22" fillId="2" borderId="30" xfId="0" applyFont="1" applyFill="1" applyBorder="1" applyAlignment="1">
      <alignment horizontal="center" vertical="center"/>
    </xf>
    <xf numFmtId="0" fontId="22" fillId="2" borderId="39" xfId="0" applyFont="1" applyFill="1" applyBorder="1" applyAlignment="1">
      <alignment horizontal="center" vertical="center"/>
    </xf>
    <xf numFmtId="0" fontId="22" fillId="2" borderId="40" xfId="0" applyFont="1" applyFill="1" applyBorder="1" applyAlignment="1">
      <alignment horizontal="center" vertical="center"/>
    </xf>
    <xf numFmtId="0" fontId="26" fillId="4" borderId="0" xfId="0" applyFont="1" applyFill="1" applyAlignment="1">
      <alignment horizontal="center" vertical="center"/>
    </xf>
    <xf numFmtId="0" fontId="22" fillId="2" borderId="36" xfId="0" applyFont="1" applyFill="1" applyBorder="1" applyAlignment="1">
      <alignment horizontal="center" vertical="center"/>
    </xf>
    <xf numFmtId="0" fontId="22" fillId="2" borderId="37" xfId="0" applyFont="1" applyFill="1" applyBorder="1" applyAlignment="1">
      <alignment horizontal="center" vertical="center"/>
    </xf>
    <xf numFmtId="17" fontId="22" fillId="6" borderId="34" xfId="0" applyNumberFormat="1" applyFont="1" applyFill="1" applyBorder="1" applyAlignment="1">
      <alignment horizontal="justify" vertical="distributed" textRotation="90"/>
    </xf>
    <xf numFmtId="17" fontId="22" fillId="6" borderId="37" xfId="0" applyNumberFormat="1" applyFont="1" applyFill="1" applyBorder="1" applyAlignment="1">
      <alignment horizontal="justify" vertical="distributed" textRotation="90"/>
    </xf>
    <xf numFmtId="17" fontId="22" fillId="6" borderId="33" xfId="0" applyNumberFormat="1" applyFont="1" applyFill="1" applyBorder="1" applyAlignment="1">
      <alignment horizontal="justify" vertical="distributed" textRotation="90"/>
    </xf>
    <xf numFmtId="17" fontId="22" fillId="6" borderId="36" xfId="0" applyNumberFormat="1" applyFont="1" applyFill="1" applyBorder="1" applyAlignment="1">
      <alignment horizontal="justify" vertical="distributed" textRotation="90"/>
    </xf>
    <xf numFmtId="0" fontId="22" fillId="6" borderId="31" xfId="0" applyFont="1" applyFill="1" applyBorder="1" applyAlignment="1">
      <alignment horizontal="center" vertical="center"/>
    </xf>
    <xf numFmtId="0" fontId="22" fillId="6" borderId="30" xfId="0" applyFont="1" applyFill="1" applyBorder="1" applyAlignment="1">
      <alignment horizontal="center" vertical="center"/>
    </xf>
    <xf numFmtId="0" fontId="22" fillId="6" borderId="46" xfId="0" applyFont="1" applyFill="1" applyBorder="1" applyAlignment="1">
      <alignment horizontal="center" vertical="center"/>
    </xf>
    <xf numFmtId="0" fontId="26" fillId="4" borderId="47" xfId="0" applyFont="1" applyFill="1" applyBorder="1" applyAlignment="1">
      <alignment horizontal="center" vertical="center"/>
    </xf>
    <xf numFmtId="0" fontId="28" fillId="4" borderId="51" xfId="0" applyFont="1" applyFill="1" applyBorder="1" applyAlignment="1">
      <alignment horizontal="center" vertical="center"/>
    </xf>
    <xf numFmtId="0" fontId="28" fillId="4" borderId="37" xfId="0" applyFont="1" applyFill="1" applyBorder="1" applyAlignment="1">
      <alignment horizontal="center" vertical="center"/>
    </xf>
    <xf numFmtId="0" fontId="28" fillId="4" borderId="45" xfId="0" applyFont="1" applyFill="1" applyBorder="1" applyAlignment="1">
      <alignment horizontal="center" vertical="center"/>
    </xf>
    <xf numFmtId="0" fontId="21" fillId="13" borderId="34" xfId="0" applyFont="1" applyFill="1" applyBorder="1" applyAlignment="1" applyProtection="1">
      <alignment horizontal="center" vertical="center"/>
      <protection locked="0"/>
    </xf>
    <xf numFmtId="17" fontId="21" fillId="13" borderId="35" xfId="0" applyNumberFormat="1" applyFont="1" applyFill="1" applyBorder="1" applyAlignment="1" applyProtection="1">
      <alignment horizontal="center" vertical="center"/>
      <protection locked="0"/>
    </xf>
    <xf numFmtId="17" fontId="21" fillId="13" borderId="0" xfId="0" applyNumberFormat="1" applyFont="1" applyFill="1" applyAlignment="1" applyProtection="1">
      <alignment horizontal="center" vertical="center"/>
      <protection locked="0"/>
    </xf>
    <xf numFmtId="17" fontId="21" fillId="13" borderId="44" xfId="0" applyNumberFormat="1" applyFont="1" applyFill="1" applyBorder="1" applyAlignment="1" applyProtection="1">
      <alignment horizontal="center" vertical="center"/>
      <protection locked="0"/>
    </xf>
    <xf numFmtId="1" fontId="21" fillId="13" borderId="35" xfId="0" applyNumberFormat="1" applyFont="1" applyFill="1" applyBorder="1" applyAlignment="1" applyProtection="1">
      <alignment horizontal="center" vertical="center"/>
      <protection locked="0"/>
    </xf>
    <xf numFmtId="1" fontId="21" fillId="13" borderId="0" xfId="0" applyNumberFormat="1" applyFont="1" applyFill="1" applyAlignment="1" applyProtection="1">
      <alignment horizontal="center" vertical="center"/>
      <protection locked="0"/>
    </xf>
    <xf numFmtId="1" fontId="21" fillId="13" borderId="44" xfId="0" applyNumberFormat="1" applyFont="1" applyFill="1" applyBorder="1" applyAlignment="1" applyProtection="1">
      <alignment horizontal="center" vertical="center"/>
      <protection locked="0"/>
    </xf>
    <xf numFmtId="0" fontId="26" fillId="4" borderId="45" xfId="0" applyFont="1" applyFill="1" applyBorder="1" applyAlignment="1">
      <alignment horizontal="center" vertical="center"/>
    </xf>
    <xf numFmtId="1" fontId="21" fillId="13" borderId="37" xfId="0" applyNumberFormat="1" applyFont="1" applyFill="1" applyBorder="1" applyAlignment="1" applyProtection="1">
      <alignment horizontal="center" vertical="center"/>
      <protection locked="0"/>
    </xf>
    <xf numFmtId="1" fontId="21" fillId="13" borderId="45" xfId="0" applyNumberFormat="1" applyFont="1" applyFill="1" applyBorder="1" applyAlignment="1" applyProtection="1">
      <alignment horizontal="center" vertical="center"/>
      <protection locked="0"/>
    </xf>
    <xf numFmtId="10" fontId="33" fillId="2" borderId="30" xfId="2" applyNumberFormat="1" applyFont="1" applyFill="1" applyBorder="1" applyAlignment="1">
      <alignment horizontal="center" vertical="center"/>
    </xf>
    <xf numFmtId="10" fontId="33" fillId="2" borderId="32" xfId="2" applyNumberFormat="1" applyFont="1" applyFill="1" applyBorder="1" applyAlignment="1">
      <alignment horizontal="center" vertical="center"/>
    </xf>
    <xf numFmtId="1" fontId="33" fillId="6" borderId="48" xfId="0" applyNumberFormat="1" applyFont="1" applyFill="1" applyBorder="1" applyAlignment="1">
      <alignment horizontal="center" vertical="center"/>
    </xf>
    <xf numFmtId="0" fontId="33" fillId="6" borderId="43" xfId="0" applyFont="1" applyFill="1" applyBorder="1" applyAlignment="1">
      <alignment horizontal="center" vertical="center"/>
    </xf>
    <xf numFmtId="0" fontId="33" fillId="6" borderId="52" xfId="0" applyFont="1" applyFill="1" applyBorder="1" applyAlignment="1">
      <alignment horizontal="center" vertical="center"/>
    </xf>
    <xf numFmtId="168" fontId="33" fillId="6" borderId="48" xfId="0" applyNumberFormat="1" applyFont="1" applyFill="1" applyBorder="1" applyAlignment="1">
      <alignment horizontal="center" vertical="center"/>
    </xf>
    <xf numFmtId="168" fontId="33" fillId="6" borderId="43" xfId="0" applyNumberFormat="1" applyFont="1" applyFill="1" applyBorder="1" applyAlignment="1">
      <alignment horizontal="center" vertical="center"/>
    </xf>
    <xf numFmtId="168" fontId="33" fillId="6" borderId="52" xfId="0" applyNumberFormat="1" applyFont="1" applyFill="1" applyBorder="1" applyAlignment="1">
      <alignment horizontal="center" vertical="center"/>
    </xf>
    <xf numFmtId="164" fontId="33" fillId="6" borderId="43" xfId="0" applyNumberFormat="1" applyFont="1" applyFill="1" applyBorder="1" applyAlignment="1">
      <alignment horizontal="center" vertical="center"/>
    </xf>
    <xf numFmtId="17" fontId="29" fillId="16" borderId="53" xfId="0" applyNumberFormat="1" applyFont="1" applyFill="1" applyBorder="1" applyAlignment="1" applyProtection="1">
      <alignment horizontal="center" vertical="center" wrapText="1"/>
      <protection locked="0"/>
    </xf>
    <xf numFmtId="17" fontId="29" fillId="16" borderId="54" xfId="0" applyNumberFormat="1" applyFont="1" applyFill="1" applyBorder="1" applyAlignment="1" applyProtection="1">
      <alignment horizontal="center" vertical="center" wrapText="1"/>
      <protection locked="0"/>
    </xf>
    <xf numFmtId="17" fontId="29" fillId="16" borderId="55" xfId="0" applyNumberFormat="1" applyFont="1" applyFill="1" applyBorder="1" applyAlignment="1" applyProtection="1">
      <alignment horizontal="center" vertical="center" wrapText="1"/>
      <protection locked="0"/>
    </xf>
    <xf numFmtId="17" fontId="26" fillId="14" borderId="1" xfId="0" applyNumberFormat="1" applyFont="1" applyFill="1" applyBorder="1" applyAlignment="1">
      <alignment horizontal="right" vertical="center" wrapText="1" indent="1"/>
    </xf>
    <xf numFmtId="0" fontId="28" fillId="4" borderId="36" xfId="0" applyFont="1" applyFill="1" applyBorder="1" applyAlignment="1">
      <alignment horizontal="center" vertical="center"/>
    </xf>
    <xf numFmtId="0" fontId="28" fillId="4" borderId="38" xfId="0" applyFont="1" applyFill="1" applyBorder="1" applyAlignment="1">
      <alignment horizontal="center" vertical="center"/>
    </xf>
    <xf numFmtId="1" fontId="33" fillId="2" borderId="49" xfId="0" applyNumberFormat="1" applyFont="1" applyFill="1" applyBorder="1" applyAlignment="1">
      <alignment horizontal="center" vertical="center"/>
    </xf>
    <xf numFmtId="0" fontId="33" fillId="2" borderId="30" xfId="0" applyFont="1" applyFill="1" applyBorder="1" applyAlignment="1">
      <alignment horizontal="center" vertical="center"/>
    </xf>
    <xf numFmtId="0" fontId="33" fillId="2" borderId="46" xfId="0" applyFont="1" applyFill="1" applyBorder="1" applyAlignment="1">
      <alignment horizontal="center" vertical="center"/>
    </xf>
    <xf numFmtId="168" fontId="33" fillId="2" borderId="49" xfId="0" applyNumberFormat="1" applyFont="1" applyFill="1" applyBorder="1" applyAlignment="1">
      <alignment horizontal="center" vertical="center"/>
    </xf>
    <xf numFmtId="10" fontId="33" fillId="2" borderId="46" xfId="2" applyNumberFormat="1" applyFont="1" applyFill="1" applyBorder="1" applyAlignment="1">
      <alignment horizontal="center" vertical="center"/>
    </xf>
    <xf numFmtId="164" fontId="33" fillId="2" borderId="31" xfId="0" applyNumberFormat="1" applyFont="1" applyFill="1" applyBorder="1" applyAlignment="1">
      <alignment horizontal="center" vertical="center"/>
    </xf>
    <xf numFmtId="164" fontId="33" fillId="2" borderId="30" xfId="0" applyNumberFormat="1" applyFont="1" applyFill="1" applyBorder="1" applyAlignment="1">
      <alignment horizontal="center" vertical="center"/>
    </xf>
    <xf numFmtId="17" fontId="22" fillId="6" borderId="35" xfId="0" applyNumberFormat="1" applyFont="1" applyFill="1" applyBorder="1" applyAlignment="1">
      <alignment horizontal="justify" vertical="distributed" textRotation="90"/>
    </xf>
    <xf numFmtId="17" fontId="22" fillId="6" borderId="38" xfId="0" applyNumberFormat="1" applyFont="1" applyFill="1" applyBorder="1" applyAlignment="1">
      <alignment horizontal="justify" vertical="distributed" textRotation="90"/>
    </xf>
    <xf numFmtId="10" fontId="33" fillId="2" borderId="39" xfId="2" applyNumberFormat="1" applyFont="1" applyFill="1" applyBorder="1" applyAlignment="1">
      <alignment horizontal="center" vertical="center"/>
    </xf>
    <xf numFmtId="10" fontId="33" fillId="2" borderId="40" xfId="2" applyNumberFormat="1" applyFont="1" applyFill="1" applyBorder="1" applyAlignment="1">
      <alignment horizontal="center" vertical="center"/>
    </xf>
    <xf numFmtId="2" fontId="33" fillId="2" borderId="40" xfId="0" applyNumberFormat="1" applyFont="1" applyFill="1" applyBorder="1" applyAlignment="1">
      <alignment horizontal="center" vertical="center"/>
    </xf>
    <xf numFmtId="2" fontId="33" fillId="2" borderId="41" xfId="0" applyNumberFormat="1" applyFont="1" applyFill="1" applyBorder="1" applyAlignment="1">
      <alignment horizontal="center" vertical="center"/>
    </xf>
    <xf numFmtId="168" fontId="21" fillId="13" borderId="37" xfId="0" applyNumberFormat="1" applyFont="1" applyFill="1" applyBorder="1" applyAlignment="1" applyProtection="1">
      <alignment horizontal="center" vertical="center"/>
      <protection locked="0"/>
    </xf>
    <xf numFmtId="168" fontId="21" fillId="13" borderId="38" xfId="0" applyNumberFormat="1" applyFont="1" applyFill="1" applyBorder="1" applyAlignment="1" applyProtection="1">
      <alignment horizontal="center" vertical="center"/>
      <protection locked="0"/>
    </xf>
    <xf numFmtId="168" fontId="21" fillId="13" borderId="32" xfId="0" applyNumberFormat="1" applyFont="1" applyFill="1" applyBorder="1" applyAlignment="1" applyProtection="1">
      <alignment horizontal="center" vertical="center"/>
      <protection locked="0"/>
    </xf>
    <xf numFmtId="168" fontId="21" fillId="13" borderId="41" xfId="0" applyNumberFormat="1" applyFont="1" applyFill="1" applyBorder="1" applyAlignment="1" applyProtection="1">
      <alignment horizontal="center" vertical="center"/>
      <protection locked="0"/>
    </xf>
    <xf numFmtId="164" fontId="21" fillId="13" borderId="37" xfId="0" applyNumberFormat="1" applyFont="1" applyFill="1" applyBorder="1" applyAlignment="1" applyProtection="1">
      <alignment horizontal="center" vertical="center"/>
      <protection locked="0"/>
    </xf>
    <xf numFmtId="164" fontId="21" fillId="13" borderId="38" xfId="0" applyNumberFormat="1" applyFont="1" applyFill="1" applyBorder="1" applyAlignment="1" applyProtection="1">
      <alignment horizontal="center" vertical="center"/>
      <protection locked="0"/>
    </xf>
    <xf numFmtId="0" fontId="21" fillId="16" borderId="40" xfId="0" applyFont="1" applyFill="1" applyBorder="1" applyAlignment="1" applyProtection="1">
      <alignment horizontal="center" vertical="center"/>
      <protection locked="0"/>
    </xf>
    <xf numFmtId="164" fontId="21" fillId="16" borderId="30" xfId="0" applyNumberFormat="1" applyFont="1" applyFill="1" applyBorder="1" applyAlignment="1" applyProtection="1">
      <alignment horizontal="center" vertical="center"/>
      <protection locked="0"/>
    </xf>
    <xf numFmtId="170" fontId="21" fillId="13" borderId="40" xfId="2" applyNumberFormat="1" applyFont="1" applyFill="1" applyBorder="1" applyAlignment="1" applyProtection="1">
      <alignment horizontal="center" vertical="center"/>
      <protection locked="0"/>
    </xf>
    <xf numFmtId="171" fontId="21" fillId="13" borderId="40" xfId="2" applyNumberFormat="1" applyFont="1" applyFill="1" applyBorder="1" applyAlignment="1" applyProtection="1">
      <alignment horizontal="center" vertical="center"/>
      <protection locked="0"/>
    </xf>
    <xf numFmtId="164" fontId="21" fillId="13" borderId="39" xfId="2" applyNumberFormat="1" applyFont="1" applyFill="1" applyBorder="1" applyAlignment="1" applyProtection="1">
      <alignment horizontal="center" vertical="center"/>
      <protection locked="0"/>
    </xf>
    <xf numFmtId="164" fontId="21" fillId="13" borderId="40" xfId="2" applyNumberFormat="1" applyFont="1" applyFill="1" applyBorder="1" applyAlignment="1" applyProtection="1">
      <alignment horizontal="center" vertical="center"/>
      <protection locked="0"/>
    </xf>
    <xf numFmtId="0" fontId="21" fillId="16" borderId="39" xfId="0" applyFont="1" applyFill="1" applyBorder="1" applyAlignment="1" applyProtection="1">
      <alignment horizontal="center" vertical="center"/>
      <protection locked="0"/>
    </xf>
    <xf numFmtId="0" fontId="21" fillId="18" borderId="0" xfId="0" applyFont="1" applyFill="1" applyAlignment="1">
      <alignment horizontal="left" vertical="center"/>
    </xf>
    <xf numFmtId="0" fontId="26" fillId="4" borderId="29" xfId="0" applyFont="1" applyFill="1" applyBorder="1" applyAlignment="1">
      <alignment horizontal="left" vertical="center"/>
    </xf>
    <xf numFmtId="0" fontId="21" fillId="18" borderId="29" xfId="0" applyFont="1" applyFill="1" applyBorder="1" applyAlignment="1">
      <alignment horizontal="left" vertical="center"/>
    </xf>
    <xf numFmtId="0" fontId="22" fillId="18" borderId="0" xfId="0" applyFont="1" applyFill="1" applyAlignment="1">
      <alignment horizontal="center" textRotation="90"/>
    </xf>
    <xf numFmtId="0" fontId="22" fillId="18" borderId="29" xfId="0" applyFont="1" applyFill="1" applyBorder="1" applyAlignment="1">
      <alignment horizontal="center" textRotation="90"/>
    </xf>
    <xf numFmtId="0" fontId="26" fillId="4" borderId="43" xfId="0" applyFont="1" applyFill="1" applyBorder="1" applyAlignment="1">
      <alignment horizontal="left" vertical="center"/>
    </xf>
    <xf numFmtId="0" fontId="30" fillId="18" borderId="29" xfId="0" applyFont="1" applyFill="1" applyBorder="1" applyAlignment="1">
      <alignment horizontal="center"/>
    </xf>
    <xf numFmtId="0" fontId="21" fillId="18" borderId="42" xfId="0" applyFont="1" applyFill="1" applyBorder="1" applyAlignment="1">
      <alignment horizontal="left" vertical="center"/>
    </xf>
    <xf numFmtId="164" fontId="26" fillId="4" borderId="29" xfId="0" applyNumberFormat="1" applyFont="1" applyFill="1" applyBorder="1" applyAlignment="1">
      <alignment horizontal="right" vertical="center"/>
    </xf>
    <xf numFmtId="0" fontId="26" fillId="4" borderId="29" xfId="0" applyFont="1" applyFill="1" applyBorder="1" applyAlignment="1">
      <alignment horizontal="right" vertical="center"/>
    </xf>
    <xf numFmtId="164" fontId="22" fillId="18" borderId="43" xfId="0" applyNumberFormat="1" applyFont="1" applyFill="1" applyBorder="1" applyAlignment="1">
      <alignment vertical="center"/>
    </xf>
    <xf numFmtId="164" fontId="22" fillId="18" borderId="0" xfId="0" applyNumberFormat="1" applyFont="1" applyFill="1" applyAlignment="1">
      <alignment vertical="center"/>
    </xf>
    <xf numFmtId="164" fontId="22" fillId="18" borderId="29" xfId="0" applyNumberFormat="1" applyFont="1" applyFill="1" applyBorder="1" applyAlignment="1">
      <alignment vertical="center"/>
    </xf>
    <xf numFmtId="164" fontId="26" fillId="4" borderId="43" xfId="0" applyNumberFormat="1" applyFont="1" applyFill="1" applyBorder="1" applyAlignment="1">
      <alignment horizontal="right" vertical="center"/>
    </xf>
    <xf numFmtId="0" fontId="26" fillId="4" borderId="43" xfId="0" applyFont="1" applyFill="1" applyBorder="1" applyAlignment="1">
      <alignment horizontal="right" vertical="center"/>
    </xf>
    <xf numFmtId="164" fontId="22" fillId="18" borderId="42" xfId="0" applyNumberFormat="1" applyFont="1" applyFill="1" applyBorder="1" applyAlignment="1">
      <alignment vertical="center"/>
    </xf>
    <xf numFmtId="10" fontId="22" fillId="18" borderId="43" xfId="2" applyNumberFormat="1" applyFont="1" applyFill="1" applyBorder="1" applyAlignment="1">
      <alignment horizontal="center" vertical="center"/>
    </xf>
    <xf numFmtId="10" fontId="22" fillId="18" borderId="0" xfId="2" applyNumberFormat="1" applyFont="1" applyFill="1" applyAlignment="1">
      <alignment horizontal="center" vertical="center"/>
    </xf>
    <xf numFmtId="10" fontId="22" fillId="18" borderId="29" xfId="2" applyNumberFormat="1" applyFont="1" applyFill="1" applyBorder="1" applyAlignment="1">
      <alignment horizontal="center" vertical="center"/>
    </xf>
    <xf numFmtId="10" fontId="26" fillId="4" borderId="43" xfId="2" applyNumberFormat="1" applyFont="1" applyFill="1" applyBorder="1" applyAlignment="1">
      <alignment horizontal="center" vertical="center"/>
    </xf>
    <xf numFmtId="10" fontId="22" fillId="18" borderId="42" xfId="2" applyNumberFormat="1" applyFont="1" applyFill="1" applyBorder="1" applyAlignment="1">
      <alignment horizontal="center" vertical="center"/>
    </xf>
    <xf numFmtId="164" fontId="22" fillId="6" borderId="43" xfId="0" applyNumberFormat="1" applyFont="1" applyFill="1" applyBorder="1" applyAlignment="1">
      <alignment horizontal="center" vertical="center"/>
    </xf>
    <xf numFmtId="164" fontId="22" fillId="6" borderId="39" xfId="0" applyNumberFormat="1" applyFont="1" applyFill="1" applyBorder="1" applyAlignment="1">
      <alignment horizontal="center" vertical="center"/>
    </xf>
    <xf numFmtId="170" fontId="21" fillId="13" borderId="32" xfId="2" applyNumberFormat="1" applyFont="1" applyFill="1" applyBorder="1" applyAlignment="1" applyProtection="1">
      <alignment horizontal="center" vertical="center"/>
      <protection locked="0"/>
    </xf>
    <xf numFmtId="170" fontId="21" fillId="13" borderId="42" xfId="2" applyNumberFormat="1" applyFont="1" applyFill="1" applyBorder="1" applyAlignment="1" applyProtection="1">
      <alignment horizontal="center" vertical="center"/>
      <protection locked="0"/>
    </xf>
    <xf numFmtId="164" fontId="22" fillId="6" borderId="40" xfId="0" applyNumberFormat="1" applyFont="1" applyFill="1" applyBorder="1" applyAlignment="1">
      <alignment horizontal="center" vertical="center"/>
    </xf>
    <xf numFmtId="164" fontId="33" fillId="2" borderId="0" xfId="0" applyNumberFormat="1" applyFont="1" applyFill="1" applyAlignment="1">
      <alignment horizontal="center" vertical="center"/>
    </xf>
    <xf numFmtId="0" fontId="21" fillId="16" borderId="41" xfId="0" applyFont="1" applyFill="1" applyBorder="1" applyAlignment="1" applyProtection="1">
      <alignment horizontal="center" vertical="center"/>
      <protection locked="0"/>
    </xf>
    <xf numFmtId="0" fontId="21" fillId="16" borderId="43" xfId="0" applyFont="1" applyFill="1" applyBorder="1" applyAlignment="1" applyProtection="1">
      <alignment horizontal="center" vertical="center"/>
      <protection locked="0"/>
    </xf>
    <xf numFmtId="0" fontId="21" fillId="16" borderId="32" xfId="0" applyFont="1" applyFill="1" applyBorder="1" applyAlignment="1" applyProtection="1">
      <alignment horizontal="center" vertical="center"/>
      <protection locked="0"/>
    </xf>
    <xf numFmtId="0" fontId="21" fillId="16" borderId="42" xfId="0" applyFont="1" applyFill="1" applyBorder="1" applyAlignment="1" applyProtection="1">
      <alignment horizontal="center" vertical="center"/>
      <protection locked="0"/>
    </xf>
    <xf numFmtId="0" fontId="21" fillId="16" borderId="31" xfId="0" applyFont="1" applyFill="1" applyBorder="1" applyAlignment="1" applyProtection="1">
      <alignment horizontal="center" vertical="center"/>
      <protection locked="0"/>
    </xf>
    <xf numFmtId="10" fontId="21" fillId="13" borderId="31" xfId="2" applyNumberFormat="1" applyFont="1" applyFill="1" applyBorder="1" applyAlignment="1" applyProtection="1">
      <alignment horizontal="center" vertical="center"/>
      <protection locked="0"/>
    </xf>
    <xf numFmtId="0" fontId="21" fillId="2" borderId="34" xfId="0" applyFont="1" applyFill="1" applyBorder="1" applyAlignment="1">
      <alignment horizontal="center" vertical="center"/>
    </xf>
    <xf numFmtId="14" fontId="21" fillId="2" borderId="34" xfId="0" applyNumberFormat="1" applyFont="1" applyFill="1" applyBorder="1" applyAlignment="1">
      <alignment horizontal="center" vertical="center"/>
    </xf>
    <xf numFmtId="164" fontId="21" fillId="2" borderId="34" xfId="0" applyNumberFormat="1" applyFont="1" applyFill="1" applyBorder="1" applyAlignment="1">
      <alignment horizontal="center" vertical="center"/>
    </xf>
    <xf numFmtId="164" fontId="21" fillId="2" borderId="35" xfId="0" applyNumberFormat="1" applyFont="1" applyFill="1" applyBorder="1" applyAlignment="1">
      <alignment horizontal="center" vertical="center"/>
    </xf>
    <xf numFmtId="0" fontId="26" fillId="4" borderId="0" xfId="0" applyFont="1" applyFill="1" applyAlignment="1">
      <alignment horizontal="left" vertical="center"/>
    </xf>
    <xf numFmtId="17" fontId="36" fillId="13" borderId="59" xfId="0" applyNumberFormat="1" applyFont="1" applyFill="1" applyBorder="1" applyAlignment="1" applyProtection="1">
      <alignment horizontal="center" vertical="center"/>
      <protection locked="0"/>
    </xf>
    <xf numFmtId="164" fontId="22" fillId="18" borderId="43" xfId="0" applyNumberFormat="1" applyFont="1" applyFill="1" applyBorder="1" applyAlignment="1">
      <alignment horizontal="center" vertical="center"/>
    </xf>
    <xf numFmtId="164" fontId="22" fillId="18" borderId="29" xfId="0" applyNumberFormat="1" applyFont="1" applyFill="1" applyBorder="1" applyAlignment="1">
      <alignment horizontal="center" vertical="center"/>
    </xf>
    <xf numFmtId="164" fontId="26" fillId="4" borderId="43" xfId="0" applyNumberFormat="1" applyFont="1" applyFill="1" applyBorder="1" applyAlignment="1">
      <alignment horizontal="center" vertical="center"/>
    </xf>
    <xf numFmtId="17" fontId="36" fillId="13" borderId="57" xfId="0" applyNumberFormat="1" applyFont="1" applyFill="1" applyBorder="1" applyAlignment="1" applyProtection="1">
      <alignment horizontal="center" vertical="center"/>
      <protection locked="0"/>
    </xf>
    <xf numFmtId="17" fontId="35" fillId="19" borderId="0" xfId="0" applyNumberFormat="1" applyFont="1" applyFill="1" applyAlignment="1">
      <alignment horizontal="right" vertical="center" indent="1"/>
    </xf>
    <xf numFmtId="164" fontId="22" fillId="18" borderId="0" xfId="0" applyNumberFormat="1" applyFont="1" applyFill="1" applyAlignment="1">
      <alignment horizontal="center" vertical="center"/>
    </xf>
    <xf numFmtId="164" fontId="22" fillId="18" borderId="42" xfId="0" applyNumberFormat="1" applyFont="1" applyFill="1" applyBorder="1" applyAlignment="1">
      <alignment horizontal="center" vertical="center"/>
    </xf>
    <xf numFmtId="164" fontId="22" fillId="18" borderId="43" xfId="2" applyNumberFormat="1" applyFont="1" applyFill="1" applyBorder="1" applyAlignment="1">
      <alignment horizontal="center" vertical="center"/>
    </xf>
    <xf numFmtId="17" fontId="25" fillId="14" borderId="1" xfId="0" applyNumberFormat="1" applyFont="1" applyFill="1" applyBorder="1" applyAlignment="1">
      <alignment horizontal="center" vertical="center" wrapText="1"/>
    </xf>
    <xf numFmtId="0" fontId="0" fillId="0" borderId="56" xfId="0" applyBorder="1"/>
    <xf numFmtId="164" fontId="26" fillId="4" borderId="29" xfId="0" applyNumberFormat="1" applyFont="1" applyFill="1" applyBorder="1" applyAlignment="1">
      <alignment horizontal="center" vertical="center"/>
    </xf>
    <xf numFmtId="10" fontId="26" fillId="4" borderId="0" xfId="2" applyNumberFormat="1" applyFont="1" applyFill="1" applyBorder="1" applyAlignment="1">
      <alignment horizontal="center" vertical="center"/>
    </xf>
    <xf numFmtId="10" fontId="8" fillId="2" borderId="12" xfId="2" applyNumberFormat="1" applyFont="1" applyFill="1" applyBorder="1" applyAlignment="1">
      <alignment horizontal="center" vertical="center"/>
    </xf>
    <xf numFmtId="164" fontId="8" fillId="2" borderId="11" xfId="0" applyNumberFormat="1" applyFont="1" applyFill="1" applyBorder="1" applyAlignment="1">
      <alignment horizontal="center" vertical="center"/>
    </xf>
    <xf numFmtId="164" fontId="8" fillId="2" borderId="12" xfId="2" applyNumberFormat="1" applyFont="1" applyFill="1" applyBorder="1" applyAlignment="1">
      <alignment horizontal="center" vertical="center"/>
    </xf>
    <xf numFmtId="0" fontId="16" fillId="2" borderId="16" xfId="0" applyFont="1" applyFill="1" applyBorder="1" applyAlignment="1">
      <alignment horizontal="left" vertical="center" indent="1"/>
    </xf>
    <xf numFmtId="14" fontId="14" fillId="2" borderId="5" xfId="0" applyNumberFormat="1" applyFont="1" applyFill="1" applyBorder="1" applyAlignment="1">
      <alignment horizontal="center" vertical="center"/>
    </xf>
    <xf numFmtId="0" fontId="14" fillId="2" borderId="5" xfId="0" applyFont="1" applyFill="1" applyBorder="1" applyAlignment="1">
      <alignment horizontal="center" vertical="center"/>
    </xf>
    <xf numFmtId="164" fontId="6" fillId="4" borderId="5" xfId="0" applyNumberFormat="1" applyFont="1" applyFill="1" applyBorder="1" applyAlignment="1">
      <alignment horizontal="center" vertical="center"/>
    </xf>
    <xf numFmtId="164" fontId="6" fillId="4" borderId="7" xfId="0" applyNumberFormat="1" applyFont="1" applyFill="1" applyBorder="1" applyAlignment="1">
      <alignment horizontal="center" vertical="center"/>
    </xf>
    <xf numFmtId="0" fontId="14" fillId="2" borderId="5" xfId="0" applyFont="1" applyFill="1" applyBorder="1" applyAlignment="1">
      <alignment horizontal="left" vertical="center" indent="1"/>
    </xf>
    <xf numFmtId="164" fontId="8" fillId="2" borderId="10" xfId="2" applyNumberFormat="1" applyFont="1" applyFill="1" applyBorder="1" applyAlignment="1">
      <alignment horizontal="center" vertical="center"/>
    </xf>
    <xf numFmtId="10" fontId="8" fillId="2" borderId="10" xfId="2" applyNumberFormat="1" applyFont="1" applyFill="1" applyBorder="1" applyAlignment="1">
      <alignment horizontal="center" vertical="center"/>
    </xf>
    <xf numFmtId="164" fontId="16" fillId="2" borderId="9" xfId="0" applyNumberFormat="1" applyFont="1" applyFill="1" applyBorder="1" applyAlignment="1">
      <alignment horizontal="center" vertical="center"/>
    </xf>
    <xf numFmtId="164" fontId="16" fillId="2" borderId="15" xfId="0" applyNumberFormat="1" applyFont="1" applyFill="1" applyBorder="1" applyAlignment="1">
      <alignment horizontal="center" vertical="center"/>
    </xf>
    <xf numFmtId="164" fontId="16" fillId="2" borderId="11" xfId="0" applyNumberFormat="1" applyFont="1" applyFill="1" applyBorder="1" applyAlignment="1">
      <alignment horizontal="center" vertical="center"/>
    </xf>
    <xf numFmtId="164" fontId="16" fillId="2" borderId="16" xfId="0" applyNumberFormat="1" applyFont="1" applyFill="1" applyBorder="1" applyAlignment="1">
      <alignment horizontal="center" vertical="center"/>
    </xf>
    <xf numFmtId="0" fontId="16" fillId="2" borderId="11" xfId="0" applyFont="1" applyFill="1" applyBorder="1" applyAlignment="1">
      <alignment horizontal="center" vertical="center"/>
    </xf>
    <xf numFmtId="164" fontId="8" fillId="2" borderId="12" xfId="0" applyNumberFormat="1" applyFont="1" applyFill="1" applyBorder="1" applyAlignment="1">
      <alignment horizontal="center" vertical="center"/>
    </xf>
    <xf numFmtId="164" fontId="8" fillId="2" borderId="16" xfId="0" applyNumberFormat="1" applyFont="1" applyFill="1" applyBorder="1" applyAlignment="1">
      <alignment horizontal="center" vertical="center"/>
    </xf>
    <xf numFmtId="0" fontId="16" fillId="2" borderId="13" xfId="0" applyFont="1" applyFill="1" applyBorder="1" applyAlignment="1">
      <alignment horizontal="center" vertical="center"/>
    </xf>
    <xf numFmtId="0" fontId="16" fillId="2" borderId="15" xfId="0" applyFont="1" applyFill="1" applyBorder="1" applyAlignment="1">
      <alignment horizontal="left" vertical="center" indent="1"/>
    </xf>
    <xf numFmtId="164" fontId="8" fillId="2" borderId="10" xfId="0" applyNumberFormat="1" applyFont="1" applyFill="1" applyBorder="1" applyAlignment="1">
      <alignment horizontal="center" vertical="center"/>
    </xf>
    <xf numFmtId="164" fontId="8" fillId="2" borderId="9" xfId="0" applyNumberFormat="1" applyFont="1" applyFill="1" applyBorder="1" applyAlignment="1">
      <alignment horizontal="center" vertical="center"/>
    </xf>
    <xf numFmtId="0" fontId="16" fillId="2" borderId="9" xfId="0" applyFont="1" applyFill="1" applyBorder="1" applyAlignment="1">
      <alignment horizontal="center" vertical="center"/>
    </xf>
    <xf numFmtId="164" fontId="8" fillId="2" borderId="13" xfId="0" applyNumberFormat="1" applyFont="1" applyFill="1" applyBorder="1" applyAlignment="1">
      <alignment horizontal="center" vertical="center"/>
    </xf>
    <xf numFmtId="0" fontId="16" fillId="2" borderId="17" xfId="0" applyFont="1" applyFill="1" applyBorder="1" applyAlignment="1">
      <alignment horizontal="left" vertical="center" indent="1"/>
    </xf>
    <xf numFmtId="164" fontId="8" fillId="2" borderId="14" xfId="0" applyNumberFormat="1" applyFont="1" applyFill="1" applyBorder="1" applyAlignment="1">
      <alignment horizontal="center" vertical="center"/>
    </xf>
    <xf numFmtId="164" fontId="8" fillId="2" borderId="14" xfId="2" applyNumberFormat="1" applyFont="1" applyFill="1" applyBorder="1" applyAlignment="1">
      <alignment horizontal="center" vertical="center"/>
    </xf>
    <xf numFmtId="164" fontId="16" fillId="2" borderId="13" xfId="0" applyNumberFormat="1" applyFont="1" applyFill="1" applyBorder="1" applyAlignment="1">
      <alignment horizontal="center" vertical="center"/>
    </xf>
    <xf numFmtId="164" fontId="16" fillId="2" borderId="17" xfId="0" applyNumberFormat="1" applyFont="1" applyFill="1" applyBorder="1" applyAlignment="1">
      <alignment horizontal="center" vertical="center"/>
    </xf>
    <xf numFmtId="10" fontId="8" fillId="2" borderId="14" xfId="2" applyNumberFormat="1" applyFont="1" applyFill="1" applyBorder="1" applyAlignment="1">
      <alignment horizontal="center" vertical="center"/>
    </xf>
    <xf numFmtId="164" fontId="8" fillId="2" borderId="15" xfId="0" applyNumberFormat="1" applyFont="1" applyFill="1" applyBorder="1" applyAlignment="1">
      <alignment horizontal="center" vertical="center"/>
    </xf>
    <xf numFmtId="164" fontId="8" fillId="2" borderId="17" xfId="0" applyNumberFormat="1" applyFont="1" applyFill="1" applyBorder="1" applyAlignment="1">
      <alignment horizontal="center" vertical="center"/>
    </xf>
    <xf numFmtId="0" fontId="13" fillId="9" borderId="5" xfId="0" applyFont="1" applyFill="1" applyBorder="1" applyAlignment="1">
      <alignment horizontal="center" vertical="center"/>
    </xf>
    <xf numFmtId="0" fontId="5" fillId="4" borderId="5" xfId="0" applyFont="1" applyFill="1" applyBorder="1" applyAlignment="1">
      <alignment horizontal="left" vertical="center" indent="1"/>
    </xf>
    <xf numFmtId="10" fontId="14" fillId="2" borderId="5" xfId="2" applyNumberFormat="1" applyFont="1" applyFill="1" applyBorder="1" applyAlignment="1">
      <alignment horizontal="center" vertical="center"/>
    </xf>
    <xf numFmtId="164" fontId="11" fillId="4" borderId="5" xfId="0" applyNumberFormat="1" applyFont="1" applyFill="1" applyBorder="1" applyAlignment="1">
      <alignment horizontal="center" vertical="center"/>
    </xf>
    <xf numFmtId="17" fontId="7" fillId="4" borderId="4" xfId="0" applyNumberFormat="1" applyFont="1" applyFill="1" applyBorder="1" applyAlignment="1">
      <alignment horizontal="center" vertical="center" wrapText="1"/>
    </xf>
    <xf numFmtId="17" fontId="7" fillId="4" borderId="18" xfId="0" applyNumberFormat="1" applyFont="1" applyFill="1" applyBorder="1" applyAlignment="1">
      <alignment horizontal="center" vertical="center" wrapText="1"/>
    </xf>
    <xf numFmtId="0" fontId="12" fillId="0" borderId="0" xfId="0" applyFont="1" applyAlignment="1">
      <alignment horizontal="right" vertical="center"/>
    </xf>
    <xf numFmtId="164" fontId="14" fillId="6" borderId="19" xfId="0" applyNumberFormat="1" applyFont="1" applyFill="1" applyBorder="1" applyAlignment="1">
      <alignment horizontal="center" vertical="center" textRotation="90"/>
    </xf>
    <xf numFmtId="164" fontId="13" fillId="6" borderId="19" xfId="0" applyNumberFormat="1" applyFont="1" applyFill="1" applyBorder="1" applyAlignment="1">
      <alignment horizontal="center" vertical="center" textRotation="90"/>
    </xf>
    <xf numFmtId="164" fontId="13" fillId="6" borderId="20" xfId="0" applyNumberFormat="1" applyFont="1" applyFill="1" applyBorder="1" applyAlignment="1">
      <alignment horizontal="center" vertical="center" textRotation="90"/>
    </xf>
    <xf numFmtId="167" fontId="6" fillId="11" borderId="24" xfId="0" applyNumberFormat="1" applyFont="1" applyFill="1" applyBorder="1" applyAlignment="1">
      <alignment horizontal="center" vertical="center" textRotation="90" wrapText="1"/>
    </xf>
    <xf numFmtId="167" fontId="6" fillId="4" borderId="24" xfId="0" applyNumberFormat="1" applyFont="1" applyFill="1" applyBorder="1" applyAlignment="1">
      <alignment horizontal="center" vertical="center" textRotation="90"/>
    </xf>
    <xf numFmtId="167" fontId="6" fillId="4" borderId="26" xfId="0" applyNumberFormat="1" applyFont="1" applyFill="1" applyBorder="1" applyAlignment="1">
      <alignment horizontal="center" vertical="center" textRotation="90"/>
    </xf>
    <xf numFmtId="164" fontId="13" fillId="6" borderId="25" xfId="0" applyNumberFormat="1" applyFont="1" applyFill="1" applyBorder="1" applyAlignment="1">
      <alignment horizontal="center" vertical="center" textRotation="90"/>
    </xf>
    <xf numFmtId="164" fontId="13" fillId="6" borderId="27" xfId="0" applyNumberFormat="1" applyFont="1" applyFill="1" applyBorder="1" applyAlignment="1">
      <alignment horizontal="center" vertical="center" textRotation="90"/>
    </xf>
    <xf numFmtId="17" fontId="6" fillId="4" borderId="21" xfId="0" applyNumberFormat="1" applyFont="1" applyFill="1" applyBorder="1" applyAlignment="1">
      <alignment horizontal="center" vertical="center" textRotation="90"/>
    </xf>
    <xf numFmtId="17" fontId="6" fillId="4" borderId="19" xfId="0" applyNumberFormat="1" applyFont="1" applyFill="1" applyBorder="1" applyAlignment="1">
      <alignment horizontal="center" vertical="center" textRotation="90"/>
    </xf>
    <xf numFmtId="164" fontId="14" fillId="6" borderId="25" xfId="0" applyNumberFormat="1" applyFont="1" applyFill="1" applyBorder="1" applyAlignment="1">
      <alignment horizontal="center" vertical="center" textRotation="90"/>
    </xf>
    <xf numFmtId="17" fontId="6" fillId="4" borderId="23" xfId="0" applyNumberFormat="1" applyFont="1" applyFill="1" applyBorder="1" applyAlignment="1">
      <alignment horizontal="center" vertical="center" textRotation="90"/>
    </xf>
    <xf numFmtId="17" fontId="6" fillId="4" borderId="25" xfId="0" applyNumberFormat="1" applyFont="1" applyFill="1" applyBorder="1" applyAlignment="1">
      <alignment horizontal="center" vertical="center" textRotation="90"/>
    </xf>
    <xf numFmtId="2" fontId="6" fillId="7" borderId="22" xfId="0" applyNumberFormat="1" applyFont="1" applyFill="1" applyBorder="1" applyAlignment="1">
      <alignment horizontal="center" vertical="center"/>
    </xf>
    <xf numFmtId="2" fontId="6" fillId="7" borderId="24" xfId="0" applyNumberFormat="1" applyFont="1" applyFill="1" applyBorder="1" applyAlignment="1">
      <alignment horizontal="center" vertical="center"/>
    </xf>
    <xf numFmtId="0" fontId="0" fillId="0" borderId="0" xfId="0" applyAlignment="1"/>
    <xf numFmtId="9" fontId="0" fillId="0" borderId="0" xfId="2" applyFont="1"/>
    <xf numFmtId="0" fontId="7" fillId="0" borderId="0" xfId="0" applyFont="1" applyAlignment="1"/>
    <xf numFmtId="9" fontId="7" fillId="0" borderId="0" xfId="2" applyFont="1"/>
    <xf numFmtId="9" fontId="7" fillId="0" borderId="0" xfId="0" applyNumberFormat="1" applyFont="1"/>
    <xf numFmtId="10" fontId="7" fillId="0" borderId="0" xfId="0" applyNumberFormat="1" applyFont="1"/>
    <xf numFmtId="164" fontId="33" fillId="6" borderId="40" xfId="0" applyNumberFormat="1" applyFont="1" applyFill="1" applyBorder="1" applyAlignment="1">
      <alignment horizontal="center" vertical="center"/>
    </xf>
    <xf numFmtId="164" fontId="33" fillId="6" borderId="41" xfId="0" applyNumberFormat="1" applyFont="1" applyFill="1" applyBorder="1" applyAlignment="1">
      <alignment horizontal="center" vertical="center"/>
    </xf>
    <xf numFmtId="164" fontId="33" fillId="6" borderId="34" xfId="0" applyNumberFormat="1" applyFont="1" applyFill="1" applyBorder="1" applyAlignment="1">
      <alignment horizontal="center" vertical="center"/>
    </xf>
    <xf numFmtId="164" fontId="33" fillId="6" borderId="35" xfId="0" applyNumberFormat="1" applyFont="1" applyFill="1" applyBorder="1" applyAlignment="1">
      <alignment horizontal="center" vertical="center"/>
    </xf>
    <xf numFmtId="168" fontId="33" fillId="6" borderId="40" xfId="0" applyNumberFormat="1" applyFont="1" applyFill="1" applyBorder="1" applyAlignment="1">
      <alignment horizontal="center" vertical="center"/>
    </xf>
    <xf numFmtId="168" fontId="33" fillId="6" borderId="41" xfId="0" applyNumberFormat="1" applyFont="1" applyFill="1" applyBorder="1" applyAlignment="1">
      <alignment horizontal="center" vertical="center"/>
    </xf>
    <xf numFmtId="17" fontId="35" fillId="19" borderId="0" xfId="0" applyNumberFormat="1" applyFont="1" applyFill="1" applyAlignment="1">
      <alignment horizontal="left" vertical="center" indent="1"/>
    </xf>
    <xf numFmtId="0" fontId="39" fillId="0" borderId="0" xfId="0" applyFont="1" applyAlignment="1">
      <alignment vertical="center"/>
    </xf>
  </cellXfs>
  <cellStyles count="5">
    <cellStyle name="Hiperlink" xfId="3" builtinId="8"/>
    <cellStyle name="Moeda" xfId="1" builtinId="4"/>
    <cellStyle name="Moeda 3" xfId="4" xr:uid="{3044698C-5EB6-40F7-88A8-5A96DD1D0330}"/>
    <cellStyle name="Normal" xfId="0" builtinId="0"/>
    <cellStyle name="Porcentagem" xfId="2" builtinId="5"/>
  </cellStyles>
  <dxfs count="34">
    <dxf>
      <font>
        <color theme="0"/>
      </font>
      <fill>
        <patternFill>
          <bgColor theme="1" tint="0.24994659260841701"/>
        </patternFill>
      </fill>
    </dxf>
    <dxf>
      <font>
        <color auto="1"/>
      </font>
      <fill>
        <patternFill>
          <bgColor theme="0" tint="-4.9989318521683403E-2"/>
        </patternFill>
      </fill>
    </dxf>
    <dxf>
      <font>
        <color theme="0"/>
      </font>
      <fill>
        <patternFill>
          <bgColor theme="1" tint="0.24994659260841701"/>
        </patternFill>
      </fill>
    </dxf>
    <dxf>
      <font>
        <color auto="1"/>
      </font>
      <fill>
        <patternFill>
          <bgColor theme="0" tint="-4.9989318521683403E-2"/>
        </patternFill>
      </fill>
    </dxf>
    <dxf>
      <font>
        <color rgb="FFC00000"/>
      </font>
      <fill>
        <patternFill patternType="solid">
          <bgColor theme="0" tint="-4.9989318521683403E-2"/>
        </patternFill>
      </fill>
    </dxf>
    <dxf>
      <font>
        <color rgb="FFED6E1F"/>
      </font>
      <fill>
        <patternFill>
          <bgColor rgb="FFED6E1F"/>
        </patternFill>
      </fill>
    </dxf>
    <dxf>
      <font>
        <color rgb="FFED6E1F"/>
      </font>
      <fill>
        <patternFill>
          <bgColor rgb="FFED6E1F"/>
        </patternFill>
      </fill>
    </dxf>
    <dxf>
      <font>
        <color rgb="FFED6E1F"/>
      </font>
      <fill>
        <patternFill>
          <bgColor rgb="FFED6E1F"/>
        </patternFill>
      </fill>
    </dxf>
    <dxf>
      <font>
        <color rgb="FFED6E1F"/>
      </font>
      <fill>
        <patternFill>
          <bgColor rgb="FFED6E1F"/>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D6E1F"/>
      <color rgb="FF0EA286"/>
      <color rgb="FF647C9C"/>
      <color rgb="FF5D7DA3"/>
      <color rgb="FF34465C"/>
      <color rgb="FFFF5050"/>
      <color rgb="FFF8C3A2"/>
      <color rgb="FF131E32"/>
      <color rgb="FFE9EAF7"/>
      <color rgb="FF4353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FF5050"/>
            </a:solidFill>
            <a:ln>
              <a:solidFill>
                <a:schemeClr val="bg1"/>
              </a:solidFill>
            </a:ln>
          </c:spPr>
          <c:dPt>
            <c:idx val="0"/>
            <c:bubble3D val="0"/>
            <c:spPr>
              <a:solidFill>
                <a:srgbClr val="ED6E1F"/>
              </a:solidFill>
              <a:ln w="19050">
                <a:solidFill>
                  <a:schemeClr val="lt1"/>
                </a:solidFill>
              </a:ln>
              <a:effectLst/>
            </c:spPr>
            <c:extLst>
              <c:ext xmlns:c16="http://schemas.microsoft.com/office/drawing/2014/chart" uri="{C3380CC4-5D6E-409C-BE32-E72D297353CC}">
                <c16:uniqueId val="{00000002-4828-4F17-9DAD-2974639D61A5}"/>
              </c:ext>
            </c:extLst>
          </c:dPt>
          <c:dPt>
            <c:idx val="1"/>
            <c:bubble3D val="0"/>
            <c:spPr>
              <a:solidFill>
                <a:srgbClr val="FFC000"/>
              </a:solidFill>
              <a:ln w="19050">
                <a:solidFill>
                  <a:schemeClr val="bg1"/>
                </a:solidFill>
              </a:ln>
              <a:effectLst/>
            </c:spPr>
            <c:extLst>
              <c:ext xmlns:c16="http://schemas.microsoft.com/office/drawing/2014/chart" uri="{C3380CC4-5D6E-409C-BE32-E72D297353CC}">
                <c16:uniqueId val="{00000003-4828-4F17-9DAD-2974639D61A5}"/>
              </c:ext>
            </c:extLst>
          </c:dPt>
          <c:dPt>
            <c:idx val="2"/>
            <c:bubble3D val="0"/>
            <c:spPr>
              <a:solidFill>
                <a:srgbClr val="0EA286"/>
              </a:solidFill>
              <a:ln w="19050">
                <a:solidFill>
                  <a:schemeClr val="bg1"/>
                </a:solidFill>
              </a:ln>
              <a:effectLst/>
            </c:spPr>
            <c:extLst>
              <c:ext xmlns:c16="http://schemas.microsoft.com/office/drawing/2014/chart" uri="{C3380CC4-5D6E-409C-BE32-E72D297353CC}">
                <c16:uniqueId val="{00000004-4828-4F17-9DAD-2974639D61A5}"/>
              </c:ext>
            </c:extLst>
          </c:dPt>
          <c:dPt>
            <c:idx val="3"/>
            <c:bubble3D val="0"/>
            <c:spPr>
              <a:solidFill>
                <a:srgbClr val="647C9C"/>
              </a:solidFill>
              <a:ln w="19050">
                <a:solidFill>
                  <a:schemeClr val="bg1"/>
                </a:solidFill>
              </a:ln>
              <a:effectLst/>
            </c:spPr>
            <c:extLst>
              <c:ext xmlns:c16="http://schemas.microsoft.com/office/drawing/2014/chart" uri="{C3380CC4-5D6E-409C-BE32-E72D297353CC}">
                <c16:uniqueId val="{00000005-4828-4F17-9DAD-2974639D61A5}"/>
              </c:ext>
            </c:extLst>
          </c:dPt>
          <c:dPt>
            <c:idx val="4"/>
            <c:bubble3D val="0"/>
            <c:spPr>
              <a:solidFill>
                <a:srgbClr val="34465C"/>
              </a:solidFill>
              <a:ln w="19050">
                <a:solidFill>
                  <a:schemeClr val="bg1"/>
                </a:solidFill>
              </a:ln>
              <a:effectLst/>
            </c:spPr>
            <c:extLst>
              <c:ext xmlns:c16="http://schemas.microsoft.com/office/drawing/2014/chart" uri="{C3380CC4-5D6E-409C-BE32-E72D297353CC}">
                <c16:uniqueId val="{00000006-4828-4F17-9DAD-2974639D61A5}"/>
              </c:ext>
            </c:extLst>
          </c:dPt>
          <c:dPt>
            <c:idx val="5"/>
            <c:bubble3D val="0"/>
            <c:spPr>
              <a:noFill/>
              <a:ln w="19050">
                <a:noFill/>
              </a:ln>
              <a:effectLst/>
            </c:spPr>
            <c:extLst>
              <c:ext xmlns:c16="http://schemas.microsoft.com/office/drawing/2014/chart" uri="{C3380CC4-5D6E-409C-BE32-E72D297353CC}">
                <c16:uniqueId val="{00000001-4828-4F17-9DAD-2974639D61A5}"/>
              </c:ext>
            </c:extLst>
          </c:dPt>
          <c:dLbls>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75000"/>
                        </a:schemeClr>
                      </a:solidFill>
                      <a:latin typeface="Century Gothic" panose="020B0502020202020204" pitchFamily="34" charset="0"/>
                      <a:ea typeface="+mn-ea"/>
                      <a:cs typeface="+mn-cs"/>
                    </a:defRPr>
                  </a:pPr>
                  <a:endParaRPr lang="pt-BR"/>
                </a:p>
              </c:txPr>
              <c:showLegendKey val="0"/>
              <c:showVal val="0"/>
              <c:showCatName val="1"/>
              <c:showSerName val="0"/>
              <c:showPercent val="0"/>
              <c:showBubbleSize val="0"/>
              <c:extLst>
                <c:ext xmlns:c16="http://schemas.microsoft.com/office/drawing/2014/chart" uri="{C3380CC4-5D6E-409C-BE32-E72D297353CC}">
                  <c16:uniqueId val="{00000003-4828-4F17-9DAD-2974639D61A5}"/>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Century Gothic" panose="020B0502020202020204" pitchFamily="34" charset="0"/>
                      <a:ea typeface="+mn-ea"/>
                      <a:cs typeface="+mn-cs"/>
                    </a:defRPr>
                  </a:pPr>
                  <a:endParaRPr lang="pt-BR"/>
                </a:p>
              </c:txPr>
              <c:showLegendKey val="0"/>
              <c:showVal val="0"/>
              <c:showCatName val="1"/>
              <c:showSerName val="0"/>
              <c:showPercent val="0"/>
              <c:showBubbleSize val="0"/>
              <c:extLst>
                <c:ext xmlns:c16="http://schemas.microsoft.com/office/drawing/2014/chart" uri="{C3380CC4-5D6E-409C-BE32-E72D297353CC}">
                  <c16:uniqueId val="{00000005-4828-4F17-9DAD-2974639D61A5}"/>
                </c:ext>
              </c:extLst>
            </c:dLbl>
            <c:dLbl>
              <c:idx val="4"/>
              <c:tx>
                <c:rich>
                  <a:bodyPr/>
                  <a:lstStyle/>
                  <a:p>
                    <a:fld id="{13A76E2B-71BE-4C38-811D-2D69E7906F11}" type="CATEGORYNAME">
                      <a:rPr lang="en-US">
                        <a:solidFill>
                          <a:schemeClr val="bg1"/>
                        </a:solidFill>
                      </a:rPr>
                      <a:pPr/>
                      <a:t>[NOME DA CATEGORIA]</a:t>
                    </a:fld>
                    <a:endParaRPr lang="pt-BR"/>
                  </a:p>
                </c:rich>
              </c:tx>
              <c:showLegendKey val="0"/>
              <c:showVal val="0"/>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828-4F17-9DAD-2974639D61A5}"/>
                </c:ext>
              </c:extLst>
            </c:dLbl>
            <c:dLbl>
              <c:idx val="5"/>
              <c:delete val="1"/>
              <c:extLst>
                <c:ext xmlns:c15="http://schemas.microsoft.com/office/drawing/2012/chart" uri="{CE6537A1-D6FC-4f65-9D91-7224C49458BB}"/>
                <c:ext xmlns:c16="http://schemas.microsoft.com/office/drawing/2014/chart" uri="{C3380CC4-5D6E-409C-BE32-E72D297353CC}">
                  <c16:uniqueId val="{00000001-4828-4F17-9DAD-2974639D61A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lumMod val="50000"/>
                      </a:schemeClr>
                    </a:solidFill>
                    <a:latin typeface="Century Gothic" panose="020B0502020202020204" pitchFamily="34" charset="0"/>
                    <a:ea typeface="+mn-ea"/>
                    <a:cs typeface="+mn-cs"/>
                  </a:defRPr>
                </a:pPr>
                <a:endParaRPr lang="pt-BR"/>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'SIMULAÇÃO 01'!$B$255:$B$260</c:f>
              <c:strCache>
                <c:ptCount val="6"/>
                <c:pt idx="0">
                  <c:v>Reprovado</c:v>
                </c:pt>
                <c:pt idx="1">
                  <c:v>Popular</c:v>
                </c:pt>
                <c:pt idx="2">
                  <c:v>Normal</c:v>
                </c:pt>
                <c:pt idx="3">
                  <c:v>Alto</c:v>
                </c:pt>
                <c:pt idx="4">
                  <c:v>Luxo</c:v>
                </c:pt>
                <c:pt idx="5">
                  <c:v>Total</c:v>
                </c:pt>
              </c:strCache>
            </c:strRef>
          </c:cat>
          <c:val>
            <c:numRef>
              <c:f>'SIMULAÇÃO 01'!$C$255:$C$260</c:f>
              <c:numCache>
                <c:formatCode>0%</c:formatCode>
                <c:ptCount val="6"/>
                <c:pt idx="0">
                  <c:v>0.15</c:v>
                </c:pt>
                <c:pt idx="1">
                  <c:v>0.03</c:v>
                </c:pt>
                <c:pt idx="2">
                  <c:v>0.10999999999999999</c:v>
                </c:pt>
                <c:pt idx="3">
                  <c:v>0.06</c:v>
                </c:pt>
                <c:pt idx="4">
                  <c:v>0.15000000000000002</c:v>
                </c:pt>
                <c:pt idx="5">
                  <c:v>0.5</c:v>
                </c:pt>
              </c:numCache>
            </c:numRef>
          </c:val>
          <c:extLst>
            <c:ext xmlns:c16="http://schemas.microsoft.com/office/drawing/2014/chart" uri="{C3380CC4-5D6E-409C-BE32-E72D297353CC}">
              <c16:uniqueId val="{00000000-4828-4F17-9DAD-2974639D61A5}"/>
            </c:ext>
          </c:extLst>
        </c:ser>
        <c:dLbls>
          <c:showLegendKey val="0"/>
          <c:showVal val="0"/>
          <c:showCatName val="0"/>
          <c:showSerName val="0"/>
          <c:showPercent val="0"/>
          <c:showBubbleSize val="0"/>
          <c:showLeaderLines val="1"/>
        </c:dLbls>
        <c:firstSliceAng val="270"/>
        <c:holeSize val="60"/>
      </c:doughnutChart>
      <c:pieChart>
        <c:varyColors val="1"/>
        <c:ser>
          <c:idx val="1"/>
          <c:order val="1"/>
          <c:spPr>
            <a:ln>
              <a:noFill/>
            </a:ln>
          </c:spPr>
          <c:explosion val="3"/>
          <c:dPt>
            <c:idx val="0"/>
            <c:bubble3D val="0"/>
            <c:spPr>
              <a:noFill/>
              <a:ln w="19050">
                <a:noFill/>
              </a:ln>
              <a:effectLst/>
            </c:spPr>
            <c:extLst>
              <c:ext xmlns:c16="http://schemas.microsoft.com/office/drawing/2014/chart" uri="{C3380CC4-5D6E-409C-BE32-E72D297353CC}">
                <c16:uniqueId val="{0000000B-4828-4F17-9DAD-2974639D61A5}"/>
              </c:ext>
            </c:extLst>
          </c:dPt>
          <c:dPt>
            <c:idx val="1"/>
            <c:bubble3D val="0"/>
            <c:explosion val="5"/>
            <c:spPr>
              <a:gradFill flip="none" rotWithShape="1">
                <a:gsLst>
                  <a:gs pos="0">
                    <a:schemeClr val="tx1">
                      <a:lumMod val="75000"/>
                      <a:lumOff val="25000"/>
                      <a:shade val="30000"/>
                      <a:satMod val="115000"/>
                    </a:schemeClr>
                  </a:gs>
                  <a:gs pos="50000">
                    <a:schemeClr val="tx1">
                      <a:lumMod val="75000"/>
                      <a:lumOff val="25000"/>
                      <a:shade val="67500"/>
                      <a:satMod val="115000"/>
                    </a:schemeClr>
                  </a:gs>
                  <a:gs pos="100000">
                    <a:schemeClr val="tx1">
                      <a:lumMod val="75000"/>
                      <a:lumOff val="25000"/>
                      <a:shade val="100000"/>
                      <a:satMod val="115000"/>
                    </a:schemeClr>
                  </a:gs>
                </a:gsLst>
                <a:lin ang="10800000" scaled="1"/>
                <a:tileRect/>
              </a:gradFill>
              <a:ln w="12700">
                <a:solidFill>
                  <a:schemeClr val="tx1">
                    <a:lumMod val="75000"/>
                    <a:lumOff val="25000"/>
                  </a:schemeClr>
                </a:solidFill>
              </a:ln>
              <a:effectLst/>
            </c:spPr>
            <c:extLst>
              <c:ext xmlns:c16="http://schemas.microsoft.com/office/drawing/2014/chart" uri="{C3380CC4-5D6E-409C-BE32-E72D297353CC}">
                <c16:uniqueId val="{0000000C-4828-4F17-9DAD-2974639D61A5}"/>
              </c:ext>
            </c:extLst>
          </c:dPt>
          <c:dPt>
            <c:idx val="2"/>
            <c:bubble3D val="0"/>
            <c:spPr>
              <a:noFill/>
              <a:ln w="19050">
                <a:noFill/>
              </a:ln>
              <a:effectLst/>
            </c:spPr>
            <c:extLst>
              <c:ext xmlns:c16="http://schemas.microsoft.com/office/drawing/2014/chart" uri="{C3380CC4-5D6E-409C-BE32-E72D297353CC}">
                <c16:uniqueId val="{00000009-4828-4F17-9DAD-2974639D61A5}"/>
              </c:ext>
            </c:extLst>
          </c:dPt>
          <c:val>
            <c:numRef>
              <c:f>'SIMULAÇÃO 01'!$C$263:$C$265</c:f>
              <c:numCache>
                <c:formatCode>0%</c:formatCode>
                <c:ptCount val="3"/>
                <c:pt idx="0">
                  <c:v>0.18018950007562626</c:v>
                </c:pt>
                <c:pt idx="1">
                  <c:v>1.5E-3</c:v>
                </c:pt>
                <c:pt idx="2">
                  <c:v>0.81831049992437377</c:v>
                </c:pt>
              </c:numCache>
            </c:numRef>
          </c:val>
          <c:extLst>
            <c:ext xmlns:c16="http://schemas.microsoft.com/office/drawing/2014/chart" uri="{C3380CC4-5D6E-409C-BE32-E72D297353CC}">
              <c16:uniqueId val="{00000008-4828-4F17-9DAD-2974639D61A5}"/>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pt-BR" b="1">
                <a:solidFill>
                  <a:sysClr val="windowText" lastClr="000000"/>
                </a:solidFill>
              </a:rPr>
              <a:t>CRONOGRAMA FÍSICO-FINANCEIRO</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pt-BR"/>
        </a:p>
      </c:txPr>
    </c:title>
    <c:autoTitleDeleted val="0"/>
    <c:plotArea>
      <c:layout>
        <c:manualLayout>
          <c:layoutTarget val="inner"/>
          <c:xMode val="edge"/>
          <c:yMode val="edge"/>
          <c:x val="5.6598172025783891E-2"/>
          <c:y val="0.22720508964769059"/>
          <c:w val="0.88335598027639162"/>
          <c:h val="0.63279995971933523"/>
        </c:manualLayout>
      </c:layout>
      <c:barChart>
        <c:barDir val="col"/>
        <c:grouping val="clustered"/>
        <c:varyColors val="0"/>
        <c:ser>
          <c:idx val="0"/>
          <c:order val="0"/>
          <c:tx>
            <c:v>SAÍDAS</c:v>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0800000" scaled="1"/>
              <a:tileRect/>
            </a:gradFill>
            <a:ln>
              <a:noFill/>
            </a:ln>
            <a:effectLst>
              <a:outerShdw blurRad="57150" dist="19050" dir="5400000" algn="ctr" rotWithShape="0">
                <a:srgbClr val="000000">
                  <a:alpha val="63000"/>
                </a:srgbClr>
              </a:outerShdw>
            </a:effectLst>
          </c:spPr>
          <c:invertIfNegative val="0"/>
          <c:dLbls>
            <c:numFmt formatCode="[&gt;999999]\ 0.0,,\ &quot;M&quot;;\ 0,\ &quot;k&quot;" sourceLinked="0"/>
            <c:spPr>
              <a:noFill/>
              <a:ln>
                <a:noFill/>
              </a:ln>
              <a:effectLst/>
            </c:spPr>
            <c:txPr>
              <a:bodyPr rot="-540000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RELATÓRIO!$BA$30:$BX$30</c15:sqref>
                  </c15:fullRef>
                </c:ext>
              </c:extLst>
              <c:f>RELATÓRIO!$BA$30:$BL$30</c:f>
              <c:numCache>
                <c:formatCode>mmm\-yy</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extLst>
                <c:ext xmlns:c15="http://schemas.microsoft.com/office/drawing/2012/chart" uri="{02D57815-91ED-43cb-92C2-25804820EDAC}">
                  <c15:fullRef>
                    <c15:sqref>RELATÓRIO!$BA$35:$BX$35</c15:sqref>
                  </c15:fullRef>
                </c:ext>
              </c:extLst>
              <c:f>RELATÓRIO!$BA$35:$BL$35</c:f>
              <c:numCache>
                <c:formatCode>"R$"\ #,##0.00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FFBB-4CD1-B300-869413876282}"/>
            </c:ext>
          </c:extLst>
        </c:ser>
        <c:dLbls>
          <c:dLblPos val="inEnd"/>
          <c:showLegendKey val="0"/>
          <c:showVal val="1"/>
          <c:showCatName val="0"/>
          <c:showSerName val="0"/>
          <c:showPercent val="0"/>
          <c:showBubbleSize val="0"/>
        </c:dLbls>
        <c:gapWidth val="100"/>
        <c:axId val="840265343"/>
        <c:axId val="840262431"/>
      </c:barChart>
      <c:lineChart>
        <c:grouping val="standard"/>
        <c:varyColors val="0"/>
        <c:ser>
          <c:idx val="1"/>
          <c:order val="1"/>
          <c:tx>
            <c:v>ACUMULADO</c:v>
          </c:tx>
          <c:spPr>
            <a:ln w="34925" cap="rnd">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round/>
            </a:ln>
            <a:effectLst>
              <a:outerShdw blurRad="57150" dist="19050" dir="5400000" algn="ctr" rotWithShape="0">
                <a:srgbClr val="000000">
                  <a:alpha val="63000"/>
                </a:srgbClr>
              </a:outerShdw>
            </a:effectLst>
          </c:spPr>
          <c:marker>
            <c:symbol val="none"/>
          </c:marker>
          <c:dLbls>
            <c:delete val="1"/>
          </c:dLbls>
          <c:cat>
            <c:numRef>
              <c:extLst>
                <c:ext xmlns:c15="http://schemas.microsoft.com/office/drawing/2012/chart" uri="{02D57815-91ED-43cb-92C2-25804820EDAC}">
                  <c15:fullRef>
                    <c15:sqref>RELATÓRIO!$BA$30:$BX$30</c15:sqref>
                  </c15:fullRef>
                </c:ext>
              </c:extLst>
              <c:f>RELATÓRIO!$BA$30:$BL$30</c:f>
              <c:numCache>
                <c:formatCode>mmm\-yy</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extLst>
                <c:ext xmlns:c15="http://schemas.microsoft.com/office/drawing/2012/chart" uri="{02D57815-91ED-43cb-92C2-25804820EDAC}">
                  <c15:fullRef>
                    <c15:sqref>RELATÓRIO!$BA$46:$BX$46</c15:sqref>
                  </c15:fullRef>
                </c:ext>
              </c:extLst>
              <c:f>RELATÓRIO!$BA$46:$BL$46</c:f>
              <c:numCache>
                <c:formatCode>"R$"\ #,##0.00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3-FFBB-4CD1-B300-869413876282}"/>
            </c:ext>
          </c:extLst>
        </c:ser>
        <c:dLbls>
          <c:showLegendKey val="0"/>
          <c:showVal val="1"/>
          <c:showCatName val="0"/>
          <c:showSerName val="0"/>
          <c:showPercent val="0"/>
          <c:showBubbleSize val="0"/>
        </c:dLbls>
        <c:marker val="1"/>
        <c:smooth val="0"/>
        <c:axId val="1077581471"/>
        <c:axId val="1060551855"/>
      </c:lineChart>
      <c:catAx>
        <c:axId val="840265343"/>
        <c:scaling>
          <c:orientation val="minMax"/>
        </c:scaling>
        <c:delete val="0"/>
        <c:axPos val="b"/>
        <c:numFmt formatCode="mmm\-yy"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pt-BR"/>
          </a:p>
        </c:txPr>
        <c:crossAx val="840262431"/>
        <c:crosses val="autoZero"/>
        <c:auto val="0"/>
        <c:lblAlgn val="ctr"/>
        <c:lblOffset val="100"/>
        <c:noMultiLvlLbl val="1"/>
      </c:catAx>
      <c:valAx>
        <c:axId val="840262431"/>
        <c:scaling>
          <c:orientation val="minMax"/>
        </c:scaling>
        <c:delete val="0"/>
        <c:axPos val="l"/>
        <c:majorGridlines>
          <c:spPr>
            <a:ln w="9525" cap="flat" cmpd="sng" algn="ctr">
              <a:solidFill>
                <a:schemeClr val="tx1">
                  <a:lumMod val="15000"/>
                  <a:lumOff val="85000"/>
                </a:schemeClr>
              </a:solidFill>
              <a:round/>
            </a:ln>
            <a:effectLst/>
          </c:spPr>
        </c:majorGridlines>
        <c:numFmt formatCode="[&gt;0]\ 0,\ &quot;k&quot;;&quot;&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pt-BR"/>
          </a:p>
        </c:txPr>
        <c:crossAx val="840265343"/>
        <c:crosses val="autoZero"/>
        <c:crossBetween val="between"/>
      </c:valAx>
      <c:valAx>
        <c:axId val="1060551855"/>
        <c:scaling>
          <c:orientation val="minMax"/>
        </c:scaling>
        <c:delete val="0"/>
        <c:axPos val="r"/>
        <c:numFmt formatCode="[&gt;999999]\ 0.0,,\ &quot;M&quot;;\ 0,\ &quot;k&quot;"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pt-BR"/>
          </a:p>
        </c:txPr>
        <c:crossAx val="1077581471"/>
        <c:crosses val="max"/>
        <c:crossBetween val="between"/>
      </c:valAx>
      <c:dateAx>
        <c:axId val="1077581471"/>
        <c:scaling>
          <c:orientation val="minMax"/>
        </c:scaling>
        <c:delete val="1"/>
        <c:axPos val="b"/>
        <c:numFmt formatCode="mmm\-yy" sourceLinked="1"/>
        <c:majorTickMark val="out"/>
        <c:minorTickMark val="none"/>
        <c:tickLblPos val="nextTo"/>
        <c:crossAx val="1060551855"/>
        <c:crosses val="autoZero"/>
        <c:auto val="1"/>
        <c:lblOffset val="100"/>
        <c:baseTimeUnit val="months"/>
        <c:majorUnit val="1"/>
        <c:minorUnit val="1"/>
      </c:date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strDim>
      <cx:numDim type="val">
        <cx:f>_xlchart.v5.2</cx:f>
      </cx:numDim>
    </cx:data>
  </cx:chartData>
  <cx:chart>
    <cx:plotArea>
      <cx:plotAreaRegion>
        <cx:plotSurface>
          <cx:spPr>
            <a:ln>
              <a:solidFill>
                <a:schemeClr val="bg1"/>
              </a:solidFill>
            </a:ln>
          </cx:spPr>
        </cx:plotSurface>
        <cx:series layoutId="waterfall" uniqueId="{4A7A8B01-7494-4315-BAB0-C2CA7EF6666B}" formatIdx="0">
          <cx:tx>
            <cx:txData>
              <cx:f>_xlchart.v5.1</cx:f>
              <cx:v>SIMULAÇÃO 01</cx:v>
            </cx:txData>
          </cx:tx>
          <cx:dataPt idx="8">
            <cx:spPr>
              <a:solidFill>
                <a:srgbClr val="34465C"/>
              </a:solidFill>
            </cx:spPr>
          </cx:dataPt>
          <cx:dataLabels>
            <cx:numFmt formatCode="R$ #.##0,00" sourceLinked="0"/>
            <cx:txPr>
              <a:bodyPr spcFirstLastPara="1" vertOverflow="ellipsis" horzOverflow="overflow" wrap="square" lIns="0" tIns="0" rIns="0" bIns="0" anchor="ctr" anchorCtr="1"/>
              <a:lstStyle/>
              <a:p>
                <a:pPr algn="ctr" rtl="0">
                  <a:defRPr sz="1050" b="1">
                    <a:ln>
                      <a:noFill/>
                    </a:ln>
                    <a:solidFill>
                      <a:schemeClr val="tx2">
                        <a:lumMod val="50000"/>
                      </a:schemeClr>
                    </a:solidFill>
                    <a:latin typeface="Aptos" panose="020B0004020202020204" pitchFamily="34" charset="0"/>
                    <a:ea typeface="Aptos" panose="020B0004020202020204" pitchFamily="34" charset="0"/>
                    <a:cs typeface="Aptos" panose="020B0004020202020204" pitchFamily="34" charset="0"/>
                  </a:defRPr>
                </a:pPr>
                <a:endParaRPr lang="pt-BR" sz="1050" b="1" i="0" u="none" strike="noStrike" baseline="0">
                  <a:ln>
                    <a:noFill/>
                  </a:ln>
                  <a:solidFill>
                    <a:schemeClr val="tx2">
                      <a:lumMod val="50000"/>
                    </a:schemeClr>
                  </a:solidFill>
                  <a:latin typeface="Aptos" panose="020B0004020202020204" pitchFamily="34" charset="0"/>
                </a:endParaRPr>
              </a:p>
            </cx:txPr>
            <cx:visibility seriesName="0" categoryName="0" value="1"/>
            <cx:separator>
</cx:separator>
          </cx:dataLabels>
          <cx:dataId val="0"/>
          <cx:layoutPr>
            <cx:visibility connectorLines="1"/>
            <cx:subtotals>
              <cx:idx val="8"/>
            </cx:subtotals>
          </cx:layoutPr>
        </cx:series>
      </cx:plotAreaRegion>
      <cx:axis id="0">
        <cx:catScaling gapWidth="0.5"/>
        <cx:tickLabels/>
        <cx:numFmt formatCode="Geral" sourceLinked="0"/>
        <cx:spPr>
          <a:ln>
            <a:solidFill>
              <a:schemeClr val="bg1">
                <a:lumMod val="95000"/>
              </a:schemeClr>
            </a:solidFill>
          </a:ln>
        </cx:spPr>
        <cx:txPr>
          <a:bodyPr spcFirstLastPara="1" vertOverflow="ellipsis" horzOverflow="overflow" wrap="square" lIns="0" tIns="0" rIns="0" bIns="0" anchor="ctr" anchorCtr="1"/>
          <a:lstStyle/>
          <a:p>
            <a:pPr algn="ctr" rtl="0">
              <a:defRPr sz="1100" b="1">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i="0" u="none" strike="noStrike" baseline="0">
              <a:solidFill>
                <a:schemeClr val="tx2">
                  <a:lumMod val="75000"/>
                </a:schemeClr>
              </a:solidFill>
              <a:latin typeface="Century Gothic" panose="020B0502020202020204" pitchFamily="34" charset="0"/>
            </a:endParaRPr>
          </a:p>
        </cx:txPr>
      </cx:axis>
      <cx:axis id="1">
        <cx:valScaling/>
        <cx:majorGridlines>
          <cx:spPr>
            <a:ln>
              <a:solidFill>
                <a:schemeClr val="bg1">
                  <a:lumMod val="85000"/>
                </a:schemeClr>
              </a:solidFill>
            </a:ln>
          </cx:spPr>
        </cx:majorGridlines>
        <cx:minorGridlines>
          <cx:spPr>
            <a:ln>
              <a:solidFill>
                <a:schemeClr val="bg1">
                  <a:lumMod val="95000"/>
                </a:schemeClr>
              </a:solidFill>
            </a:ln>
          </cx:spPr>
        </cx:minorGridlines>
        <cx:tickLabels/>
        <cx:numFmt formatCode="[&gt;999999] 0,0.. &quot;M&quot;; 0. &quot;k&quot;" sourceLinked="0"/>
        <cx:txPr>
          <a:bodyPr vertOverflow="overflow" horzOverflow="overflow" wrap="square" lIns="0" tIns="0" rIns="0" bIns="0"/>
          <a:lstStyle/>
          <a:p>
            <a:pPr algn="ctr" rtl="0">
              <a:defRPr sz="1100" b="1" i="0">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solidFill>
                <a:schemeClr val="tx2">
                  <a:lumMod val="75000"/>
                </a:schemeClr>
              </a:solidFill>
              <a:latin typeface="Century Gothic" panose="020B0502020202020204" pitchFamily="34" charset="0"/>
            </a:endParaRPr>
          </a:p>
        </cx:txPr>
      </cx:axis>
    </cx:plotArea>
  </cx:chart>
  <cx:spPr>
    <a:ln>
      <a:solidFill>
        <a:srgbClr val="34465C"/>
      </a:solidFill>
    </a:ln>
  </cx:spPr>
  <cx:fmtOvrs>
    <cx:fmtOvr idx="0">
      <cx:spPr>
        <a:solidFill>
          <a:schemeClr val="tx2">
            <a:lumMod val="60000"/>
            <a:lumOff val="40000"/>
          </a:schemeClr>
        </a:solidFill>
      </cx:spPr>
    </cx:fmtOvr>
    <cx:fmtOvr idx="1">
      <cx:spPr>
        <a:solidFill>
          <a:srgbClr val="ED6E1F"/>
        </a:solidFill>
      </cx:spPr>
    </cx:fmtOvr>
    <cx:fmtOvr idx="2"/>
  </cx:fmtOvrs>
  <cx:printSettings>
    <cx:headerFooter alignWithMargins="1" differentOddEven="0" differentFirst="0"/>
    <cx:pageMargins l="0.511811024" r="0.511811024" t="0.78740157499999996" b="0.78740157499999996" header="0.31496062000000002" footer="0.31496062000000002"/>
    <cx:pageSetup paperSize="9" firstPageNumber="1" orientation="landscape" blackAndWhite="0" draft="0" useFirstPageNumber="0" horizontalDpi="600" verticalDpi="600" copies="1"/>
  </cx:printSettings>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strDim>
      <cx:numDim type="val">
        <cx:f>_xlchart.v5.8</cx:f>
      </cx:numDim>
    </cx:data>
  </cx:chartData>
  <cx:chart>
    <cx:plotArea>
      <cx:plotAreaRegion>
        <cx:plotSurface>
          <cx:spPr>
            <a:ln>
              <a:solidFill>
                <a:schemeClr val="bg1"/>
              </a:solidFill>
            </a:ln>
          </cx:spPr>
        </cx:plotSurface>
        <cx:series layoutId="waterfall" uniqueId="{4A7A8B01-7494-4315-BAB0-C2CA7EF6666B}" formatIdx="0">
          <cx:tx>
            <cx:txData>
              <cx:f>_xlchart.v5.7</cx:f>
              <cx:v>SIMULAÇÃO 01</cx:v>
            </cx:txData>
          </cx:tx>
          <cx:dataPt idx="8">
            <cx:spPr>
              <a:solidFill>
                <a:srgbClr val="34465C"/>
              </a:solidFill>
            </cx:spPr>
          </cx:dataPt>
          <cx:dataLabels>
            <cx:numFmt formatCode="R$ #.##0,00" sourceLinked="0"/>
            <cx:txPr>
              <a:bodyPr spcFirstLastPara="1" vertOverflow="ellipsis" horzOverflow="overflow" wrap="square" lIns="0" tIns="0" rIns="0" bIns="0" anchor="ctr" anchorCtr="1"/>
              <a:lstStyle/>
              <a:p>
                <a:pPr algn="ctr" rtl="0">
                  <a:defRPr sz="1050" b="1">
                    <a:ln>
                      <a:noFill/>
                    </a:ln>
                    <a:solidFill>
                      <a:schemeClr val="tx2">
                        <a:lumMod val="50000"/>
                      </a:schemeClr>
                    </a:solidFill>
                    <a:latin typeface="Aptos" panose="020B0004020202020204" pitchFamily="34" charset="0"/>
                    <a:ea typeface="Aptos" panose="020B0004020202020204" pitchFamily="34" charset="0"/>
                    <a:cs typeface="Aptos" panose="020B0004020202020204" pitchFamily="34" charset="0"/>
                  </a:defRPr>
                </a:pPr>
                <a:endParaRPr lang="pt-BR" sz="1050" b="1" i="0" u="none" strike="noStrike" baseline="0">
                  <a:ln>
                    <a:noFill/>
                  </a:ln>
                  <a:solidFill>
                    <a:schemeClr val="tx2">
                      <a:lumMod val="50000"/>
                    </a:schemeClr>
                  </a:solidFill>
                  <a:latin typeface="Aptos" panose="020B0004020202020204" pitchFamily="34" charset="0"/>
                </a:endParaRPr>
              </a:p>
            </cx:txPr>
            <cx:visibility seriesName="0" categoryName="0" value="1"/>
            <cx:separator>
</cx:separator>
          </cx:dataLabels>
          <cx:dataId val="0"/>
          <cx:layoutPr>
            <cx:subtotals/>
          </cx:layoutPr>
        </cx:series>
      </cx:plotAreaRegion>
      <cx:axis id="0">
        <cx:catScaling gapWidth="0.5"/>
        <cx:tickLabels/>
        <cx:numFmt formatCode="Geral" sourceLinked="0"/>
        <cx:spPr>
          <a:ln>
            <a:solidFill>
              <a:schemeClr val="bg1">
                <a:lumMod val="95000"/>
              </a:schemeClr>
            </a:solidFill>
          </a:ln>
        </cx:spPr>
        <cx:txPr>
          <a:bodyPr spcFirstLastPara="1" vertOverflow="ellipsis" horzOverflow="overflow" wrap="square" lIns="0" tIns="0" rIns="0" bIns="0" anchor="ctr" anchorCtr="1"/>
          <a:lstStyle/>
          <a:p>
            <a:pPr algn="ctr" rtl="0">
              <a:defRPr sz="1100" b="1">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i="0" u="none" strike="noStrike" baseline="0">
              <a:solidFill>
                <a:schemeClr val="tx2">
                  <a:lumMod val="75000"/>
                </a:schemeClr>
              </a:solidFill>
              <a:latin typeface="Century Gothic" panose="020B0502020202020204" pitchFamily="34" charset="0"/>
            </a:endParaRPr>
          </a:p>
        </cx:txPr>
      </cx:axis>
      <cx:axis id="1">
        <cx:valScaling/>
        <cx:majorGridlines>
          <cx:spPr>
            <a:ln>
              <a:solidFill>
                <a:schemeClr val="bg1">
                  <a:lumMod val="85000"/>
                </a:schemeClr>
              </a:solidFill>
            </a:ln>
          </cx:spPr>
        </cx:majorGridlines>
        <cx:minorGridlines>
          <cx:spPr>
            <a:ln>
              <a:solidFill>
                <a:schemeClr val="bg1">
                  <a:lumMod val="95000"/>
                </a:schemeClr>
              </a:solidFill>
            </a:ln>
          </cx:spPr>
        </cx:minorGridlines>
        <cx:tickLabels/>
        <cx:numFmt formatCode="[&gt;999999] 0,0.. &quot;M&quot;; 0. &quot;k&quot;" sourceLinked="0"/>
        <cx:txPr>
          <a:bodyPr vertOverflow="overflow" horzOverflow="overflow" wrap="square" lIns="0" tIns="0" rIns="0" bIns="0"/>
          <a:lstStyle/>
          <a:p>
            <a:pPr algn="ctr" rtl="0">
              <a:defRPr sz="1100" b="1" i="0">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solidFill>
                <a:schemeClr val="tx2">
                  <a:lumMod val="75000"/>
                </a:schemeClr>
              </a:solidFill>
              <a:latin typeface="Century Gothic" panose="020B0502020202020204" pitchFamily="34" charset="0"/>
            </a:endParaRPr>
          </a:p>
        </cx:txPr>
      </cx:axis>
    </cx:plotArea>
    <cx:legend pos="r" align="min" overlay="1">
      <cx:txPr>
        <a:bodyPr vertOverflow="overflow" horzOverflow="overflow" wrap="square" lIns="0" tIns="0" rIns="0" bIns="0"/>
        <a:lstStyle/>
        <a:p>
          <a:pPr algn="ctr" rtl="0">
            <a:defRPr sz="1100" b="1" i="0">
              <a:ln>
                <a:noFill/>
              </a:ln>
              <a:solidFill>
                <a:schemeClr val="tx2">
                  <a:lumMod val="50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ln>
              <a:noFill/>
            </a:ln>
            <a:solidFill>
              <a:schemeClr val="tx2">
                <a:lumMod val="50000"/>
              </a:schemeClr>
            </a:solidFill>
            <a:latin typeface="Century Gothic" panose="020B0502020202020204" pitchFamily="34" charset="0"/>
          </a:endParaRPr>
        </a:p>
      </cx:txPr>
    </cx:legend>
  </cx:chart>
  <cx:spPr>
    <a:ln>
      <a:solidFill>
        <a:srgbClr val="34465C"/>
      </a:solidFill>
    </a:ln>
  </cx:spPr>
  <cx:fmtOvrs>
    <cx:fmtOvr idx="0">
      <cx:spPr>
        <a:solidFill>
          <a:schemeClr val="tx2">
            <a:lumMod val="60000"/>
            <a:lumOff val="40000"/>
          </a:schemeClr>
        </a:solidFill>
      </cx:spPr>
    </cx:fmtOvr>
    <cx:fmtOvr idx="1">
      <cx:spPr>
        <a:solidFill>
          <a:srgbClr val="ED6E1F"/>
        </a:solidFill>
      </cx:spPr>
    </cx:fmtOvr>
  </cx:fmtOvrs>
  <cx:printSettings>
    <cx:headerFooter alignWithMargins="1" differentOddEven="0" differentFirst="0"/>
    <cx:pageMargins l="0.511811024" r="0.511811024" t="0.78740157499999996" b="0.78740157499999996" header="0.31496062000000002" footer="0.31496062000000002"/>
    <cx:pageSetup paperSize="1" firstPageNumber="1" orientation="default" blackAndWhite="0" draft="0" useFirstPageNumber="0" horizontalDpi="600" verticalDpi="600" copies="1"/>
  </cx:printSettings>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strDim>
      <cx:numDim type="val">
        <cx:f>_xlchart.v5.11</cx:f>
      </cx:numDim>
    </cx:data>
  </cx:chartData>
  <cx:chart>
    <cx:plotArea>
      <cx:plotAreaRegion>
        <cx:plotSurface>
          <cx:spPr>
            <a:ln>
              <a:solidFill>
                <a:schemeClr val="bg1"/>
              </a:solidFill>
            </a:ln>
          </cx:spPr>
        </cx:plotSurface>
        <cx:series layoutId="waterfall" uniqueId="{4A7A8B01-7494-4315-BAB0-C2CA7EF6666B}" formatIdx="0">
          <cx:tx>
            <cx:txData>
              <cx:f>_xlchart.v5.10</cx:f>
              <cx:v>SIMULAÇÃO 01</cx:v>
            </cx:txData>
          </cx:tx>
          <cx:dataPt idx="8">
            <cx:spPr>
              <a:solidFill>
                <a:srgbClr val="34465C"/>
              </a:solidFill>
            </cx:spPr>
          </cx:dataPt>
          <cx:dataLabels>
            <cx:numFmt formatCode="R$ #.##0,00" sourceLinked="0"/>
            <cx:txPr>
              <a:bodyPr spcFirstLastPara="1" vertOverflow="ellipsis" horzOverflow="overflow" wrap="square" lIns="0" tIns="0" rIns="0" bIns="0" anchor="ctr" anchorCtr="1"/>
              <a:lstStyle/>
              <a:p>
                <a:pPr algn="ctr" rtl="0">
                  <a:defRPr sz="1050" b="1">
                    <a:ln>
                      <a:noFill/>
                    </a:ln>
                    <a:solidFill>
                      <a:schemeClr val="tx2">
                        <a:lumMod val="50000"/>
                      </a:schemeClr>
                    </a:solidFill>
                    <a:latin typeface="Aptos" panose="020B0004020202020204" pitchFamily="34" charset="0"/>
                    <a:ea typeface="Aptos" panose="020B0004020202020204" pitchFamily="34" charset="0"/>
                    <a:cs typeface="Aptos" panose="020B0004020202020204" pitchFamily="34" charset="0"/>
                  </a:defRPr>
                </a:pPr>
                <a:endParaRPr lang="pt-BR" sz="1050" b="1" i="0" u="none" strike="noStrike" baseline="0">
                  <a:ln>
                    <a:noFill/>
                  </a:ln>
                  <a:solidFill>
                    <a:schemeClr val="tx2">
                      <a:lumMod val="50000"/>
                    </a:schemeClr>
                  </a:solidFill>
                  <a:latin typeface="Aptos" panose="020B0004020202020204" pitchFamily="34" charset="0"/>
                </a:endParaRPr>
              </a:p>
            </cx:txPr>
            <cx:visibility seriesName="0" categoryName="0" value="1"/>
            <cx:separator>
</cx:separator>
          </cx:dataLabels>
          <cx:dataId val="0"/>
          <cx:layoutPr>
            <cx:subtotals/>
          </cx:layoutPr>
        </cx:series>
      </cx:plotAreaRegion>
      <cx:axis id="0">
        <cx:catScaling gapWidth="0.5"/>
        <cx:tickLabels/>
        <cx:numFmt formatCode="Geral" sourceLinked="0"/>
        <cx:spPr>
          <a:ln>
            <a:solidFill>
              <a:schemeClr val="bg1">
                <a:lumMod val="95000"/>
              </a:schemeClr>
            </a:solidFill>
          </a:ln>
        </cx:spPr>
        <cx:txPr>
          <a:bodyPr spcFirstLastPara="1" vertOverflow="ellipsis" horzOverflow="overflow" wrap="square" lIns="0" tIns="0" rIns="0" bIns="0" anchor="ctr" anchorCtr="1"/>
          <a:lstStyle/>
          <a:p>
            <a:pPr algn="ctr" rtl="0">
              <a:defRPr sz="1100" b="1">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i="0" u="none" strike="noStrike" baseline="0">
              <a:solidFill>
                <a:schemeClr val="tx2">
                  <a:lumMod val="75000"/>
                </a:schemeClr>
              </a:solidFill>
              <a:latin typeface="Century Gothic" panose="020B0502020202020204" pitchFamily="34" charset="0"/>
            </a:endParaRPr>
          </a:p>
        </cx:txPr>
      </cx:axis>
      <cx:axis id="1">
        <cx:valScaling/>
        <cx:majorGridlines>
          <cx:spPr>
            <a:ln>
              <a:solidFill>
                <a:schemeClr val="bg1">
                  <a:lumMod val="85000"/>
                </a:schemeClr>
              </a:solidFill>
            </a:ln>
          </cx:spPr>
        </cx:majorGridlines>
        <cx:minorGridlines>
          <cx:spPr>
            <a:ln>
              <a:solidFill>
                <a:schemeClr val="bg1">
                  <a:lumMod val="95000"/>
                </a:schemeClr>
              </a:solidFill>
            </a:ln>
          </cx:spPr>
        </cx:minorGridlines>
        <cx:tickLabels/>
        <cx:numFmt formatCode="[&gt;999999] 0,0.. &quot;M&quot;; 0. &quot;k&quot;" sourceLinked="0"/>
        <cx:txPr>
          <a:bodyPr vertOverflow="overflow" horzOverflow="overflow" wrap="square" lIns="0" tIns="0" rIns="0" bIns="0"/>
          <a:lstStyle/>
          <a:p>
            <a:pPr algn="ctr" rtl="0">
              <a:defRPr sz="1100" b="1" i="0">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solidFill>
                <a:schemeClr val="tx2">
                  <a:lumMod val="75000"/>
                </a:schemeClr>
              </a:solidFill>
              <a:latin typeface="Century Gothic" panose="020B0502020202020204" pitchFamily="34" charset="0"/>
            </a:endParaRPr>
          </a:p>
        </cx:txPr>
      </cx:axis>
    </cx:plotArea>
    <cx:legend pos="r" align="min" overlay="1">
      <cx:txPr>
        <a:bodyPr vertOverflow="overflow" horzOverflow="overflow" wrap="square" lIns="0" tIns="0" rIns="0" bIns="0"/>
        <a:lstStyle/>
        <a:p>
          <a:pPr algn="ctr" rtl="0">
            <a:defRPr sz="1100" b="1" i="0">
              <a:ln>
                <a:noFill/>
              </a:ln>
              <a:solidFill>
                <a:schemeClr val="tx2">
                  <a:lumMod val="50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ln>
              <a:noFill/>
            </a:ln>
            <a:solidFill>
              <a:schemeClr val="tx2">
                <a:lumMod val="50000"/>
              </a:schemeClr>
            </a:solidFill>
            <a:latin typeface="Century Gothic" panose="020B0502020202020204" pitchFamily="34" charset="0"/>
          </a:endParaRPr>
        </a:p>
      </cx:txPr>
    </cx:legend>
  </cx:chart>
  <cx:spPr>
    <a:ln>
      <a:solidFill>
        <a:srgbClr val="34465C"/>
      </a:solidFill>
    </a:ln>
  </cx:spPr>
  <cx:fmtOvrs>
    <cx:fmtOvr idx="0">
      <cx:spPr>
        <a:solidFill>
          <a:schemeClr val="tx2">
            <a:lumMod val="60000"/>
            <a:lumOff val="40000"/>
          </a:schemeClr>
        </a:solidFill>
      </cx:spPr>
    </cx:fmtOvr>
    <cx:fmtOvr idx="1">
      <cx:spPr>
        <a:solidFill>
          <a:srgbClr val="ED6E1F"/>
        </a:solidFill>
      </cx:spPr>
    </cx:fmtOvr>
  </cx:fmtOvrs>
  <cx:printSettings>
    <cx:headerFooter alignWithMargins="1" differentOddEven="0" differentFirst="0"/>
    <cx:pageMargins l="0.511811024" r="0.511811024" t="0.78740157499999996" b="0.78740157499999996" header="0.31496062000000002" footer="0.31496062000000002"/>
    <cx:pageSetup paperSize="1" firstPageNumber="1" orientation="default" blackAndWhite="0" draft="0" useFirstPageNumber="0" horizontalDpi="600" verticalDpi="600" copies="1"/>
  </cx:printSettings>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_xlchart.v5.12</cx:f>
      </cx:strDim>
      <cx:numDim type="val">
        <cx:f>_xlchart.v5.14</cx:f>
      </cx:numDim>
    </cx:data>
  </cx:chartData>
  <cx:chart>
    <cx:plotArea>
      <cx:plotAreaRegion>
        <cx:plotSurface>
          <cx:spPr>
            <a:ln>
              <a:solidFill>
                <a:schemeClr val="bg1"/>
              </a:solidFill>
            </a:ln>
          </cx:spPr>
        </cx:plotSurface>
        <cx:series layoutId="waterfall" uniqueId="{4A7A8B01-7494-4315-BAB0-C2CA7EF6666B}" formatIdx="0">
          <cx:tx>
            <cx:txData>
              <cx:f>_xlchart.v5.13</cx:f>
              <cx:v>SIMULAÇÃO 01</cx:v>
            </cx:txData>
          </cx:tx>
          <cx:dataPt idx="8">
            <cx:spPr>
              <a:solidFill>
                <a:srgbClr val="34465C"/>
              </a:solidFill>
            </cx:spPr>
          </cx:dataPt>
          <cx:dataLabels>
            <cx:numFmt formatCode="R$ #.##0,00" sourceLinked="0"/>
            <cx:txPr>
              <a:bodyPr spcFirstLastPara="1" vertOverflow="ellipsis" horzOverflow="overflow" wrap="square" lIns="0" tIns="0" rIns="0" bIns="0" anchor="ctr" anchorCtr="1"/>
              <a:lstStyle/>
              <a:p>
                <a:pPr algn="ctr" rtl="0">
                  <a:defRPr sz="1050" b="1">
                    <a:ln>
                      <a:noFill/>
                    </a:ln>
                    <a:solidFill>
                      <a:schemeClr val="tx2">
                        <a:lumMod val="50000"/>
                      </a:schemeClr>
                    </a:solidFill>
                    <a:latin typeface="Aptos" panose="020B0004020202020204" pitchFamily="34" charset="0"/>
                    <a:ea typeface="Aptos" panose="020B0004020202020204" pitchFamily="34" charset="0"/>
                    <a:cs typeface="Aptos" panose="020B0004020202020204" pitchFamily="34" charset="0"/>
                  </a:defRPr>
                </a:pPr>
                <a:endParaRPr lang="pt-BR" sz="1050" b="1" i="0" u="none" strike="noStrike" baseline="0">
                  <a:ln>
                    <a:noFill/>
                  </a:ln>
                  <a:solidFill>
                    <a:schemeClr val="tx2">
                      <a:lumMod val="50000"/>
                    </a:schemeClr>
                  </a:solidFill>
                  <a:latin typeface="Aptos" panose="020B0004020202020204" pitchFamily="34" charset="0"/>
                </a:endParaRPr>
              </a:p>
            </cx:txPr>
            <cx:visibility seriesName="0" categoryName="0" value="1"/>
            <cx:separator>
</cx:separator>
          </cx:dataLabels>
          <cx:dataId val="0"/>
          <cx:layoutPr>
            <cx:subtotals/>
          </cx:layoutPr>
        </cx:series>
      </cx:plotAreaRegion>
      <cx:axis id="0">
        <cx:catScaling gapWidth="0.5"/>
        <cx:tickLabels/>
        <cx:numFmt formatCode="Geral" sourceLinked="0"/>
        <cx:spPr>
          <a:ln>
            <a:solidFill>
              <a:schemeClr val="bg1">
                <a:lumMod val="95000"/>
              </a:schemeClr>
            </a:solidFill>
          </a:ln>
        </cx:spPr>
        <cx:txPr>
          <a:bodyPr spcFirstLastPara="1" vertOverflow="ellipsis" horzOverflow="overflow" wrap="square" lIns="0" tIns="0" rIns="0" bIns="0" anchor="ctr" anchorCtr="1"/>
          <a:lstStyle/>
          <a:p>
            <a:pPr algn="ctr" rtl="0">
              <a:defRPr sz="1100" b="1">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i="0" u="none" strike="noStrike" baseline="0">
              <a:solidFill>
                <a:schemeClr val="tx2">
                  <a:lumMod val="75000"/>
                </a:schemeClr>
              </a:solidFill>
              <a:latin typeface="Century Gothic" panose="020B0502020202020204" pitchFamily="34" charset="0"/>
            </a:endParaRPr>
          </a:p>
        </cx:txPr>
      </cx:axis>
      <cx:axis id="1">
        <cx:valScaling/>
        <cx:majorGridlines>
          <cx:spPr>
            <a:ln>
              <a:solidFill>
                <a:schemeClr val="bg1">
                  <a:lumMod val="85000"/>
                </a:schemeClr>
              </a:solidFill>
            </a:ln>
          </cx:spPr>
        </cx:majorGridlines>
        <cx:minorGridlines>
          <cx:spPr>
            <a:ln>
              <a:solidFill>
                <a:schemeClr val="bg1">
                  <a:lumMod val="95000"/>
                </a:schemeClr>
              </a:solidFill>
            </a:ln>
          </cx:spPr>
        </cx:minorGridlines>
        <cx:tickLabels/>
        <cx:numFmt formatCode="[&gt;999999] 0,0.. &quot;M&quot;; 0. &quot;k&quot;" sourceLinked="0"/>
        <cx:txPr>
          <a:bodyPr vertOverflow="overflow" horzOverflow="overflow" wrap="square" lIns="0" tIns="0" rIns="0" bIns="0"/>
          <a:lstStyle/>
          <a:p>
            <a:pPr algn="ctr" rtl="0">
              <a:defRPr sz="1100" b="1" i="0">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solidFill>
                <a:schemeClr val="tx2">
                  <a:lumMod val="75000"/>
                </a:schemeClr>
              </a:solidFill>
              <a:latin typeface="Century Gothic" panose="020B0502020202020204" pitchFamily="34" charset="0"/>
            </a:endParaRPr>
          </a:p>
        </cx:txPr>
      </cx:axis>
    </cx:plotArea>
    <cx:legend pos="r" align="min" overlay="1">
      <cx:txPr>
        <a:bodyPr vertOverflow="overflow" horzOverflow="overflow" wrap="square" lIns="0" tIns="0" rIns="0" bIns="0"/>
        <a:lstStyle/>
        <a:p>
          <a:pPr algn="ctr" rtl="0">
            <a:defRPr sz="1100" b="1" i="0">
              <a:ln>
                <a:noFill/>
              </a:ln>
              <a:solidFill>
                <a:schemeClr val="tx2">
                  <a:lumMod val="50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ln>
              <a:noFill/>
            </a:ln>
            <a:solidFill>
              <a:schemeClr val="tx2">
                <a:lumMod val="50000"/>
              </a:schemeClr>
            </a:solidFill>
            <a:latin typeface="Century Gothic" panose="020B0502020202020204" pitchFamily="34" charset="0"/>
          </a:endParaRPr>
        </a:p>
      </cx:txPr>
    </cx:legend>
  </cx:chart>
  <cx:spPr>
    <a:ln>
      <a:solidFill>
        <a:srgbClr val="34465C"/>
      </a:solidFill>
    </a:ln>
  </cx:spPr>
  <cx:fmtOvrs>
    <cx:fmtOvr idx="0">
      <cx:spPr>
        <a:solidFill>
          <a:schemeClr val="tx2">
            <a:lumMod val="60000"/>
            <a:lumOff val="40000"/>
          </a:schemeClr>
        </a:solidFill>
      </cx:spPr>
    </cx:fmtOvr>
    <cx:fmtOvr idx="1">
      <cx:spPr>
        <a:solidFill>
          <a:srgbClr val="ED6E1F"/>
        </a:solidFill>
      </cx:spPr>
    </cx:fmtOvr>
  </cx:fmtOvrs>
  <cx:printSettings>
    <cx:headerFooter alignWithMargins="1" differentOddEven="0" differentFirst="0"/>
    <cx:pageMargins l="0.511811024" r="0.511811024" t="0.78740157499999996" b="0.78740157499999996" header="0.31496062000000002" footer="0.31496062000000002"/>
    <cx:pageSetup paperSize="1" firstPageNumber="1" orientation="default" blackAndWhite="0" draft="0" useFirstPageNumber="0" horizontalDpi="600" verticalDpi="600" copies="1"/>
  </cx:printSettings>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_xlchart.v5.15</cx:f>
      </cx:strDim>
      <cx:numDim type="val">
        <cx:f>_xlchart.v5.17</cx:f>
      </cx:numDim>
    </cx:data>
  </cx:chartData>
  <cx:chart>
    <cx:plotArea>
      <cx:plotAreaRegion>
        <cx:plotSurface>
          <cx:spPr>
            <a:ln>
              <a:solidFill>
                <a:schemeClr val="bg1"/>
              </a:solidFill>
            </a:ln>
          </cx:spPr>
        </cx:plotSurface>
        <cx:series layoutId="waterfall" uniqueId="{4A7A8B01-7494-4315-BAB0-C2CA7EF6666B}" formatIdx="0">
          <cx:tx>
            <cx:txData>
              <cx:f>_xlchart.v5.16</cx:f>
              <cx:v>SIMULAÇÃO 01</cx:v>
            </cx:txData>
          </cx:tx>
          <cx:dataPt idx="8">
            <cx:spPr>
              <a:solidFill>
                <a:srgbClr val="34465C"/>
              </a:solidFill>
            </cx:spPr>
          </cx:dataPt>
          <cx:dataLabels>
            <cx:numFmt formatCode="R$ #.##0,00" sourceLinked="0"/>
            <cx:txPr>
              <a:bodyPr spcFirstLastPara="1" vertOverflow="ellipsis" horzOverflow="overflow" wrap="square" lIns="0" tIns="0" rIns="0" bIns="0" anchor="ctr" anchorCtr="1"/>
              <a:lstStyle/>
              <a:p>
                <a:pPr algn="ctr" rtl="0">
                  <a:defRPr sz="1050" b="1">
                    <a:ln>
                      <a:noFill/>
                    </a:ln>
                    <a:solidFill>
                      <a:schemeClr val="tx2">
                        <a:lumMod val="50000"/>
                      </a:schemeClr>
                    </a:solidFill>
                    <a:latin typeface="Aptos" panose="020B0004020202020204" pitchFamily="34" charset="0"/>
                    <a:ea typeface="Aptos" panose="020B0004020202020204" pitchFamily="34" charset="0"/>
                    <a:cs typeface="Aptos" panose="020B0004020202020204" pitchFamily="34" charset="0"/>
                  </a:defRPr>
                </a:pPr>
                <a:endParaRPr lang="pt-BR" sz="1050" b="1" i="0" u="none" strike="noStrike" baseline="0">
                  <a:ln>
                    <a:noFill/>
                  </a:ln>
                  <a:solidFill>
                    <a:schemeClr val="tx2">
                      <a:lumMod val="50000"/>
                    </a:schemeClr>
                  </a:solidFill>
                  <a:latin typeface="Aptos" panose="020B0004020202020204" pitchFamily="34" charset="0"/>
                </a:endParaRPr>
              </a:p>
            </cx:txPr>
            <cx:visibility seriesName="0" categoryName="0" value="1"/>
            <cx:separator>
</cx:separator>
          </cx:dataLabels>
          <cx:dataId val="0"/>
          <cx:layoutPr>
            <cx:subtotals/>
          </cx:layoutPr>
        </cx:series>
      </cx:plotAreaRegion>
      <cx:axis id="0">
        <cx:catScaling gapWidth="0.5"/>
        <cx:tickLabels/>
        <cx:numFmt formatCode="Geral" sourceLinked="0"/>
        <cx:spPr>
          <a:ln>
            <a:solidFill>
              <a:schemeClr val="bg1">
                <a:lumMod val="95000"/>
              </a:schemeClr>
            </a:solidFill>
          </a:ln>
        </cx:spPr>
        <cx:txPr>
          <a:bodyPr spcFirstLastPara="1" vertOverflow="ellipsis" horzOverflow="overflow" wrap="square" lIns="0" tIns="0" rIns="0" bIns="0" anchor="ctr" anchorCtr="1"/>
          <a:lstStyle/>
          <a:p>
            <a:pPr algn="ctr" rtl="0">
              <a:defRPr sz="1100" b="1">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i="0" u="none" strike="noStrike" baseline="0">
              <a:solidFill>
                <a:schemeClr val="tx2">
                  <a:lumMod val="75000"/>
                </a:schemeClr>
              </a:solidFill>
              <a:latin typeface="Century Gothic" panose="020B0502020202020204" pitchFamily="34" charset="0"/>
            </a:endParaRPr>
          </a:p>
        </cx:txPr>
      </cx:axis>
      <cx:axis id="1">
        <cx:valScaling/>
        <cx:majorGridlines>
          <cx:spPr>
            <a:ln>
              <a:solidFill>
                <a:schemeClr val="bg1">
                  <a:lumMod val="85000"/>
                </a:schemeClr>
              </a:solidFill>
            </a:ln>
          </cx:spPr>
        </cx:majorGridlines>
        <cx:minorGridlines>
          <cx:spPr>
            <a:ln>
              <a:solidFill>
                <a:schemeClr val="bg1">
                  <a:lumMod val="95000"/>
                </a:schemeClr>
              </a:solidFill>
            </a:ln>
          </cx:spPr>
        </cx:minorGridlines>
        <cx:tickLabels/>
        <cx:numFmt formatCode="[&gt;999999] 0,0.. &quot;M&quot;; 0. &quot;k&quot;" sourceLinked="0"/>
        <cx:txPr>
          <a:bodyPr vertOverflow="overflow" horzOverflow="overflow" wrap="square" lIns="0" tIns="0" rIns="0" bIns="0"/>
          <a:lstStyle/>
          <a:p>
            <a:pPr algn="ctr" rtl="0">
              <a:defRPr sz="1100" b="1" i="0">
                <a:solidFill>
                  <a:schemeClr val="tx2">
                    <a:lumMod val="75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solidFill>
                <a:schemeClr val="tx2">
                  <a:lumMod val="75000"/>
                </a:schemeClr>
              </a:solidFill>
              <a:latin typeface="Century Gothic" panose="020B0502020202020204" pitchFamily="34" charset="0"/>
            </a:endParaRPr>
          </a:p>
        </cx:txPr>
      </cx:axis>
    </cx:plotArea>
    <cx:legend pos="r" align="min" overlay="1">
      <cx:txPr>
        <a:bodyPr vertOverflow="overflow" horzOverflow="overflow" wrap="square" lIns="0" tIns="0" rIns="0" bIns="0"/>
        <a:lstStyle/>
        <a:p>
          <a:pPr algn="ctr" rtl="0">
            <a:defRPr sz="1100" b="1" i="0">
              <a:ln>
                <a:noFill/>
              </a:ln>
              <a:solidFill>
                <a:schemeClr val="tx2">
                  <a:lumMod val="50000"/>
                </a:schemeClr>
              </a:solidFill>
              <a:latin typeface="Century Gothic" panose="020B0502020202020204" pitchFamily="34" charset="0"/>
              <a:ea typeface="Century Gothic" panose="020B0502020202020204" pitchFamily="34" charset="0"/>
              <a:cs typeface="Century Gothic" panose="020B0502020202020204" pitchFamily="34" charset="0"/>
            </a:defRPr>
          </a:pPr>
          <a:endParaRPr lang="pt-BR" sz="1100" b="1">
            <a:ln>
              <a:noFill/>
            </a:ln>
            <a:solidFill>
              <a:schemeClr val="tx2">
                <a:lumMod val="50000"/>
              </a:schemeClr>
            </a:solidFill>
            <a:latin typeface="Century Gothic" panose="020B0502020202020204" pitchFamily="34" charset="0"/>
          </a:endParaRPr>
        </a:p>
      </cx:txPr>
    </cx:legend>
  </cx:chart>
  <cx:spPr>
    <a:ln>
      <a:solidFill>
        <a:srgbClr val="34465C"/>
      </a:solidFill>
    </a:ln>
  </cx:spPr>
  <cx:fmtOvrs>
    <cx:fmtOvr idx="0">
      <cx:spPr>
        <a:solidFill>
          <a:schemeClr val="tx2">
            <a:lumMod val="60000"/>
            <a:lumOff val="40000"/>
          </a:schemeClr>
        </a:solidFill>
      </cx:spPr>
    </cx:fmtOvr>
    <cx:fmtOvr idx="1">
      <cx:spPr>
        <a:solidFill>
          <a:srgbClr val="ED6E1F"/>
        </a:solidFill>
      </cx:spPr>
    </cx:fmtOvr>
  </cx:fmtOvrs>
  <cx:printSettings>
    <cx:headerFooter alignWithMargins="1" differentOddEven="0" differentFirst="0"/>
    <cx:pageMargins l="0.511811024" r="0.511811024" t="0.78740157499999996" b="0.78740157499999996" header="0.31496062000000002" footer="0.31496062000000002"/>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COMPARATIVO!A1"/><Relationship Id="rId3" Type="http://schemas.openxmlformats.org/officeDocument/2006/relationships/hyperlink" Target="#'SIMULA&#199;&#195;O 01'!A1"/><Relationship Id="rId7" Type="http://schemas.openxmlformats.org/officeDocument/2006/relationships/image" Target="../media/image2.png"/><Relationship Id="rId2" Type="http://schemas.openxmlformats.org/officeDocument/2006/relationships/hyperlink" Target="#'SIMULA&#199;&#195;O 02'!A1"/><Relationship Id="rId1" Type="http://schemas.openxmlformats.org/officeDocument/2006/relationships/hyperlink" Target="#'SIMULA&#199;&#195;O 03'!A1"/><Relationship Id="rId6" Type="http://schemas.microsoft.com/office/2007/relationships/hdphoto" Target="../media/hdphoto1.wdp"/><Relationship Id="rId11" Type="http://schemas.openxmlformats.org/officeDocument/2006/relationships/image" Target="../media/image3.png"/><Relationship Id="rId5" Type="http://schemas.openxmlformats.org/officeDocument/2006/relationships/image" Target="../media/image1.png"/><Relationship Id="rId10" Type="http://schemas.openxmlformats.org/officeDocument/2006/relationships/chart" Target="../charts/chart1.xml"/><Relationship Id="rId4" Type="http://schemas.openxmlformats.org/officeDocument/2006/relationships/hyperlink" Target="#'SIMULA&#199;&#195;O 04'!A1"/><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hyperlink" Target="#COMPARATIVO!A1"/><Relationship Id="rId3" Type="http://schemas.openxmlformats.org/officeDocument/2006/relationships/image" Target="../media/image2.png"/><Relationship Id="rId7" Type="http://schemas.openxmlformats.org/officeDocument/2006/relationships/hyperlink" Target="#'SIMULA&#199;&#195;O 04'!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SIMULA&#199;&#195;O 01'!A1"/><Relationship Id="rId5" Type="http://schemas.openxmlformats.org/officeDocument/2006/relationships/hyperlink" Target="#'SIMULA&#199;&#195;O 02'!A1"/><Relationship Id="rId4" Type="http://schemas.openxmlformats.org/officeDocument/2006/relationships/hyperlink" Target="#'SIMULA&#199;&#195;O 03'!A1"/><Relationship Id="rId9"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hyperlink" Target="#COMPARATIVO!A1"/><Relationship Id="rId3" Type="http://schemas.openxmlformats.org/officeDocument/2006/relationships/image" Target="../media/image2.png"/><Relationship Id="rId7" Type="http://schemas.openxmlformats.org/officeDocument/2006/relationships/hyperlink" Target="#'SIMULA&#199;&#195;O 04'!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SIMULA&#199;&#195;O 01'!A1"/><Relationship Id="rId5" Type="http://schemas.openxmlformats.org/officeDocument/2006/relationships/hyperlink" Target="#'SIMULA&#199;&#195;O 02'!A1"/><Relationship Id="rId4" Type="http://schemas.openxmlformats.org/officeDocument/2006/relationships/hyperlink" Target="#'SIMULA&#199;&#195;O 03'!A1"/><Relationship Id="rId9" Type="http://schemas.microsoft.com/office/2014/relationships/chartEx" Target="../charts/chartEx3.xml"/></Relationships>
</file>

<file path=xl/drawings/_rels/drawing4.xml.rels><?xml version="1.0" encoding="UTF-8" standalone="yes"?>
<Relationships xmlns="http://schemas.openxmlformats.org/package/2006/relationships"><Relationship Id="rId8" Type="http://schemas.openxmlformats.org/officeDocument/2006/relationships/hyperlink" Target="#COMPARATIVO!A1"/><Relationship Id="rId3" Type="http://schemas.openxmlformats.org/officeDocument/2006/relationships/image" Target="../media/image2.png"/><Relationship Id="rId7" Type="http://schemas.openxmlformats.org/officeDocument/2006/relationships/hyperlink" Target="#'SIMULA&#199;&#195;O 04'!A1"/><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hyperlink" Target="#'SIMULA&#199;&#195;O 01'!A1"/><Relationship Id="rId5" Type="http://schemas.openxmlformats.org/officeDocument/2006/relationships/hyperlink" Target="#'SIMULA&#199;&#195;O 02'!A1"/><Relationship Id="rId4" Type="http://schemas.openxmlformats.org/officeDocument/2006/relationships/hyperlink" Target="#'SIMULA&#199;&#195;O 03'!A1"/><Relationship Id="rId9" Type="http://schemas.microsoft.com/office/2014/relationships/chartEx" Target="../charts/chartEx4.xml"/></Relationships>
</file>

<file path=xl/drawings/_rels/drawing5.xml.rels><?xml version="1.0" encoding="UTF-8" standalone="yes"?>
<Relationships xmlns="http://schemas.openxmlformats.org/package/2006/relationships"><Relationship Id="rId8" Type="http://schemas.openxmlformats.org/officeDocument/2006/relationships/hyperlink" Target="#COMPARATIVO!A1"/><Relationship Id="rId3" Type="http://schemas.openxmlformats.org/officeDocument/2006/relationships/hyperlink" Target="#'SIMULA&#199;&#195;O 01'!A1"/><Relationship Id="rId7" Type="http://schemas.openxmlformats.org/officeDocument/2006/relationships/image" Target="../media/image2.png"/><Relationship Id="rId2" Type="http://schemas.openxmlformats.org/officeDocument/2006/relationships/hyperlink" Target="#'SIMULA&#199;&#195;O 02'!A1"/><Relationship Id="rId1" Type="http://schemas.openxmlformats.org/officeDocument/2006/relationships/hyperlink" Target="#'SIMULA&#199;&#195;O 03'!A1"/><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hyperlink" Target="#'SIMULA&#199;&#195;O 04'!A1"/><Relationship Id="rId9" Type="http://schemas.microsoft.com/office/2014/relationships/chartEx" Target="../charts/chartEx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hyperlink" Target="#EQUALIZA&#199;&#195;O!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absolute">
    <xdr:from>
      <xdr:col>10</xdr:col>
      <xdr:colOff>135007</xdr:colOff>
      <xdr:row>3</xdr:row>
      <xdr:rowOff>66675</xdr:rowOff>
    </xdr:from>
    <xdr:to>
      <xdr:col>15</xdr:col>
      <xdr:colOff>3085</xdr:colOff>
      <xdr:row>3</xdr:row>
      <xdr:rowOff>316337</xdr:rowOff>
    </xdr:to>
    <xdr:sp macro="" textlink="">
      <xdr:nvSpPr>
        <xdr:cNvPr id="2" name="Retângulo: Cantos Arredondados 1">
          <a:hlinkClick xmlns:r="http://schemas.openxmlformats.org/officeDocument/2006/relationships" r:id="rId1" tooltip="SIMULAÇÃO 03"/>
          <a:extLst>
            <a:ext uri="{FF2B5EF4-FFF2-40B4-BE49-F238E27FC236}">
              <a16:creationId xmlns:a16="http://schemas.microsoft.com/office/drawing/2014/main" id="{F09597B9-4404-4307-BD2E-ABE627EE616F}"/>
            </a:ext>
          </a:extLst>
        </xdr:cNvPr>
        <xdr:cNvSpPr>
          <a:spLocks/>
        </xdr:cNvSpPr>
      </xdr:nvSpPr>
      <xdr:spPr>
        <a:xfrm>
          <a:off x="289725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03</a:t>
          </a:r>
        </a:p>
      </xdr:txBody>
    </xdr:sp>
    <xdr:clientData/>
  </xdr:twoCellAnchor>
  <xdr:twoCellAnchor editAs="absolute">
    <xdr:from>
      <xdr:col>5</xdr:col>
      <xdr:colOff>210378</xdr:colOff>
      <xdr:row>3</xdr:row>
      <xdr:rowOff>66675</xdr:rowOff>
    </xdr:from>
    <xdr:to>
      <xdr:col>10</xdr:col>
      <xdr:colOff>78457</xdr:colOff>
      <xdr:row>3</xdr:row>
      <xdr:rowOff>316337</xdr:rowOff>
    </xdr:to>
    <xdr:sp macro="" textlink="">
      <xdr:nvSpPr>
        <xdr:cNvPr id="3" name="Retângulo: Cantos Arredondados 2">
          <a:hlinkClick xmlns:r="http://schemas.openxmlformats.org/officeDocument/2006/relationships" r:id="rId2" tooltip="SIMULAÇÃO 02"/>
          <a:extLst>
            <a:ext uri="{FF2B5EF4-FFF2-40B4-BE49-F238E27FC236}">
              <a16:creationId xmlns:a16="http://schemas.microsoft.com/office/drawing/2014/main" id="{4DE2EB16-430C-477D-BC6E-E36EF168EBE9}"/>
            </a:ext>
          </a:extLst>
        </xdr:cNvPr>
        <xdr:cNvSpPr>
          <a:spLocks/>
        </xdr:cNvSpPr>
      </xdr:nvSpPr>
      <xdr:spPr>
        <a:xfrm>
          <a:off x="1543878" y="638175"/>
          <a:ext cx="1296829"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02</a:t>
          </a:r>
        </a:p>
      </xdr:txBody>
    </xdr:sp>
    <xdr:clientData/>
  </xdr:twoCellAnchor>
  <xdr:twoCellAnchor editAs="absolute">
    <xdr:from>
      <xdr:col>1</xdr:col>
      <xdr:colOff>0</xdr:colOff>
      <xdr:row>3</xdr:row>
      <xdr:rowOff>66675</xdr:rowOff>
    </xdr:from>
    <xdr:to>
      <xdr:col>5</xdr:col>
      <xdr:colOff>153828</xdr:colOff>
      <xdr:row>3</xdr:row>
      <xdr:rowOff>316337</xdr:rowOff>
    </xdr:to>
    <xdr:sp macro="" textlink="">
      <xdr:nvSpPr>
        <xdr:cNvPr id="5" name="Retângulo: Cantos Arredondados 4">
          <a:hlinkClick xmlns:r="http://schemas.openxmlformats.org/officeDocument/2006/relationships" r:id="rId3" tooltip="SIMULAÇÃO 01"/>
          <a:extLst>
            <a:ext uri="{FF2B5EF4-FFF2-40B4-BE49-F238E27FC236}">
              <a16:creationId xmlns:a16="http://schemas.microsoft.com/office/drawing/2014/main" id="{3CEE2688-3FB0-4CF0-A405-8C02C0BC9939}"/>
            </a:ext>
          </a:extLst>
        </xdr:cNvPr>
        <xdr:cNvSpPr>
          <a:spLocks/>
        </xdr:cNvSpPr>
      </xdr:nvSpPr>
      <xdr:spPr>
        <a:xfrm>
          <a:off x="190500" y="638175"/>
          <a:ext cx="1296828" cy="249662"/>
        </a:xfrm>
        <a:prstGeom prst="roundRect">
          <a:avLst/>
        </a:prstGeom>
        <a:gradFill flip="none" rotWithShape="1">
          <a:gsLst>
            <a:gs pos="500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100" b="1">
              <a:solidFill>
                <a:srgbClr val="0E1C1E"/>
              </a:solidFill>
              <a:latin typeface="Aptos" panose="020B0004020202020204" pitchFamily="34" charset="0"/>
              <a:ea typeface="+mn-ea"/>
              <a:cs typeface="+mn-cs"/>
            </a:rPr>
            <a:t>SIMULAÇÃO 01</a:t>
          </a:r>
        </a:p>
      </xdr:txBody>
    </xdr:sp>
    <xdr:clientData/>
  </xdr:twoCellAnchor>
  <xdr:twoCellAnchor editAs="absolute">
    <xdr:from>
      <xdr:col>15</xdr:col>
      <xdr:colOff>58807</xdr:colOff>
      <xdr:row>3</xdr:row>
      <xdr:rowOff>66675</xdr:rowOff>
    </xdr:from>
    <xdr:to>
      <xdr:col>19</xdr:col>
      <xdr:colOff>212635</xdr:colOff>
      <xdr:row>3</xdr:row>
      <xdr:rowOff>316337</xdr:rowOff>
    </xdr:to>
    <xdr:sp macro="" textlink="">
      <xdr:nvSpPr>
        <xdr:cNvPr id="7" name="Retângulo: Cantos Arredondados 6">
          <a:hlinkClick xmlns:r="http://schemas.openxmlformats.org/officeDocument/2006/relationships" r:id="rId4" tooltip="SIMULAÇÃO 04"/>
          <a:extLst>
            <a:ext uri="{FF2B5EF4-FFF2-40B4-BE49-F238E27FC236}">
              <a16:creationId xmlns:a16="http://schemas.microsoft.com/office/drawing/2014/main" id="{C32BCBA0-7B9D-419C-BD14-0760662E4D89}"/>
            </a:ext>
          </a:extLst>
        </xdr:cNvPr>
        <xdr:cNvSpPr>
          <a:spLocks/>
        </xdr:cNvSpPr>
      </xdr:nvSpPr>
      <xdr:spPr>
        <a:xfrm>
          <a:off x="424980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04</a:t>
          </a:r>
        </a:p>
      </xdr:txBody>
    </xdr:sp>
    <xdr:clientData/>
  </xdr:twoCellAnchor>
  <xdr:twoCellAnchor editAs="oneCell">
    <xdr:from>
      <xdr:col>1</xdr:col>
      <xdr:colOff>9525</xdr:colOff>
      <xdr:row>0</xdr:row>
      <xdr:rowOff>76061</xdr:rowOff>
    </xdr:from>
    <xdr:to>
      <xdr:col>2</xdr:col>
      <xdr:colOff>47625</xdr:colOff>
      <xdr:row>2</xdr:row>
      <xdr:rowOff>123898</xdr:rowOff>
    </xdr:to>
    <xdr:pic>
      <xdr:nvPicPr>
        <xdr:cNvPr id="8" name="Imagem 7" descr="Janela de vidro&#10;&#10;Descrição gerada automaticamente com confiança média">
          <a:extLst>
            <a:ext uri="{FF2B5EF4-FFF2-40B4-BE49-F238E27FC236}">
              <a16:creationId xmlns:a16="http://schemas.microsoft.com/office/drawing/2014/main" id="{9CF90BD2-3524-4296-8768-33889BC36D1D}"/>
            </a:ext>
          </a:extLst>
        </xdr:cNvPr>
        <xdr:cNvPicPr>
          <a:picLocks noChangeAspect="1"/>
        </xdr:cNvPicPr>
      </xdr:nvPicPr>
      <xdr:blipFill>
        <a:blip xmlns:r="http://schemas.openxmlformats.org/officeDocument/2006/relationships" r:embed="rId5" cstate="print">
          <a:biLevel thresh="25000"/>
          <a:extLst>
            <a:ext uri="{BEBA8EAE-BF5A-486C-A8C5-ECC9F3942E4B}">
              <a14:imgProps xmlns:a14="http://schemas.microsoft.com/office/drawing/2010/main">
                <a14:imgLayer r:embed="rId6">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0025" y="76061"/>
          <a:ext cx="323850" cy="428837"/>
        </a:xfrm>
        <a:prstGeom prst="rect">
          <a:avLst/>
        </a:prstGeom>
      </xdr:spPr>
    </xdr:pic>
    <xdr:clientData/>
  </xdr:twoCellAnchor>
  <xdr:twoCellAnchor editAs="absolute">
    <xdr:from>
      <xdr:col>2</xdr:col>
      <xdr:colOff>152399</xdr:colOff>
      <xdr:row>0</xdr:row>
      <xdr:rowOff>0</xdr:rowOff>
    </xdr:from>
    <xdr:to>
      <xdr:col>25</xdr:col>
      <xdr:colOff>257175</xdr:colOff>
      <xdr:row>3</xdr:row>
      <xdr:rowOff>900</xdr:rowOff>
    </xdr:to>
    <xdr:sp macro="" textlink="">
      <xdr:nvSpPr>
        <xdr:cNvPr id="10" name="Retângulo 9">
          <a:extLst>
            <a:ext uri="{FF2B5EF4-FFF2-40B4-BE49-F238E27FC236}">
              <a16:creationId xmlns:a16="http://schemas.microsoft.com/office/drawing/2014/main" id="{E9D547B9-EE75-4EB8-9903-54DB433B0410}"/>
            </a:ext>
          </a:extLst>
        </xdr:cNvPr>
        <xdr:cNvSpPr>
          <a:spLocks/>
        </xdr:cNvSpPr>
      </xdr:nvSpPr>
      <xdr:spPr>
        <a:xfrm>
          <a:off x="628649" y="0"/>
          <a:ext cx="6677026" cy="57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0" rIns="180000" bIns="0" rtlCol="0" anchor="ctr"/>
        <a:lstStyle/>
        <a:p>
          <a:pPr marL="0" lvl="0" indent="0" algn="l"/>
          <a:r>
            <a:rPr lang="pt-BR" sz="1600" b="1">
              <a:solidFill>
                <a:schemeClr val="accent1">
                  <a:lumMod val="40000"/>
                  <a:lumOff val="60000"/>
                </a:schemeClr>
              </a:solidFill>
              <a:latin typeface="Aptos" panose="020B0004020202020204" pitchFamily="34" charset="0"/>
              <a:ea typeface="+mn-ea"/>
              <a:cs typeface="+mn-cs"/>
            </a:rPr>
            <a:t>PLANILHA</a:t>
          </a:r>
          <a:r>
            <a:rPr lang="pt-BR" sz="1600" b="1" baseline="0">
              <a:solidFill>
                <a:schemeClr val="accent1">
                  <a:lumMod val="40000"/>
                  <a:lumOff val="60000"/>
                </a:schemeClr>
              </a:solidFill>
              <a:latin typeface="Aptos" panose="020B0004020202020204" pitchFamily="34" charset="0"/>
              <a:ea typeface="+mn-ea"/>
              <a:cs typeface="+mn-cs"/>
            </a:rPr>
            <a:t> DE </a:t>
          </a:r>
          <a:r>
            <a:rPr lang="pt-BR" sz="1600" b="1">
              <a:solidFill>
                <a:schemeClr val="accent1">
                  <a:lumMod val="40000"/>
                  <a:lumOff val="60000"/>
                </a:schemeClr>
              </a:solidFill>
              <a:latin typeface="Aptos" panose="020B0004020202020204" pitchFamily="34" charset="0"/>
              <a:ea typeface="+mn-ea"/>
              <a:cs typeface="+mn-cs"/>
            </a:rPr>
            <a:t>ANÁLISE DE VIABILIDADE FINANCEIRA</a:t>
          </a:r>
        </a:p>
      </xdr:txBody>
    </xdr:sp>
    <xdr:clientData/>
  </xdr:twoCellAnchor>
  <xdr:twoCellAnchor editAs="oneCell">
    <xdr:from>
      <xdr:col>43</xdr:col>
      <xdr:colOff>28575</xdr:colOff>
      <xdr:row>0</xdr:row>
      <xdr:rowOff>38100</xdr:rowOff>
    </xdr:from>
    <xdr:to>
      <xdr:col>49</xdr:col>
      <xdr:colOff>0</xdr:colOff>
      <xdr:row>2</xdr:row>
      <xdr:rowOff>161925</xdr:rowOff>
    </xdr:to>
    <xdr:pic>
      <xdr:nvPicPr>
        <xdr:cNvPr id="20" name="Imagem 19" descr="Logotipo&#10;&#10;Descrição gerada automaticamente">
          <a:extLst>
            <a:ext uri="{FF2B5EF4-FFF2-40B4-BE49-F238E27FC236}">
              <a16:creationId xmlns:a16="http://schemas.microsoft.com/office/drawing/2014/main" id="{82A4DB81-1C93-4301-C0A7-7122DACB9CA3}"/>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9773" b="5368"/>
        <a:stretch/>
      </xdr:blipFill>
      <xdr:spPr bwMode="auto">
        <a:xfrm>
          <a:off x="12220575" y="38100"/>
          <a:ext cx="16859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44</xdr:col>
      <xdr:colOff>142875</xdr:colOff>
      <xdr:row>3</xdr:row>
      <xdr:rowOff>66675</xdr:rowOff>
    </xdr:from>
    <xdr:to>
      <xdr:col>49</xdr:col>
      <xdr:colOff>5350</xdr:colOff>
      <xdr:row>3</xdr:row>
      <xdr:rowOff>316337</xdr:rowOff>
    </xdr:to>
    <xdr:sp macro="" textlink="">
      <xdr:nvSpPr>
        <xdr:cNvPr id="14" name="Retângulo: Cantos Arredondados 13">
          <a:hlinkClick xmlns:r="http://schemas.openxmlformats.org/officeDocument/2006/relationships" r:id="rId8" tooltip="ANÁLISE COMPARATIVA"/>
          <a:extLst>
            <a:ext uri="{FF2B5EF4-FFF2-40B4-BE49-F238E27FC236}">
              <a16:creationId xmlns:a16="http://schemas.microsoft.com/office/drawing/2014/main" id="{88DC6A78-8BAE-4A89-A52C-82DC637849EE}"/>
            </a:ext>
          </a:extLst>
        </xdr:cNvPr>
        <xdr:cNvSpPr>
          <a:spLocks/>
        </xdr:cNvSpPr>
      </xdr:nvSpPr>
      <xdr:spPr>
        <a:xfrm>
          <a:off x="12620625" y="638175"/>
          <a:ext cx="1291225"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COMPARATIVO</a:t>
          </a:r>
        </a:p>
      </xdr:txBody>
    </xdr:sp>
    <xdr:clientData/>
  </xdr:twoCellAnchor>
  <xdr:twoCellAnchor>
    <xdr:from>
      <xdr:col>1</xdr:col>
      <xdr:colOff>0</xdr:colOff>
      <xdr:row>214</xdr:row>
      <xdr:rowOff>285749</xdr:rowOff>
    </xdr:from>
    <xdr:to>
      <xdr:col>49</xdr:col>
      <xdr:colOff>0</xdr:colOff>
      <xdr:row>250</xdr:row>
      <xdr:rowOff>47625</xdr:rowOff>
    </xdr:to>
    <mc:AlternateContent xmlns:mc="http://schemas.openxmlformats.org/markup-compatibility/2006">
      <mc:Choice xmlns:cx4="http://schemas.microsoft.com/office/drawing/2016/5/10/chartex" Requires="cx4">
        <xdr:graphicFrame macro="">
          <xdr:nvGraphicFramePr>
            <xdr:cNvPr id="9" name="Gráfico 8">
              <a:extLst>
                <a:ext uri="{FF2B5EF4-FFF2-40B4-BE49-F238E27FC236}">
                  <a16:creationId xmlns:a16="http://schemas.microsoft.com/office/drawing/2014/main" id="{D70C2337-B764-42E7-9C8A-1D5EC49F7B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500" y="56911874"/>
              <a:ext cx="13716000" cy="6858001"/>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32</xdr:col>
      <xdr:colOff>217158</xdr:colOff>
      <xdr:row>211</xdr:row>
      <xdr:rowOff>246654</xdr:rowOff>
    </xdr:from>
    <xdr:to>
      <xdr:col>49</xdr:col>
      <xdr:colOff>15691</xdr:colOff>
      <xdr:row>242</xdr:row>
      <xdr:rowOff>189506</xdr:rowOff>
    </xdr:to>
    <xdr:graphicFrame macro="">
      <xdr:nvGraphicFramePr>
        <xdr:cNvPr id="4" name="Gráfico 3">
          <a:extLst>
            <a:ext uri="{FF2B5EF4-FFF2-40B4-BE49-F238E27FC236}">
              <a16:creationId xmlns:a16="http://schemas.microsoft.com/office/drawing/2014/main" id="{1BA1812D-2C56-D7A3-765E-1E47CE6CE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68408</xdr:colOff>
      <xdr:row>220</xdr:row>
      <xdr:rowOff>114300</xdr:rowOff>
    </xdr:from>
    <xdr:to>
      <xdr:col>44</xdr:col>
      <xdr:colOff>175566</xdr:colOff>
      <xdr:row>231</xdr:row>
      <xdr:rowOff>161991</xdr:rowOff>
    </xdr:to>
    <xdr:sp macro="" textlink="">
      <xdr:nvSpPr>
        <xdr:cNvPr id="6" name="Elipse 5">
          <a:extLst>
            <a:ext uri="{FF2B5EF4-FFF2-40B4-BE49-F238E27FC236}">
              <a16:creationId xmlns:a16="http://schemas.microsoft.com/office/drawing/2014/main" id="{32776C8F-97DD-972E-5CF8-DEE4B7060B8C}"/>
            </a:ext>
          </a:extLst>
        </xdr:cNvPr>
        <xdr:cNvSpPr/>
      </xdr:nvSpPr>
      <xdr:spPr>
        <a:xfrm>
          <a:off x="10545908" y="58121550"/>
          <a:ext cx="2107408" cy="2143191"/>
        </a:xfrm>
        <a:prstGeom prst="pie">
          <a:avLst>
            <a:gd name="adj1" fmla="val 10800000"/>
            <a:gd name="adj2" fmla="val 21592290"/>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39</xdr:col>
      <xdr:colOff>142464</xdr:colOff>
      <xdr:row>222</xdr:row>
      <xdr:rowOff>92182</xdr:rowOff>
    </xdr:from>
    <xdr:to>
      <xdr:col>42</xdr:col>
      <xdr:colOff>77214</xdr:colOff>
      <xdr:row>223</xdr:row>
      <xdr:rowOff>151975</xdr:rowOff>
    </xdr:to>
    <xdr:sp macro="" textlink="$E$263">
      <xdr:nvSpPr>
        <xdr:cNvPr id="12" name="CaixaDeTexto 11">
          <a:extLst>
            <a:ext uri="{FF2B5EF4-FFF2-40B4-BE49-F238E27FC236}">
              <a16:creationId xmlns:a16="http://schemas.microsoft.com/office/drawing/2014/main" id="{C2BB2B2B-97F0-1299-C8B4-4BA9A8865832}"/>
            </a:ext>
          </a:extLst>
        </xdr:cNvPr>
        <xdr:cNvSpPr txBox="1"/>
      </xdr:nvSpPr>
      <xdr:spPr>
        <a:xfrm>
          <a:off x="11191464" y="58480432"/>
          <a:ext cx="792000" cy="25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DA3333-513D-467F-B245-DF3E7BD2167E}" type="TxLink">
            <a:rPr lang="en-US" sz="1400" b="1" i="0" u="none" strike="noStrike">
              <a:solidFill>
                <a:schemeClr val="tx2">
                  <a:lumMod val="75000"/>
                </a:schemeClr>
              </a:solidFill>
              <a:latin typeface="Aptos" panose="020B0004020202020204" pitchFamily="34" charset="0"/>
              <a:ea typeface="Calibri"/>
              <a:cs typeface="Calibri"/>
            </a:rPr>
            <a:t>18,02%</a:t>
          </a:fld>
          <a:endParaRPr lang="pt-BR" sz="2000" b="1">
            <a:solidFill>
              <a:schemeClr val="tx2">
                <a:lumMod val="75000"/>
              </a:schemeClr>
            </a:solidFill>
            <a:latin typeface="Aptos" panose="020B0004020202020204" pitchFamily="34" charset="0"/>
          </a:endParaRPr>
        </a:p>
      </xdr:txBody>
    </xdr:sp>
    <xdr:clientData/>
  </xdr:twoCellAnchor>
  <xdr:twoCellAnchor>
    <xdr:from>
      <xdr:col>39</xdr:col>
      <xdr:colOff>138068</xdr:colOff>
      <xdr:row>223</xdr:row>
      <xdr:rowOff>143901</xdr:rowOff>
    </xdr:from>
    <xdr:to>
      <xdr:col>42</xdr:col>
      <xdr:colOff>72818</xdr:colOff>
      <xdr:row>225</xdr:row>
      <xdr:rowOff>13194</xdr:rowOff>
    </xdr:to>
    <xdr:sp macro="" textlink="$D$263">
      <xdr:nvSpPr>
        <xdr:cNvPr id="13" name="CaixaDeTexto 12">
          <a:extLst>
            <a:ext uri="{FF2B5EF4-FFF2-40B4-BE49-F238E27FC236}">
              <a16:creationId xmlns:a16="http://schemas.microsoft.com/office/drawing/2014/main" id="{5F20BE54-3F73-43CE-8ED0-B949F7D1C1BD}"/>
            </a:ext>
          </a:extLst>
        </xdr:cNvPr>
        <xdr:cNvSpPr txBox="1"/>
      </xdr:nvSpPr>
      <xdr:spPr>
        <a:xfrm>
          <a:off x="11187068" y="58722651"/>
          <a:ext cx="792000" cy="250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8BAF94-8CF5-41BD-990E-3951221180B1}" type="TxLink">
            <a:rPr lang="en-US" sz="1400" b="1" i="0" u="none" strike="noStrike">
              <a:solidFill>
                <a:schemeClr val="tx2">
                  <a:lumMod val="75000"/>
                </a:schemeClr>
              </a:solidFill>
              <a:latin typeface="Aptos" panose="020B0004020202020204" pitchFamily="34" charset="0"/>
              <a:ea typeface="Calibri"/>
              <a:cs typeface="Calibri"/>
            </a:rPr>
            <a:t>Normal</a:t>
          </a:fld>
          <a:endParaRPr lang="pt-BR" sz="1800" b="1">
            <a:solidFill>
              <a:schemeClr val="tx2">
                <a:lumMod val="75000"/>
              </a:schemeClr>
            </a:solidFill>
            <a:latin typeface="Aptos" panose="020B0004020202020204" pitchFamily="34" charset="0"/>
          </a:endParaRPr>
        </a:p>
      </xdr:txBody>
    </xdr:sp>
    <xdr:clientData/>
  </xdr:twoCellAnchor>
  <xdr:twoCellAnchor>
    <xdr:from>
      <xdr:col>30</xdr:col>
      <xdr:colOff>93057</xdr:colOff>
      <xdr:row>231</xdr:row>
      <xdr:rowOff>154251</xdr:rowOff>
    </xdr:from>
    <xdr:to>
      <xdr:col>41</xdr:col>
      <xdr:colOff>182217</xdr:colOff>
      <xdr:row>236</xdr:row>
      <xdr:rowOff>115957</xdr:rowOff>
    </xdr:to>
    <xdr:sp macro="" textlink="">
      <xdr:nvSpPr>
        <xdr:cNvPr id="11" name="Retângulo 10">
          <a:extLst>
            <a:ext uri="{FF2B5EF4-FFF2-40B4-BE49-F238E27FC236}">
              <a16:creationId xmlns:a16="http://schemas.microsoft.com/office/drawing/2014/main" id="{BAE88F9D-2CB2-7443-C304-B889DF1551D8}"/>
            </a:ext>
          </a:extLst>
        </xdr:cNvPr>
        <xdr:cNvSpPr/>
      </xdr:nvSpPr>
      <xdr:spPr>
        <a:xfrm>
          <a:off x="8690405" y="59118142"/>
          <a:ext cx="3277964" cy="9142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31</xdr:col>
      <xdr:colOff>0</xdr:colOff>
      <xdr:row>214</xdr:row>
      <xdr:rowOff>0</xdr:rowOff>
    </xdr:from>
    <xdr:to>
      <xdr:col>42</xdr:col>
      <xdr:colOff>89160</xdr:colOff>
      <xdr:row>217</xdr:row>
      <xdr:rowOff>143923</xdr:rowOff>
    </xdr:to>
    <xdr:sp macro="" textlink="">
      <xdr:nvSpPr>
        <xdr:cNvPr id="18" name="Retângulo 17">
          <a:extLst>
            <a:ext uri="{FF2B5EF4-FFF2-40B4-BE49-F238E27FC236}">
              <a16:creationId xmlns:a16="http://schemas.microsoft.com/office/drawing/2014/main" id="{A992F910-04F4-4E30-B239-AFFFD03EE21B}"/>
            </a:ext>
          </a:extLst>
        </xdr:cNvPr>
        <xdr:cNvSpPr/>
      </xdr:nvSpPr>
      <xdr:spPr>
        <a:xfrm>
          <a:off x="8887239" y="55476913"/>
          <a:ext cx="3277964" cy="9142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32</xdr:col>
      <xdr:colOff>247650</xdr:colOff>
      <xdr:row>224</xdr:row>
      <xdr:rowOff>180975</xdr:rowOff>
    </xdr:from>
    <xdr:to>
      <xdr:col>34</xdr:col>
      <xdr:colOff>104775</xdr:colOff>
      <xdr:row>226</xdr:row>
      <xdr:rowOff>76200</xdr:rowOff>
    </xdr:to>
    <xdr:sp macro="" textlink="">
      <xdr:nvSpPr>
        <xdr:cNvPr id="22" name="CaixaDeTexto 21">
          <a:extLst>
            <a:ext uri="{FF2B5EF4-FFF2-40B4-BE49-F238E27FC236}">
              <a16:creationId xmlns:a16="http://schemas.microsoft.com/office/drawing/2014/main" id="{752AC83A-F849-F972-CBAA-533594184830}"/>
            </a:ext>
          </a:extLst>
        </xdr:cNvPr>
        <xdr:cNvSpPr txBox="1"/>
      </xdr:nvSpPr>
      <xdr:spPr>
        <a:xfrm>
          <a:off x="9296400" y="58950225"/>
          <a:ext cx="4286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Aptos" panose="020B0004020202020204" pitchFamily="34" charset="0"/>
            </a:rPr>
            <a:t>0%</a:t>
          </a:r>
          <a:endParaRPr lang="pt-BR" sz="1100" b="1">
            <a:solidFill>
              <a:schemeClr val="tx2">
                <a:lumMod val="75000"/>
              </a:schemeClr>
            </a:solidFill>
            <a:latin typeface="Aptos" panose="020B0004020202020204" pitchFamily="34" charset="0"/>
          </a:endParaRPr>
        </a:p>
      </xdr:txBody>
    </xdr:sp>
    <xdr:clientData/>
  </xdr:twoCellAnchor>
  <xdr:twoCellAnchor>
    <xdr:from>
      <xdr:col>47</xdr:col>
      <xdr:colOff>123825</xdr:colOff>
      <xdr:row>224</xdr:row>
      <xdr:rowOff>180975</xdr:rowOff>
    </xdr:from>
    <xdr:to>
      <xdr:col>49</xdr:col>
      <xdr:colOff>38100</xdr:colOff>
      <xdr:row>226</xdr:row>
      <xdr:rowOff>76200</xdr:rowOff>
    </xdr:to>
    <xdr:sp macro="" textlink="">
      <xdr:nvSpPr>
        <xdr:cNvPr id="23" name="CaixaDeTexto 22">
          <a:extLst>
            <a:ext uri="{FF2B5EF4-FFF2-40B4-BE49-F238E27FC236}">
              <a16:creationId xmlns:a16="http://schemas.microsoft.com/office/drawing/2014/main" id="{120D1BEA-6A1A-40B7-9E4C-446B57AB13F0}"/>
            </a:ext>
          </a:extLst>
        </xdr:cNvPr>
        <xdr:cNvSpPr txBox="1"/>
      </xdr:nvSpPr>
      <xdr:spPr>
        <a:xfrm>
          <a:off x="13458825" y="58950225"/>
          <a:ext cx="4857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Aptos" panose="020B0004020202020204" pitchFamily="34" charset="0"/>
            </a:rPr>
            <a:t>50%</a:t>
          </a:r>
          <a:endParaRPr lang="pt-BR" sz="1100" b="1">
            <a:solidFill>
              <a:schemeClr val="tx2">
                <a:lumMod val="75000"/>
              </a:schemeClr>
            </a:solidFill>
            <a:latin typeface="Aptos" panose="020B0004020202020204" pitchFamily="34" charset="0"/>
          </a:endParaRPr>
        </a:p>
      </xdr:txBody>
    </xdr:sp>
    <xdr:clientData/>
  </xdr:twoCellAnchor>
  <xdr:twoCellAnchor>
    <xdr:from>
      <xdr:col>35</xdr:col>
      <xdr:colOff>190500</xdr:colOff>
      <xdr:row>216</xdr:row>
      <xdr:rowOff>161925</xdr:rowOff>
    </xdr:from>
    <xdr:to>
      <xdr:col>37</xdr:col>
      <xdr:colOff>104775</xdr:colOff>
      <xdr:row>217</xdr:row>
      <xdr:rowOff>200025</xdr:rowOff>
    </xdr:to>
    <xdr:sp macro="" textlink="">
      <xdr:nvSpPr>
        <xdr:cNvPr id="24" name="CaixaDeTexto 23">
          <a:extLst>
            <a:ext uri="{FF2B5EF4-FFF2-40B4-BE49-F238E27FC236}">
              <a16:creationId xmlns:a16="http://schemas.microsoft.com/office/drawing/2014/main" id="{D5551D59-4707-4696-BBDB-96576836DF25}"/>
            </a:ext>
          </a:extLst>
        </xdr:cNvPr>
        <xdr:cNvSpPr txBox="1"/>
      </xdr:nvSpPr>
      <xdr:spPr>
        <a:xfrm>
          <a:off x="10096500" y="57311925"/>
          <a:ext cx="4857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Aptos" panose="020B0004020202020204" pitchFamily="34" charset="0"/>
            </a:rPr>
            <a:t>16%</a:t>
          </a:r>
          <a:endParaRPr lang="pt-BR" sz="1100" b="1">
            <a:solidFill>
              <a:schemeClr val="tx2">
                <a:lumMod val="75000"/>
              </a:schemeClr>
            </a:solidFill>
            <a:latin typeface="Aptos" panose="020B0004020202020204" pitchFamily="34" charset="0"/>
          </a:endParaRPr>
        </a:p>
      </xdr:txBody>
    </xdr:sp>
    <xdr:clientData/>
  </xdr:twoCellAnchor>
  <xdr:twoCellAnchor>
    <xdr:from>
      <xdr:col>37</xdr:col>
      <xdr:colOff>9525</xdr:colOff>
      <xdr:row>215</xdr:row>
      <xdr:rowOff>104775</xdr:rowOff>
    </xdr:from>
    <xdr:to>
      <xdr:col>38</xdr:col>
      <xdr:colOff>209550</xdr:colOff>
      <xdr:row>216</xdr:row>
      <xdr:rowOff>142875</xdr:rowOff>
    </xdr:to>
    <xdr:sp macro="" textlink="">
      <xdr:nvSpPr>
        <xdr:cNvPr id="25" name="CaixaDeTexto 24">
          <a:extLst>
            <a:ext uri="{FF2B5EF4-FFF2-40B4-BE49-F238E27FC236}">
              <a16:creationId xmlns:a16="http://schemas.microsoft.com/office/drawing/2014/main" id="{62BAD360-3CAE-4E04-957D-BCF35769C36B}"/>
            </a:ext>
          </a:extLst>
        </xdr:cNvPr>
        <xdr:cNvSpPr txBox="1"/>
      </xdr:nvSpPr>
      <xdr:spPr>
        <a:xfrm>
          <a:off x="10487025" y="57016650"/>
          <a:ext cx="4857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Aptos" panose="020B0004020202020204" pitchFamily="34" charset="0"/>
            </a:rPr>
            <a:t>18%</a:t>
          </a:r>
          <a:endParaRPr lang="pt-BR" sz="1100" b="1">
            <a:solidFill>
              <a:schemeClr val="tx2">
                <a:lumMod val="75000"/>
              </a:schemeClr>
            </a:solidFill>
            <a:latin typeface="Aptos" panose="020B0004020202020204" pitchFamily="34" charset="0"/>
          </a:endParaRPr>
        </a:p>
      </xdr:txBody>
    </xdr:sp>
    <xdr:clientData/>
  </xdr:twoCellAnchor>
  <xdr:twoCellAnchor>
    <xdr:from>
      <xdr:col>42</xdr:col>
      <xdr:colOff>9525</xdr:colOff>
      <xdr:row>215</xdr:row>
      <xdr:rowOff>38100</xdr:rowOff>
    </xdr:from>
    <xdr:to>
      <xdr:col>43</xdr:col>
      <xdr:colOff>209550</xdr:colOff>
      <xdr:row>216</xdr:row>
      <xdr:rowOff>76200</xdr:rowOff>
    </xdr:to>
    <xdr:sp macro="" textlink="">
      <xdr:nvSpPr>
        <xdr:cNvPr id="26" name="CaixaDeTexto 25">
          <a:extLst>
            <a:ext uri="{FF2B5EF4-FFF2-40B4-BE49-F238E27FC236}">
              <a16:creationId xmlns:a16="http://schemas.microsoft.com/office/drawing/2014/main" id="{A3A570E9-BFA2-43BD-B706-08B2CFD64B17}"/>
            </a:ext>
          </a:extLst>
        </xdr:cNvPr>
        <xdr:cNvSpPr txBox="1"/>
      </xdr:nvSpPr>
      <xdr:spPr>
        <a:xfrm>
          <a:off x="11915775" y="56949975"/>
          <a:ext cx="4857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Aptos" panose="020B0004020202020204" pitchFamily="34" charset="0"/>
            </a:rPr>
            <a:t>29%</a:t>
          </a:r>
          <a:endParaRPr lang="pt-BR" sz="1100" b="1">
            <a:solidFill>
              <a:schemeClr val="tx2">
                <a:lumMod val="75000"/>
              </a:schemeClr>
            </a:solidFill>
            <a:latin typeface="Aptos" panose="020B0004020202020204" pitchFamily="34" charset="0"/>
          </a:endParaRPr>
        </a:p>
      </xdr:txBody>
    </xdr:sp>
    <xdr:clientData/>
  </xdr:twoCellAnchor>
  <xdr:twoCellAnchor>
    <xdr:from>
      <xdr:col>44</xdr:col>
      <xdr:colOff>152400</xdr:colOff>
      <xdr:row>216</xdr:row>
      <xdr:rowOff>152400</xdr:rowOff>
    </xdr:from>
    <xdr:to>
      <xdr:col>46</xdr:col>
      <xdr:colOff>66675</xdr:colOff>
      <xdr:row>217</xdr:row>
      <xdr:rowOff>190500</xdr:rowOff>
    </xdr:to>
    <xdr:sp macro="" textlink="">
      <xdr:nvSpPr>
        <xdr:cNvPr id="27" name="CaixaDeTexto 26">
          <a:extLst>
            <a:ext uri="{FF2B5EF4-FFF2-40B4-BE49-F238E27FC236}">
              <a16:creationId xmlns:a16="http://schemas.microsoft.com/office/drawing/2014/main" id="{97C4AF95-2365-4649-8BE9-AAFE3DE0B8B7}"/>
            </a:ext>
          </a:extLst>
        </xdr:cNvPr>
        <xdr:cNvSpPr txBox="1"/>
      </xdr:nvSpPr>
      <xdr:spPr>
        <a:xfrm>
          <a:off x="12630150" y="57302400"/>
          <a:ext cx="4857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200" b="1">
              <a:solidFill>
                <a:schemeClr val="tx2">
                  <a:lumMod val="75000"/>
                </a:schemeClr>
              </a:solidFill>
              <a:latin typeface="Aptos" panose="020B0004020202020204" pitchFamily="34" charset="0"/>
            </a:rPr>
            <a:t>35%</a:t>
          </a:r>
          <a:endParaRPr lang="pt-BR" sz="1100" b="1">
            <a:solidFill>
              <a:schemeClr val="tx2">
                <a:lumMod val="75000"/>
              </a:schemeClr>
            </a:solidFill>
            <a:latin typeface="Aptos" panose="020B0004020202020204" pitchFamily="34" charset="0"/>
          </a:endParaRPr>
        </a:p>
      </xdr:txBody>
    </xdr:sp>
    <xdr:clientData/>
  </xdr:twoCellAnchor>
  <xdr:twoCellAnchor>
    <xdr:from>
      <xdr:col>36</xdr:col>
      <xdr:colOff>209550</xdr:colOff>
      <xdr:row>226</xdr:row>
      <xdr:rowOff>104775</xdr:rowOff>
    </xdr:from>
    <xdr:to>
      <xdr:col>45</xdr:col>
      <xdr:colOff>0</xdr:colOff>
      <xdr:row>228</xdr:row>
      <xdr:rowOff>0</xdr:rowOff>
    </xdr:to>
    <xdr:sp macro="" textlink="">
      <xdr:nvSpPr>
        <xdr:cNvPr id="28" name="CaixaDeTexto 27">
          <a:extLst>
            <a:ext uri="{FF2B5EF4-FFF2-40B4-BE49-F238E27FC236}">
              <a16:creationId xmlns:a16="http://schemas.microsoft.com/office/drawing/2014/main" id="{A637A108-B552-4E56-91E4-5DD10DA51364}"/>
            </a:ext>
          </a:extLst>
        </xdr:cNvPr>
        <xdr:cNvSpPr txBox="1"/>
      </xdr:nvSpPr>
      <xdr:spPr>
        <a:xfrm>
          <a:off x="10401300" y="59255025"/>
          <a:ext cx="23622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1400" b="1">
              <a:solidFill>
                <a:schemeClr val="tx2">
                  <a:lumMod val="75000"/>
                </a:schemeClr>
              </a:solidFill>
              <a:latin typeface="Aptos" panose="020B0004020202020204" pitchFamily="34" charset="0"/>
            </a:rPr>
            <a:t>PADRÃO CONSTRUTIVO</a:t>
          </a:r>
          <a:endParaRPr lang="pt-BR" sz="1200" b="1">
            <a:solidFill>
              <a:schemeClr val="tx2">
                <a:lumMod val="75000"/>
              </a:schemeClr>
            </a:solidFill>
            <a:latin typeface="Aptos" panose="020B0004020202020204" pitchFamily="34" charset="0"/>
          </a:endParaRPr>
        </a:p>
      </xdr:txBody>
    </xdr:sp>
    <xdr:clientData/>
  </xdr:twoCellAnchor>
  <xdr:twoCellAnchor editAs="oneCell">
    <xdr:from>
      <xdr:col>19</xdr:col>
      <xdr:colOff>76200</xdr:colOff>
      <xdr:row>215</xdr:row>
      <xdr:rowOff>228600</xdr:rowOff>
    </xdr:from>
    <xdr:to>
      <xdr:col>30</xdr:col>
      <xdr:colOff>209550</xdr:colOff>
      <xdr:row>217</xdr:row>
      <xdr:rowOff>9525</xdr:rowOff>
    </xdr:to>
    <xdr:pic>
      <xdr:nvPicPr>
        <xdr:cNvPr id="31" name="Imagem 30">
          <a:extLst>
            <a:ext uri="{FF2B5EF4-FFF2-40B4-BE49-F238E27FC236}">
              <a16:creationId xmlns:a16="http://schemas.microsoft.com/office/drawing/2014/main" id="{FB7F8D71-3D39-DE9A-5186-6D4814E6195E}"/>
            </a:ext>
          </a:extLst>
        </xdr:cNvPr>
        <xdr:cNvPicPr>
          <a:picLocks noChangeAspect="1"/>
        </xdr:cNvPicPr>
      </xdr:nvPicPr>
      <xdr:blipFill rotWithShape="1">
        <a:blip xmlns:r="http://schemas.openxmlformats.org/officeDocument/2006/relationships" r:embed="rId11"/>
        <a:srcRect l="-1806" r="-1793" b="3585"/>
        <a:stretch/>
      </xdr:blipFill>
      <xdr:spPr>
        <a:xfrm>
          <a:off x="5410200" y="57140475"/>
          <a:ext cx="3276600" cy="257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76061</xdr:rowOff>
    </xdr:from>
    <xdr:to>
      <xdr:col>2</xdr:col>
      <xdr:colOff>47625</xdr:colOff>
      <xdr:row>2</xdr:row>
      <xdr:rowOff>123898</xdr:rowOff>
    </xdr:to>
    <xdr:pic>
      <xdr:nvPicPr>
        <xdr:cNvPr id="6" name="Imagem 5">
          <a:extLst>
            <a:ext uri="{FF2B5EF4-FFF2-40B4-BE49-F238E27FC236}">
              <a16:creationId xmlns:a16="http://schemas.microsoft.com/office/drawing/2014/main" id="{712DE25A-DD4E-4741-9329-BDC2AE025553}"/>
            </a:ext>
          </a:extLst>
        </xdr:cNvPr>
        <xdr:cNvPicPr>
          <a:picLocks noChangeAspect="1"/>
        </xdr:cNvPicPr>
      </xdr:nvPicPr>
      <xdr:blipFill>
        <a:blip xmlns:r="http://schemas.openxmlformats.org/officeDocument/2006/relationships" r:embed="rId1" cstate="print">
          <a:biLevel thresh="25000"/>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0025" y="76061"/>
          <a:ext cx="323850" cy="428837"/>
        </a:xfrm>
        <a:prstGeom prst="rect">
          <a:avLst/>
        </a:prstGeom>
      </xdr:spPr>
    </xdr:pic>
    <xdr:clientData/>
  </xdr:twoCellAnchor>
  <xdr:twoCellAnchor editAs="absolute">
    <xdr:from>
      <xdr:col>2</xdr:col>
      <xdr:colOff>152399</xdr:colOff>
      <xdr:row>0</xdr:row>
      <xdr:rowOff>0</xdr:rowOff>
    </xdr:from>
    <xdr:to>
      <xdr:col>25</xdr:col>
      <xdr:colOff>257175</xdr:colOff>
      <xdr:row>3</xdr:row>
      <xdr:rowOff>900</xdr:rowOff>
    </xdr:to>
    <xdr:sp macro="" textlink="">
      <xdr:nvSpPr>
        <xdr:cNvPr id="7" name="Retângulo 6">
          <a:extLst>
            <a:ext uri="{FF2B5EF4-FFF2-40B4-BE49-F238E27FC236}">
              <a16:creationId xmlns:a16="http://schemas.microsoft.com/office/drawing/2014/main" id="{450B4158-079C-4C67-81D1-252A25FC7695}"/>
            </a:ext>
          </a:extLst>
        </xdr:cNvPr>
        <xdr:cNvSpPr>
          <a:spLocks/>
        </xdr:cNvSpPr>
      </xdr:nvSpPr>
      <xdr:spPr>
        <a:xfrm>
          <a:off x="628649" y="0"/>
          <a:ext cx="6677026" cy="57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0" rIns="180000" bIns="0" rtlCol="0" anchor="ctr"/>
        <a:lstStyle/>
        <a:p>
          <a:pPr marL="0" lvl="0" indent="0" algn="l"/>
          <a:r>
            <a:rPr lang="pt-BR" sz="1600" b="1">
              <a:solidFill>
                <a:schemeClr val="accent1">
                  <a:lumMod val="40000"/>
                  <a:lumOff val="60000"/>
                </a:schemeClr>
              </a:solidFill>
              <a:latin typeface="Aptos" panose="020B0004020202020204" pitchFamily="34" charset="0"/>
              <a:ea typeface="+mn-ea"/>
              <a:cs typeface="+mn-cs"/>
            </a:rPr>
            <a:t>PLANILHA</a:t>
          </a:r>
          <a:r>
            <a:rPr lang="pt-BR" sz="1600" b="1" baseline="0">
              <a:solidFill>
                <a:schemeClr val="accent1">
                  <a:lumMod val="40000"/>
                  <a:lumOff val="60000"/>
                </a:schemeClr>
              </a:solidFill>
              <a:latin typeface="Aptos" panose="020B0004020202020204" pitchFamily="34" charset="0"/>
              <a:ea typeface="+mn-ea"/>
              <a:cs typeface="+mn-cs"/>
            </a:rPr>
            <a:t> DE </a:t>
          </a:r>
          <a:r>
            <a:rPr lang="pt-BR" sz="1600" b="1">
              <a:solidFill>
                <a:schemeClr val="accent1">
                  <a:lumMod val="40000"/>
                  <a:lumOff val="60000"/>
                </a:schemeClr>
              </a:solidFill>
              <a:latin typeface="Aptos" panose="020B0004020202020204" pitchFamily="34" charset="0"/>
              <a:ea typeface="+mn-ea"/>
              <a:cs typeface="+mn-cs"/>
            </a:rPr>
            <a:t>ANÁLISE DE VIABILIDADE FINANCEIRA</a:t>
          </a:r>
        </a:p>
      </xdr:txBody>
    </xdr:sp>
    <xdr:clientData/>
  </xdr:twoCellAnchor>
  <xdr:twoCellAnchor editAs="oneCell">
    <xdr:from>
      <xdr:col>43</xdr:col>
      <xdr:colOff>28575</xdr:colOff>
      <xdr:row>0</xdr:row>
      <xdr:rowOff>38100</xdr:rowOff>
    </xdr:from>
    <xdr:to>
      <xdr:col>49</xdr:col>
      <xdr:colOff>0</xdr:colOff>
      <xdr:row>2</xdr:row>
      <xdr:rowOff>161925</xdr:rowOff>
    </xdr:to>
    <xdr:pic>
      <xdr:nvPicPr>
        <xdr:cNvPr id="8" name="Imagem 7">
          <a:extLst>
            <a:ext uri="{FF2B5EF4-FFF2-40B4-BE49-F238E27FC236}">
              <a16:creationId xmlns:a16="http://schemas.microsoft.com/office/drawing/2014/main" id="{A9628B56-2FCD-4737-960C-3DA79EA51610}"/>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773" b="5368"/>
        <a:stretch/>
      </xdr:blipFill>
      <xdr:spPr bwMode="auto">
        <a:xfrm>
          <a:off x="12220575" y="38100"/>
          <a:ext cx="16859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10</xdr:col>
      <xdr:colOff>135007</xdr:colOff>
      <xdr:row>3</xdr:row>
      <xdr:rowOff>66675</xdr:rowOff>
    </xdr:from>
    <xdr:to>
      <xdr:col>15</xdr:col>
      <xdr:colOff>3085</xdr:colOff>
      <xdr:row>3</xdr:row>
      <xdr:rowOff>316337</xdr:rowOff>
    </xdr:to>
    <xdr:sp macro="" textlink="">
      <xdr:nvSpPr>
        <xdr:cNvPr id="13" name="Retângulo: Cantos Arredondados 12">
          <a:hlinkClick xmlns:r="http://schemas.openxmlformats.org/officeDocument/2006/relationships" r:id="rId4" tooltip="SIMULAÇÃO 03"/>
          <a:extLst>
            <a:ext uri="{FF2B5EF4-FFF2-40B4-BE49-F238E27FC236}">
              <a16:creationId xmlns:a16="http://schemas.microsoft.com/office/drawing/2014/main" id="{F5C9988E-8647-4777-B11F-02B616009B9A}"/>
            </a:ext>
          </a:extLst>
        </xdr:cNvPr>
        <xdr:cNvSpPr>
          <a:spLocks/>
        </xdr:cNvSpPr>
      </xdr:nvSpPr>
      <xdr:spPr>
        <a:xfrm>
          <a:off x="289725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03</a:t>
          </a:r>
        </a:p>
      </xdr:txBody>
    </xdr:sp>
    <xdr:clientData/>
  </xdr:twoCellAnchor>
  <xdr:twoCellAnchor editAs="absolute">
    <xdr:from>
      <xdr:col>5</xdr:col>
      <xdr:colOff>210378</xdr:colOff>
      <xdr:row>3</xdr:row>
      <xdr:rowOff>66675</xdr:rowOff>
    </xdr:from>
    <xdr:to>
      <xdr:col>10</xdr:col>
      <xdr:colOff>78457</xdr:colOff>
      <xdr:row>3</xdr:row>
      <xdr:rowOff>316337</xdr:rowOff>
    </xdr:to>
    <xdr:sp macro="" textlink="">
      <xdr:nvSpPr>
        <xdr:cNvPr id="14" name="Retângulo: Cantos Arredondados 13">
          <a:hlinkClick xmlns:r="http://schemas.openxmlformats.org/officeDocument/2006/relationships" r:id="rId5" tooltip="SIMULAÇÃO 02"/>
          <a:extLst>
            <a:ext uri="{FF2B5EF4-FFF2-40B4-BE49-F238E27FC236}">
              <a16:creationId xmlns:a16="http://schemas.microsoft.com/office/drawing/2014/main" id="{4F012216-30CC-44BA-A669-1A3109927C4B}"/>
            </a:ext>
          </a:extLst>
        </xdr:cNvPr>
        <xdr:cNvSpPr>
          <a:spLocks/>
        </xdr:cNvSpPr>
      </xdr:nvSpPr>
      <xdr:spPr>
        <a:xfrm>
          <a:off x="1543878" y="638175"/>
          <a:ext cx="1296829" cy="249662"/>
        </a:xfrm>
        <a:prstGeom prst="roundRect">
          <a:avLst/>
        </a:prstGeom>
        <a:gradFill flip="none" rotWithShape="1">
          <a:gsLst>
            <a:gs pos="500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100" b="1">
              <a:solidFill>
                <a:srgbClr val="0E1C1E"/>
              </a:solidFill>
              <a:latin typeface="Aptos" panose="020B0004020202020204" pitchFamily="34" charset="0"/>
              <a:ea typeface="+mn-ea"/>
              <a:cs typeface="+mn-cs"/>
            </a:rPr>
            <a:t>SIMULAÇÃO 02</a:t>
          </a:r>
        </a:p>
      </xdr:txBody>
    </xdr:sp>
    <xdr:clientData/>
  </xdr:twoCellAnchor>
  <xdr:twoCellAnchor editAs="absolute">
    <xdr:from>
      <xdr:col>1</xdr:col>
      <xdr:colOff>0</xdr:colOff>
      <xdr:row>3</xdr:row>
      <xdr:rowOff>66675</xdr:rowOff>
    </xdr:from>
    <xdr:to>
      <xdr:col>5</xdr:col>
      <xdr:colOff>153828</xdr:colOff>
      <xdr:row>3</xdr:row>
      <xdr:rowOff>316337</xdr:rowOff>
    </xdr:to>
    <xdr:sp macro="" textlink="">
      <xdr:nvSpPr>
        <xdr:cNvPr id="15" name="Retângulo: Cantos Arredondados 14">
          <a:hlinkClick xmlns:r="http://schemas.openxmlformats.org/officeDocument/2006/relationships" r:id="rId6" tooltip="SIMULAÇÃO 01"/>
          <a:extLst>
            <a:ext uri="{FF2B5EF4-FFF2-40B4-BE49-F238E27FC236}">
              <a16:creationId xmlns:a16="http://schemas.microsoft.com/office/drawing/2014/main" id="{72267BB3-EE55-4A7B-AC00-757088A0E7FB}"/>
            </a:ext>
          </a:extLst>
        </xdr:cNvPr>
        <xdr:cNvSpPr>
          <a:spLocks/>
        </xdr:cNvSpPr>
      </xdr:nvSpPr>
      <xdr:spPr>
        <a:xfrm>
          <a:off x="190500"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01</a:t>
          </a:r>
        </a:p>
      </xdr:txBody>
    </xdr:sp>
    <xdr:clientData/>
  </xdr:twoCellAnchor>
  <xdr:twoCellAnchor editAs="absolute">
    <xdr:from>
      <xdr:col>15</xdr:col>
      <xdr:colOff>58807</xdr:colOff>
      <xdr:row>3</xdr:row>
      <xdr:rowOff>66675</xdr:rowOff>
    </xdr:from>
    <xdr:to>
      <xdr:col>19</xdr:col>
      <xdr:colOff>212635</xdr:colOff>
      <xdr:row>3</xdr:row>
      <xdr:rowOff>316337</xdr:rowOff>
    </xdr:to>
    <xdr:sp macro="" textlink="">
      <xdr:nvSpPr>
        <xdr:cNvPr id="16" name="Retângulo: Cantos Arredondados 15">
          <a:hlinkClick xmlns:r="http://schemas.openxmlformats.org/officeDocument/2006/relationships" r:id="rId7" tooltip="SIMULAÇÃO 04"/>
          <a:extLst>
            <a:ext uri="{FF2B5EF4-FFF2-40B4-BE49-F238E27FC236}">
              <a16:creationId xmlns:a16="http://schemas.microsoft.com/office/drawing/2014/main" id="{76593587-CA76-49FE-9A84-5667B637E1E5}"/>
            </a:ext>
          </a:extLst>
        </xdr:cNvPr>
        <xdr:cNvSpPr>
          <a:spLocks/>
        </xdr:cNvSpPr>
      </xdr:nvSpPr>
      <xdr:spPr>
        <a:xfrm>
          <a:off x="424980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04</a:t>
          </a:r>
        </a:p>
      </xdr:txBody>
    </xdr:sp>
    <xdr:clientData/>
  </xdr:twoCellAnchor>
  <xdr:twoCellAnchor editAs="absolute">
    <xdr:from>
      <xdr:col>44</xdr:col>
      <xdr:colOff>142875</xdr:colOff>
      <xdr:row>3</xdr:row>
      <xdr:rowOff>66675</xdr:rowOff>
    </xdr:from>
    <xdr:to>
      <xdr:col>49</xdr:col>
      <xdr:colOff>5350</xdr:colOff>
      <xdr:row>3</xdr:row>
      <xdr:rowOff>316337</xdr:rowOff>
    </xdr:to>
    <xdr:sp macro="" textlink="">
      <xdr:nvSpPr>
        <xdr:cNvPr id="17" name="Retângulo: Cantos Arredondados 16">
          <a:hlinkClick xmlns:r="http://schemas.openxmlformats.org/officeDocument/2006/relationships" r:id="rId8" tooltip="ANÁLISE COMPARATIVA"/>
          <a:extLst>
            <a:ext uri="{FF2B5EF4-FFF2-40B4-BE49-F238E27FC236}">
              <a16:creationId xmlns:a16="http://schemas.microsoft.com/office/drawing/2014/main" id="{C322537E-716D-438B-A95E-B1DCEF384700}"/>
            </a:ext>
          </a:extLst>
        </xdr:cNvPr>
        <xdr:cNvSpPr>
          <a:spLocks/>
        </xdr:cNvSpPr>
      </xdr:nvSpPr>
      <xdr:spPr>
        <a:xfrm>
          <a:off x="12620625" y="638175"/>
          <a:ext cx="1291225"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COMPARATIVO</a:t>
          </a:r>
        </a:p>
      </xdr:txBody>
    </xdr:sp>
    <xdr:clientData/>
  </xdr:twoCellAnchor>
  <xdr:twoCellAnchor>
    <xdr:from>
      <xdr:col>1</xdr:col>
      <xdr:colOff>0</xdr:colOff>
      <xdr:row>215</xdr:row>
      <xdr:rowOff>0</xdr:rowOff>
    </xdr:from>
    <xdr:to>
      <xdr:col>49</xdr:col>
      <xdr:colOff>1</xdr:colOff>
      <xdr:row>250</xdr:row>
      <xdr:rowOff>57151</xdr:rowOff>
    </xdr:to>
    <mc:AlternateContent xmlns:mc="http://schemas.openxmlformats.org/markup-compatibility/2006">
      <mc:Choice xmlns:cx4="http://schemas.microsoft.com/office/drawing/2016/5/10/chartex" Requires="cx4">
        <xdr:graphicFrame macro="">
          <xdr:nvGraphicFramePr>
            <xdr:cNvPr id="2" name="Gráfico 1">
              <a:extLst>
                <a:ext uri="{FF2B5EF4-FFF2-40B4-BE49-F238E27FC236}">
                  <a16:creationId xmlns:a16="http://schemas.microsoft.com/office/drawing/2014/main" id="{DE277403-97A4-4ED1-9803-8BDDFFB2AC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500" y="55292625"/>
              <a:ext cx="13716001" cy="6867526"/>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76061</xdr:rowOff>
    </xdr:from>
    <xdr:to>
      <xdr:col>2</xdr:col>
      <xdr:colOff>47625</xdr:colOff>
      <xdr:row>2</xdr:row>
      <xdr:rowOff>123898</xdr:rowOff>
    </xdr:to>
    <xdr:pic>
      <xdr:nvPicPr>
        <xdr:cNvPr id="6" name="Imagem 5">
          <a:extLst>
            <a:ext uri="{FF2B5EF4-FFF2-40B4-BE49-F238E27FC236}">
              <a16:creationId xmlns:a16="http://schemas.microsoft.com/office/drawing/2014/main" id="{508DD9AC-CAD4-4D1F-8F88-B60F8F13B601}"/>
            </a:ext>
          </a:extLst>
        </xdr:cNvPr>
        <xdr:cNvPicPr>
          <a:picLocks noChangeAspect="1"/>
        </xdr:cNvPicPr>
      </xdr:nvPicPr>
      <xdr:blipFill>
        <a:blip xmlns:r="http://schemas.openxmlformats.org/officeDocument/2006/relationships" r:embed="rId1" cstate="print">
          <a:biLevel thresh="25000"/>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0025" y="76061"/>
          <a:ext cx="323850" cy="428837"/>
        </a:xfrm>
        <a:prstGeom prst="rect">
          <a:avLst/>
        </a:prstGeom>
      </xdr:spPr>
    </xdr:pic>
    <xdr:clientData/>
  </xdr:twoCellAnchor>
  <xdr:twoCellAnchor editAs="absolute">
    <xdr:from>
      <xdr:col>2</xdr:col>
      <xdr:colOff>152399</xdr:colOff>
      <xdr:row>0</xdr:row>
      <xdr:rowOff>0</xdr:rowOff>
    </xdr:from>
    <xdr:to>
      <xdr:col>25</xdr:col>
      <xdr:colOff>257175</xdr:colOff>
      <xdr:row>3</xdr:row>
      <xdr:rowOff>900</xdr:rowOff>
    </xdr:to>
    <xdr:sp macro="" textlink="">
      <xdr:nvSpPr>
        <xdr:cNvPr id="7" name="Retângulo 6">
          <a:extLst>
            <a:ext uri="{FF2B5EF4-FFF2-40B4-BE49-F238E27FC236}">
              <a16:creationId xmlns:a16="http://schemas.microsoft.com/office/drawing/2014/main" id="{A4B47276-4176-44CB-8A62-D47F8B1CB3ED}"/>
            </a:ext>
          </a:extLst>
        </xdr:cNvPr>
        <xdr:cNvSpPr>
          <a:spLocks/>
        </xdr:cNvSpPr>
      </xdr:nvSpPr>
      <xdr:spPr>
        <a:xfrm>
          <a:off x="628649" y="0"/>
          <a:ext cx="6677026" cy="57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0" rIns="180000" bIns="0" rtlCol="0" anchor="ctr"/>
        <a:lstStyle/>
        <a:p>
          <a:pPr marL="0" lvl="0" indent="0" algn="l"/>
          <a:r>
            <a:rPr lang="pt-BR" sz="1600" b="1">
              <a:solidFill>
                <a:schemeClr val="accent1">
                  <a:lumMod val="40000"/>
                  <a:lumOff val="60000"/>
                </a:schemeClr>
              </a:solidFill>
              <a:latin typeface="Aptos" panose="020B0004020202020204" pitchFamily="34" charset="0"/>
              <a:ea typeface="+mn-ea"/>
              <a:cs typeface="+mn-cs"/>
            </a:rPr>
            <a:t>PLANILHA</a:t>
          </a:r>
          <a:r>
            <a:rPr lang="pt-BR" sz="1600" b="1" baseline="0">
              <a:solidFill>
                <a:schemeClr val="accent1">
                  <a:lumMod val="40000"/>
                  <a:lumOff val="60000"/>
                </a:schemeClr>
              </a:solidFill>
              <a:latin typeface="Aptos" panose="020B0004020202020204" pitchFamily="34" charset="0"/>
              <a:ea typeface="+mn-ea"/>
              <a:cs typeface="+mn-cs"/>
            </a:rPr>
            <a:t> DE </a:t>
          </a:r>
          <a:r>
            <a:rPr lang="pt-BR" sz="1600" b="1">
              <a:solidFill>
                <a:schemeClr val="accent1">
                  <a:lumMod val="40000"/>
                  <a:lumOff val="60000"/>
                </a:schemeClr>
              </a:solidFill>
              <a:latin typeface="Aptos" panose="020B0004020202020204" pitchFamily="34" charset="0"/>
              <a:ea typeface="+mn-ea"/>
              <a:cs typeface="+mn-cs"/>
            </a:rPr>
            <a:t>ANÁLISE DE VIABILIDADE FINANCEIRA</a:t>
          </a:r>
        </a:p>
      </xdr:txBody>
    </xdr:sp>
    <xdr:clientData/>
  </xdr:twoCellAnchor>
  <xdr:twoCellAnchor editAs="oneCell">
    <xdr:from>
      <xdr:col>43</xdr:col>
      <xdr:colOff>28575</xdr:colOff>
      <xdr:row>0</xdr:row>
      <xdr:rowOff>38100</xdr:rowOff>
    </xdr:from>
    <xdr:to>
      <xdr:col>49</xdr:col>
      <xdr:colOff>0</xdr:colOff>
      <xdr:row>2</xdr:row>
      <xdr:rowOff>161925</xdr:rowOff>
    </xdr:to>
    <xdr:pic>
      <xdr:nvPicPr>
        <xdr:cNvPr id="8" name="Imagem 7">
          <a:extLst>
            <a:ext uri="{FF2B5EF4-FFF2-40B4-BE49-F238E27FC236}">
              <a16:creationId xmlns:a16="http://schemas.microsoft.com/office/drawing/2014/main" id="{823053D2-8999-47F4-8802-1D38BB3DB15E}"/>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773" b="5368"/>
        <a:stretch/>
      </xdr:blipFill>
      <xdr:spPr bwMode="auto">
        <a:xfrm>
          <a:off x="12220575" y="38100"/>
          <a:ext cx="16859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10</xdr:col>
      <xdr:colOff>135007</xdr:colOff>
      <xdr:row>3</xdr:row>
      <xdr:rowOff>66675</xdr:rowOff>
    </xdr:from>
    <xdr:to>
      <xdr:col>15</xdr:col>
      <xdr:colOff>3085</xdr:colOff>
      <xdr:row>3</xdr:row>
      <xdr:rowOff>316337</xdr:rowOff>
    </xdr:to>
    <xdr:sp macro="" textlink="">
      <xdr:nvSpPr>
        <xdr:cNvPr id="9" name="Retângulo: Cantos Arredondados 8">
          <a:hlinkClick xmlns:r="http://schemas.openxmlformats.org/officeDocument/2006/relationships" r:id="rId4" tooltip="SIMULAÇÃO 03"/>
          <a:extLst>
            <a:ext uri="{FF2B5EF4-FFF2-40B4-BE49-F238E27FC236}">
              <a16:creationId xmlns:a16="http://schemas.microsoft.com/office/drawing/2014/main" id="{F8021C0D-4724-4A4F-9945-A635D053527A}"/>
            </a:ext>
          </a:extLst>
        </xdr:cNvPr>
        <xdr:cNvSpPr>
          <a:spLocks/>
        </xdr:cNvSpPr>
      </xdr:nvSpPr>
      <xdr:spPr>
        <a:xfrm>
          <a:off x="2897257" y="638175"/>
          <a:ext cx="1296828" cy="249662"/>
        </a:xfrm>
        <a:prstGeom prst="roundRect">
          <a:avLst/>
        </a:prstGeom>
        <a:gradFill flip="none" rotWithShape="1">
          <a:gsLst>
            <a:gs pos="500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100" b="1">
              <a:solidFill>
                <a:srgbClr val="0E1C1E"/>
              </a:solidFill>
              <a:latin typeface="Aptos" panose="020B0004020202020204" pitchFamily="34" charset="0"/>
              <a:ea typeface="+mn-ea"/>
              <a:cs typeface="+mn-cs"/>
            </a:rPr>
            <a:t>SIMULAÇÃO 03</a:t>
          </a:r>
        </a:p>
      </xdr:txBody>
    </xdr:sp>
    <xdr:clientData/>
  </xdr:twoCellAnchor>
  <xdr:twoCellAnchor editAs="absolute">
    <xdr:from>
      <xdr:col>5</xdr:col>
      <xdr:colOff>210378</xdr:colOff>
      <xdr:row>3</xdr:row>
      <xdr:rowOff>66675</xdr:rowOff>
    </xdr:from>
    <xdr:to>
      <xdr:col>10</xdr:col>
      <xdr:colOff>78457</xdr:colOff>
      <xdr:row>3</xdr:row>
      <xdr:rowOff>316337</xdr:rowOff>
    </xdr:to>
    <xdr:sp macro="" textlink="">
      <xdr:nvSpPr>
        <xdr:cNvPr id="10" name="Retângulo: Cantos Arredondados 9">
          <a:hlinkClick xmlns:r="http://schemas.openxmlformats.org/officeDocument/2006/relationships" r:id="rId5" tooltip="SIMULAÇÃO 02"/>
          <a:extLst>
            <a:ext uri="{FF2B5EF4-FFF2-40B4-BE49-F238E27FC236}">
              <a16:creationId xmlns:a16="http://schemas.microsoft.com/office/drawing/2014/main" id="{C3696E06-A22C-419A-8FD4-238FC4BA6552}"/>
            </a:ext>
          </a:extLst>
        </xdr:cNvPr>
        <xdr:cNvSpPr>
          <a:spLocks/>
        </xdr:cNvSpPr>
      </xdr:nvSpPr>
      <xdr:spPr>
        <a:xfrm>
          <a:off x="1543878" y="638175"/>
          <a:ext cx="1296829"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02</a:t>
          </a:r>
        </a:p>
      </xdr:txBody>
    </xdr:sp>
    <xdr:clientData/>
  </xdr:twoCellAnchor>
  <xdr:twoCellAnchor editAs="absolute">
    <xdr:from>
      <xdr:col>1</xdr:col>
      <xdr:colOff>0</xdr:colOff>
      <xdr:row>3</xdr:row>
      <xdr:rowOff>66675</xdr:rowOff>
    </xdr:from>
    <xdr:to>
      <xdr:col>5</xdr:col>
      <xdr:colOff>153828</xdr:colOff>
      <xdr:row>3</xdr:row>
      <xdr:rowOff>316337</xdr:rowOff>
    </xdr:to>
    <xdr:sp macro="" textlink="">
      <xdr:nvSpPr>
        <xdr:cNvPr id="11" name="Retângulo: Cantos Arredondados 10">
          <a:hlinkClick xmlns:r="http://schemas.openxmlformats.org/officeDocument/2006/relationships" r:id="rId6" tooltip="SIMULAÇÃO 01"/>
          <a:extLst>
            <a:ext uri="{FF2B5EF4-FFF2-40B4-BE49-F238E27FC236}">
              <a16:creationId xmlns:a16="http://schemas.microsoft.com/office/drawing/2014/main" id="{565A5650-A161-4D9B-86EF-744E2DCCA6A6}"/>
            </a:ext>
          </a:extLst>
        </xdr:cNvPr>
        <xdr:cNvSpPr>
          <a:spLocks/>
        </xdr:cNvSpPr>
      </xdr:nvSpPr>
      <xdr:spPr>
        <a:xfrm>
          <a:off x="190500"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01</a:t>
          </a:r>
        </a:p>
      </xdr:txBody>
    </xdr:sp>
    <xdr:clientData/>
  </xdr:twoCellAnchor>
  <xdr:twoCellAnchor editAs="absolute">
    <xdr:from>
      <xdr:col>15</xdr:col>
      <xdr:colOff>58807</xdr:colOff>
      <xdr:row>3</xdr:row>
      <xdr:rowOff>66675</xdr:rowOff>
    </xdr:from>
    <xdr:to>
      <xdr:col>19</xdr:col>
      <xdr:colOff>212635</xdr:colOff>
      <xdr:row>3</xdr:row>
      <xdr:rowOff>316337</xdr:rowOff>
    </xdr:to>
    <xdr:sp macro="" textlink="">
      <xdr:nvSpPr>
        <xdr:cNvPr id="12" name="Retângulo: Cantos Arredondados 11">
          <a:hlinkClick xmlns:r="http://schemas.openxmlformats.org/officeDocument/2006/relationships" r:id="rId7" tooltip="SIMULAÇÃO 04"/>
          <a:extLst>
            <a:ext uri="{FF2B5EF4-FFF2-40B4-BE49-F238E27FC236}">
              <a16:creationId xmlns:a16="http://schemas.microsoft.com/office/drawing/2014/main" id="{F055CB4F-54C9-4543-863B-3257959FC976}"/>
            </a:ext>
          </a:extLst>
        </xdr:cNvPr>
        <xdr:cNvSpPr>
          <a:spLocks/>
        </xdr:cNvSpPr>
      </xdr:nvSpPr>
      <xdr:spPr>
        <a:xfrm>
          <a:off x="424980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04</a:t>
          </a:r>
        </a:p>
      </xdr:txBody>
    </xdr:sp>
    <xdr:clientData/>
  </xdr:twoCellAnchor>
  <xdr:twoCellAnchor editAs="absolute">
    <xdr:from>
      <xdr:col>44</xdr:col>
      <xdr:colOff>142875</xdr:colOff>
      <xdr:row>3</xdr:row>
      <xdr:rowOff>66675</xdr:rowOff>
    </xdr:from>
    <xdr:to>
      <xdr:col>49</xdr:col>
      <xdr:colOff>5350</xdr:colOff>
      <xdr:row>3</xdr:row>
      <xdr:rowOff>316337</xdr:rowOff>
    </xdr:to>
    <xdr:sp macro="" textlink="">
      <xdr:nvSpPr>
        <xdr:cNvPr id="13" name="Retângulo: Cantos Arredondados 12">
          <a:hlinkClick xmlns:r="http://schemas.openxmlformats.org/officeDocument/2006/relationships" r:id="rId8" tooltip="ANÁLISE COMPARATIVA"/>
          <a:extLst>
            <a:ext uri="{FF2B5EF4-FFF2-40B4-BE49-F238E27FC236}">
              <a16:creationId xmlns:a16="http://schemas.microsoft.com/office/drawing/2014/main" id="{8EA26D80-62DA-4BC7-8CAD-0424B06719BD}"/>
            </a:ext>
          </a:extLst>
        </xdr:cNvPr>
        <xdr:cNvSpPr>
          <a:spLocks/>
        </xdr:cNvSpPr>
      </xdr:nvSpPr>
      <xdr:spPr>
        <a:xfrm>
          <a:off x="12620625" y="638175"/>
          <a:ext cx="1291225"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COMPARATIVO</a:t>
          </a:r>
        </a:p>
      </xdr:txBody>
    </xdr:sp>
    <xdr:clientData/>
  </xdr:twoCellAnchor>
  <xdr:twoCellAnchor>
    <xdr:from>
      <xdr:col>1</xdr:col>
      <xdr:colOff>0</xdr:colOff>
      <xdr:row>215</xdr:row>
      <xdr:rowOff>0</xdr:rowOff>
    </xdr:from>
    <xdr:to>
      <xdr:col>49</xdr:col>
      <xdr:colOff>1</xdr:colOff>
      <xdr:row>250</xdr:row>
      <xdr:rowOff>57151</xdr:rowOff>
    </xdr:to>
    <mc:AlternateContent xmlns:mc="http://schemas.openxmlformats.org/markup-compatibility/2006">
      <mc:Choice xmlns:cx4="http://schemas.microsoft.com/office/drawing/2016/5/10/chartex" Requires="cx4">
        <xdr:graphicFrame macro="">
          <xdr:nvGraphicFramePr>
            <xdr:cNvPr id="2" name="Gráfico 1">
              <a:extLst>
                <a:ext uri="{FF2B5EF4-FFF2-40B4-BE49-F238E27FC236}">
                  <a16:creationId xmlns:a16="http://schemas.microsoft.com/office/drawing/2014/main" id="{ED5F6E7F-8FE1-40A6-BAE8-37EE44DB11C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500" y="55292625"/>
              <a:ext cx="13716001" cy="6867526"/>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76061</xdr:rowOff>
    </xdr:from>
    <xdr:to>
      <xdr:col>2</xdr:col>
      <xdr:colOff>47625</xdr:colOff>
      <xdr:row>2</xdr:row>
      <xdr:rowOff>123898</xdr:rowOff>
    </xdr:to>
    <xdr:pic>
      <xdr:nvPicPr>
        <xdr:cNvPr id="6" name="Imagem 5">
          <a:extLst>
            <a:ext uri="{FF2B5EF4-FFF2-40B4-BE49-F238E27FC236}">
              <a16:creationId xmlns:a16="http://schemas.microsoft.com/office/drawing/2014/main" id="{898BC181-2F05-4ABB-9649-E81D870C5D80}"/>
            </a:ext>
          </a:extLst>
        </xdr:cNvPr>
        <xdr:cNvPicPr>
          <a:picLocks noChangeAspect="1"/>
        </xdr:cNvPicPr>
      </xdr:nvPicPr>
      <xdr:blipFill>
        <a:blip xmlns:r="http://schemas.openxmlformats.org/officeDocument/2006/relationships" r:embed="rId1" cstate="print">
          <a:biLevel thresh="25000"/>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0025" y="76061"/>
          <a:ext cx="323850" cy="428837"/>
        </a:xfrm>
        <a:prstGeom prst="rect">
          <a:avLst/>
        </a:prstGeom>
      </xdr:spPr>
    </xdr:pic>
    <xdr:clientData/>
  </xdr:twoCellAnchor>
  <xdr:twoCellAnchor editAs="absolute">
    <xdr:from>
      <xdr:col>2</xdr:col>
      <xdr:colOff>152399</xdr:colOff>
      <xdr:row>0</xdr:row>
      <xdr:rowOff>0</xdr:rowOff>
    </xdr:from>
    <xdr:to>
      <xdr:col>25</xdr:col>
      <xdr:colOff>257175</xdr:colOff>
      <xdr:row>3</xdr:row>
      <xdr:rowOff>900</xdr:rowOff>
    </xdr:to>
    <xdr:sp macro="" textlink="">
      <xdr:nvSpPr>
        <xdr:cNvPr id="7" name="Retângulo 6">
          <a:extLst>
            <a:ext uri="{FF2B5EF4-FFF2-40B4-BE49-F238E27FC236}">
              <a16:creationId xmlns:a16="http://schemas.microsoft.com/office/drawing/2014/main" id="{4E15D9D8-8738-46D6-A254-91C93F55F703}"/>
            </a:ext>
          </a:extLst>
        </xdr:cNvPr>
        <xdr:cNvSpPr>
          <a:spLocks/>
        </xdr:cNvSpPr>
      </xdr:nvSpPr>
      <xdr:spPr>
        <a:xfrm>
          <a:off x="628649" y="0"/>
          <a:ext cx="6677026" cy="57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0" rIns="180000" bIns="0" rtlCol="0" anchor="ctr"/>
        <a:lstStyle/>
        <a:p>
          <a:pPr marL="0" lvl="0" indent="0" algn="l"/>
          <a:r>
            <a:rPr lang="pt-BR" sz="1600" b="1">
              <a:solidFill>
                <a:schemeClr val="accent1">
                  <a:lumMod val="40000"/>
                  <a:lumOff val="60000"/>
                </a:schemeClr>
              </a:solidFill>
              <a:latin typeface="Aptos" panose="020B0004020202020204" pitchFamily="34" charset="0"/>
              <a:ea typeface="+mn-ea"/>
              <a:cs typeface="+mn-cs"/>
            </a:rPr>
            <a:t>PLANILHA</a:t>
          </a:r>
          <a:r>
            <a:rPr lang="pt-BR" sz="1600" b="1" baseline="0">
              <a:solidFill>
                <a:schemeClr val="accent1">
                  <a:lumMod val="40000"/>
                  <a:lumOff val="60000"/>
                </a:schemeClr>
              </a:solidFill>
              <a:latin typeface="Aptos" panose="020B0004020202020204" pitchFamily="34" charset="0"/>
              <a:ea typeface="+mn-ea"/>
              <a:cs typeface="+mn-cs"/>
            </a:rPr>
            <a:t> DE </a:t>
          </a:r>
          <a:r>
            <a:rPr lang="pt-BR" sz="1600" b="1">
              <a:solidFill>
                <a:schemeClr val="accent1">
                  <a:lumMod val="40000"/>
                  <a:lumOff val="60000"/>
                </a:schemeClr>
              </a:solidFill>
              <a:latin typeface="Aptos" panose="020B0004020202020204" pitchFamily="34" charset="0"/>
              <a:ea typeface="+mn-ea"/>
              <a:cs typeface="+mn-cs"/>
            </a:rPr>
            <a:t>ANÁLISE DE VIABILIDADE FINANCEIRA</a:t>
          </a:r>
        </a:p>
      </xdr:txBody>
    </xdr:sp>
    <xdr:clientData/>
  </xdr:twoCellAnchor>
  <xdr:twoCellAnchor editAs="oneCell">
    <xdr:from>
      <xdr:col>43</xdr:col>
      <xdr:colOff>28575</xdr:colOff>
      <xdr:row>0</xdr:row>
      <xdr:rowOff>38100</xdr:rowOff>
    </xdr:from>
    <xdr:to>
      <xdr:col>49</xdr:col>
      <xdr:colOff>0</xdr:colOff>
      <xdr:row>2</xdr:row>
      <xdr:rowOff>161925</xdr:rowOff>
    </xdr:to>
    <xdr:pic>
      <xdr:nvPicPr>
        <xdr:cNvPr id="8" name="Imagem 7">
          <a:extLst>
            <a:ext uri="{FF2B5EF4-FFF2-40B4-BE49-F238E27FC236}">
              <a16:creationId xmlns:a16="http://schemas.microsoft.com/office/drawing/2014/main" id="{A3B4A422-5CCD-4A06-9EEB-F05837ABC894}"/>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19773" b="5368"/>
        <a:stretch/>
      </xdr:blipFill>
      <xdr:spPr bwMode="auto">
        <a:xfrm>
          <a:off x="12220575" y="38100"/>
          <a:ext cx="16859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10</xdr:col>
      <xdr:colOff>135007</xdr:colOff>
      <xdr:row>3</xdr:row>
      <xdr:rowOff>66675</xdr:rowOff>
    </xdr:from>
    <xdr:to>
      <xdr:col>15</xdr:col>
      <xdr:colOff>3085</xdr:colOff>
      <xdr:row>3</xdr:row>
      <xdr:rowOff>316337</xdr:rowOff>
    </xdr:to>
    <xdr:sp macro="" textlink="">
      <xdr:nvSpPr>
        <xdr:cNvPr id="9" name="Retângulo: Cantos Arredondados 8">
          <a:hlinkClick xmlns:r="http://schemas.openxmlformats.org/officeDocument/2006/relationships" r:id="rId4" tooltip="SIMULAÇÃO 03"/>
          <a:extLst>
            <a:ext uri="{FF2B5EF4-FFF2-40B4-BE49-F238E27FC236}">
              <a16:creationId xmlns:a16="http://schemas.microsoft.com/office/drawing/2014/main" id="{13472749-5567-4874-8B58-4447F40023E0}"/>
            </a:ext>
          </a:extLst>
        </xdr:cNvPr>
        <xdr:cNvSpPr>
          <a:spLocks/>
        </xdr:cNvSpPr>
      </xdr:nvSpPr>
      <xdr:spPr>
        <a:xfrm>
          <a:off x="289725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03</a:t>
          </a:r>
        </a:p>
      </xdr:txBody>
    </xdr:sp>
    <xdr:clientData/>
  </xdr:twoCellAnchor>
  <xdr:twoCellAnchor editAs="absolute">
    <xdr:from>
      <xdr:col>5</xdr:col>
      <xdr:colOff>210378</xdr:colOff>
      <xdr:row>3</xdr:row>
      <xdr:rowOff>66675</xdr:rowOff>
    </xdr:from>
    <xdr:to>
      <xdr:col>10</xdr:col>
      <xdr:colOff>78457</xdr:colOff>
      <xdr:row>3</xdr:row>
      <xdr:rowOff>316337</xdr:rowOff>
    </xdr:to>
    <xdr:sp macro="" textlink="">
      <xdr:nvSpPr>
        <xdr:cNvPr id="10" name="Retângulo: Cantos Arredondados 9">
          <a:hlinkClick xmlns:r="http://schemas.openxmlformats.org/officeDocument/2006/relationships" r:id="rId5" tooltip="SIMULAÇÃO 02"/>
          <a:extLst>
            <a:ext uri="{FF2B5EF4-FFF2-40B4-BE49-F238E27FC236}">
              <a16:creationId xmlns:a16="http://schemas.microsoft.com/office/drawing/2014/main" id="{3035FF1A-95E7-45BE-8779-006A67609DDA}"/>
            </a:ext>
          </a:extLst>
        </xdr:cNvPr>
        <xdr:cNvSpPr>
          <a:spLocks/>
        </xdr:cNvSpPr>
      </xdr:nvSpPr>
      <xdr:spPr>
        <a:xfrm>
          <a:off x="1543878" y="638175"/>
          <a:ext cx="1296829"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02</a:t>
          </a:r>
        </a:p>
      </xdr:txBody>
    </xdr:sp>
    <xdr:clientData/>
  </xdr:twoCellAnchor>
  <xdr:twoCellAnchor editAs="absolute">
    <xdr:from>
      <xdr:col>1</xdr:col>
      <xdr:colOff>0</xdr:colOff>
      <xdr:row>3</xdr:row>
      <xdr:rowOff>66675</xdr:rowOff>
    </xdr:from>
    <xdr:to>
      <xdr:col>5</xdr:col>
      <xdr:colOff>153828</xdr:colOff>
      <xdr:row>3</xdr:row>
      <xdr:rowOff>316337</xdr:rowOff>
    </xdr:to>
    <xdr:sp macro="" textlink="">
      <xdr:nvSpPr>
        <xdr:cNvPr id="11" name="Retângulo: Cantos Arredondados 10">
          <a:hlinkClick xmlns:r="http://schemas.openxmlformats.org/officeDocument/2006/relationships" r:id="rId6" tooltip="SIMULAÇÃO 01"/>
          <a:extLst>
            <a:ext uri="{FF2B5EF4-FFF2-40B4-BE49-F238E27FC236}">
              <a16:creationId xmlns:a16="http://schemas.microsoft.com/office/drawing/2014/main" id="{4CEC64F1-AA13-4790-9916-AF436C3252FF}"/>
            </a:ext>
          </a:extLst>
        </xdr:cNvPr>
        <xdr:cNvSpPr>
          <a:spLocks/>
        </xdr:cNvSpPr>
      </xdr:nvSpPr>
      <xdr:spPr>
        <a:xfrm>
          <a:off x="190500"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01</a:t>
          </a:r>
        </a:p>
      </xdr:txBody>
    </xdr:sp>
    <xdr:clientData/>
  </xdr:twoCellAnchor>
  <xdr:twoCellAnchor editAs="absolute">
    <xdr:from>
      <xdr:col>15</xdr:col>
      <xdr:colOff>58807</xdr:colOff>
      <xdr:row>3</xdr:row>
      <xdr:rowOff>66675</xdr:rowOff>
    </xdr:from>
    <xdr:to>
      <xdr:col>19</xdr:col>
      <xdr:colOff>212635</xdr:colOff>
      <xdr:row>3</xdr:row>
      <xdr:rowOff>316337</xdr:rowOff>
    </xdr:to>
    <xdr:sp macro="" textlink="">
      <xdr:nvSpPr>
        <xdr:cNvPr id="12" name="Retângulo: Cantos Arredondados 11">
          <a:hlinkClick xmlns:r="http://schemas.openxmlformats.org/officeDocument/2006/relationships" r:id="rId7" tooltip="SIMULAÇÃO 04"/>
          <a:extLst>
            <a:ext uri="{FF2B5EF4-FFF2-40B4-BE49-F238E27FC236}">
              <a16:creationId xmlns:a16="http://schemas.microsoft.com/office/drawing/2014/main" id="{5F93A55B-99AA-44DF-8F10-5094526D6CBA}"/>
            </a:ext>
          </a:extLst>
        </xdr:cNvPr>
        <xdr:cNvSpPr>
          <a:spLocks/>
        </xdr:cNvSpPr>
      </xdr:nvSpPr>
      <xdr:spPr>
        <a:xfrm>
          <a:off x="4249807" y="638175"/>
          <a:ext cx="1296828" cy="249662"/>
        </a:xfrm>
        <a:prstGeom prst="roundRect">
          <a:avLst/>
        </a:prstGeom>
        <a:gradFill flip="none" rotWithShape="1">
          <a:gsLst>
            <a:gs pos="500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100" b="1">
              <a:solidFill>
                <a:srgbClr val="0E1C1E"/>
              </a:solidFill>
              <a:latin typeface="Aptos" panose="020B0004020202020204" pitchFamily="34" charset="0"/>
              <a:ea typeface="+mn-ea"/>
              <a:cs typeface="+mn-cs"/>
            </a:rPr>
            <a:t>SIMULAÇÃO 04</a:t>
          </a:r>
        </a:p>
      </xdr:txBody>
    </xdr:sp>
    <xdr:clientData/>
  </xdr:twoCellAnchor>
  <xdr:twoCellAnchor editAs="absolute">
    <xdr:from>
      <xdr:col>44</xdr:col>
      <xdr:colOff>142875</xdr:colOff>
      <xdr:row>3</xdr:row>
      <xdr:rowOff>66675</xdr:rowOff>
    </xdr:from>
    <xdr:to>
      <xdr:col>49</xdr:col>
      <xdr:colOff>5350</xdr:colOff>
      <xdr:row>3</xdr:row>
      <xdr:rowOff>316337</xdr:rowOff>
    </xdr:to>
    <xdr:sp macro="" textlink="">
      <xdr:nvSpPr>
        <xdr:cNvPr id="15" name="Retângulo: Cantos Arredondados 14">
          <a:hlinkClick xmlns:r="http://schemas.openxmlformats.org/officeDocument/2006/relationships" r:id="rId8" tooltip="ANÁLISE COMPARATIVA"/>
          <a:extLst>
            <a:ext uri="{FF2B5EF4-FFF2-40B4-BE49-F238E27FC236}">
              <a16:creationId xmlns:a16="http://schemas.microsoft.com/office/drawing/2014/main" id="{72E549A4-F0A2-48AF-9D76-FD42F6B03C9D}"/>
            </a:ext>
          </a:extLst>
        </xdr:cNvPr>
        <xdr:cNvSpPr>
          <a:spLocks/>
        </xdr:cNvSpPr>
      </xdr:nvSpPr>
      <xdr:spPr>
        <a:xfrm>
          <a:off x="12620625" y="638175"/>
          <a:ext cx="1291225"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COMPARATIVO</a:t>
          </a:r>
        </a:p>
      </xdr:txBody>
    </xdr:sp>
    <xdr:clientData/>
  </xdr:twoCellAnchor>
  <xdr:twoCellAnchor>
    <xdr:from>
      <xdr:col>1</xdr:col>
      <xdr:colOff>0</xdr:colOff>
      <xdr:row>215</xdr:row>
      <xdr:rowOff>0</xdr:rowOff>
    </xdr:from>
    <xdr:to>
      <xdr:col>49</xdr:col>
      <xdr:colOff>1</xdr:colOff>
      <xdr:row>250</xdr:row>
      <xdr:rowOff>57151</xdr:rowOff>
    </xdr:to>
    <mc:AlternateContent xmlns:mc="http://schemas.openxmlformats.org/markup-compatibility/2006">
      <mc:Choice xmlns:cx4="http://schemas.microsoft.com/office/drawing/2016/5/10/chartex" Requires="cx4">
        <xdr:graphicFrame macro="">
          <xdr:nvGraphicFramePr>
            <xdr:cNvPr id="2" name="Gráfico 1">
              <a:extLst>
                <a:ext uri="{FF2B5EF4-FFF2-40B4-BE49-F238E27FC236}">
                  <a16:creationId xmlns:a16="http://schemas.microsoft.com/office/drawing/2014/main" id="{E46AE5F6-E900-47AD-8C6F-9B48E77D0E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500" y="55292625"/>
              <a:ext cx="13716001" cy="6867526"/>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10</xdr:col>
      <xdr:colOff>135007</xdr:colOff>
      <xdr:row>3</xdr:row>
      <xdr:rowOff>66675</xdr:rowOff>
    </xdr:from>
    <xdr:to>
      <xdr:col>15</xdr:col>
      <xdr:colOff>3085</xdr:colOff>
      <xdr:row>3</xdr:row>
      <xdr:rowOff>316337</xdr:rowOff>
    </xdr:to>
    <xdr:sp macro="" textlink="">
      <xdr:nvSpPr>
        <xdr:cNvPr id="2" name="Retângulo: Cantos Arredondados 1">
          <a:hlinkClick xmlns:r="http://schemas.openxmlformats.org/officeDocument/2006/relationships" r:id="rId1" tooltip="SIMULAÇÃO 03"/>
          <a:extLst>
            <a:ext uri="{FF2B5EF4-FFF2-40B4-BE49-F238E27FC236}">
              <a16:creationId xmlns:a16="http://schemas.microsoft.com/office/drawing/2014/main" id="{A8C7541A-9A85-49D8-A093-8C504C78401B}"/>
            </a:ext>
          </a:extLst>
        </xdr:cNvPr>
        <xdr:cNvSpPr>
          <a:spLocks/>
        </xdr:cNvSpPr>
      </xdr:nvSpPr>
      <xdr:spPr>
        <a:xfrm>
          <a:off x="289725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03</a:t>
          </a:r>
        </a:p>
      </xdr:txBody>
    </xdr:sp>
    <xdr:clientData/>
  </xdr:twoCellAnchor>
  <xdr:twoCellAnchor editAs="absolute">
    <xdr:from>
      <xdr:col>5</xdr:col>
      <xdr:colOff>210378</xdr:colOff>
      <xdr:row>3</xdr:row>
      <xdr:rowOff>66675</xdr:rowOff>
    </xdr:from>
    <xdr:to>
      <xdr:col>10</xdr:col>
      <xdr:colOff>78457</xdr:colOff>
      <xdr:row>3</xdr:row>
      <xdr:rowOff>316337</xdr:rowOff>
    </xdr:to>
    <xdr:sp macro="" textlink="">
      <xdr:nvSpPr>
        <xdr:cNvPr id="3" name="Retângulo: Cantos Arredondados 2">
          <a:hlinkClick xmlns:r="http://schemas.openxmlformats.org/officeDocument/2006/relationships" r:id="rId2" tooltip="SIMULAÇÃO 02"/>
          <a:extLst>
            <a:ext uri="{FF2B5EF4-FFF2-40B4-BE49-F238E27FC236}">
              <a16:creationId xmlns:a16="http://schemas.microsoft.com/office/drawing/2014/main" id="{D20BFCFF-059C-4B1A-B313-1A2559CF0F93}"/>
            </a:ext>
          </a:extLst>
        </xdr:cNvPr>
        <xdr:cNvSpPr>
          <a:spLocks/>
        </xdr:cNvSpPr>
      </xdr:nvSpPr>
      <xdr:spPr>
        <a:xfrm>
          <a:off x="1543878" y="638175"/>
          <a:ext cx="1296829"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02</a:t>
          </a:r>
        </a:p>
      </xdr:txBody>
    </xdr:sp>
    <xdr:clientData/>
  </xdr:twoCellAnchor>
  <xdr:twoCellAnchor editAs="absolute">
    <xdr:from>
      <xdr:col>1</xdr:col>
      <xdr:colOff>0</xdr:colOff>
      <xdr:row>3</xdr:row>
      <xdr:rowOff>66675</xdr:rowOff>
    </xdr:from>
    <xdr:to>
      <xdr:col>5</xdr:col>
      <xdr:colOff>153828</xdr:colOff>
      <xdr:row>3</xdr:row>
      <xdr:rowOff>316337</xdr:rowOff>
    </xdr:to>
    <xdr:sp macro="" textlink="">
      <xdr:nvSpPr>
        <xdr:cNvPr id="4" name="Retângulo: Cantos Arredondados 3">
          <a:hlinkClick xmlns:r="http://schemas.openxmlformats.org/officeDocument/2006/relationships" r:id="rId3" tooltip="SIMULAÇÃO 01"/>
          <a:extLst>
            <a:ext uri="{FF2B5EF4-FFF2-40B4-BE49-F238E27FC236}">
              <a16:creationId xmlns:a16="http://schemas.microsoft.com/office/drawing/2014/main" id="{230EF7CB-E908-4D1D-A596-F50261BCEBA5}"/>
            </a:ext>
          </a:extLst>
        </xdr:cNvPr>
        <xdr:cNvSpPr>
          <a:spLocks/>
        </xdr:cNvSpPr>
      </xdr:nvSpPr>
      <xdr:spPr>
        <a:xfrm>
          <a:off x="190500"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01</a:t>
          </a:r>
        </a:p>
      </xdr:txBody>
    </xdr:sp>
    <xdr:clientData/>
  </xdr:twoCellAnchor>
  <xdr:twoCellAnchor editAs="absolute">
    <xdr:from>
      <xdr:col>15</xdr:col>
      <xdr:colOff>58807</xdr:colOff>
      <xdr:row>3</xdr:row>
      <xdr:rowOff>66675</xdr:rowOff>
    </xdr:from>
    <xdr:to>
      <xdr:col>19</xdr:col>
      <xdr:colOff>212635</xdr:colOff>
      <xdr:row>3</xdr:row>
      <xdr:rowOff>316337</xdr:rowOff>
    </xdr:to>
    <xdr:sp macro="" textlink="">
      <xdr:nvSpPr>
        <xdr:cNvPr id="5" name="Retângulo: Cantos Arredondados 4">
          <a:hlinkClick xmlns:r="http://schemas.openxmlformats.org/officeDocument/2006/relationships" r:id="rId4" tooltip="SIMULAÇÃO 04"/>
          <a:extLst>
            <a:ext uri="{FF2B5EF4-FFF2-40B4-BE49-F238E27FC236}">
              <a16:creationId xmlns:a16="http://schemas.microsoft.com/office/drawing/2014/main" id="{E59CFF66-598B-4639-BF85-0CFCD43BFFF1}"/>
            </a:ext>
          </a:extLst>
        </xdr:cNvPr>
        <xdr:cNvSpPr>
          <a:spLocks/>
        </xdr:cNvSpPr>
      </xdr:nvSpPr>
      <xdr:spPr>
        <a:xfrm>
          <a:off x="4249807" y="638175"/>
          <a:ext cx="1296828" cy="249662"/>
        </a:xfrm>
        <a:prstGeom prst="roundRect">
          <a:avLst/>
        </a:prstGeom>
        <a:gradFill flip="none" rotWithShape="1">
          <a:gsLst>
            <a:gs pos="0">
              <a:schemeClr val="tx1">
                <a:lumMod val="95000"/>
                <a:lumOff val="5000"/>
              </a:schemeClr>
            </a:gs>
            <a:gs pos="44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100" b="1">
              <a:solidFill>
                <a:schemeClr val="bg1">
                  <a:lumMod val="95000"/>
                </a:schemeClr>
              </a:solidFill>
              <a:latin typeface="Aptos" panose="020B0004020202020204" pitchFamily="34" charset="0"/>
              <a:ea typeface="+mn-ea"/>
              <a:cs typeface="+mn-cs"/>
            </a:rPr>
            <a:t>SIMULAÇÃO 04</a:t>
          </a:r>
        </a:p>
      </xdr:txBody>
    </xdr:sp>
    <xdr:clientData/>
  </xdr:twoCellAnchor>
  <xdr:twoCellAnchor editAs="oneCell">
    <xdr:from>
      <xdr:col>1</xdr:col>
      <xdr:colOff>9525</xdr:colOff>
      <xdr:row>0</xdr:row>
      <xdr:rowOff>76061</xdr:rowOff>
    </xdr:from>
    <xdr:to>
      <xdr:col>2</xdr:col>
      <xdr:colOff>47625</xdr:colOff>
      <xdr:row>2</xdr:row>
      <xdr:rowOff>123898</xdr:rowOff>
    </xdr:to>
    <xdr:pic>
      <xdr:nvPicPr>
        <xdr:cNvPr id="6" name="Imagem 5">
          <a:extLst>
            <a:ext uri="{FF2B5EF4-FFF2-40B4-BE49-F238E27FC236}">
              <a16:creationId xmlns:a16="http://schemas.microsoft.com/office/drawing/2014/main" id="{5E7472F7-AF82-4CB2-BB08-71F119830BDE}"/>
            </a:ext>
          </a:extLst>
        </xdr:cNvPr>
        <xdr:cNvPicPr>
          <a:picLocks noChangeAspect="1"/>
        </xdr:cNvPicPr>
      </xdr:nvPicPr>
      <xdr:blipFill>
        <a:blip xmlns:r="http://schemas.openxmlformats.org/officeDocument/2006/relationships" r:embed="rId5" cstate="print">
          <a:biLevel thresh="25000"/>
          <a:extLst>
            <a:ext uri="{BEBA8EAE-BF5A-486C-A8C5-ECC9F3942E4B}">
              <a14:imgProps xmlns:a14="http://schemas.microsoft.com/office/drawing/2010/main">
                <a14:imgLayer r:embed="rId6">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200025" y="76061"/>
          <a:ext cx="323850" cy="428837"/>
        </a:xfrm>
        <a:prstGeom prst="rect">
          <a:avLst/>
        </a:prstGeom>
      </xdr:spPr>
    </xdr:pic>
    <xdr:clientData/>
  </xdr:twoCellAnchor>
  <xdr:twoCellAnchor editAs="absolute">
    <xdr:from>
      <xdr:col>2</xdr:col>
      <xdr:colOff>152399</xdr:colOff>
      <xdr:row>0</xdr:row>
      <xdr:rowOff>0</xdr:rowOff>
    </xdr:from>
    <xdr:to>
      <xdr:col>25</xdr:col>
      <xdr:colOff>257175</xdr:colOff>
      <xdr:row>3</xdr:row>
      <xdr:rowOff>900</xdr:rowOff>
    </xdr:to>
    <xdr:sp macro="" textlink="">
      <xdr:nvSpPr>
        <xdr:cNvPr id="7" name="Retângulo 6">
          <a:extLst>
            <a:ext uri="{FF2B5EF4-FFF2-40B4-BE49-F238E27FC236}">
              <a16:creationId xmlns:a16="http://schemas.microsoft.com/office/drawing/2014/main" id="{B94CBCC8-40CB-4BF0-A285-AC05DEDFB44A}"/>
            </a:ext>
          </a:extLst>
        </xdr:cNvPr>
        <xdr:cNvSpPr>
          <a:spLocks/>
        </xdr:cNvSpPr>
      </xdr:nvSpPr>
      <xdr:spPr>
        <a:xfrm>
          <a:off x="628649" y="0"/>
          <a:ext cx="6677026" cy="5724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0" rIns="180000" bIns="0" rtlCol="0" anchor="ctr"/>
        <a:lstStyle/>
        <a:p>
          <a:pPr marL="0" lvl="0" indent="0" algn="l"/>
          <a:r>
            <a:rPr lang="pt-BR" sz="1600" b="1">
              <a:solidFill>
                <a:schemeClr val="accent1">
                  <a:lumMod val="40000"/>
                  <a:lumOff val="60000"/>
                </a:schemeClr>
              </a:solidFill>
              <a:latin typeface="Aptos" panose="020B0004020202020204" pitchFamily="34" charset="0"/>
              <a:ea typeface="+mn-ea"/>
              <a:cs typeface="+mn-cs"/>
            </a:rPr>
            <a:t>PLANILHA</a:t>
          </a:r>
          <a:r>
            <a:rPr lang="pt-BR" sz="1600" b="1" baseline="0">
              <a:solidFill>
                <a:schemeClr val="accent1">
                  <a:lumMod val="40000"/>
                  <a:lumOff val="60000"/>
                </a:schemeClr>
              </a:solidFill>
              <a:latin typeface="Aptos" panose="020B0004020202020204" pitchFamily="34" charset="0"/>
              <a:ea typeface="+mn-ea"/>
              <a:cs typeface="+mn-cs"/>
            </a:rPr>
            <a:t> DE </a:t>
          </a:r>
          <a:r>
            <a:rPr lang="pt-BR" sz="1600" b="1">
              <a:solidFill>
                <a:schemeClr val="accent1">
                  <a:lumMod val="40000"/>
                  <a:lumOff val="60000"/>
                </a:schemeClr>
              </a:solidFill>
              <a:latin typeface="Aptos" panose="020B0004020202020204" pitchFamily="34" charset="0"/>
              <a:ea typeface="+mn-ea"/>
              <a:cs typeface="+mn-cs"/>
            </a:rPr>
            <a:t>ANÁLISE DE VIABILIDADE FINANCEIRA</a:t>
          </a:r>
        </a:p>
      </xdr:txBody>
    </xdr:sp>
    <xdr:clientData/>
  </xdr:twoCellAnchor>
  <xdr:twoCellAnchor editAs="oneCell">
    <xdr:from>
      <xdr:col>43</xdr:col>
      <xdr:colOff>28575</xdr:colOff>
      <xdr:row>0</xdr:row>
      <xdr:rowOff>38100</xdr:rowOff>
    </xdr:from>
    <xdr:to>
      <xdr:col>48</xdr:col>
      <xdr:colOff>284884</xdr:colOff>
      <xdr:row>2</xdr:row>
      <xdr:rowOff>161925</xdr:rowOff>
    </xdr:to>
    <xdr:pic>
      <xdr:nvPicPr>
        <xdr:cNvPr id="8" name="Imagem 7">
          <a:extLst>
            <a:ext uri="{FF2B5EF4-FFF2-40B4-BE49-F238E27FC236}">
              <a16:creationId xmlns:a16="http://schemas.microsoft.com/office/drawing/2014/main" id="{21E21390-BD88-420C-9D2A-208724061239}"/>
            </a:ext>
          </a:extLst>
        </xdr:cNvPr>
        <xdr:cNvPicPr>
          <a:picLocks noChangeAspect="1" noChangeArrowheads="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19773" b="5368"/>
        <a:stretch/>
      </xdr:blipFill>
      <xdr:spPr bwMode="auto">
        <a:xfrm>
          <a:off x="12220575" y="38100"/>
          <a:ext cx="1685925"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44</xdr:col>
      <xdr:colOff>147895</xdr:colOff>
      <xdr:row>3</xdr:row>
      <xdr:rowOff>66675</xdr:rowOff>
    </xdr:from>
    <xdr:to>
      <xdr:col>49</xdr:col>
      <xdr:colOff>10370</xdr:colOff>
      <xdr:row>3</xdr:row>
      <xdr:rowOff>316337</xdr:rowOff>
    </xdr:to>
    <xdr:sp macro="" textlink="">
      <xdr:nvSpPr>
        <xdr:cNvPr id="9" name="Retângulo: Cantos Arredondados 8">
          <a:hlinkClick xmlns:r="http://schemas.openxmlformats.org/officeDocument/2006/relationships" r:id="rId8" tooltip="ANÁLISE COMPARATIVA"/>
          <a:extLst>
            <a:ext uri="{FF2B5EF4-FFF2-40B4-BE49-F238E27FC236}">
              <a16:creationId xmlns:a16="http://schemas.microsoft.com/office/drawing/2014/main" id="{E11BCD88-B2CE-4CA9-A506-7F107FF58827}"/>
            </a:ext>
          </a:extLst>
        </xdr:cNvPr>
        <xdr:cNvSpPr>
          <a:spLocks/>
        </xdr:cNvSpPr>
      </xdr:nvSpPr>
      <xdr:spPr>
        <a:xfrm>
          <a:off x="12625645" y="638175"/>
          <a:ext cx="1291225" cy="249662"/>
        </a:xfrm>
        <a:prstGeom prst="roundRect">
          <a:avLst/>
        </a:prstGeom>
        <a:gradFill flip="none" rotWithShape="1">
          <a:gsLst>
            <a:gs pos="500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pt-BR" sz="1100" b="1">
              <a:solidFill>
                <a:srgbClr val="0E1C1E"/>
              </a:solidFill>
              <a:latin typeface="Aptos" panose="020B0004020202020204" pitchFamily="34" charset="0"/>
              <a:ea typeface="+mn-ea"/>
              <a:cs typeface="+mn-cs"/>
            </a:rPr>
            <a:t>COMPARATIVO</a:t>
          </a:r>
        </a:p>
      </xdr:txBody>
    </xdr:sp>
    <xdr:clientData/>
  </xdr:twoCellAnchor>
  <xdr:twoCellAnchor>
    <xdr:from>
      <xdr:col>1</xdr:col>
      <xdr:colOff>0</xdr:colOff>
      <xdr:row>46</xdr:row>
      <xdr:rowOff>47624</xdr:rowOff>
    </xdr:from>
    <xdr:to>
      <xdr:col>49</xdr:col>
      <xdr:colOff>1</xdr:colOff>
      <xdr:row>71</xdr:row>
      <xdr:rowOff>9525</xdr:rowOff>
    </xdr:to>
    <mc:AlternateContent xmlns:mc="http://schemas.openxmlformats.org/markup-compatibility/2006">
      <mc:Choice xmlns:cx4="http://schemas.microsoft.com/office/drawing/2016/5/10/chartex" Requires="cx4">
        <xdr:graphicFrame macro="">
          <xdr:nvGraphicFramePr>
            <xdr:cNvPr id="13" name="Gráfico 12">
              <a:extLst>
                <a:ext uri="{FF2B5EF4-FFF2-40B4-BE49-F238E27FC236}">
                  <a16:creationId xmlns:a16="http://schemas.microsoft.com/office/drawing/2014/main" id="{80BAFE54-B73F-48F6-FB2B-21002E0E09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0500" y="12763499"/>
              <a:ext cx="13716001" cy="6867526"/>
            </a:xfrm>
            <a:prstGeom prst="rect">
              <a:avLst/>
            </a:prstGeom>
            <a:solidFill>
              <a:prstClr val="white"/>
            </a:solidFill>
            <a:ln w="1">
              <a:solidFill>
                <a:prstClr val="green"/>
              </a:solidFill>
            </a:ln>
          </xdr:spPr>
          <xdr:txBody>
            <a:bodyPr vertOverflow="clip" horzOverflow="clip"/>
            <a:lstStyle/>
            <a:p>
              <a:r>
                <a:rPr lang="pt-BR"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absolute">
    <xdr:from>
      <xdr:col>10</xdr:col>
      <xdr:colOff>552449</xdr:colOff>
      <xdr:row>0</xdr:row>
      <xdr:rowOff>95250</xdr:rowOff>
    </xdr:from>
    <xdr:to>
      <xdr:col>11</xdr:col>
      <xdr:colOff>41584</xdr:colOff>
      <xdr:row>2</xdr:row>
      <xdr:rowOff>28575</xdr:rowOff>
    </xdr:to>
    <xdr:sp macro="" textlink="">
      <xdr:nvSpPr>
        <xdr:cNvPr id="3" name="Retângulo: Cantos Arredondados 2">
          <a:hlinkClick xmlns:r="http://schemas.openxmlformats.org/officeDocument/2006/relationships" r:id="rId1" tooltip="VOLTAR PARA EQUALIZAÇÃO DE CUSTOS"/>
          <a:extLst>
            <a:ext uri="{FF2B5EF4-FFF2-40B4-BE49-F238E27FC236}">
              <a16:creationId xmlns:a16="http://schemas.microsoft.com/office/drawing/2014/main" id="{C67C5ABA-8E38-4E44-A11C-193D952C6859}"/>
            </a:ext>
          </a:extLst>
        </xdr:cNvPr>
        <xdr:cNvSpPr>
          <a:spLocks/>
        </xdr:cNvSpPr>
      </xdr:nvSpPr>
      <xdr:spPr>
        <a:xfrm>
          <a:off x="9801224" y="95250"/>
          <a:ext cx="632135" cy="219075"/>
        </a:xfrm>
        <a:prstGeom prst="roundRect">
          <a:avLst/>
        </a:prstGeom>
        <a:gradFill flip="none" rotWithShape="1">
          <a:gsLst>
            <a:gs pos="0">
              <a:schemeClr val="tx1">
                <a:lumMod val="95000"/>
                <a:lumOff val="5000"/>
              </a:schemeClr>
            </a:gs>
            <a:gs pos="83000">
              <a:srgbClr val="2D2D2D"/>
            </a:gs>
            <a:gs pos="100000">
              <a:srgbClr val="464646"/>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rIns="0" rtlCol="0" anchor="ctr"/>
        <a:lstStyle/>
        <a:p>
          <a:pPr marL="0" indent="0" algn="ctr"/>
          <a:r>
            <a:rPr lang="pt-BR" sz="1200" b="1">
              <a:solidFill>
                <a:schemeClr val="bg1">
                  <a:lumMod val="95000"/>
                </a:schemeClr>
              </a:solidFill>
              <a:latin typeface="+mn-lt"/>
              <a:ea typeface="+mn-ea"/>
              <a:cs typeface="+mn-cs"/>
            </a:rPr>
            <a:t>VOLTAR</a:t>
          </a:r>
        </a:p>
      </xdr:txBody>
    </xdr:sp>
    <xdr:clientData fPrintsWithSheet="0"/>
  </xdr:twoCellAnchor>
  <xdr:twoCellAnchor editAs="absolute">
    <xdr:from>
      <xdr:col>51</xdr:col>
      <xdr:colOff>0</xdr:colOff>
      <xdr:row>5</xdr:row>
      <xdr:rowOff>209549</xdr:rowOff>
    </xdr:from>
    <xdr:to>
      <xdr:col>76</xdr:col>
      <xdr:colOff>3675</xdr:colOff>
      <xdr:row>27</xdr:row>
      <xdr:rowOff>28575</xdr:rowOff>
    </xdr:to>
    <xdr:graphicFrame macro="">
      <xdr:nvGraphicFramePr>
        <xdr:cNvPr id="4" name="Gráfico 3">
          <a:extLst>
            <a:ext uri="{FF2B5EF4-FFF2-40B4-BE49-F238E27FC236}">
              <a16:creationId xmlns:a16="http://schemas.microsoft.com/office/drawing/2014/main" id="{C6D9D8C0-B544-4F0D-ACE0-FC7AC484E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E57F1B95-32B8-42C5-B4F5-89986A37E9B7}" autoFormatId="16" applyNumberFormats="0" applyBorderFormats="0" applyFontFormats="0" applyPatternFormats="0" applyAlignmentFormats="0" applyWidthHeightFormats="0">
  <queryTableRefresh nextId="38">
    <queryTableFields count="3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C5C01F-C899-427E-B393-AE9793D88D21}" name="ORÇ_1" displayName="ORÇ_1" ref="A1:AK8174" tableType="queryTable" totalsRowShown="0">
  <autoFilter ref="A1:AK8174" xr:uid="{F1C5C01F-C899-427E-B393-AE9793D88D21}"/>
  <tableColumns count="37">
    <tableColumn id="1" xr3:uid="{A498E9BF-D397-4655-86E6-396941DBEE05}" uniqueName="1" name="Column1" queryTableFieldId="1" dataDxfId="33"/>
    <tableColumn id="2" xr3:uid="{DFF16F40-35E8-4D19-9FC4-664415668477}" uniqueName="2" name="Column2" queryTableFieldId="2"/>
    <tableColumn id="3" xr3:uid="{E20D6840-7267-49DD-BD9C-BD59DB1BCDDC}" uniqueName="3" name="Column3" queryTableFieldId="3"/>
    <tableColumn id="4" xr3:uid="{B8619D58-0FFA-4172-B129-AEF9CC5B9EE4}" uniqueName="4" name="Column4" queryTableFieldId="4"/>
    <tableColumn id="5" xr3:uid="{66E4A586-DB41-439C-98B8-9FB8B9BCF0BE}" uniqueName="5" name="Column5" queryTableFieldId="5"/>
    <tableColumn id="6" xr3:uid="{614F6838-9EB7-43B9-A6D6-199F3DFCB3F7}" uniqueName="6" name="Column6" queryTableFieldId="6"/>
    <tableColumn id="7" xr3:uid="{28C97CCE-4F9F-4F92-A5E5-AF04C84F7E64}" uniqueName="7" name="Column7" queryTableFieldId="7"/>
    <tableColumn id="8" xr3:uid="{683CA975-A8F7-42D6-BB06-0898345452F9}" uniqueName="8" name="Column8" queryTableFieldId="8" dataDxfId="32"/>
    <tableColumn id="9" xr3:uid="{25BF9D9E-7D98-43A8-B8E0-96A849FA3BF5}" uniqueName="9" name="Column9" queryTableFieldId="9" dataDxfId="31"/>
    <tableColumn id="10" xr3:uid="{98A74300-DC5A-4926-9743-6B433C1B5438}" uniqueName="10" name="Column10" queryTableFieldId="10" dataDxfId="30"/>
    <tableColumn id="11" xr3:uid="{AA6F3B82-E975-41EF-B10A-62F7EC541143}" uniqueName="11" name="Column11" queryTableFieldId="11" dataDxfId="29"/>
    <tableColumn id="12" xr3:uid="{2E93AE1F-9317-4EE2-8656-C80BD455AB2D}" uniqueName="12" name="Column12" queryTableFieldId="12"/>
    <tableColumn id="13" xr3:uid="{BFE22DB3-B128-4D5A-B7F2-4B4FC6621A6F}" uniqueName="13" name="Column13" queryTableFieldId="13" dataDxfId="28"/>
    <tableColumn id="14" xr3:uid="{7FD34EFF-79ED-42E6-8FEB-B8C61F54A320}" uniqueName="14" name="Column14" queryTableFieldId="14" dataDxfId="27"/>
    <tableColumn id="15" xr3:uid="{2135BCC7-97FB-4B61-9354-4490CF64EAF9}" uniqueName="15" name="Column15" queryTableFieldId="15" dataDxfId="26"/>
    <tableColumn id="16" xr3:uid="{87204D06-664F-4890-B2D4-C630BBE617A1}" uniqueName="16" name="Column16" queryTableFieldId="16" dataDxfId="25"/>
    <tableColumn id="17" xr3:uid="{2294CD5D-64BB-4EA0-AE22-9597F76B2765}" uniqueName="17" name="Column17" queryTableFieldId="17" dataDxfId="24"/>
    <tableColumn id="18" xr3:uid="{EC117B05-7E74-4971-BAB8-3032B21F7CF8}" uniqueName="18" name="Column18" queryTableFieldId="18" dataDxfId="23"/>
    <tableColumn id="19" xr3:uid="{3ADF121C-DF47-411D-9AC2-F0B5D324567C}" uniqueName="19" name="Column19" queryTableFieldId="19" dataDxfId="22"/>
    <tableColumn id="20" xr3:uid="{536E0E2A-F962-4399-B486-A3B8FFB3CDD5}" uniqueName="20" name="Column20" queryTableFieldId="20"/>
    <tableColumn id="21" xr3:uid="{1ED527CD-0EC1-4AE2-B5A4-130082EEC299}" uniqueName="21" name="Column21" queryTableFieldId="21"/>
    <tableColumn id="22" xr3:uid="{600D38BC-D3CC-4432-9B2D-44813EA602CF}" uniqueName="22" name="Column22" queryTableFieldId="22" dataDxfId="21"/>
    <tableColumn id="23" xr3:uid="{86F67901-8604-4FEE-B379-2D8544A70592}" uniqueName="23" name="Column23" queryTableFieldId="23" dataDxfId="20"/>
    <tableColumn id="24" xr3:uid="{C81662A3-54D0-4148-A45A-8D4E3B25E3E0}" uniqueName="24" name="Column24" queryTableFieldId="24" dataDxfId="19"/>
    <tableColumn id="25" xr3:uid="{B0825160-5262-4246-B1C9-391E73151DA7}" uniqueName="25" name="Column25" queryTableFieldId="25" dataDxfId="18"/>
    <tableColumn id="26" xr3:uid="{1A2EE460-FC4D-470E-A0D4-DC316B5325DA}" uniqueName="26" name="Column26" queryTableFieldId="26" dataDxfId="17"/>
    <tableColumn id="27" xr3:uid="{79E9FDCF-775C-4DB5-8C78-DAA25A7ACD07}" uniqueName="27" name="Column27" queryTableFieldId="27" dataDxfId="16"/>
    <tableColumn id="28" xr3:uid="{8564C572-8C3B-497A-B058-DA3EC7A8C322}" uniqueName="28" name="Column28" queryTableFieldId="28" dataDxfId="15"/>
    <tableColumn id="29" xr3:uid="{27EF21E0-0E69-44CF-B25B-00D02DBEF4B9}" uniqueName="29" name="Column29" queryTableFieldId="29" dataDxfId="14"/>
    <tableColumn id="30" xr3:uid="{9F23DF39-94E4-45BF-A930-DE63B3BAE0DF}" uniqueName="30" name="Column30" queryTableFieldId="30" dataDxfId="13"/>
    <tableColumn id="31" xr3:uid="{9942E647-B869-45AB-98E5-4D3DE2269C90}" uniqueName="31" name="Column31" queryTableFieldId="31" dataDxfId="12"/>
    <tableColumn id="32" xr3:uid="{C181153C-A215-4155-8DA5-E59936D829AF}" uniqueName="32" name="Column32" queryTableFieldId="32"/>
    <tableColumn id="33" xr3:uid="{18B9690B-FC49-4AAC-91B1-180CDE065EAE}" uniqueName="33" name="Column33" queryTableFieldId="33" dataDxfId="11"/>
    <tableColumn id="34" xr3:uid="{6DD5A1D9-37E9-4D4B-B080-B97371EF59E5}" uniqueName="34" name="Column34" queryTableFieldId="34"/>
    <tableColumn id="35" xr3:uid="{CA79D2F0-21C7-4B72-877E-1DCA366A7F2C}" uniqueName="35" name="Column35" queryTableFieldId="35" dataDxfId="10"/>
    <tableColumn id="36" xr3:uid="{265048A4-5EE1-447E-B40A-C64D40E56DCF}" uniqueName="36" name="Column36" queryTableFieldId="36" dataDxfId="9"/>
    <tableColumn id="37" xr3:uid="{7F1C7C07-7B10-41AF-8585-BE2EB06696F2}" uniqueName="37" name="Column37" queryTableFieldId="37"/>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3534A-E1C5-4CE9-8AA7-D16BFB00AF2A}">
  <sheetPr codeName="Planilha1"/>
  <dimension ref="A1:AK8174"/>
  <sheetViews>
    <sheetView topLeftCell="M5307" workbookViewId="0"/>
  </sheetViews>
  <sheetFormatPr defaultRowHeight="15" x14ac:dyDescent="0.25"/>
  <cols>
    <col min="1" max="9" width="11.140625" bestFit="1" customWidth="1"/>
    <col min="10" max="12" width="12.140625" bestFit="1" customWidth="1"/>
    <col min="13" max="13" width="34.140625" bestFit="1" customWidth="1"/>
    <col min="14" max="15" width="12.140625" bestFit="1" customWidth="1"/>
    <col min="16" max="16" width="69.42578125" bestFit="1" customWidth="1"/>
    <col min="17" max="18" width="12.140625" bestFit="1" customWidth="1"/>
    <col min="19" max="19" width="16.140625" bestFit="1" customWidth="1"/>
    <col min="20" max="21" width="12.140625" bestFit="1" customWidth="1"/>
    <col min="22" max="22" width="12.5703125" bestFit="1" customWidth="1"/>
    <col min="23" max="23" width="12.140625" bestFit="1" customWidth="1"/>
    <col min="24" max="24" width="47.85546875" bestFit="1" customWidth="1"/>
    <col min="25" max="25" width="19.28515625" bestFit="1" customWidth="1"/>
    <col min="26" max="26" width="16.42578125" bestFit="1" customWidth="1"/>
    <col min="27" max="27" width="16.7109375" bestFit="1" customWidth="1"/>
    <col min="28" max="28" width="18" bestFit="1" customWidth="1"/>
    <col min="29" max="29" width="21.42578125" bestFit="1" customWidth="1"/>
    <col min="30" max="30" width="12.140625" bestFit="1" customWidth="1"/>
    <col min="31" max="31" width="17.42578125" bestFit="1" customWidth="1"/>
    <col min="32" max="32" width="12.140625" bestFit="1" customWidth="1"/>
    <col min="33" max="33" width="16.7109375" bestFit="1" customWidth="1"/>
    <col min="34" max="34" width="12.140625" bestFit="1" customWidth="1"/>
    <col min="35" max="35" width="15.28515625" bestFit="1" customWidth="1"/>
    <col min="36" max="37" width="12.140625" bestFit="1"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6" spans="1:37" x14ac:dyDescent="0.25">
      <c r="K6" t="s">
        <v>37</v>
      </c>
      <c r="W6" t="s">
        <v>37</v>
      </c>
      <c r="AA6" t="s">
        <v>38</v>
      </c>
      <c r="AC6" t="s">
        <v>38</v>
      </c>
    </row>
    <row r="7" spans="1:37" x14ac:dyDescent="0.25">
      <c r="M7" t="s">
        <v>39</v>
      </c>
      <c r="N7" t="s">
        <v>40</v>
      </c>
      <c r="O7" t="s">
        <v>41</v>
      </c>
      <c r="P7" t="s">
        <v>42</v>
      </c>
      <c r="Q7" t="s">
        <v>43</v>
      </c>
      <c r="R7" t="s">
        <v>44</v>
      </c>
      <c r="S7" t="s">
        <v>45</v>
      </c>
      <c r="V7" t="s">
        <v>46</v>
      </c>
      <c r="X7" t="s">
        <v>47</v>
      </c>
      <c r="Y7" t="s">
        <v>48</v>
      </c>
      <c r="Z7" t="s">
        <v>49</v>
      </c>
      <c r="AA7" t="s">
        <v>50</v>
      </c>
      <c r="AB7" t="s">
        <v>51</v>
      </c>
      <c r="AC7" t="s">
        <v>52</v>
      </c>
      <c r="AE7" t="s">
        <v>53</v>
      </c>
      <c r="AG7" t="s">
        <v>54</v>
      </c>
      <c r="AI7" t="s">
        <v>55</v>
      </c>
    </row>
    <row r="8" spans="1:37" x14ac:dyDescent="0.25">
      <c r="AF8">
        <v>0</v>
      </c>
      <c r="AH8">
        <v>0</v>
      </c>
    </row>
    <row r="9" spans="1:37" x14ac:dyDescent="0.25">
      <c r="A9" t="s">
        <v>56</v>
      </c>
      <c r="F9">
        <v>1</v>
      </c>
      <c r="L9">
        <v>1</v>
      </c>
      <c r="M9" t="s">
        <v>57</v>
      </c>
      <c r="N9" t="s">
        <v>58</v>
      </c>
      <c r="P9" t="s">
        <v>59</v>
      </c>
      <c r="V9" t="s">
        <v>60</v>
      </c>
      <c r="Y9" t="s">
        <v>61</v>
      </c>
      <c r="AA9" t="s">
        <v>62</v>
      </c>
      <c r="AC9" t="s">
        <v>63</v>
      </c>
      <c r="AE9" t="s">
        <v>64</v>
      </c>
      <c r="AF9">
        <v>0</v>
      </c>
      <c r="AG9" t="s">
        <v>65</v>
      </c>
      <c r="AH9">
        <v>0</v>
      </c>
      <c r="AK9">
        <v>0</v>
      </c>
    </row>
    <row r="10" spans="1:37" x14ac:dyDescent="0.25">
      <c r="L10">
        <v>0</v>
      </c>
    </row>
    <row r="11" spans="1:37" x14ac:dyDescent="0.25">
      <c r="A11" t="s">
        <v>66</v>
      </c>
      <c r="B11">
        <v>1</v>
      </c>
      <c r="C11">
        <v>1</v>
      </c>
      <c r="G11">
        <v>1</v>
      </c>
      <c r="H11" t="s">
        <v>58</v>
      </c>
      <c r="I11" t="s">
        <v>67</v>
      </c>
      <c r="M11" t="s">
        <v>68</v>
      </c>
      <c r="N11" t="s">
        <v>67</v>
      </c>
      <c r="P11" t="s">
        <v>69</v>
      </c>
      <c r="V11" t="s">
        <v>60</v>
      </c>
      <c r="Y11" t="s">
        <v>61</v>
      </c>
      <c r="AA11" t="s">
        <v>62</v>
      </c>
      <c r="AC11" t="s">
        <v>63</v>
      </c>
      <c r="AE11" t="s">
        <v>64</v>
      </c>
      <c r="AF11">
        <v>0</v>
      </c>
      <c r="AG11" t="s">
        <v>65</v>
      </c>
      <c r="AH11">
        <v>0</v>
      </c>
      <c r="AK11">
        <v>0</v>
      </c>
    </row>
    <row r="12" spans="1:37" x14ac:dyDescent="0.25">
      <c r="L12">
        <v>0</v>
      </c>
    </row>
    <row r="13" spans="1:37" x14ac:dyDescent="0.25">
      <c r="A13" t="s">
        <v>70</v>
      </c>
      <c r="B13">
        <v>1</v>
      </c>
      <c r="C13">
        <v>1</v>
      </c>
      <c r="D13">
        <v>1</v>
      </c>
      <c r="G13">
        <v>11</v>
      </c>
      <c r="M13" t="s">
        <v>71</v>
      </c>
      <c r="O13" t="s">
        <v>72</v>
      </c>
      <c r="P13" t="s">
        <v>73</v>
      </c>
      <c r="Q13" t="s">
        <v>74</v>
      </c>
      <c r="R13" t="s">
        <v>75</v>
      </c>
      <c r="S13" t="s">
        <v>76</v>
      </c>
      <c r="V13" t="s">
        <v>60</v>
      </c>
      <c r="X13" t="s">
        <v>77</v>
      </c>
      <c r="Y13" t="s">
        <v>61</v>
      </c>
      <c r="Z13" t="s">
        <v>78</v>
      </c>
      <c r="AA13" t="s">
        <v>62</v>
      </c>
      <c r="AB13" t="s">
        <v>63</v>
      </c>
      <c r="AC13" t="s">
        <v>63</v>
      </c>
      <c r="AE13" t="s">
        <v>64</v>
      </c>
      <c r="AF13">
        <v>0</v>
      </c>
      <c r="AG13" t="s">
        <v>65</v>
      </c>
      <c r="AH13">
        <v>0</v>
      </c>
      <c r="AK13">
        <v>0</v>
      </c>
    </row>
    <row r="14" spans="1:37" x14ac:dyDescent="0.25">
      <c r="A14" t="s">
        <v>79</v>
      </c>
      <c r="B14">
        <v>1</v>
      </c>
      <c r="C14">
        <v>1</v>
      </c>
      <c r="D14">
        <v>1</v>
      </c>
      <c r="E14">
        <v>1</v>
      </c>
      <c r="G14">
        <v>111</v>
      </c>
      <c r="H14" t="s">
        <v>72</v>
      </c>
      <c r="I14" t="s">
        <v>80</v>
      </c>
      <c r="J14" t="s">
        <v>81</v>
      </c>
      <c r="L14">
        <v>0</v>
      </c>
      <c r="M14" t="s">
        <v>82</v>
      </c>
      <c r="O14" t="s">
        <v>83</v>
      </c>
      <c r="P14" t="s">
        <v>84</v>
      </c>
      <c r="Q14" t="s">
        <v>57</v>
      </c>
      <c r="R14" t="s">
        <v>75</v>
      </c>
      <c r="S14" t="s">
        <v>85</v>
      </c>
      <c r="T14">
        <v>10</v>
      </c>
      <c r="U14">
        <v>10</v>
      </c>
      <c r="V14" t="s">
        <v>85</v>
      </c>
      <c r="AE14" t="s">
        <v>86</v>
      </c>
      <c r="AF14">
        <v>0</v>
      </c>
      <c r="AG14" t="s">
        <v>87</v>
      </c>
      <c r="AH14">
        <v>0</v>
      </c>
      <c r="AK14">
        <v>0</v>
      </c>
    </row>
    <row r="15" spans="1:37" x14ac:dyDescent="0.25">
      <c r="A15" t="s">
        <v>79</v>
      </c>
      <c r="B15">
        <v>1</v>
      </c>
      <c r="C15">
        <v>1</v>
      </c>
      <c r="D15">
        <v>1</v>
      </c>
      <c r="E15">
        <v>2</v>
      </c>
      <c r="G15">
        <v>111</v>
      </c>
      <c r="H15" t="s">
        <v>72</v>
      </c>
      <c r="I15" t="s">
        <v>88</v>
      </c>
      <c r="J15" t="s">
        <v>89</v>
      </c>
      <c r="L15">
        <v>0</v>
      </c>
      <c r="M15" t="s">
        <v>90</v>
      </c>
      <c r="O15" t="s">
        <v>91</v>
      </c>
      <c r="P15" t="s">
        <v>92</v>
      </c>
      <c r="Q15" t="s">
        <v>57</v>
      </c>
      <c r="R15" t="s">
        <v>75</v>
      </c>
      <c r="S15" t="s">
        <v>93</v>
      </c>
      <c r="T15">
        <v>10</v>
      </c>
      <c r="U15">
        <v>10</v>
      </c>
      <c r="V15" t="s">
        <v>93</v>
      </c>
      <c r="AE15" t="s">
        <v>94</v>
      </c>
      <c r="AF15">
        <v>0</v>
      </c>
      <c r="AG15" t="s">
        <v>87</v>
      </c>
      <c r="AH15">
        <v>0</v>
      </c>
      <c r="AK15">
        <v>0</v>
      </c>
    </row>
    <row r="16" spans="1:37" x14ac:dyDescent="0.25">
      <c r="A16" t="s">
        <v>79</v>
      </c>
      <c r="B16">
        <v>1</v>
      </c>
      <c r="C16">
        <v>1</v>
      </c>
      <c r="D16">
        <v>1</v>
      </c>
      <c r="E16">
        <v>3</v>
      </c>
      <c r="G16">
        <v>111</v>
      </c>
      <c r="H16" t="s">
        <v>72</v>
      </c>
      <c r="I16" t="s">
        <v>95</v>
      </c>
      <c r="J16" t="s">
        <v>96</v>
      </c>
      <c r="L16">
        <v>0</v>
      </c>
      <c r="M16" t="s">
        <v>97</v>
      </c>
      <c r="O16" t="s">
        <v>98</v>
      </c>
      <c r="P16" t="s">
        <v>99</v>
      </c>
      <c r="Q16" t="s">
        <v>57</v>
      </c>
      <c r="R16" t="s">
        <v>75</v>
      </c>
      <c r="S16" t="s">
        <v>100</v>
      </c>
      <c r="T16">
        <v>10</v>
      </c>
      <c r="U16">
        <v>10</v>
      </c>
      <c r="V16" t="s">
        <v>100</v>
      </c>
      <c r="AE16" t="s">
        <v>101</v>
      </c>
      <c r="AF16">
        <v>0</v>
      </c>
      <c r="AG16" t="s">
        <v>87</v>
      </c>
      <c r="AH16">
        <v>0</v>
      </c>
      <c r="AK16">
        <v>0</v>
      </c>
    </row>
    <row r="17" spans="1:37" x14ac:dyDescent="0.25">
      <c r="A17" t="s">
        <v>79</v>
      </c>
      <c r="B17">
        <v>1</v>
      </c>
      <c r="C17">
        <v>1</v>
      </c>
      <c r="D17">
        <v>1</v>
      </c>
      <c r="E17">
        <v>4</v>
      </c>
      <c r="G17">
        <v>111</v>
      </c>
      <c r="H17" t="s">
        <v>72</v>
      </c>
      <c r="I17" t="s">
        <v>102</v>
      </c>
      <c r="J17" t="s">
        <v>103</v>
      </c>
      <c r="L17">
        <v>0</v>
      </c>
      <c r="M17" t="s">
        <v>104</v>
      </c>
      <c r="O17" t="s">
        <v>105</v>
      </c>
      <c r="P17" t="s">
        <v>106</v>
      </c>
      <c r="Q17" t="s">
        <v>57</v>
      </c>
      <c r="R17" t="s">
        <v>75</v>
      </c>
      <c r="S17" t="s">
        <v>107</v>
      </c>
      <c r="T17">
        <v>10</v>
      </c>
      <c r="U17">
        <v>10</v>
      </c>
      <c r="V17" t="s">
        <v>107</v>
      </c>
      <c r="AE17" t="s">
        <v>108</v>
      </c>
      <c r="AF17">
        <v>0</v>
      </c>
      <c r="AG17" t="s">
        <v>87</v>
      </c>
      <c r="AH17">
        <v>0</v>
      </c>
      <c r="AK17">
        <v>0</v>
      </c>
    </row>
    <row r="18" spans="1:37" x14ac:dyDescent="0.25">
      <c r="A18" t="s">
        <v>79</v>
      </c>
      <c r="B18">
        <v>1</v>
      </c>
      <c r="C18">
        <v>1</v>
      </c>
      <c r="D18">
        <v>1</v>
      </c>
      <c r="E18">
        <v>5</v>
      </c>
      <c r="G18">
        <v>111</v>
      </c>
      <c r="H18" t="s">
        <v>72</v>
      </c>
      <c r="I18" t="s">
        <v>109</v>
      </c>
      <c r="J18" t="s">
        <v>110</v>
      </c>
      <c r="L18">
        <v>0</v>
      </c>
      <c r="M18" t="s">
        <v>111</v>
      </c>
      <c r="O18" t="s">
        <v>112</v>
      </c>
      <c r="P18" t="s">
        <v>113</v>
      </c>
      <c r="Q18" t="s">
        <v>57</v>
      </c>
      <c r="R18" t="s">
        <v>75</v>
      </c>
      <c r="S18" t="s">
        <v>114</v>
      </c>
      <c r="T18">
        <v>10</v>
      </c>
      <c r="U18">
        <v>10</v>
      </c>
      <c r="V18" t="s">
        <v>114</v>
      </c>
      <c r="AE18" t="s">
        <v>115</v>
      </c>
      <c r="AF18">
        <v>0</v>
      </c>
      <c r="AG18" t="s">
        <v>87</v>
      </c>
      <c r="AH18">
        <v>0</v>
      </c>
      <c r="AK18">
        <v>0</v>
      </c>
    </row>
    <row r="19" spans="1:37" x14ac:dyDescent="0.25">
      <c r="A19" t="s">
        <v>79</v>
      </c>
      <c r="B19">
        <v>1</v>
      </c>
      <c r="C19">
        <v>1</v>
      </c>
      <c r="D19">
        <v>1</v>
      </c>
      <c r="E19">
        <v>6</v>
      </c>
      <c r="G19">
        <v>111</v>
      </c>
      <c r="H19" t="s">
        <v>72</v>
      </c>
      <c r="I19" t="s">
        <v>116</v>
      </c>
      <c r="J19" t="s">
        <v>117</v>
      </c>
      <c r="L19">
        <v>0</v>
      </c>
      <c r="M19" t="s">
        <v>118</v>
      </c>
      <c r="O19" t="s">
        <v>119</v>
      </c>
      <c r="P19" t="s">
        <v>120</v>
      </c>
      <c r="Q19" t="s">
        <v>57</v>
      </c>
      <c r="R19" t="s">
        <v>75</v>
      </c>
      <c r="S19" t="s">
        <v>121</v>
      </c>
      <c r="T19">
        <v>10</v>
      </c>
      <c r="U19">
        <v>10</v>
      </c>
      <c r="V19" t="s">
        <v>121</v>
      </c>
      <c r="AE19" t="s">
        <v>122</v>
      </c>
      <c r="AF19">
        <v>0</v>
      </c>
      <c r="AG19" t="s">
        <v>87</v>
      </c>
      <c r="AH19">
        <v>0</v>
      </c>
      <c r="AK19">
        <v>0</v>
      </c>
    </row>
    <row r="20" spans="1:37" x14ac:dyDescent="0.25">
      <c r="A20" t="s">
        <v>79</v>
      </c>
      <c r="B20">
        <v>1</v>
      </c>
      <c r="C20">
        <v>1</v>
      </c>
      <c r="D20">
        <v>1</v>
      </c>
      <c r="E20">
        <v>7</v>
      </c>
      <c r="G20">
        <v>111</v>
      </c>
      <c r="H20" t="s">
        <v>72</v>
      </c>
      <c r="I20" t="s">
        <v>123</v>
      </c>
      <c r="J20" t="s">
        <v>124</v>
      </c>
      <c r="L20">
        <v>0</v>
      </c>
      <c r="M20" t="s">
        <v>125</v>
      </c>
      <c r="O20" t="s">
        <v>125</v>
      </c>
      <c r="P20" t="s">
        <v>125</v>
      </c>
      <c r="Q20" t="s">
        <v>125</v>
      </c>
      <c r="R20" t="s">
        <v>125</v>
      </c>
      <c r="S20" t="s">
        <v>125</v>
      </c>
      <c r="T20">
        <v>10</v>
      </c>
      <c r="V20" t="s">
        <v>125</v>
      </c>
      <c r="AE20" t="s">
        <v>125</v>
      </c>
      <c r="AF20">
        <v>0</v>
      </c>
      <c r="AG20" t="s">
        <v>125</v>
      </c>
      <c r="AH20">
        <v>0</v>
      </c>
      <c r="AK20">
        <v>0</v>
      </c>
    </row>
    <row r="21" spans="1:37" x14ac:dyDescent="0.25">
      <c r="A21" t="s">
        <v>79</v>
      </c>
      <c r="B21">
        <v>1</v>
      </c>
      <c r="C21">
        <v>1</v>
      </c>
      <c r="D21">
        <v>1</v>
      </c>
      <c r="E21">
        <v>8</v>
      </c>
      <c r="G21">
        <v>111</v>
      </c>
      <c r="H21" t="s">
        <v>72</v>
      </c>
      <c r="I21" t="s">
        <v>126</v>
      </c>
      <c r="J21" t="s">
        <v>127</v>
      </c>
      <c r="L21">
        <v>0</v>
      </c>
      <c r="M21" t="s">
        <v>125</v>
      </c>
      <c r="O21" t="s">
        <v>125</v>
      </c>
      <c r="P21" t="s">
        <v>125</v>
      </c>
      <c r="Q21" t="s">
        <v>125</v>
      </c>
      <c r="R21" t="s">
        <v>125</v>
      </c>
      <c r="S21" t="s">
        <v>125</v>
      </c>
      <c r="T21">
        <v>10</v>
      </c>
      <c r="V21" t="s">
        <v>125</v>
      </c>
      <c r="AE21" t="s">
        <v>125</v>
      </c>
      <c r="AF21">
        <v>0</v>
      </c>
      <c r="AG21" t="s">
        <v>125</v>
      </c>
      <c r="AH21">
        <v>0</v>
      </c>
      <c r="AK21">
        <v>0</v>
      </c>
    </row>
    <row r="22" spans="1:37" x14ac:dyDescent="0.25">
      <c r="A22" t="s">
        <v>79</v>
      </c>
      <c r="B22">
        <v>1</v>
      </c>
      <c r="C22">
        <v>1</v>
      </c>
      <c r="D22">
        <v>1</v>
      </c>
      <c r="E22">
        <v>9</v>
      </c>
      <c r="G22">
        <v>111</v>
      </c>
      <c r="H22" t="s">
        <v>72</v>
      </c>
      <c r="I22" t="s">
        <v>74</v>
      </c>
      <c r="J22" t="s">
        <v>128</v>
      </c>
      <c r="L22">
        <v>0</v>
      </c>
      <c r="M22" t="s">
        <v>125</v>
      </c>
      <c r="O22" t="s">
        <v>125</v>
      </c>
      <c r="P22" t="s">
        <v>125</v>
      </c>
      <c r="Q22" t="s">
        <v>125</v>
      </c>
      <c r="R22" t="s">
        <v>125</v>
      </c>
      <c r="S22" t="s">
        <v>125</v>
      </c>
      <c r="T22">
        <v>10</v>
      </c>
      <c r="V22" t="s">
        <v>125</v>
      </c>
      <c r="AE22" t="s">
        <v>125</v>
      </c>
      <c r="AF22">
        <v>0</v>
      </c>
      <c r="AG22" t="s">
        <v>125</v>
      </c>
      <c r="AH22">
        <v>0</v>
      </c>
      <c r="AK22">
        <v>0</v>
      </c>
    </row>
    <row r="23" spans="1:37" x14ac:dyDescent="0.25">
      <c r="A23" t="s">
        <v>79</v>
      </c>
      <c r="B23">
        <v>1</v>
      </c>
      <c r="C23">
        <v>1</v>
      </c>
      <c r="D23">
        <v>1</v>
      </c>
      <c r="E23">
        <v>10</v>
      </c>
      <c r="G23">
        <v>111</v>
      </c>
      <c r="H23" t="s">
        <v>72</v>
      </c>
      <c r="I23" t="s">
        <v>129</v>
      </c>
      <c r="J23" t="s">
        <v>130</v>
      </c>
      <c r="L23">
        <v>0</v>
      </c>
      <c r="M23" t="s">
        <v>125</v>
      </c>
      <c r="O23" t="s">
        <v>125</v>
      </c>
      <c r="P23" t="s">
        <v>125</v>
      </c>
      <c r="Q23" t="s">
        <v>125</v>
      </c>
      <c r="R23" t="s">
        <v>125</v>
      </c>
      <c r="S23" t="s">
        <v>125</v>
      </c>
      <c r="T23">
        <v>10</v>
      </c>
      <c r="V23" t="s">
        <v>125</v>
      </c>
      <c r="AE23" t="s">
        <v>125</v>
      </c>
      <c r="AF23">
        <v>0</v>
      </c>
      <c r="AG23" t="s">
        <v>125</v>
      </c>
      <c r="AH23">
        <v>0</v>
      </c>
      <c r="AK23">
        <v>0</v>
      </c>
    </row>
    <row r="24" spans="1:37" x14ac:dyDescent="0.25">
      <c r="A24" t="s">
        <v>79</v>
      </c>
      <c r="B24">
        <v>1</v>
      </c>
      <c r="C24">
        <v>1</v>
      </c>
      <c r="D24">
        <v>1</v>
      </c>
      <c r="E24">
        <v>11</v>
      </c>
      <c r="G24">
        <v>111</v>
      </c>
      <c r="H24" t="s">
        <v>72</v>
      </c>
      <c r="I24" t="s">
        <v>131</v>
      </c>
      <c r="J24" t="s">
        <v>132</v>
      </c>
      <c r="L24">
        <v>0</v>
      </c>
      <c r="M24" t="s">
        <v>125</v>
      </c>
      <c r="O24" t="s">
        <v>125</v>
      </c>
      <c r="P24" t="s">
        <v>125</v>
      </c>
      <c r="Q24" t="s">
        <v>125</v>
      </c>
      <c r="R24" t="s">
        <v>125</v>
      </c>
      <c r="S24" t="s">
        <v>125</v>
      </c>
      <c r="T24">
        <v>10</v>
      </c>
      <c r="V24" t="s">
        <v>125</v>
      </c>
      <c r="AE24" t="s">
        <v>125</v>
      </c>
      <c r="AF24">
        <v>0</v>
      </c>
      <c r="AG24" t="s">
        <v>125</v>
      </c>
      <c r="AH24">
        <v>0</v>
      </c>
      <c r="AK24">
        <v>0</v>
      </c>
    </row>
    <row r="25" spans="1:37" x14ac:dyDescent="0.25">
      <c r="A25" t="s">
        <v>79</v>
      </c>
      <c r="B25">
        <v>1</v>
      </c>
      <c r="C25">
        <v>1</v>
      </c>
      <c r="D25">
        <v>1</v>
      </c>
      <c r="E25">
        <v>12</v>
      </c>
      <c r="G25">
        <v>111</v>
      </c>
      <c r="H25" t="s">
        <v>72</v>
      </c>
      <c r="I25" t="s">
        <v>133</v>
      </c>
      <c r="J25" t="s">
        <v>134</v>
      </c>
      <c r="L25">
        <v>0</v>
      </c>
      <c r="M25" t="s">
        <v>125</v>
      </c>
      <c r="O25" t="s">
        <v>125</v>
      </c>
      <c r="P25" t="s">
        <v>125</v>
      </c>
      <c r="Q25" t="s">
        <v>125</v>
      </c>
      <c r="R25" t="s">
        <v>125</v>
      </c>
      <c r="S25" t="s">
        <v>125</v>
      </c>
      <c r="T25">
        <v>10</v>
      </c>
      <c r="V25" t="s">
        <v>125</v>
      </c>
      <c r="AE25" t="s">
        <v>125</v>
      </c>
      <c r="AF25">
        <v>0</v>
      </c>
      <c r="AG25" t="s">
        <v>125</v>
      </c>
      <c r="AH25">
        <v>0</v>
      </c>
      <c r="AK25">
        <v>0</v>
      </c>
    </row>
    <row r="26" spans="1:37" x14ac:dyDescent="0.25">
      <c r="A26" t="s">
        <v>79</v>
      </c>
      <c r="B26">
        <v>1</v>
      </c>
      <c r="C26">
        <v>1</v>
      </c>
      <c r="D26">
        <v>1</v>
      </c>
      <c r="E26">
        <v>13</v>
      </c>
      <c r="G26">
        <v>111</v>
      </c>
      <c r="H26" t="s">
        <v>72</v>
      </c>
      <c r="I26" t="s">
        <v>135</v>
      </c>
      <c r="J26" t="s">
        <v>136</v>
      </c>
      <c r="L26">
        <v>0</v>
      </c>
      <c r="M26" t="s">
        <v>125</v>
      </c>
      <c r="O26" t="s">
        <v>125</v>
      </c>
      <c r="P26" t="s">
        <v>125</v>
      </c>
      <c r="Q26" t="s">
        <v>125</v>
      </c>
      <c r="R26" t="s">
        <v>125</v>
      </c>
      <c r="S26" t="s">
        <v>125</v>
      </c>
      <c r="T26">
        <v>10</v>
      </c>
      <c r="V26" t="s">
        <v>125</v>
      </c>
      <c r="AE26" t="s">
        <v>125</v>
      </c>
      <c r="AF26">
        <v>0</v>
      </c>
      <c r="AG26" t="s">
        <v>125</v>
      </c>
      <c r="AH26">
        <v>0</v>
      </c>
      <c r="AK26">
        <v>0</v>
      </c>
    </row>
    <row r="27" spans="1:37" x14ac:dyDescent="0.25">
      <c r="A27" t="s">
        <v>79</v>
      </c>
      <c r="B27">
        <v>1</v>
      </c>
      <c r="C27">
        <v>1</v>
      </c>
      <c r="D27">
        <v>1</v>
      </c>
      <c r="E27">
        <v>14</v>
      </c>
      <c r="G27">
        <v>111</v>
      </c>
      <c r="H27" t="s">
        <v>72</v>
      </c>
      <c r="I27" t="s">
        <v>137</v>
      </c>
      <c r="J27" t="s">
        <v>138</v>
      </c>
      <c r="L27">
        <v>0</v>
      </c>
      <c r="M27" t="s">
        <v>125</v>
      </c>
      <c r="O27" t="s">
        <v>125</v>
      </c>
      <c r="P27" t="s">
        <v>125</v>
      </c>
      <c r="Q27" t="s">
        <v>125</v>
      </c>
      <c r="R27" t="s">
        <v>125</v>
      </c>
      <c r="S27" t="s">
        <v>125</v>
      </c>
      <c r="T27">
        <v>10</v>
      </c>
      <c r="V27" t="s">
        <v>125</v>
      </c>
      <c r="AE27" t="s">
        <v>125</v>
      </c>
      <c r="AF27">
        <v>0</v>
      </c>
      <c r="AG27" t="s">
        <v>125</v>
      </c>
      <c r="AH27">
        <v>0</v>
      </c>
      <c r="AK27">
        <v>0</v>
      </c>
    </row>
    <row r="28" spans="1:37" x14ac:dyDescent="0.25">
      <c r="A28" t="s">
        <v>79</v>
      </c>
      <c r="B28">
        <v>1</v>
      </c>
      <c r="C28">
        <v>1</v>
      </c>
      <c r="D28">
        <v>1</v>
      </c>
      <c r="E28">
        <v>15</v>
      </c>
      <c r="G28">
        <v>111</v>
      </c>
      <c r="H28" t="s">
        <v>72</v>
      </c>
      <c r="I28" t="s">
        <v>139</v>
      </c>
      <c r="J28" t="s">
        <v>140</v>
      </c>
      <c r="L28">
        <v>0</v>
      </c>
      <c r="M28" t="s">
        <v>125</v>
      </c>
      <c r="O28" t="s">
        <v>125</v>
      </c>
      <c r="P28" t="s">
        <v>125</v>
      </c>
      <c r="Q28" t="s">
        <v>125</v>
      </c>
      <c r="R28" t="s">
        <v>125</v>
      </c>
      <c r="S28" t="s">
        <v>125</v>
      </c>
      <c r="T28">
        <v>10</v>
      </c>
      <c r="V28" t="s">
        <v>125</v>
      </c>
      <c r="AE28" t="s">
        <v>125</v>
      </c>
      <c r="AF28">
        <v>0</v>
      </c>
      <c r="AG28" t="s">
        <v>125</v>
      </c>
      <c r="AH28">
        <v>0</v>
      </c>
      <c r="AK28">
        <v>0</v>
      </c>
    </row>
    <row r="29" spans="1:37" x14ac:dyDescent="0.25">
      <c r="L29">
        <v>0</v>
      </c>
    </row>
    <row r="30" spans="1:37" x14ac:dyDescent="0.25">
      <c r="A30" t="s">
        <v>70</v>
      </c>
      <c r="B30">
        <v>1</v>
      </c>
      <c r="C30">
        <v>1</v>
      </c>
      <c r="D30">
        <v>2</v>
      </c>
      <c r="G30">
        <v>11</v>
      </c>
      <c r="L30">
        <v>0</v>
      </c>
      <c r="M30" t="s">
        <v>125</v>
      </c>
      <c r="P30" t="s">
        <v>125</v>
      </c>
      <c r="R30" t="s">
        <v>125</v>
      </c>
      <c r="S30" t="s">
        <v>63</v>
      </c>
      <c r="V30" t="s">
        <v>125</v>
      </c>
      <c r="X30" t="s">
        <v>125</v>
      </c>
      <c r="Y30" t="s">
        <v>125</v>
      </c>
      <c r="Z30" t="s">
        <v>125</v>
      </c>
      <c r="AA30" t="s">
        <v>125</v>
      </c>
      <c r="AB30" t="s">
        <v>125</v>
      </c>
      <c r="AC30" t="s">
        <v>125</v>
      </c>
      <c r="AE30" t="s">
        <v>125</v>
      </c>
      <c r="AF30">
        <v>0</v>
      </c>
      <c r="AG30" t="s">
        <v>125</v>
      </c>
      <c r="AH30">
        <v>0</v>
      </c>
      <c r="AK30">
        <v>0</v>
      </c>
    </row>
    <row r="31" spans="1:37" x14ac:dyDescent="0.25">
      <c r="A31" t="s">
        <v>79</v>
      </c>
      <c r="B31">
        <v>1</v>
      </c>
      <c r="C31">
        <v>1</v>
      </c>
      <c r="D31">
        <v>2</v>
      </c>
      <c r="E31">
        <v>1</v>
      </c>
      <c r="G31">
        <v>112</v>
      </c>
      <c r="H31" t="s">
        <v>63</v>
      </c>
      <c r="I31" t="s">
        <v>80</v>
      </c>
      <c r="J31" t="s">
        <v>141</v>
      </c>
      <c r="L31">
        <v>0</v>
      </c>
      <c r="M31" t="s">
        <v>125</v>
      </c>
      <c r="O31" t="s">
        <v>125</v>
      </c>
      <c r="P31" t="s">
        <v>125</v>
      </c>
      <c r="Q31" t="s">
        <v>125</v>
      </c>
      <c r="R31" t="s">
        <v>125</v>
      </c>
      <c r="S31" t="s">
        <v>125</v>
      </c>
      <c r="T31">
        <v>0</v>
      </c>
      <c r="V31" t="s">
        <v>125</v>
      </c>
      <c r="AE31" t="s">
        <v>125</v>
      </c>
      <c r="AF31">
        <v>0</v>
      </c>
      <c r="AG31" t="s">
        <v>125</v>
      </c>
      <c r="AH31">
        <v>0</v>
      </c>
      <c r="AK31">
        <v>0</v>
      </c>
    </row>
    <row r="32" spans="1:37" x14ac:dyDescent="0.25">
      <c r="A32" t="s">
        <v>79</v>
      </c>
      <c r="B32">
        <v>1</v>
      </c>
      <c r="C32">
        <v>1</v>
      </c>
      <c r="D32">
        <v>2</v>
      </c>
      <c r="E32">
        <v>2</v>
      </c>
      <c r="G32">
        <v>112</v>
      </c>
      <c r="H32" t="s">
        <v>63</v>
      </c>
      <c r="I32" t="s">
        <v>88</v>
      </c>
      <c r="J32" t="s">
        <v>142</v>
      </c>
      <c r="L32">
        <v>0</v>
      </c>
      <c r="M32" t="s">
        <v>125</v>
      </c>
      <c r="O32" t="s">
        <v>125</v>
      </c>
      <c r="P32" t="s">
        <v>125</v>
      </c>
      <c r="Q32" t="s">
        <v>125</v>
      </c>
      <c r="R32" t="s">
        <v>125</v>
      </c>
      <c r="S32" t="s">
        <v>125</v>
      </c>
      <c r="T32">
        <v>0</v>
      </c>
      <c r="V32" t="s">
        <v>125</v>
      </c>
      <c r="AE32" t="s">
        <v>125</v>
      </c>
      <c r="AF32">
        <v>0</v>
      </c>
      <c r="AG32" t="s">
        <v>125</v>
      </c>
      <c r="AH32">
        <v>0</v>
      </c>
      <c r="AK32">
        <v>0</v>
      </c>
    </row>
    <row r="33" spans="1:37" x14ac:dyDescent="0.25">
      <c r="A33" t="s">
        <v>79</v>
      </c>
      <c r="B33">
        <v>1</v>
      </c>
      <c r="C33">
        <v>1</v>
      </c>
      <c r="D33">
        <v>2</v>
      </c>
      <c r="E33">
        <v>3</v>
      </c>
      <c r="G33">
        <v>112</v>
      </c>
      <c r="H33" t="s">
        <v>63</v>
      </c>
      <c r="I33" t="s">
        <v>95</v>
      </c>
      <c r="J33" t="s">
        <v>143</v>
      </c>
      <c r="L33">
        <v>0</v>
      </c>
      <c r="M33" t="s">
        <v>125</v>
      </c>
      <c r="O33" t="s">
        <v>125</v>
      </c>
      <c r="P33" t="s">
        <v>125</v>
      </c>
      <c r="Q33" t="s">
        <v>125</v>
      </c>
      <c r="R33" t="s">
        <v>125</v>
      </c>
      <c r="S33" t="s">
        <v>125</v>
      </c>
      <c r="T33">
        <v>0</v>
      </c>
      <c r="V33" t="s">
        <v>125</v>
      </c>
      <c r="AE33" t="s">
        <v>125</v>
      </c>
      <c r="AF33">
        <v>0</v>
      </c>
      <c r="AG33" t="s">
        <v>125</v>
      </c>
      <c r="AH33">
        <v>0</v>
      </c>
      <c r="AK33">
        <v>0</v>
      </c>
    </row>
    <row r="34" spans="1:37" x14ac:dyDescent="0.25">
      <c r="A34" t="s">
        <v>79</v>
      </c>
      <c r="B34">
        <v>1</v>
      </c>
      <c r="C34">
        <v>1</v>
      </c>
      <c r="D34">
        <v>2</v>
      </c>
      <c r="E34">
        <v>4</v>
      </c>
      <c r="G34">
        <v>112</v>
      </c>
      <c r="H34" t="s">
        <v>63</v>
      </c>
      <c r="I34" t="s">
        <v>102</v>
      </c>
      <c r="J34" t="s">
        <v>144</v>
      </c>
      <c r="L34">
        <v>0</v>
      </c>
      <c r="M34" t="s">
        <v>125</v>
      </c>
      <c r="O34" t="s">
        <v>125</v>
      </c>
      <c r="P34" t="s">
        <v>125</v>
      </c>
      <c r="Q34" t="s">
        <v>125</v>
      </c>
      <c r="R34" t="s">
        <v>125</v>
      </c>
      <c r="S34" t="s">
        <v>125</v>
      </c>
      <c r="T34">
        <v>0</v>
      </c>
      <c r="V34" t="s">
        <v>125</v>
      </c>
      <c r="AE34" t="s">
        <v>125</v>
      </c>
      <c r="AF34">
        <v>0</v>
      </c>
      <c r="AG34" t="s">
        <v>125</v>
      </c>
      <c r="AH34">
        <v>0</v>
      </c>
      <c r="AK34">
        <v>0</v>
      </c>
    </row>
    <row r="35" spans="1:37" x14ac:dyDescent="0.25">
      <c r="A35" t="s">
        <v>79</v>
      </c>
      <c r="B35">
        <v>1</v>
      </c>
      <c r="C35">
        <v>1</v>
      </c>
      <c r="D35">
        <v>2</v>
      </c>
      <c r="E35">
        <v>5</v>
      </c>
      <c r="G35">
        <v>112</v>
      </c>
      <c r="H35" t="s">
        <v>63</v>
      </c>
      <c r="I35" t="s">
        <v>109</v>
      </c>
      <c r="J35" t="s">
        <v>145</v>
      </c>
      <c r="L35">
        <v>0</v>
      </c>
      <c r="M35" t="s">
        <v>125</v>
      </c>
      <c r="O35" t="s">
        <v>125</v>
      </c>
      <c r="P35" t="s">
        <v>125</v>
      </c>
      <c r="Q35" t="s">
        <v>125</v>
      </c>
      <c r="R35" t="s">
        <v>125</v>
      </c>
      <c r="S35" t="s">
        <v>125</v>
      </c>
      <c r="T35">
        <v>0</v>
      </c>
      <c r="V35" t="s">
        <v>125</v>
      </c>
      <c r="AE35" t="s">
        <v>125</v>
      </c>
      <c r="AF35">
        <v>0</v>
      </c>
      <c r="AG35" t="s">
        <v>125</v>
      </c>
      <c r="AH35">
        <v>0</v>
      </c>
      <c r="AK35">
        <v>0</v>
      </c>
    </row>
    <row r="36" spans="1:37" x14ac:dyDescent="0.25">
      <c r="A36" t="s">
        <v>79</v>
      </c>
      <c r="B36">
        <v>1</v>
      </c>
      <c r="C36">
        <v>1</v>
      </c>
      <c r="D36">
        <v>2</v>
      </c>
      <c r="E36">
        <v>6</v>
      </c>
      <c r="G36">
        <v>112</v>
      </c>
      <c r="H36" t="s">
        <v>63</v>
      </c>
      <c r="I36" t="s">
        <v>116</v>
      </c>
      <c r="J36" t="s">
        <v>146</v>
      </c>
      <c r="L36">
        <v>0</v>
      </c>
      <c r="M36" t="s">
        <v>125</v>
      </c>
      <c r="O36" t="s">
        <v>125</v>
      </c>
      <c r="P36" t="s">
        <v>125</v>
      </c>
      <c r="Q36" t="s">
        <v>125</v>
      </c>
      <c r="R36" t="s">
        <v>125</v>
      </c>
      <c r="S36" t="s">
        <v>125</v>
      </c>
      <c r="T36">
        <v>0</v>
      </c>
      <c r="V36" t="s">
        <v>125</v>
      </c>
      <c r="AE36" t="s">
        <v>125</v>
      </c>
      <c r="AF36">
        <v>0</v>
      </c>
      <c r="AG36" t="s">
        <v>125</v>
      </c>
      <c r="AH36">
        <v>0</v>
      </c>
      <c r="AK36">
        <v>0</v>
      </c>
    </row>
    <row r="37" spans="1:37" x14ac:dyDescent="0.25">
      <c r="A37" t="s">
        <v>79</v>
      </c>
      <c r="B37">
        <v>1</v>
      </c>
      <c r="C37">
        <v>1</v>
      </c>
      <c r="D37">
        <v>2</v>
      </c>
      <c r="E37">
        <v>7</v>
      </c>
      <c r="G37">
        <v>112</v>
      </c>
      <c r="H37" t="s">
        <v>63</v>
      </c>
      <c r="I37" t="s">
        <v>123</v>
      </c>
      <c r="J37" t="s">
        <v>147</v>
      </c>
      <c r="L37">
        <v>0</v>
      </c>
      <c r="M37" t="s">
        <v>125</v>
      </c>
      <c r="O37" t="s">
        <v>125</v>
      </c>
      <c r="P37" t="s">
        <v>125</v>
      </c>
      <c r="Q37" t="s">
        <v>125</v>
      </c>
      <c r="R37" t="s">
        <v>125</v>
      </c>
      <c r="S37" t="s">
        <v>125</v>
      </c>
      <c r="T37">
        <v>0</v>
      </c>
      <c r="V37" t="s">
        <v>125</v>
      </c>
      <c r="AE37" t="s">
        <v>125</v>
      </c>
      <c r="AF37">
        <v>0</v>
      </c>
      <c r="AG37" t="s">
        <v>125</v>
      </c>
      <c r="AH37">
        <v>0</v>
      </c>
      <c r="AK37">
        <v>0</v>
      </c>
    </row>
    <row r="38" spans="1:37" x14ac:dyDescent="0.25">
      <c r="A38" t="s">
        <v>79</v>
      </c>
      <c r="B38">
        <v>1</v>
      </c>
      <c r="C38">
        <v>1</v>
      </c>
      <c r="D38">
        <v>2</v>
      </c>
      <c r="E38">
        <v>8</v>
      </c>
      <c r="G38">
        <v>112</v>
      </c>
      <c r="H38" t="s">
        <v>63</v>
      </c>
      <c r="I38" t="s">
        <v>126</v>
      </c>
      <c r="J38" t="s">
        <v>148</v>
      </c>
      <c r="L38">
        <v>0</v>
      </c>
      <c r="M38" t="s">
        <v>125</v>
      </c>
      <c r="O38" t="s">
        <v>125</v>
      </c>
      <c r="P38" t="s">
        <v>125</v>
      </c>
      <c r="Q38" t="s">
        <v>125</v>
      </c>
      <c r="R38" t="s">
        <v>125</v>
      </c>
      <c r="S38" t="s">
        <v>125</v>
      </c>
      <c r="T38">
        <v>0</v>
      </c>
      <c r="V38" t="s">
        <v>125</v>
      </c>
      <c r="AE38" t="s">
        <v>125</v>
      </c>
      <c r="AF38">
        <v>0</v>
      </c>
      <c r="AG38" t="s">
        <v>125</v>
      </c>
      <c r="AH38">
        <v>0</v>
      </c>
      <c r="AK38">
        <v>0</v>
      </c>
    </row>
    <row r="39" spans="1:37" x14ac:dyDescent="0.25">
      <c r="A39" t="s">
        <v>79</v>
      </c>
      <c r="B39">
        <v>1</v>
      </c>
      <c r="C39">
        <v>1</v>
      </c>
      <c r="D39">
        <v>2</v>
      </c>
      <c r="E39">
        <v>9</v>
      </c>
      <c r="G39">
        <v>112</v>
      </c>
      <c r="H39" t="s">
        <v>63</v>
      </c>
      <c r="I39" t="s">
        <v>74</v>
      </c>
      <c r="J39" t="s">
        <v>149</v>
      </c>
      <c r="L39">
        <v>0</v>
      </c>
      <c r="M39" t="s">
        <v>125</v>
      </c>
      <c r="O39" t="s">
        <v>125</v>
      </c>
      <c r="P39" t="s">
        <v>125</v>
      </c>
      <c r="Q39" t="s">
        <v>125</v>
      </c>
      <c r="R39" t="s">
        <v>125</v>
      </c>
      <c r="S39" t="s">
        <v>125</v>
      </c>
      <c r="T39">
        <v>0</v>
      </c>
      <c r="V39" t="s">
        <v>125</v>
      </c>
      <c r="AE39" t="s">
        <v>125</v>
      </c>
      <c r="AF39">
        <v>0</v>
      </c>
      <c r="AG39" t="s">
        <v>125</v>
      </c>
      <c r="AH39">
        <v>0</v>
      </c>
      <c r="AK39">
        <v>0</v>
      </c>
    </row>
    <row r="40" spans="1:37" x14ac:dyDescent="0.25">
      <c r="A40" t="s">
        <v>79</v>
      </c>
      <c r="B40">
        <v>1</v>
      </c>
      <c r="C40">
        <v>1</v>
      </c>
      <c r="D40">
        <v>2</v>
      </c>
      <c r="E40">
        <v>10</v>
      </c>
      <c r="G40">
        <v>112</v>
      </c>
      <c r="H40" t="s">
        <v>63</v>
      </c>
      <c r="I40" t="s">
        <v>129</v>
      </c>
      <c r="J40" t="s">
        <v>150</v>
      </c>
      <c r="L40">
        <v>0</v>
      </c>
      <c r="M40" t="s">
        <v>125</v>
      </c>
      <c r="O40" t="s">
        <v>125</v>
      </c>
      <c r="P40" t="s">
        <v>125</v>
      </c>
      <c r="Q40" t="s">
        <v>125</v>
      </c>
      <c r="R40" t="s">
        <v>125</v>
      </c>
      <c r="S40" t="s">
        <v>125</v>
      </c>
      <c r="T40">
        <v>0</v>
      </c>
      <c r="V40" t="s">
        <v>125</v>
      </c>
      <c r="AE40" t="s">
        <v>125</v>
      </c>
      <c r="AF40">
        <v>0</v>
      </c>
      <c r="AG40" t="s">
        <v>125</v>
      </c>
      <c r="AH40">
        <v>0</v>
      </c>
      <c r="AK40">
        <v>0</v>
      </c>
    </row>
    <row r="41" spans="1:37" x14ac:dyDescent="0.25">
      <c r="A41" t="s">
        <v>79</v>
      </c>
      <c r="B41">
        <v>1</v>
      </c>
      <c r="C41">
        <v>1</v>
      </c>
      <c r="D41">
        <v>2</v>
      </c>
      <c r="E41">
        <v>11</v>
      </c>
      <c r="G41">
        <v>112</v>
      </c>
      <c r="H41" t="s">
        <v>63</v>
      </c>
      <c r="I41" t="s">
        <v>131</v>
      </c>
      <c r="J41" t="s">
        <v>151</v>
      </c>
      <c r="L41">
        <v>0</v>
      </c>
      <c r="M41" t="s">
        <v>125</v>
      </c>
      <c r="O41" t="s">
        <v>125</v>
      </c>
      <c r="P41" t="s">
        <v>125</v>
      </c>
      <c r="Q41" t="s">
        <v>125</v>
      </c>
      <c r="R41" t="s">
        <v>125</v>
      </c>
      <c r="S41" t="s">
        <v>125</v>
      </c>
      <c r="T41">
        <v>0</v>
      </c>
      <c r="V41" t="s">
        <v>125</v>
      </c>
      <c r="AE41" t="s">
        <v>125</v>
      </c>
      <c r="AF41">
        <v>0</v>
      </c>
      <c r="AG41" t="s">
        <v>125</v>
      </c>
      <c r="AH41">
        <v>0</v>
      </c>
      <c r="AK41">
        <v>0</v>
      </c>
    </row>
    <row r="42" spans="1:37" x14ac:dyDescent="0.25">
      <c r="A42" t="s">
        <v>79</v>
      </c>
      <c r="B42">
        <v>1</v>
      </c>
      <c r="C42">
        <v>1</v>
      </c>
      <c r="D42">
        <v>2</v>
      </c>
      <c r="E42">
        <v>12</v>
      </c>
      <c r="G42">
        <v>112</v>
      </c>
      <c r="H42" t="s">
        <v>63</v>
      </c>
      <c r="I42" t="s">
        <v>133</v>
      </c>
      <c r="J42" t="s">
        <v>152</v>
      </c>
      <c r="L42">
        <v>0</v>
      </c>
      <c r="M42" t="s">
        <v>125</v>
      </c>
      <c r="O42" t="s">
        <v>125</v>
      </c>
      <c r="P42" t="s">
        <v>125</v>
      </c>
      <c r="Q42" t="s">
        <v>125</v>
      </c>
      <c r="R42" t="s">
        <v>125</v>
      </c>
      <c r="S42" t="s">
        <v>125</v>
      </c>
      <c r="T42">
        <v>0</v>
      </c>
      <c r="V42" t="s">
        <v>125</v>
      </c>
      <c r="AE42" t="s">
        <v>125</v>
      </c>
      <c r="AF42">
        <v>0</v>
      </c>
      <c r="AG42" t="s">
        <v>125</v>
      </c>
      <c r="AH42">
        <v>0</v>
      </c>
      <c r="AK42">
        <v>0</v>
      </c>
    </row>
    <row r="43" spans="1:37" x14ac:dyDescent="0.25">
      <c r="A43" t="s">
        <v>79</v>
      </c>
      <c r="B43">
        <v>1</v>
      </c>
      <c r="C43">
        <v>1</v>
      </c>
      <c r="D43">
        <v>2</v>
      </c>
      <c r="E43">
        <v>13</v>
      </c>
      <c r="G43">
        <v>112</v>
      </c>
      <c r="H43" t="s">
        <v>63</v>
      </c>
      <c r="I43" t="s">
        <v>135</v>
      </c>
      <c r="J43" t="s">
        <v>153</v>
      </c>
      <c r="L43">
        <v>0</v>
      </c>
      <c r="M43" t="s">
        <v>125</v>
      </c>
      <c r="O43" t="s">
        <v>125</v>
      </c>
      <c r="P43" t="s">
        <v>125</v>
      </c>
      <c r="Q43" t="s">
        <v>125</v>
      </c>
      <c r="R43" t="s">
        <v>125</v>
      </c>
      <c r="S43" t="s">
        <v>125</v>
      </c>
      <c r="T43">
        <v>0</v>
      </c>
      <c r="V43" t="s">
        <v>125</v>
      </c>
      <c r="AE43" t="s">
        <v>125</v>
      </c>
      <c r="AF43">
        <v>0</v>
      </c>
      <c r="AG43" t="s">
        <v>125</v>
      </c>
      <c r="AH43">
        <v>0</v>
      </c>
      <c r="AK43">
        <v>0</v>
      </c>
    </row>
    <row r="44" spans="1:37" x14ac:dyDescent="0.25">
      <c r="A44" t="s">
        <v>79</v>
      </c>
      <c r="B44">
        <v>1</v>
      </c>
      <c r="C44">
        <v>1</v>
      </c>
      <c r="D44">
        <v>2</v>
      </c>
      <c r="E44">
        <v>14</v>
      </c>
      <c r="G44">
        <v>112</v>
      </c>
      <c r="H44" t="s">
        <v>63</v>
      </c>
      <c r="I44" t="s">
        <v>137</v>
      </c>
      <c r="J44" t="s">
        <v>154</v>
      </c>
      <c r="L44">
        <v>0</v>
      </c>
      <c r="M44" t="s">
        <v>125</v>
      </c>
      <c r="O44" t="s">
        <v>125</v>
      </c>
      <c r="P44" t="s">
        <v>125</v>
      </c>
      <c r="Q44" t="s">
        <v>125</v>
      </c>
      <c r="R44" t="s">
        <v>125</v>
      </c>
      <c r="S44" t="s">
        <v>125</v>
      </c>
      <c r="T44">
        <v>0</v>
      </c>
      <c r="V44" t="s">
        <v>125</v>
      </c>
      <c r="AE44" t="s">
        <v>125</v>
      </c>
      <c r="AF44">
        <v>0</v>
      </c>
      <c r="AG44" t="s">
        <v>125</v>
      </c>
      <c r="AH44">
        <v>0</v>
      </c>
      <c r="AK44">
        <v>0</v>
      </c>
    </row>
    <row r="45" spans="1:37" x14ac:dyDescent="0.25">
      <c r="A45" t="s">
        <v>79</v>
      </c>
      <c r="B45">
        <v>1</v>
      </c>
      <c r="C45">
        <v>1</v>
      </c>
      <c r="D45">
        <v>2</v>
      </c>
      <c r="E45">
        <v>15</v>
      </c>
      <c r="G45">
        <v>112</v>
      </c>
      <c r="H45" t="s">
        <v>63</v>
      </c>
      <c r="I45" t="s">
        <v>139</v>
      </c>
      <c r="J45" t="s">
        <v>155</v>
      </c>
      <c r="L45">
        <v>0</v>
      </c>
      <c r="M45" t="s">
        <v>125</v>
      </c>
      <c r="O45" t="s">
        <v>125</v>
      </c>
      <c r="P45" t="s">
        <v>125</v>
      </c>
      <c r="Q45" t="s">
        <v>125</v>
      </c>
      <c r="R45" t="s">
        <v>125</v>
      </c>
      <c r="S45" t="s">
        <v>125</v>
      </c>
      <c r="T45">
        <v>0</v>
      </c>
      <c r="V45" t="s">
        <v>125</v>
      </c>
      <c r="AE45" t="s">
        <v>125</v>
      </c>
      <c r="AF45">
        <v>0</v>
      </c>
      <c r="AG45" t="s">
        <v>125</v>
      </c>
      <c r="AH45">
        <v>0</v>
      </c>
      <c r="AK45">
        <v>0</v>
      </c>
    </row>
    <row r="46" spans="1:37" x14ac:dyDescent="0.25">
      <c r="L46">
        <v>0</v>
      </c>
    </row>
    <row r="47" spans="1:37" x14ac:dyDescent="0.25">
      <c r="A47" t="s">
        <v>70</v>
      </c>
      <c r="B47">
        <v>1</v>
      </c>
      <c r="C47">
        <v>1</v>
      </c>
      <c r="D47">
        <v>3</v>
      </c>
      <c r="G47">
        <v>11</v>
      </c>
      <c r="L47">
        <v>0</v>
      </c>
      <c r="M47" t="s">
        <v>125</v>
      </c>
      <c r="P47" t="s">
        <v>125</v>
      </c>
      <c r="R47" t="s">
        <v>125</v>
      </c>
      <c r="S47" t="s">
        <v>63</v>
      </c>
      <c r="V47" t="s">
        <v>125</v>
      </c>
      <c r="X47" t="s">
        <v>125</v>
      </c>
      <c r="Y47" t="s">
        <v>125</v>
      </c>
      <c r="Z47" t="s">
        <v>125</v>
      </c>
      <c r="AA47" t="s">
        <v>125</v>
      </c>
      <c r="AB47" t="s">
        <v>125</v>
      </c>
      <c r="AC47" t="s">
        <v>125</v>
      </c>
      <c r="AE47" t="s">
        <v>125</v>
      </c>
      <c r="AF47">
        <v>0</v>
      </c>
      <c r="AG47" t="s">
        <v>125</v>
      </c>
      <c r="AH47">
        <v>0</v>
      </c>
      <c r="AK47">
        <v>0</v>
      </c>
    </row>
    <row r="48" spans="1:37" x14ac:dyDescent="0.25">
      <c r="A48" t="s">
        <v>79</v>
      </c>
      <c r="B48">
        <v>1</v>
      </c>
      <c r="C48">
        <v>1</v>
      </c>
      <c r="D48">
        <v>3</v>
      </c>
      <c r="E48">
        <v>1</v>
      </c>
      <c r="G48">
        <v>113</v>
      </c>
      <c r="H48" t="s">
        <v>63</v>
      </c>
      <c r="I48" t="s">
        <v>80</v>
      </c>
      <c r="J48" t="s">
        <v>141</v>
      </c>
      <c r="L48">
        <v>0</v>
      </c>
      <c r="M48" t="s">
        <v>125</v>
      </c>
      <c r="O48" t="s">
        <v>125</v>
      </c>
      <c r="P48" t="s">
        <v>125</v>
      </c>
      <c r="Q48" t="s">
        <v>125</v>
      </c>
      <c r="R48" t="s">
        <v>125</v>
      </c>
      <c r="S48" t="s">
        <v>125</v>
      </c>
      <c r="T48">
        <v>0</v>
      </c>
      <c r="V48" t="s">
        <v>125</v>
      </c>
      <c r="AE48" t="s">
        <v>125</v>
      </c>
      <c r="AF48">
        <v>0</v>
      </c>
      <c r="AG48" t="s">
        <v>125</v>
      </c>
      <c r="AH48">
        <v>0</v>
      </c>
      <c r="AK48">
        <v>0</v>
      </c>
    </row>
    <row r="49" spans="1:37" x14ac:dyDescent="0.25">
      <c r="A49" t="s">
        <v>79</v>
      </c>
      <c r="B49">
        <v>1</v>
      </c>
      <c r="C49">
        <v>1</v>
      </c>
      <c r="D49">
        <v>3</v>
      </c>
      <c r="E49">
        <v>2</v>
      </c>
      <c r="G49">
        <v>113</v>
      </c>
      <c r="H49" t="s">
        <v>63</v>
      </c>
      <c r="I49" t="s">
        <v>88</v>
      </c>
      <c r="J49" t="s">
        <v>142</v>
      </c>
      <c r="L49">
        <v>0</v>
      </c>
      <c r="M49" t="s">
        <v>125</v>
      </c>
      <c r="O49" t="s">
        <v>125</v>
      </c>
      <c r="P49" t="s">
        <v>125</v>
      </c>
      <c r="Q49" t="s">
        <v>125</v>
      </c>
      <c r="R49" t="s">
        <v>125</v>
      </c>
      <c r="S49" t="s">
        <v>125</v>
      </c>
      <c r="T49">
        <v>0</v>
      </c>
      <c r="V49" t="s">
        <v>125</v>
      </c>
      <c r="AE49" t="s">
        <v>125</v>
      </c>
      <c r="AF49">
        <v>0</v>
      </c>
      <c r="AG49" t="s">
        <v>125</v>
      </c>
      <c r="AH49">
        <v>0</v>
      </c>
      <c r="AK49">
        <v>0</v>
      </c>
    </row>
    <row r="50" spans="1:37" x14ac:dyDescent="0.25">
      <c r="A50" t="s">
        <v>79</v>
      </c>
      <c r="B50">
        <v>1</v>
      </c>
      <c r="C50">
        <v>1</v>
      </c>
      <c r="D50">
        <v>3</v>
      </c>
      <c r="E50">
        <v>3</v>
      </c>
      <c r="G50">
        <v>113</v>
      </c>
      <c r="H50" t="s">
        <v>63</v>
      </c>
      <c r="I50" t="s">
        <v>95</v>
      </c>
      <c r="J50" t="s">
        <v>143</v>
      </c>
      <c r="L50">
        <v>0</v>
      </c>
      <c r="M50" t="s">
        <v>125</v>
      </c>
      <c r="O50" t="s">
        <v>125</v>
      </c>
      <c r="P50" t="s">
        <v>125</v>
      </c>
      <c r="Q50" t="s">
        <v>125</v>
      </c>
      <c r="R50" t="s">
        <v>125</v>
      </c>
      <c r="S50" t="s">
        <v>125</v>
      </c>
      <c r="T50">
        <v>0</v>
      </c>
      <c r="V50" t="s">
        <v>125</v>
      </c>
      <c r="AE50" t="s">
        <v>125</v>
      </c>
      <c r="AF50">
        <v>0</v>
      </c>
      <c r="AG50" t="s">
        <v>125</v>
      </c>
      <c r="AH50">
        <v>0</v>
      </c>
      <c r="AK50">
        <v>0</v>
      </c>
    </row>
    <row r="51" spans="1:37" x14ac:dyDescent="0.25">
      <c r="A51" t="s">
        <v>79</v>
      </c>
      <c r="B51">
        <v>1</v>
      </c>
      <c r="C51">
        <v>1</v>
      </c>
      <c r="D51">
        <v>3</v>
      </c>
      <c r="E51">
        <v>4</v>
      </c>
      <c r="G51">
        <v>113</v>
      </c>
      <c r="H51" t="s">
        <v>63</v>
      </c>
      <c r="I51" t="s">
        <v>102</v>
      </c>
      <c r="J51" t="s">
        <v>144</v>
      </c>
      <c r="L51">
        <v>0</v>
      </c>
      <c r="M51" t="s">
        <v>125</v>
      </c>
      <c r="O51" t="s">
        <v>125</v>
      </c>
      <c r="P51" t="s">
        <v>125</v>
      </c>
      <c r="Q51" t="s">
        <v>125</v>
      </c>
      <c r="R51" t="s">
        <v>125</v>
      </c>
      <c r="S51" t="s">
        <v>125</v>
      </c>
      <c r="T51">
        <v>0</v>
      </c>
      <c r="V51" t="s">
        <v>125</v>
      </c>
      <c r="AE51" t="s">
        <v>125</v>
      </c>
      <c r="AF51">
        <v>0</v>
      </c>
      <c r="AG51" t="s">
        <v>125</v>
      </c>
      <c r="AH51">
        <v>0</v>
      </c>
      <c r="AK51">
        <v>0</v>
      </c>
    </row>
    <row r="52" spans="1:37" x14ac:dyDescent="0.25">
      <c r="A52" t="s">
        <v>79</v>
      </c>
      <c r="B52">
        <v>1</v>
      </c>
      <c r="C52">
        <v>1</v>
      </c>
      <c r="D52">
        <v>3</v>
      </c>
      <c r="E52">
        <v>5</v>
      </c>
      <c r="G52">
        <v>113</v>
      </c>
      <c r="H52" t="s">
        <v>63</v>
      </c>
      <c r="I52" t="s">
        <v>109</v>
      </c>
      <c r="J52" t="s">
        <v>145</v>
      </c>
      <c r="L52">
        <v>0</v>
      </c>
      <c r="M52" t="s">
        <v>125</v>
      </c>
      <c r="O52" t="s">
        <v>125</v>
      </c>
      <c r="P52" t="s">
        <v>125</v>
      </c>
      <c r="Q52" t="s">
        <v>125</v>
      </c>
      <c r="R52" t="s">
        <v>125</v>
      </c>
      <c r="S52" t="s">
        <v>125</v>
      </c>
      <c r="T52">
        <v>0</v>
      </c>
      <c r="V52" t="s">
        <v>125</v>
      </c>
      <c r="AE52" t="s">
        <v>125</v>
      </c>
      <c r="AF52">
        <v>0</v>
      </c>
      <c r="AG52" t="s">
        <v>125</v>
      </c>
      <c r="AH52">
        <v>0</v>
      </c>
      <c r="AK52">
        <v>0</v>
      </c>
    </row>
    <row r="53" spans="1:37" x14ac:dyDescent="0.25">
      <c r="A53" t="s">
        <v>79</v>
      </c>
      <c r="B53">
        <v>1</v>
      </c>
      <c r="C53">
        <v>1</v>
      </c>
      <c r="D53">
        <v>3</v>
      </c>
      <c r="E53">
        <v>6</v>
      </c>
      <c r="G53">
        <v>113</v>
      </c>
      <c r="H53" t="s">
        <v>63</v>
      </c>
      <c r="I53" t="s">
        <v>116</v>
      </c>
      <c r="J53" t="s">
        <v>146</v>
      </c>
      <c r="L53">
        <v>0</v>
      </c>
      <c r="M53" t="s">
        <v>125</v>
      </c>
      <c r="O53" t="s">
        <v>125</v>
      </c>
      <c r="P53" t="s">
        <v>125</v>
      </c>
      <c r="Q53" t="s">
        <v>125</v>
      </c>
      <c r="R53" t="s">
        <v>125</v>
      </c>
      <c r="S53" t="s">
        <v>125</v>
      </c>
      <c r="T53">
        <v>0</v>
      </c>
      <c r="V53" t="s">
        <v>125</v>
      </c>
      <c r="AE53" t="s">
        <v>125</v>
      </c>
      <c r="AF53">
        <v>0</v>
      </c>
      <c r="AG53" t="s">
        <v>125</v>
      </c>
      <c r="AH53">
        <v>0</v>
      </c>
      <c r="AK53">
        <v>0</v>
      </c>
    </row>
    <row r="54" spans="1:37" x14ac:dyDescent="0.25">
      <c r="A54" t="s">
        <v>79</v>
      </c>
      <c r="B54">
        <v>1</v>
      </c>
      <c r="C54">
        <v>1</v>
      </c>
      <c r="D54">
        <v>3</v>
      </c>
      <c r="E54">
        <v>7</v>
      </c>
      <c r="G54">
        <v>113</v>
      </c>
      <c r="H54" t="s">
        <v>63</v>
      </c>
      <c r="I54" t="s">
        <v>123</v>
      </c>
      <c r="J54" t="s">
        <v>147</v>
      </c>
      <c r="L54">
        <v>0</v>
      </c>
      <c r="M54" t="s">
        <v>125</v>
      </c>
      <c r="O54" t="s">
        <v>125</v>
      </c>
      <c r="P54" t="s">
        <v>125</v>
      </c>
      <c r="Q54" t="s">
        <v>125</v>
      </c>
      <c r="R54" t="s">
        <v>125</v>
      </c>
      <c r="S54" t="s">
        <v>125</v>
      </c>
      <c r="T54">
        <v>0</v>
      </c>
      <c r="V54" t="s">
        <v>125</v>
      </c>
      <c r="AE54" t="s">
        <v>125</v>
      </c>
      <c r="AF54">
        <v>0</v>
      </c>
      <c r="AG54" t="s">
        <v>125</v>
      </c>
      <c r="AH54">
        <v>0</v>
      </c>
      <c r="AK54">
        <v>0</v>
      </c>
    </row>
    <row r="55" spans="1:37" x14ac:dyDescent="0.25">
      <c r="A55" t="s">
        <v>79</v>
      </c>
      <c r="B55">
        <v>1</v>
      </c>
      <c r="C55">
        <v>1</v>
      </c>
      <c r="D55">
        <v>3</v>
      </c>
      <c r="E55">
        <v>8</v>
      </c>
      <c r="G55">
        <v>113</v>
      </c>
      <c r="H55" t="s">
        <v>63</v>
      </c>
      <c r="I55" t="s">
        <v>126</v>
      </c>
      <c r="J55" t="s">
        <v>148</v>
      </c>
      <c r="L55">
        <v>0</v>
      </c>
      <c r="M55" t="s">
        <v>125</v>
      </c>
      <c r="O55" t="s">
        <v>125</v>
      </c>
      <c r="P55" t="s">
        <v>125</v>
      </c>
      <c r="Q55" t="s">
        <v>125</v>
      </c>
      <c r="R55" t="s">
        <v>125</v>
      </c>
      <c r="S55" t="s">
        <v>125</v>
      </c>
      <c r="T55">
        <v>0</v>
      </c>
      <c r="V55" t="s">
        <v>125</v>
      </c>
      <c r="AE55" t="s">
        <v>125</v>
      </c>
      <c r="AF55">
        <v>0</v>
      </c>
      <c r="AG55" t="s">
        <v>125</v>
      </c>
      <c r="AH55">
        <v>0</v>
      </c>
      <c r="AK55">
        <v>0</v>
      </c>
    </row>
    <row r="56" spans="1:37" x14ac:dyDescent="0.25">
      <c r="A56" t="s">
        <v>79</v>
      </c>
      <c r="B56">
        <v>1</v>
      </c>
      <c r="C56">
        <v>1</v>
      </c>
      <c r="D56">
        <v>3</v>
      </c>
      <c r="E56">
        <v>9</v>
      </c>
      <c r="G56">
        <v>113</v>
      </c>
      <c r="H56" t="s">
        <v>63</v>
      </c>
      <c r="I56" t="s">
        <v>74</v>
      </c>
      <c r="J56" t="s">
        <v>149</v>
      </c>
      <c r="L56">
        <v>0</v>
      </c>
      <c r="M56" t="s">
        <v>125</v>
      </c>
      <c r="O56" t="s">
        <v>125</v>
      </c>
      <c r="P56" t="s">
        <v>125</v>
      </c>
      <c r="Q56" t="s">
        <v>125</v>
      </c>
      <c r="R56" t="s">
        <v>125</v>
      </c>
      <c r="S56" t="s">
        <v>125</v>
      </c>
      <c r="T56">
        <v>0</v>
      </c>
      <c r="V56" t="s">
        <v>125</v>
      </c>
      <c r="AE56" t="s">
        <v>125</v>
      </c>
      <c r="AF56">
        <v>0</v>
      </c>
      <c r="AG56" t="s">
        <v>125</v>
      </c>
      <c r="AH56">
        <v>0</v>
      </c>
      <c r="AK56">
        <v>0</v>
      </c>
    </row>
    <row r="57" spans="1:37" x14ac:dyDescent="0.25">
      <c r="A57" t="s">
        <v>79</v>
      </c>
      <c r="B57">
        <v>1</v>
      </c>
      <c r="C57">
        <v>1</v>
      </c>
      <c r="D57">
        <v>3</v>
      </c>
      <c r="E57">
        <v>10</v>
      </c>
      <c r="G57">
        <v>113</v>
      </c>
      <c r="H57" t="s">
        <v>63</v>
      </c>
      <c r="I57" t="s">
        <v>129</v>
      </c>
      <c r="J57" t="s">
        <v>150</v>
      </c>
      <c r="L57">
        <v>0</v>
      </c>
      <c r="M57" t="s">
        <v>125</v>
      </c>
      <c r="O57" t="s">
        <v>125</v>
      </c>
      <c r="P57" t="s">
        <v>125</v>
      </c>
      <c r="Q57" t="s">
        <v>125</v>
      </c>
      <c r="R57" t="s">
        <v>125</v>
      </c>
      <c r="S57" t="s">
        <v>125</v>
      </c>
      <c r="T57">
        <v>0</v>
      </c>
      <c r="V57" t="s">
        <v>125</v>
      </c>
      <c r="AE57" t="s">
        <v>125</v>
      </c>
      <c r="AF57">
        <v>0</v>
      </c>
      <c r="AG57" t="s">
        <v>125</v>
      </c>
      <c r="AH57">
        <v>0</v>
      </c>
      <c r="AK57">
        <v>0</v>
      </c>
    </row>
    <row r="58" spans="1:37" x14ac:dyDescent="0.25">
      <c r="A58" t="s">
        <v>79</v>
      </c>
      <c r="B58">
        <v>1</v>
      </c>
      <c r="C58">
        <v>1</v>
      </c>
      <c r="D58">
        <v>3</v>
      </c>
      <c r="E58">
        <v>11</v>
      </c>
      <c r="G58">
        <v>113</v>
      </c>
      <c r="H58" t="s">
        <v>63</v>
      </c>
      <c r="I58" t="s">
        <v>131</v>
      </c>
      <c r="J58" t="s">
        <v>151</v>
      </c>
      <c r="L58">
        <v>0</v>
      </c>
      <c r="M58" t="s">
        <v>125</v>
      </c>
      <c r="O58" t="s">
        <v>125</v>
      </c>
      <c r="P58" t="s">
        <v>125</v>
      </c>
      <c r="Q58" t="s">
        <v>125</v>
      </c>
      <c r="R58" t="s">
        <v>125</v>
      </c>
      <c r="S58" t="s">
        <v>125</v>
      </c>
      <c r="T58">
        <v>0</v>
      </c>
      <c r="V58" t="s">
        <v>125</v>
      </c>
      <c r="AE58" t="s">
        <v>125</v>
      </c>
      <c r="AF58">
        <v>0</v>
      </c>
      <c r="AG58" t="s">
        <v>125</v>
      </c>
      <c r="AH58">
        <v>0</v>
      </c>
      <c r="AK58">
        <v>0</v>
      </c>
    </row>
    <row r="59" spans="1:37" x14ac:dyDescent="0.25">
      <c r="A59" t="s">
        <v>79</v>
      </c>
      <c r="B59">
        <v>1</v>
      </c>
      <c r="C59">
        <v>1</v>
      </c>
      <c r="D59">
        <v>3</v>
      </c>
      <c r="E59">
        <v>12</v>
      </c>
      <c r="G59">
        <v>113</v>
      </c>
      <c r="H59" t="s">
        <v>63</v>
      </c>
      <c r="I59" t="s">
        <v>133</v>
      </c>
      <c r="J59" t="s">
        <v>152</v>
      </c>
      <c r="L59">
        <v>0</v>
      </c>
      <c r="M59" t="s">
        <v>125</v>
      </c>
      <c r="O59" t="s">
        <v>125</v>
      </c>
      <c r="P59" t="s">
        <v>125</v>
      </c>
      <c r="Q59" t="s">
        <v>125</v>
      </c>
      <c r="R59" t="s">
        <v>125</v>
      </c>
      <c r="S59" t="s">
        <v>125</v>
      </c>
      <c r="T59">
        <v>0</v>
      </c>
      <c r="V59" t="s">
        <v>125</v>
      </c>
      <c r="AE59" t="s">
        <v>125</v>
      </c>
      <c r="AF59">
        <v>0</v>
      </c>
      <c r="AG59" t="s">
        <v>125</v>
      </c>
      <c r="AH59">
        <v>0</v>
      </c>
      <c r="AK59">
        <v>0</v>
      </c>
    </row>
    <row r="60" spans="1:37" x14ac:dyDescent="0.25">
      <c r="A60" t="s">
        <v>79</v>
      </c>
      <c r="B60">
        <v>1</v>
      </c>
      <c r="C60">
        <v>1</v>
      </c>
      <c r="D60">
        <v>3</v>
      </c>
      <c r="E60">
        <v>13</v>
      </c>
      <c r="G60">
        <v>113</v>
      </c>
      <c r="H60" t="s">
        <v>63</v>
      </c>
      <c r="I60" t="s">
        <v>135</v>
      </c>
      <c r="J60" t="s">
        <v>153</v>
      </c>
      <c r="L60">
        <v>0</v>
      </c>
      <c r="M60" t="s">
        <v>125</v>
      </c>
      <c r="O60" t="s">
        <v>125</v>
      </c>
      <c r="P60" t="s">
        <v>125</v>
      </c>
      <c r="Q60" t="s">
        <v>125</v>
      </c>
      <c r="R60" t="s">
        <v>125</v>
      </c>
      <c r="S60" t="s">
        <v>125</v>
      </c>
      <c r="T60">
        <v>0</v>
      </c>
      <c r="V60" t="s">
        <v>125</v>
      </c>
      <c r="AE60" t="s">
        <v>125</v>
      </c>
      <c r="AF60">
        <v>0</v>
      </c>
      <c r="AG60" t="s">
        <v>125</v>
      </c>
      <c r="AH60">
        <v>0</v>
      </c>
      <c r="AK60">
        <v>0</v>
      </c>
    </row>
    <row r="61" spans="1:37" x14ac:dyDescent="0.25">
      <c r="A61" t="s">
        <v>79</v>
      </c>
      <c r="B61">
        <v>1</v>
      </c>
      <c r="C61">
        <v>1</v>
      </c>
      <c r="D61">
        <v>3</v>
      </c>
      <c r="E61">
        <v>14</v>
      </c>
      <c r="G61">
        <v>113</v>
      </c>
      <c r="H61" t="s">
        <v>63</v>
      </c>
      <c r="I61" t="s">
        <v>137</v>
      </c>
      <c r="J61" t="s">
        <v>154</v>
      </c>
      <c r="L61">
        <v>0</v>
      </c>
      <c r="M61" t="s">
        <v>125</v>
      </c>
      <c r="O61" t="s">
        <v>125</v>
      </c>
      <c r="P61" t="s">
        <v>125</v>
      </c>
      <c r="Q61" t="s">
        <v>125</v>
      </c>
      <c r="R61" t="s">
        <v>125</v>
      </c>
      <c r="S61" t="s">
        <v>125</v>
      </c>
      <c r="T61">
        <v>0</v>
      </c>
      <c r="V61" t="s">
        <v>125</v>
      </c>
      <c r="AE61" t="s">
        <v>125</v>
      </c>
      <c r="AF61">
        <v>0</v>
      </c>
      <c r="AG61" t="s">
        <v>125</v>
      </c>
      <c r="AH61">
        <v>0</v>
      </c>
      <c r="AK61">
        <v>0</v>
      </c>
    </row>
    <row r="62" spans="1:37" x14ac:dyDescent="0.25">
      <c r="A62" t="s">
        <v>79</v>
      </c>
      <c r="B62">
        <v>1</v>
      </c>
      <c r="C62">
        <v>1</v>
      </c>
      <c r="D62">
        <v>3</v>
      </c>
      <c r="E62">
        <v>15</v>
      </c>
      <c r="G62">
        <v>113</v>
      </c>
      <c r="H62" t="s">
        <v>63</v>
      </c>
      <c r="I62" t="s">
        <v>139</v>
      </c>
      <c r="J62" t="s">
        <v>155</v>
      </c>
      <c r="L62">
        <v>0</v>
      </c>
      <c r="M62" t="s">
        <v>125</v>
      </c>
      <c r="O62" t="s">
        <v>125</v>
      </c>
      <c r="P62" t="s">
        <v>125</v>
      </c>
      <c r="Q62" t="s">
        <v>125</v>
      </c>
      <c r="R62" t="s">
        <v>125</v>
      </c>
      <c r="S62" t="s">
        <v>125</v>
      </c>
      <c r="T62">
        <v>0</v>
      </c>
      <c r="V62" t="s">
        <v>125</v>
      </c>
      <c r="AE62" t="s">
        <v>125</v>
      </c>
      <c r="AF62">
        <v>0</v>
      </c>
      <c r="AG62" t="s">
        <v>125</v>
      </c>
      <c r="AH62">
        <v>0</v>
      </c>
      <c r="AK62">
        <v>0</v>
      </c>
    </row>
    <row r="63" spans="1:37" x14ac:dyDescent="0.25">
      <c r="L63">
        <v>0</v>
      </c>
    </row>
    <row r="64" spans="1:37" x14ac:dyDescent="0.25">
      <c r="A64" t="s">
        <v>70</v>
      </c>
      <c r="B64">
        <v>1</v>
      </c>
      <c r="C64">
        <v>1</v>
      </c>
      <c r="D64">
        <v>4</v>
      </c>
      <c r="G64">
        <v>11</v>
      </c>
      <c r="L64">
        <v>0</v>
      </c>
      <c r="M64" t="s">
        <v>125</v>
      </c>
      <c r="P64" t="s">
        <v>125</v>
      </c>
      <c r="R64" t="s">
        <v>125</v>
      </c>
      <c r="S64" t="s">
        <v>63</v>
      </c>
      <c r="V64" t="s">
        <v>125</v>
      </c>
      <c r="X64" t="s">
        <v>125</v>
      </c>
      <c r="Y64" t="s">
        <v>125</v>
      </c>
      <c r="Z64" t="s">
        <v>125</v>
      </c>
      <c r="AA64" t="s">
        <v>125</v>
      </c>
      <c r="AB64" t="s">
        <v>125</v>
      </c>
      <c r="AC64" t="s">
        <v>125</v>
      </c>
      <c r="AE64" t="s">
        <v>125</v>
      </c>
      <c r="AF64">
        <v>0</v>
      </c>
      <c r="AG64" t="s">
        <v>125</v>
      </c>
      <c r="AH64">
        <v>0</v>
      </c>
      <c r="AK64">
        <v>0</v>
      </c>
    </row>
    <row r="65" spans="1:37" x14ac:dyDescent="0.25">
      <c r="A65" t="s">
        <v>79</v>
      </c>
      <c r="B65">
        <v>1</v>
      </c>
      <c r="C65">
        <v>1</v>
      </c>
      <c r="D65">
        <v>4</v>
      </c>
      <c r="E65">
        <v>1</v>
      </c>
      <c r="G65">
        <v>114</v>
      </c>
      <c r="H65" t="s">
        <v>63</v>
      </c>
      <c r="I65" t="s">
        <v>80</v>
      </c>
      <c r="J65" t="s">
        <v>141</v>
      </c>
      <c r="L65">
        <v>0</v>
      </c>
      <c r="M65" t="s">
        <v>125</v>
      </c>
      <c r="O65" t="s">
        <v>125</v>
      </c>
      <c r="P65" t="s">
        <v>125</v>
      </c>
      <c r="Q65" t="s">
        <v>125</v>
      </c>
      <c r="R65" t="s">
        <v>125</v>
      </c>
      <c r="S65" t="s">
        <v>125</v>
      </c>
      <c r="T65">
        <v>0</v>
      </c>
      <c r="V65" t="s">
        <v>125</v>
      </c>
      <c r="AE65" t="s">
        <v>125</v>
      </c>
      <c r="AF65">
        <v>0</v>
      </c>
      <c r="AG65" t="s">
        <v>125</v>
      </c>
      <c r="AH65">
        <v>0</v>
      </c>
      <c r="AK65">
        <v>0</v>
      </c>
    </row>
    <row r="66" spans="1:37" x14ac:dyDescent="0.25">
      <c r="A66" t="s">
        <v>79</v>
      </c>
      <c r="B66">
        <v>1</v>
      </c>
      <c r="C66">
        <v>1</v>
      </c>
      <c r="D66">
        <v>4</v>
      </c>
      <c r="E66">
        <v>2</v>
      </c>
      <c r="G66">
        <v>114</v>
      </c>
      <c r="H66" t="s">
        <v>63</v>
      </c>
      <c r="I66" t="s">
        <v>88</v>
      </c>
      <c r="J66" t="s">
        <v>142</v>
      </c>
      <c r="L66">
        <v>0</v>
      </c>
      <c r="M66" t="s">
        <v>125</v>
      </c>
      <c r="O66" t="s">
        <v>125</v>
      </c>
      <c r="P66" t="s">
        <v>125</v>
      </c>
      <c r="Q66" t="s">
        <v>125</v>
      </c>
      <c r="R66" t="s">
        <v>125</v>
      </c>
      <c r="S66" t="s">
        <v>125</v>
      </c>
      <c r="T66">
        <v>0</v>
      </c>
      <c r="V66" t="s">
        <v>125</v>
      </c>
      <c r="AE66" t="s">
        <v>125</v>
      </c>
      <c r="AF66">
        <v>0</v>
      </c>
      <c r="AG66" t="s">
        <v>125</v>
      </c>
      <c r="AH66">
        <v>0</v>
      </c>
      <c r="AK66">
        <v>0</v>
      </c>
    </row>
    <row r="67" spans="1:37" x14ac:dyDescent="0.25">
      <c r="A67" t="s">
        <v>79</v>
      </c>
      <c r="B67">
        <v>1</v>
      </c>
      <c r="C67">
        <v>1</v>
      </c>
      <c r="D67">
        <v>4</v>
      </c>
      <c r="E67">
        <v>3</v>
      </c>
      <c r="G67">
        <v>114</v>
      </c>
      <c r="H67" t="s">
        <v>63</v>
      </c>
      <c r="I67" t="s">
        <v>95</v>
      </c>
      <c r="J67" t="s">
        <v>143</v>
      </c>
      <c r="L67">
        <v>0</v>
      </c>
      <c r="M67" t="s">
        <v>125</v>
      </c>
      <c r="O67" t="s">
        <v>125</v>
      </c>
      <c r="P67" t="s">
        <v>125</v>
      </c>
      <c r="Q67" t="s">
        <v>125</v>
      </c>
      <c r="R67" t="s">
        <v>125</v>
      </c>
      <c r="S67" t="s">
        <v>125</v>
      </c>
      <c r="T67">
        <v>0</v>
      </c>
      <c r="V67" t="s">
        <v>125</v>
      </c>
      <c r="AE67" t="s">
        <v>125</v>
      </c>
      <c r="AF67">
        <v>0</v>
      </c>
      <c r="AG67" t="s">
        <v>125</v>
      </c>
      <c r="AH67">
        <v>0</v>
      </c>
      <c r="AK67">
        <v>0</v>
      </c>
    </row>
    <row r="68" spans="1:37" x14ac:dyDescent="0.25">
      <c r="A68" t="s">
        <v>79</v>
      </c>
      <c r="B68">
        <v>1</v>
      </c>
      <c r="C68">
        <v>1</v>
      </c>
      <c r="D68">
        <v>4</v>
      </c>
      <c r="E68">
        <v>4</v>
      </c>
      <c r="G68">
        <v>114</v>
      </c>
      <c r="H68" t="s">
        <v>63</v>
      </c>
      <c r="I68" t="s">
        <v>102</v>
      </c>
      <c r="J68" t="s">
        <v>144</v>
      </c>
      <c r="L68">
        <v>0</v>
      </c>
      <c r="M68" t="s">
        <v>125</v>
      </c>
      <c r="O68" t="s">
        <v>125</v>
      </c>
      <c r="P68" t="s">
        <v>125</v>
      </c>
      <c r="Q68" t="s">
        <v>125</v>
      </c>
      <c r="R68" t="s">
        <v>125</v>
      </c>
      <c r="S68" t="s">
        <v>125</v>
      </c>
      <c r="T68">
        <v>0</v>
      </c>
      <c r="V68" t="s">
        <v>125</v>
      </c>
      <c r="AE68" t="s">
        <v>125</v>
      </c>
      <c r="AF68">
        <v>0</v>
      </c>
      <c r="AG68" t="s">
        <v>125</v>
      </c>
      <c r="AH68">
        <v>0</v>
      </c>
      <c r="AK68">
        <v>0</v>
      </c>
    </row>
    <row r="69" spans="1:37" x14ac:dyDescent="0.25">
      <c r="A69" t="s">
        <v>79</v>
      </c>
      <c r="B69">
        <v>1</v>
      </c>
      <c r="C69">
        <v>1</v>
      </c>
      <c r="D69">
        <v>4</v>
      </c>
      <c r="E69">
        <v>5</v>
      </c>
      <c r="G69">
        <v>114</v>
      </c>
      <c r="H69" t="s">
        <v>63</v>
      </c>
      <c r="I69" t="s">
        <v>109</v>
      </c>
      <c r="J69" t="s">
        <v>145</v>
      </c>
      <c r="L69">
        <v>0</v>
      </c>
      <c r="M69" t="s">
        <v>125</v>
      </c>
      <c r="O69" t="s">
        <v>125</v>
      </c>
      <c r="P69" t="s">
        <v>125</v>
      </c>
      <c r="Q69" t="s">
        <v>125</v>
      </c>
      <c r="R69" t="s">
        <v>125</v>
      </c>
      <c r="S69" t="s">
        <v>125</v>
      </c>
      <c r="T69">
        <v>0</v>
      </c>
      <c r="V69" t="s">
        <v>125</v>
      </c>
      <c r="AE69" t="s">
        <v>125</v>
      </c>
      <c r="AF69">
        <v>0</v>
      </c>
      <c r="AG69" t="s">
        <v>125</v>
      </c>
      <c r="AH69">
        <v>0</v>
      </c>
      <c r="AK69">
        <v>0</v>
      </c>
    </row>
    <row r="70" spans="1:37" x14ac:dyDescent="0.25">
      <c r="A70" t="s">
        <v>79</v>
      </c>
      <c r="B70">
        <v>1</v>
      </c>
      <c r="C70">
        <v>1</v>
      </c>
      <c r="D70">
        <v>4</v>
      </c>
      <c r="E70">
        <v>6</v>
      </c>
      <c r="G70">
        <v>114</v>
      </c>
      <c r="H70" t="s">
        <v>63</v>
      </c>
      <c r="I70" t="s">
        <v>116</v>
      </c>
      <c r="J70" t="s">
        <v>146</v>
      </c>
      <c r="L70">
        <v>0</v>
      </c>
      <c r="M70" t="s">
        <v>125</v>
      </c>
      <c r="O70" t="s">
        <v>125</v>
      </c>
      <c r="P70" t="s">
        <v>125</v>
      </c>
      <c r="Q70" t="s">
        <v>125</v>
      </c>
      <c r="R70" t="s">
        <v>125</v>
      </c>
      <c r="S70" t="s">
        <v>125</v>
      </c>
      <c r="T70">
        <v>0</v>
      </c>
      <c r="V70" t="s">
        <v>125</v>
      </c>
      <c r="AE70" t="s">
        <v>125</v>
      </c>
      <c r="AF70">
        <v>0</v>
      </c>
      <c r="AG70" t="s">
        <v>125</v>
      </c>
      <c r="AH70">
        <v>0</v>
      </c>
      <c r="AK70">
        <v>0</v>
      </c>
    </row>
    <row r="71" spans="1:37" x14ac:dyDescent="0.25">
      <c r="A71" t="s">
        <v>79</v>
      </c>
      <c r="B71">
        <v>1</v>
      </c>
      <c r="C71">
        <v>1</v>
      </c>
      <c r="D71">
        <v>4</v>
      </c>
      <c r="E71">
        <v>7</v>
      </c>
      <c r="G71">
        <v>114</v>
      </c>
      <c r="H71" t="s">
        <v>63</v>
      </c>
      <c r="I71" t="s">
        <v>123</v>
      </c>
      <c r="J71" t="s">
        <v>147</v>
      </c>
      <c r="L71">
        <v>0</v>
      </c>
      <c r="M71" t="s">
        <v>125</v>
      </c>
      <c r="O71" t="s">
        <v>125</v>
      </c>
      <c r="P71" t="s">
        <v>125</v>
      </c>
      <c r="Q71" t="s">
        <v>125</v>
      </c>
      <c r="R71" t="s">
        <v>125</v>
      </c>
      <c r="S71" t="s">
        <v>125</v>
      </c>
      <c r="T71">
        <v>0</v>
      </c>
      <c r="V71" t="s">
        <v>125</v>
      </c>
      <c r="AE71" t="s">
        <v>125</v>
      </c>
      <c r="AF71">
        <v>0</v>
      </c>
      <c r="AG71" t="s">
        <v>125</v>
      </c>
      <c r="AH71">
        <v>0</v>
      </c>
      <c r="AK71">
        <v>0</v>
      </c>
    </row>
    <row r="72" spans="1:37" x14ac:dyDescent="0.25">
      <c r="A72" t="s">
        <v>79</v>
      </c>
      <c r="B72">
        <v>1</v>
      </c>
      <c r="C72">
        <v>1</v>
      </c>
      <c r="D72">
        <v>4</v>
      </c>
      <c r="E72">
        <v>8</v>
      </c>
      <c r="G72">
        <v>114</v>
      </c>
      <c r="H72" t="s">
        <v>63</v>
      </c>
      <c r="I72" t="s">
        <v>126</v>
      </c>
      <c r="J72" t="s">
        <v>148</v>
      </c>
      <c r="L72">
        <v>0</v>
      </c>
      <c r="M72" t="s">
        <v>125</v>
      </c>
      <c r="O72" t="s">
        <v>125</v>
      </c>
      <c r="P72" t="s">
        <v>125</v>
      </c>
      <c r="Q72" t="s">
        <v>125</v>
      </c>
      <c r="R72" t="s">
        <v>125</v>
      </c>
      <c r="S72" t="s">
        <v>125</v>
      </c>
      <c r="T72">
        <v>0</v>
      </c>
      <c r="V72" t="s">
        <v>125</v>
      </c>
      <c r="AE72" t="s">
        <v>125</v>
      </c>
      <c r="AF72">
        <v>0</v>
      </c>
      <c r="AG72" t="s">
        <v>125</v>
      </c>
      <c r="AH72">
        <v>0</v>
      </c>
      <c r="AK72">
        <v>0</v>
      </c>
    </row>
    <row r="73" spans="1:37" x14ac:dyDescent="0.25">
      <c r="A73" t="s">
        <v>79</v>
      </c>
      <c r="B73">
        <v>1</v>
      </c>
      <c r="C73">
        <v>1</v>
      </c>
      <c r="D73">
        <v>4</v>
      </c>
      <c r="E73">
        <v>9</v>
      </c>
      <c r="G73">
        <v>114</v>
      </c>
      <c r="H73" t="s">
        <v>63</v>
      </c>
      <c r="I73" t="s">
        <v>74</v>
      </c>
      <c r="J73" t="s">
        <v>149</v>
      </c>
      <c r="L73">
        <v>0</v>
      </c>
      <c r="M73" t="s">
        <v>125</v>
      </c>
      <c r="O73" t="s">
        <v>125</v>
      </c>
      <c r="P73" t="s">
        <v>125</v>
      </c>
      <c r="Q73" t="s">
        <v>125</v>
      </c>
      <c r="R73" t="s">
        <v>125</v>
      </c>
      <c r="S73" t="s">
        <v>125</v>
      </c>
      <c r="T73">
        <v>0</v>
      </c>
      <c r="V73" t="s">
        <v>125</v>
      </c>
      <c r="AE73" t="s">
        <v>125</v>
      </c>
      <c r="AF73">
        <v>0</v>
      </c>
      <c r="AG73" t="s">
        <v>125</v>
      </c>
      <c r="AH73">
        <v>0</v>
      </c>
      <c r="AK73">
        <v>0</v>
      </c>
    </row>
    <row r="74" spans="1:37" x14ac:dyDescent="0.25">
      <c r="A74" t="s">
        <v>79</v>
      </c>
      <c r="B74">
        <v>1</v>
      </c>
      <c r="C74">
        <v>1</v>
      </c>
      <c r="D74">
        <v>4</v>
      </c>
      <c r="E74">
        <v>10</v>
      </c>
      <c r="G74">
        <v>114</v>
      </c>
      <c r="H74" t="s">
        <v>63</v>
      </c>
      <c r="I74" t="s">
        <v>129</v>
      </c>
      <c r="J74" t="s">
        <v>150</v>
      </c>
      <c r="L74">
        <v>0</v>
      </c>
      <c r="M74" t="s">
        <v>125</v>
      </c>
      <c r="O74" t="s">
        <v>125</v>
      </c>
      <c r="P74" t="s">
        <v>125</v>
      </c>
      <c r="Q74" t="s">
        <v>125</v>
      </c>
      <c r="R74" t="s">
        <v>125</v>
      </c>
      <c r="S74" t="s">
        <v>125</v>
      </c>
      <c r="T74">
        <v>0</v>
      </c>
      <c r="V74" t="s">
        <v>125</v>
      </c>
      <c r="AE74" t="s">
        <v>125</v>
      </c>
      <c r="AF74">
        <v>0</v>
      </c>
      <c r="AG74" t="s">
        <v>125</v>
      </c>
      <c r="AH74">
        <v>0</v>
      </c>
      <c r="AK74">
        <v>0</v>
      </c>
    </row>
    <row r="75" spans="1:37" x14ac:dyDescent="0.25">
      <c r="A75" t="s">
        <v>79</v>
      </c>
      <c r="B75">
        <v>1</v>
      </c>
      <c r="C75">
        <v>1</v>
      </c>
      <c r="D75">
        <v>4</v>
      </c>
      <c r="E75">
        <v>11</v>
      </c>
      <c r="G75">
        <v>114</v>
      </c>
      <c r="H75" t="s">
        <v>63</v>
      </c>
      <c r="I75" t="s">
        <v>131</v>
      </c>
      <c r="J75" t="s">
        <v>151</v>
      </c>
      <c r="L75">
        <v>0</v>
      </c>
      <c r="M75" t="s">
        <v>125</v>
      </c>
      <c r="O75" t="s">
        <v>125</v>
      </c>
      <c r="P75" t="s">
        <v>125</v>
      </c>
      <c r="Q75" t="s">
        <v>125</v>
      </c>
      <c r="R75" t="s">
        <v>125</v>
      </c>
      <c r="S75" t="s">
        <v>125</v>
      </c>
      <c r="T75">
        <v>0</v>
      </c>
      <c r="V75" t="s">
        <v>125</v>
      </c>
      <c r="AE75" t="s">
        <v>125</v>
      </c>
      <c r="AF75">
        <v>0</v>
      </c>
      <c r="AG75" t="s">
        <v>125</v>
      </c>
      <c r="AH75">
        <v>0</v>
      </c>
      <c r="AK75">
        <v>0</v>
      </c>
    </row>
    <row r="76" spans="1:37" x14ac:dyDescent="0.25">
      <c r="A76" t="s">
        <v>79</v>
      </c>
      <c r="B76">
        <v>1</v>
      </c>
      <c r="C76">
        <v>1</v>
      </c>
      <c r="D76">
        <v>4</v>
      </c>
      <c r="E76">
        <v>12</v>
      </c>
      <c r="G76">
        <v>114</v>
      </c>
      <c r="H76" t="s">
        <v>63</v>
      </c>
      <c r="I76" t="s">
        <v>133</v>
      </c>
      <c r="J76" t="s">
        <v>152</v>
      </c>
      <c r="L76">
        <v>0</v>
      </c>
      <c r="M76" t="s">
        <v>125</v>
      </c>
      <c r="O76" t="s">
        <v>125</v>
      </c>
      <c r="P76" t="s">
        <v>125</v>
      </c>
      <c r="Q76" t="s">
        <v>125</v>
      </c>
      <c r="R76" t="s">
        <v>125</v>
      </c>
      <c r="S76" t="s">
        <v>125</v>
      </c>
      <c r="T76">
        <v>0</v>
      </c>
      <c r="V76" t="s">
        <v>125</v>
      </c>
      <c r="AE76" t="s">
        <v>125</v>
      </c>
      <c r="AF76">
        <v>0</v>
      </c>
      <c r="AG76" t="s">
        <v>125</v>
      </c>
      <c r="AH76">
        <v>0</v>
      </c>
      <c r="AK76">
        <v>0</v>
      </c>
    </row>
    <row r="77" spans="1:37" x14ac:dyDescent="0.25">
      <c r="A77" t="s">
        <v>79</v>
      </c>
      <c r="B77">
        <v>1</v>
      </c>
      <c r="C77">
        <v>1</v>
      </c>
      <c r="D77">
        <v>4</v>
      </c>
      <c r="E77">
        <v>13</v>
      </c>
      <c r="G77">
        <v>114</v>
      </c>
      <c r="H77" t="s">
        <v>63</v>
      </c>
      <c r="I77" t="s">
        <v>135</v>
      </c>
      <c r="J77" t="s">
        <v>153</v>
      </c>
      <c r="L77">
        <v>0</v>
      </c>
      <c r="M77" t="s">
        <v>125</v>
      </c>
      <c r="O77" t="s">
        <v>125</v>
      </c>
      <c r="P77" t="s">
        <v>125</v>
      </c>
      <c r="Q77" t="s">
        <v>125</v>
      </c>
      <c r="R77" t="s">
        <v>125</v>
      </c>
      <c r="S77" t="s">
        <v>125</v>
      </c>
      <c r="T77">
        <v>0</v>
      </c>
      <c r="V77" t="s">
        <v>125</v>
      </c>
      <c r="AE77" t="s">
        <v>125</v>
      </c>
      <c r="AF77">
        <v>0</v>
      </c>
      <c r="AG77" t="s">
        <v>125</v>
      </c>
      <c r="AH77">
        <v>0</v>
      </c>
      <c r="AK77">
        <v>0</v>
      </c>
    </row>
    <row r="78" spans="1:37" x14ac:dyDescent="0.25">
      <c r="A78" t="s">
        <v>79</v>
      </c>
      <c r="B78">
        <v>1</v>
      </c>
      <c r="C78">
        <v>1</v>
      </c>
      <c r="D78">
        <v>4</v>
      </c>
      <c r="E78">
        <v>14</v>
      </c>
      <c r="G78">
        <v>114</v>
      </c>
      <c r="H78" t="s">
        <v>63</v>
      </c>
      <c r="I78" t="s">
        <v>137</v>
      </c>
      <c r="J78" t="s">
        <v>154</v>
      </c>
      <c r="L78">
        <v>0</v>
      </c>
      <c r="M78" t="s">
        <v>125</v>
      </c>
      <c r="O78" t="s">
        <v>125</v>
      </c>
      <c r="P78" t="s">
        <v>125</v>
      </c>
      <c r="Q78" t="s">
        <v>125</v>
      </c>
      <c r="R78" t="s">
        <v>125</v>
      </c>
      <c r="S78" t="s">
        <v>125</v>
      </c>
      <c r="T78">
        <v>0</v>
      </c>
      <c r="V78" t="s">
        <v>125</v>
      </c>
      <c r="AE78" t="s">
        <v>125</v>
      </c>
      <c r="AF78">
        <v>0</v>
      </c>
      <c r="AG78" t="s">
        <v>125</v>
      </c>
      <c r="AH78">
        <v>0</v>
      </c>
      <c r="AK78">
        <v>0</v>
      </c>
    </row>
    <row r="79" spans="1:37" x14ac:dyDescent="0.25">
      <c r="A79" t="s">
        <v>79</v>
      </c>
      <c r="B79">
        <v>1</v>
      </c>
      <c r="C79">
        <v>1</v>
      </c>
      <c r="D79">
        <v>4</v>
      </c>
      <c r="E79">
        <v>15</v>
      </c>
      <c r="G79">
        <v>114</v>
      </c>
      <c r="H79" t="s">
        <v>63</v>
      </c>
      <c r="I79" t="s">
        <v>139</v>
      </c>
      <c r="J79" t="s">
        <v>155</v>
      </c>
      <c r="L79">
        <v>0</v>
      </c>
      <c r="M79" t="s">
        <v>125</v>
      </c>
      <c r="O79" t="s">
        <v>125</v>
      </c>
      <c r="P79" t="s">
        <v>125</v>
      </c>
      <c r="Q79" t="s">
        <v>125</v>
      </c>
      <c r="R79" t="s">
        <v>125</v>
      </c>
      <c r="S79" t="s">
        <v>125</v>
      </c>
      <c r="T79">
        <v>0</v>
      </c>
      <c r="V79" t="s">
        <v>125</v>
      </c>
      <c r="AE79" t="s">
        <v>125</v>
      </c>
      <c r="AF79">
        <v>0</v>
      </c>
      <c r="AG79" t="s">
        <v>125</v>
      </c>
      <c r="AH79">
        <v>0</v>
      </c>
      <c r="AK79">
        <v>0</v>
      </c>
    </row>
    <row r="80" spans="1:37" x14ac:dyDescent="0.25">
      <c r="L80">
        <v>0</v>
      </c>
    </row>
    <row r="81" spans="1:37" x14ac:dyDescent="0.25">
      <c r="A81" t="s">
        <v>70</v>
      </c>
      <c r="B81">
        <v>1</v>
      </c>
      <c r="C81">
        <v>1</v>
      </c>
      <c r="D81">
        <v>5</v>
      </c>
      <c r="G81">
        <v>11</v>
      </c>
      <c r="L81">
        <v>0</v>
      </c>
      <c r="M81" t="s">
        <v>125</v>
      </c>
      <c r="P81" t="s">
        <v>125</v>
      </c>
      <c r="R81" t="s">
        <v>125</v>
      </c>
      <c r="S81" t="s">
        <v>63</v>
      </c>
      <c r="V81" t="s">
        <v>125</v>
      </c>
      <c r="X81" t="s">
        <v>125</v>
      </c>
      <c r="Y81" t="s">
        <v>125</v>
      </c>
      <c r="Z81" t="s">
        <v>125</v>
      </c>
      <c r="AA81" t="s">
        <v>125</v>
      </c>
      <c r="AB81" t="s">
        <v>125</v>
      </c>
      <c r="AC81" t="s">
        <v>125</v>
      </c>
      <c r="AE81" t="s">
        <v>125</v>
      </c>
      <c r="AF81">
        <v>0</v>
      </c>
      <c r="AG81" t="s">
        <v>125</v>
      </c>
      <c r="AH81">
        <v>0</v>
      </c>
      <c r="AK81">
        <v>0</v>
      </c>
    </row>
    <row r="82" spans="1:37" x14ac:dyDescent="0.25">
      <c r="A82" t="s">
        <v>79</v>
      </c>
      <c r="B82">
        <v>1</v>
      </c>
      <c r="C82">
        <v>1</v>
      </c>
      <c r="D82">
        <v>5</v>
      </c>
      <c r="E82">
        <v>1</v>
      </c>
      <c r="G82">
        <v>115</v>
      </c>
      <c r="H82" t="s">
        <v>63</v>
      </c>
      <c r="I82" t="s">
        <v>80</v>
      </c>
      <c r="J82" t="s">
        <v>141</v>
      </c>
      <c r="L82">
        <v>0</v>
      </c>
      <c r="M82" t="s">
        <v>125</v>
      </c>
      <c r="O82" t="s">
        <v>125</v>
      </c>
      <c r="P82" t="s">
        <v>125</v>
      </c>
      <c r="Q82" t="s">
        <v>125</v>
      </c>
      <c r="R82" t="s">
        <v>125</v>
      </c>
      <c r="S82" t="s">
        <v>125</v>
      </c>
      <c r="T82">
        <v>0</v>
      </c>
      <c r="V82" t="s">
        <v>125</v>
      </c>
      <c r="AE82" t="s">
        <v>125</v>
      </c>
      <c r="AF82">
        <v>0</v>
      </c>
      <c r="AG82" t="s">
        <v>125</v>
      </c>
      <c r="AH82">
        <v>0</v>
      </c>
      <c r="AK82">
        <v>0</v>
      </c>
    </row>
    <row r="83" spans="1:37" x14ac:dyDescent="0.25">
      <c r="A83" t="s">
        <v>79</v>
      </c>
      <c r="B83">
        <v>1</v>
      </c>
      <c r="C83">
        <v>1</v>
      </c>
      <c r="D83">
        <v>5</v>
      </c>
      <c r="E83">
        <v>2</v>
      </c>
      <c r="G83">
        <v>115</v>
      </c>
      <c r="H83" t="s">
        <v>63</v>
      </c>
      <c r="I83" t="s">
        <v>88</v>
      </c>
      <c r="J83" t="s">
        <v>142</v>
      </c>
      <c r="L83">
        <v>0</v>
      </c>
      <c r="M83" t="s">
        <v>125</v>
      </c>
      <c r="O83" t="s">
        <v>125</v>
      </c>
      <c r="P83" t="s">
        <v>125</v>
      </c>
      <c r="Q83" t="s">
        <v>125</v>
      </c>
      <c r="R83" t="s">
        <v>125</v>
      </c>
      <c r="S83" t="s">
        <v>125</v>
      </c>
      <c r="T83">
        <v>0</v>
      </c>
      <c r="V83" t="s">
        <v>125</v>
      </c>
      <c r="AE83" t="s">
        <v>125</v>
      </c>
      <c r="AF83">
        <v>0</v>
      </c>
      <c r="AG83" t="s">
        <v>125</v>
      </c>
      <c r="AH83">
        <v>0</v>
      </c>
      <c r="AK83">
        <v>0</v>
      </c>
    </row>
    <row r="84" spans="1:37" x14ac:dyDescent="0.25">
      <c r="A84" t="s">
        <v>79</v>
      </c>
      <c r="B84">
        <v>1</v>
      </c>
      <c r="C84">
        <v>1</v>
      </c>
      <c r="D84">
        <v>5</v>
      </c>
      <c r="E84">
        <v>3</v>
      </c>
      <c r="G84">
        <v>115</v>
      </c>
      <c r="H84" t="s">
        <v>63</v>
      </c>
      <c r="I84" t="s">
        <v>95</v>
      </c>
      <c r="J84" t="s">
        <v>143</v>
      </c>
      <c r="L84">
        <v>0</v>
      </c>
      <c r="M84" t="s">
        <v>125</v>
      </c>
      <c r="O84" t="s">
        <v>125</v>
      </c>
      <c r="P84" t="s">
        <v>125</v>
      </c>
      <c r="Q84" t="s">
        <v>125</v>
      </c>
      <c r="R84" t="s">
        <v>125</v>
      </c>
      <c r="S84" t="s">
        <v>125</v>
      </c>
      <c r="T84">
        <v>0</v>
      </c>
      <c r="V84" t="s">
        <v>125</v>
      </c>
      <c r="AE84" t="s">
        <v>125</v>
      </c>
      <c r="AF84">
        <v>0</v>
      </c>
      <c r="AG84" t="s">
        <v>125</v>
      </c>
      <c r="AH84">
        <v>0</v>
      </c>
      <c r="AK84">
        <v>0</v>
      </c>
    </row>
    <row r="85" spans="1:37" x14ac:dyDescent="0.25">
      <c r="A85" t="s">
        <v>79</v>
      </c>
      <c r="B85">
        <v>1</v>
      </c>
      <c r="C85">
        <v>1</v>
      </c>
      <c r="D85">
        <v>5</v>
      </c>
      <c r="E85">
        <v>4</v>
      </c>
      <c r="G85">
        <v>115</v>
      </c>
      <c r="H85" t="s">
        <v>63</v>
      </c>
      <c r="I85" t="s">
        <v>102</v>
      </c>
      <c r="J85" t="s">
        <v>144</v>
      </c>
      <c r="L85">
        <v>0</v>
      </c>
      <c r="M85" t="s">
        <v>125</v>
      </c>
      <c r="O85" t="s">
        <v>125</v>
      </c>
      <c r="P85" t="s">
        <v>125</v>
      </c>
      <c r="Q85" t="s">
        <v>125</v>
      </c>
      <c r="R85" t="s">
        <v>125</v>
      </c>
      <c r="S85" t="s">
        <v>125</v>
      </c>
      <c r="T85">
        <v>0</v>
      </c>
      <c r="V85" t="s">
        <v>125</v>
      </c>
      <c r="AE85" t="s">
        <v>125</v>
      </c>
      <c r="AF85">
        <v>0</v>
      </c>
      <c r="AG85" t="s">
        <v>125</v>
      </c>
      <c r="AH85">
        <v>0</v>
      </c>
      <c r="AK85">
        <v>0</v>
      </c>
    </row>
    <row r="86" spans="1:37" x14ac:dyDescent="0.25">
      <c r="A86" t="s">
        <v>79</v>
      </c>
      <c r="B86">
        <v>1</v>
      </c>
      <c r="C86">
        <v>1</v>
      </c>
      <c r="D86">
        <v>5</v>
      </c>
      <c r="E86">
        <v>5</v>
      </c>
      <c r="G86">
        <v>115</v>
      </c>
      <c r="H86" t="s">
        <v>63</v>
      </c>
      <c r="I86" t="s">
        <v>109</v>
      </c>
      <c r="J86" t="s">
        <v>145</v>
      </c>
      <c r="L86">
        <v>0</v>
      </c>
      <c r="M86" t="s">
        <v>125</v>
      </c>
      <c r="O86" t="s">
        <v>125</v>
      </c>
      <c r="P86" t="s">
        <v>125</v>
      </c>
      <c r="Q86" t="s">
        <v>125</v>
      </c>
      <c r="R86" t="s">
        <v>125</v>
      </c>
      <c r="S86" t="s">
        <v>125</v>
      </c>
      <c r="T86">
        <v>0</v>
      </c>
      <c r="V86" t="s">
        <v>125</v>
      </c>
      <c r="AE86" t="s">
        <v>125</v>
      </c>
      <c r="AF86">
        <v>0</v>
      </c>
      <c r="AG86" t="s">
        <v>125</v>
      </c>
      <c r="AH86">
        <v>0</v>
      </c>
      <c r="AK86">
        <v>0</v>
      </c>
    </row>
    <row r="87" spans="1:37" x14ac:dyDescent="0.25">
      <c r="A87" t="s">
        <v>79</v>
      </c>
      <c r="B87">
        <v>1</v>
      </c>
      <c r="C87">
        <v>1</v>
      </c>
      <c r="D87">
        <v>5</v>
      </c>
      <c r="E87">
        <v>6</v>
      </c>
      <c r="G87">
        <v>115</v>
      </c>
      <c r="H87" t="s">
        <v>63</v>
      </c>
      <c r="I87" t="s">
        <v>116</v>
      </c>
      <c r="J87" t="s">
        <v>146</v>
      </c>
      <c r="L87">
        <v>0</v>
      </c>
      <c r="M87" t="s">
        <v>125</v>
      </c>
      <c r="O87" t="s">
        <v>125</v>
      </c>
      <c r="P87" t="s">
        <v>125</v>
      </c>
      <c r="Q87" t="s">
        <v>125</v>
      </c>
      <c r="R87" t="s">
        <v>125</v>
      </c>
      <c r="S87" t="s">
        <v>125</v>
      </c>
      <c r="T87">
        <v>0</v>
      </c>
      <c r="V87" t="s">
        <v>125</v>
      </c>
      <c r="AE87" t="s">
        <v>125</v>
      </c>
      <c r="AF87">
        <v>0</v>
      </c>
      <c r="AG87" t="s">
        <v>125</v>
      </c>
      <c r="AH87">
        <v>0</v>
      </c>
      <c r="AK87">
        <v>0</v>
      </c>
    </row>
    <row r="88" spans="1:37" x14ac:dyDescent="0.25">
      <c r="A88" t="s">
        <v>79</v>
      </c>
      <c r="B88">
        <v>1</v>
      </c>
      <c r="C88">
        <v>1</v>
      </c>
      <c r="D88">
        <v>5</v>
      </c>
      <c r="E88">
        <v>7</v>
      </c>
      <c r="G88">
        <v>115</v>
      </c>
      <c r="H88" t="s">
        <v>63</v>
      </c>
      <c r="I88" t="s">
        <v>123</v>
      </c>
      <c r="J88" t="s">
        <v>147</v>
      </c>
      <c r="L88">
        <v>0</v>
      </c>
      <c r="M88" t="s">
        <v>125</v>
      </c>
      <c r="O88" t="s">
        <v>125</v>
      </c>
      <c r="P88" t="s">
        <v>125</v>
      </c>
      <c r="Q88" t="s">
        <v>125</v>
      </c>
      <c r="R88" t="s">
        <v>125</v>
      </c>
      <c r="S88" t="s">
        <v>125</v>
      </c>
      <c r="T88">
        <v>0</v>
      </c>
      <c r="V88" t="s">
        <v>125</v>
      </c>
      <c r="AE88" t="s">
        <v>125</v>
      </c>
      <c r="AF88">
        <v>0</v>
      </c>
      <c r="AG88" t="s">
        <v>125</v>
      </c>
      <c r="AH88">
        <v>0</v>
      </c>
      <c r="AK88">
        <v>0</v>
      </c>
    </row>
    <row r="89" spans="1:37" x14ac:dyDescent="0.25">
      <c r="A89" t="s">
        <v>79</v>
      </c>
      <c r="B89">
        <v>1</v>
      </c>
      <c r="C89">
        <v>1</v>
      </c>
      <c r="D89">
        <v>5</v>
      </c>
      <c r="E89">
        <v>8</v>
      </c>
      <c r="G89">
        <v>115</v>
      </c>
      <c r="H89" t="s">
        <v>63</v>
      </c>
      <c r="I89" t="s">
        <v>126</v>
      </c>
      <c r="J89" t="s">
        <v>148</v>
      </c>
      <c r="L89">
        <v>0</v>
      </c>
      <c r="M89" t="s">
        <v>125</v>
      </c>
      <c r="O89" t="s">
        <v>125</v>
      </c>
      <c r="P89" t="s">
        <v>125</v>
      </c>
      <c r="Q89" t="s">
        <v>125</v>
      </c>
      <c r="R89" t="s">
        <v>125</v>
      </c>
      <c r="S89" t="s">
        <v>125</v>
      </c>
      <c r="T89">
        <v>0</v>
      </c>
      <c r="V89" t="s">
        <v>125</v>
      </c>
      <c r="AE89" t="s">
        <v>125</v>
      </c>
      <c r="AF89">
        <v>0</v>
      </c>
      <c r="AG89" t="s">
        <v>125</v>
      </c>
      <c r="AH89">
        <v>0</v>
      </c>
      <c r="AK89">
        <v>0</v>
      </c>
    </row>
    <row r="90" spans="1:37" x14ac:dyDescent="0.25">
      <c r="A90" t="s">
        <v>79</v>
      </c>
      <c r="B90">
        <v>1</v>
      </c>
      <c r="C90">
        <v>1</v>
      </c>
      <c r="D90">
        <v>5</v>
      </c>
      <c r="E90">
        <v>9</v>
      </c>
      <c r="G90">
        <v>115</v>
      </c>
      <c r="H90" t="s">
        <v>63</v>
      </c>
      <c r="I90" t="s">
        <v>74</v>
      </c>
      <c r="J90" t="s">
        <v>149</v>
      </c>
      <c r="L90">
        <v>0</v>
      </c>
      <c r="M90" t="s">
        <v>125</v>
      </c>
      <c r="O90" t="s">
        <v>125</v>
      </c>
      <c r="P90" t="s">
        <v>125</v>
      </c>
      <c r="Q90" t="s">
        <v>125</v>
      </c>
      <c r="R90" t="s">
        <v>125</v>
      </c>
      <c r="S90" t="s">
        <v>125</v>
      </c>
      <c r="T90">
        <v>0</v>
      </c>
      <c r="V90" t="s">
        <v>125</v>
      </c>
      <c r="AE90" t="s">
        <v>125</v>
      </c>
      <c r="AF90">
        <v>0</v>
      </c>
      <c r="AG90" t="s">
        <v>125</v>
      </c>
      <c r="AH90">
        <v>0</v>
      </c>
      <c r="AK90">
        <v>0</v>
      </c>
    </row>
    <row r="91" spans="1:37" x14ac:dyDescent="0.25">
      <c r="A91" t="s">
        <v>79</v>
      </c>
      <c r="B91">
        <v>1</v>
      </c>
      <c r="C91">
        <v>1</v>
      </c>
      <c r="D91">
        <v>5</v>
      </c>
      <c r="E91">
        <v>10</v>
      </c>
      <c r="G91">
        <v>115</v>
      </c>
      <c r="H91" t="s">
        <v>63</v>
      </c>
      <c r="I91" t="s">
        <v>129</v>
      </c>
      <c r="J91" t="s">
        <v>150</v>
      </c>
      <c r="L91">
        <v>0</v>
      </c>
      <c r="M91" t="s">
        <v>125</v>
      </c>
      <c r="O91" t="s">
        <v>125</v>
      </c>
      <c r="P91" t="s">
        <v>125</v>
      </c>
      <c r="Q91" t="s">
        <v>125</v>
      </c>
      <c r="R91" t="s">
        <v>125</v>
      </c>
      <c r="S91" t="s">
        <v>125</v>
      </c>
      <c r="T91">
        <v>0</v>
      </c>
      <c r="V91" t="s">
        <v>125</v>
      </c>
      <c r="AE91" t="s">
        <v>125</v>
      </c>
      <c r="AF91">
        <v>0</v>
      </c>
      <c r="AG91" t="s">
        <v>125</v>
      </c>
      <c r="AH91">
        <v>0</v>
      </c>
      <c r="AK91">
        <v>0</v>
      </c>
    </row>
    <row r="92" spans="1:37" x14ac:dyDescent="0.25">
      <c r="A92" t="s">
        <v>79</v>
      </c>
      <c r="B92">
        <v>1</v>
      </c>
      <c r="C92">
        <v>1</v>
      </c>
      <c r="D92">
        <v>5</v>
      </c>
      <c r="E92">
        <v>11</v>
      </c>
      <c r="G92">
        <v>115</v>
      </c>
      <c r="H92" t="s">
        <v>63</v>
      </c>
      <c r="I92" t="s">
        <v>131</v>
      </c>
      <c r="J92" t="s">
        <v>151</v>
      </c>
      <c r="L92">
        <v>0</v>
      </c>
      <c r="M92" t="s">
        <v>125</v>
      </c>
      <c r="O92" t="s">
        <v>125</v>
      </c>
      <c r="P92" t="s">
        <v>125</v>
      </c>
      <c r="Q92" t="s">
        <v>125</v>
      </c>
      <c r="R92" t="s">
        <v>125</v>
      </c>
      <c r="S92" t="s">
        <v>125</v>
      </c>
      <c r="T92">
        <v>0</v>
      </c>
      <c r="V92" t="s">
        <v>125</v>
      </c>
      <c r="AE92" t="s">
        <v>125</v>
      </c>
      <c r="AF92">
        <v>0</v>
      </c>
      <c r="AG92" t="s">
        <v>125</v>
      </c>
      <c r="AH92">
        <v>0</v>
      </c>
      <c r="AK92">
        <v>0</v>
      </c>
    </row>
    <row r="93" spans="1:37" x14ac:dyDescent="0.25">
      <c r="A93" t="s">
        <v>79</v>
      </c>
      <c r="B93">
        <v>1</v>
      </c>
      <c r="C93">
        <v>1</v>
      </c>
      <c r="D93">
        <v>5</v>
      </c>
      <c r="E93">
        <v>12</v>
      </c>
      <c r="G93">
        <v>115</v>
      </c>
      <c r="H93" t="s">
        <v>63</v>
      </c>
      <c r="I93" t="s">
        <v>133</v>
      </c>
      <c r="J93" t="s">
        <v>152</v>
      </c>
      <c r="L93">
        <v>0</v>
      </c>
      <c r="M93" t="s">
        <v>125</v>
      </c>
      <c r="O93" t="s">
        <v>125</v>
      </c>
      <c r="P93" t="s">
        <v>125</v>
      </c>
      <c r="Q93" t="s">
        <v>125</v>
      </c>
      <c r="R93" t="s">
        <v>125</v>
      </c>
      <c r="S93" t="s">
        <v>125</v>
      </c>
      <c r="T93">
        <v>0</v>
      </c>
      <c r="V93" t="s">
        <v>125</v>
      </c>
      <c r="AE93" t="s">
        <v>125</v>
      </c>
      <c r="AF93">
        <v>0</v>
      </c>
      <c r="AG93" t="s">
        <v>125</v>
      </c>
      <c r="AH93">
        <v>0</v>
      </c>
      <c r="AK93">
        <v>0</v>
      </c>
    </row>
    <row r="94" spans="1:37" x14ac:dyDescent="0.25">
      <c r="A94" t="s">
        <v>79</v>
      </c>
      <c r="B94">
        <v>1</v>
      </c>
      <c r="C94">
        <v>1</v>
      </c>
      <c r="D94">
        <v>5</v>
      </c>
      <c r="E94">
        <v>13</v>
      </c>
      <c r="G94">
        <v>115</v>
      </c>
      <c r="H94" t="s">
        <v>63</v>
      </c>
      <c r="I94" t="s">
        <v>135</v>
      </c>
      <c r="J94" t="s">
        <v>153</v>
      </c>
      <c r="L94">
        <v>0</v>
      </c>
      <c r="M94" t="s">
        <v>125</v>
      </c>
      <c r="O94" t="s">
        <v>125</v>
      </c>
      <c r="P94" t="s">
        <v>125</v>
      </c>
      <c r="Q94" t="s">
        <v>125</v>
      </c>
      <c r="R94" t="s">
        <v>125</v>
      </c>
      <c r="S94" t="s">
        <v>125</v>
      </c>
      <c r="T94">
        <v>0</v>
      </c>
      <c r="V94" t="s">
        <v>125</v>
      </c>
      <c r="AE94" t="s">
        <v>125</v>
      </c>
      <c r="AF94">
        <v>0</v>
      </c>
      <c r="AG94" t="s">
        <v>125</v>
      </c>
      <c r="AH94">
        <v>0</v>
      </c>
      <c r="AK94">
        <v>0</v>
      </c>
    </row>
    <row r="95" spans="1:37" x14ac:dyDescent="0.25">
      <c r="A95" t="s">
        <v>79</v>
      </c>
      <c r="B95">
        <v>1</v>
      </c>
      <c r="C95">
        <v>1</v>
      </c>
      <c r="D95">
        <v>5</v>
      </c>
      <c r="E95">
        <v>14</v>
      </c>
      <c r="G95">
        <v>115</v>
      </c>
      <c r="H95" t="s">
        <v>63</v>
      </c>
      <c r="I95" t="s">
        <v>137</v>
      </c>
      <c r="J95" t="s">
        <v>154</v>
      </c>
      <c r="L95">
        <v>0</v>
      </c>
      <c r="M95" t="s">
        <v>125</v>
      </c>
      <c r="O95" t="s">
        <v>125</v>
      </c>
      <c r="P95" t="s">
        <v>125</v>
      </c>
      <c r="Q95" t="s">
        <v>125</v>
      </c>
      <c r="R95" t="s">
        <v>125</v>
      </c>
      <c r="S95" t="s">
        <v>125</v>
      </c>
      <c r="T95">
        <v>0</v>
      </c>
      <c r="V95" t="s">
        <v>125</v>
      </c>
      <c r="AE95" t="s">
        <v>125</v>
      </c>
      <c r="AF95">
        <v>0</v>
      </c>
      <c r="AG95" t="s">
        <v>125</v>
      </c>
      <c r="AH95">
        <v>0</v>
      </c>
      <c r="AK95">
        <v>0</v>
      </c>
    </row>
    <row r="96" spans="1:37" x14ac:dyDescent="0.25">
      <c r="A96" t="s">
        <v>79</v>
      </c>
      <c r="B96">
        <v>1</v>
      </c>
      <c r="C96">
        <v>1</v>
      </c>
      <c r="D96">
        <v>5</v>
      </c>
      <c r="E96">
        <v>15</v>
      </c>
      <c r="G96">
        <v>115</v>
      </c>
      <c r="H96" t="s">
        <v>63</v>
      </c>
      <c r="I96" t="s">
        <v>139</v>
      </c>
      <c r="J96" t="s">
        <v>155</v>
      </c>
      <c r="L96">
        <v>0</v>
      </c>
      <c r="M96" t="s">
        <v>125</v>
      </c>
      <c r="O96" t="s">
        <v>125</v>
      </c>
      <c r="P96" t="s">
        <v>125</v>
      </c>
      <c r="Q96" t="s">
        <v>125</v>
      </c>
      <c r="R96" t="s">
        <v>125</v>
      </c>
      <c r="S96" t="s">
        <v>125</v>
      </c>
      <c r="T96">
        <v>0</v>
      </c>
      <c r="V96" t="s">
        <v>125</v>
      </c>
      <c r="AE96" t="s">
        <v>125</v>
      </c>
      <c r="AF96">
        <v>0</v>
      </c>
      <c r="AG96" t="s">
        <v>125</v>
      </c>
      <c r="AH96">
        <v>0</v>
      </c>
      <c r="AK96">
        <v>0</v>
      </c>
    </row>
    <row r="97" spans="1:37" x14ac:dyDescent="0.25">
      <c r="L97">
        <v>0</v>
      </c>
    </row>
    <row r="98" spans="1:37" x14ac:dyDescent="0.25">
      <c r="L98">
        <v>0</v>
      </c>
    </row>
    <row r="99" spans="1:37" x14ac:dyDescent="0.25">
      <c r="A99" t="s">
        <v>66</v>
      </c>
      <c r="B99">
        <v>1</v>
      </c>
      <c r="C99">
        <v>2</v>
      </c>
      <c r="G99">
        <v>1</v>
      </c>
      <c r="H99" t="s">
        <v>58</v>
      </c>
      <c r="I99" t="s">
        <v>156</v>
      </c>
      <c r="L99">
        <v>0</v>
      </c>
      <c r="M99" t="s">
        <v>125</v>
      </c>
      <c r="N99" t="s">
        <v>125</v>
      </c>
      <c r="V99" t="s">
        <v>63</v>
      </c>
      <c r="Y99" t="s">
        <v>63</v>
      </c>
      <c r="AA99" t="s">
        <v>63</v>
      </c>
      <c r="AC99" t="s">
        <v>63</v>
      </c>
      <c r="AE99" t="s">
        <v>63</v>
      </c>
      <c r="AF99">
        <v>0</v>
      </c>
      <c r="AG99" t="s">
        <v>63</v>
      </c>
      <c r="AH99">
        <v>0</v>
      </c>
      <c r="AK99">
        <v>0</v>
      </c>
    </row>
    <row r="100" spans="1:37" x14ac:dyDescent="0.25">
      <c r="L100">
        <v>0</v>
      </c>
    </row>
    <row r="101" spans="1:37" x14ac:dyDescent="0.25">
      <c r="A101" t="s">
        <v>70</v>
      </c>
      <c r="B101">
        <v>1</v>
      </c>
      <c r="C101">
        <v>2</v>
      </c>
      <c r="D101">
        <v>1</v>
      </c>
      <c r="G101">
        <v>12</v>
      </c>
      <c r="L101">
        <v>0</v>
      </c>
      <c r="M101" t="s">
        <v>125</v>
      </c>
      <c r="P101" t="s">
        <v>125</v>
      </c>
      <c r="R101" t="s">
        <v>125</v>
      </c>
      <c r="S101" t="s">
        <v>63</v>
      </c>
      <c r="V101" t="s">
        <v>125</v>
      </c>
      <c r="X101" t="s">
        <v>125</v>
      </c>
      <c r="Y101" t="s">
        <v>125</v>
      </c>
      <c r="Z101" t="s">
        <v>125</v>
      </c>
      <c r="AA101" t="s">
        <v>125</v>
      </c>
      <c r="AB101" t="s">
        <v>125</v>
      </c>
      <c r="AC101" t="s">
        <v>125</v>
      </c>
      <c r="AE101" t="s">
        <v>125</v>
      </c>
      <c r="AF101">
        <v>0</v>
      </c>
      <c r="AG101" t="s">
        <v>125</v>
      </c>
      <c r="AH101">
        <v>0</v>
      </c>
      <c r="AK101">
        <v>0</v>
      </c>
    </row>
    <row r="102" spans="1:37" x14ac:dyDescent="0.25">
      <c r="A102" t="s">
        <v>79</v>
      </c>
      <c r="B102">
        <v>1</v>
      </c>
      <c r="C102">
        <v>2</v>
      </c>
      <c r="D102">
        <v>1</v>
      </c>
      <c r="E102">
        <v>1</v>
      </c>
      <c r="G102">
        <v>121</v>
      </c>
      <c r="H102" t="s">
        <v>63</v>
      </c>
      <c r="I102" t="s">
        <v>80</v>
      </c>
      <c r="J102" t="s">
        <v>141</v>
      </c>
      <c r="L102">
        <v>0</v>
      </c>
      <c r="M102" t="s">
        <v>125</v>
      </c>
      <c r="O102" t="s">
        <v>125</v>
      </c>
      <c r="P102" t="s">
        <v>125</v>
      </c>
      <c r="Q102" t="s">
        <v>125</v>
      </c>
      <c r="R102" t="s">
        <v>125</v>
      </c>
      <c r="S102" t="s">
        <v>125</v>
      </c>
      <c r="T102">
        <v>0</v>
      </c>
      <c r="V102" t="s">
        <v>125</v>
      </c>
      <c r="AE102" t="s">
        <v>125</v>
      </c>
      <c r="AF102">
        <v>0</v>
      </c>
      <c r="AG102" t="s">
        <v>125</v>
      </c>
      <c r="AH102">
        <v>0</v>
      </c>
      <c r="AK102">
        <v>0</v>
      </c>
    </row>
    <row r="103" spans="1:37" x14ac:dyDescent="0.25">
      <c r="A103" t="s">
        <v>79</v>
      </c>
      <c r="B103">
        <v>1</v>
      </c>
      <c r="C103">
        <v>2</v>
      </c>
      <c r="D103">
        <v>1</v>
      </c>
      <c r="E103">
        <v>2</v>
      </c>
      <c r="G103">
        <v>121</v>
      </c>
      <c r="H103" t="s">
        <v>63</v>
      </c>
      <c r="I103" t="s">
        <v>88</v>
      </c>
      <c r="J103" t="s">
        <v>142</v>
      </c>
      <c r="L103">
        <v>0</v>
      </c>
      <c r="M103" t="s">
        <v>125</v>
      </c>
      <c r="O103" t="s">
        <v>125</v>
      </c>
      <c r="P103" t="s">
        <v>125</v>
      </c>
      <c r="Q103" t="s">
        <v>125</v>
      </c>
      <c r="R103" t="s">
        <v>125</v>
      </c>
      <c r="S103" t="s">
        <v>125</v>
      </c>
      <c r="T103">
        <v>0</v>
      </c>
      <c r="V103" t="s">
        <v>125</v>
      </c>
      <c r="AE103" t="s">
        <v>125</v>
      </c>
      <c r="AF103">
        <v>0</v>
      </c>
      <c r="AG103" t="s">
        <v>125</v>
      </c>
      <c r="AH103">
        <v>0</v>
      </c>
      <c r="AK103">
        <v>0</v>
      </c>
    </row>
    <row r="104" spans="1:37" x14ac:dyDescent="0.25">
      <c r="A104" t="s">
        <v>79</v>
      </c>
      <c r="B104">
        <v>1</v>
      </c>
      <c r="C104">
        <v>2</v>
      </c>
      <c r="D104">
        <v>1</v>
      </c>
      <c r="E104">
        <v>3</v>
      </c>
      <c r="G104">
        <v>121</v>
      </c>
      <c r="H104" t="s">
        <v>63</v>
      </c>
      <c r="I104" t="s">
        <v>95</v>
      </c>
      <c r="J104" t="s">
        <v>143</v>
      </c>
      <c r="L104">
        <v>0</v>
      </c>
      <c r="M104" t="s">
        <v>125</v>
      </c>
      <c r="O104" t="s">
        <v>125</v>
      </c>
      <c r="P104" t="s">
        <v>125</v>
      </c>
      <c r="Q104" t="s">
        <v>125</v>
      </c>
      <c r="R104" t="s">
        <v>125</v>
      </c>
      <c r="S104" t="s">
        <v>125</v>
      </c>
      <c r="T104">
        <v>0</v>
      </c>
      <c r="V104" t="s">
        <v>125</v>
      </c>
      <c r="AE104" t="s">
        <v>125</v>
      </c>
      <c r="AF104">
        <v>0</v>
      </c>
      <c r="AG104" t="s">
        <v>125</v>
      </c>
      <c r="AH104">
        <v>0</v>
      </c>
      <c r="AK104">
        <v>0</v>
      </c>
    </row>
    <row r="105" spans="1:37" x14ac:dyDescent="0.25">
      <c r="A105" t="s">
        <v>79</v>
      </c>
      <c r="B105">
        <v>1</v>
      </c>
      <c r="C105">
        <v>2</v>
      </c>
      <c r="D105">
        <v>1</v>
      </c>
      <c r="E105">
        <v>4</v>
      </c>
      <c r="G105">
        <v>121</v>
      </c>
      <c r="H105" t="s">
        <v>63</v>
      </c>
      <c r="I105" t="s">
        <v>102</v>
      </c>
      <c r="J105" t="s">
        <v>144</v>
      </c>
      <c r="L105">
        <v>0</v>
      </c>
      <c r="M105" t="s">
        <v>125</v>
      </c>
      <c r="O105" t="s">
        <v>125</v>
      </c>
      <c r="P105" t="s">
        <v>125</v>
      </c>
      <c r="Q105" t="s">
        <v>125</v>
      </c>
      <c r="R105" t="s">
        <v>125</v>
      </c>
      <c r="S105" t="s">
        <v>125</v>
      </c>
      <c r="T105">
        <v>0</v>
      </c>
      <c r="V105" t="s">
        <v>125</v>
      </c>
      <c r="AE105" t="s">
        <v>125</v>
      </c>
      <c r="AF105">
        <v>0</v>
      </c>
      <c r="AG105" t="s">
        <v>125</v>
      </c>
      <c r="AH105">
        <v>0</v>
      </c>
      <c r="AK105">
        <v>0</v>
      </c>
    </row>
    <row r="106" spans="1:37" x14ac:dyDescent="0.25">
      <c r="A106" t="s">
        <v>79</v>
      </c>
      <c r="B106">
        <v>1</v>
      </c>
      <c r="C106">
        <v>2</v>
      </c>
      <c r="D106">
        <v>1</v>
      </c>
      <c r="E106">
        <v>5</v>
      </c>
      <c r="G106">
        <v>121</v>
      </c>
      <c r="H106" t="s">
        <v>63</v>
      </c>
      <c r="I106" t="s">
        <v>109</v>
      </c>
      <c r="J106" t="s">
        <v>145</v>
      </c>
      <c r="L106">
        <v>0</v>
      </c>
      <c r="M106" t="s">
        <v>125</v>
      </c>
      <c r="O106" t="s">
        <v>125</v>
      </c>
      <c r="P106" t="s">
        <v>125</v>
      </c>
      <c r="Q106" t="s">
        <v>125</v>
      </c>
      <c r="R106" t="s">
        <v>125</v>
      </c>
      <c r="S106" t="s">
        <v>125</v>
      </c>
      <c r="T106">
        <v>0</v>
      </c>
      <c r="V106" t="s">
        <v>125</v>
      </c>
      <c r="AE106" t="s">
        <v>125</v>
      </c>
      <c r="AF106">
        <v>0</v>
      </c>
      <c r="AG106" t="s">
        <v>125</v>
      </c>
      <c r="AH106">
        <v>0</v>
      </c>
      <c r="AK106">
        <v>0</v>
      </c>
    </row>
    <row r="107" spans="1:37" x14ac:dyDescent="0.25">
      <c r="A107" t="s">
        <v>79</v>
      </c>
      <c r="B107">
        <v>1</v>
      </c>
      <c r="C107">
        <v>2</v>
      </c>
      <c r="D107">
        <v>1</v>
      </c>
      <c r="E107">
        <v>6</v>
      </c>
      <c r="G107">
        <v>121</v>
      </c>
      <c r="H107" t="s">
        <v>63</v>
      </c>
      <c r="I107" t="s">
        <v>116</v>
      </c>
      <c r="J107" t="s">
        <v>146</v>
      </c>
      <c r="L107">
        <v>0</v>
      </c>
      <c r="M107" t="s">
        <v>125</v>
      </c>
      <c r="O107" t="s">
        <v>125</v>
      </c>
      <c r="P107" t="s">
        <v>125</v>
      </c>
      <c r="Q107" t="s">
        <v>125</v>
      </c>
      <c r="R107" t="s">
        <v>125</v>
      </c>
      <c r="S107" t="s">
        <v>125</v>
      </c>
      <c r="T107">
        <v>0</v>
      </c>
      <c r="V107" t="s">
        <v>125</v>
      </c>
      <c r="AE107" t="s">
        <v>125</v>
      </c>
      <c r="AF107">
        <v>0</v>
      </c>
      <c r="AG107" t="s">
        <v>125</v>
      </c>
      <c r="AH107">
        <v>0</v>
      </c>
      <c r="AK107">
        <v>0</v>
      </c>
    </row>
    <row r="108" spans="1:37" x14ac:dyDescent="0.25">
      <c r="A108" t="s">
        <v>79</v>
      </c>
      <c r="B108">
        <v>1</v>
      </c>
      <c r="C108">
        <v>2</v>
      </c>
      <c r="D108">
        <v>1</v>
      </c>
      <c r="E108">
        <v>7</v>
      </c>
      <c r="G108">
        <v>121</v>
      </c>
      <c r="H108" t="s">
        <v>63</v>
      </c>
      <c r="I108" t="s">
        <v>123</v>
      </c>
      <c r="J108" t="s">
        <v>147</v>
      </c>
      <c r="L108">
        <v>0</v>
      </c>
      <c r="M108" t="s">
        <v>125</v>
      </c>
      <c r="O108" t="s">
        <v>125</v>
      </c>
      <c r="P108" t="s">
        <v>125</v>
      </c>
      <c r="Q108" t="s">
        <v>125</v>
      </c>
      <c r="R108" t="s">
        <v>125</v>
      </c>
      <c r="S108" t="s">
        <v>125</v>
      </c>
      <c r="T108">
        <v>0</v>
      </c>
      <c r="V108" t="s">
        <v>125</v>
      </c>
      <c r="AE108" t="s">
        <v>125</v>
      </c>
      <c r="AF108">
        <v>0</v>
      </c>
      <c r="AG108" t="s">
        <v>125</v>
      </c>
      <c r="AH108">
        <v>0</v>
      </c>
      <c r="AK108">
        <v>0</v>
      </c>
    </row>
    <row r="109" spans="1:37" x14ac:dyDescent="0.25">
      <c r="A109" t="s">
        <v>79</v>
      </c>
      <c r="B109">
        <v>1</v>
      </c>
      <c r="C109">
        <v>2</v>
      </c>
      <c r="D109">
        <v>1</v>
      </c>
      <c r="E109">
        <v>8</v>
      </c>
      <c r="G109">
        <v>121</v>
      </c>
      <c r="H109" t="s">
        <v>63</v>
      </c>
      <c r="I109" t="s">
        <v>126</v>
      </c>
      <c r="J109" t="s">
        <v>148</v>
      </c>
      <c r="L109">
        <v>0</v>
      </c>
      <c r="M109" t="s">
        <v>125</v>
      </c>
      <c r="O109" t="s">
        <v>125</v>
      </c>
      <c r="P109" t="s">
        <v>125</v>
      </c>
      <c r="Q109" t="s">
        <v>125</v>
      </c>
      <c r="R109" t="s">
        <v>125</v>
      </c>
      <c r="S109" t="s">
        <v>125</v>
      </c>
      <c r="T109">
        <v>0</v>
      </c>
      <c r="V109" t="s">
        <v>125</v>
      </c>
      <c r="AE109" t="s">
        <v>125</v>
      </c>
      <c r="AF109">
        <v>0</v>
      </c>
      <c r="AG109" t="s">
        <v>125</v>
      </c>
      <c r="AH109">
        <v>0</v>
      </c>
      <c r="AK109">
        <v>0</v>
      </c>
    </row>
    <row r="110" spans="1:37" x14ac:dyDescent="0.25">
      <c r="A110" t="s">
        <v>79</v>
      </c>
      <c r="B110">
        <v>1</v>
      </c>
      <c r="C110">
        <v>2</v>
      </c>
      <c r="D110">
        <v>1</v>
      </c>
      <c r="E110">
        <v>9</v>
      </c>
      <c r="G110">
        <v>121</v>
      </c>
      <c r="H110" t="s">
        <v>63</v>
      </c>
      <c r="I110" t="s">
        <v>74</v>
      </c>
      <c r="J110" t="s">
        <v>149</v>
      </c>
      <c r="L110">
        <v>0</v>
      </c>
      <c r="M110" t="s">
        <v>125</v>
      </c>
      <c r="O110" t="s">
        <v>125</v>
      </c>
      <c r="P110" t="s">
        <v>125</v>
      </c>
      <c r="Q110" t="s">
        <v>125</v>
      </c>
      <c r="R110" t="s">
        <v>125</v>
      </c>
      <c r="S110" t="s">
        <v>125</v>
      </c>
      <c r="T110">
        <v>0</v>
      </c>
      <c r="V110" t="s">
        <v>125</v>
      </c>
      <c r="AE110" t="s">
        <v>125</v>
      </c>
      <c r="AF110">
        <v>0</v>
      </c>
      <c r="AG110" t="s">
        <v>125</v>
      </c>
      <c r="AH110">
        <v>0</v>
      </c>
      <c r="AK110">
        <v>0</v>
      </c>
    </row>
    <row r="111" spans="1:37" x14ac:dyDescent="0.25">
      <c r="A111" t="s">
        <v>79</v>
      </c>
      <c r="B111">
        <v>1</v>
      </c>
      <c r="C111">
        <v>2</v>
      </c>
      <c r="D111">
        <v>1</v>
      </c>
      <c r="E111">
        <v>10</v>
      </c>
      <c r="G111">
        <v>121</v>
      </c>
      <c r="H111" t="s">
        <v>63</v>
      </c>
      <c r="I111" t="s">
        <v>129</v>
      </c>
      <c r="J111" t="s">
        <v>150</v>
      </c>
      <c r="L111">
        <v>0</v>
      </c>
      <c r="M111" t="s">
        <v>125</v>
      </c>
      <c r="O111" t="s">
        <v>125</v>
      </c>
      <c r="P111" t="s">
        <v>125</v>
      </c>
      <c r="Q111" t="s">
        <v>125</v>
      </c>
      <c r="R111" t="s">
        <v>125</v>
      </c>
      <c r="S111" t="s">
        <v>125</v>
      </c>
      <c r="T111">
        <v>0</v>
      </c>
      <c r="V111" t="s">
        <v>125</v>
      </c>
      <c r="AE111" t="s">
        <v>125</v>
      </c>
      <c r="AF111">
        <v>0</v>
      </c>
      <c r="AG111" t="s">
        <v>125</v>
      </c>
      <c r="AH111">
        <v>0</v>
      </c>
      <c r="AK111">
        <v>0</v>
      </c>
    </row>
    <row r="112" spans="1:37" x14ac:dyDescent="0.25">
      <c r="A112" t="s">
        <v>79</v>
      </c>
      <c r="B112">
        <v>1</v>
      </c>
      <c r="C112">
        <v>2</v>
      </c>
      <c r="D112">
        <v>1</v>
      </c>
      <c r="E112">
        <v>11</v>
      </c>
      <c r="G112">
        <v>121</v>
      </c>
      <c r="H112" t="s">
        <v>63</v>
      </c>
      <c r="I112" t="s">
        <v>131</v>
      </c>
      <c r="J112" t="s">
        <v>151</v>
      </c>
      <c r="L112">
        <v>0</v>
      </c>
      <c r="M112" t="s">
        <v>125</v>
      </c>
      <c r="O112" t="s">
        <v>125</v>
      </c>
      <c r="P112" t="s">
        <v>125</v>
      </c>
      <c r="Q112" t="s">
        <v>125</v>
      </c>
      <c r="R112" t="s">
        <v>125</v>
      </c>
      <c r="S112" t="s">
        <v>125</v>
      </c>
      <c r="T112">
        <v>0</v>
      </c>
      <c r="V112" t="s">
        <v>125</v>
      </c>
      <c r="AE112" t="s">
        <v>125</v>
      </c>
      <c r="AF112">
        <v>0</v>
      </c>
      <c r="AG112" t="s">
        <v>125</v>
      </c>
      <c r="AH112">
        <v>0</v>
      </c>
      <c r="AK112">
        <v>0</v>
      </c>
    </row>
    <row r="113" spans="1:37" x14ac:dyDescent="0.25">
      <c r="A113" t="s">
        <v>79</v>
      </c>
      <c r="B113">
        <v>1</v>
      </c>
      <c r="C113">
        <v>2</v>
      </c>
      <c r="D113">
        <v>1</v>
      </c>
      <c r="E113">
        <v>12</v>
      </c>
      <c r="G113">
        <v>121</v>
      </c>
      <c r="H113" t="s">
        <v>63</v>
      </c>
      <c r="I113" t="s">
        <v>133</v>
      </c>
      <c r="J113" t="s">
        <v>152</v>
      </c>
      <c r="L113">
        <v>0</v>
      </c>
      <c r="M113" t="s">
        <v>125</v>
      </c>
      <c r="O113" t="s">
        <v>125</v>
      </c>
      <c r="P113" t="s">
        <v>125</v>
      </c>
      <c r="Q113" t="s">
        <v>125</v>
      </c>
      <c r="R113" t="s">
        <v>125</v>
      </c>
      <c r="S113" t="s">
        <v>125</v>
      </c>
      <c r="T113">
        <v>0</v>
      </c>
      <c r="V113" t="s">
        <v>125</v>
      </c>
      <c r="AE113" t="s">
        <v>125</v>
      </c>
      <c r="AF113">
        <v>0</v>
      </c>
      <c r="AG113" t="s">
        <v>125</v>
      </c>
      <c r="AH113">
        <v>0</v>
      </c>
      <c r="AK113">
        <v>0</v>
      </c>
    </row>
    <row r="114" spans="1:37" x14ac:dyDescent="0.25">
      <c r="A114" t="s">
        <v>79</v>
      </c>
      <c r="B114">
        <v>1</v>
      </c>
      <c r="C114">
        <v>2</v>
      </c>
      <c r="D114">
        <v>1</v>
      </c>
      <c r="E114">
        <v>13</v>
      </c>
      <c r="G114">
        <v>121</v>
      </c>
      <c r="H114" t="s">
        <v>63</v>
      </c>
      <c r="I114" t="s">
        <v>135</v>
      </c>
      <c r="J114" t="s">
        <v>153</v>
      </c>
      <c r="L114">
        <v>0</v>
      </c>
      <c r="M114" t="s">
        <v>125</v>
      </c>
      <c r="O114" t="s">
        <v>125</v>
      </c>
      <c r="P114" t="s">
        <v>125</v>
      </c>
      <c r="Q114" t="s">
        <v>125</v>
      </c>
      <c r="R114" t="s">
        <v>125</v>
      </c>
      <c r="S114" t="s">
        <v>125</v>
      </c>
      <c r="T114">
        <v>0</v>
      </c>
      <c r="V114" t="s">
        <v>125</v>
      </c>
      <c r="AE114" t="s">
        <v>125</v>
      </c>
      <c r="AF114">
        <v>0</v>
      </c>
      <c r="AG114" t="s">
        <v>125</v>
      </c>
      <c r="AH114">
        <v>0</v>
      </c>
      <c r="AK114">
        <v>0</v>
      </c>
    </row>
    <row r="115" spans="1:37" x14ac:dyDescent="0.25">
      <c r="A115" t="s">
        <v>79</v>
      </c>
      <c r="B115">
        <v>1</v>
      </c>
      <c r="C115">
        <v>2</v>
      </c>
      <c r="D115">
        <v>1</v>
      </c>
      <c r="E115">
        <v>14</v>
      </c>
      <c r="G115">
        <v>121</v>
      </c>
      <c r="H115" t="s">
        <v>63</v>
      </c>
      <c r="I115" t="s">
        <v>137</v>
      </c>
      <c r="J115" t="s">
        <v>154</v>
      </c>
      <c r="L115">
        <v>0</v>
      </c>
      <c r="M115" t="s">
        <v>125</v>
      </c>
      <c r="O115" t="s">
        <v>125</v>
      </c>
      <c r="P115" t="s">
        <v>125</v>
      </c>
      <c r="Q115" t="s">
        <v>125</v>
      </c>
      <c r="R115" t="s">
        <v>125</v>
      </c>
      <c r="S115" t="s">
        <v>125</v>
      </c>
      <c r="T115">
        <v>0</v>
      </c>
      <c r="V115" t="s">
        <v>125</v>
      </c>
      <c r="AE115" t="s">
        <v>125</v>
      </c>
      <c r="AF115">
        <v>0</v>
      </c>
      <c r="AG115" t="s">
        <v>125</v>
      </c>
      <c r="AH115">
        <v>0</v>
      </c>
      <c r="AK115">
        <v>0</v>
      </c>
    </row>
    <row r="116" spans="1:37" x14ac:dyDescent="0.25">
      <c r="A116" t="s">
        <v>79</v>
      </c>
      <c r="B116">
        <v>1</v>
      </c>
      <c r="C116">
        <v>2</v>
      </c>
      <c r="D116">
        <v>1</v>
      </c>
      <c r="E116">
        <v>15</v>
      </c>
      <c r="G116">
        <v>121</v>
      </c>
      <c r="H116" t="s">
        <v>63</v>
      </c>
      <c r="I116" t="s">
        <v>139</v>
      </c>
      <c r="J116" t="s">
        <v>155</v>
      </c>
      <c r="L116">
        <v>0</v>
      </c>
      <c r="M116" t="s">
        <v>125</v>
      </c>
      <c r="O116" t="s">
        <v>125</v>
      </c>
      <c r="P116" t="s">
        <v>125</v>
      </c>
      <c r="Q116" t="s">
        <v>125</v>
      </c>
      <c r="R116" t="s">
        <v>125</v>
      </c>
      <c r="S116" t="s">
        <v>125</v>
      </c>
      <c r="T116">
        <v>0</v>
      </c>
      <c r="V116" t="s">
        <v>125</v>
      </c>
      <c r="AE116" t="s">
        <v>125</v>
      </c>
      <c r="AF116">
        <v>0</v>
      </c>
      <c r="AG116" t="s">
        <v>125</v>
      </c>
      <c r="AH116">
        <v>0</v>
      </c>
      <c r="AK116">
        <v>0</v>
      </c>
    </row>
    <row r="117" spans="1:37" x14ac:dyDescent="0.25">
      <c r="L117">
        <v>0</v>
      </c>
    </row>
    <row r="118" spans="1:37" x14ac:dyDescent="0.25">
      <c r="A118" t="s">
        <v>70</v>
      </c>
      <c r="B118">
        <v>1</v>
      </c>
      <c r="C118">
        <v>2</v>
      </c>
      <c r="D118">
        <v>2</v>
      </c>
      <c r="G118">
        <v>12</v>
      </c>
      <c r="L118">
        <v>0</v>
      </c>
      <c r="M118" t="s">
        <v>125</v>
      </c>
      <c r="P118" t="s">
        <v>125</v>
      </c>
      <c r="R118" t="s">
        <v>125</v>
      </c>
      <c r="S118" t="s">
        <v>63</v>
      </c>
      <c r="V118" t="s">
        <v>125</v>
      </c>
      <c r="X118" t="s">
        <v>125</v>
      </c>
      <c r="Y118" t="s">
        <v>125</v>
      </c>
      <c r="Z118" t="s">
        <v>125</v>
      </c>
      <c r="AA118" t="s">
        <v>125</v>
      </c>
      <c r="AB118" t="s">
        <v>125</v>
      </c>
      <c r="AC118" t="s">
        <v>125</v>
      </c>
      <c r="AE118" t="s">
        <v>125</v>
      </c>
      <c r="AF118">
        <v>0</v>
      </c>
      <c r="AG118" t="s">
        <v>125</v>
      </c>
      <c r="AH118">
        <v>0</v>
      </c>
      <c r="AK118">
        <v>0</v>
      </c>
    </row>
    <row r="119" spans="1:37" x14ac:dyDescent="0.25">
      <c r="A119" t="s">
        <v>79</v>
      </c>
      <c r="B119">
        <v>1</v>
      </c>
      <c r="C119">
        <v>2</v>
      </c>
      <c r="D119">
        <v>2</v>
      </c>
      <c r="E119">
        <v>1</v>
      </c>
      <c r="G119">
        <v>122</v>
      </c>
      <c r="H119" t="s">
        <v>63</v>
      </c>
      <c r="I119" t="s">
        <v>80</v>
      </c>
      <c r="J119" t="s">
        <v>141</v>
      </c>
      <c r="L119">
        <v>0</v>
      </c>
      <c r="M119" t="s">
        <v>125</v>
      </c>
      <c r="O119" t="s">
        <v>125</v>
      </c>
      <c r="P119" t="s">
        <v>125</v>
      </c>
      <c r="Q119" t="s">
        <v>125</v>
      </c>
      <c r="R119" t="s">
        <v>125</v>
      </c>
      <c r="S119" t="s">
        <v>125</v>
      </c>
      <c r="T119">
        <v>0</v>
      </c>
      <c r="V119" t="s">
        <v>125</v>
      </c>
      <c r="AE119" t="s">
        <v>125</v>
      </c>
      <c r="AF119">
        <v>0</v>
      </c>
      <c r="AG119" t="s">
        <v>125</v>
      </c>
      <c r="AH119">
        <v>0</v>
      </c>
      <c r="AK119">
        <v>0</v>
      </c>
    </row>
    <row r="120" spans="1:37" x14ac:dyDescent="0.25">
      <c r="A120" t="s">
        <v>79</v>
      </c>
      <c r="B120">
        <v>1</v>
      </c>
      <c r="C120">
        <v>2</v>
      </c>
      <c r="D120">
        <v>2</v>
      </c>
      <c r="E120">
        <v>2</v>
      </c>
      <c r="G120">
        <v>122</v>
      </c>
      <c r="H120" t="s">
        <v>63</v>
      </c>
      <c r="I120" t="s">
        <v>88</v>
      </c>
      <c r="J120" t="s">
        <v>142</v>
      </c>
      <c r="L120">
        <v>0</v>
      </c>
      <c r="M120" t="s">
        <v>125</v>
      </c>
      <c r="O120" t="s">
        <v>125</v>
      </c>
      <c r="P120" t="s">
        <v>125</v>
      </c>
      <c r="Q120" t="s">
        <v>125</v>
      </c>
      <c r="R120" t="s">
        <v>125</v>
      </c>
      <c r="S120" t="s">
        <v>125</v>
      </c>
      <c r="T120">
        <v>0</v>
      </c>
      <c r="V120" t="s">
        <v>125</v>
      </c>
      <c r="AE120" t="s">
        <v>125</v>
      </c>
      <c r="AF120">
        <v>0</v>
      </c>
      <c r="AG120" t="s">
        <v>125</v>
      </c>
      <c r="AH120">
        <v>0</v>
      </c>
      <c r="AK120">
        <v>0</v>
      </c>
    </row>
    <row r="121" spans="1:37" x14ac:dyDescent="0.25">
      <c r="A121" t="s">
        <v>79</v>
      </c>
      <c r="B121">
        <v>1</v>
      </c>
      <c r="C121">
        <v>2</v>
      </c>
      <c r="D121">
        <v>2</v>
      </c>
      <c r="E121">
        <v>3</v>
      </c>
      <c r="G121">
        <v>122</v>
      </c>
      <c r="H121" t="s">
        <v>63</v>
      </c>
      <c r="I121" t="s">
        <v>95</v>
      </c>
      <c r="J121" t="s">
        <v>143</v>
      </c>
      <c r="L121">
        <v>0</v>
      </c>
      <c r="M121" t="s">
        <v>125</v>
      </c>
      <c r="O121" t="s">
        <v>125</v>
      </c>
      <c r="P121" t="s">
        <v>125</v>
      </c>
      <c r="Q121" t="s">
        <v>125</v>
      </c>
      <c r="R121" t="s">
        <v>125</v>
      </c>
      <c r="S121" t="s">
        <v>125</v>
      </c>
      <c r="T121">
        <v>0</v>
      </c>
      <c r="V121" t="s">
        <v>125</v>
      </c>
      <c r="AE121" t="s">
        <v>125</v>
      </c>
      <c r="AF121">
        <v>0</v>
      </c>
      <c r="AG121" t="s">
        <v>125</v>
      </c>
      <c r="AH121">
        <v>0</v>
      </c>
      <c r="AK121">
        <v>0</v>
      </c>
    </row>
    <row r="122" spans="1:37" x14ac:dyDescent="0.25">
      <c r="A122" t="s">
        <v>79</v>
      </c>
      <c r="B122">
        <v>1</v>
      </c>
      <c r="C122">
        <v>2</v>
      </c>
      <c r="D122">
        <v>2</v>
      </c>
      <c r="E122">
        <v>4</v>
      </c>
      <c r="G122">
        <v>122</v>
      </c>
      <c r="H122" t="s">
        <v>63</v>
      </c>
      <c r="I122" t="s">
        <v>102</v>
      </c>
      <c r="J122" t="s">
        <v>144</v>
      </c>
      <c r="L122">
        <v>0</v>
      </c>
      <c r="M122" t="s">
        <v>125</v>
      </c>
      <c r="O122" t="s">
        <v>125</v>
      </c>
      <c r="P122" t="s">
        <v>125</v>
      </c>
      <c r="Q122" t="s">
        <v>125</v>
      </c>
      <c r="R122" t="s">
        <v>125</v>
      </c>
      <c r="S122" t="s">
        <v>125</v>
      </c>
      <c r="T122">
        <v>0</v>
      </c>
      <c r="V122" t="s">
        <v>125</v>
      </c>
      <c r="AE122" t="s">
        <v>125</v>
      </c>
      <c r="AF122">
        <v>0</v>
      </c>
      <c r="AG122" t="s">
        <v>125</v>
      </c>
      <c r="AH122">
        <v>0</v>
      </c>
      <c r="AK122">
        <v>0</v>
      </c>
    </row>
    <row r="123" spans="1:37" x14ac:dyDescent="0.25">
      <c r="A123" t="s">
        <v>79</v>
      </c>
      <c r="B123">
        <v>1</v>
      </c>
      <c r="C123">
        <v>2</v>
      </c>
      <c r="D123">
        <v>2</v>
      </c>
      <c r="E123">
        <v>5</v>
      </c>
      <c r="G123">
        <v>122</v>
      </c>
      <c r="H123" t="s">
        <v>63</v>
      </c>
      <c r="I123" t="s">
        <v>109</v>
      </c>
      <c r="J123" t="s">
        <v>145</v>
      </c>
      <c r="L123">
        <v>0</v>
      </c>
      <c r="M123" t="s">
        <v>125</v>
      </c>
      <c r="O123" t="s">
        <v>125</v>
      </c>
      <c r="P123" t="s">
        <v>125</v>
      </c>
      <c r="Q123" t="s">
        <v>125</v>
      </c>
      <c r="R123" t="s">
        <v>125</v>
      </c>
      <c r="S123" t="s">
        <v>125</v>
      </c>
      <c r="T123">
        <v>0</v>
      </c>
      <c r="V123" t="s">
        <v>125</v>
      </c>
      <c r="AE123" t="s">
        <v>125</v>
      </c>
      <c r="AF123">
        <v>0</v>
      </c>
      <c r="AG123" t="s">
        <v>125</v>
      </c>
      <c r="AH123">
        <v>0</v>
      </c>
      <c r="AK123">
        <v>0</v>
      </c>
    </row>
    <row r="124" spans="1:37" x14ac:dyDescent="0.25">
      <c r="A124" t="s">
        <v>79</v>
      </c>
      <c r="B124">
        <v>1</v>
      </c>
      <c r="C124">
        <v>2</v>
      </c>
      <c r="D124">
        <v>2</v>
      </c>
      <c r="E124">
        <v>6</v>
      </c>
      <c r="G124">
        <v>122</v>
      </c>
      <c r="H124" t="s">
        <v>63</v>
      </c>
      <c r="I124" t="s">
        <v>116</v>
      </c>
      <c r="J124" t="s">
        <v>146</v>
      </c>
      <c r="L124">
        <v>0</v>
      </c>
      <c r="M124" t="s">
        <v>125</v>
      </c>
      <c r="O124" t="s">
        <v>125</v>
      </c>
      <c r="P124" t="s">
        <v>125</v>
      </c>
      <c r="Q124" t="s">
        <v>125</v>
      </c>
      <c r="R124" t="s">
        <v>125</v>
      </c>
      <c r="S124" t="s">
        <v>125</v>
      </c>
      <c r="T124">
        <v>0</v>
      </c>
      <c r="V124" t="s">
        <v>125</v>
      </c>
      <c r="AE124" t="s">
        <v>125</v>
      </c>
      <c r="AF124">
        <v>0</v>
      </c>
      <c r="AG124" t="s">
        <v>125</v>
      </c>
      <c r="AH124">
        <v>0</v>
      </c>
      <c r="AK124">
        <v>0</v>
      </c>
    </row>
    <row r="125" spans="1:37" x14ac:dyDescent="0.25">
      <c r="A125" t="s">
        <v>79</v>
      </c>
      <c r="B125">
        <v>1</v>
      </c>
      <c r="C125">
        <v>2</v>
      </c>
      <c r="D125">
        <v>2</v>
      </c>
      <c r="E125">
        <v>7</v>
      </c>
      <c r="G125">
        <v>122</v>
      </c>
      <c r="H125" t="s">
        <v>63</v>
      </c>
      <c r="I125" t="s">
        <v>123</v>
      </c>
      <c r="J125" t="s">
        <v>147</v>
      </c>
      <c r="L125">
        <v>0</v>
      </c>
      <c r="M125" t="s">
        <v>125</v>
      </c>
      <c r="O125" t="s">
        <v>125</v>
      </c>
      <c r="P125" t="s">
        <v>125</v>
      </c>
      <c r="Q125" t="s">
        <v>125</v>
      </c>
      <c r="R125" t="s">
        <v>125</v>
      </c>
      <c r="S125" t="s">
        <v>125</v>
      </c>
      <c r="T125">
        <v>0</v>
      </c>
      <c r="V125" t="s">
        <v>125</v>
      </c>
      <c r="AE125" t="s">
        <v>125</v>
      </c>
      <c r="AF125">
        <v>0</v>
      </c>
      <c r="AG125" t="s">
        <v>125</v>
      </c>
      <c r="AH125">
        <v>0</v>
      </c>
      <c r="AK125">
        <v>0</v>
      </c>
    </row>
    <row r="126" spans="1:37" x14ac:dyDescent="0.25">
      <c r="A126" t="s">
        <v>79</v>
      </c>
      <c r="B126">
        <v>1</v>
      </c>
      <c r="C126">
        <v>2</v>
      </c>
      <c r="D126">
        <v>2</v>
      </c>
      <c r="E126">
        <v>8</v>
      </c>
      <c r="G126">
        <v>122</v>
      </c>
      <c r="H126" t="s">
        <v>63</v>
      </c>
      <c r="I126" t="s">
        <v>126</v>
      </c>
      <c r="J126" t="s">
        <v>148</v>
      </c>
      <c r="L126">
        <v>0</v>
      </c>
      <c r="M126" t="s">
        <v>125</v>
      </c>
      <c r="O126" t="s">
        <v>125</v>
      </c>
      <c r="P126" t="s">
        <v>125</v>
      </c>
      <c r="Q126" t="s">
        <v>125</v>
      </c>
      <c r="R126" t="s">
        <v>125</v>
      </c>
      <c r="S126" t="s">
        <v>125</v>
      </c>
      <c r="T126">
        <v>0</v>
      </c>
      <c r="V126" t="s">
        <v>125</v>
      </c>
      <c r="AE126" t="s">
        <v>125</v>
      </c>
      <c r="AF126">
        <v>0</v>
      </c>
      <c r="AG126" t="s">
        <v>125</v>
      </c>
      <c r="AH126">
        <v>0</v>
      </c>
      <c r="AK126">
        <v>0</v>
      </c>
    </row>
    <row r="127" spans="1:37" x14ac:dyDescent="0.25">
      <c r="A127" t="s">
        <v>79</v>
      </c>
      <c r="B127">
        <v>1</v>
      </c>
      <c r="C127">
        <v>2</v>
      </c>
      <c r="D127">
        <v>2</v>
      </c>
      <c r="E127">
        <v>9</v>
      </c>
      <c r="G127">
        <v>122</v>
      </c>
      <c r="H127" t="s">
        <v>63</v>
      </c>
      <c r="I127" t="s">
        <v>74</v>
      </c>
      <c r="J127" t="s">
        <v>149</v>
      </c>
      <c r="L127">
        <v>0</v>
      </c>
      <c r="M127" t="s">
        <v>125</v>
      </c>
      <c r="O127" t="s">
        <v>125</v>
      </c>
      <c r="P127" t="s">
        <v>125</v>
      </c>
      <c r="Q127" t="s">
        <v>125</v>
      </c>
      <c r="R127" t="s">
        <v>125</v>
      </c>
      <c r="S127" t="s">
        <v>125</v>
      </c>
      <c r="T127">
        <v>0</v>
      </c>
      <c r="V127" t="s">
        <v>125</v>
      </c>
      <c r="AE127" t="s">
        <v>125</v>
      </c>
      <c r="AF127">
        <v>0</v>
      </c>
      <c r="AG127" t="s">
        <v>125</v>
      </c>
      <c r="AH127">
        <v>0</v>
      </c>
      <c r="AK127">
        <v>0</v>
      </c>
    </row>
    <row r="128" spans="1:37" x14ac:dyDescent="0.25">
      <c r="A128" t="s">
        <v>79</v>
      </c>
      <c r="B128">
        <v>1</v>
      </c>
      <c r="C128">
        <v>2</v>
      </c>
      <c r="D128">
        <v>2</v>
      </c>
      <c r="E128">
        <v>10</v>
      </c>
      <c r="G128">
        <v>122</v>
      </c>
      <c r="H128" t="s">
        <v>63</v>
      </c>
      <c r="I128" t="s">
        <v>129</v>
      </c>
      <c r="J128" t="s">
        <v>150</v>
      </c>
      <c r="L128">
        <v>0</v>
      </c>
      <c r="M128" t="s">
        <v>125</v>
      </c>
      <c r="O128" t="s">
        <v>125</v>
      </c>
      <c r="P128" t="s">
        <v>125</v>
      </c>
      <c r="Q128" t="s">
        <v>125</v>
      </c>
      <c r="R128" t="s">
        <v>125</v>
      </c>
      <c r="S128" t="s">
        <v>125</v>
      </c>
      <c r="T128">
        <v>0</v>
      </c>
      <c r="V128" t="s">
        <v>125</v>
      </c>
      <c r="AE128" t="s">
        <v>125</v>
      </c>
      <c r="AF128">
        <v>0</v>
      </c>
      <c r="AG128" t="s">
        <v>125</v>
      </c>
      <c r="AH128">
        <v>0</v>
      </c>
      <c r="AK128">
        <v>0</v>
      </c>
    </row>
    <row r="129" spans="1:37" x14ac:dyDescent="0.25">
      <c r="A129" t="s">
        <v>79</v>
      </c>
      <c r="B129">
        <v>1</v>
      </c>
      <c r="C129">
        <v>2</v>
      </c>
      <c r="D129">
        <v>2</v>
      </c>
      <c r="E129">
        <v>11</v>
      </c>
      <c r="G129">
        <v>122</v>
      </c>
      <c r="H129" t="s">
        <v>63</v>
      </c>
      <c r="I129" t="s">
        <v>131</v>
      </c>
      <c r="J129" t="s">
        <v>151</v>
      </c>
      <c r="L129">
        <v>0</v>
      </c>
      <c r="M129" t="s">
        <v>125</v>
      </c>
      <c r="O129" t="s">
        <v>125</v>
      </c>
      <c r="P129" t="s">
        <v>125</v>
      </c>
      <c r="Q129" t="s">
        <v>125</v>
      </c>
      <c r="R129" t="s">
        <v>125</v>
      </c>
      <c r="S129" t="s">
        <v>125</v>
      </c>
      <c r="T129">
        <v>0</v>
      </c>
      <c r="V129" t="s">
        <v>125</v>
      </c>
      <c r="AE129" t="s">
        <v>125</v>
      </c>
      <c r="AF129">
        <v>0</v>
      </c>
      <c r="AG129" t="s">
        <v>125</v>
      </c>
      <c r="AH129">
        <v>0</v>
      </c>
      <c r="AK129">
        <v>0</v>
      </c>
    </row>
    <row r="130" spans="1:37" x14ac:dyDescent="0.25">
      <c r="A130" t="s">
        <v>79</v>
      </c>
      <c r="B130">
        <v>1</v>
      </c>
      <c r="C130">
        <v>2</v>
      </c>
      <c r="D130">
        <v>2</v>
      </c>
      <c r="E130">
        <v>12</v>
      </c>
      <c r="G130">
        <v>122</v>
      </c>
      <c r="H130" t="s">
        <v>63</v>
      </c>
      <c r="I130" t="s">
        <v>133</v>
      </c>
      <c r="J130" t="s">
        <v>152</v>
      </c>
      <c r="L130">
        <v>0</v>
      </c>
      <c r="M130" t="s">
        <v>125</v>
      </c>
      <c r="O130" t="s">
        <v>125</v>
      </c>
      <c r="P130" t="s">
        <v>125</v>
      </c>
      <c r="Q130" t="s">
        <v>125</v>
      </c>
      <c r="R130" t="s">
        <v>125</v>
      </c>
      <c r="S130" t="s">
        <v>125</v>
      </c>
      <c r="T130">
        <v>0</v>
      </c>
      <c r="V130" t="s">
        <v>125</v>
      </c>
      <c r="AE130" t="s">
        <v>125</v>
      </c>
      <c r="AF130">
        <v>0</v>
      </c>
      <c r="AG130" t="s">
        <v>125</v>
      </c>
      <c r="AH130">
        <v>0</v>
      </c>
      <c r="AK130">
        <v>0</v>
      </c>
    </row>
    <row r="131" spans="1:37" x14ac:dyDescent="0.25">
      <c r="A131" t="s">
        <v>79</v>
      </c>
      <c r="B131">
        <v>1</v>
      </c>
      <c r="C131">
        <v>2</v>
      </c>
      <c r="D131">
        <v>2</v>
      </c>
      <c r="E131">
        <v>13</v>
      </c>
      <c r="G131">
        <v>122</v>
      </c>
      <c r="H131" t="s">
        <v>63</v>
      </c>
      <c r="I131" t="s">
        <v>135</v>
      </c>
      <c r="J131" t="s">
        <v>153</v>
      </c>
      <c r="L131">
        <v>0</v>
      </c>
      <c r="M131" t="s">
        <v>125</v>
      </c>
      <c r="O131" t="s">
        <v>125</v>
      </c>
      <c r="P131" t="s">
        <v>125</v>
      </c>
      <c r="Q131" t="s">
        <v>125</v>
      </c>
      <c r="R131" t="s">
        <v>125</v>
      </c>
      <c r="S131" t="s">
        <v>125</v>
      </c>
      <c r="T131">
        <v>0</v>
      </c>
      <c r="V131" t="s">
        <v>125</v>
      </c>
      <c r="AE131" t="s">
        <v>125</v>
      </c>
      <c r="AF131">
        <v>0</v>
      </c>
      <c r="AG131" t="s">
        <v>125</v>
      </c>
      <c r="AH131">
        <v>0</v>
      </c>
      <c r="AK131">
        <v>0</v>
      </c>
    </row>
    <row r="132" spans="1:37" x14ac:dyDescent="0.25">
      <c r="A132" t="s">
        <v>79</v>
      </c>
      <c r="B132">
        <v>1</v>
      </c>
      <c r="C132">
        <v>2</v>
      </c>
      <c r="D132">
        <v>2</v>
      </c>
      <c r="E132">
        <v>14</v>
      </c>
      <c r="G132">
        <v>122</v>
      </c>
      <c r="H132" t="s">
        <v>63</v>
      </c>
      <c r="I132" t="s">
        <v>137</v>
      </c>
      <c r="J132" t="s">
        <v>154</v>
      </c>
      <c r="L132">
        <v>0</v>
      </c>
      <c r="M132" t="s">
        <v>125</v>
      </c>
      <c r="O132" t="s">
        <v>125</v>
      </c>
      <c r="P132" t="s">
        <v>125</v>
      </c>
      <c r="Q132" t="s">
        <v>125</v>
      </c>
      <c r="R132" t="s">
        <v>125</v>
      </c>
      <c r="S132" t="s">
        <v>125</v>
      </c>
      <c r="T132">
        <v>0</v>
      </c>
      <c r="V132" t="s">
        <v>125</v>
      </c>
      <c r="AE132" t="s">
        <v>125</v>
      </c>
      <c r="AF132">
        <v>0</v>
      </c>
      <c r="AG132" t="s">
        <v>125</v>
      </c>
      <c r="AH132">
        <v>0</v>
      </c>
      <c r="AK132">
        <v>0</v>
      </c>
    </row>
    <row r="133" spans="1:37" x14ac:dyDescent="0.25">
      <c r="A133" t="s">
        <v>79</v>
      </c>
      <c r="B133">
        <v>1</v>
      </c>
      <c r="C133">
        <v>2</v>
      </c>
      <c r="D133">
        <v>2</v>
      </c>
      <c r="E133">
        <v>15</v>
      </c>
      <c r="G133">
        <v>122</v>
      </c>
      <c r="H133" t="s">
        <v>63</v>
      </c>
      <c r="I133" t="s">
        <v>139</v>
      </c>
      <c r="J133" t="s">
        <v>155</v>
      </c>
      <c r="L133">
        <v>0</v>
      </c>
      <c r="M133" t="s">
        <v>125</v>
      </c>
      <c r="O133" t="s">
        <v>125</v>
      </c>
      <c r="P133" t="s">
        <v>125</v>
      </c>
      <c r="Q133" t="s">
        <v>125</v>
      </c>
      <c r="R133" t="s">
        <v>125</v>
      </c>
      <c r="S133" t="s">
        <v>125</v>
      </c>
      <c r="T133">
        <v>0</v>
      </c>
      <c r="V133" t="s">
        <v>125</v>
      </c>
      <c r="AE133" t="s">
        <v>125</v>
      </c>
      <c r="AF133">
        <v>0</v>
      </c>
      <c r="AG133" t="s">
        <v>125</v>
      </c>
      <c r="AH133">
        <v>0</v>
      </c>
      <c r="AK133">
        <v>0</v>
      </c>
    </row>
    <row r="134" spans="1:37" x14ac:dyDescent="0.25">
      <c r="L134">
        <v>0</v>
      </c>
    </row>
    <row r="135" spans="1:37" x14ac:dyDescent="0.25">
      <c r="A135" t="s">
        <v>70</v>
      </c>
      <c r="B135">
        <v>1</v>
      </c>
      <c r="C135">
        <v>2</v>
      </c>
      <c r="D135">
        <v>3</v>
      </c>
      <c r="G135">
        <v>12</v>
      </c>
      <c r="L135">
        <v>0</v>
      </c>
      <c r="M135" t="s">
        <v>125</v>
      </c>
      <c r="P135" t="s">
        <v>125</v>
      </c>
      <c r="R135" t="s">
        <v>125</v>
      </c>
      <c r="S135" t="s">
        <v>63</v>
      </c>
      <c r="V135" t="s">
        <v>125</v>
      </c>
      <c r="X135" t="s">
        <v>125</v>
      </c>
      <c r="Y135" t="s">
        <v>125</v>
      </c>
      <c r="Z135" t="s">
        <v>125</v>
      </c>
      <c r="AA135" t="s">
        <v>125</v>
      </c>
      <c r="AB135" t="s">
        <v>125</v>
      </c>
      <c r="AC135" t="s">
        <v>125</v>
      </c>
      <c r="AE135" t="s">
        <v>125</v>
      </c>
      <c r="AF135">
        <v>0</v>
      </c>
      <c r="AG135" t="s">
        <v>125</v>
      </c>
      <c r="AH135">
        <v>0</v>
      </c>
      <c r="AK135">
        <v>0</v>
      </c>
    </row>
    <row r="136" spans="1:37" x14ac:dyDescent="0.25">
      <c r="A136" t="s">
        <v>79</v>
      </c>
      <c r="B136">
        <v>1</v>
      </c>
      <c r="C136">
        <v>2</v>
      </c>
      <c r="D136">
        <v>3</v>
      </c>
      <c r="E136">
        <v>1</v>
      </c>
      <c r="G136">
        <v>123</v>
      </c>
      <c r="H136" t="s">
        <v>63</v>
      </c>
      <c r="I136" t="s">
        <v>80</v>
      </c>
      <c r="J136" t="s">
        <v>141</v>
      </c>
      <c r="L136">
        <v>0</v>
      </c>
      <c r="M136" t="s">
        <v>125</v>
      </c>
      <c r="O136" t="s">
        <v>125</v>
      </c>
      <c r="P136" t="s">
        <v>125</v>
      </c>
      <c r="Q136" t="s">
        <v>125</v>
      </c>
      <c r="R136" t="s">
        <v>125</v>
      </c>
      <c r="S136" t="s">
        <v>125</v>
      </c>
      <c r="T136">
        <v>0</v>
      </c>
      <c r="V136" t="s">
        <v>125</v>
      </c>
      <c r="AE136" t="s">
        <v>125</v>
      </c>
      <c r="AF136">
        <v>0</v>
      </c>
      <c r="AG136" t="s">
        <v>125</v>
      </c>
      <c r="AH136">
        <v>0</v>
      </c>
      <c r="AK136">
        <v>0</v>
      </c>
    </row>
    <row r="137" spans="1:37" x14ac:dyDescent="0.25">
      <c r="A137" t="s">
        <v>79</v>
      </c>
      <c r="B137">
        <v>1</v>
      </c>
      <c r="C137">
        <v>2</v>
      </c>
      <c r="D137">
        <v>3</v>
      </c>
      <c r="E137">
        <v>2</v>
      </c>
      <c r="G137">
        <v>123</v>
      </c>
      <c r="H137" t="s">
        <v>63</v>
      </c>
      <c r="I137" t="s">
        <v>88</v>
      </c>
      <c r="J137" t="s">
        <v>142</v>
      </c>
      <c r="L137">
        <v>0</v>
      </c>
      <c r="M137" t="s">
        <v>125</v>
      </c>
      <c r="O137" t="s">
        <v>125</v>
      </c>
      <c r="P137" t="s">
        <v>125</v>
      </c>
      <c r="Q137" t="s">
        <v>125</v>
      </c>
      <c r="R137" t="s">
        <v>125</v>
      </c>
      <c r="S137" t="s">
        <v>125</v>
      </c>
      <c r="T137">
        <v>0</v>
      </c>
      <c r="V137" t="s">
        <v>125</v>
      </c>
      <c r="AE137" t="s">
        <v>125</v>
      </c>
      <c r="AF137">
        <v>0</v>
      </c>
      <c r="AG137" t="s">
        <v>125</v>
      </c>
      <c r="AH137">
        <v>0</v>
      </c>
      <c r="AK137">
        <v>0</v>
      </c>
    </row>
    <row r="138" spans="1:37" x14ac:dyDescent="0.25">
      <c r="A138" t="s">
        <v>79</v>
      </c>
      <c r="B138">
        <v>1</v>
      </c>
      <c r="C138">
        <v>2</v>
      </c>
      <c r="D138">
        <v>3</v>
      </c>
      <c r="E138">
        <v>3</v>
      </c>
      <c r="G138">
        <v>123</v>
      </c>
      <c r="H138" t="s">
        <v>63</v>
      </c>
      <c r="I138" t="s">
        <v>95</v>
      </c>
      <c r="J138" t="s">
        <v>143</v>
      </c>
      <c r="L138">
        <v>0</v>
      </c>
      <c r="M138" t="s">
        <v>125</v>
      </c>
      <c r="O138" t="s">
        <v>125</v>
      </c>
      <c r="P138" t="s">
        <v>125</v>
      </c>
      <c r="Q138" t="s">
        <v>125</v>
      </c>
      <c r="R138" t="s">
        <v>125</v>
      </c>
      <c r="S138" t="s">
        <v>125</v>
      </c>
      <c r="T138">
        <v>0</v>
      </c>
      <c r="V138" t="s">
        <v>125</v>
      </c>
      <c r="AE138" t="s">
        <v>125</v>
      </c>
      <c r="AF138">
        <v>0</v>
      </c>
      <c r="AG138" t="s">
        <v>125</v>
      </c>
      <c r="AH138">
        <v>0</v>
      </c>
      <c r="AK138">
        <v>0</v>
      </c>
    </row>
    <row r="139" spans="1:37" x14ac:dyDescent="0.25">
      <c r="A139" t="s">
        <v>79</v>
      </c>
      <c r="B139">
        <v>1</v>
      </c>
      <c r="C139">
        <v>2</v>
      </c>
      <c r="D139">
        <v>3</v>
      </c>
      <c r="E139">
        <v>4</v>
      </c>
      <c r="G139">
        <v>123</v>
      </c>
      <c r="H139" t="s">
        <v>63</v>
      </c>
      <c r="I139" t="s">
        <v>102</v>
      </c>
      <c r="J139" t="s">
        <v>144</v>
      </c>
      <c r="L139">
        <v>0</v>
      </c>
      <c r="M139" t="s">
        <v>125</v>
      </c>
      <c r="O139" t="s">
        <v>125</v>
      </c>
      <c r="P139" t="s">
        <v>125</v>
      </c>
      <c r="Q139" t="s">
        <v>125</v>
      </c>
      <c r="R139" t="s">
        <v>125</v>
      </c>
      <c r="S139" t="s">
        <v>125</v>
      </c>
      <c r="T139">
        <v>0</v>
      </c>
      <c r="V139" t="s">
        <v>125</v>
      </c>
      <c r="AE139" t="s">
        <v>125</v>
      </c>
      <c r="AF139">
        <v>0</v>
      </c>
      <c r="AG139" t="s">
        <v>125</v>
      </c>
      <c r="AH139">
        <v>0</v>
      </c>
      <c r="AK139">
        <v>0</v>
      </c>
    </row>
    <row r="140" spans="1:37" x14ac:dyDescent="0.25">
      <c r="A140" t="s">
        <v>79</v>
      </c>
      <c r="B140">
        <v>1</v>
      </c>
      <c r="C140">
        <v>2</v>
      </c>
      <c r="D140">
        <v>3</v>
      </c>
      <c r="E140">
        <v>5</v>
      </c>
      <c r="G140">
        <v>123</v>
      </c>
      <c r="H140" t="s">
        <v>63</v>
      </c>
      <c r="I140" t="s">
        <v>109</v>
      </c>
      <c r="J140" t="s">
        <v>145</v>
      </c>
      <c r="L140">
        <v>0</v>
      </c>
      <c r="M140" t="s">
        <v>125</v>
      </c>
      <c r="O140" t="s">
        <v>125</v>
      </c>
      <c r="P140" t="s">
        <v>125</v>
      </c>
      <c r="Q140" t="s">
        <v>125</v>
      </c>
      <c r="R140" t="s">
        <v>125</v>
      </c>
      <c r="S140" t="s">
        <v>125</v>
      </c>
      <c r="T140">
        <v>0</v>
      </c>
      <c r="V140" t="s">
        <v>125</v>
      </c>
      <c r="AE140" t="s">
        <v>125</v>
      </c>
      <c r="AF140">
        <v>0</v>
      </c>
      <c r="AG140" t="s">
        <v>125</v>
      </c>
      <c r="AH140">
        <v>0</v>
      </c>
      <c r="AK140">
        <v>0</v>
      </c>
    </row>
    <row r="141" spans="1:37" x14ac:dyDescent="0.25">
      <c r="A141" t="s">
        <v>79</v>
      </c>
      <c r="B141">
        <v>1</v>
      </c>
      <c r="C141">
        <v>2</v>
      </c>
      <c r="D141">
        <v>3</v>
      </c>
      <c r="E141">
        <v>6</v>
      </c>
      <c r="G141">
        <v>123</v>
      </c>
      <c r="H141" t="s">
        <v>63</v>
      </c>
      <c r="I141" t="s">
        <v>116</v>
      </c>
      <c r="J141" t="s">
        <v>146</v>
      </c>
      <c r="L141">
        <v>0</v>
      </c>
      <c r="M141" t="s">
        <v>125</v>
      </c>
      <c r="O141" t="s">
        <v>125</v>
      </c>
      <c r="P141" t="s">
        <v>125</v>
      </c>
      <c r="Q141" t="s">
        <v>125</v>
      </c>
      <c r="R141" t="s">
        <v>125</v>
      </c>
      <c r="S141" t="s">
        <v>125</v>
      </c>
      <c r="T141">
        <v>0</v>
      </c>
      <c r="V141" t="s">
        <v>125</v>
      </c>
      <c r="AE141" t="s">
        <v>125</v>
      </c>
      <c r="AF141">
        <v>0</v>
      </c>
      <c r="AG141" t="s">
        <v>125</v>
      </c>
      <c r="AH141">
        <v>0</v>
      </c>
      <c r="AK141">
        <v>0</v>
      </c>
    </row>
    <row r="142" spans="1:37" x14ac:dyDescent="0.25">
      <c r="A142" t="s">
        <v>79</v>
      </c>
      <c r="B142">
        <v>1</v>
      </c>
      <c r="C142">
        <v>2</v>
      </c>
      <c r="D142">
        <v>3</v>
      </c>
      <c r="E142">
        <v>7</v>
      </c>
      <c r="G142">
        <v>123</v>
      </c>
      <c r="H142" t="s">
        <v>63</v>
      </c>
      <c r="I142" t="s">
        <v>123</v>
      </c>
      <c r="J142" t="s">
        <v>147</v>
      </c>
      <c r="L142">
        <v>0</v>
      </c>
      <c r="M142" t="s">
        <v>125</v>
      </c>
      <c r="O142" t="s">
        <v>125</v>
      </c>
      <c r="P142" t="s">
        <v>125</v>
      </c>
      <c r="Q142" t="s">
        <v>125</v>
      </c>
      <c r="R142" t="s">
        <v>125</v>
      </c>
      <c r="S142" t="s">
        <v>125</v>
      </c>
      <c r="T142">
        <v>0</v>
      </c>
      <c r="V142" t="s">
        <v>125</v>
      </c>
      <c r="AE142" t="s">
        <v>125</v>
      </c>
      <c r="AF142">
        <v>0</v>
      </c>
      <c r="AG142" t="s">
        <v>125</v>
      </c>
      <c r="AH142">
        <v>0</v>
      </c>
      <c r="AK142">
        <v>0</v>
      </c>
    </row>
    <row r="143" spans="1:37" x14ac:dyDescent="0.25">
      <c r="A143" t="s">
        <v>79</v>
      </c>
      <c r="B143">
        <v>1</v>
      </c>
      <c r="C143">
        <v>2</v>
      </c>
      <c r="D143">
        <v>3</v>
      </c>
      <c r="E143">
        <v>8</v>
      </c>
      <c r="G143">
        <v>123</v>
      </c>
      <c r="H143" t="s">
        <v>63</v>
      </c>
      <c r="I143" t="s">
        <v>126</v>
      </c>
      <c r="J143" t="s">
        <v>148</v>
      </c>
      <c r="L143">
        <v>0</v>
      </c>
      <c r="M143" t="s">
        <v>125</v>
      </c>
      <c r="O143" t="s">
        <v>125</v>
      </c>
      <c r="P143" t="s">
        <v>125</v>
      </c>
      <c r="Q143" t="s">
        <v>125</v>
      </c>
      <c r="R143" t="s">
        <v>125</v>
      </c>
      <c r="S143" t="s">
        <v>125</v>
      </c>
      <c r="T143">
        <v>0</v>
      </c>
      <c r="V143" t="s">
        <v>125</v>
      </c>
      <c r="AE143" t="s">
        <v>125</v>
      </c>
      <c r="AF143">
        <v>0</v>
      </c>
      <c r="AG143" t="s">
        <v>125</v>
      </c>
      <c r="AH143">
        <v>0</v>
      </c>
      <c r="AK143">
        <v>0</v>
      </c>
    </row>
    <row r="144" spans="1:37" x14ac:dyDescent="0.25">
      <c r="A144" t="s">
        <v>79</v>
      </c>
      <c r="B144">
        <v>1</v>
      </c>
      <c r="C144">
        <v>2</v>
      </c>
      <c r="D144">
        <v>3</v>
      </c>
      <c r="E144">
        <v>9</v>
      </c>
      <c r="G144">
        <v>123</v>
      </c>
      <c r="H144" t="s">
        <v>63</v>
      </c>
      <c r="I144" t="s">
        <v>74</v>
      </c>
      <c r="J144" t="s">
        <v>149</v>
      </c>
      <c r="L144">
        <v>0</v>
      </c>
      <c r="M144" t="s">
        <v>125</v>
      </c>
      <c r="O144" t="s">
        <v>125</v>
      </c>
      <c r="P144" t="s">
        <v>125</v>
      </c>
      <c r="Q144" t="s">
        <v>125</v>
      </c>
      <c r="R144" t="s">
        <v>125</v>
      </c>
      <c r="S144" t="s">
        <v>125</v>
      </c>
      <c r="T144">
        <v>0</v>
      </c>
      <c r="V144" t="s">
        <v>125</v>
      </c>
      <c r="AE144" t="s">
        <v>125</v>
      </c>
      <c r="AF144">
        <v>0</v>
      </c>
      <c r="AG144" t="s">
        <v>125</v>
      </c>
      <c r="AH144">
        <v>0</v>
      </c>
      <c r="AK144">
        <v>0</v>
      </c>
    </row>
    <row r="145" spans="1:37" x14ac:dyDescent="0.25">
      <c r="A145" t="s">
        <v>79</v>
      </c>
      <c r="B145">
        <v>1</v>
      </c>
      <c r="C145">
        <v>2</v>
      </c>
      <c r="D145">
        <v>3</v>
      </c>
      <c r="E145">
        <v>10</v>
      </c>
      <c r="G145">
        <v>123</v>
      </c>
      <c r="H145" t="s">
        <v>63</v>
      </c>
      <c r="I145" t="s">
        <v>129</v>
      </c>
      <c r="J145" t="s">
        <v>150</v>
      </c>
      <c r="L145">
        <v>0</v>
      </c>
      <c r="M145" t="s">
        <v>125</v>
      </c>
      <c r="O145" t="s">
        <v>125</v>
      </c>
      <c r="P145" t="s">
        <v>125</v>
      </c>
      <c r="Q145" t="s">
        <v>125</v>
      </c>
      <c r="R145" t="s">
        <v>125</v>
      </c>
      <c r="S145" t="s">
        <v>125</v>
      </c>
      <c r="T145">
        <v>0</v>
      </c>
      <c r="V145" t="s">
        <v>125</v>
      </c>
      <c r="AE145" t="s">
        <v>125</v>
      </c>
      <c r="AF145">
        <v>0</v>
      </c>
      <c r="AG145" t="s">
        <v>125</v>
      </c>
      <c r="AH145">
        <v>0</v>
      </c>
      <c r="AK145">
        <v>0</v>
      </c>
    </row>
    <row r="146" spans="1:37" x14ac:dyDescent="0.25">
      <c r="A146" t="s">
        <v>79</v>
      </c>
      <c r="B146">
        <v>1</v>
      </c>
      <c r="C146">
        <v>2</v>
      </c>
      <c r="D146">
        <v>3</v>
      </c>
      <c r="E146">
        <v>11</v>
      </c>
      <c r="G146">
        <v>123</v>
      </c>
      <c r="H146" t="s">
        <v>63</v>
      </c>
      <c r="I146" t="s">
        <v>131</v>
      </c>
      <c r="J146" t="s">
        <v>151</v>
      </c>
      <c r="L146">
        <v>0</v>
      </c>
      <c r="M146" t="s">
        <v>125</v>
      </c>
      <c r="O146" t="s">
        <v>125</v>
      </c>
      <c r="P146" t="s">
        <v>125</v>
      </c>
      <c r="Q146" t="s">
        <v>125</v>
      </c>
      <c r="R146" t="s">
        <v>125</v>
      </c>
      <c r="S146" t="s">
        <v>125</v>
      </c>
      <c r="T146">
        <v>0</v>
      </c>
      <c r="V146" t="s">
        <v>125</v>
      </c>
      <c r="AE146" t="s">
        <v>125</v>
      </c>
      <c r="AF146">
        <v>0</v>
      </c>
      <c r="AG146" t="s">
        <v>125</v>
      </c>
      <c r="AH146">
        <v>0</v>
      </c>
      <c r="AK146">
        <v>0</v>
      </c>
    </row>
    <row r="147" spans="1:37" x14ac:dyDescent="0.25">
      <c r="A147" t="s">
        <v>79</v>
      </c>
      <c r="B147">
        <v>1</v>
      </c>
      <c r="C147">
        <v>2</v>
      </c>
      <c r="D147">
        <v>3</v>
      </c>
      <c r="E147">
        <v>12</v>
      </c>
      <c r="G147">
        <v>123</v>
      </c>
      <c r="H147" t="s">
        <v>63</v>
      </c>
      <c r="I147" t="s">
        <v>133</v>
      </c>
      <c r="J147" t="s">
        <v>152</v>
      </c>
      <c r="L147">
        <v>0</v>
      </c>
      <c r="M147" t="s">
        <v>125</v>
      </c>
      <c r="O147" t="s">
        <v>125</v>
      </c>
      <c r="P147" t="s">
        <v>125</v>
      </c>
      <c r="Q147" t="s">
        <v>125</v>
      </c>
      <c r="R147" t="s">
        <v>125</v>
      </c>
      <c r="S147" t="s">
        <v>125</v>
      </c>
      <c r="T147">
        <v>0</v>
      </c>
      <c r="V147" t="s">
        <v>125</v>
      </c>
      <c r="AE147" t="s">
        <v>125</v>
      </c>
      <c r="AF147">
        <v>0</v>
      </c>
      <c r="AG147" t="s">
        <v>125</v>
      </c>
      <c r="AH147">
        <v>0</v>
      </c>
      <c r="AK147">
        <v>0</v>
      </c>
    </row>
    <row r="148" spans="1:37" x14ac:dyDescent="0.25">
      <c r="A148" t="s">
        <v>79</v>
      </c>
      <c r="B148">
        <v>1</v>
      </c>
      <c r="C148">
        <v>2</v>
      </c>
      <c r="D148">
        <v>3</v>
      </c>
      <c r="E148">
        <v>13</v>
      </c>
      <c r="G148">
        <v>123</v>
      </c>
      <c r="H148" t="s">
        <v>63</v>
      </c>
      <c r="I148" t="s">
        <v>135</v>
      </c>
      <c r="J148" t="s">
        <v>153</v>
      </c>
      <c r="L148">
        <v>0</v>
      </c>
      <c r="M148" t="s">
        <v>125</v>
      </c>
      <c r="O148" t="s">
        <v>125</v>
      </c>
      <c r="P148" t="s">
        <v>125</v>
      </c>
      <c r="Q148" t="s">
        <v>125</v>
      </c>
      <c r="R148" t="s">
        <v>125</v>
      </c>
      <c r="S148" t="s">
        <v>125</v>
      </c>
      <c r="T148">
        <v>0</v>
      </c>
      <c r="V148" t="s">
        <v>125</v>
      </c>
      <c r="AE148" t="s">
        <v>125</v>
      </c>
      <c r="AF148">
        <v>0</v>
      </c>
      <c r="AG148" t="s">
        <v>125</v>
      </c>
      <c r="AH148">
        <v>0</v>
      </c>
      <c r="AK148">
        <v>0</v>
      </c>
    </row>
    <row r="149" spans="1:37" x14ac:dyDescent="0.25">
      <c r="A149" t="s">
        <v>79</v>
      </c>
      <c r="B149">
        <v>1</v>
      </c>
      <c r="C149">
        <v>2</v>
      </c>
      <c r="D149">
        <v>3</v>
      </c>
      <c r="E149">
        <v>14</v>
      </c>
      <c r="G149">
        <v>123</v>
      </c>
      <c r="H149" t="s">
        <v>63</v>
      </c>
      <c r="I149" t="s">
        <v>137</v>
      </c>
      <c r="J149" t="s">
        <v>154</v>
      </c>
      <c r="L149">
        <v>0</v>
      </c>
      <c r="M149" t="s">
        <v>125</v>
      </c>
      <c r="O149" t="s">
        <v>125</v>
      </c>
      <c r="P149" t="s">
        <v>125</v>
      </c>
      <c r="Q149" t="s">
        <v>125</v>
      </c>
      <c r="R149" t="s">
        <v>125</v>
      </c>
      <c r="S149" t="s">
        <v>125</v>
      </c>
      <c r="T149">
        <v>0</v>
      </c>
      <c r="V149" t="s">
        <v>125</v>
      </c>
      <c r="AE149" t="s">
        <v>125</v>
      </c>
      <c r="AF149">
        <v>0</v>
      </c>
      <c r="AG149" t="s">
        <v>125</v>
      </c>
      <c r="AH149">
        <v>0</v>
      </c>
      <c r="AK149">
        <v>0</v>
      </c>
    </row>
    <row r="150" spans="1:37" x14ac:dyDescent="0.25">
      <c r="A150" t="s">
        <v>79</v>
      </c>
      <c r="B150">
        <v>1</v>
      </c>
      <c r="C150">
        <v>2</v>
      </c>
      <c r="D150">
        <v>3</v>
      </c>
      <c r="E150">
        <v>15</v>
      </c>
      <c r="G150">
        <v>123</v>
      </c>
      <c r="H150" t="s">
        <v>63</v>
      </c>
      <c r="I150" t="s">
        <v>139</v>
      </c>
      <c r="J150" t="s">
        <v>155</v>
      </c>
      <c r="L150">
        <v>0</v>
      </c>
      <c r="M150" t="s">
        <v>125</v>
      </c>
      <c r="O150" t="s">
        <v>125</v>
      </c>
      <c r="P150" t="s">
        <v>125</v>
      </c>
      <c r="Q150" t="s">
        <v>125</v>
      </c>
      <c r="R150" t="s">
        <v>125</v>
      </c>
      <c r="S150" t="s">
        <v>125</v>
      </c>
      <c r="T150">
        <v>0</v>
      </c>
      <c r="V150" t="s">
        <v>125</v>
      </c>
      <c r="AE150" t="s">
        <v>125</v>
      </c>
      <c r="AF150">
        <v>0</v>
      </c>
      <c r="AG150" t="s">
        <v>125</v>
      </c>
      <c r="AH150">
        <v>0</v>
      </c>
      <c r="AK150">
        <v>0</v>
      </c>
    </row>
    <row r="151" spans="1:37" x14ac:dyDescent="0.25">
      <c r="L151">
        <v>0</v>
      </c>
    </row>
    <row r="152" spans="1:37" x14ac:dyDescent="0.25">
      <c r="A152" t="s">
        <v>70</v>
      </c>
      <c r="B152">
        <v>1</v>
      </c>
      <c r="C152">
        <v>2</v>
      </c>
      <c r="D152">
        <v>4</v>
      </c>
      <c r="G152">
        <v>12</v>
      </c>
      <c r="L152">
        <v>0</v>
      </c>
      <c r="M152" t="s">
        <v>125</v>
      </c>
      <c r="P152" t="s">
        <v>125</v>
      </c>
      <c r="R152" t="s">
        <v>125</v>
      </c>
      <c r="S152" t="s">
        <v>63</v>
      </c>
      <c r="V152" t="s">
        <v>125</v>
      </c>
      <c r="X152" t="s">
        <v>125</v>
      </c>
      <c r="Y152" t="s">
        <v>125</v>
      </c>
      <c r="Z152" t="s">
        <v>125</v>
      </c>
      <c r="AA152" t="s">
        <v>125</v>
      </c>
      <c r="AB152" t="s">
        <v>125</v>
      </c>
      <c r="AC152" t="s">
        <v>125</v>
      </c>
      <c r="AE152" t="s">
        <v>125</v>
      </c>
      <c r="AF152">
        <v>0</v>
      </c>
      <c r="AG152" t="s">
        <v>125</v>
      </c>
      <c r="AH152">
        <v>0</v>
      </c>
      <c r="AK152">
        <v>0</v>
      </c>
    </row>
    <row r="153" spans="1:37" x14ac:dyDescent="0.25">
      <c r="A153" t="s">
        <v>79</v>
      </c>
      <c r="B153">
        <v>1</v>
      </c>
      <c r="C153">
        <v>2</v>
      </c>
      <c r="D153">
        <v>4</v>
      </c>
      <c r="E153">
        <v>1</v>
      </c>
      <c r="G153">
        <v>124</v>
      </c>
      <c r="H153" t="s">
        <v>63</v>
      </c>
      <c r="I153" t="s">
        <v>80</v>
      </c>
      <c r="J153" t="s">
        <v>141</v>
      </c>
      <c r="L153">
        <v>0</v>
      </c>
      <c r="M153" t="s">
        <v>125</v>
      </c>
      <c r="O153" t="s">
        <v>125</v>
      </c>
      <c r="P153" t="s">
        <v>125</v>
      </c>
      <c r="Q153" t="s">
        <v>125</v>
      </c>
      <c r="R153" t="s">
        <v>125</v>
      </c>
      <c r="S153" t="s">
        <v>125</v>
      </c>
      <c r="T153">
        <v>0</v>
      </c>
      <c r="V153" t="s">
        <v>125</v>
      </c>
      <c r="AE153" t="s">
        <v>125</v>
      </c>
      <c r="AF153">
        <v>0</v>
      </c>
      <c r="AG153" t="s">
        <v>125</v>
      </c>
      <c r="AH153">
        <v>0</v>
      </c>
      <c r="AK153">
        <v>0</v>
      </c>
    </row>
    <row r="154" spans="1:37" x14ac:dyDescent="0.25">
      <c r="A154" t="s">
        <v>79</v>
      </c>
      <c r="B154">
        <v>1</v>
      </c>
      <c r="C154">
        <v>2</v>
      </c>
      <c r="D154">
        <v>4</v>
      </c>
      <c r="E154">
        <v>2</v>
      </c>
      <c r="G154">
        <v>124</v>
      </c>
      <c r="H154" t="s">
        <v>63</v>
      </c>
      <c r="I154" t="s">
        <v>88</v>
      </c>
      <c r="J154" t="s">
        <v>142</v>
      </c>
      <c r="L154">
        <v>0</v>
      </c>
      <c r="M154" t="s">
        <v>125</v>
      </c>
      <c r="O154" t="s">
        <v>125</v>
      </c>
      <c r="P154" t="s">
        <v>125</v>
      </c>
      <c r="Q154" t="s">
        <v>125</v>
      </c>
      <c r="R154" t="s">
        <v>125</v>
      </c>
      <c r="S154" t="s">
        <v>125</v>
      </c>
      <c r="T154">
        <v>0</v>
      </c>
      <c r="V154" t="s">
        <v>125</v>
      </c>
      <c r="AE154" t="s">
        <v>125</v>
      </c>
      <c r="AF154">
        <v>0</v>
      </c>
      <c r="AG154" t="s">
        <v>125</v>
      </c>
      <c r="AH154">
        <v>0</v>
      </c>
      <c r="AK154">
        <v>0</v>
      </c>
    </row>
    <row r="155" spans="1:37" x14ac:dyDescent="0.25">
      <c r="A155" t="s">
        <v>79</v>
      </c>
      <c r="B155">
        <v>1</v>
      </c>
      <c r="C155">
        <v>2</v>
      </c>
      <c r="D155">
        <v>4</v>
      </c>
      <c r="E155">
        <v>3</v>
      </c>
      <c r="G155">
        <v>124</v>
      </c>
      <c r="H155" t="s">
        <v>63</v>
      </c>
      <c r="I155" t="s">
        <v>95</v>
      </c>
      <c r="J155" t="s">
        <v>143</v>
      </c>
      <c r="L155">
        <v>0</v>
      </c>
      <c r="M155" t="s">
        <v>125</v>
      </c>
      <c r="O155" t="s">
        <v>125</v>
      </c>
      <c r="P155" t="s">
        <v>125</v>
      </c>
      <c r="Q155" t="s">
        <v>125</v>
      </c>
      <c r="R155" t="s">
        <v>125</v>
      </c>
      <c r="S155" t="s">
        <v>125</v>
      </c>
      <c r="T155">
        <v>0</v>
      </c>
      <c r="V155" t="s">
        <v>125</v>
      </c>
      <c r="AE155" t="s">
        <v>125</v>
      </c>
      <c r="AF155">
        <v>0</v>
      </c>
      <c r="AG155" t="s">
        <v>125</v>
      </c>
      <c r="AH155">
        <v>0</v>
      </c>
      <c r="AK155">
        <v>0</v>
      </c>
    </row>
    <row r="156" spans="1:37" x14ac:dyDescent="0.25">
      <c r="A156" t="s">
        <v>79</v>
      </c>
      <c r="B156">
        <v>1</v>
      </c>
      <c r="C156">
        <v>2</v>
      </c>
      <c r="D156">
        <v>4</v>
      </c>
      <c r="E156">
        <v>4</v>
      </c>
      <c r="G156">
        <v>124</v>
      </c>
      <c r="H156" t="s">
        <v>63</v>
      </c>
      <c r="I156" t="s">
        <v>102</v>
      </c>
      <c r="J156" t="s">
        <v>144</v>
      </c>
      <c r="L156">
        <v>0</v>
      </c>
      <c r="M156" t="s">
        <v>125</v>
      </c>
      <c r="O156" t="s">
        <v>125</v>
      </c>
      <c r="P156" t="s">
        <v>125</v>
      </c>
      <c r="Q156" t="s">
        <v>125</v>
      </c>
      <c r="R156" t="s">
        <v>125</v>
      </c>
      <c r="S156" t="s">
        <v>125</v>
      </c>
      <c r="T156">
        <v>0</v>
      </c>
      <c r="V156" t="s">
        <v>125</v>
      </c>
      <c r="AE156" t="s">
        <v>125</v>
      </c>
      <c r="AF156">
        <v>0</v>
      </c>
      <c r="AG156" t="s">
        <v>125</v>
      </c>
      <c r="AH156">
        <v>0</v>
      </c>
      <c r="AK156">
        <v>0</v>
      </c>
    </row>
    <row r="157" spans="1:37" x14ac:dyDescent="0.25">
      <c r="A157" t="s">
        <v>79</v>
      </c>
      <c r="B157">
        <v>1</v>
      </c>
      <c r="C157">
        <v>2</v>
      </c>
      <c r="D157">
        <v>4</v>
      </c>
      <c r="E157">
        <v>5</v>
      </c>
      <c r="G157">
        <v>124</v>
      </c>
      <c r="H157" t="s">
        <v>63</v>
      </c>
      <c r="I157" t="s">
        <v>109</v>
      </c>
      <c r="J157" t="s">
        <v>145</v>
      </c>
      <c r="L157">
        <v>0</v>
      </c>
      <c r="M157" t="s">
        <v>125</v>
      </c>
      <c r="O157" t="s">
        <v>125</v>
      </c>
      <c r="P157" t="s">
        <v>125</v>
      </c>
      <c r="Q157" t="s">
        <v>125</v>
      </c>
      <c r="R157" t="s">
        <v>125</v>
      </c>
      <c r="S157" t="s">
        <v>125</v>
      </c>
      <c r="T157">
        <v>0</v>
      </c>
      <c r="V157" t="s">
        <v>125</v>
      </c>
      <c r="AE157" t="s">
        <v>125</v>
      </c>
      <c r="AF157">
        <v>0</v>
      </c>
      <c r="AG157" t="s">
        <v>125</v>
      </c>
      <c r="AH157">
        <v>0</v>
      </c>
      <c r="AK157">
        <v>0</v>
      </c>
    </row>
    <row r="158" spans="1:37" x14ac:dyDescent="0.25">
      <c r="A158" t="s">
        <v>79</v>
      </c>
      <c r="B158">
        <v>1</v>
      </c>
      <c r="C158">
        <v>2</v>
      </c>
      <c r="D158">
        <v>4</v>
      </c>
      <c r="E158">
        <v>6</v>
      </c>
      <c r="G158">
        <v>124</v>
      </c>
      <c r="H158" t="s">
        <v>63</v>
      </c>
      <c r="I158" t="s">
        <v>116</v>
      </c>
      <c r="J158" t="s">
        <v>146</v>
      </c>
      <c r="L158">
        <v>0</v>
      </c>
      <c r="M158" t="s">
        <v>125</v>
      </c>
      <c r="O158" t="s">
        <v>125</v>
      </c>
      <c r="P158" t="s">
        <v>125</v>
      </c>
      <c r="Q158" t="s">
        <v>125</v>
      </c>
      <c r="R158" t="s">
        <v>125</v>
      </c>
      <c r="S158" t="s">
        <v>125</v>
      </c>
      <c r="T158">
        <v>0</v>
      </c>
      <c r="V158" t="s">
        <v>125</v>
      </c>
      <c r="AE158" t="s">
        <v>125</v>
      </c>
      <c r="AF158">
        <v>0</v>
      </c>
      <c r="AG158" t="s">
        <v>125</v>
      </c>
      <c r="AH158">
        <v>0</v>
      </c>
      <c r="AK158">
        <v>0</v>
      </c>
    </row>
    <row r="159" spans="1:37" x14ac:dyDescent="0.25">
      <c r="A159" t="s">
        <v>79</v>
      </c>
      <c r="B159">
        <v>1</v>
      </c>
      <c r="C159">
        <v>2</v>
      </c>
      <c r="D159">
        <v>4</v>
      </c>
      <c r="E159">
        <v>7</v>
      </c>
      <c r="G159">
        <v>124</v>
      </c>
      <c r="H159" t="s">
        <v>63</v>
      </c>
      <c r="I159" t="s">
        <v>123</v>
      </c>
      <c r="J159" t="s">
        <v>147</v>
      </c>
      <c r="L159">
        <v>0</v>
      </c>
      <c r="M159" t="s">
        <v>125</v>
      </c>
      <c r="O159" t="s">
        <v>125</v>
      </c>
      <c r="P159" t="s">
        <v>125</v>
      </c>
      <c r="Q159" t="s">
        <v>125</v>
      </c>
      <c r="R159" t="s">
        <v>125</v>
      </c>
      <c r="S159" t="s">
        <v>125</v>
      </c>
      <c r="T159">
        <v>0</v>
      </c>
      <c r="V159" t="s">
        <v>125</v>
      </c>
      <c r="AE159" t="s">
        <v>125</v>
      </c>
      <c r="AF159">
        <v>0</v>
      </c>
      <c r="AG159" t="s">
        <v>125</v>
      </c>
      <c r="AH159">
        <v>0</v>
      </c>
      <c r="AK159">
        <v>0</v>
      </c>
    </row>
    <row r="160" spans="1:37" x14ac:dyDescent="0.25">
      <c r="A160" t="s">
        <v>79</v>
      </c>
      <c r="B160">
        <v>1</v>
      </c>
      <c r="C160">
        <v>2</v>
      </c>
      <c r="D160">
        <v>4</v>
      </c>
      <c r="E160">
        <v>8</v>
      </c>
      <c r="G160">
        <v>124</v>
      </c>
      <c r="H160" t="s">
        <v>63</v>
      </c>
      <c r="I160" t="s">
        <v>126</v>
      </c>
      <c r="J160" t="s">
        <v>148</v>
      </c>
      <c r="L160">
        <v>0</v>
      </c>
      <c r="M160" t="s">
        <v>125</v>
      </c>
      <c r="O160" t="s">
        <v>125</v>
      </c>
      <c r="P160" t="s">
        <v>125</v>
      </c>
      <c r="Q160" t="s">
        <v>125</v>
      </c>
      <c r="R160" t="s">
        <v>125</v>
      </c>
      <c r="S160" t="s">
        <v>125</v>
      </c>
      <c r="T160">
        <v>0</v>
      </c>
      <c r="V160" t="s">
        <v>125</v>
      </c>
      <c r="AE160" t="s">
        <v>125</v>
      </c>
      <c r="AF160">
        <v>0</v>
      </c>
      <c r="AG160" t="s">
        <v>125</v>
      </c>
      <c r="AH160">
        <v>0</v>
      </c>
      <c r="AK160">
        <v>0</v>
      </c>
    </row>
    <row r="161" spans="1:37" x14ac:dyDescent="0.25">
      <c r="A161" t="s">
        <v>79</v>
      </c>
      <c r="B161">
        <v>1</v>
      </c>
      <c r="C161">
        <v>2</v>
      </c>
      <c r="D161">
        <v>4</v>
      </c>
      <c r="E161">
        <v>9</v>
      </c>
      <c r="G161">
        <v>124</v>
      </c>
      <c r="H161" t="s">
        <v>63</v>
      </c>
      <c r="I161" t="s">
        <v>74</v>
      </c>
      <c r="J161" t="s">
        <v>149</v>
      </c>
      <c r="L161">
        <v>0</v>
      </c>
      <c r="M161" t="s">
        <v>125</v>
      </c>
      <c r="O161" t="s">
        <v>125</v>
      </c>
      <c r="P161" t="s">
        <v>125</v>
      </c>
      <c r="Q161" t="s">
        <v>125</v>
      </c>
      <c r="R161" t="s">
        <v>125</v>
      </c>
      <c r="S161" t="s">
        <v>125</v>
      </c>
      <c r="T161">
        <v>0</v>
      </c>
      <c r="V161" t="s">
        <v>125</v>
      </c>
      <c r="AE161" t="s">
        <v>125</v>
      </c>
      <c r="AF161">
        <v>0</v>
      </c>
      <c r="AG161" t="s">
        <v>125</v>
      </c>
      <c r="AH161">
        <v>0</v>
      </c>
      <c r="AK161">
        <v>0</v>
      </c>
    </row>
    <row r="162" spans="1:37" x14ac:dyDescent="0.25">
      <c r="A162" t="s">
        <v>79</v>
      </c>
      <c r="B162">
        <v>1</v>
      </c>
      <c r="C162">
        <v>2</v>
      </c>
      <c r="D162">
        <v>4</v>
      </c>
      <c r="E162">
        <v>10</v>
      </c>
      <c r="G162">
        <v>124</v>
      </c>
      <c r="H162" t="s">
        <v>63</v>
      </c>
      <c r="I162" t="s">
        <v>129</v>
      </c>
      <c r="J162" t="s">
        <v>150</v>
      </c>
      <c r="L162">
        <v>0</v>
      </c>
      <c r="M162" t="s">
        <v>125</v>
      </c>
      <c r="O162" t="s">
        <v>125</v>
      </c>
      <c r="P162" t="s">
        <v>125</v>
      </c>
      <c r="Q162" t="s">
        <v>125</v>
      </c>
      <c r="R162" t="s">
        <v>125</v>
      </c>
      <c r="S162" t="s">
        <v>125</v>
      </c>
      <c r="T162">
        <v>0</v>
      </c>
      <c r="V162" t="s">
        <v>125</v>
      </c>
      <c r="AE162" t="s">
        <v>125</v>
      </c>
      <c r="AF162">
        <v>0</v>
      </c>
      <c r="AG162" t="s">
        <v>125</v>
      </c>
      <c r="AH162">
        <v>0</v>
      </c>
      <c r="AK162">
        <v>0</v>
      </c>
    </row>
    <row r="163" spans="1:37" x14ac:dyDescent="0.25">
      <c r="A163" t="s">
        <v>79</v>
      </c>
      <c r="B163">
        <v>1</v>
      </c>
      <c r="C163">
        <v>2</v>
      </c>
      <c r="D163">
        <v>4</v>
      </c>
      <c r="E163">
        <v>11</v>
      </c>
      <c r="G163">
        <v>124</v>
      </c>
      <c r="H163" t="s">
        <v>63</v>
      </c>
      <c r="I163" t="s">
        <v>131</v>
      </c>
      <c r="J163" t="s">
        <v>151</v>
      </c>
      <c r="L163">
        <v>0</v>
      </c>
      <c r="M163" t="s">
        <v>125</v>
      </c>
      <c r="O163" t="s">
        <v>125</v>
      </c>
      <c r="P163" t="s">
        <v>125</v>
      </c>
      <c r="Q163" t="s">
        <v>125</v>
      </c>
      <c r="R163" t="s">
        <v>125</v>
      </c>
      <c r="S163" t="s">
        <v>125</v>
      </c>
      <c r="T163">
        <v>0</v>
      </c>
      <c r="V163" t="s">
        <v>125</v>
      </c>
      <c r="AE163" t="s">
        <v>125</v>
      </c>
      <c r="AF163">
        <v>0</v>
      </c>
      <c r="AG163" t="s">
        <v>125</v>
      </c>
      <c r="AH163">
        <v>0</v>
      </c>
      <c r="AK163">
        <v>0</v>
      </c>
    </row>
    <row r="164" spans="1:37" x14ac:dyDescent="0.25">
      <c r="A164" t="s">
        <v>79</v>
      </c>
      <c r="B164">
        <v>1</v>
      </c>
      <c r="C164">
        <v>2</v>
      </c>
      <c r="D164">
        <v>4</v>
      </c>
      <c r="E164">
        <v>12</v>
      </c>
      <c r="G164">
        <v>124</v>
      </c>
      <c r="H164" t="s">
        <v>63</v>
      </c>
      <c r="I164" t="s">
        <v>133</v>
      </c>
      <c r="J164" t="s">
        <v>152</v>
      </c>
      <c r="L164">
        <v>0</v>
      </c>
      <c r="M164" t="s">
        <v>125</v>
      </c>
      <c r="O164" t="s">
        <v>125</v>
      </c>
      <c r="P164" t="s">
        <v>125</v>
      </c>
      <c r="Q164" t="s">
        <v>125</v>
      </c>
      <c r="R164" t="s">
        <v>125</v>
      </c>
      <c r="S164" t="s">
        <v>125</v>
      </c>
      <c r="T164">
        <v>0</v>
      </c>
      <c r="V164" t="s">
        <v>125</v>
      </c>
      <c r="AE164" t="s">
        <v>125</v>
      </c>
      <c r="AF164">
        <v>0</v>
      </c>
      <c r="AG164" t="s">
        <v>125</v>
      </c>
      <c r="AH164">
        <v>0</v>
      </c>
      <c r="AK164">
        <v>0</v>
      </c>
    </row>
    <row r="165" spans="1:37" x14ac:dyDescent="0.25">
      <c r="A165" t="s">
        <v>79</v>
      </c>
      <c r="B165">
        <v>1</v>
      </c>
      <c r="C165">
        <v>2</v>
      </c>
      <c r="D165">
        <v>4</v>
      </c>
      <c r="E165">
        <v>13</v>
      </c>
      <c r="G165">
        <v>124</v>
      </c>
      <c r="H165" t="s">
        <v>63</v>
      </c>
      <c r="I165" t="s">
        <v>135</v>
      </c>
      <c r="J165" t="s">
        <v>153</v>
      </c>
      <c r="L165">
        <v>0</v>
      </c>
      <c r="M165" t="s">
        <v>125</v>
      </c>
      <c r="O165" t="s">
        <v>125</v>
      </c>
      <c r="P165" t="s">
        <v>125</v>
      </c>
      <c r="Q165" t="s">
        <v>125</v>
      </c>
      <c r="R165" t="s">
        <v>125</v>
      </c>
      <c r="S165" t="s">
        <v>125</v>
      </c>
      <c r="T165">
        <v>0</v>
      </c>
      <c r="V165" t="s">
        <v>125</v>
      </c>
      <c r="AE165" t="s">
        <v>125</v>
      </c>
      <c r="AF165">
        <v>0</v>
      </c>
      <c r="AG165" t="s">
        <v>125</v>
      </c>
      <c r="AH165">
        <v>0</v>
      </c>
      <c r="AK165">
        <v>0</v>
      </c>
    </row>
    <row r="166" spans="1:37" x14ac:dyDescent="0.25">
      <c r="A166" t="s">
        <v>79</v>
      </c>
      <c r="B166">
        <v>1</v>
      </c>
      <c r="C166">
        <v>2</v>
      </c>
      <c r="D166">
        <v>4</v>
      </c>
      <c r="E166">
        <v>14</v>
      </c>
      <c r="G166">
        <v>124</v>
      </c>
      <c r="H166" t="s">
        <v>63</v>
      </c>
      <c r="I166" t="s">
        <v>137</v>
      </c>
      <c r="J166" t="s">
        <v>154</v>
      </c>
      <c r="L166">
        <v>0</v>
      </c>
      <c r="M166" t="s">
        <v>125</v>
      </c>
      <c r="O166" t="s">
        <v>125</v>
      </c>
      <c r="P166" t="s">
        <v>125</v>
      </c>
      <c r="Q166" t="s">
        <v>125</v>
      </c>
      <c r="R166" t="s">
        <v>125</v>
      </c>
      <c r="S166" t="s">
        <v>125</v>
      </c>
      <c r="T166">
        <v>0</v>
      </c>
      <c r="V166" t="s">
        <v>125</v>
      </c>
      <c r="AE166" t="s">
        <v>125</v>
      </c>
      <c r="AF166">
        <v>0</v>
      </c>
      <c r="AG166" t="s">
        <v>125</v>
      </c>
      <c r="AH166">
        <v>0</v>
      </c>
      <c r="AK166">
        <v>0</v>
      </c>
    </row>
    <row r="167" spans="1:37" x14ac:dyDescent="0.25">
      <c r="A167" t="s">
        <v>79</v>
      </c>
      <c r="B167">
        <v>1</v>
      </c>
      <c r="C167">
        <v>2</v>
      </c>
      <c r="D167">
        <v>4</v>
      </c>
      <c r="E167">
        <v>15</v>
      </c>
      <c r="G167">
        <v>124</v>
      </c>
      <c r="H167" t="s">
        <v>63</v>
      </c>
      <c r="I167" t="s">
        <v>139</v>
      </c>
      <c r="J167" t="s">
        <v>155</v>
      </c>
      <c r="L167">
        <v>0</v>
      </c>
      <c r="M167" t="s">
        <v>125</v>
      </c>
      <c r="O167" t="s">
        <v>125</v>
      </c>
      <c r="P167" t="s">
        <v>125</v>
      </c>
      <c r="Q167" t="s">
        <v>125</v>
      </c>
      <c r="R167" t="s">
        <v>125</v>
      </c>
      <c r="S167" t="s">
        <v>125</v>
      </c>
      <c r="T167">
        <v>0</v>
      </c>
      <c r="V167" t="s">
        <v>125</v>
      </c>
      <c r="AE167" t="s">
        <v>125</v>
      </c>
      <c r="AF167">
        <v>0</v>
      </c>
      <c r="AG167" t="s">
        <v>125</v>
      </c>
      <c r="AH167">
        <v>0</v>
      </c>
      <c r="AK167">
        <v>0</v>
      </c>
    </row>
    <row r="168" spans="1:37" x14ac:dyDescent="0.25">
      <c r="L168">
        <v>0</v>
      </c>
    </row>
    <row r="169" spans="1:37" x14ac:dyDescent="0.25">
      <c r="A169" t="s">
        <v>70</v>
      </c>
      <c r="B169">
        <v>1</v>
      </c>
      <c r="C169">
        <v>2</v>
      </c>
      <c r="D169">
        <v>5</v>
      </c>
      <c r="G169">
        <v>12</v>
      </c>
      <c r="L169">
        <v>0</v>
      </c>
      <c r="M169" t="s">
        <v>125</v>
      </c>
      <c r="P169" t="s">
        <v>125</v>
      </c>
      <c r="R169" t="s">
        <v>125</v>
      </c>
      <c r="S169" t="s">
        <v>63</v>
      </c>
      <c r="V169" t="s">
        <v>125</v>
      </c>
      <c r="X169" t="s">
        <v>125</v>
      </c>
      <c r="Y169" t="s">
        <v>125</v>
      </c>
      <c r="Z169" t="s">
        <v>125</v>
      </c>
      <c r="AA169" t="s">
        <v>125</v>
      </c>
      <c r="AB169" t="s">
        <v>125</v>
      </c>
      <c r="AC169" t="s">
        <v>125</v>
      </c>
      <c r="AE169" t="s">
        <v>125</v>
      </c>
      <c r="AF169">
        <v>0</v>
      </c>
      <c r="AG169" t="s">
        <v>125</v>
      </c>
      <c r="AH169">
        <v>0</v>
      </c>
      <c r="AK169">
        <v>0</v>
      </c>
    </row>
    <row r="170" spans="1:37" x14ac:dyDescent="0.25">
      <c r="A170" t="s">
        <v>79</v>
      </c>
      <c r="B170">
        <v>1</v>
      </c>
      <c r="C170">
        <v>2</v>
      </c>
      <c r="D170">
        <v>5</v>
      </c>
      <c r="E170">
        <v>1</v>
      </c>
      <c r="G170">
        <v>125</v>
      </c>
      <c r="H170" t="s">
        <v>63</v>
      </c>
      <c r="I170" t="s">
        <v>80</v>
      </c>
      <c r="J170" t="s">
        <v>141</v>
      </c>
      <c r="L170">
        <v>0</v>
      </c>
      <c r="M170" t="s">
        <v>125</v>
      </c>
      <c r="O170" t="s">
        <v>125</v>
      </c>
      <c r="P170" t="s">
        <v>125</v>
      </c>
      <c r="Q170" t="s">
        <v>125</v>
      </c>
      <c r="R170" t="s">
        <v>125</v>
      </c>
      <c r="S170" t="s">
        <v>125</v>
      </c>
      <c r="T170">
        <v>0</v>
      </c>
      <c r="V170" t="s">
        <v>125</v>
      </c>
      <c r="AE170" t="s">
        <v>125</v>
      </c>
      <c r="AF170">
        <v>0</v>
      </c>
      <c r="AG170" t="s">
        <v>125</v>
      </c>
      <c r="AH170">
        <v>0</v>
      </c>
      <c r="AK170">
        <v>0</v>
      </c>
    </row>
    <row r="171" spans="1:37" x14ac:dyDescent="0.25">
      <c r="A171" t="s">
        <v>79</v>
      </c>
      <c r="B171">
        <v>1</v>
      </c>
      <c r="C171">
        <v>2</v>
      </c>
      <c r="D171">
        <v>5</v>
      </c>
      <c r="E171">
        <v>2</v>
      </c>
      <c r="G171">
        <v>125</v>
      </c>
      <c r="H171" t="s">
        <v>63</v>
      </c>
      <c r="I171" t="s">
        <v>88</v>
      </c>
      <c r="J171" t="s">
        <v>142</v>
      </c>
      <c r="L171">
        <v>0</v>
      </c>
      <c r="M171" t="s">
        <v>125</v>
      </c>
      <c r="O171" t="s">
        <v>125</v>
      </c>
      <c r="P171" t="s">
        <v>125</v>
      </c>
      <c r="Q171" t="s">
        <v>125</v>
      </c>
      <c r="R171" t="s">
        <v>125</v>
      </c>
      <c r="S171" t="s">
        <v>125</v>
      </c>
      <c r="T171">
        <v>0</v>
      </c>
      <c r="V171" t="s">
        <v>125</v>
      </c>
      <c r="AE171" t="s">
        <v>125</v>
      </c>
      <c r="AF171">
        <v>0</v>
      </c>
      <c r="AG171" t="s">
        <v>125</v>
      </c>
      <c r="AH171">
        <v>0</v>
      </c>
      <c r="AK171">
        <v>0</v>
      </c>
    </row>
    <row r="172" spans="1:37" x14ac:dyDescent="0.25">
      <c r="A172" t="s">
        <v>79</v>
      </c>
      <c r="B172">
        <v>1</v>
      </c>
      <c r="C172">
        <v>2</v>
      </c>
      <c r="D172">
        <v>5</v>
      </c>
      <c r="E172">
        <v>3</v>
      </c>
      <c r="G172">
        <v>125</v>
      </c>
      <c r="H172" t="s">
        <v>63</v>
      </c>
      <c r="I172" t="s">
        <v>95</v>
      </c>
      <c r="J172" t="s">
        <v>143</v>
      </c>
      <c r="L172">
        <v>0</v>
      </c>
      <c r="M172" t="s">
        <v>125</v>
      </c>
      <c r="O172" t="s">
        <v>125</v>
      </c>
      <c r="P172" t="s">
        <v>125</v>
      </c>
      <c r="Q172" t="s">
        <v>125</v>
      </c>
      <c r="R172" t="s">
        <v>125</v>
      </c>
      <c r="S172" t="s">
        <v>125</v>
      </c>
      <c r="T172">
        <v>0</v>
      </c>
      <c r="V172" t="s">
        <v>125</v>
      </c>
      <c r="AE172" t="s">
        <v>125</v>
      </c>
      <c r="AF172">
        <v>0</v>
      </c>
      <c r="AG172" t="s">
        <v>125</v>
      </c>
      <c r="AH172">
        <v>0</v>
      </c>
      <c r="AK172">
        <v>0</v>
      </c>
    </row>
    <row r="173" spans="1:37" x14ac:dyDescent="0.25">
      <c r="A173" t="s">
        <v>79</v>
      </c>
      <c r="B173">
        <v>1</v>
      </c>
      <c r="C173">
        <v>2</v>
      </c>
      <c r="D173">
        <v>5</v>
      </c>
      <c r="E173">
        <v>4</v>
      </c>
      <c r="G173">
        <v>125</v>
      </c>
      <c r="H173" t="s">
        <v>63</v>
      </c>
      <c r="I173" t="s">
        <v>102</v>
      </c>
      <c r="J173" t="s">
        <v>144</v>
      </c>
      <c r="L173">
        <v>0</v>
      </c>
      <c r="M173" t="s">
        <v>125</v>
      </c>
      <c r="O173" t="s">
        <v>125</v>
      </c>
      <c r="P173" t="s">
        <v>125</v>
      </c>
      <c r="Q173" t="s">
        <v>125</v>
      </c>
      <c r="R173" t="s">
        <v>125</v>
      </c>
      <c r="S173" t="s">
        <v>125</v>
      </c>
      <c r="T173">
        <v>0</v>
      </c>
      <c r="V173" t="s">
        <v>125</v>
      </c>
      <c r="AE173" t="s">
        <v>125</v>
      </c>
      <c r="AF173">
        <v>0</v>
      </c>
      <c r="AG173" t="s">
        <v>125</v>
      </c>
      <c r="AH173">
        <v>0</v>
      </c>
      <c r="AK173">
        <v>0</v>
      </c>
    </row>
    <row r="174" spans="1:37" x14ac:dyDescent="0.25">
      <c r="A174" t="s">
        <v>79</v>
      </c>
      <c r="B174">
        <v>1</v>
      </c>
      <c r="C174">
        <v>2</v>
      </c>
      <c r="D174">
        <v>5</v>
      </c>
      <c r="E174">
        <v>5</v>
      </c>
      <c r="G174">
        <v>125</v>
      </c>
      <c r="H174" t="s">
        <v>63</v>
      </c>
      <c r="I174" t="s">
        <v>109</v>
      </c>
      <c r="J174" t="s">
        <v>145</v>
      </c>
      <c r="L174">
        <v>0</v>
      </c>
      <c r="M174" t="s">
        <v>125</v>
      </c>
      <c r="O174" t="s">
        <v>125</v>
      </c>
      <c r="P174" t="s">
        <v>125</v>
      </c>
      <c r="Q174" t="s">
        <v>125</v>
      </c>
      <c r="R174" t="s">
        <v>125</v>
      </c>
      <c r="S174" t="s">
        <v>125</v>
      </c>
      <c r="T174">
        <v>0</v>
      </c>
      <c r="V174" t="s">
        <v>125</v>
      </c>
      <c r="AE174" t="s">
        <v>125</v>
      </c>
      <c r="AF174">
        <v>0</v>
      </c>
      <c r="AG174" t="s">
        <v>125</v>
      </c>
      <c r="AH174">
        <v>0</v>
      </c>
      <c r="AK174">
        <v>0</v>
      </c>
    </row>
    <row r="175" spans="1:37" x14ac:dyDescent="0.25">
      <c r="A175" t="s">
        <v>79</v>
      </c>
      <c r="B175">
        <v>1</v>
      </c>
      <c r="C175">
        <v>2</v>
      </c>
      <c r="D175">
        <v>5</v>
      </c>
      <c r="E175">
        <v>6</v>
      </c>
      <c r="G175">
        <v>125</v>
      </c>
      <c r="H175" t="s">
        <v>63</v>
      </c>
      <c r="I175" t="s">
        <v>116</v>
      </c>
      <c r="J175" t="s">
        <v>146</v>
      </c>
      <c r="L175">
        <v>0</v>
      </c>
      <c r="M175" t="s">
        <v>125</v>
      </c>
      <c r="O175" t="s">
        <v>125</v>
      </c>
      <c r="P175" t="s">
        <v>125</v>
      </c>
      <c r="Q175" t="s">
        <v>125</v>
      </c>
      <c r="R175" t="s">
        <v>125</v>
      </c>
      <c r="S175" t="s">
        <v>125</v>
      </c>
      <c r="T175">
        <v>0</v>
      </c>
      <c r="V175" t="s">
        <v>125</v>
      </c>
      <c r="AE175" t="s">
        <v>125</v>
      </c>
      <c r="AF175">
        <v>0</v>
      </c>
      <c r="AG175" t="s">
        <v>125</v>
      </c>
      <c r="AH175">
        <v>0</v>
      </c>
      <c r="AK175">
        <v>0</v>
      </c>
    </row>
    <row r="176" spans="1:37" x14ac:dyDescent="0.25">
      <c r="A176" t="s">
        <v>79</v>
      </c>
      <c r="B176">
        <v>1</v>
      </c>
      <c r="C176">
        <v>2</v>
      </c>
      <c r="D176">
        <v>5</v>
      </c>
      <c r="E176">
        <v>7</v>
      </c>
      <c r="G176">
        <v>125</v>
      </c>
      <c r="H176" t="s">
        <v>63</v>
      </c>
      <c r="I176" t="s">
        <v>123</v>
      </c>
      <c r="J176" t="s">
        <v>147</v>
      </c>
      <c r="L176">
        <v>0</v>
      </c>
      <c r="M176" t="s">
        <v>125</v>
      </c>
      <c r="O176" t="s">
        <v>125</v>
      </c>
      <c r="P176" t="s">
        <v>125</v>
      </c>
      <c r="Q176" t="s">
        <v>125</v>
      </c>
      <c r="R176" t="s">
        <v>125</v>
      </c>
      <c r="S176" t="s">
        <v>125</v>
      </c>
      <c r="T176">
        <v>0</v>
      </c>
      <c r="V176" t="s">
        <v>125</v>
      </c>
      <c r="AE176" t="s">
        <v>125</v>
      </c>
      <c r="AF176">
        <v>0</v>
      </c>
      <c r="AG176" t="s">
        <v>125</v>
      </c>
      <c r="AH176">
        <v>0</v>
      </c>
      <c r="AK176">
        <v>0</v>
      </c>
    </row>
    <row r="177" spans="1:37" x14ac:dyDescent="0.25">
      <c r="A177" t="s">
        <v>79</v>
      </c>
      <c r="B177">
        <v>1</v>
      </c>
      <c r="C177">
        <v>2</v>
      </c>
      <c r="D177">
        <v>5</v>
      </c>
      <c r="E177">
        <v>8</v>
      </c>
      <c r="G177">
        <v>125</v>
      </c>
      <c r="H177" t="s">
        <v>63</v>
      </c>
      <c r="I177" t="s">
        <v>126</v>
      </c>
      <c r="J177" t="s">
        <v>148</v>
      </c>
      <c r="L177">
        <v>0</v>
      </c>
      <c r="M177" t="s">
        <v>125</v>
      </c>
      <c r="O177" t="s">
        <v>125</v>
      </c>
      <c r="P177" t="s">
        <v>125</v>
      </c>
      <c r="Q177" t="s">
        <v>125</v>
      </c>
      <c r="R177" t="s">
        <v>125</v>
      </c>
      <c r="S177" t="s">
        <v>125</v>
      </c>
      <c r="T177">
        <v>0</v>
      </c>
      <c r="V177" t="s">
        <v>125</v>
      </c>
      <c r="AE177" t="s">
        <v>125</v>
      </c>
      <c r="AF177">
        <v>0</v>
      </c>
      <c r="AG177" t="s">
        <v>125</v>
      </c>
      <c r="AH177">
        <v>0</v>
      </c>
      <c r="AK177">
        <v>0</v>
      </c>
    </row>
    <row r="178" spans="1:37" x14ac:dyDescent="0.25">
      <c r="A178" t="s">
        <v>79</v>
      </c>
      <c r="B178">
        <v>1</v>
      </c>
      <c r="C178">
        <v>2</v>
      </c>
      <c r="D178">
        <v>5</v>
      </c>
      <c r="E178">
        <v>9</v>
      </c>
      <c r="G178">
        <v>125</v>
      </c>
      <c r="H178" t="s">
        <v>63</v>
      </c>
      <c r="I178" t="s">
        <v>74</v>
      </c>
      <c r="J178" t="s">
        <v>149</v>
      </c>
      <c r="L178">
        <v>0</v>
      </c>
      <c r="M178" t="s">
        <v>125</v>
      </c>
      <c r="O178" t="s">
        <v>125</v>
      </c>
      <c r="P178" t="s">
        <v>125</v>
      </c>
      <c r="Q178" t="s">
        <v>125</v>
      </c>
      <c r="R178" t="s">
        <v>125</v>
      </c>
      <c r="S178" t="s">
        <v>125</v>
      </c>
      <c r="T178">
        <v>0</v>
      </c>
      <c r="V178" t="s">
        <v>125</v>
      </c>
      <c r="AE178" t="s">
        <v>125</v>
      </c>
      <c r="AF178">
        <v>0</v>
      </c>
      <c r="AG178" t="s">
        <v>125</v>
      </c>
      <c r="AH178">
        <v>0</v>
      </c>
      <c r="AK178">
        <v>0</v>
      </c>
    </row>
    <row r="179" spans="1:37" x14ac:dyDescent="0.25">
      <c r="A179" t="s">
        <v>79</v>
      </c>
      <c r="B179">
        <v>1</v>
      </c>
      <c r="C179">
        <v>2</v>
      </c>
      <c r="D179">
        <v>5</v>
      </c>
      <c r="E179">
        <v>10</v>
      </c>
      <c r="G179">
        <v>125</v>
      </c>
      <c r="H179" t="s">
        <v>63</v>
      </c>
      <c r="I179" t="s">
        <v>129</v>
      </c>
      <c r="J179" t="s">
        <v>150</v>
      </c>
      <c r="L179">
        <v>0</v>
      </c>
      <c r="M179" t="s">
        <v>125</v>
      </c>
      <c r="O179" t="s">
        <v>125</v>
      </c>
      <c r="P179" t="s">
        <v>125</v>
      </c>
      <c r="Q179" t="s">
        <v>125</v>
      </c>
      <c r="R179" t="s">
        <v>125</v>
      </c>
      <c r="S179" t="s">
        <v>125</v>
      </c>
      <c r="T179">
        <v>0</v>
      </c>
      <c r="V179" t="s">
        <v>125</v>
      </c>
      <c r="AE179" t="s">
        <v>125</v>
      </c>
      <c r="AF179">
        <v>0</v>
      </c>
      <c r="AG179" t="s">
        <v>125</v>
      </c>
      <c r="AH179">
        <v>0</v>
      </c>
      <c r="AK179">
        <v>0</v>
      </c>
    </row>
    <row r="180" spans="1:37" x14ac:dyDescent="0.25">
      <c r="A180" t="s">
        <v>79</v>
      </c>
      <c r="B180">
        <v>1</v>
      </c>
      <c r="C180">
        <v>2</v>
      </c>
      <c r="D180">
        <v>5</v>
      </c>
      <c r="E180">
        <v>11</v>
      </c>
      <c r="G180">
        <v>125</v>
      </c>
      <c r="H180" t="s">
        <v>63</v>
      </c>
      <c r="I180" t="s">
        <v>131</v>
      </c>
      <c r="J180" t="s">
        <v>151</v>
      </c>
      <c r="L180">
        <v>0</v>
      </c>
      <c r="M180" t="s">
        <v>125</v>
      </c>
      <c r="O180" t="s">
        <v>125</v>
      </c>
      <c r="P180" t="s">
        <v>125</v>
      </c>
      <c r="Q180" t="s">
        <v>125</v>
      </c>
      <c r="R180" t="s">
        <v>125</v>
      </c>
      <c r="S180" t="s">
        <v>125</v>
      </c>
      <c r="T180">
        <v>0</v>
      </c>
      <c r="V180" t="s">
        <v>125</v>
      </c>
      <c r="AE180" t="s">
        <v>125</v>
      </c>
      <c r="AF180">
        <v>0</v>
      </c>
      <c r="AG180" t="s">
        <v>125</v>
      </c>
      <c r="AH180">
        <v>0</v>
      </c>
      <c r="AK180">
        <v>0</v>
      </c>
    </row>
    <row r="181" spans="1:37" x14ac:dyDescent="0.25">
      <c r="A181" t="s">
        <v>79</v>
      </c>
      <c r="B181">
        <v>1</v>
      </c>
      <c r="C181">
        <v>2</v>
      </c>
      <c r="D181">
        <v>5</v>
      </c>
      <c r="E181">
        <v>12</v>
      </c>
      <c r="G181">
        <v>125</v>
      </c>
      <c r="H181" t="s">
        <v>63</v>
      </c>
      <c r="I181" t="s">
        <v>133</v>
      </c>
      <c r="J181" t="s">
        <v>152</v>
      </c>
      <c r="L181">
        <v>0</v>
      </c>
      <c r="M181" t="s">
        <v>125</v>
      </c>
      <c r="O181" t="s">
        <v>125</v>
      </c>
      <c r="P181" t="s">
        <v>125</v>
      </c>
      <c r="Q181" t="s">
        <v>125</v>
      </c>
      <c r="R181" t="s">
        <v>125</v>
      </c>
      <c r="S181" t="s">
        <v>125</v>
      </c>
      <c r="T181">
        <v>0</v>
      </c>
      <c r="V181" t="s">
        <v>125</v>
      </c>
      <c r="AE181" t="s">
        <v>125</v>
      </c>
      <c r="AF181">
        <v>0</v>
      </c>
      <c r="AG181" t="s">
        <v>125</v>
      </c>
      <c r="AH181">
        <v>0</v>
      </c>
      <c r="AK181">
        <v>0</v>
      </c>
    </row>
    <row r="182" spans="1:37" x14ac:dyDescent="0.25">
      <c r="A182" t="s">
        <v>79</v>
      </c>
      <c r="B182">
        <v>1</v>
      </c>
      <c r="C182">
        <v>2</v>
      </c>
      <c r="D182">
        <v>5</v>
      </c>
      <c r="E182">
        <v>13</v>
      </c>
      <c r="G182">
        <v>125</v>
      </c>
      <c r="H182" t="s">
        <v>63</v>
      </c>
      <c r="I182" t="s">
        <v>135</v>
      </c>
      <c r="J182" t="s">
        <v>153</v>
      </c>
      <c r="L182">
        <v>0</v>
      </c>
      <c r="M182" t="s">
        <v>125</v>
      </c>
      <c r="O182" t="s">
        <v>125</v>
      </c>
      <c r="P182" t="s">
        <v>125</v>
      </c>
      <c r="Q182" t="s">
        <v>125</v>
      </c>
      <c r="R182" t="s">
        <v>125</v>
      </c>
      <c r="S182" t="s">
        <v>125</v>
      </c>
      <c r="T182">
        <v>0</v>
      </c>
      <c r="V182" t="s">
        <v>125</v>
      </c>
      <c r="AE182" t="s">
        <v>125</v>
      </c>
      <c r="AF182">
        <v>0</v>
      </c>
      <c r="AG182" t="s">
        <v>125</v>
      </c>
      <c r="AH182">
        <v>0</v>
      </c>
      <c r="AK182">
        <v>0</v>
      </c>
    </row>
    <row r="183" spans="1:37" x14ac:dyDescent="0.25">
      <c r="A183" t="s">
        <v>79</v>
      </c>
      <c r="B183">
        <v>1</v>
      </c>
      <c r="C183">
        <v>2</v>
      </c>
      <c r="D183">
        <v>5</v>
      </c>
      <c r="E183">
        <v>14</v>
      </c>
      <c r="G183">
        <v>125</v>
      </c>
      <c r="H183" t="s">
        <v>63</v>
      </c>
      <c r="I183" t="s">
        <v>137</v>
      </c>
      <c r="J183" t="s">
        <v>154</v>
      </c>
      <c r="L183">
        <v>0</v>
      </c>
      <c r="M183" t="s">
        <v>125</v>
      </c>
      <c r="O183" t="s">
        <v>125</v>
      </c>
      <c r="P183" t="s">
        <v>125</v>
      </c>
      <c r="Q183" t="s">
        <v>125</v>
      </c>
      <c r="R183" t="s">
        <v>125</v>
      </c>
      <c r="S183" t="s">
        <v>125</v>
      </c>
      <c r="T183">
        <v>0</v>
      </c>
      <c r="V183" t="s">
        <v>125</v>
      </c>
      <c r="AE183" t="s">
        <v>125</v>
      </c>
      <c r="AF183">
        <v>0</v>
      </c>
      <c r="AG183" t="s">
        <v>125</v>
      </c>
      <c r="AH183">
        <v>0</v>
      </c>
      <c r="AK183">
        <v>0</v>
      </c>
    </row>
    <row r="184" spans="1:37" x14ac:dyDescent="0.25">
      <c r="A184" t="s">
        <v>79</v>
      </c>
      <c r="B184">
        <v>1</v>
      </c>
      <c r="C184">
        <v>2</v>
      </c>
      <c r="D184">
        <v>5</v>
      </c>
      <c r="E184">
        <v>15</v>
      </c>
      <c r="G184">
        <v>125</v>
      </c>
      <c r="H184" t="s">
        <v>63</v>
      </c>
      <c r="I184" t="s">
        <v>139</v>
      </c>
      <c r="J184" t="s">
        <v>155</v>
      </c>
      <c r="L184">
        <v>0</v>
      </c>
      <c r="M184" t="s">
        <v>125</v>
      </c>
      <c r="O184" t="s">
        <v>125</v>
      </c>
      <c r="P184" t="s">
        <v>125</v>
      </c>
      <c r="Q184" t="s">
        <v>125</v>
      </c>
      <c r="R184" t="s">
        <v>125</v>
      </c>
      <c r="S184" t="s">
        <v>125</v>
      </c>
      <c r="T184">
        <v>0</v>
      </c>
      <c r="V184" t="s">
        <v>125</v>
      </c>
      <c r="AE184" t="s">
        <v>125</v>
      </c>
      <c r="AF184">
        <v>0</v>
      </c>
      <c r="AG184" t="s">
        <v>125</v>
      </c>
      <c r="AH184">
        <v>0</v>
      </c>
      <c r="AK184">
        <v>0</v>
      </c>
    </row>
    <row r="185" spans="1:37" x14ac:dyDescent="0.25">
      <c r="L185">
        <v>0</v>
      </c>
    </row>
    <row r="186" spans="1:37" x14ac:dyDescent="0.25">
      <c r="L186">
        <v>0</v>
      </c>
    </row>
    <row r="187" spans="1:37" x14ac:dyDescent="0.25">
      <c r="A187" t="s">
        <v>66</v>
      </c>
      <c r="B187">
        <v>1</v>
      </c>
      <c r="C187">
        <v>3</v>
      </c>
      <c r="G187">
        <v>1</v>
      </c>
      <c r="H187" t="s">
        <v>58</v>
      </c>
      <c r="I187" t="s">
        <v>157</v>
      </c>
      <c r="L187">
        <v>0</v>
      </c>
      <c r="M187" t="s">
        <v>125</v>
      </c>
      <c r="N187" t="s">
        <v>125</v>
      </c>
      <c r="V187" t="s">
        <v>63</v>
      </c>
      <c r="Y187" t="s">
        <v>63</v>
      </c>
      <c r="AA187" t="s">
        <v>63</v>
      </c>
      <c r="AC187" t="s">
        <v>63</v>
      </c>
      <c r="AE187" t="s">
        <v>63</v>
      </c>
      <c r="AF187">
        <v>0</v>
      </c>
      <c r="AG187" t="s">
        <v>63</v>
      </c>
      <c r="AH187">
        <v>0</v>
      </c>
      <c r="AK187">
        <v>0</v>
      </c>
    </row>
    <row r="188" spans="1:37" x14ac:dyDescent="0.25">
      <c r="L188">
        <v>0</v>
      </c>
    </row>
    <row r="189" spans="1:37" x14ac:dyDescent="0.25">
      <c r="A189" t="s">
        <v>70</v>
      </c>
      <c r="B189">
        <v>1</v>
      </c>
      <c r="C189">
        <v>3</v>
      </c>
      <c r="D189">
        <v>1</v>
      </c>
      <c r="G189">
        <v>13</v>
      </c>
      <c r="L189">
        <v>0</v>
      </c>
      <c r="M189" t="s">
        <v>125</v>
      </c>
      <c r="P189" t="s">
        <v>125</v>
      </c>
      <c r="R189" t="s">
        <v>125</v>
      </c>
      <c r="S189" t="s">
        <v>63</v>
      </c>
      <c r="V189" t="s">
        <v>125</v>
      </c>
      <c r="X189" t="s">
        <v>125</v>
      </c>
      <c r="Y189" t="s">
        <v>125</v>
      </c>
      <c r="Z189" t="s">
        <v>125</v>
      </c>
      <c r="AA189" t="s">
        <v>125</v>
      </c>
      <c r="AB189" t="s">
        <v>125</v>
      </c>
      <c r="AC189" t="s">
        <v>125</v>
      </c>
      <c r="AE189" t="s">
        <v>125</v>
      </c>
      <c r="AF189">
        <v>0</v>
      </c>
      <c r="AG189" t="s">
        <v>125</v>
      </c>
      <c r="AH189">
        <v>0</v>
      </c>
      <c r="AK189">
        <v>0</v>
      </c>
    </row>
    <row r="190" spans="1:37" x14ac:dyDescent="0.25">
      <c r="A190" t="s">
        <v>79</v>
      </c>
      <c r="B190">
        <v>1</v>
      </c>
      <c r="C190">
        <v>3</v>
      </c>
      <c r="D190">
        <v>1</v>
      </c>
      <c r="E190">
        <v>1</v>
      </c>
      <c r="G190">
        <v>131</v>
      </c>
      <c r="H190" t="s">
        <v>63</v>
      </c>
      <c r="I190" t="s">
        <v>80</v>
      </c>
      <c r="J190" t="s">
        <v>141</v>
      </c>
      <c r="L190">
        <v>0</v>
      </c>
      <c r="M190" t="s">
        <v>125</v>
      </c>
      <c r="O190" t="s">
        <v>125</v>
      </c>
      <c r="P190" t="s">
        <v>125</v>
      </c>
      <c r="Q190" t="s">
        <v>125</v>
      </c>
      <c r="R190" t="s">
        <v>125</v>
      </c>
      <c r="S190" t="s">
        <v>125</v>
      </c>
      <c r="T190">
        <v>0</v>
      </c>
      <c r="V190" t="s">
        <v>125</v>
      </c>
      <c r="AE190" t="s">
        <v>125</v>
      </c>
      <c r="AF190">
        <v>0</v>
      </c>
      <c r="AG190" t="s">
        <v>125</v>
      </c>
      <c r="AH190">
        <v>0</v>
      </c>
      <c r="AK190">
        <v>0</v>
      </c>
    </row>
    <row r="191" spans="1:37" x14ac:dyDescent="0.25">
      <c r="A191" t="s">
        <v>79</v>
      </c>
      <c r="B191">
        <v>1</v>
      </c>
      <c r="C191">
        <v>3</v>
      </c>
      <c r="D191">
        <v>1</v>
      </c>
      <c r="E191">
        <v>2</v>
      </c>
      <c r="G191">
        <v>131</v>
      </c>
      <c r="H191" t="s">
        <v>63</v>
      </c>
      <c r="I191" t="s">
        <v>88</v>
      </c>
      <c r="J191" t="s">
        <v>142</v>
      </c>
      <c r="L191">
        <v>0</v>
      </c>
      <c r="M191" t="s">
        <v>125</v>
      </c>
      <c r="O191" t="s">
        <v>125</v>
      </c>
      <c r="P191" t="s">
        <v>125</v>
      </c>
      <c r="Q191" t="s">
        <v>125</v>
      </c>
      <c r="R191" t="s">
        <v>125</v>
      </c>
      <c r="S191" t="s">
        <v>125</v>
      </c>
      <c r="T191">
        <v>0</v>
      </c>
      <c r="V191" t="s">
        <v>125</v>
      </c>
      <c r="AE191" t="s">
        <v>125</v>
      </c>
      <c r="AF191">
        <v>0</v>
      </c>
      <c r="AG191" t="s">
        <v>125</v>
      </c>
      <c r="AH191">
        <v>0</v>
      </c>
      <c r="AK191">
        <v>0</v>
      </c>
    </row>
    <row r="192" spans="1:37" x14ac:dyDescent="0.25">
      <c r="A192" t="s">
        <v>79</v>
      </c>
      <c r="B192">
        <v>1</v>
      </c>
      <c r="C192">
        <v>3</v>
      </c>
      <c r="D192">
        <v>1</v>
      </c>
      <c r="E192">
        <v>3</v>
      </c>
      <c r="G192">
        <v>131</v>
      </c>
      <c r="H192" t="s">
        <v>63</v>
      </c>
      <c r="I192" t="s">
        <v>95</v>
      </c>
      <c r="J192" t="s">
        <v>143</v>
      </c>
      <c r="L192">
        <v>0</v>
      </c>
      <c r="M192" t="s">
        <v>125</v>
      </c>
      <c r="O192" t="s">
        <v>125</v>
      </c>
      <c r="P192" t="s">
        <v>125</v>
      </c>
      <c r="Q192" t="s">
        <v>125</v>
      </c>
      <c r="R192" t="s">
        <v>125</v>
      </c>
      <c r="S192" t="s">
        <v>125</v>
      </c>
      <c r="T192">
        <v>0</v>
      </c>
      <c r="V192" t="s">
        <v>125</v>
      </c>
      <c r="AE192" t="s">
        <v>125</v>
      </c>
      <c r="AF192">
        <v>0</v>
      </c>
      <c r="AG192" t="s">
        <v>125</v>
      </c>
      <c r="AH192">
        <v>0</v>
      </c>
      <c r="AK192">
        <v>0</v>
      </c>
    </row>
    <row r="193" spans="1:37" x14ac:dyDescent="0.25">
      <c r="A193" t="s">
        <v>79</v>
      </c>
      <c r="B193">
        <v>1</v>
      </c>
      <c r="C193">
        <v>3</v>
      </c>
      <c r="D193">
        <v>1</v>
      </c>
      <c r="E193">
        <v>4</v>
      </c>
      <c r="G193">
        <v>131</v>
      </c>
      <c r="H193" t="s">
        <v>63</v>
      </c>
      <c r="I193" t="s">
        <v>102</v>
      </c>
      <c r="J193" t="s">
        <v>144</v>
      </c>
      <c r="L193">
        <v>0</v>
      </c>
      <c r="M193" t="s">
        <v>125</v>
      </c>
      <c r="O193" t="s">
        <v>125</v>
      </c>
      <c r="P193" t="s">
        <v>125</v>
      </c>
      <c r="Q193" t="s">
        <v>125</v>
      </c>
      <c r="R193" t="s">
        <v>125</v>
      </c>
      <c r="S193" t="s">
        <v>125</v>
      </c>
      <c r="T193">
        <v>0</v>
      </c>
      <c r="V193" t="s">
        <v>125</v>
      </c>
      <c r="AE193" t="s">
        <v>125</v>
      </c>
      <c r="AF193">
        <v>0</v>
      </c>
      <c r="AG193" t="s">
        <v>125</v>
      </c>
      <c r="AH193">
        <v>0</v>
      </c>
      <c r="AK193">
        <v>0</v>
      </c>
    </row>
    <row r="194" spans="1:37" x14ac:dyDescent="0.25">
      <c r="A194" t="s">
        <v>79</v>
      </c>
      <c r="B194">
        <v>1</v>
      </c>
      <c r="C194">
        <v>3</v>
      </c>
      <c r="D194">
        <v>1</v>
      </c>
      <c r="E194">
        <v>5</v>
      </c>
      <c r="G194">
        <v>131</v>
      </c>
      <c r="H194" t="s">
        <v>63</v>
      </c>
      <c r="I194" t="s">
        <v>109</v>
      </c>
      <c r="J194" t="s">
        <v>145</v>
      </c>
      <c r="L194">
        <v>0</v>
      </c>
      <c r="M194" t="s">
        <v>125</v>
      </c>
      <c r="O194" t="s">
        <v>125</v>
      </c>
      <c r="P194" t="s">
        <v>125</v>
      </c>
      <c r="Q194" t="s">
        <v>125</v>
      </c>
      <c r="R194" t="s">
        <v>125</v>
      </c>
      <c r="S194" t="s">
        <v>125</v>
      </c>
      <c r="T194">
        <v>0</v>
      </c>
      <c r="V194" t="s">
        <v>125</v>
      </c>
      <c r="AE194" t="s">
        <v>125</v>
      </c>
      <c r="AF194">
        <v>0</v>
      </c>
      <c r="AG194" t="s">
        <v>125</v>
      </c>
      <c r="AH194">
        <v>0</v>
      </c>
      <c r="AK194">
        <v>0</v>
      </c>
    </row>
    <row r="195" spans="1:37" x14ac:dyDescent="0.25">
      <c r="A195" t="s">
        <v>79</v>
      </c>
      <c r="B195">
        <v>1</v>
      </c>
      <c r="C195">
        <v>3</v>
      </c>
      <c r="D195">
        <v>1</v>
      </c>
      <c r="E195">
        <v>6</v>
      </c>
      <c r="G195">
        <v>131</v>
      </c>
      <c r="H195" t="s">
        <v>63</v>
      </c>
      <c r="I195" t="s">
        <v>116</v>
      </c>
      <c r="J195" t="s">
        <v>146</v>
      </c>
      <c r="L195">
        <v>0</v>
      </c>
      <c r="M195" t="s">
        <v>125</v>
      </c>
      <c r="O195" t="s">
        <v>125</v>
      </c>
      <c r="P195" t="s">
        <v>125</v>
      </c>
      <c r="Q195" t="s">
        <v>125</v>
      </c>
      <c r="R195" t="s">
        <v>125</v>
      </c>
      <c r="S195" t="s">
        <v>125</v>
      </c>
      <c r="T195">
        <v>0</v>
      </c>
      <c r="V195" t="s">
        <v>125</v>
      </c>
      <c r="AE195" t="s">
        <v>125</v>
      </c>
      <c r="AF195">
        <v>0</v>
      </c>
      <c r="AG195" t="s">
        <v>125</v>
      </c>
      <c r="AH195">
        <v>0</v>
      </c>
      <c r="AK195">
        <v>0</v>
      </c>
    </row>
    <row r="196" spans="1:37" x14ac:dyDescent="0.25">
      <c r="A196" t="s">
        <v>79</v>
      </c>
      <c r="B196">
        <v>1</v>
      </c>
      <c r="C196">
        <v>3</v>
      </c>
      <c r="D196">
        <v>1</v>
      </c>
      <c r="E196">
        <v>7</v>
      </c>
      <c r="G196">
        <v>131</v>
      </c>
      <c r="H196" t="s">
        <v>63</v>
      </c>
      <c r="I196" t="s">
        <v>123</v>
      </c>
      <c r="J196" t="s">
        <v>147</v>
      </c>
      <c r="L196">
        <v>0</v>
      </c>
      <c r="M196" t="s">
        <v>125</v>
      </c>
      <c r="O196" t="s">
        <v>125</v>
      </c>
      <c r="P196" t="s">
        <v>125</v>
      </c>
      <c r="Q196" t="s">
        <v>125</v>
      </c>
      <c r="R196" t="s">
        <v>125</v>
      </c>
      <c r="S196" t="s">
        <v>125</v>
      </c>
      <c r="T196">
        <v>0</v>
      </c>
      <c r="V196" t="s">
        <v>125</v>
      </c>
      <c r="AE196" t="s">
        <v>125</v>
      </c>
      <c r="AF196">
        <v>0</v>
      </c>
      <c r="AG196" t="s">
        <v>125</v>
      </c>
      <c r="AH196">
        <v>0</v>
      </c>
      <c r="AK196">
        <v>0</v>
      </c>
    </row>
    <row r="197" spans="1:37" x14ac:dyDescent="0.25">
      <c r="A197" t="s">
        <v>79</v>
      </c>
      <c r="B197">
        <v>1</v>
      </c>
      <c r="C197">
        <v>3</v>
      </c>
      <c r="D197">
        <v>1</v>
      </c>
      <c r="E197">
        <v>8</v>
      </c>
      <c r="G197">
        <v>131</v>
      </c>
      <c r="H197" t="s">
        <v>63</v>
      </c>
      <c r="I197" t="s">
        <v>126</v>
      </c>
      <c r="J197" t="s">
        <v>148</v>
      </c>
      <c r="L197">
        <v>0</v>
      </c>
      <c r="M197" t="s">
        <v>125</v>
      </c>
      <c r="O197" t="s">
        <v>125</v>
      </c>
      <c r="P197" t="s">
        <v>125</v>
      </c>
      <c r="Q197" t="s">
        <v>125</v>
      </c>
      <c r="R197" t="s">
        <v>125</v>
      </c>
      <c r="S197" t="s">
        <v>125</v>
      </c>
      <c r="T197">
        <v>0</v>
      </c>
      <c r="V197" t="s">
        <v>125</v>
      </c>
      <c r="AE197" t="s">
        <v>125</v>
      </c>
      <c r="AF197">
        <v>0</v>
      </c>
      <c r="AG197" t="s">
        <v>125</v>
      </c>
      <c r="AH197">
        <v>0</v>
      </c>
      <c r="AK197">
        <v>0</v>
      </c>
    </row>
    <row r="198" spans="1:37" x14ac:dyDescent="0.25">
      <c r="A198" t="s">
        <v>79</v>
      </c>
      <c r="B198">
        <v>1</v>
      </c>
      <c r="C198">
        <v>3</v>
      </c>
      <c r="D198">
        <v>1</v>
      </c>
      <c r="E198">
        <v>9</v>
      </c>
      <c r="G198">
        <v>131</v>
      </c>
      <c r="H198" t="s">
        <v>63</v>
      </c>
      <c r="I198" t="s">
        <v>74</v>
      </c>
      <c r="J198" t="s">
        <v>149</v>
      </c>
      <c r="L198">
        <v>0</v>
      </c>
      <c r="M198" t="s">
        <v>125</v>
      </c>
      <c r="O198" t="s">
        <v>125</v>
      </c>
      <c r="P198" t="s">
        <v>125</v>
      </c>
      <c r="Q198" t="s">
        <v>125</v>
      </c>
      <c r="R198" t="s">
        <v>125</v>
      </c>
      <c r="S198" t="s">
        <v>125</v>
      </c>
      <c r="T198">
        <v>0</v>
      </c>
      <c r="V198" t="s">
        <v>125</v>
      </c>
      <c r="AE198" t="s">
        <v>125</v>
      </c>
      <c r="AF198">
        <v>0</v>
      </c>
      <c r="AG198" t="s">
        <v>125</v>
      </c>
      <c r="AH198">
        <v>0</v>
      </c>
      <c r="AK198">
        <v>0</v>
      </c>
    </row>
    <row r="199" spans="1:37" x14ac:dyDescent="0.25">
      <c r="A199" t="s">
        <v>79</v>
      </c>
      <c r="B199">
        <v>1</v>
      </c>
      <c r="C199">
        <v>3</v>
      </c>
      <c r="D199">
        <v>1</v>
      </c>
      <c r="E199">
        <v>10</v>
      </c>
      <c r="G199">
        <v>131</v>
      </c>
      <c r="H199" t="s">
        <v>63</v>
      </c>
      <c r="I199" t="s">
        <v>129</v>
      </c>
      <c r="J199" t="s">
        <v>150</v>
      </c>
      <c r="L199">
        <v>0</v>
      </c>
      <c r="M199" t="s">
        <v>125</v>
      </c>
      <c r="O199" t="s">
        <v>125</v>
      </c>
      <c r="P199" t="s">
        <v>125</v>
      </c>
      <c r="Q199" t="s">
        <v>125</v>
      </c>
      <c r="R199" t="s">
        <v>125</v>
      </c>
      <c r="S199" t="s">
        <v>125</v>
      </c>
      <c r="T199">
        <v>0</v>
      </c>
      <c r="V199" t="s">
        <v>125</v>
      </c>
      <c r="AE199" t="s">
        <v>125</v>
      </c>
      <c r="AF199">
        <v>0</v>
      </c>
      <c r="AG199" t="s">
        <v>125</v>
      </c>
      <c r="AH199">
        <v>0</v>
      </c>
      <c r="AK199">
        <v>0</v>
      </c>
    </row>
    <row r="200" spans="1:37" x14ac:dyDescent="0.25">
      <c r="A200" t="s">
        <v>79</v>
      </c>
      <c r="B200">
        <v>1</v>
      </c>
      <c r="C200">
        <v>3</v>
      </c>
      <c r="D200">
        <v>1</v>
      </c>
      <c r="E200">
        <v>11</v>
      </c>
      <c r="G200">
        <v>131</v>
      </c>
      <c r="H200" t="s">
        <v>63</v>
      </c>
      <c r="I200" t="s">
        <v>131</v>
      </c>
      <c r="J200" t="s">
        <v>151</v>
      </c>
      <c r="L200">
        <v>0</v>
      </c>
      <c r="M200" t="s">
        <v>125</v>
      </c>
      <c r="O200" t="s">
        <v>125</v>
      </c>
      <c r="P200" t="s">
        <v>125</v>
      </c>
      <c r="Q200" t="s">
        <v>125</v>
      </c>
      <c r="R200" t="s">
        <v>125</v>
      </c>
      <c r="S200" t="s">
        <v>125</v>
      </c>
      <c r="T200">
        <v>0</v>
      </c>
      <c r="V200" t="s">
        <v>125</v>
      </c>
      <c r="AE200" t="s">
        <v>125</v>
      </c>
      <c r="AF200">
        <v>0</v>
      </c>
      <c r="AG200" t="s">
        <v>125</v>
      </c>
      <c r="AH200">
        <v>0</v>
      </c>
      <c r="AK200">
        <v>0</v>
      </c>
    </row>
    <row r="201" spans="1:37" x14ac:dyDescent="0.25">
      <c r="A201" t="s">
        <v>79</v>
      </c>
      <c r="B201">
        <v>1</v>
      </c>
      <c r="C201">
        <v>3</v>
      </c>
      <c r="D201">
        <v>1</v>
      </c>
      <c r="E201">
        <v>12</v>
      </c>
      <c r="G201">
        <v>131</v>
      </c>
      <c r="H201" t="s">
        <v>63</v>
      </c>
      <c r="I201" t="s">
        <v>133</v>
      </c>
      <c r="J201" t="s">
        <v>152</v>
      </c>
      <c r="L201">
        <v>0</v>
      </c>
      <c r="M201" t="s">
        <v>125</v>
      </c>
      <c r="O201" t="s">
        <v>125</v>
      </c>
      <c r="P201" t="s">
        <v>125</v>
      </c>
      <c r="Q201" t="s">
        <v>125</v>
      </c>
      <c r="R201" t="s">
        <v>125</v>
      </c>
      <c r="S201" t="s">
        <v>125</v>
      </c>
      <c r="T201">
        <v>0</v>
      </c>
      <c r="V201" t="s">
        <v>125</v>
      </c>
      <c r="AE201" t="s">
        <v>125</v>
      </c>
      <c r="AF201">
        <v>0</v>
      </c>
      <c r="AG201" t="s">
        <v>125</v>
      </c>
      <c r="AH201">
        <v>0</v>
      </c>
      <c r="AK201">
        <v>0</v>
      </c>
    </row>
    <row r="202" spans="1:37" x14ac:dyDescent="0.25">
      <c r="A202" t="s">
        <v>79</v>
      </c>
      <c r="B202">
        <v>1</v>
      </c>
      <c r="C202">
        <v>3</v>
      </c>
      <c r="D202">
        <v>1</v>
      </c>
      <c r="E202">
        <v>13</v>
      </c>
      <c r="G202">
        <v>131</v>
      </c>
      <c r="H202" t="s">
        <v>63</v>
      </c>
      <c r="I202" t="s">
        <v>135</v>
      </c>
      <c r="J202" t="s">
        <v>153</v>
      </c>
      <c r="L202">
        <v>0</v>
      </c>
      <c r="M202" t="s">
        <v>125</v>
      </c>
      <c r="O202" t="s">
        <v>125</v>
      </c>
      <c r="P202" t="s">
        <v>125</v>
      </c>
      <c r="Q202" t="s">
        <v>125</v>
      </c>
      <c r="R202" t="s">
        <v>125</v>
      </c>
      <c r="S202" t="s">
        <v>125</v>
      </c>
      <c r="T202">
        <v>0</v>
      </c>
      <c r="V202" t="s">
        <v>125</v>
      </c>
      <c r="AE202" t="s">
        <v>125</v>
      </c>
      <c r="AF202">
        <v>0</v>
      </c>
      <c r="AG202" t="s">
        <v>125</v>
      </c>
      <c r="AH202">
        <v>0</v>
      </c>
      <c r="AK202">
        <v>0</v>
      </c>
    </row>
    <row r="203" spans="1:37" x14ac:dyDescent="0.25">
      <c r="A203" t="s">
        <v>79</v>
      </c>
      <c r="B203">
        <v>1</v>
      </c>
      <c r="C203">
        <v>3</v>
      </c>
      <c r="D203">
        <v>1</v>
      </c>
      <c r="E203">
        <v>14</v>
      </c>
      <c r="G203">
        <v>131</v>
      </c>
      <c r="H203" t="s">
        <v>63</v>
      </c>
      <c r="I203" t="s">
        <v>137</v>
      </c>
      <c r="J203" t="s">
        <v>154</v>
      </c>
      <c r="L203">
        <v>0</v>
      </c>
      <c r="M203" t="s">
        <v>125</v>
      </c>
      <c r="O203" t="s">
        <v>125</v>
      </c>
      <c r="P203" t="s">
        <v>125</v>
      </c>
      <c r="Q203" t="s">
        <v>125</v>
      </c>
      <c r="R203" t="s">
        <v>125</v>
      </c>
      <c r="S203" t="s">
        <v>125</v>
      </c>
      <c r="T203">
        <v>0</v>
      </c>
      <c r="V203" t="s">
        <v>125</v>
      </c>
      <c r="AE203" t="s">
        <v>125</v>
      </c>
      <c r="AF203">
        <v>0</v>
      </c>
      <c r="AG203" t="s">
        <v>125</v>
      </c>
      <c r="AH203">
        <v>0</v>
      </c>
      <c r="AK203">
        <v>0</v>
      </c>
    </row>
    <row r="204" spans="1:37" x14ac:dyDescent="0.25">
      <c r="A204" t="s">
        <v>79</v>
      </c>
      <c r="B204">
        <v>1</v>
      </c>
      <c r="C204">
        <v>3</v>
      </c>
      <c r="D204">
        <v>1</v>
      </c>
      <c r="E204">
        <v>15</v>
      </c>
      <c r="G204">
        <v>131</v>
      </c>
      <c r="H204" t="s">
        <v>63</v>
      </c>
      <c r="I204" t="s">
        <v>139</v>
      </c>
      <c r="J204" t="s">
        <v>155</v>
      </c>
      <c r="L204">
        <v>0</v>
      </c>
      <c r="M204" t="s">
        <v>125</v>
      </c>
      <c r="O204" t="s">
        <v>125</v>
      </c>
      <c r="P204" t="s">
        <v>125</v>
      </c>
      <c r="Q204" t="s">
        <v>125</v>
      </c>
      <c r="R204" t="s">
        <v>125</v>
      </c>
      <c r="S204" t="s">
        <v>125</v>
      </c>
      <c r="T204">
        <v>0</v>
      </c>
      <c r="V204" t="s">
        <v>125</v>
      </c>
      <c r="AE204" t="s">
        <v>125</v>
      </c>
      <c r="AF204">
        <v>0</v>
      </c>
      <c r="AG204" t="s">
        <v>125</v>
      </c>
      <c r="AH204">
        <v>0</v>
      </c>
      <c r="AK204">
        <v>0</v>
      </c>
    </row>
    <row r="205" spans="1:37" x14ac:dyDescent="0.25">
      <c r="L205">
        <v>0</v>
      </c>
    </row>
    <row r="206" spans="1:37" x14ac:dyDescent="0.25">
      <c r="A206" t="s">
        <v>70</v>
      </c>
      <c r="B206">
        <v>1</v>
      </c>
      <c r="C206">
        <v>3</v>
      </c>
      <c r="D206">
        <v>2</v>
      </c>
      <c r="G206">
        <v>13</v>
      </c>
      <c r="L206">
        <v>0</v>
      </c>
      <c r="M206" t="s">
        <v>125</v>
      </c>
      <c r="P206" t="s">
        <v>125</v>
      </c>
      <c r="R206" t="s">
        <v>125</v>
      </c>
      <c r="S206" t="s">
        <v>63</v>
      </c>
      <c r="V206" t="s">
        <v>125</v>
      </c>
      <c r="X206" t="s">
        <v>125</v>
      </c>
      <c r="Y206" t="s">
        <v>125</v>
      </c>
      <c r="Z206" t="s">
        <v>125</v>
      </c>
      <c r="AA206" t="s">
        <v>125</v>
      </c>
      <c r="AB206" t="s">
        <v>125</v>
      </c>
      <c r="AC206" t="s">
        <v>125</v>
      </c>
      <c r="AE206" t="s">
        <v>125</v>
      </c>
      <c r="AF206">
        <v>0</v>
      </c>
      <c r="AG206" t="s">
        <v>125</v>
      </c>
      <c r="AH206">
        <v>0</v>
      </c>
      <c r="AK206">
        <v>0</v>
      </c>
    </row>
    <row r="207" spans="1:37" x14ac:dyDescent="0.25">
      <c r="A207" t="s">
        <v>79</v>
      </c>
      <c r="B207">
        <v>1</v>
      </c>
      <c r="C207">
        <v>3</v>
      </c>
      <c r="D207">
        <v>2</v>
      </c>
      <c r="E207">
        <v>1</v>
      </c>
      <c r="G207">
        <v>132</v>
      </c>
      <c r="H207" t="s">
        <v>63</v>
      </c>
      <c r="I207" t="s">
        <v>80</v>
      </c>
      <c r="J207" t="s">
        <v>141</v>
      </c>
      <c r="L207">
        <v>0</v>
      </c>
      <c r="M207" t="s">
        <v>125</v>
      </c>
      <c r="O207" t="s">
        <v>125</v>
      </c>
      <c r="P207" t="s">
        <v>125</v>
      </c>
      <c r="Q207" t="s">
        <v>125</v>
      </c>
      <c r="R207" t="s">
        <v>125</v>
      </c>
      <c r="S207" t="s">
        <v>125</v>
      </c>
      <c r="T207">
        <v>0</v>
      </c>
      <c r="V207" t="s">
        <v>125</v>
      </c>
      <c r="AE207" t="s">
        <v>125</v>
      </c>
      <c r="AF207">
        <v>0</v>
      </c>
      <c r="AG207" t="s">
        <v>125</v>
      </c>
      <c r="AH207">
        <v>0</v>
      </c>
      <c r="AK207">
        <v>0</v>
      </c>
    </row>
    <row r="208" spans="1:37" x14ac:dyDescent="0.25">
      <c r="A208" t="s">
        <v>79</v>
      </c>
      <c r="B208">
        <v>1</v>
      </c>
      <c r="C208">
        <v>3</v>
      </c>
      <c r="D208">
        <v>2</v>
      </c>
      <c r="E208">
        <v>2</v>
      </c>
      <c r="G208">
        <v>132</v>
      </c>
      <c r="H208" t="s">
        <v>63</v>
      </c>
      <c r="I208" t="s">
        <v>88</v>
      </c>
      <c r="J208" t="s">
        <v>142</v>
      </c>
      <c r="L208">
        <v>0</v>
      </c>
      <c r="M208" t="s">
        <v>125</v>
      </c>
      <c r="O208" t="s">
        <v>125</v>
      </c>
      <c r="P208" t="s">
        <v>125</v>
      </c>
      <c r="Q208" t="s">
        <v>125</v>
      </c>
      <c r="R208" t="s">
        <v>125</v>
      </c>
      <c r="S208" t="s">
        <v>125</v>
      </c>
      <c r="T208">
        <v>0</v>
      </c>
      <c r="V208" t="s">
        <v>125</v>
      </c>
      <c r="AE208" t="s">
        <v>125</v>
      </c>
      <c r="AF208">
        <v>0</v>
      </c>
      <c r="AG208" t="s">
        <v>125</v>
      </c>
      <c r="AH208">
        <v>0</v>
      </c>
      <c r="AK208">
        <v>0</v>
      </c>
    </row>
    <row r="209" spans="1:37" x14ac:dyDescent="0.25">
      <c r="A209" t="s">
        <v>79</v>
      </c>
      <c r="B209">
        <v>1</v>
      </c>
      <c r="C209">
        <v>3</v>
      </c>
      <c r="D209">
        <v>2</v>
      </c>
      <c r="E209">
        <v>3</v>
      </c>
      <c r="G209">
        <v>132</v>
      </c>
      <c r="H209" t="s">
        <v>63</v>
      </c>
      <c r="I209" t="s">
        <v>95</v>
      </c>
      <c r="J209" t="s">
        <v>143</v>
      </c>
      <c r="L209">
        <v>0</v>
      </c>
      <c r="M209" t="s">
        <v>125</v>
      </c>
      <c r="O209" t="s">
        <v>125</v>
      </c>
      <c r="P209" t="s">
        <v>125</v>
      </c>
      <c r="Q209" t="s">
        <v>125</v>
      </c>
      <c r="R209" t="s">
        <v>125</v>
      </c>
      <c r="S209" t="s">
        <v>125</v>
      </c>
      <c r="T209">
        <v>0</v>
      </c>
      <c r="V209" t="s">
        <v>125</v>
      </c>
      <c r="AE209" t="s">
        <v>125</v>
      </c>
      <c r="AF209">
        <v>0</v>
      </c>
      <c r="AG209" t="s">
        <v>125</v>
      </c>
      <c r="AH209">
        <v>0</v>
      </c>
      <c r="AK209">
        <v>0</v>
      </c>
    </row>
    <row r="210" spans="1:37" x14ac:dyDescent="0.25">
      <c r="A210" t="s">
        <v>79</v>
      </c>
      <c r="B210">
        <v>1</v>
      </c>
      <c r="C210">
        <v>3</v>
      </c>
      <c r="D210">
        <v>2</v>
      </c>
      <c r="E210">
        <v>4</v>
      </c>
      <c r="G210">
        <v>132</v>
      </c>
      <c r="H210" t="s">
        <v>63</v>
      </c>
      <c r="I210" t="s">
        <v>102</v>
      </c>
      <c r="J210" t="s">
        <v>144</v>
      </c>
      <c r="L210">
        <v>0</v>
      </c>
      <c r="M210" t="s">
        <v>125</v>
      </c>
      <c r="O210" t="s">
        <v>125</v>
      </c>
      <c r="P210" t="s">
        <v>125</v>
      </c>
      <c r="Q210" t="s">
        <v>125</v>
      </c>
      <c r="R210" t="s">
        <v>125</v>
      </c>
      <c r="S210" t="s">
        <v>125</v>
      </c>
      <c r="T210">
        <v>0</v>
      </c>
      <c r="V210" t="s">
        <v>125</v>
      </c>
      <c r="AE210" t="s">
        <v>125</v>
      </c>
      <c r="AF210">
        <v>0</v>
      </c>
      <c r="AG210" t="s">
        <v>125</v>
      </c>
      <c r="AH210">
        <v>0</v>
      </c>
      <c r="AK210">
        <v>0</v>
      </c>
    </row>
    <row r="211" spans="1:37" x14ac:dyDescent="0.25">
      <c r="A211" t="s">
        <v>79</v>
      </c>
      <c r="B211">
        <v>1</v>
      </c>
      <c r="C211">
        <v>3</v>
      </c>
      <c r="D211">
        <v>2</v>
      </c>
      <c r="E211">
        <v>5</v>
      </c>
      <c r="G211">
        <v>132</v>
      </c>
      <c r="H211" t="s">
        <v>63</v>
      </c>
      <c r="I211" t="s">
        <v>109</v>
      </c>
      <c r="J211" t="s">
        <v>145</v>
      </c>
      <c r="L211">
        <v>0</v>
      </c>
      <c r="M211" t="s">
        <v>125</v>
      </c>
      <c r="O211" t="s">
        <v>125</v>
      </c>
      <c r="P211" t="s">
        <v>125</v>
      </c>
      <c r="Q211" t="s">
        <v>125</v>
      </c>
      <c r="R211" t="s">
        <v>125</v>
      </c>
      <c r="S211" t="s">
        <v>125</v>
      </c>
      <c r="T211">
        <v>0</v>
      </c>
      <c r="V211" t="s">
        <v>125</v>
      </c>
      <c r="AE211" t="s">
        <v>125</v>
      </c>
      <c r="AF211">
        <v>0</v>
      </c>
      <c r="AG211" t="s">
        <v>125</v>
      </c>
      <c r="AH211">
        <v>0</v>
      </c>
      <c r="AK211">
        <v>0</v>
      </c>
    </row>
    <row r="212" spans="1:37" x14ac:dyDescent="0.25">
      <c r="A212" t="s">
        <v>79</v>
      </c>
      <c r="B212">
        <v>1</v>
      </c>
      <c r="C212">
        <v>3</v>
      </c>
      <c r="D212">
        <v>2</v>
      </c>
      <c r="E212">
        <v>6</v>
      </c>
      <c r="G212">
        <v>132</v>
      </c>
      <c r="H212" t="s">
        <v>63</v>
      </c>
      <c r="I212" t="s">
        <v>116</v>
      </c>
      <c r="J212" t="s">
        <v>146</v>
      </c>
      <c r="L212">
        <v>0</v>
      </c>
      <c r="M212" t="s">
        <v>125</v>
      </c>
      <c r="O212" t="s">
        <v>125</v>
      </c>
      <c r="P212" t="s">
        <v>125</v>
      </c>
      <c r="Q212" t="s">
        <v>125</v>
      </c>
      <c r="R212" t="s">
        <v>125</v>
      </c>
      <c r="S212" t="s">
        <v>125</v>
      </c>
      <c r="T212">
        <v>0</v>
      </c>
      <c r="V212" t="s">
        <v>125</v>
      </c>
      <c r="AE212" t="s">
        <v>125</v>
      </c>
      <c r="AF212">
        <v>0</v>
      </c>
      <c r="AG212" t="s">
        <v>125</v>
      </c>
      <c r="AH212">
        <v>0</v>
      </c>
      <c r="AK212">
        <v>0</v>
      </c>
    </row>
    <row r="213" spans="1:37" x14ac:dyDescent="0.25">
      <c r="A213" t="s">
        <v>79</v>
      </c>
      <c r="B213">
        <v>1</v>
      </c>
      <c r="C213">
        <v>3</v>
      </c>
      <c r="D213">
        <v>2</v>
      </c>
      <c r="E213">
        <v>7</v>
      </c>
      <c r="G213">
        <v>132</v>
      </c>
      <c r="H213" t="s">
        <v>63</v>
      </c>
      <c r="I213" t="s">
        <v>123</v>
      </c>
      <c r="J213" t="s">
        <v>147</v>
      </c>
      <c r="L213">
        <v>0</v>
      </c>
      <c r="M213" t="s">
        <v>125</v>
      </c>
      <c r="O213" t="s">
        <v>125</v>
      </c>
      <c r="P213" t="s">
        <v>125</v>
      </c>
      <c r="Q213" t="s">
        <v>125</v>
      </c>
      <c r="R213" t="s">
        <v>125</v>
      </c>
      <c r="S213" t="s">
        <v>125</v>
      </c>
      <c r="T213">
        <v>0</v>
      </c>
      <c r="V213" t="s">
        <v>125</v>
      </c>
      <c r="AE213" t="s">
        <v>125</v>
      </c>
      <c r="AF213">
        <v>0</v>
      </c>
      <c r="AG213" t="s">
        <v>125</v>
      </c>
      <c r="AH213">
        <v>0</v>
      </c>
      <c r="AK213">
        <v>0</v>
      </c>
    </row>
    <row r="214" spans="1:37" x14ac:dyDescent="0.25">
      <c r="A214" t="s">
        <v>79</v>
      </c>
      <c r="B214">
        <v>1</v>
      </c>
      <c r="C214">
        <v>3</v>
      </c>
      <c r="D214">
        <v>2</v>
      </c>
      <c r="E214">
        <v>8</v>
      </c>
      <c r="G214">
        <v>132</v>
      </c>
      <c r="H214" t="s">
        <v>63</v>
      </c>
      <c r="I214" t="s">
        <v>126</v>
      </c>
      <c r="J214" t="s">
        <v>148</v>
      </c>
      <c r="L214">
        <v>0</v>
      </c>
      <c r="M214" t="s">
        <v>125</v>
      </c>
      <c r="O214" t="s">
        <v>125</v>
      </c>
      <c r="P214" t="s">
        <v>125</v>
      </c>
      <c r="Q214" t="s">
        <v>125</v>
      </c>
      <c r="R214" t="s">
        <v>125</v>
      </c>
      <c r="S214" t="s">
        <v>125</v>
      </c>
      <c r="T214">
        <v>0</v>
      </c>
      <c r="V214" t="s">
        <v>125</v>
      </c>
      <c r="AE214" t="s">
        <v>125</v>
      </c>
      <c r="AF214">
        <v>0</v>
      </c>
      <c r="AG214" t="s">
        <v>125</v>
      </c>
      <c r="AH214">
        <v>0</v>
      </c>
      <c r="AK214">
        <v>0</v>
      </c>
    </row>
    <row r="215" spans="1:37" x14ac:dyDescent="0.25">
      <c r="A215" t="s">
        <v>79</v>
      </c>
      <c r="B215">
        <v>1</v>
      </c>
      <c r="C215">
        <v>3</v>
      </c>
      <c r="D215">
        <v>2</v>
      </c>
      <c r="E215">
        <v>9</v>
      </c>
      <c r="G215">
        <v>132</v>
      </c>
      <c r="H215" t="s">
        <v>63</v>
      </c>
      <c r="I215" t="s">
        <v>74</v>
      </c>
      <c r="J215" t="s">
        <v>149</v>
      </c>
      <c r="L215">
        <v>0</v>
      </c>
      <c r="M215" t="s">
        <v>125</v>
      </c>
      <c r="O215" t="s">
        <v>125</v>
      </c>
      <c r="P215" t="s">
        <v>125</v>
      </c>
      <c r="Q215" t="s">
        <v>125</v>
      </c>
      <c r="R215" t="s">
        <v>125</v>
      </c>
      <c r="S215" t="s">
        <v>125</v>
      </c>
      <c r="T215">
        <v>0</v>
      </c>
      <c r="V215" t="s">
        <v>125</v>
      </c>
      <c r="AE215" t="s">
        <v>125</v>
      </c>
      <c r="AF215">
        <v>0</v>
      </c>
      <c r="AG215" t="s">
        <v>125</v>
      </c>
      <c r="AH215">
        <v>0</v>
      </c>
      <c r="AK215">
        <v>0</v>
      </c>
    </row>
    <row r="216" spans="1:37" x14ac:dyDescent="0.25">
      <c r="A216" t="s">
        <v>79</v>
      </c>
      <c r="B216">
        <v>1</v>
      </c>
      <c r="C216">
        <v>3</v>
      </c>
      <c r="D216">
        <v>2</v>
      </c>
      <c r="E216">
        <v>10</v>
      </c>
      <c r="G216">
        <v>132</v>
      </c>
      <c r="H216" t="s">
        <v>63</v>
      </c>
      <c r="I216" t="s">
        <v>129</v>
      </c>
      <c r="J216" t="s">
        <v>150</v>
      </c>
      <c r="L216">
        <v>0</v>
      </c>
      <c r="M216" t="s">
        <v>125</v>
      </c>
      <c r="O216" t="s">
        <v>125</v>
      </c>
      <c r="P216" t="s">
        <v>125</v>
      </c>
      <c r="Q216" t="s">
        <v>125</v>
      </c>
      <c r="R216" t="s">
        <v>125</v>
      </c>
      <c r="S216" t="s">
        <v>125</v>
      </c>
      <c r="T216">
        <v>0</v>
      </c>
      <c r="V216" t="s">
        <v>125</v>
      </c>
      <c r="AE216" t="s">
        <v>125</v>
      </c>
      <c r="AF216">
        <v>0</v>
      </c>
      <c r="AG216" t="s">
        <v>125</v>
      </c>
      <c r="AH216">
        <v>0</v>
      </c>
      <c r="AK216">
        <v>0</v>
      </c>
    </row>
    <row r="217" spans="1:37" x14ac:dyDescent="0.25">
      <c r="A217" t="s">
        <v>79</v>
      </c>
      <c r="B217">
        <v>1</v>
      </c>
      <c r="C217">
        <v>3</v>
      </c>
      <c r="D217">
        <v>2</v>
      </c>
      <c r="E217">
        <v>11</v>
      </c>
      <c r="G217">
        <v>132</v>
      </c>
      <c r="H217" t="s">
        <v>63</v>
      </c>
      <c r="I217" t="s">
        <v>131</v>
      </c>
      <c r="J217" t="s">
        <v>151</v>
      </c>
      <c r="L217">
        <v>0</v>
      </c>
      <c r="M217" t="s">
        <v>125</v>
      </c>
      <c r="O217" t="s">
        <v>125</v>
      </c>
      <c r="P217" t="s">
        <v>125</v>
      </c>
      <c r="Q217" t="s">
        <v>125</v>
      </c>
      <c r="R217" t="s">
        <v>125</v>
      </c>
      <c r="S217" t="s">
        <v>125</v>
      </c>
      <c r="T217">
        <v>0</v>
      </c>
      <c r="V217" t="s">
        <v>125</v>
      </c>
      <c r="AE217" t="s">
        <v>125</v>
      </c>
      <c r="AF217">
        <v>0</v>
      </c>
      <c r="AG217" t="s">
        <v>125</v>
      </c>
      <c r="AH217">
        <v>0</v>
      </c>
      <c r="AK217">
        <v>0</v>
      </c>
    </row>
    <row r="218" spans="1:37" x14ac:dyDescent="0.25">
      <c r="A218" t="s">
        <v>79</v>
      </c>
      <c r="B218">
        <v>1</v>
      </c>
      <c r="C218">
        <v>3</v>
      </c>
      <c r="D218">
        <v>2</v>
      </c>
      <c r="E218">
        <v>12</v>
      </c>
      <c r="G218">
        <v>132</v>
      </c>
      <c r="H218" t="s">
        <v>63</v>
      </c>
      <c r="I218" t="s">
        <v>133</v>
      </c>
      <c r="J218" t="s">
        <v>152</v>
      </c>
      <c r="L218">
        <v>0</v>
      </c>
      <c r="M218" t="s">
        <v>125</v>
      </c>
      <c r="O218" t="s">
        <v>125</v>
      </c>
      <c r="P218" t="s">
        <v>125</v>
      </c>
      <c r="Q218" t="s">
        <v>125</v>
      </c>
      <c r="R218" t="s">
        <v>125</v>
      </c>
      <c r="S218" t="s">
        <v>125</v>
      </c>
      <c r="T218">
        <v>0</v>
      </c>
      <c r="V218" t="s">
        <v>125</v>
      </c>
      <c r="AE218" t="s">
        <v>125</v>
      </c>
      <c r="AF218">
        <v>0</v>
      </c>
      <c r="AG218" t="s">
        <v>125</v>
      </c>
      <c r="AH218">
        <v>0</v>
      </c>
      <c r="AK218">
        <v>0</v>
      </c>
    </row>
    <row r="219" spans="1:37" x14ac:dyDescent="0.25">
      <c r="A219" t="s">
        <v>79</v>
      </c>
      <c r="B219">
        <v>1</v>
      </c>
      <c r="C219">
        <v>3</v>
      </c>
      <c r="D219">
        <v>2</v>
      </c>
      <c r="E219">
        <v>13</v>
      </c>
      <c r="G219">
        <v>132</v>
      </c>
      <c r="H219" t="s">
        <v>63</v>
      </c>
      <c r="I219" t="s">
        <v>135</v>
      </c>
      <c r="J219" t="s">
        <v>153</v>
      </c>
      <c r="L219">
        <v>0</v>
      </c>
      <c r="M219" t="s">
        <v>125</v>
      </c>
      <c r="O219" t="s">
        <v>125</v>
      </c>
      <c r="P219" t="s">
        <v>125</v>
      </c>
      <c r="Q219" t="s">
        <v>125</v>
      </c>
      <c r="R219" t="s">
        <v>125</v>
      </c>
      <c r="S219" t="s">
        <v>125</v>
      </c>
      <c r="T219">
        <v>0</v>
      </c>
      <c r="V219" t="s">
        <v>125</v>
      </c>
      <c r="AE219" t="s">
        <v>125</v>
      </c>
      <c r="AF219">
        <v>0</v>
      </c>
      <c r="AG219" t="s">
        <v>125</v>
      </c>
      <c r="AH219">
        <v>0</v>
      </c>
      <c r="AK219">
        <v>0</v>
      </c>
    </row>
    <row r="220" spans="1:37" x14ac:dyDescent="0.25">
      <c r="A220" t="s">
        <v>79</v>
      </c>
      <c r="B220">
        <v>1</v>
      </c>
      <c r="C220">
        <v>3</v>
      </c>
      <c r="D220">
        <v>2</v>
      </c>
      <c r="E220">
        <v>14</v>
      </c>
      <c r="G220">
        <v>132</v>
      </c>
      <c r="H220" t="s">
        <v>63</v>
      </c>
      <c r="I220" t="s">
        <v>137</v>
      </c>
      <c r="J220" t="s">
        <v>154</v>
      </c>
      <c r="L220">
        <v>0</v>
      </c>
      <c r="M220" t="s">
        <v>125</v>
      </c>
      <c r="O220" t="s">
        <v>125</v>
      </c>
      <c r="P220" t="s">
        <v>125</v>
      </c>
      <c r="Q220" t="s">
        <v>125</v>
      </c>
      <c r="R220" t="s">
        <v>125</v>
      </c>
      <c r="S220" t="s">
        <v>125</v>
      </c>
      <c r="T220">
        <v>0</v>
      </c>
      <c r="V220" t="s">
        <v>125</v>
      </c>
      <c r="AE220" t="s">
        <v>125</v>
      </c>
      <c r="AF220">
        <v>0</v>
      </c>
      <c r="AG220" t="s">
        <v>125</v>
      </c>
      <c r="AH220">
        <v>0</v>
      </c>
      <c r="AK220">
        <v>0</v>
      </c>
    </row>
    <row r="221" spans="1:37" x14ac:dyDescent="0.25">
      <c r="A221" t="s">
        <v>79</v>
      </c>
      <c r="B221">
        <v>1</v>
      </c>
      <c r="C221">
        <v>3</v>
      </c>
      <c r="D221">
        <v>2</v>
      </c>
      <c r="E221">
        <v>15</v>
      </c>
      <c r="G221">
        <v>132</v>
      </c>
      <c r="H221" t="s">
        <v>63</v>
      </c>
      <c r="I221" t="s">
        <v>139</v>
      </c>
      <c r="J221" t="s">
        <v>155</v>
      </c>
      <c r="L221">
        <v>0</v>
      </c>
      <c r="M221" t="s">
        <v>125</v>
      </c>
      <c r="O221" t="s">
        <v>125</v>
      </c>
      <c r="P221" t="s">
        <v>125</v>
      </c>
      <c r="Q221" t="s">
        <v>125</v>
      </c>
      <c r="R221" t="s">
        <v>125</v>
      </c>
      <c r="S221" t="s">
        <v>125</v>
      </c>
      <c r="T221">
        <v>0</v>
      </c>
      <c r="V221" t="s">
        <v>125</v>
      </c>
      <c r="AE221" t="s">
        <v>125</v>
      </c>
      <c r="AF221">
        <v>0</v>
      </c>
      <c r="AG221" t="s">
        <v>125</v>
      </c>
      <c r="AH221">
        <v>0</v>
      </c>
      <c r="AK221">
        <v>0</v>
      </c>
    </row>
    <row r="222" spans="1:37" x14ac:dyDescent="0.25">
      <c r="L222">
        <v>0</v>
      </c>
    </row>
    <row r="223" spans="1:37" x14ac:dyDescent="0.25">
      <c r="A223" t="s">
        <v>70</v>
      </c>
      <c r="B223">
        <v>1</v>
      </c>
      <c r="C223">
        <v>3</v>
      </c>
      <c r="D223">
        <v>3</v>
      </c>
      <c r="G223">
        <v>13</v>
      </c>
      <c r="L223">
        <v>0</v>
      </c>
      <c r="M223" t="s">
        <v>125</v>
      </c>
      <c r="P223" t="s">
        <v>125</v>
      </c>
      <c r="R223" t="s">
        <v>125</v>
      </c>
      <c r="S223" t="s">
        <v>63</v>
      </c>
      <c r="V223" t="s">
        <v>125</v>
      </c>
      <c r="X223" t="s">
        <v>125</v>
      </c>
      <c r="Y223" t="s">
        <v>125</v>
      </c>
      <c r="Z223" t="s">
        <v>125</v>
      </c>
      <c r="AA223" t="s">
        <v>125</v>
      </c>
      <c r="AB223" t="s">
        <v>125</v>
      </c>
      <c r="AC223" t="s">
        <v>125</v>
      </c>
      <c r="AE223" t="s">
        <v>125</v>
      </c>
      <c r="AF223">
        <v>0</v>
      </c>
      <c r="AG223" t="s">
        <v>125</v>
      </c>
      <c r="AH223">
        <v>0</v>
      </c>
      <c r="AK223">
        <v>0</v>
      </c>
    </row>
    <row r="224" spans="1:37" x14ac:dyDescent="0.25">
      <c r="A224" t="s">
        <v>79</v>
      </c>
      <c r="B224">
        <v>1</v>
      </c>
      <c r="C224">
        <v>3</v>
      </c>
      <c r="D224">
        <v>3</v>
      </c>
      <c r="E224">
        <v>1</v>
      </c>
      <c r="G224">
        <v>133</v>
      </c>
      <c r="H224" t="s">
        <v>63</v>
      </c>
      <c r="I224" t="s">
        <v>80</v>
      </c>
      <c r="J224" t="s">
        <v>141</v>
      </c>
      <c r="L224">
        <v>0</v>
      </c>
      <c r="M224" t="s">
        <v>125</v>
      </c>
      <c r="O224" t="s">
        <v>125</v>
      </c>
      <c r="P224" t="s">
        <v>125</v>
      </c>
      <c r="Q224" t="s">
        <v>125</v>
      </c>
      <c r="R224" t="s">
        <v>125</v>
      </c>
      <c r="S224" t="s">
        <v>125</v>
      </c>
      <c r="T224">
        <v>0</v>
      </c>
      <c r="V224" t="s">
        <v>125</v>
      </c>
      <c r="AE224" t="s">
        <v>125</v>
      </c>
      <c r="AF224">
        <v>0</v>
      </c>
      <c r="AG224" t="s">
        <v>125</v>
      </c>
      <c r="AH224">
        <v>0</v>
      </c>
      <c r="AK224">
        <v>0</v>
      </c>
    </row>
    <row r="225" spans="1:37" x14ac:dyDescent="0.25">
      <c r="A225" t="s">
        <v>79</v>
      </c>
      <c r="B225">
        <v>1</v>
      </c>
      <c r="C225">
        <v>3</v>
      </c>
      <c r="D225">
        <v>3</v>
      </c>
      <c r="E225">
        <v>2</v>
      </c>
      <c r="G225">
        <v>133</v>
      </c>
      <c r="H225" t="s">
        <v>63</v>
      </c>
      <c r="I225" t="s">
        <v>88</v>
      </c>
      <c r="J225" t="s">
        <v>142</v>
      </c>
      <c r="L225">
        <v>0</v>
      </c>
      <c r="M225" t="s">
        <v>125</v>
      </c>
      <c r="O225" t="s">
        <v>125</v>
      </c>
      <c r="P225" t="s">
        <v>125</v>
      </c>
      <c r="Q225" t="s">
        <v>125</v>
      </c>
      <c r="R225" t="s">
        <v>125</v>
      </c>
      <c r="S225" t="s">
        <v>125</v>
      </c>
      <c r="T225">
        <v>0</v>
      </c>
      <c r="V225" t="s">
        <v>125</v>
      </c>
      <c r="AE225" t="s">
        <v>125</v>
      </c>
      <c r="AF225">
        <v>0</v>
      </c>
      <c r="AG225" t="s">
        <v>125</v>
      </c>
      <c r="AH225">
        <v>0</v>
      </c>
      <c r="AK225">
        <v>0</v>
      </c>
    </row>
    <row r="226" spans="1:37" x14ac:dyDescent="0.25">
      <c r="A226" t="s">
        <v>79</v>
      </c>
      <c r="B226">
        <v>1</v>
      </c>
      <c r="C226">
        <v>3</v>
      </c>
      <c r="D226">
        <v>3</v>
      </c>
      <c r="E226">
        <v>3</v>
      </c>
      <c r="G226">
        <v>133</v>
      </c>
      <c r="H226" t="s">
        <v>63</v>
      </c>
      <c r="I226" t="s">
        <v>95</v>
      </c>
      <c r="J226" t="s">
        <v>143</v>
      </c>
      <c r="L226">
        <v>0</v>
      </c>
      <c r="M226" t="s">
        <v>125</v>
      </c>
      <c r="O226" t="s">
        <v>125</v>
      </c>
      <c r="P226" t="s">
        <v>125</v>
      </c>
      <c r="Q226" t="s">
        <v>125</v>
      </c>
      <c r="R226" t="s">
        <v>125</v>
      </c>
      <c r="S226" t="s">
        <v>125</v>
      </c>
      <c r="T226">
        <v>0</v>
      </c>
      <c r="V226" t="s">
        <v>125</v>
      </c>
      <c r="AE226" t="s">
        <v>125</v>
      </c>
      <c r="AF226">
        <v>0</v>
      </c>
      <c r="AG226" t="s">
        <v>125</v>
      </c>
      <c r="AH226">
        <v>0</v>
      </c>
      <c r="AK226">
        <v>0</v>
      </c>
    </row>
    <row r="227" spans="1:37" x14ac:dyDescent="0.25">
      <c r="A227" t="s">
        <v>79</v>
      </c>
      <c r="B227">
        <v>1</v>
      </c>
      <c r="C227">
        <v>3</v>
      </c>
      <c r="D227">
        <v>3</v>
      </c>
      <c r="E227">
        <v>4</v>
      </c>
      <c r="G227">
        <v>133</v>
      </c>
      <c r="H227" t="s">
        <v>63</v>
      </c>
      <c r="I227" t="s">
        <v>102</v>
      </c>
      <c r="J227" t="s">
        <v>144</v>
      </c>
      <c r="L227">
        <v>0</v>
      </c>
      <c r="M227" t="s">
        <v>125</v>
      </c>
      <c r="O227" t="s">
        <v>125</v>
      </c>
      <c r="P227" t="s">
        <v>125</v>
      </c>
      <c r="Q227" t="s">
        <v>125</v>
      </c>
      <c r="R227" t="s">
        <v>125</v>
      </c>
      <c r="S227" t="s">
        <v>125</v>
      </c>
      <c r="T227">
        <v>0</v>
      </c>
      <c r="V227" t="s">
        <v>125</v>
      </c>
      <c r="AE227" t="s">
        <v>125</v>
      </c>
      <c r="AF227">
        <v>0</v>
      </c>
      <c r="AG227" t="s">
        <v>125</v>
      </c>
      <c r="AH227">
        <v>0</v>
      </c>
      <c r="AK227">
        <v>0</v>
      </c>
    </row>
    <row r="228" spans="1:37" x14ac:dyDescent="0.25">
      <c r="A228" t="s">
        <v>79</v>
      </c>
      <c r="B228">
        <v>1</v>
      </c>
      <c r="C228">
        <v>3</v>
      </c>
      <c r="D228">
        <v>3</v>
      </c>
      <c r="E228">
        <v>5</v>
      </c>
      <c r="G228">
        <v>133</v>
      </c>
      <c r="H228" t="s">
        <v>63</v>
      </c>
      <c r="I228" t="s">
        <v>109</v>
      </c>
      <c r="J228" t="s">
        <v>145</v>
      </c>
      <c r="L228">
        <v>0</v>
      </c>
      <c r="M228" t="s">
        <v>125</v>
      </c>
      <c r="O228" t="s">
        <v>125</v>
      </c>
      <c r="P228" t="s">
        <v>125</v>
      </c>
      <c r="Q228" t="s">
        <v>125</v>
      </c>
      <c r="R228" t="s">
        <v>125</v>
      </c>
      <c r="S228" t="s">
        <v>125</v>
      </c>
      <c r="T228">
        <v>0</v>
      </c>
      <c r="V228" t="s">
        <v>125</v>
      </c>
      <c r="AE228" t="s">
        <v>125</v>
      </c>
      <c r="AF228">
        <v>0</v>
      </c>
      <c r="AG228" t="s">
        <v>125</v>
      </c>
      <c r="AH228">
        <v>0</v>
      </c>
      <c r="AK228">
        <v>0</v>
      </c>
    </row>
    <row r="229" spans="1:37" x14ac:dyDescent="0.25">
      <c r="A229" t="s">
        <v>79</v>
      </c>
      <c r="B229">
        <v>1</v>
      </c>
      <c r="C229">
        <v>3</v>
      </c>
      <c r="D229">
        <v>3</v>
      </c>
      <c r="E229">
        <v>6</v>
      </c>
      <c r="G229">
        <v>133</v>
      </c>
      <c r="H229" t="s">
        <v>63</v>
      </c>
      <c r="I229" t="s">
        <v>116</v>
      </c>
      <c r="J229" t="s">
        <v>146</v>
      </c>
      <c r="L229">
        <v>0</v>
      </c>
      <c r="M229" t="s">
        <v>125</v>
      </c>
      <c r="O229" t="s">
        <v>125</v>
      </c>
      <c r="P229" t="s">
        <v>125</v>
      </c>
      <c r="Q229" t="s">
        <v>125</v>
      </c>
      <c r="R229" t="s">
        <v>125</v>
      </c>
      <c r="S229" t="s">
        <v>125</v>
      </c>
      <c r="T229">
        <v>0</v>
      </c>
      <c r="V229" t="s">
        <v>125</v>
      </c>
      <c r="AE229" t="s">
        <v>125</v>
      </c>
      <c r="AF229">
        <v>0</v>
      </c>
      <c r="AG229" t="s">
        <v>125</v>
      </c>
      <c r="AH229">
        <v>0</v>
      </c>
      <c r="AK229">
        <v>0</v>
      </c>
    </row>
    <row r="230" spans="1:37" x14ac:dyDescent="0.25">
      <c r="A230" t="s">
        <v>79</v>
      </c>
      <c r="B230">
        <v>1</v>
      </c>
      <c r="C230">
        <v>3</v>
      </c>
      <c r="D230">
        <v>3</v>
      </c>
      <c r="E230">
        <v>7</v>
      </c>
      <c r="G230">
        <v>133</v>
      </c>
      <c r="H230" t="s">
        <v>63</v>
      </c>
      <c r="I230" t="s">
        <v>123</v>
      </c>
      <c r="J230" t="s">
        <v>147</v>
      </c>
      <c r="L230">
        <v>0</v>
      </c>
      <c r="M230" t="s">
        <v>125</v>
      </c>
      <c r="O230" t="s">
        <v>125</v>
      </c>
      <c r="P230" t="s">
        <v>125</v>
      </c>
      <c r="Q230" t="s">
        <v>125</v>
      </c>
      <c r="R230" t="s">
        <v>125</v>
      </c>
      <c r="S230" t="s">
        <v>125</v>
      </c>
      <c r="T230">
        <v>0</v>
      </c>
      <c r="V230" t="s">
        <v>125</v>
      </c>
      <c r="AE230" t="s">
        <v>125</v>
      </c>
      <c r="AF230">
        <v>0</v>
      </c>
      <c r="AG230" t="s">
        <v>125</v>
      </c>
      <c r="AH230">
        <v>0</v>
      </c>
      <c r="AK230">
        <v>0</v>
      </c>
    </row>
    <row r="231" spans="1:37" x14ac:dyDescent="0.25">
      <c r="A231" t="s">
        <v>79</v>
      </c>
      <c r="B231">
        <v>1</v>
      </c>
      <c r="C231">
        <v>3</v>
      </c>
      <c r="D231">
        <v>3</v>
      </c>
      <c r="E231">
        <v>8</v>
      </c>
      <c r="G231">
        <v>133</v>
      </c>
      <c r="H231" t="s">
        <v>63</v>
      </c>
      <c r="I231" t="s">
        <v>126</v>
      </c>
      <c r="J231" t="s">
        <v>148</v>
      </c>
      <c r="L231">
        <v>0</v>
      </c>
      <c r="M231" t="s">
        <v>125</v>
      </c>
      <c r="O231" t="s">
        <v>125</v>
      </c>
      <c r="P231" t="s">
        <v>125</v>
      </c>
      <c r="Q231" t="s">
        <v>125</v>
      </c>
      <c r="R231" t="s">
        <v>125</v>
      </c>
      <c r="S231" t="s">
        <v>125</v>
      </c>
      <c r="T231">
        <v>0</v>
      </c>
      <c r="V231" t="s">
        <v>125</v>
      </c>
      <c r="AE231" t="s">
        <v>125</v>
      </c>
      <c r="AF231">
        <v>0</v>
      </c>
      <c r="AG231" t="s">
        <v>125</v>
      </c>
      <c r="AH231">
        <v>0</v>
      </c>
      <c r="AK231">
        <v>0</v>
      </c>
    </row>
    <row r="232" spans="1:37" x14ac:dyDescent="0.25">
      <c r="A232" t="s">
        <v>79</v>
      </c>
      <c r="B232">
        <v>1</v>
      </c>
      <c r="C232">
        <v>3</v>
      </c>
      <c r="D232">
        <v>3</v>
      </c>
      <c r="E232">
        <v>9</v>
      </c>
      <c r="G232">
        <v>133</v>
      </c>
      <c r="H232" t="s">
        <v>63</v>
      </c>
      <c r="I232" t="s">
        <v>74</v>
      </c>
      <c r="J232" t="s">
        <v>149</v>
      </c>
      <c r="L232">
        <v>0</v>
      </c>
      <c r="M232" t="s">
        <v>125</v>
      </c>
      <c r="O232" t="s">
        <v>125</v>
      </c>
      <c r="P232" t="s">
        <v>125</v>
      </c>
      <c r="Q232" t="s">
        <v>125</v>
      </c>
      <c r="R232" t="s">
        <v>125</v>
      </c>
      <c r="S232" t="s">
        <v>125</v>
      </c>
      <c r="T232">
        <v>0</v>
      </c>
      <c r="V232" t="s">
        <v>125</v>
      </c>
      <c r="AE232" t="s">
        <v>125</v>
      </c>
      <c r="AF232">
        <v>0</v>
      </c>
      <c r="AG232" t="s">
        <v>125</v>
      </c>
      <c r="AH232">
        <v>0</v>
      </c>
      <c r="AK232">
        <v>0</v>
      </c>
    </row>
    <row r="233" spans="1:37" x14ac:dyDescent="0.25">
      <c r="A233" t="s">
        <v>79</v>
      </c>
      <c r="B233">
        <v>1</v>
      </c>
      <c r="C233">
        <v>3</v>
      </c>
      <c r="D233">
        <v>3</v>
      </c>
      <c r="E233">
        <v>10</v>
      </c>
      <c r="G233">
        <v>133</v>
      </c>
      <c r="H233" t="s">
        <v>63</v>
      </c>
      <c r="I233" t="s">
        <v>129</v>
      </c>
      <c r="J233" t="s">
        <v>150</v>
      </c>
      <c r="L233">
        <v>0</v>
      </c>
      <c r="M233" t="s">
        <v>125</v>
      </c>
      <c r="O233" t="s">
        <v>125</v>
      </c>
      <c r="P233" t="s">
        <v>125</v>
      </c>
      <c r="Q233" t="s">
        <v>125</v>
      </c>
      <c r="R233" t="s">
        <v>125</v>
      </c>
      <c r="S233" t="s">
        <v>125</v>
      </c>
      <c r="T233">
        <v>0</v>
      </c>
      <c r="V233" t="s">
        <v>125</v>
      </c>
      <c r="AE233" t="s">
        <v>125</v>
      </c>
      <c r="AF233">
        <v>0</v>
      </c>
      <c r="AG233" t="s">
        <v>125</v>
      </c>
      <c r="AH233">
        <v>0</v>
      </c>
      <c r="AK233">
        <v>0</v>
      </c>
    </row>
    <row r="234" spans="1:37" x14ac:dyDescent="0.25">
      <c r="A234" t="s">
        <v>79</v>
      </c>
      <c r="B234">
        <v>1</v>
      </c>
      <c r="C234">
        <v>3</v>
      </c>
      <c r="D234">
        <v>3</v>
      </c>
      <c r="E234">
        <v>11</v>
      </c>
      <c r="G234">
        <v>133</v>
      </c>
      <c r="H234" t="s">
        <v>63</v>
      </c>
      <c r="I234" t="s">
        <v>131</v>
      </c>
      <c r="J234" t="s">
        <v>151</v>
      </c>
      <c r="L234">
        <v>0</v>
      </c>
      <c r="M234" t="s">
        <v>125</v>
      </c>
      <c r="O234" t="s">
        <v>125</v>
      </c>
      <c r="P234" t="s">
        <v>125</v>
      </c>
      <c r="Q234" t="s">
        <v>125</v>
      </c>
      <c r="R234" t="s">
        <v>125</v>
      </c>
      <c r="S234" t="s">
        <v>125</v>
      </c>
      <c r="T234">
        <v>0</v>
      </c>
      <c r="V234" t="s">
        <v>125</v>
      </c>
      <c r="AE234" t="s">
        <v>125</v>
      </c>
      <c r="AF234">
        <v>0</v>
      </c>
      <c r="AG234" t="s">
        <v>125</v>
      </c>
      <c r="AH234">
        <v>0</v>
      </c>
      <c r="AK234">
        <v>0</v>
      </c>
    </row>
    <row r="235" spans="1:37" x14ac:dyDescent="0.25">
      <c r="A235" t="s">
        <v>79</v>
      </c>
      <c r="B235">
        <v>1</v>
      </c>
      <c r="C235">
        <v>3</v>
      </c>
      <c r="D235">
        <v>3</v>
      </c>
      <c r="E235">
        <v>12</v>
      </c>
      <c r="G235">
        <v>133</v>
      </c>
      <c r="H235" t="s">
        <v>63</v>
      </c>
      <c r="I235" t="s">
        <v>133</v>
      </c>
      <c r="J235" t="s">
        <v>152</v>
      </c>
      <c r="L235">
        <v>0</v>
      </c>
      <c r="M235" t="s">
        <v>125</v>
      </c>
      <c r="O235" t="s">
        <v>125</v>
      </c>
      <c r="P235" t="s">
        <v>125</v>
      </c>
      <c r="Q235" t="s">
        <v>125</v>
      </c>
      <c r="R235" t="s">
        <v>125</v>
      </c>
      <c r="S235" t="s">
        <v>125</v>
      </c>
      <c r="T235">
        <v>0</v>
      </c>
      <c r="V235" t="s">
        <v>125</v>
      </c>
      <c r="AE235" t="s">
        <v>125</v>
      </c>
      <c r="AF235">
        <v>0</v>
      </c>
      <c r="AG235" t="s">
        <v>125</v>
      </c>
      <c r="AH235">
        <v>0</v>
      </c>
      <c r="AK235">
        <v>0</v>
      </c>
    </row>
    <row r="236" spans="1:37" x14ac:dyDescent="0.25">
      <c r="A236" t="s">
        <v>79</v>
      </c>
      <c r="B236">
        <v>1</v>
      </c>
      <c r="C236">
        <v>3</v>
      </c>
      <c r="D236">
        <v>3</v>
      </c>
      <c r="E236">
        <v>13</v>
      </c>
      <c r="G236">
        <v>133</v>
      </c>
      <c r="H236" t="s">
        <v>63</v>
      </c>
      <c r="I236" t="s">
        <v>135</v>
      </c>
      <c r="J236" t="s">
        <v>153</v>
      </c>
      <c r="L236">
        <v>0</v>
      </c>
      <c r="M236" t="s">
        <v>125</v>
      </c>
      <c r="O236" t="s">
        <v>125</v>
      </c>
      <c r="P236" t="s">
        <v>125</v>
      </c>
      <c r="Q236" t="s">
        <v>125</v>
      </c>
      <c r="R236" t="s">
        <v>125</v>
      </c>
      <c r="S236" t="s">
        <v>125</v>
      </c>
      <c r="T236">
        <v>0</v>
      </c>
      <c r="V236" t="s">
        <v>125</v>
      </c>
      <c r="AE236" t="s">
        <v>125</v>
      </c>
      <c r="AF236">
        <v>0</v>
      </c>
      <c r="AG236" t="s">
        <v>125</v>
      </c>
      <c r="AH236">
        <v>0</v>
      </c>
      <c r="AK236">
        <v>0</v>
      </c>
    </row>
    <row r="237" spans="1:37" x14ac:dyDescent="0.25">
      <c r="A237" t="s">
        <v>79</v>
      </c>
      <c r="B237">
        <v>1</v>
      </c>
      <c r="C237">
        <v>3</v>
      </c>
      <c r="D237">
        <v>3</v>
      </c>
      <c r="E237">
        <v>14</v>
      </c>
      <c r="G237">
        <v>133</v>
      </c>
      <c r="H237" t="s">
        <v>63</v>
      </c>
      <c r="I237" t="s">
        <v>137</v>
      </c>
      <c r="J237" t="s">
        <v>154</v>
      </c>
      <c r="L237">
        <v>0</v>
      </c>
      <c r="M237" t="s">
        <v>125</v>
      </c>
      <c r="O237" t="s">
        <v>125</v>
      </c>
      <c r="P237" t="s">
        <v>125</v>
      </c>
      <c r="Q237" t="s">
        <v>125</v>
      </c>
      <c r="R237" t="s">
        <v>125</v>
      </c>
      <c r="S237" t="s">
        <v>125</v>
      </c>
      <c r="T237">
        <v>0</v>
      </c>
      <c r="V237" t="s">
        <v>125</v>
      </c>
      <c r="AE237" t="s">
        <v>125</v>
      </c>
      <c r="AF237">
        <v>0</v>
      </c>
      <c r="AG237" t="s">
        <v>125</v>
      </c>
      <c r="AH237">
        <v>0</v>
      </c>
      <c r="AK237">
        <v>0</v>
      </c>
    </row>
    <row r="238" spans="1:37" x14ac:dyDescent="0.25">
      <c r="A238" t="s">
        <v>79</v>
      </c>
      <c r="B238">
        <v>1</v>
      </c>
      <c r="C238">
        <v>3</v>
      </c>
      <c r="D238">
        <v>3</v>
      </c>
      <c r="E238">
        <v>15</v>
      </c>
      <c r="G238">
        <v>133</v>
      </c>
      <c r="H238" t="s">
        <v>63</v>
      </c>
      <c r="I238" t="s">
        <v>139</v>
      </c>
      <c r="J238" t="s">
        <v>155</v>
      </c>
      <c r="L238">
        <v>0</v>
      </c>
      <c r="M238" t="s">
        <v>125</v>
      </c>
      <c r="O238" t="s">
        <v>125</v>
      </c>
      <c r="P238" t="s">
        <v>125</v>
      </c>
      <c r="Q238" t="s">
        <v>125</v>
      </c>
      <c r="R238" t="s">
        <v>125</v>
      </c>
      <c r="S238" t="s">
        <v>125</v>
      </c>
      <c r="T238">
        <v>0</v>
      </c>
      <c r="V238" t="s">
        <v>125</v>
      </c>
      <c r="AE238" t="s">
        <v>125</v>
      </c>
      <c r="AF238">
        <v>0</v>
      </c>
      <c r="AG238" t="s">
        <v>125</v>
      </c>
      <c r="AH238">
        <v>0</v>
      </c>
      <c r="AK238">
        <v>0</v>
      </c>
    </row>
    <row r="239" spans="1:37" x14ac:dyDescent="0.25">
      <c r="L239">
        <v>0</v>
      </c>
    </row>
    <row r="240" spans="1:37" x14ac:dyDescent="0.25">
      <c r="A240" t="s">
        <v>70</v>
      </c>
      <c r="B240">
        <v>1</v>
      </c>
      <c r="C240">
        <v>3</v>
      </c>
      <c r="D240">
        <v>4</v>
      </c>
      <c r="G240">
        <v>13</v>
      </c>
      <c r="L240">
        <v>0</v>
      </c>
      <c r="M240" t="s">
        <v>125</v>
      </c>
      <c r="P240" t="s">
        <v>125</v>
      </c>
      <c r="R240" t="s">
        <v>125</v>
      </c>
      <c r="S240" t="s">
        <v>63</v>
      </c>
      <c r="V240" t="s">
        <v>125</v>
      </c>
      <c r="X240" t="s">
        <v>125</v>
      </c>
      <c r="Y240" t="s">
        <v>125</v>
      </c>
      <c r="Z240" t="s">
        <v>125</v>
      </c>
      <c r="AA240" t="s">
        <v>125</v>
      </c>
      <c r="AB240" t="s">
        <v>125</v>
      </c>
      <c r="AC240" t="s">
        <v>125</v>
      </c>
      <c r="AE240" t="s">
        <v>125</v>
      </c>
      <c r="AF240">
        <v>0</v>
      </c>
      <c r="AG240" t="s">
        <v>125</v>
      </c>
      <c r="AH240">
        <v>0</v>
      </c>
      <c r="AK240">
        <v>0</v>
      </c>
    </row>
    <row r="241" spans="1:37" x14ac:dyDescent="0.25">
      <c r="A241" t="s">
        <v>79</v>
      </c>
      <c r="B241">
        <v>1</v>
      </c>
      <c r="C241">
        <v>3</v>
      </c>
      <c r="D241">
        <v>4</v>
      </c>
      <c r="E241">
        <v>1</v>
      </c>
      <c r="G241">
        <v>134</v>
      </c>
      <c r="H241" t="s">
        <v>63</v>
      </c>
      <c r="I241" t="s">
        <v>80</v>
      </c>
      <c r="J241" t="s">
        <v>141</v>
      </c>
      <c r="L241">
        <v>0</v>
      </c>
      <c r="M241" t="s">
        <v>125</v>
      </c>
      <c r="O241" t="s">
        <v>125</v>
      </c>
      <c r="P241" t="s">
        <v>125</v>
      </c>
      <c r="Q241" t="s">
        <v>125</v>
      </c>
      <c r="R241" t="s">
        <v>125</v>
      </c>
      <c r="S241" t="s">
        <v>125</v>
      </c>
      <c r="T241">
        <v>0</v>
      </c>
      <c r="V241" t="s">
        <v>125</v>
      </c>
      <c r="AE241" t="s">
        <v>125</v>
      </c>
      <c r="AF241">
        <v>0</v>
      </c>
      <c r="AG241" t="s">
        <v>125</v>
      </c>
      <c r="AH241">
        <v>0</v>
      </c>
      <c r="AK241">
        <v>0</v>
      </c>
    </row>
    <row r="242" spans="1:37" x14ac:dyDescent="0.25">
      <c r="A242" t="s">
        <v>79</v>
      </c>
      <c r="B242">
        <v>1</v>
      </c>
      <c r="C242">
        <v>3</v>
      </c>
      <c r="D242">
        <v>4</v>
      </c>
      <c r="E242">
        <v>2</v>
      </c>
      <c r="G242">
        <v>134</v>
      </c>
      <c r="H242" t="s">
        <v>63</v>
      </c>
      <c r="I242" t="s">
        <v>88</v>
      </c>
      <c r="J242" t="s">
        <v>142</v>
      </c>
      <c r="L242">
        <v>0</v>
      </c>
      <c r="M242" t="s">
        <v>125</v>
      </c>
      <c r="O242" t="s">
        <v>125</v>
      </c>
      <c r="P242" t="s">
        <v>125</v>
      </c>
      <c r="Q242" t="s">
        <v>125</v>
      </c>
      <c r="R242" t="s">
        <v>125</v>
      </c>
      <c r="S242" t="s">
        <v>125</v>
      </c>
      <c r="T242">
        <v>0</v>
      </c>
      <c r="V242" t="s">
        <v>125</v>
      </c>
      <c r="AE242" t="s">
        <v>125</v>
      </c>
      <c r="AF242">
        <v>0</v>
      </c>
      <c r="AG242" t="s">
        <v>125</v>
      </c>
      <c r="AH242">
        <v>0</v>
      </c>
      <c r="AK242">
        <v>0</v>
      </c>
    </row>
    <row r="243" spans="1:37" x14ac:dyDescent="0.25">
      <c r="A243" t="s">
        <v>79</v>
      </c>
      <c r="B243">
        <v>1</v>
      </c>
      <c r="C243">
        <v>3</v>
      </c>
      <c r="D243">
        <v>4</v>
      </c>
      <c r="E243">
        <v>3</v>
      </c>
      <c r="G243">
        <v>134</v>
      </c>
      <c r="H243" t="s">
        <v>63</v>
      </c>
      <c r="I243" t="s">
        <v>95</v>
      </c>
      <c r="J243" t="s">
        <v>143</v>
      </c>
      <c r="L243">
        <v>0</v>
      </c>
      <c r="M243" t="s">
        <v>125</v>
      </c>
      <c r="O243" t="s">
        <v>125</v>
      </c>
      <c r="P243" t="s">
        <v>125</v>
      </c>
      <c r="Q243" t="s">
        <v>125</v>
      </c>
      <c r="R243" t="s">
        <v>125</v>
      </c>
      <c r="S243" t="s">
        <v>125</v>
      </c>
      <c r="T243">
        <v>0</v>
      </c>
      <c r="V243" t="s">
        <v>125</v>
      </c>
      <c r="AE243" t="s">
        <v>125</v>
      </c>
      <c r="AF243">
        <v>0</v>
      </c>
      <c r="AG243" t="s">
        <v>125</v>
      </c>
      <c r="AH243">
        <v>0</v>
      </c>
      <c r="AK243">
        <v>0</v>
      </c>
    </row>
    <row r="244" spans="1:37" x14ac:dyDescent="0.25">
      <c r="A244" t="s">
        <v>79</v>
      </c>
      <c r="B244">
        <v>1</v>
      </c>
      <c r="C244">
        <v>3</v>
      </c>
      <c r="D244">
        <v>4</v>
      </c>
      <c r="E244">
        <v>4</v>
      </c>
      <c r="G244">
        <v>134</v>
      </c>
      <c r="H244" t="s">
        <v>63</v>
      </c>
      <c r="I244" t="s">
        <v>102</v>
      </c>
      <c r="J244" t="s">
        <v>144</v>
      </c>
      <c r="L244">
        <v>0</v>
      </c>
      <c r="M244" t="s">
        <v>125</v>
      </c>
      <c r="O244" t="s">
        <v>125</v>
      </c>
      <c r="P244" t="s">
        <v>125</v>
      </c>
      <c r="Q244" t="s">
        <v>125</v>
      </c>
      <c r="R244" t="s">
        <v>125</v>
      </c>
      <c r="S244" t="s">
        <v>125</v>
      </c>
      <c r="T244">
        <v>0</v>
      </c>
      <c r="V244" t="s">
        <v>125</v>
      </c>
      <c r="AE244" t="s">
        <v>125</v>
      </c>
      <c r="AF244">
        <v>0</v>
      </c>
      <c r="AG244" t="s">
        <v>125</v>
      </c>
      <c r="AH244">
        <v>0</v>
      </c>
      <c r="AK244">
        <v>0</v>
      </c>
    </row>
    <row r="245" spans="1:37" x14ac:dyDescent="0.25">
      <c r="A245" t="s">
        <v>79</v>
      </c>
      <c r="B245">
        <v>1</v>
      </c>
      <c r="C245">
        <v>3</v>
      </c>
      <c r="D245">
        <v>4</v>
      </c>
      <c r="E245">
        <v>5</v>
      </c>
      <c r="G245">
        <v>134</v>
      </c>
      <c r="H245" t="s">
        <v>63</v>
      </c>
      <c r="I245" t="s">
        <v>109</v>
      </c>
      <c r="J245" t="s">
        <v>145</v>
      </c>
      <c r="L245">
        <v>0</v>
      </c>
      <c r="M245" t="s">
        <v>125</v>
      </c>
      <c r="O245" t="s">
        <v>125</v>
      </c>
      <c r="P245" t="s">
        <v>125</v>
      </c>
      <c r="Q245" t="s">
        <v>125</v>
      </c>
      <c r="R245" t="s">
        <v>125</v>
      </c>
      <c r="S245" t="s">
        <v>125</v>
      </c>
      <c r="T245">
        <v>0</v>
      </c>
      <c r="V245" t="s">
        <v>125</v>
      </c>
      <c r="AE245" t="s">
        <v>125</v>
      </c>
      <c r="AF245">
        <v>0</v>
      </c>
      <c r="AG245" t="s">
        <v>125</v>
      </c>
      <c r="AH245">
        <v>0</v>
      </c>
      <c r="AK245">
        <v>0</v>
      </c>
    </row>
    <row r="246" spans="1:37" x14ac:dyDescent="0.25">
      <c r="A246" t="s">
        <v>79</v>
      </c>
      <c r="B246">
        <v>1</v>
      </c>
      <c r="C246">
        <v>3</v>
      </c>
      <c r="D246">
        <v>4</v>
      </c>
      <c r="E246">
        <v>6</v>
      </c>
      <c r="G246">
        <v>134</v>
      </c>
      <c r="H246" t="s">
        <v>63</v>
      </c>
      <c r="I246" t="s">
        <v>116</v>
      </c>
      <c r="J246" t="s">
        <v>146</v>
      </c>
      <c r="L246">
        <v>0</v>
      </c>
      <c r="M246" t="s">
        <v>125</v>
      </c>
      <c r="O246" t="s">
        <v>125</v>
      </c>
      <c r="P246" t="s">
        <v>125</v>
      </c>
      <c r="Q246" t="s">
        <v>125</v>
      </c>
      <c r="R246" t="s">
        <v>125</v>
      </c>
      <c r="S246" t="s">
        <v>125</v>
      </c>
      <c r="T246">
        <v>0</v>
      </c>
      <c r="V246" t="s">
        <v>125</v>
      </c>
      <c r="AE246" t="s">
        <v>125</v>
      </c>
      <c r="AF246">
        <v>0</v>
      </c>
      <c r="AG246" t="s">
        <v>125</v>
      </c>
      <c r="AH246">
        <v>0</v>
      </c>
      <c r="AK246">
        <v>0</v>
      </c>
    </row>
    <row r="247" spans="1:37" x14ac:dyDescent="0.25">
      <c r="A247" t="s">
        <v>79</v>
      </c>
      <c r="B247">
        <v>1</v>
      </c>
      <c r="C247">
        <v>3</v>
      </c>
      <c r="D247">
        <v>4</v>
      </c>
      <c r="E247">
        <v>7</v>
      </c>
      <c r="G247">
        <v>134</v>
      </c>
      <c r="H247" t="s">
        <v>63</v>
      </c>
      <c r="I247" t="s">
        <v>123</v>
      </c>
      <c r="J247" t="s">
        <v>147</v>
      </c>
      <c r="L247">
        <v>0</v>
      </c>
      <c r="M247" t="s">
        <v>125</v>
      </c>
      <c r="O247" t="s">
        <v>125</v>
      </c>
      <c r="P247" t="s">
        <v>125</v>
      </c>
      <c r="Q247" t="s">
        <v>125</v>
      </c>
      <c r="R247" t="s">
        <v>125</v>
      </c>
      <c r="S247" t="s">
        <v>125</v>
      </c>
      <c r="T247">
        <v>0</v>
      </c>
      <c r="V247" t="s">
        <v>125</v>
      </c>
      <c r="AE247" t="s">
        <v>125</v>
      </c>
      <c r="AF247">
        <v>0</v>
      </c>
      <c r="AG247" t="s">
        <v>125</v>
      </c>
      <c r="AH247">
        <v>0</v>
      </c>
      <c r="AK247">
        <v>0</v>
      </c>
    </row>
    <row r="248" spans="1:37" x14ac:dyDescent="0.25">
      <c r="A248" t="s">
        <v>79</v>
      </c>
      <c r="B248">
        <v>1</v>
      </c>
      <c r="C248">
        <v>3</v>
      </c>
      <c r="D248">
        <v>4</v>
      </c>
      <c r="E248">
        <v>8</v>
      </c>
      <c r="G248">
        <v>134</v>
      </c>
      <c r="H248" t="s">
        <v>63</v>
      </c>
      <c r="I248" t="s">
        <v>126</v>
      </c>
      <c r="J248" t="s">
        <v>148</v>
      </c>
      <c r="L248">
        <v>0</v>
      </c>
      <c r="M248" t="s">
        <v>125</v>
      </c>
      <c r="O248" t="s">
        <v>125</v>
      </c>
      <c r="P248" t="s">
        <v>125</v>
      </c>
      <c r="Q248" t="s">
        <v>125</v>
      </c>
      <c r="R248" t="s">
        <v>125</v>
      </c>
      <c r="S248" t="s">
        <v>125</v>
      </c>
      <c r="T248">
        <v>0</v>
      </c>
      <c r="V248" t="s">
        <v>125</v>
      </c>
      <c r="AE248" t="s">
        <v>125</v>
      </c>
      <c r="AF248">
        <v>0</v>
      </c>
      <c r="AG248" t="s">
        <v>125</v>
      </c>
      <c r="AH248">
        <v>0</v>
      </c>
      <c r="AK248">
        <v>0</v>
      </c>
    </row>
    <row r="249" spans="1:37" x14ac:dyDescent="0.25">
      <c r="A249" t="s">
        <v>79</v>
      </c>
      <c r="B249">
        <v>1</v>
      </c>
      <c r="C249">
        <v>3</v>
      </c>
      <c r="D249">
        <v>4</v>
      </c>
      <c r="E249">
        <v>9</v>
      </c>
      <c r="G249">
        <v>134</v>
      </c>
      <c r="H249" t="s">
        <v>63</v>
      </c>
      <c r="I249" t="s">
        <v>74</v>
      </c>
      <c r="J249" t="s">
        <v>149</v>
      </c>
      <c r="L249">
        <v>0</v>
      </c>
      <c r="M249" t="s">
        <v>125</v>
      </c>
      <c r="O249" t="s">
        <v>125</v>
      </c>
      <c r="P249" t="s">
        <v>125</v>
      </c>
      <c r="Q249" t="s">
        <v>125</v>
      </c>
      <c r="R249" t="s">
        <v>125</v>
      </c>
      <c r="S249" t="s">
        <v>125</v>
      </c>
      <c r="T249">
        <v>0</v>
      </c>
      <c r="V249" t="s">
        <v>125</v>
      </c>
      <c r="AE249" t="s">
        <v>125</v>
      </c>
      <c r="AF249">
        <v>0</v>
      </c>
      <c r="AG249" t="s">
        <v>125</v>
      </c>
      <c r="AH249">
        <v>0</v>
      </c>
      <c r="AK249">
        <v>0</v>
      </c>
    </row>
    <row r="250" spans="1:37" x14ac:dyDescent="0.25">
      <c r="A250" t="s">
        <v>79</v>
      </c>
      <c r="B250">
        <v>1</v>
      </c>
      <c r="C250">
        <v>3</v>
      </c>
      <c r="D250">
        <v>4</v>
      </c>
      <c r="E250">
        <v>10</v>
      </c>
      <c r="G250">
        <v>134</v>
      </c>
      <c r="H250" t="s">
        <v>63</v>
      </c>
      <c r="I250" t="s">
        <v>129</v>
      </c>
      <c r="J250" t="s">
        <v>150</v>
      </c>
      <c r="L250">
        <v>0</v>
      </c>
      <c r="M250" t="s">
        <v>125</v>
      </c>
      <c r="O250" t="s">
        <v>125</v>
      </c>
      <c r="P250" t="s">
        <v>125</v>
      </c>
      <c r="Q250" t="s">
        <v>125</v>
      </c>
      <c r="R250" t="s">
        <v>125</v>
      </c>
      <c r="S250" t="s">
        <v>125</v>
      </c>
      <c r="T250">
        <v>0</v>
      </c>
      <c r="V250" t="s">
        <v>125</v>
      </c>
      <c r="AE250" t="s">
        <v>125</v>
      </c>
      <c r="AF250">
        <v>0</v>
      </c>
      <c r="AG250" t="s">
        <v>125</v>
      </c>
      <c r="AH250">
        <v>0</v>
      </c>
      <c r="AK250">
        <v>0</v>
      </c>
    </row>
    <row r="251" spans="1:37" x14ac:dyDescent="0.25">
      <c r="A251" t="s">
        <v>79</v>
      </c>
      <c r="B251">
        <v>1</v>
      </c>
      <c r="C251">
        <v>3</v>
      </c>
      <c r="D251">
        <v>4</v>
      </c>
      <c r="E251">
        <v>11</v>
      </c>
      <c r="G251">
        <v>134</v>
      </c>
      <c r="H251" t="s">
        <v>63</v>
      </c>
      <c r="I251" t="s">
        <v>131</v>
      </c>
      <c r="J251" t="s">
        <v>151</v>
      </c>
      <c r="L251">
        <v>0</v>
      </c>
      <c r="M251" t="s">
        <v>125</v>
      </c>
      <c r="O251" t="s">
        <v>125</v>
      </c>
      <c r="P251" t="s">
        <v>125</v>
      </c>
      <c r="Q251" t="s">
        <v>125</v>
      </c>
      <c r="R251" t="s">
        <v>125</v>
      </c>
      <c r="S251" t="s">
        <v>125</v>
      </c>
      <c r="T251">
        <v>0</v>
      </c>
      <c r="V251" t="s">
        <v>125</v>
      </c>
      <c r="AE251" t="s">
        <v>125</v>
      </c>
      <c r="AF251">
        <v>0</v>
      </c>
      <c r="AG251" t="s">
        <v>125</v>
      </c>
      <c r="AH251">
        <v>0</v>
      </c>
      <c r="AK251">
        <v>0</v>
      </c>
    </row>
    <row r="252" spans="1:37" x14ac:dyDescent="0.25">
      <c r="A252" t="s">
        <v>79</v>
      </c>
      <c r="B252">
        <v>1</v>
      </c>
      <c r="C252">
        <v>3</v>
      </c>
      <c r="D252">
        <v>4</v>
      </c>
      <c r="E252">
        <v>12</v>
      </c>
      <c r="G252">
        <v>134</v>
      </c>
      <c r="H252" t="s">
        <v>63</v>
      </c>
      <c r="I252" t="s">
        <v>133</v>
      </c>
      <c r="J252" t="s">
        <v>152</v>
      </c>
      <c r="L252">
        <v>0</v>
      </c>
      <c r="M252" t="s">
        <v>125</v>
      </c>
      <c r="O252" t="s">
        <v>125</v>
      </c>
      <c r="P252" t="s">
        <v>125</v>
      </c>
      <c r="Q252" t="s">
        <v>125</v>
      </c>
      <c r="R252" t="s">
        <v>125</v>
      </c>
      <c r="S252" t="s">
        <v>125</v>
      </c>
      <c r="T252">
        <v>0</v>
      </c>
      <c r="V252" t="s">
        <v>125</v>
      </c>
      <c r="AE252" t="s">
        <v>125</v>
      </c>
      <c r="AF252">
        <v>0</v>
      </c>
      <c r="AG252" t="s">
        <v>125</v>
      </c>
      <c r="AH252">
        <v>0</v>
      </c>
      <c r="AK252">
        <v>0</v>
      </c>
    </row>
    <row r="253" spans="1:37" x14ac:dyDescent="0.25">
      <c r="A253" t="s">
        <v>79</v>
      </c>
      <c r="B253">
        <v>1</v>
      </c>
      <c r="C253">
        <v>3</v>
      </c>
      <c r="D253">
        <v>4</v>
      </c>
      <c r="E253">
        <v>13</v>
      </c>
      <c r="G253">
        <v>134</v>
      </c>
      <c r="H253" t="s">
        <v>63</v>
      </c>
      <c r="I253" t="s">
        <v>135</v>
      </c>
      <c r="J253" t="s">
        <v>153</v>
      </c>
      <c r="L253">
        <v>0</v>
      </c>
      <c r="M253" t="s">
        <v>125</v>
      </c>
      <c r="O253" t="s">
        <v>125</v>
      </c>
      <c r="P253" t="s">
        <v>125</v>
      </c>
      <c r="Q253" t="s">
        <v>125</v>
      </c>
      <c r="R253" t="s">
        <v>125</v>
      </c>
      <c r="S253" t="s">
        <v>125</v>
      </c>
      <c r="T253">
        <v>0</v>
      </c>
      <c r="V253" t="s">
        <v>125</v>
      </c>
      <c r="AE253" t="s">
        <v>125</v>
      </c>
      <c r="AF253">
        <v>0</v>
      </c>
      <c r="AG253" t="s">
        <v>125</v>
      </c>
      <c r="AH253">
        <v>0</v>
      </c>
      <c r="AK253">
        <v>0</v>
      </c>
    </row>
    <row r="254" spans="1:37" x14ac:dyDescent="0.25">
      <c r="A254" t="s">
        <v>79</v>
      </c>
      <c r="B254">
        <v>1</v>
      </c>
      <c r="C254">
        <v>3</v>
      </c>
      <c r="D254">
        <v>4</v>
      </c>
      <c r="E254">
        <v>14</v>
      </c>
      <c r="G254">
        <v>134</v>
      </c>
      <c r="H254" t="s">
        <v>63</v>
      </c>
      <c r="I254" t="s">
        <v>137</v>
      </c>
      <c r="J254" t="s">
        <v>154</v>
      </c>
      <c r="L254">
        <v>0</v>
      </c>
      <c r="M254" t="s">
        <v>125</v>
      </c>
      <c r="O254" t="s">
        <v>125</v>
      </c>
      <c r="P254" t="s">
        <v>125</v>
      </c>
      <c r="Q254" t="s">
        <v>125</v>
      </c>
      <c r="R254" t="s">
        <v>125</v>
      </c>
      <c r="S254" t="s">
        <v>125</v>
      </c>
      <c r="T254">
        <v>0</v>
      </c>
      <c r="V254" t="s">
        <v>125</v>
      </c>
      <c r="AE254" t="s">
        <v>125</v>
      </c>
      <c r="AF254">
        <v>0</v>
      </c>
      <c r="AG254" t="s">
        <v>125</v>
      </c>
      <c r="AH254">
        <v>0</v>
      </c>
      <c r="AK254">
        <v>0</v>
      </c>
    </row>
    <row r="255" spans="1:37" x14ac:dyDescent="0.25">
      <c r="A255" t="s">
        <v>79</v>
      </c>
      <c r="B255">
        <v>1</v>
      </c>
      <c r="C255">
        <v>3</v>
      </c>
      <c r="D255">
        <v>4</v>
      </c>
      <c r="E255">
        <v>15</v>
      </c>
      <c r="G255">
        <v>134</v>
      </c>
      <c r="H255" t="s">
        <v>63</v>
      </c>
      <c r="I255" t="s">
        <v>139</v>
      </c>
      <c r="J255" t="s">
        <v>155</v>
      </c>
      <c r="L255">
        <v>0</v>
      </c>
      <c r="M255" t="s">
        <v>125</v>
      </c>
      <c r="O255" t="s">
        <v>125</v>
      </c>
      <c r="P255" t="s">
        <v>125</v>
      </c>
      <c r="Q255" t="s">
        <v>125</v>
      </c>
      <c r="R255" t="s">
        <v>125</v>
      </c>
      <c r="S255" t="s">
        <v>125</v>
      </c>
      <c r="T255">
        <v>0</v>
      </c>
      <c r="V255" t="s">
        <v>125</v>
      </c>
      <c r="AE255" t="s">
        <v>125</v>
      </c>
      <c r="AF255">
        <v>0</v>
      </c>
      <c r="AG255" t="s">
        <v>125</v>
      </c>
      <c r="AH255">
        <v>0</v>
      </c>
      <c r="AK255">
        <v>0</v>
      </c>
    </row>
    <row r="256" spans="1:37" x14ac:dyDescent="0.25">
      <c r="L256">
        <v>0</v>
      </c>
    </row>
    <row r="257" spans="1:37" x14ac:dyDescent="0.25">
      <c r="A257" t="s">
        <v>70</v>
      </c>
      <c r="B257">
        <v>1</v>
      </c>
      <c r="C257">
        <v>3</v>
      </c>
      <c r="D257">
        <v>5</v>
      </c>
      <c r="G257">
        <v>13</v>
      </c>
      <c r="L257">
        <v>0</v>
      </c>
      <c r="M257" t="s">
        <v>125</v>
      </c>
      <c r="P257" t="s">
        <v>125</v>
      </c>
      <c r="R257" t="s">
        <v>125</v>
      </c>
      <c r="S257" t="s">
        <v>63</v>
      </c>
      <c r="V257" t="s">
        <v>125</v>
      </c>
      <c r="X257" t="s">
        <v>125</v>
      </c>
      <c r="Y257" t="s">
        <v>125</v>
      </c>
      <c r="Z257" t="s">
        <v>125</v>
      </c>
      <c r="AA257" t="s">
        <v>125</v>
      </c>
      <c r="AB257" t="s">
        <v>125</v>
      </c>
      <c r="AC257" t="s">
        <v>125</v>
      </c>
      <c r="AE257" t="s">
        <v>125</v>
      </c>
      <c r="AF257">
        <v>0</v>
      </c>
      <c r="AG257" t="s">
        <v>125</v>
      </c>
      <c r="AH257">
        <v>0</v>
      </c>
      <c r="AK257">
        <v>0</v>
      </c>
    </row>
    <row r="258" spans="1:37" x14ac:dyDescent="0.25">
      <c r="A258" t="s">
        <v>79</v>
      </c>
      <c r="B258">
        <v>1</v>
      </c>
      <c r="C258">
        <v>3</v>
      </c>
      <c r="D258">
        <v>5</v>
      </c>
      <c r="E258">
        <v>1</v>
      </c>
      <c r="G258">
        <v>135</v>
      </c>
      <c r="H258" t="s">
        <v>63</v>
      </c>
      <c r="I258" t="s">
        <v>80</v>
      </c>
      <c r="J258" t="s">
        <v>141</v>
      </c>
      <c r="L258">
        <v>0</v>
      </c>
      <c r="M258" t="s">
        <v>125</v>
      </c>
      <c r="O258" t="s">
        <v>125</v>
      </c>
      <c r="P258" t="s">
        <v>125</v>
      </c>
      <c r="Q258" t="s">
        <v>125</v>
      </c>
      <c r="R258" t="s">
        <v>125</v>
      </c>
      <c r="S258" t="s">
        <v>125</v>
      </c>
      <c r="T258">
        <v>0</v>
      </c>
      <c r="V258" t="s">
        <v>125</v>
      </c>
      <c r="AE258" t="s">
        <v>125</v>
      </c>
      <c r="AF258">
        <v>0</v>
      </c>
      <c r="AG258" t="s">
        <v>125</v>
      </c>
      <c r="AH258">
        <v>0</v>
      </c>
      <c r="AK258">
        <v>0</v>
      </c>
    </row>
    <row r="259" spans="1:37" x14ac:dyDescent="0.25">
      <c r="A259" t="s">
        <v>79</v>
      </c>
      <c r="B259">
        <v>1</v>
      </c>
      <c r="C259">
        <v>3</v>
      </c>
      <c r="D259">
        <v>5</v>
      </c>
      <c r="E259">
        <v>2</v>
      </c>
      <c r="G259">
        <v>135</v>
      </c>
      <c r="H259" t="s">
        <v>63</v>
      </c>
      <c r="I259" t="s">
        <v>88</v>
      </c>
      <c r="J259" t="s">
        <v>142</v>
      </c>
      <c r="L259">
        <v>0</v>
      </c>
      <c r="M259" t="s">
        <v>125</v>
      </c>
      <c r="O259" t="s">
        <v>125</v>
      </c>
      <c r="P259" t="s">
        <v>125</v>
      </c>
      <c r="Q259" t="s">
        <v>125</v>
      </c>
      <c r="R259" t="s">
        <v>125</v>
      </c>
      <c r="S259" t="s">
        <v>125</v>
      </c>
      <c r="T259">
        <v>0</v>
      </c>
      <c r="V259" t="s">
        <v>125</v>
      </c>
      <c r="AE259" t="s">
        <v>125</v>
      </c>
      <c r="AF259">
        <v>0</v>
      </c>
      <c r="AG259" t="s">
        <v>125</v>
      </c>
      <c r="AH259">
        <v>0</v>
      </c>
      <c r="AK259">
        <v>0</v>
      </c>
    </row>
    <row r="260" spans="1:37" x14ac:dyDescent="0.25">
      <c r="A260" t="s">
        <v>79</v>
      </c>
      <c r="B260">
        <v>1</v>
      </c>
      <c r="C260">
        <v>3</v>
      </c>
      <c r="D260">
        <v>5</v>
      </c>
      <c r="E260">
        <v>3</v>
      </c>
      <c r="G260">
        <v>135</v>
      </c>
      <c r="H260" t="s">
        <v>63</v>
      </c>
      <c r="I260" t="s">
        <v>95</v>
      </c>
      <c r="J260" t="s">
        <v>143</v>
      </c>
      <c r="L260">
        <v>0</v>
      </c>
      <c r="M260" t="s">
        <v>125</v>
      </c>
      <c r="O260" t="s">
        <v>125</v>
      </c>
      <c r="P260" t="s">
        <v>125</v>
      </c>
      <c r="Q260" t="s">
        <v>125</v>
      </c>
      <c r="R260" t="s">
        <v>125</v>
      </c>
      <c r="S260" t="s">
        <v>125</v>
      </c>
      <c r="T260">
        <v>0</v>
      </c>
      <c r="V260" t="s">
        <v>125</v>
      </c>
      <c r="AE260" t="s">
        <v>125</v>
      </c>
      <c r="AF260">
        <v>0</v>
      </c>
      <c r="AG260" t="s">
        <v>125</v>
      </c>
      <c r="AH260">
        <v>0</v>
      </c>
      <c r="AK260">
        <v>0</v>
      </c>
    </row>
    <row r="261" spans="1:37" x14ac:dyDescent="0.25">
      <c r="A261" t="s">
        <v>79</v>
      </c>
      <c r="B261">
        <v>1</v>
      </c>
      <c r="C261">
        <v>3</v>
      </c>
      <c r="D261">
        <v>5</v>
      </c>
      <c r="E261">
        <v>4</v>
      </c>
      <c r="G261">
        <v>135</v>
      </c>
      <c r="H261" t="s">
        <v>63</v>
      </c>
      <c r="I261" t="s">
        <v>102</v>
      </c>
      <c r="J261" t="s">
        <v>144</v>
      </c>
      <c r="L261">
        <v>0</v>
      </c>
      <c r="M261" t="s">
        <v>125</v>
      </c>
      <c r="O261" t="s">
        <v>125</v>
      </c>
      <c r="P261" t="s">
        <v>125</v>
      </c>
      <c r="Q261" t="s">
        <v>125</v>
      </c>
      <c r="R261" t="s">
        <v>125</v>
      </c>
      <c r="S261" t="s">
        <v>125</v>
      </c>
      <c r="T261">
        <v>0</v>
      </c>
      <c r="V261" t="s">
        <v>125</v>
      </c>
      <c r="AE261" t="s">
        <v>125</v>
      </c>
      <c r="AF261">
        <v>0</v>
      </c>
      <c r="AG261" t="s">
        <v>125</v>
      </c>
      <c r="AH261">
        <v>0</v>
      </c>
      <c r="AK261">
        <v>0</v>
      </c>
    </row>
    <row r="262" spans="1:37" x14ac:dyDescent="0.25">
      <c r="A262" t="s">
        <v>79</v>
      </c>
      <c r="B262">
        <v>1</v>
      </c>
      <c r="C262">
        <v>3</v>
      </c>
      <c r="D262">
        <v>5</v>
      </c>
      <c r="E262">
        <v>5</v>
      </c>
      <c r="G262">
        <v>135</v>
      </c>
      <c r="H262" t="s">
        <v>63</v>
      </c>
      <c r="I262" t="s">
        <v>109</v>
      </c>
      <c r="J262" t="s">
        <v>145</v>
      </c>
      <c r="L262">
        <v>0</v>
      </c>
      <c r="M262" t="s">
        <v>125</v>
      </c>
      <c r="O262" t="s">
        <v>125</v>
      </c>
      <c r="P262" t="s">
        <v>125</v>
      </c>
      <c r="Q262" t="s">
        <v>125</v>
      </c>
      <c r="R262" t="s">
        <v>125</v>
      </c>
      <c r="S262" t="s">
        <v>125</v>
      </c>
      <c r="T262">
        <v>0</v>
      </c>
      <c r="V262" t="s">
        <v>125</v>
      </c>
      <c r="AE262" t="s">
        <v>125</v>
      </c>
      <c r="AF262">
        <v>0</v>
      </c>
      <c r="AG262" t="s">
        <v>125</v>
      </c>
      <c r="AH262">
        <v>0</v>
      </c>
      <c r="AK262">
        <v>0</v>
      </c>
    </row>
    <row r="263" spans="1:37" x14ac:dyDescent="0.25">
      <c r="A263" t="s">
        <v>79</v>
      </c>
      <c r="B263">
        <v>1</v>
      </c>
      <c r="C263">
        <v>3</v>
      </c>
      <c r="D263">
        <v>5</v>
      </c>
      <c r="E263">
        <v>6</v>
      </c>
      <c r="G263">
        <v>135</v>
      </c>
      <c r="H263" t="s">
        <v>63</v>
      </c>
      <c r="I263" t="s">
        <v>116</v>
      </c>
      <c r="J263" t="s">
        <v>146</v>
      </c>
      <c r="L263">
        <v>0</v>
      </c>
      <c r="M263" t="s">
        <v>125</v>
      </c>
      <c r="O263" t="s">
        <v>125</v>
      </c>
      <c r="P263" t="s">
        <v>125</v>
      </c>
      <c r="Q263" t="s">
        <v>125</v>
      </c>
      <c r="R263" t="s">
        <v>125</v>
      </c>
      <c r="S263" t="s">
        <v>125</v>
      </c>
      <c r="T263">
        <v>0</v>
      </c>
      <c r="V263" t="s">
        <v>125</v>
      </c>
      <c r="AE263" t="s">
        <v>125</v>
      </c>
      <c r="AF263">
        <v>0</v>
      </c>
      <c r="AG263" t="s">
        <v>125</v>
      </c>
      <c r="AH263">
        <v>0</v>
      </c>
      <c r="AK263">
        <v>0</v>
      </c>
    </row>
    <row r="264" spans="1:37" x14ac:dyDescent="0.25">
      <c r="A264" t="s">
        <v>79</v>
      </c>
      <c r="B264">
        <v>1</v>
      </c>
      <c r="C264">
        <v>3</v>
      </c>
      <c r="D264">
        <v>5</v>
      </c>
      <c r="E264">
        <v>7</v>
      </c>
      <c r="G264">
        <v>135</v>
      </c>
      <c r="H264" t="s">
        <v>63</v>
      </c>
      <c r="I264" t="s">
        <v>123</v>
      </c>
      <c r="J264" t="s">
        <v>147</v>
      </c>
      <c r="L264">
        <v>0</v>
      </c>
      <c r="M264" t="s">
        <v>125</v>
      </c>
      <c r="O264" t="s">
        <v>125</v>
      </c>
      <c r="P264" t="s">
        <v>125</v>
      </c>
      <c r="Q264" t="s">
        <v>125</v>
      </c>
      <c r="R264" t="s">
        <v>125</v>
      </c>
      <c r="S264" t="s">
        <v>125</v>
      </c>
      <c r="T264">
        <v>0</v>
      </c>
      <c r="V264" t="s">
        <v>125</v>
      </c>
      <c r="AE264" t="s">
        <v>125</v>
      </c>
      <c r="AF264">
        <v>0</v>
      </c>
      <c r="AG264" t="s">
        <v>125</v>
      </c>
      <c r="AH264">
        <v>0</v>
      </c>
      <c r="AK264">
        <v>0</v>
      </c>
    </row>
    <row r="265" spans="1:37" x14ac:dyDescent="0.25">
      <c r="A265" t="s">
        <v>79</v>
      </c>
      <c r="B265">
        <v>1</v>
      </c>
      <c r="C265">
        <v>3</v>
      </c>
      <c r="D265">
        <v>5</v>
      </c>
      <c r="E265">
        <v>8</v>
      </c>
      <c r="G265">
        <v>135</v>
      </c>
      <c r="H265" t="s">
        <v>63</v>
      </c>
      <c r="I265" t="s">
        <v>126</v>
      </c>
      <c r="J265" t="s">
        <v>148</v>
      </c>
      <c r="L265">
        <v>0</v>
      </c>
      <c r="M265" t="s">
        <v>125</v>
      </c>
      <c r="O265" t="s">
        <v>125</v>
      </c>
      <c r="P265" t="s">
        <v>125</v>
      </c>
      <c r="Q265" t="s">
        <v>125</v>
      </c>
      <c r="R265" t="s">
        <v>125</v>
      </c>
      <c r="S265" t="s">
        <v>125</v>
      </c>
      <c r="T265">
        <v>0</v>
      </c>
      <c r="V265" t="s">
        <v>125</v>
      </c>
      <c r="AE265" t="s">
        <v>125</v>
      </c>
      <c r="AF265">
        <v>0</v>
      </c>
      <c r="AG265" t="s">
        <v>125</v>
      </c>
      <c r="AH265">
        <v>0</v>
      </c>
      <c r="AK265">
        <v>0</v>
      </c>
    </row>
    <row r="266" spans="1:37" x14ac:dyDescent="0.25">
      <c r="A266" t="s">
        <v>79</v>
      </c>
      <c r="B266">
        <v>1</v>
      </c>
      <c r="C266">
        <v>3</v>
      </c>
      <c r="D266">
        <v>5</v>
      </c>
      <c r="E266">
        <v>9</v>
      </c>
      <c r="G266">
        <v>135</v>
      </c>
      <c r="H266" t="s">
        <v>63</v>
      </c>
      <c r="I266" t="s">
        <v>74</v>
      </c>
      <c r="J266" t="s">
        <v>149</v>
      </c>
      <c r="L266">
        <v>0</v>
      </c>
      <c r="M266" t="s">
        <v>125</v>
      </c>
      <c r="O266" t="s">
        <v>125</v>
      </c>
      <c r="P266" t="s">
        <v>125</v>
      </c>
      <c r="Q266" t="s">
        <v>125</v>
      </c>
      <c r="R266" t="s">
        <v>125</v>
      </c>
      <c r="S266" t="s">
        <v>125</v>
      </c>
      <c r="T266">
        <v>0</v>
      </c>
      <c r="V266" t="s">
        <v>125</v>
      </c>
      <c r="AE266" t="s">
        <v>125</v>
      </c>
      <c r="AF266">
        <v>0</v>
      </c>
      <c r="AG266" t="s">
        <v>125</v>
      </c>
      <c r="AH266">
        <v>0</v>
      </c>
      <c r="AK266">
        <v>0</v>
      </c>
    </row>
    <row r="267" spans="1:37" x14ac:dyDescent="0.25">
      <c r="A267" t="s">
        <v>79</v>
      </c>
      <c r="B267">
        <v>1</v>
      </c>
      <c r="C267">
        <v>3</v>
      </c>
      <c r="D267">
        <v>5</v>
      </c>
      <c r="E267">
        <v>10</v>
      </c>
      <c r="G267">
        <v>135</v>
      </c>
      <c r="H267" t="s">
        <v>63</v>
      </c>
      <c r="I267" t="s">
        <v>129</v>
      </c>
      <c r="J267" t="s">
        <v>150</v>
      </c>
      <c r="L267">
        <v>0</v>
      </c>
      <c r="M267" t="s">
        <v>125</v>
      </c>
      <c r="O267" t="s">
        <v>125</v>
      </c>
      <c r="P267" t="s">
        <v>125</v>
      </c>
      <c r="Q267" t="s">
        <v>125</v>
      </c>
      <c r="R267" t="s">
        <v>125</v>
      </c>
      <c r="S267" t="s">
        <v>125</v>
      </c>
      <c r="T267">
        <v>0</v>
      </c>
      <c r="V267" t="s">
        <v>125</v>
      </c>
      <c r="AE267" t="s">
        <v>125</v>
      </c>
      <c r="AF267">
        <v>0</v>
      </c>
      <c r="AG267" t="s">
        <v>125</v>
      </c>
      <c r="AH267">
        <v>0</v>
      </c>
      <c r="AK267">
        <v>0</v>
      </c>
    </row>
    <row r="268" spans="1:37" x14ac:dyDescent="0.25">
      <c r="A268" t="s">
        <v>79</v>
      </c>
      <c r="B268">
        <v>1</v>
      </c>
      <c r="C268">
        <v>3</v>
      </c>
      <c r="D268">
        <v>5</v>
      </c>
      <c r="E268">
        <v>11</v>
      </c>
      <c r="G268">
        <v>135</v>
      </c>
      <c r="H268" t="s">
        <v>63</v>
      </c>
      <c r="I268" t="s">
        <v>131</v>
      </c>
      <c r="J268" t="s">
        <v>151</v>
      </c>
      <c r="L268">
        <v>0</v>
      </c>
      <c r="M268" t="s">
        <v>125</v>
      </c>
      <c r="O268" t="s">
        <v>125</v>
      </c>
      <c r="P268" t="s">
        <v>125</v>
      </c>
      <c r="Q268" t="s">
        <v>125</v>
      </c>
      <c r="R268" t="s">
        <v>125</v>
      </c>
      <c r="S268" t="s">
        <v>125</v>
      </c>
      <c r="T268">
        <v>0</v>
      </c>
      <c r="V268" t="s">
        <v>125</v>
      </c>
      <c r="AE268" t="s">
        <v>125</v>
      </c>
      <c r="AF268">
        <v>0</v>
      </c>
      <c r="AG268" t="s">
        <v>125</v>
      </c>
      <c r="AH268">
        <v>0</v>
      </c>
      <c r="AK268">
        <v>0</v>
      </c>
    </row>
    <row r="269" spans="1:37" x14ac:dyDescent="0.25">
      <c r="A269" t="s">
        <v>79</v>
      </c>
      <c r="B269">
        <v>1</v>
      </c>
      <c r="C269">
        <v>3</v>
      </c>
      <c r="D269">
        <v>5</v>
      </c>
      <c r="E269">
        <v>12</v>
      </c>
      <c r="G269">
        <v>135</v>
      </c>
      <c r="H269" t="s">
        <v>63</v>
      </c>
      <c r="I269" t="s">
        <v>133</v>
      </c>
      <c r="J269" t="s">
        <v>152</v>
      </c>
      <c r="L269">
        <v>0</v>
      </c>
      <c r="M269" t="s">
        <v>125</v>
      </c>
      <c r="O269" t="s">
        <v>125</v>
      </c>
      <c r="P269" t="s">
        <v>125</v>
      </c>
      <c r="Q269" t="s">
        <v>125</v>
      </c>
      <c r="R269" t="s">
        <v>125</v>
      </c>
      <c r="S269" t="s">
        <v>125</v>
      </c>
      <c r="T269">
        <v>0</v>
      </c>
      <c r="V269" t="s">
        <v>125</v>
      </c>
      <c r="AE269" t="s">
        <v>125</v>
      </c>
      <c r="AF269">
        <v>0</v>
      </c>
      <c r="AG269" t="s">
        <v>125</v>
      </c>
      <c r="AH269">
        <v>0</v>
      </c>
      <c r="AK269">
        <v>0</v>
      </c>
    </row>
    <row r="270" spans="1:37" x14ac:dyDescent="0.25">
      <c r="A270" t="s">
        <v>79</v>
      </c>
      <c r="B270">
        <v>1</v>
      </c>
      <c r="C270">
        <v>3</v>
      </c>
      <c r="D270">
        <v>5</v>
      </c>
      <c r="E270">
        <v>13</v>
      </c>
      <c r="G270">
        <v>135</v>
      </c>
      <c r="H270" t="s">
        <v>63</v>
      </c>
      <c r="I270" t="s">
        <v>135</v>
      </c>
      <c r="J270" t="s">
        <v>153</v>
      </c>
      <c r="L270">
        <v>0</v>
      </c>
      <c r="M270" t="s">
        <v>125</v>
      </c>
      <c r="O270" t="s">
        <v>125</v>
      </c>
      <c r="P270" t="s">
        <v>125</v>
      </c>
      <c r="Q270" t="s">
        <v>125</v>
      </c>
      <c r="R270" t="s">
        <v>125</v>
      </c>
      <c r="S270" t="s">
        <v>125</v>
      </c>
      <c r="T270">
        <v>0</v>
      </c>
      <c r="V270" t="s">
        <v>125</v>
      </c>
      <c r="AE270" t="s">
        <v>125</v>
      </c>
      <c r="AF270">
        <v>0</v>
      </c>
      <c r="AG270" t="s">
        <v>125</v>
      </c>
      <c r="AH270">
        <v>0</v>
      </c>
      <c r="AK270">
        <v>0</v>
      </c>
    </row>
    <row r="271" spans="1:37" x14ac:dyDescent="0.25">
      <c r="A271" t="s">
        <v>79</v>
      </c>
      <c r="B271">
        <v>1</v>
      </c>
      <c r="C271">
        <v>3</v>
      </c>
      <c r="D271">
        <v>5</v>
      </c>
      <c r="E271">
        <v>14</v>
      </c>
      <c r="G271">
        <v>135</v>
      </c>
      <c r="H271" t="s">
        <v>63</v>
      </c>
      <c r="I271" t="s">
        <v>137</v>
      </c>
      <c r="J271" t="s">
        <v>154</v>
      </c>
      <c r="L271">
        <v>0</v>
      </c>
      <c r="M271" t="s">
        <v>125</v>
      </c>
      <c r="O271" t="s">
        <v>125</v>
      </c>
      <c r="P271" t="s">
        <v>125</v>
      </c>
      <c r="Q271" t="s">
        <v>125</v>
      </c>
      <c r="R271" t="s">
        <v>125</v>
      </c>
      <c r="S271" t="s">
        <v>125</v>
      </c>
      <c r="T271">
        <v>0</v>
      </c>
      <c r="V271" t="s">
        <v>125</v>
      </c>
      <c r="AE271" t="s">
        <v>125</v>
      </c>
      <c r="AF271">
        <v>0</v>
      </c>
      <c r="AG271" t="s">
        <v>125</v>
      </c>
      <c r="AH271">
        <v>0</v>
      </c>
      <c r="AK271">
        <v>0</v>
      </c>
    </row>
    <row r="272" spans="1:37" x14ac:dyDescent="0.25">
      <c r="A272" t="s">
        <v>79</v>
      </c>
      <c r="B272">
        <v>1</v>
      </c>
      <c r="C272">
        <v>3</v>
      </c>
      <c r="D272">
        <v>5</v>
      </c>
      <c r="E272">
        <v>15</v>
      </c>
      <c r="G272">
        <v>135</v>
      </c>
      <c r="H272" t="s">
        <v>63</v>
      </c>
      <c r="I272" t="s">
        <v>139</v>
      </c>
      <c r="J272" t="s">
        <v>155</v>
      </c>
      <c r="L272">
        <v>0</v>
      </c>
      <c r="M272" t="s">
        <v>125</v>
      </c>
      <c r="O272" t="s">
        <v>125</v>
      </c>
      <c r="P272" t="s">
        <v>125</v>
      </c>
      <c r="Q272" t="s">
        <v>125</v>
      </c>
      <c r="R272" t="s">
        <v>125</v>
      </c>
      <c r="S272" t="s">
        <v>125</v>
      </c>
      <c r="T272">
        <v>0</v>
      </c>
      <c r="V272" t="s">
        <v>125</v>
      </c>
      <c r="AE272" t="s">
        <v>125</v>
      </c>
      <c r="AF272">
        <v>0</v>
      </c>
      <c r="AG272" t="s">
        <v>125</v>
      </c>
      <c r="AH272">
        <v>0</v>
      </c>
      <c r="AK272">
        <v>0</v>
      </c>
    </row>
    <row r="273" spans="1:37" x14ac:dyDescent="0.25">
      <c r="L273">
        <v>0</v>
      </c>
    </row>
    <row r="274" spans="1:37" x14ac:dyDescent="0.25">
      <c r="L274">
        <v>0</v>
      </c>
    </row>
    <row r="275" spans="1:37" x14ac:dyDescent="0.25">
      <c r="A275" t="s">
        <v>56</v>
      </c>
      <c r="F275">
        <v>2</v>
      </c>
      <c r="L275">
        <v>2</v>
      </c>
      <c r="M275" t="s">
        <v>80</v>
      </c>
      <c r="N275" t="s">
        <v>158</v>
      </c>
      <c r="P275" t="s">
        <v>159</v>
      </c>
      <c r="V275" t="s">
        <v>160</v>
      </c>
      <c r="Y275" t="s">
        <v>161</v>
      </c>
      <c r="AA275" t="s">
        <v>162</v>
      </c>
      <c r="AC275" t="s">
        <v>163</v>
      </c>
      <c r="AE275" t="s">
        <v>164</v>
      </c>
      <c r="AF275">
        <v>0</v>
      </c>
      <c r="AG275" t="s">
        <v>165</v>
      </c>
      <c r="AH275">
        <v>0</v>
      </c>
      <c r="AK275">
        <v>0</v>
      </c>
    </row>
    <row r="276" spans="1:37" x14ac:dyDescent="0.25">
      <c r="L276">
        <v>0</v>
      </c>
    </row>
    <row r="277" spans="1:37" x14ac:dyDescent="0.25">
      <c r="A277" t="s">
        <v>66</v>
      </c>
      <c r="B277">
        <v>2</v>
      </c>
      <c r="C277">
        <v>1</v>
      </c>
      <c r="G277">
        <v>2</v>
      </c>
      <c r="H277" t="s">
        <v>158</v>
      </c>
      <c r="I277" t="s">
        <v>166</v>
      </c>
      <c r="M277" t="s">
        <v>167</v>
      </c>
      <c r="N277" t="s">
        <v>166</v>
      </c>
      <c r="P277" t="s">
        <v>168</v>
      </c>
      <c r="V277" t="s">
        <v>169</v>
      </c>
      <c r="Y277" t="s">
        <v>170</v>
      </c>
      <c r="AA277" t="s">
        <v>171</v>
      </c>
      <c r="AC277" t="s">
        <v>172</v>
      </c>
      <c r="AE277" t="s">
        <v>173</v>
      </c>
      <c r="AF277">
        <v>0</v>
      </c>
      <c r="AG277" t="s">
        <v>174</v>
      </c>
      <c r="AH277">
        <v>0</v>
      </c>
      <c r="AK277">
        <v>0</v>
      </c>
    </row>
    <row r="278" spans="1:37" x14ac:dyDescent="0.25">
      <c r="L278">
        <v>0</v>
      </c>
    </row>
    <row r="279" spans="1:37" x14ac:dyDescent="0.25">
      <c r="A279" t="s">
        <v>70</v>
      </c>
      <c r="B279">
        <v>2</v>
      </c>
      <c r="C279">
        <v>1</v>
      </c>
      <c r="D279">
        <v>1</v>
      </c>
      <c r="G279">
        <v>21</v>
      </c>
      <c r="M279" t="s">
        <v>175</v>
      </c>
      <c r="O279" t="s">
        <v>176</v>
      </c>
      <c r="P279" t="s">
        <v>177</v>
      </c>
      <c r="Q279" t="s">
        <v>178</v>
      </c>
      <c r="R279" t="s">
        <v>179</v>
      </c>
      <c r="S279" t="s">
        <v>180</v>
      </c>
      <c r="V279" t="s">
        <v>181</v>
      </c>
      <c r="X279" t="s">
        <v>182</v>
      </c>
      <c r="Y279" t="s">
        <v>183</v>
      </c>
      <c r="Z279" t="s">
        <v>184</v>
      </c>
      <c r="AA279" t="s">
        <v>185</v>
      </c>
      <c r="AB279" t="s">
        <v>63</v>
      </c>
      <c r="AC279" t="s">
        <v>63</v>
      </c>
      <c r="AE279" t="s">
        <v>186</v>
      </c>
      <c r="AF279">
        <v>0</v>
      </c>
      <c r="AG279" t="s">
        <v>187</v>
      </c>
      <c r="AH279">
        <v>0</v>
      </c>
      <c r="AK279">
        <v>0</v>
      </c>
    </row>
    <row r="280" spans="1:37" x14ac:dyDescent="0.25">
      <c r="A280" t="s">
        <v>79</v>
      </c>
      <c r="B280">
        <v>2</v>
      </c>
      <c r="C280">
        <v>1</v>
      </c>
      <c r="D280">
        <v>1</v>
      </c>
      <c r="E280">
        <v>1</v>
      </c>
      <c r="G280">
        <v>211</v>
      </c>
      <c r="H280" t="s">
        <v>176</v>
      </c>
      <c r="I280" t="s">
        <v>80</v>
      </c>
      <c r="J280" t="s">
        <v>188</v>
      </c>
      <c r="L280">
        <v>0</v>
      </c>
      <c r="M280" t="s">
        <v>189</v>
      </c>
      <c r="O280" t="s">
        <v>190</v>
      </c>
      <c r="P280" t="s">
        <v>191</v>
      </c>
      <c r="Q280" t="s">
        <v>57</v>
      </c>
      <c r="R280" t="s">
        <v>192</v>
      </c>
      <c r="S280" t="s">
        <v>193</v>
      </c>
      <c r="T280">
        <v>477</v>
      </c>
      <c r="U280">
        <v>477</v>
      </c>
      <c r="V280" t="s">
        <v>193</v>
      </c>
      <c r="AE280" t="s">
        <v>194</v>
      </c>
      <c r="AF280">
        <v>0</v>
      </c>
      <c r="AG280" t="s">
        <v>195</v>
      </c>
      <c r="AH280">
        <v>0</v>
      </c>
      <c r="AK280">
        <v>0</v>
      </c>
    </row>
    <row r="281" spans="1:37" x14ac:dyDescent="0.25">
      <c r="A281" t="s">
        <v>79</v>
      </c>
      <c r="B281">
        <v>2</v>
      </c>
      <c r="C281">
        <v>1</v>
      </c>
      <c r="D281">
        <v>1</v>
      </c>
      <c r="E281">
        <v>2</v>
      </c>
      <c r="G281">
        <v>211</v>
      </c>
      <c r="H281" t="s">
        <v>176</v>
      </c>
      <c r="I281" t="s">
        <v>88</v>
      </c>
      <c r="J281" t="s">
        <v>196</v>
      </c>
      <c r="L281">
        <v>0</v>
      </c>
      <c r="M281" t="s">
        <v>197</v>
      </c>
      <c r="O281" t="s">
        <v>198</v>
      </c>
      <c r="P281" t="s">
        <v>199</v>
      </c>
      <c r="Q281" t="s">
        <v>200</v>
      </c>
      <c r="R281" t="s">
        <v>192</v>
      </c>
      <c r="S281" t="s">
        <v>201</v>
      </c>
      <c r="T281">
        <v>477</v>
      </c>
      <c r="U281">
        <v>585</v>
      </c>
      <c r="V281" t="s">
        <v>202</v>
      </c>
      <c r="AE281" t="s">
        <v>203</v>
      </c>
      <c r="AF281">
        <v>0</v>
      </c>
      <c r="AG281" t="s">
        <v>204</v>
      </c>
      <c r="AH281">
        <v>0</v>
      </c>
      <c r="AK281">
        <v>0</v>
      </c>
    </row>
    <row r="282" spans="1:37" x14ac:dyDescent="0.25">
      <c r="A282" t="s">
        <v>79</v>
      </c>
      <c r="B282">
        <v>2</v>
      </c>
      <c r="C282">
        <v>1</v>
      </c>
      <c r="D282">
        <v>1</v>
      </c>
      <c r="E282">
        <v>3</v>
      </c>
      <c r="G282">
        <v>211</v>
      </c>
      <c r="H282" t="s">
        <v>176</v>
      </c>
      <c r="I282" t="s">
        <v>95</v>
      </c>
      <c r="J282" t="s">
        <v>205</v>
      </c>
      <c r="L282">
        <v>0</v>
      </c>
      <c r="M282" t="s">
        <v>206</v>
      </c>
      <c r="O282" t="s">
        <v>207</v>
      </c>
      <c r="P282" t="s">
        <v>208</v>
      </c>
      <c r="Q282" t="s">
        <v>209</v>
      </c>
      <c r="R282" t="s">
        <v>210</v>
      </c>
      <c r="S282" t="s">
        <v>211</v>
      </c>
      <c r="T282">
        <v>477</v>
      </c>
      <c r="U282">
        <v>20</v>
      </c>
      <c r="V282" t="s">
        <v>212</v>
      </c>
      <c r="AE282" t="s">
        <v>213</v>
      </c>
      <c r="AF282">
        <v>0</v>
      </c>
      <c r="AG282" t="s">
        <v>214</v>
      </c>
      <c r="AH282">
        <v>0</v>
      </c>
      <c r="AK282">
        <v>0</v>
      </c>
    </row>
    <row r="283" spans="1:37" x14ac:dyDescent="0.25">
      <c r="A283" t="s">
        <v>79</v>
      </c>
      <c r="B283">
        <v>2</v>
      </c>
      <c r="C283">
        <v>1</v>
      </c>
      <c r="D283">
        <v>1</v>
      </c>
      <c r="E283">
        <v>4</v>
      </c>
      <c r="G283">
        <v>211</v>
      </c>
      <c r="H283" t="s">
        <v>176</v>
      </c>
      <c r="I283" t="s">
        <v>102</v>
      </c>
      <c r="J283" t="s">
        <v>215</v>
      </c>
      <c r="L283">
        <v>0</v>
      </c>
      <c r="M283" t="s">
        <v>216</v>
      </c>
      <c r="O283" t="s">
        <v>217</v>
      </c>
      <c r="P283" t="s">
        <v>218</v>
      </c>
      <c r="Q283" t="s">
        <v>219</v>
      </c>
      <c r="R283" t="s">
        <v>179</v>
      </c>
      <c r="S283" t="s">
        <v>220</v>
      </c>
      <c r="T283">
        <v>477</v>
      </c>
      <c r="U283">
        <v>279</v>
      </c>
      <c r="V283" t="s">
        <v>221</v>
      </c>
      <c r="AE283" t="s">
        <v>222</v>
      </c>
      <c r="AF283">
        <v>0</v>
      </c>
      <c r="AG283" t="s">
        <v>223</v>
      </c>
      <c r="AH283">
        <v>0</v>
      </c>
      <c r="AK283">
        <v>0</v>
      </c>
    </row>
    <row r="284" spans="1:37" x14ac:dyDescent="0.25">
      <c r="A284" t="s">
        <v>79</v>
      </c>
      <c r="B284">
        <v>2</v>
      </c>
      <c r="C284">
        <v>1</v>
      </c>
      <c r="D284">
        <v>1</v>
      </c>
      <c r="E284">
        <v>5</v>
      </c>
      <c r="G284">
        <v>211</v>
      </c>
      <c r="H284" t="s">
        <v>176</v>
      </c>
      <c r="I284" t="s">
        <v>109</v>
      </c>
      <c r="J284" t="s">
        <v>224</v>
      </c>
      <c r="L284">
        <v>0</v>
      </c>
      <c r="M284" t="s">
        <v>225</v>
      </c>
      <c r="O284" t="s">
        <v>226</v>
      </c>
      <c r="P284" t="s">
        <v>227</v>
      </c>
      <c r="Q284" t="s">
        <v>228</v>
      </c>
      <c r="R284" t="s">
        <v>229</v>
      </c>
      <c r="S284" t="s">
        <v>230</v>
      </c>
      <c r="T284">
        <v>477</v>
      </c>
      <c r="U284">
        <v>90</v>
      </c>
      <c r="V284" t="s">
        <v>231</v>
      </c>
      <c r="AE284" t="s">
        <v>232</v>
      </c>
      <c r="AF284">
        <v>0</v>
      </c>
      <c r="AG284" t="s">
        <v>233</v>
      </c>
      <c r="AH284">
        <v>0</v>
      </c>
      <c r="AK284">
        <v>0</v>
      </c>
    </row>
    <row r="285" spans="1:37" x14ac:dyDescent="0.25">
      <c r="A285" t="s">
        <v>79</v>
      </c>
      <c r="B285">
        <v>2</v>
      </c>
      <c r="C285">
        <v>1</v>
      </c>
      <c r="D285">
        <v>1</v>
      </c>
      <c r="E285">
        <v>6</v>
      </c>
      <c r="G285">
        <v>211</v>
      </c>
      <c r="H285" t="s">
        <v>176</v>
      </c>
      <c r="I285" t="s">
        <v>116</v>
      </c>
      <c r="J285" t="s">
        <v>234</v>
      </c>
      <c r="L285">
        <v>0</v>
      </c>
      <c r="M285" t="s">
        <v>235</v>
      </c>
      <c r="O285" t="s">
        <v>236</v>
      </c>
      <c r="P285" t="s">
        <v>237</v>
      </c>
      <c r="Q285" t="s">
        <v>238</v>
      </c>
      <c r="R285" t="s">
        <v>229</v>
      </c>
      <c r="S285" t="s">
        <v>239</v>
      </c>
      <c r="T285">
        <v>477</v>
      </c>
      <c r="U285">
        <v>271</v>
      </c>
      <c r="V285" t="s">
        <v>240</v>
      </c>
      <c r="AE285" t="s">
        <v>241</v>
      </c>
      <c r="AF285">
        <v>0</v>
      </c>
      <c r="AG285" t="s">
        <v>242</v>
      </c>
      <c r="AH285">
        <v>0</v>
      </c>
      <c r="AK285">
        <v>0</v>
      </c>
    </row>
    <row r="286" spans="1:37" x14ac:dyDescent="0.25">
      <c r="A286" t="s">
        <v>79</v>
      </c>
      <c r="B286">
        <v>2</v>
      </c>
      <c r="C286">
        <v>1</v>
      </c>
      <c r="D286">
        <v>1</v>
      </c>
      <c r="E286">
        <v>7</v>
      </c>
      <c r="G286">
        <v>211</v>
      </c>
      <c r="H286" t="s">
        <v>176</v>
      </c>
      <c r="I286" t="s">
        <v>123</v>
      </c>
      <c r="J286" t="s">
        <v>243</v>
      </c>
      <c r="L286">
        <v>0</v>
      </c>
      <c r="M286" t="s">
        <v>244</v>
      </c>
      <c r="O286" t="s">
        <v>245</v>
      </c>
      <c r="P286" t="s">
        <v>246</v>
      </c>
      <c r="Q286" t="s">
        <v>247</v>
      </c>
      <c r="R286" t="s">
        <v>248</v>
      </c>
      <c r="S286" t="s">
        <v>249</v>
      </c>
      <c r="T286">
        <v>477</v>
      </c>
      <c r="U286">
        <v>2</v>
      </c>
      <c r="V286" t="s">
        <v>250</v>
      </c>
      <c r="AE286" t="s">
        <v>251</v>
      </c>
      <c r="AF286">
        <v>0</v>
      </c>
      <c r="AG286" t="s">
        <v>252</v>
      </c>
      <c r="AH286">
        <v>0</v>
      </c>
      <c r="AK286">
        <v>0</v>
      </c>
    </row>
    <row r="287" spans="1:37" x14ac:dyDescent="0.25">
      <c r="A287" t="s">
        <v>79</v>
      </c>
      <c r="B287">
        <v>2</v>
      </c>
      <c r="C287">
        <v>1</v>
      </c>
      <c r="D287">
        <v>1</v>
      </c>
      <c r="E287">
        <v>8</v>
      </c>
      <c r="G287">
        <v>211</v>
      </c>
      <c r="H287" t="s">
        <v>176</v>
      </c>
      <c r="I287" t="s">
        <v>126</v>
      </c>
      <c r="J287" t="s">
        <v>253</v>
      </c>
      <c r="L287">
        <v>0</v>
      </c>
      <c r="M287" t="s">
        <v>254</v>
      </c>
      <c r="O287" t="s">
        <v>255</v>
      </c>
      <c r="P287" t="s">
        <v>256</v>
      </c>
      <c r="Q287" t="s">
        <v>257</v>
      </c>
      <c r="R287" t="s">
        <v>258</v>
      </c>
      <c r="S287" t="s">
        <v>259</v>
      </c>
      <c r="T287">
        <v>477</v>
      </c>
      <c r="U287">
        <v>9</v>
      </c>
      <c r="V287" t="s">
        <v>260</v>
      </c>
      <c r="AE287" t="s">
        <v>261</v>
      </c>
      <c r="AF287">
        <v>0</v>
      </c>
      <c r="AG287" t="s">
        <v>262</v>
      </c>
      <c r="AH287">
        <v>0</v>
      </c>
      <c r="AK287">
        <v>0</v>
      </c>
    </row>
    <row r="288" spans="1:37" x14ac:dyDescent="0.25">
      <c r="A288" t="s">
        <v>79</v>
      </c>
      <c r="B288">
        <v>2</v>
      </c>
      <c r="C288">
        <v>1</v>
      </c>
      <c r="D288">
        <v>1</v>
      </c>
      <c r="E288">
        <v>9</v>
      </c>
      <c r="G288">
        <v>211</v>
      </c>
      <c r="H288" t="s">
        <v>176</v>
      </c>
      <c r="I288" t="s">
        <v>74</v>
      </c>
      <c r="J288" t="s">
        <v>263</v>
      </c>
      <c r="L288">
        <v>0</v>
      </c>
      <c r="M288" t="s">
        <v>264</v>
      </c>
      <c r="O288" t="s">
        <v>265</v>
      </c>
      <c r="P288" t="s">
        <v>266</v>
      </c>
      <c r="Q288" t="s">
        <v>267</v>
      </c>
      <c r="R288" t="s">
        <v>268</v>
      </c>
      <c r="S288" t="s">
        <v>269</v>
      </c>
      <c r="T288">
        <v>477</v>
      </c>
      <c r="U288">
        <v>1</v>
      </c>
      <c r="V288" t="s">
        <v>270</v>
      </c>
      <c r="AE288" t="s">
        <v>271</v>
      </c>
      <c r="AF288">
        <v>0</v>
      </c>
      <c r="AG288" t="s">
        <v>272</v>
      </c>
      <c r="AH288">
        <v>0</v>
      </c>
      <c r="AK288">
        <v>0</v>
      </c>
    </row>
    <row r="289" spans="1:37" x14ac:dyDescent="0.25">
      <c r="A289" t="s">
        <v>79</v>
      </c>
      <c r="B289">
        <v>2</v>
      </c>
      <c r="C289">
        <v>1</v>
      </c>
      <c r="D289">
        <v>1</v>
      </c>
      <c r="E289">
        <v>10</v>
      </c>
      <c r="G289">
        <v>211</v>
      </c>
      <c r="H289" t="s">
        <v>176</v>
      </c>
      <c r="I289" t="s">
        <v>129</v>
      </c>
      <c r="J289" t="s">
        <v>273</v>
      </c>
      <c r="L289">
        <v>0</v>
      </c>
      <c r="M289" t="s">
        <v>125</v>
      </c>
      <c r="O289" t="s">
        <v>125</v>
      </c>
      <c r="P289" t="s">
        <v>125</v>
      </c>
      <c r="Q289" t="s">
        <v>125</v>
      </c>
      <c r="R289" t="s">
        <v>125</v>
      </c>
      <c r="S289" t="s">
        <v>125</v>
      </c>
      <c r="T289">
        <v>477</v>
      </c>
      <c r="V289" t="s">
        <v>125</v>
      </c>
      <c r="AE289" t="s">
        <v>125</v>
      </c>
      <c r="AF289">
        <v>0</v>
      </c>
      <c r="AG289" t="s">
        <v>125</v>
      </c>
      <c r="AH289">
        <v>0</v>
      </c>
      <c r="AK289">
        <v>0</v>
      </c>
    </row>
    <row r="290" spans="1:37" x14ac:dyDescent="0.25">
      <c r="A290" t="s">
        <v>79</v>
      </c>
      <c r="B290">
        <v>2</v>
      </c>
      <c r="C290">
        <v>1</v>
      </c>
      <c r="D290">
        <v>1</v>
      </c>
      <c r="E290">
        <v>11</v>
      </c>
      <c r="G290">
        <v>211</v>
      </c>
      <c r="H290" t="s">
        <v>176</v>
      </c>
      <c r="I290" t="s">
        <v>131</v>
      </c>
      <c r="J290" t="s">
        <v>274</v>
      </c>
      <c r="L290">
        <v>0</v>
      </c>
      <c r="M290" t="s">
        <v>125</v>
      </c>
      <c r="O290" t="s">
        <v>125</v>
      </c>
      <c r="P290" t="s">
        <v>125</v>
      </c>
      <c r="Q290" t="s">
        <v>125</v>
      </c>
      <c r="R290" t="s">
        <v>125</v>
      </c>
      <c r="S290" t="s">
        <v>125</v>
      </c>
      <c r="T290">
        <v>477</v>
      </c>
      <c r="V290" t="s">
        <v>125</v>
      </c>
      <c r="AE290" t="s">
        <v>125</v>
      </c>
      <c r="AF290">
        <v>0</v>
      </c>
      <c r="AG290" t="s">
        <v>125</v>
      </c>
      <c r="AH290">
        <v>0</v>
      </c>
      <c r="AK290">
        <v>0</v>
      </c>
    </row>
    <row r="291" spans="1:37" x14ac:dyDescent="0.25">
      <c r="A291" t="s">
        <v>79</v>
      </c>
      <c r="B291">
        <v>2</v>
      </c>
      <c r="C291">
        <v>1</v>
      </c>
      <c r="D291">
        <v>1</v>
      </c>
      <c r="E291">
        <v>12</v>
      </c>
      <c r="G291">
        <v>211</v>
      </c>
      <c r="H291" t="s">
        <v>176</v>
      </c>
      <c r="I291" t="s">
        <v>133</v>
      </c>
      <c r="J291" t="s">
        <v>275</v>
      </c>
      <c r="L291">
        <v>0</v>
      </c>
      <c r="M291" t="s">
        <v>125</v>
      </c>
      <c r="O291" t="s">
        <v>125</v>
      </c>
      <c r="P291" t="s">
        <v>125</v>
      </c>
      <c r="Q291" t="s">
        <v>125</v>
      </c>
      <c r="R291" t="s">
        <v>125</v>
      </c>
      <c r="S291" t="s">
        <v>125</v>
      </c>
      <c r="T291">
        <v>477</v>
      </c>
      <c r="V291" t="s">
        <v>125</v>
      </c>
      <c r="AE291" t="s">
        <v>125</v>
      </c>
      <c r="AF291">
        <v>0</v>
      </c>
      <c r="AG291" t="s">
        <v>125</v>
      </c>
      <c r="AH291">
        <v>0</v>
      </c>
      <c r="AK291">
        <v>0</v>
      </c>
    </row>
    <row r="292" spans="1:37" x14ac:dyDescent="0.25">
      <c r="A292" t="s">
        <v>79</v>
      </c>
      <c r="B292">
        <v>2</v>
      </c>
      <c r="C292">
        <v>1</v>
      </c>
      <c r="D292">
        <v>1</v>
      </c>
      <c r="E292">
        <v>13</v>
      </c>
      <c r="G292">
        <v>211</v>
      </c>
      <c r="H292" t="s">
        <v>176</v>
      </c>
      <c r="I292" t="s">
        <v>135</v>
      </c>
      <c r="J292" t="s">
        <v>276</v>
      </c>
      <c r="L292">
        <v>0</v>
      </c>
      <c r="M292" t="s">
        <v>125</v>
      </c>
      <c r="O292" t="s">
        <v>125</v>
      </c>
      <c r="P292" t="s">
        <v>125</v>
      </c>
      <c r="Q292" t="s">
        <v>125</v>
      </c>
      <c r="R292" t="s">
        <v>125</v>
      </c>
      <c r="S292" t="s">
        <v>125</v>
      </c>
      <c r="T292">
        <v>477</v>
      </c>
      <c r="V292" t="s">
        <v>125</v>
      </c>
      <c r="AE292" t="s">
        <v>125</v>
      </c>
      <c r="AF292">
        <v>0</v>
      </c>
      <c r="AG292" t="s">
        <v>125</v>
      </c>
      <c r="AH292">
        <v>0</v>
      </c>
      <c r="AK292">
        <v>0</v>
      </c>
    </row>
    <row r="293" spans="1:37" x14ac:dyDescent="0.25">
      <c r="A293" t="s">
        <v>79</v>
      </c>
      <c r="B293">
        <v>2</v>
      </c>
      <c r="C293">
        <v>1</v>
      </c>
      <c r="D293">
        <v>1</v>
      </c>
      <c r="E293">
        <v>14</v>
      </c>
      <c r="G293">
        <v>211</v>
      </c>
      <c r="H293" t="s">
        <v>176</v>
      </c>
      <c r="I293" t="s">
        <v>137</v>
      </c>
      <c r="J293" t="s">
        <v>277</v>
      </c>
      <c r="L293">
        <v>0</v>
      </c>
      <c r="M293" t="s">
        <v>125</v>
      </c>
      <c r="O293" t="s">
        <v>125</v>
      </c>
      <c r="P293" t="s">
        <v>125</v>
      </c>
      <c r="Q293" t="s">
        <v>125</v>
      </c>
      <c r="R293" t="s">
        <v>125</v>
      </c>
      <c r="S293" t="s">
        <v>125</v>
      </c>
      <c r="T293">
        <v>477</v>
      </c>
      <c r="V293" t="s">
        <v>125</v>
      </c>
      <c r="AE293" t="s">
        <v>125</v>
      </c>
      <c r="AF293">
        <v>0</v>
      </c>
      <c r="AG293" t="s">
        <v>125</v>
      </c>
      <c r="AH293">
        <v>0</v>
      </c>
      <c r="AK293">
        <v>0</v>
      </c>
    </row>
    <row r="294" spans="1:37" x14ac:dyDescent="0.25">
      <c r="A294" t="s">
        <v>79</v>
      </c>
      <c r="B294">
        <v>2</v>
      </c>
      <c r="C294">
        <v>1</v>
      </c>
      <c r="D294">
        <v>1</v>
      </c>
      <c r="E294">
        <v>15</v>
      </c>
      <c r="G294">
        <v>211</v>
      </c>
      <c r="H294" t="s">
        <v>176</v>
      </c>
      <c r="I294" t="s">
        <v>139</v>
      </c>
      <c r="J294" t="s">
        <v>278</v>
      </c>
      <c r="L294">
        <v>0</v>
      </c>
      <c r="M294" t="s">
        <v>125</v>
      </c>
      <c r="O294" t="s">
        <v>125</v>
      </c>
      <c r="P294" t="s">
        <v>125</v>
      </c>
      <c r="Q294" t="s">
        <v>125</v>
      </c>
      <c r="R294" t="s">
        <v>125</v>
      </c>
      <c r="S294" t="s">
        <v>125</v>
      </c>
      <c r="T294">
        <v>477</v>
      </c>
      <c r="V294" t="s">
        <v>125</v>
      </c>
      <c r="AE294" t="s">
        <v>125</v>
      </c>
      <c r="AF294">
        <v>0</v>
      </c>
      <c r="AG294" t="s">
        <v>125</v>
      </c>
      <c r="AH294">
        <v>0</v>
      </c>
      <c r="AK294">
        <v>0</v>
      </c>
    </row>
    <row r="295" spans="1:37" x14ac:dyDescent="0.25">
      <c r="L295">
        <v>0</v>
      </c>
    </row>
    <row r="296" spans="1:37" x14ac:dyDescent="0.25">
      <c r="A296" t="s">
        <v>70</v>
      </c>
      <c r="B296">
        <v>2</v>
      </c>
      <c r="C296">
        <v>1</v>
      </c>
      <c r="D296">
        <v>2</v>
      </c>
      <c r="G296">
        <v>21</v>
      </c>
      <c r="M296" t="s">
        <v>279</v>
      </c>
      <c r="O296" t="s">
        <v>280</v>
      </c>
      <c r="P296" t="s">
        <v>281</v>
      </c>
      <c r="Q296" t="s">
        <v>282</v>
      </c>
      <c r="R296" t="s">
        <v>179</v>
      </c>
      <c r="S296" t="s">
        <v>283</v>
      </c>
      <c r="V296" t="s">
        <v>284</v>
      </c>
      <c r="X296" t="s">
        <v>285</v>
      </c>
      <c r="Y296" t="s">
        <v>286</v>
      </c>
      <c r="Z296" t="s">
        <v>287</v>
      </c>
      <c r="AA296" t="s">
        <v>288</v>
      </c>
      <c r="AB296" t="s">
        <v>289</v>
      </c>
      <c r="AC296" t="s">
        <v>172</v>
      </c>
      <c r="AE296" t="s">
        <v>290</v>
      </c>
      <c r="AF296">
        <v>0</v>
      </c>
      <c r="AG296" t="s">
        <v>291</v>
      </c>
      <c r="AH296">
        <v>0</v>
      </c>
      <c r="AK296">
        <v>0</v>
      </c>
    </row>
    <row r="297" spans="1:37" x14ac:dyDescent="0.25">
      <c r="A297" t="s">
        <v>79</v>
      </c>
      <c r="B297">
        <v>2</v>
      </c>
      <c r="C297">
        <v>1</v>
      </c>
      <c r="D297">
        <v>2</v>
      </c>
      <c r="E297">
        <v>1</v>
      </c>
      <c r="G297">
        <v>212</v>
      </c>
      <c r="H297" t="s">
        <v>280</v>
      </c>
      <c r="I297" t="s">
        <v>80</v>
      </c>
      <c r="J297" t="s">
        <v>292</v>
      </c>
      <c r="L297">
        <v>0</v>
      </c>
      <c r="M297" t="s">
        <v>293</v>
      </c>
      <c r="O297" t="s">
        <v>294</v>
      </c>
      <c r="P297" t="s">
        <v>295</v>
      </c>
      <c r="Q297" t="s">
        <v>296</v>
      </c>
      <c r="R297" t="s">
        <v>229</v>
      </c>
      <c r="S297" t="s">
        <v>297</v>
      </c>
      <c r="T297">
        <v>1365</v>
      </c>
      <c r="U297">
        <v>4</v>
      </c>
      <c r="V297" t="s">
        <v>298</v>
      </c>
      <c r="AE297" t="s">
        <v>299</v>
      </c>
      <c r="AF297">
        <v>0</v>
      </c>
      <c r="AG297" t="s">
        <v>300</v>
      </c>
      <c r="AH297">
        <v>0</v>
      </c>
      <c r="AK297">
        <v>0</v>
      </c>
    </row>
    <row r="298" spans="1:37" x14ac:dyDescent="0.25">
      <c r="A298" t="s">
        <v>79</v>
      </c>
      <c r="B298">
        <v>2</v>
      </c>
      <c r="C298">
        <v>1</v>
      </c>
      <c r="D298">
        <v>2</v>
      </c>
      <c r="E298">
        <v>2</v>
      </c>
      <c r="G298">
        <v>212</v>
      </c>
      <c r="H298" t="s">
        <v>280</v>
      </c>
      <c r="I298" t="s">
        <v>88</v>
      </c>
      <c r="J298" t="s">
        <v>301</v>
      </c>
      <c r="L298">
        <v>0</v>
      </c>
      <c r="M298" t="s">
        <v>302</v>
      </c>
      <c r="O298" t="s">
        <v>303</v>
      </c>
      <c r="P298" t="s">
        <v>304</v>
      </c>
      <c r="Q298" t="s">
        <v>296</v>
      </c>
      <c r="R298" t="s">
        <v>229</v>
      </c>
      <c r="S298" t="s">
        <v>305</v>
      </c>
      <c r="T298">
        <v>1365</v>
      </c>
      <c r="U298">
        <v>4</v>
      </c>
      <c r="V298" t="s">
        <v>298</v>
      </c>
      <c r="AE298" t="s">
        <v>306</v>
      </c>
      <c r="AF298">
        <v>0</v>
      </c>
      <c r="AG298" t="s">
        <v>300</v>
      </c>
      <c r="AH298">
        <v>0</v>
      </c>
      <c r="AK298">
        <v>0</v>
      </c>
    </row>
    <row r="299" spans="1:37" x14ac:dyDescent="0.25">
      <c r="A299" t="s">
        <v>79</v>
      </c>
      <c r="B299">
        <v>2</v>
      </c>
      <c r="C299">
        <v>1</v>
      </c>
      <c r="D299">
        <v>2</v>
      </c>
      <c r="E299">
        <v>3</v>
      </c>
      <c r="G299">
        <v>212</v>
      </c>
      <c r="H299" t="s">
        <v>280</v>
      </c>
      <c r="I299" t="s">
        <v>95</v>
      </c>
      <c r="J299" t="s">
        <v>307</v>
      </c>
      <c r="L299">
        <v>0</v>
      </c>
      <c r="M299" t="s">
        <v>308</v>
      </c>
      <c r="O299" t="s">
        <v>309</v>
      </c>
      <c r="P299" t="s">
        <v>310</v>
      </c>
      <c r="Q299" t="s">
        <v>311</v>
      </c>
      <c r="R299" t="s">
        <v>258</v>
      </c>
      <c r="S299" t="s">
        <v>312</v>
      </c>
      <c r="T299">
        <v>1365</v>
      </c>
      <c r="U299">
        <v>3</v>
      </c>
      <c r="V299" t="s">
        <v>313</v>
      </c>
      <c r="AE299" t="s">
        <v>314</v>
      </c>
      <c r="AF299">
        <v>0</v>
      </c>
      <c r="AG299" t="s">
        <v>315</v>
      </c>
      <c r="AH299">
        <v>0</v>
      </c>
      <c r="AK299">
        <v>0</v>
      </c>
    </row>
    <row r="300" spans="1:37" x14ac:dyDescent="0.25">
      <c r="A300" t="s">
        <v>79</v>
      </c>
      <c r="B300">
        <v>2</v>
      </c>
      <c r="C300">
        <v>1</v>
      </c>
      <c r="D300">
        <v>2</v>
      </c>
      <c r="E300">
        <v>4</v>
      </c>
      <c r="G300">
        <v>212</v>
      </c>
      <c r="H300" t="s">
        <v>280</v>
      </c>
      <c r="I300" t="s">
        <v>102</v>
      </c>
      <c r="J300" t="s">
        <v>316</v>
      </c>
      <c r="L300">
        <v>0</v>
      </c>
      <c r="M300" t="s">
        <v>317</v>
      </c>
      <c r="O300" t="s">
        <v>318</v>
      </c>
      <c r="P300" t="s">
        <v>319</v>
      </c>
      <c r="Q300" t="s">
        <v>320</v>
      </c>
      <c r="R300" t="s">
        <v>248</v>
      </c>
      <c r="S300" t="s">
        <v>321</v>
      </c>
      <c r="T300">
        <v>1365</v>
      </c>
      <c r="U300">
        <v>1</v>
      </c>
      <c r="V300" t="s">
        <v>322</v>
      </c>
      <c r="AE300" t="s">
        <v>323</v>
      </c>
      <c r="AF300">
        <v>0</v>
      </c>
      <c r="AG300" t="s">
        <v>324</v>
      </c>
      <c r="AH300">
        <v>0</v>
      </c>
      <c r="AK300">
        <v>0</v>
      </c>
    </row>
    <row r="301" spans="1:37" x14ac:dyDescent="0.25">
      <c r="A301" t="s">
        <v>79</v>
      </c>
      <c r="B301">
        <v>2</v>
      </c>
      <c r="C301">
        <v>1</v>
      </c>
      <c r="D301">
        <v>2</v>
      </c>
      <c r="E301">
        <v>5</v>
      </c>
      <c r="G301">
        <v>212</v>
      </c>
      <c r="H301" t="s">
        <v>280</v>
      </c>
      <c r="I301" t="s">
        <v>109</v>
      </c>
      <c r="J301" t="s">
        <v>325</v>
      </c>
      <c r="L301">
        <v>0</v>
      </c>
      <c r="M301" t="s">
        <v>125</v>
      </c>
      <c r="O301" t="s">
        <v>125</v>
      </c>
      <c r="P301" t="s">
        <v>125</v>
      </c>
      <c r="Q301" t="s">
        <v>125</v>
      </c>
      <c r="R301" t="s">
        <v>125</v>
      </c>
      <c r="S301" t="s">
        <v>125</v>
      </c>
      <c r="T301">
        <v>1365</v>
      </c>
      <c r="V301" t="s">
        <v>125</v>
      </c>
      <c r="AE301" t="s">
        <v>125</v>
      </c>
      <c r="AF301">
        <v>0</v>
      </c>
      <c r="AG301" t="s">
        <v>125</v>
      </c>
      <c r="AH301">
        <v>0</v>
      </c>
      <c r="AK301">
        <v>0</v>
      </c>
    </row>
    <row r="302" spans="1:37" x14ac:dyDescent="0.25">
      <c r="A302" t="s">
        <v>79</v>
      </c>
      <c r="B302">
        <v>2</v>
      </c>
      <c r="C302">
        <v>1</v>
      </c>
      <c r="D302">
        <v>2</v>
      </c>
      <c r="E302">
        <v>6</v>
      </c>
      <c r="G302">
        <v>212</v>
      </c>
      <c r="H302" t="s">
        <v>280</v>
      </c>
      <c r="I302" t="s">
        <v>116</v>
      </c>
      <c r="J302" t="s">
        <v>326</v>
      </c>
      <c r="L302">
        <v>0</v>
      </c>
      <c r="M302" t="s">
        <v>125</v>
      </c>
      <c r="O302" t="s">
        <v>125</v>
      </c>
      <c r="P302" t="s">
        <v>125</v>
      </c>
      <c r="Q302" t="s">
        <v>125</v>
      </c>
      <c r="R302" t="s">
        <v>125</v>
      </c>
      <c r="S302" t="s">
        <v>125</v>
      </c>
      <c r="T302">
        <v>1365</v>
      </c>
      <c r="V302" t="s">
        <v>125</v>
      </c>
      <c r="AE302" t="s">
        <v>125</v>
      </c>
      <c r="AF302">
        <v>0</v>
      </c>
      <c r="AG302" t="s">
        <v>125</v>
      </c>
      <c r="AH302">
        <v>0</v>
      </c>
      <c r="AK302">
        <v>0</v>
      </c>
    </row>
    <row r="303" spans="1:37" x14ac:dyDescent="0.25">
      <c r="A303" t="s">
        <v>79</v>
      </c>
      <c r="B303">
        <v>2</v>
      </c>
      <c r="C303">
        <v>1</v>
      </c>
      <c r="D303">
        <v>2</v>
      </c>
      <c r="E303">
        <v>7</v>
      </c>
      <c r="G303">
        <v>212</v>
      </c>
      <c r="H303" t="s">
        <v>280</v>
      </c>
      <c r="I303" t="s">
        <v>123</v>
      </c>
      <c r="J303" t="s">
        <v>327</v>
      </c>
      <c r="L303">
        <v>0</v>
      </c>
      <c r="M303" t="s">
        <v>125</v>
      </c>
      <c r="O303" t="s">
        <v>125</v>
      </c>
      <c r="P303" t="s">
        <v>125</v>
      </c>
      <c r="Q303" t="s">
        <v>125</v>
      </c>
      <c r="R303" t="s">
        <v>125</v>
      </c>
      <c r="S303" t="s">
        <v>125</v>
      </c>
      <c r="T303">
        <v>1365</v>
      </c>
      <c r="V303" t="s">
        <v>125</v>
      </c>
      <c r="AE303" t="s">
        <v>125</v>
      </c>
      <c r="AF303">
        <v>0</v>
      </c>
      <c r="AG303" t="s">
        <v>125</v>
      </c>
      <c r="AH303">
        <v>0</v>
      </c>
      <c r="AK303">
        <v>0</v>
      </c>
    </row>
    <row r="304" spans="1:37" x14ac:dyDescent="0.25">
      <c r="A304" t="s">
        <v>79</v>
      </c>
      <c r="B304">
        <v>2</v>
      </c>
      <c r="C304">
        <v>1</v>
      </c>
      <c r="D304">
        <v>2</v>
      </c>
      <c r="E304">
        <v>8</v>
      </c>
      <c r="G304">
        <v>212</v>
      </c>
      <c r="H304" t="s">
        <v>280</v>
      </c>
      <c r="I304" t="s">
        <v>126</v>
      </c>
      <c r="J304" t="s">
        <v>328</v>
      </c>
      <c r="L304">
        <v>0</v>
      </c>
      <c r="M304" t="s">
        <v>125</v>
      </c>
      <c r="O304" t="s">
        <v>125</v>
      </c>
      <c r="P304" t="s">
        <v>125</v>
      </c>
      <c r="Q304" t="s">
        <v>125</v>
      </c>
      <c r="R304" t="s">
        <v>125</v>
      </c>
      <c r="S304" t="s">
        <v>125</v>
      </c>
      <c r="T304">
        <v>1365</v>
      </c>
      <c r="V304" t="s">
        <v>125</v>
      </c>
      <c r="AE304" t="s">
        <v>125</v>
      </c>
      <c r="AF304">
        <v>0</v>
      </c>
      <c r="AG304" t="s">
        <v>125</v>
      </c>
      <c r="AH304">
        <v>0</v>
      </c>
      <c r="AK304">
        <v>0</v>
      </c>
    </row>
    <row r="305" spans="1:37" x14ac:dyDescent="0.25">
      <c r="A305" t="s">
        <v>79</v>
      </c>
      <c r="B305">
        <v>2</v>
      </c>
      <c r="C305">
        <v>1</v>
      </c>
      <c r="D305">
        <v>2</v>
      </c>
      <c r="E305">
        <v>9</v>
      </c>
      <c r="G305">
        <v>212</v>
      </c>
      <c r="H305" t="s">
        <v>280</v>
      </c>
      <c r="I305" t="s">
        <v>74</v>
      </c>
      <c r="J305" t="s">
        <v>329</v>
      </c>
      <c r="L305">
        <v>0</v>
      </c>
      <c r="M305" t="s">
        <v>125</v>
      </c>
      <c r="O305" t="s">
        <v>125</v>
      </c>
      <c r="P305" t="s">
        <v>125</v>
      </c>
      <c r="Q305" t="s">
        <v>125</v>
      </c>
      <c r="R305" t="s">
        <v>125</v>
      </c>
      <c r="S305" t="s">
        <v>125</v>
      </c>
      <c r="T305">
        <v>1365</v>
      </c>
      <c r="V305" t="s">
        <v>125</v>
      </c>
      <c r="AE305" t="s">
        <v>125</v>
      </c>
      <c r="AF305">
        <v>0</v>
      </c>
      <c r="AG305" t="s">
        <v>125</v>
      </c>
      <c r="AH305">
        <v>0</v>
      </c>
      <c r="AK305">
        <v>0</v>
      </c>
    </row>
    <row r="306" spans="1:37" x14ac:dyDescent="0.25">
      <c r="A306" t="s">
        <v>79</v>
      </c>
      <c r="B306">
        <v>2</v>
      </c>
      <c r="C306">
        <v>1</v>
      </c>
      <c r="D306">
        <v>2</v>
      </c>
      <c r="E306">
        <v>10</v>
      </c>
      <c r="G306">
        <v>212</v>
      </c>
      <c r="H306" t="s">
        <v>280</v>
      </c>
      <c r="I306" t="s">
        <v>129</v>
      </c>
      <c r="J306" t="s">
        <v>330</v>
      </c>
      <c r="L306">
        <v>0</v>
      </c>
      <c r="M306" t="s">
        <v>125</v>
      </c>
      <c r="O306" t="s">
        <v>125</v>
      </c>
      <c r="P306" t="s">
        <v>125</v>
      </c>
      <c r="Q306" t="s">
        <v>125</v>
      </c>
      <c r="R306" t="s">
        <v>125</v>
      </c>
      <c r="S306" t="s">
        <v>125</v>
      </c>
      <c r="T306">
        <v>1365</v>
      </c>
      <c r="V306" t="s">
        <v>125</v>
      </c>
      <c r="AE306" t="s">
        <v>125</v>
      </c>
      <c r="AF306">
        <v>0</v>
      </c>
      <c r="AG306" t="s">
        <v>125</v>
      </c>
      <c r="AH306">
        <v>0</v>
      </c>
      <c r="AK306">
        <v>0</v>
      </c>
    </row>
    <row r="307" spans="1:37" x14ac:dyDescent="0.25">
      <c r="A307" t="s">
        <v>79</v>
      </c>
      <c r="B307">
        <v>2</v>
      </c>
      <c r="C307">
        <v>1</v>
      </c>
      <c r="D307">
        <v>2</v>
      </c>
      <c r="E307">
        <v>11</v>
      </c>
      <c r="G307">
        <v>212</v>
      </c>
      <c r="H307" t="s">
        <v>280</v>
      </c>
      <c r="I307" t="s">
        <v>131</v>
      </c>
      <c r="J307" t="s">
        <v>331</v>
      </c>
      <c r="L307">
        <v>0</v>
      </c>
      <c r="M307" t="s">
        <v>125</v>
      </c>
      <c r="O307" t="s">
        <v>125</v>
      </c>
      <c r="P307" t="s">
        <v>125</v>
      </c>
      <c r="Q307" t="s">
        <v>125</v>
      </c>
      <c r="R307" t="s">
        <v>125</v>
      </c>
      <c r="S307" t="s">
        <v>125</v>
      </c>
      <c r="T307">
        <v>1365</v>
      </c>
      <c r="V307" t="s">
        <v>125</v>
      </c>
      <c r="AE307" t="s">
        <v>125</v>
      </c>
      <c r="AF307">
        <v>0</v>
      </c>
      <c r="AG307" t="s">
        <v>125</v>
      </c>
      <c r="AH307">
        <v>0</v>
      </c>
      <c r="AK307">
        <v>0</v>
      </c>
    </row>
    <row r="308" spans="1:37" x14ac:dyDescent="0.25">
      <c r="A308" t="s">
        <v>79</v>
      </c>
      <c r="B308">
        <v>2</v>
      </c>
      <c r="C308">
        <v>1</v>
      </c>
      <c r="D308">
        <v>2</v>
      </c>
      <c r="E308">
        <v>12</v>
      </c>
      <c r="G308">
        <v>212</v>
      </c>
      <c r="H308" t="s">
        <v>280</v>
      </c>
      <c r="I308" t="s">
        <v>133</v>
      </c>
      <c r="J308" t="s">
        <v>332</v>
      </c>
      <c r="L308">
        <v>0</v>
      </c>
      <c r="M308" t="s">
        <v>125</v>
      </c>
      <c r="O308" t="s">
        <v>125</v>
      </c>
      <c r="P308" t="s">
        <v>125</v>
      </c>
      <c r="Q308" t="s">
        <v>125</v>
      </c>
      <c r="R308" t="s">
        <v>125</v>
      </c>
      <c r="S308" t="s">
        <v>125</v>
      </c>
      <c r="T308">
        <v>1365</v>
      </c>
      <c r="V308" t="s">
        <v>125</v>
      </c>
      <c r="AE308" t="s">
        <v>125</v>
      </c>
      <c r="AF308">
        <v>0</v>
      </c>
      <c r="AG308" t="s">
        <v>125</v>
      </c>
      <c r="AH308">
        <v>0</v>
      </c>
      <c r="AK308">
        <v>0</v>
      </c>
    </row>
    <row r="309" spans="1:37" x14ac:dyDescent="0.25">
      <c r="A309" t="s">
        <v>79</v>
      </c>
      <c r="B309">
        <v>2</v>
      </c>
      <c r="C309">
        <v>1</v>
      </c>
      <c r="D309">
        <v>2</v>
      </c>
      <c r="E309">
        <v>13</v>
      </c>
      <c r="G309">
        <v>212</v>
      </c>
      <c r="H309" t="s">
        <v>280</v>
      </c>
      <c r="I309" t="s">
        <v>135</v>
      </c>
      <c r="J309" t="s">
        <v>333</v>
      </c>
      <c r="L309">
        <v>0</v>
      </c>
      <c r="M309" t="s">
        <v>125</v>
      </c>
      <c r="O309" t="s">
        <v>125</v>
      </c>
      <c r="P309" t="s">
        <v>125</v>
      </c>
      <c r="Q309" t="s">
        <v>125</v>
      </c>
      <c r="R309" t="s">
        <v>125</v>
      </c>
      <c r="S309" t="s">
        <v>125</v>
      </c>
      <c r="T309">
        <v>1365</v>
      </c>
      <c r="V309" t="s">
        <v>125</v>
      </c>
      <c r="AE309" t="s">
        <v>125</v>
      </c>
      <c r="AF309">
        <v>0</v>
      </c>
      <c r="AG309" t="s">
        <v>125</v>
      </c>
      <c r="AH309">
        <v>0</v>
      </c>
      <c r="AK309">
        <v>0</v>
      </c>
    </row>
    <row r="310" spans="1:37" x14ac:dyDescent="0.25">
      <c r="A310" t="s">
        <v>79</v>
      </c>
      <c r="B310">
        <v>2</v>
      </c>
      <c r="C310">
        <v>1</v>
      </c>
      <c r="D310">
        <v>2</v>
      </c>
      <c r="E310">
        <v>14</v>
      </c>
      <c r="G310">
        <v>212</v>
      </c>
      <c r="H310" t="s">
        <v>280</v>
      </c>
      <c r="I310" t="s">
        <v>137</v>
      </c>
      <c r="J310" t="s">
        <v>334</v>
      </c>
      <c r="L310">
        <v>0</v>
      </c>
      <c r="M310" t="s">
        <v>125</v>
      </c>
      <c r="O310" t="s">
        <v>125</v>
      </c>
      <c r="P310" t="s">
        <v>125</v>
      </c>
      <c r="Q310" t="s">
        <v>125</v>
      </c>
      <c r="R310" t="s">
        <v>125</v>
      </c>
      <c r="S310" t="s">
        <v>125</v>
      </c>
      <c r="T310">
        <v>1365</v>
      </c>
      <c r="V310" t="s">
        <v>125</v>
      </c>
      <c r="AE310" t="s">
        <v>125</v>
      </c>
      <c r="AF310">
        <v>0</v>
      </c>
      <c r="AG310" t="s">
        <v>125</v>
      </c>
      <c r="AH310">
        <v>0</v>
      </c>
      <c r="AK310">
        <v>0</v>
      </c>
    </row>
    <row r="311" spans="1:37" x14ac:dyDescent="0.25">
      <c r="A311" t="s">
        <v>79</v>
      </c>
      <c r="B311">
        <v>2</v>
      </c>
      <c r="C311">
        <v>1</v>
      </c>
      <c r="D311">
        <v>2</v>
      </c>
      <c r="E311">
        <v>15</v>
      </c>
      <c r="G311">
        <v>212</v>
      </c>
      <c r="H311" t="s">
        <v>280</v>
      </c>
      <c r="I311" t="s">
        <v>139</v>
      </c>
      <c r="J311" t="s">
        <v>335</v>
      </c>
      <c r="L311">
        <v>0</v>
      </c>
      <c r="M311" t="s">
        <v>125</v>
      </c>
      <c r="O311" t="s">
        <v>125</v>
      </c>
      <c r="P311" t="s">
        <v>125</v>
      </c>
      <c r="Q311" t="s">
        <v>125</v>
      </c>
      <c r="R311" t="s">
        <v>125</v>
      </c>
      <c r="S311" t="s">
        <v>125</v>
      </c>
      <c r="T311">
        <v>1365</v>
      </c>
      <c r="V311" t="s">
        <v>125</v>
      </c>
      <c r="AE311" t="s">
        <v>125</v>
      </c>
      <c r="AF311">
        <v>0</v>
      </c>
      <c r="AG311" t="s">
        <v>125</v>
      </c>
      <c r="AH311">
        <v>0</v>
      </c>
      <c r="AK311">
        <v>0</v>
      </c>
    </row>
    <row r="312" spans="1:37" x14ac:dyDescent="0.25">
      <c r="L312">
        <v>0</v>
      </c>
    </row>
    <row r="313" spans="1:37" x14ac:dyDescent="0.25">
      <c r="A313" t="s">
        <v>70</v>
      </c>
      <c r="B313">
        <v>2</v>
      </c>
      <c r="C313">
        <v>1</v>
      </c>
      <c r="D313">
        <v>3</v>
      </c>
      <c r="G313">
        <v>21</v>
      </c>
      <c r="L313">
        <v>0</v>
      </c>
      <c r="M313" t="s">
        <v>125</v>
      </c>
      <c r="P313" t="s">
        <v>125</v>
      </c>
      <c r="R313" t="s">
        <v>125</v>
      </c>
      <c r="S313" t="s">
        <v>63</v>
      </c>
      <c r="V313" t="s">
        <v>125</v>
      </c>
      <c r="X313" t="s">
        <v>125</v>
      </c>
      <c r="Y313" t="s">
        <v>125</v>
      </c>
      <c r="Z313" t="s">
        <v>125</v>
      </c>
      <c r="AA313" t="s">
        <v>125</v>
      </c>
      <c r="AB313" t="s">
        <v>125</v>
      </c>
      <c r="AC313" t="s">
        <v>125</v>
      </c>
      <c r="AE313" t="s">
        <v>125</v>
      </c>
      <c r="AF313">
        <v>0</v>
      </c>
      <c r="AG313" t="s">
        <v>125</v>
      </c>
      <c r="AH313">
        <v>0</v>
      </c>
      <c r="AK313">
        <v>0</v>
      </c>
    </row>
    <row r="314" spans="1:37" x14ac:dyDescent="0.25">
      <c r="A314" t="s">
        <v>79</v>
      </c>
      <c r="B314">
        <v>2</v>
      </c>
      <c r="C314">
        <v>1</v>
      </c>
      <c r="D314">
        <v>3</v>
      </c>
      <c r="E314">
        <v>1</v>
      </c>
      <c r="G314">
        <v>213</v>
      </c>
      <c r="H314" t="s">
        <v>63</v>
      </c>
      <c r="I314" t="s">
        <v>80</v>
      </c>
      <c r="J314" t="s">
        <v>141</v>
      </c>
      <c r="L314">
        <v>0</v>
      </c>
      <c r="M314" t="s">
        <v>125</v>
      </c>
      <c r="O314" t="s">
        <v>125</v>
      </c>
      <c r="P314" t="s">
        <v>125</v>
      </c>
      <c r="Q314" t="s">
        <v>125</v>
      </c>
      <c r="R314" t="s">
        <v>125</v>
      </c>
      <c r="S314" t="s">
        <v>125</v>
      </c>
      <c r="T314">
        <v>0</v>
      </c>
      <c r="V314" t="s">
        <v>125</v>
      </c>
      <c r="AE314" t="s">
        <v>125</v>
      </c>
      <c r="AF314">
        <v>0</v>
      </c>
      <c r="AG314" t="s">
        <v>125</v>
      </c>
      <c r="AH314">
        <v>0</v>
      </c>
      <c r="AK314">
        <v>0</v>
      </c>
    </row>
    <row r="315" spans="1:37" x14ac:dyDescent="0.25">
      <c r="A315" t="s">
        <v>79</v>
      </c>
      <c r="B315">
        <v>2</v>
      </c>
      <c r="C315">
        <v>1</v>
      </c>
      <c r="D315">
        <v>3</v>
      </c>
      <c r="E315">
        <v>2</v>
      </c>
      <c r="G315">
        <v>213</v>
      </c>
      <c r="H315" t="s">
        <v>63</v>
      </c>
      <c r="I315" t="s">
        <v>88</v>
      </c>
      <c r="J315" t="s">
        <v>142</v>
      </c>
      <c r="L315">
        <v>0</v>
      </c>
      <c r="M315" t="s">
        <v>125</v>
      </c>
      <c r="O315" t="s">
        <v>125</v>
      </c>
      <c r="P315" t="s">
        <v>125</v>
      </c>
      <c r="Q315" t="s">
        <v>125</v>
      </c>
      <c r="R315" t="s">
        <v>125</v>
      </c>
      <c r="S315" t="s">
        <v>125</v>
      </c>
      <c r="T315">
        <v>0</v>
      </c>
      <c r="V315" t="s">
        <v>125</v>
      </c>
      <c r="AE315" t="s">
        <v>125</v>
      </c>
      <c r="AF315">
        <v>0</v>
      </c>
      <c r="AG315" t="s">
        <v>125</v>
      </c>
      <c r="AH315">
        <v>0</v>
      </c>
      <c r="AK315">
        <v>0</v>
      </c>
    </row>
    <row r="316" spans="1:37" x14ac:dyDescent="0.25">
      <c r="A316" t="s">
        <v>79</v>
      </c>
      <c r="B316">
        <v>2</v>
      </c>
      <c r="C316">
        <v>1</v>
      </c>
      <c r="D316">
        <v>3</v>
      </c>
      <c r="E316">
        <v>3</v>
      </c>
      <c r="G316">
        <v>213</v>
      </c>
      <c r="H316" t="s">
        <v>63</v>
      </c>
      <c r="I316" t="s">
        <v>95</v>
      </c>
      <c r="J316" t="s">
        <v>143</v>
      </c>
      <c r="L316">
        <v>0</v>
      </c>
      <c r="M316" t="s">
        <v>125</v>
      </c>
      <c r="O316" t="s">
        <v>125</v>
      </c>
      <c r="P316" t="s">
        <v>125</v>
      </c>
      <c r="Q316" t="s">
        <v>125</v>
      </c>
      <c r="R316" t="s">
        <v>125</v>
      </c>
      <c r="S316" t="s">
        <v>125</v>
      </c>
      <c r="T316">
        <v>0</v>
      </c>
      <c r="V316" t="s">
        <v>125</v>
      </c>
      <c r="AE316" t="s">
        <v>125</v>
      </c>
      <c r="AF316">
        <v>0</v>
      </c>
      <c r="AG316" t="s">
        <v>125</v>
      </c>
      <c r="AH316">
        <v>0</v>
      </c>
      <c r="AK316">
        <v>0</v>
      </c>
    </row>
    <row r="317" spans="1:37" x14ac:dyDescent="0.25">
      <c r="A317" t="s">
        <v>79</v>
      </c>
      <c r="B317">
        <v>2</v>
      </c>
      <c r="C317">
        <v>1</v>
      </c>
      <c r="D317">
        <v>3</v>
      </c>
      <c r="E317">
        <v>4</v>
      </c>
      <c r="G317">
        <v>213</v>
      </c>
      <c r="H317" t="s">
        <v>63</v>
      </c>
      <c r="I317" t="s">
        <v>102</v>
      </c>
      <c r="J317" t="s">
        <v>144</v>
      </c>
      <c r="L317">
        <v>0</v>
      </c>
      <c r="M317" t="s">
        <v>125</v>
      </c>
      <c r="O317" t="s">
        <v>125</v>
      </c>
      <c r="P317" t="s">
        <v>125</v>
      </c>
      <c r="Q317" t="s">
        <v>125</v>
      </c>
      <c r="R317" t="s">
        <v>125</v>
      </c>
      <c r="S317" t="s">
        <v>125</v>
      </c>
      <c r="T317">
        <v>0</v>
      </c>
      <c r="V317" t="s">
        <v>125</v>
      </c>
      <c r="AE317" t="s">
        <v>125</v>
      </c>
      <c r="AF317">
        <v>0</v>
      </c>
      <c r="AG317" t="s">
        <v>125</v>
      </c>
      <c r="AH317">
        <v>0</v>
      </c>
      <c r="AK317">
        <v>0</v>
      </c>
    </row>
    <row r="318" spans="1:37" x14ac:dyDescent="0.25">
      <c r="A318" t="s">
        <v>79</v>
      </c>
      <c r="B318">
        <v>2</v>
      </c>
      <c r="C318">
        <v>1</v>
      </c>
      <c r="D318">
        <v>3</v>
      </c>
      <c r="E318">
        <v>5</v>
      </c>
      <c r="G318">
        <v>213</v>
      </c>
      <c r="H318" t="s">
        <v>63</v>
      </c>
      <c r="I318" t="s">
        <v>109</v>
      </c>
      <c r="J318" t="s">
        <v>145</v>
      </c>
      <c r="L318">
        <v>0</v>
      </c>
      <c r="M318" t="s">
        <v>125</v>
      </c>
      <c r="O318" t="s">
        <v>125</v>
      </c>
      <c r="P318" t="s">
        <v>125</v>
      </c>
      <c r="Q318" t="s">
        <v>125</v>
      </c>
      <c r="R318" t="s">
        <v>125</v>
      </c>
      <c r="S318" t="s">
        <v>125</v>
      </c>
      <c r="T318">
        <v>0</v>
      </c>
      <c r="V318" t="s">
        <v>125</v>
      </c>
      <c r="AE318" t="s">
        <v>125</v>
      </c>
      <c r="AF318">
        <v>0</v>
      </c>
      <c r="AG318" t="s">
        <v>125</v>
      </c>
      <c r="AH318">
        <v>0</v>
      </c>
      <c r="AK318">
        <v>0</v>
      </c>
    </row>
    <row r="319" spans="1:37" x14ac:dyDescent="0.25">
      <c r="A319" t="s">
        <v>79</v>
      </c>
      <c r="B319">
        <v>2</v>
      </c>
      <c r="C319">
        <v>1</v>
      </c>
      <c r="D319">
        <v>3</v>
      </c>
      <c r="E319">
        <v>6</v>
      </c>
      <c r="G319">
        <v>213</v>
      </c>
      <c r="H319" t="s">
        <v>63</v>
      </c>
      <c r="I319" t="s">
        <v>116</v>
      </c>
      <c r="J319" t="s">
        <v>146</v>
      </c>
      <c r="L319">
        <v>0</v>
      </c>
      <c r="M319" t="s">
        <v>125</v>
      </c>
      <c r="O319" t="s">
        <v>125</v>
      </c>
      <c r="P319" t="s">
        <v>125</v>
      </c>
      <c r="Q319" t="s">
        <v>125</v>
      </c>
      <c r="R319" t="s">
        <v>125</v>
      </c>
      <c r="S319" t="s">
        <v>125</v>
      </c>
      <c r="T319">
        <v>0</v>
      </c>
      <c r="V319" t="s">
        <v>125</v>
      </c>
      <c r="AE319" t="s">
        <v>125</v>
      </c>
      <c r="AF319">
        <v>0</v>
      </c>
      <c r="AG319" t="s">
        <v>125</v>
      </c>
      <c r="AH319">
        <v>0</v>
      </c>
      <c r="AK319">
        <v>0</v>
      </c>
    </row>
    <row r="320" spans="1:37" x14ac:dyDescent="0.25">
      <c r="A320" t="s">
        <v>79</v>
      </c>
      <c r="B320">
        <v>2</v>
      </c>
      <c r="C320">
        <v>1</v>
      </c>
      <c r="D320">
        <v>3</v>
      </c>
      <c r="E320">
        <v>7</v>
      </c>
      <c r="G320">
        <v>213</v>
      </c>
      <c r="H320" t="s">
        <v>63</v>
      </c>
      <c r="I320" t="s">
        <v>123</v>
      </c>
      <c r="J320" t="s">
        <v>147</v>
      </c>
      <c r="L320">
        <v>0</v>
      </c>
      <c r="M320" t="s">
        <v>125</v>
      </c>
      <c r="O320" t="s">
        <v>125</v>
      </c>
      <c r="P320" t="s">
        <v>125</v>
      </c>
      <c r="Q320" t="s">
        <v>125</v>
      </c>
      <c r="R320" t="s">
        <v>125</v>
      </c>
      <c r="S320" t="s">
        <v>125</v>
      </c>
      <c r="T320">
        <v>0</v>
      </c>
      <c r="V320" t="s">
        <v>125</v>
      </c>
      <c r="AE320" t="s">
        <v>125</v>
      </c>
      <c r="AF320">
        <v>0</v>
      </c>
      <c r="AG320" t="s">
        <v>125</v>
      </c>
      <c r="AH320">
        <v>0</v>
      </c>
      <c r="AK320">
        <v>0</v>
      </c>
    </row>
    <row r="321" spans="1:37" x14ac:dyDescent="0.25">
      <c r="A321" t="s">
        <v>79</v>
      </c>
      <c r="B321">
        <v>2</v>
      </c>
      <c r="C321">
        <v>1</v>
      </c>
      <c r="D321">
        <v>3</v>
      </c>
      <c r="E321">
        <v>8</v>
      </c>
      <c r="G321">
        <v>213</v>
      </c>
      <c r="H321" t="s">
        <v>63</v>
      </c>
      <c r="I321" t="s">
        <v>126</v>
      </c>
      <c r="J321" t="s">
        <v>148</v>
      </c>
      <c r="L321">
        <v>0</v>
      </c>
      <c r="M321" t="s">
        <v>125</v>
      </c>
      <c r="O321" t="s">
        <v>125</v>
      </c>
      <c r="P321" t="s">
        <v>125</v>
      </c>
      <c r="Q321" t="s">
        <v>125</v>
      </c>
      <c r="R321" t="s">
        <v>125</v>
      </c>
      <c r="S321" t="s">
        <v>125</v>
      </c>
      <c r="T321">
        <v>0</v>
      </c>
      <c r="V321" t="s">
        <v>125</v>
      </c>
      <c r="AE321" t="s">
        <v>125</v>
      </c>
      <c r="AF321">
        <v>0</v>
      </c>
      <c r="AG321" t="s">
        <v>125</v>
      </c>
      <c r="AH321">
        <v>0</v>
      </c>
      <c r="AK321">
        <v>0</v>
      </c>
    </row>
    <row r="322" spans="1:37" x14ac:dyDescent="0.25">
      <c r="A322" t="s">
        <v>79</v>
      </c>
      <c r="B322">
        <v>2</v>
      </c>
      <c r="C322">
        <v>1</v>
      </c>
      <c r="D322">
        <v>3</v>
      </c>
      <c r="E322">
        <v>9</v>
      </c>
      <c r="G322">
        <v>213</v>
      </c>
      <c r="H322" t="s">
        <v>63</v>
      </c>
      <c r="I322" t="s">
        <v>74</v>
      </c>
      <c r="J322" t="s">
        <v>149</v>
      </c>
      <c r="L322">
        <v>0</v>
      </c>
      <c r="M322" t="s">
        <v>125</v>
      </c>
      <c r="O322" t="s">
        <v>125</v>
      </c>
      <c r="P322" t="s">
        <v>125</v>
      </c>
      <c r="Q322" t="s">
        <v>125</v>
      </c>
      <c r="R322" t="s">
        <v>125</v>
      </c>
      <c r="S322" t="s">
        <v>125</v>
      </c>
      <c r="T322">
        <v>0</v>
      </c>
      <c r="V322" t="s">
        <v>125</v>
      </c>
      <c r="AE322" t="s">
        <v>125</v>
      </c>
      <c r="AF322">
        <v>0</v>
      </c>
      <c r="AG322" t="s">
        <v>125</v>
      </c>
      <c r="AH322">
        <v>0</v>
      </c>
      <c r="AK322">
        <v>0</v>
      </c>
    </row>
    <row r="323" spans="1:37" x14ac:dyDescent="0.25">
      <c r="A323" t="s">
        <v>79</v>
      </c>
      <c r="B323">
        <v>2</v>
      </c>
      <c r="C323">
        <v>1</v>
      </c>
      <c r="D323">
        <v>3</v>
      </c>
      <c r="E323">
        <v>10</v>
      </c>
      <c r="G323">
        <v>213</v>
      </c>
      <c r="H323" t="s">
        <v>63</v>
      </c>
      <c r="I323" t="s">
        <v>129</v>
      </c>
      <c r="J323" t="s">
        <v>150</v>
      </c>
      <c r="L323">
        <v>0</v>
      </c>
      <c r="M323" t="s">
        <v>125</v>
      </c>
      <c r="O323" t="s">
        <v>125</v>
      </c>
      <c r="P323" t="s">
        <v>125</v>
      </c>
      <c r="Q323" t="s">
        <v>125</v>
      </c>
      <c r="R323" t="s">
        <v>125</v>
      </c>
      <c r="S323" t="s">
        <v>125</v>
      </c>
      <c r="T323">
        <v>0</v>
      </c>
      <c r="V323" t="s">
        <v>125</v>
      </c>
      <c r="AE323" t="s">
        <v>125</v>
      </c>
      <c r="AF323">
        <v>0</v>
      </c>
      <c r="AG323" t="s">
        <v>125</v>
      </c>
      <c r="AH323">
        <v>0</v>
      </c>
      <c r="AK323">
        <v>0</v>
      </c>
    </row>
    <row r="324" spans="1:37" x14ac:dyDescent="0.25">
      <c r="A324" t="s">
        <v>79</v>
      </c>
      <c r="B324">
        <v>2</v>
      </c>
      <c r="C324">
        <v>1</v>
      </c>
      <c r="D324">
        <v>3</v>
      </c>
      <c r="E324">
        <v>11</v>
      </c>
      <c r="G324">
        <v>213</v>
      </c>
      <c r="H324" t="s">
        <v>63</v>
      </c>
      <c r="I324" t="s">
        <v>131</v>
      </c>
      <c r="J324" t="s">
        <v>151</v>
      </c>
      <c r="L324">
        <v>0</v>
      </c>
      <c r="M324" t="s">
        <v>125</v>
      </c>
      <c r="O324" t="s">
        <v>125</v>
      </c>
      <c r="P324" t="s">
        <v>125</v>
      </c>
      <c r="Q324" t="s">
        <v>125</v>
      </c>
      <c r="R324" t="s">
        <v>125</v>
      </c>
      <c r="S324" t="s">
        <v>125</v>
      </c>
      <c r="T324">
        <v>0</v>
      </c>
      <c r="V324" t="s">
        <v>125</v>
      </c>
      <c r="AE324" t="s">
        <v>125</v>
      </c>
      <c r="AF324">
        <v>0</v>
      </c>
      <c r="AG324" t="s">
        <v>125</v>
      </c>
      <c r="AH324">
        <v>0</v>
      </c>
      <c r="AK324">
        <v>0</v>
      </c>
    </row>
    <row r="325" spans="1:37" x14ac:dyDescent="0.25">
      <c r="A325" t="s">
        <v>79</v>
      </c>
      <c r="B325">
        <v>2</v>
      </c>
      <c r="C325">
        <v>1</v>
      </c>
      <c r="D325">
        <v>3</v>
      </c>
      <c r="E325">
        <v>12</v>
      </c>
      <c r="G325">
        <v>213</v>
      </c>
      <c r="H325" t="s">
        <v>63</v>
      </c>
      <c r="I325" t="s">
        <v>133</v>
      </c>
      <c r="J325" t="s">
        <v>152</v>
      </c>
      <c r="L325">
        <v>0</v>
      </c>
      <c r="M325" t="s">
        <v>125</v>
      </c>
      <c r="O325" t="s">
        <v>125</v>
      </c>
      <c r="P325" t="s">
        <v>125</v>
      </c>
      <c r="Q325" t="s">
        <v>125</v>
      </c>
      <c r="R325" t="s">
        <v>125</v>
      </c>
      <c r="S325" t="s">
        <v>125</v>
      </c>
      <c r="T325">
        <v>0</v>
      </c>
      <c r="V325" t="s">
        <v>125</v>
      </c>
      <c r="AE325" t="s">
        <v>125</v>
      </c>
      <c r="AF325">
        <v>0</v>
      </c>
      <c r="AG325" t="s">
        <v>125</v>
      </c>
      <c r="AH325">
        <v>0</v>
      </c>
      <c r="AK325">
        <v>0</v>
      </c>
    </row>
    <row r="326" spans="1:37" x14ac:dyDescent="0.25">
      <c r="A326" t="s">
        <v>79</v>
      </c>
      <c r="B326">
        <v>2</v>
      </c>
      <c r="C326">
        <v>1</v>
      </c>
      <c r="D326">
        <v>3</v>
      </c>
      <c r="E326">
        <v>13</v>
      </c>
      <c r="G326">
        <v>213</v>
      </c>
      <c r="H326" t="s">
        <v>63</v>
      </c>
      <c r="I326" t="s">
        <v>135</v>
      </c>
      <c r="J326" t="s">
        <v>153</v>
      </c>
      <c r="L326">
        <v>0</v>
      </c>
      <c r="M326" t="s">
        <v>125</v>
      </c>
      <c r="O326" t="s">
        <v>125</v>
      </c>
      <c r="P326" t="s">
        <v>125</v>
      </c>
      <c r="Q326" t="s">
        <v>125</v>
      </c>
      <c r="R326" t="s">
        <v>125</v>
      </c>
      <c r="S326" t="s">
        <v>125</v>
      </c>
      <c r="T326">
        <v>0</v>
      </c>
      <c r="V326" t="s">
        <v>125</v>
      </c>
      <c r="AE326" t="s">
        <v>125</v>
      </c>
      <c r="AF326">
        <v>0</v>
      </c>
      <c r="AG326" t="s">
        <v>125</v>
      </c>
      <c r="AH326">
        <v>0</v>
      </c>
      <c r="AK326">
        <v>0</v>
      </c>
    </row>
    <row r="327" spans="1:37" x14ac:dyDescent="0.25">
      <c r="A327" t="s">
        <v>79</v>
      </c>
      <c r="B327">
        <v>2</v>
      </c>
      <c r="C327">
        <v>1</v>
      </c>
      <c r="D327">
        <v>3</v>
      </c>
      <c r="E327">
        <v>14</v>
      </c>
      <c r="G327">
        <v>213</v>
      </c>
      <c r="H327" t="s">
        <v>63</v>
      </c>
      <c r="I327" t="s">
        <v>137</v>
      </c>
      <c r="J327" t="s">
        <v>154</v>
      </c>
      <c r="L327">
        <v>0</v>
      </c>
      <c r="M327" t="s">
        <v>125</v>
      </c>
      <c r="O327" t="s">
        <v>125</v>
      </c>
      <c r="P327" t="s">
        <v>125</v>
      </c>
      <c r="Q327" t="s">
        <v>125</v>
      </c>
      <c r="R327" t="s">
        <v>125</v>
      </c>
      <c r="S327" t="s">
        <v>125</v>
      </c>
      <c r="T327">
        <v>0</v>
      </c>
      <c r="V327" t="s">
        <v>125</v>
      </c>
      <c r="AE327" t="s">
        <v>125</v>
      </c>
      <c r="AF327">
        <v>0</v>
      </c>
      <c r="AG327" t="s">
        <v>125</v>
      </c>
      <c r="AH327">
        <v>0</v>
      </c>
      <c r="AK327">
        <v>0</v>
      </c>
    </row>
    <row r="328" spans="1:37" x14ac:dyDescent="0.25">
      <c r="A328" t="s">
        <v>79</v>
      </c>
      <c r="B328">
        <v>2</v>
      </c>
      <c r="C328">
        <v>1</v>
      </c>
      <c r="D328">
        <v>3</v>
      </c>
      <c r="E328">
        <v>15</v>
      </c>
      <c r="G328">
        <v>213</v>
      </c>
      <c r="H328" t="s">
        <v>63</v>
      </c>
      <c r="I328" t="s">
        <v>139</v>
      </c>
      <c r="J328" t="s">
        <v>155</v>
      </c>
      <c r="L328">
        <v>0</v>
      </c>
      <c r="M328" t="s">
        <v>125</v>
      </c>
      <c r="O328" t="s">
        <v>125</v>
      </c>
      <c r="P328" t="s">
        <v>125</v>
      </c>
      <c r="Q328" t="s">
        <v>125</v>
      </c>
      <c r="R328" t="s">
        <v>125</v>
      </c>
      <c r="S328" t="s">
        <v>125</v>
      </c>
      <c r="T328">
        <v>0</v>
      </c>
      <c r="V328" t="s">
        <v>125</v>
      </c>
      <c r="AE328" t="s">
        <v>125</v>
      </c>
      <c r="AF328">
        <v>0</v>
      </c>
      <c r="AG328" t="s">
        <v>125</v>
      </c>
      <c r="AH328">
        <v>0</v>
      </c>
      <c r="AK328">
        <v>0</v>
      </c>
    </row>
    <row r="329" spans="1:37" x14ac:dyDescent="0.25">
      <c r="L329">
        <v>0</v>
      </c>
    </row>
    <row r="330" spans="1:37" x14ac:dyDescent="0.25">
      <c r="A330" t="s">
        <v>70</v>
      </c>
      <c r="B330">
        <v>2</v>
      </c>
      <c r="C330">
        <v>1</v>
      </c>
      <c r="D330">
        <v>4</v>
      </c>
      <c r="G330">
        <v>21</v>
      </c>
      <c r="L330">
        <v>0</v>
      </c>
      <c r="M330" t="s">
        <v>125</v>
      </c>
      <c r="P330" t="s">
        <v>125</v>
      </c>
      <c r="R330" t="s">
        <v>125</v>
      </c>
      <c r="S330" t="s">
        <v>63</v>
      </c>
      <c r="V330" t="s">
        <v>125</v>
      </c>
      <c r="X330" t="s">
        <v>125</v>
      </c>
      <c r="Y330" t="s">
        <v>125</v>
      </c>
      <c r="Z330" t="s">
        <v>125</v>
      </c>
      <c r="AA330" t="s">
        <v>125</v>
      </c>
      <c r="AB330" t="s">
        <v>125</v>
      </c>
      <c r="AC330" t="s">
        <v>125</v>
      </c>
      <c r="AE330" t="s">
        <v>125</v>
      </c>
      <c r="AF330">
        <v>0</v>
      </c>
      <c r="AG330" t="s">
        <v>125</v>
      </c>
      <c r="AH330">
        <v>0</v>
      </c>
      <c r="AK330">
        <v>0</v>
      </c>
    </row>
    <row r="331" spans="1:37" x14ac:dyDescent="0.25">
      <c r="A331" t="s">
        <v>79</v>
      </c>
      <c r="B331">
        <v>2</v>
      </c>
      <c r="C331">
        <v>1</v>
      </c>
      <c r="D331">
        <v>4</v>
      </c>
      <c r="E331">
        <v>1</v>
      </c>
      <c r="G331">
        <v>214</v>
      </c>
      <c r="H331" t="s">
        <v>63</v>
      </c>
      <c r="I331" t="s">
        <v>80</v>
      </c>
      <c r="J331" t="s">
        <v>141</v>
      </c>
      <c r="L331">
        <v>0</v>
      </c>
      <c r="M331" t="s">
        <v>125</v>
      </c>
      <c r="O331" t="s">
        <v>125</v>
      </c>
      <c r="P331" t="s">
        <v>125</v>
      </c>
      <c r="Q331" t="s">
        <v>125</v>
      </c>
      <c r="R331" t="s">
        <v>125</v>
      </c>
      <c r="S331" t="s">
        <v>125</v>
      </c>
      <c r="T331">
        <v>0</v>
      </c>
      <c r="V331" t="s">
        <v>125</v>
      </c>
      <c r="AE331" t="s">
        <v>125</v>
      </c>
      <c r="AF331">
        <v>0</v>
      </c>
      <c r="AG331" t="s">
        <v>125</v>
      </c>
      <c r="AH331">
        <v>0</v>
      </c>
      <c r="AK331">
        <v>0</v>
      </c>
    </row>
    <row r="332" spans="1:37" x14ac:dyDescent="0.25">
      <c r="A332" t="s">
        <v>79</v>
      </c>
      <c r="B332">
        <v>2</v>
      </c>
      <c r="C332">
        <v>1</v>
      </c>
      <c r="D332">
        <v>4</v>
      </c>
      <c r="E332">
        <v>2</v>
      </c>
      <c r="G332">
        <v>214</v>
      </c>
      <c r="H332" t="s">
        <v>63</v>
      </c>
      <c r="I332" t="s">
        <v>88</v>
      </c>
      <c r="J332" t="s">
        <v>142</v>
      </c>
      <c r="L332">
        <v>0</v>
      </c>
      <c r="M332" t="s">
        <v>125</v>
      </c>
      <c r="O332" t="s">
        <v>125</v>
      </c>
      <c r="P332" t="s">
        <v>125</v>
      </c>
      <c r="Q332" t="s">
        <v>125</v>
      </c>
      <c r="R332" t="s">
        <v>125</v>
      </c>
      <c r="S332" t="s">
        <v>125</v>
      </c>
      <c r="T332">
        <v>0</v>
      </c>
      <c r="V332" t="s">
        <v>125</v>
      </c>
      <c r="AE332" t="s">
        <v>125</v>
      </c>
      <c r="AF332">
        <v>0</v>
      </c>
      <c r="AG332" t="s">
        <v>125</v>
      </c>
      <c r="AH332">
        <v>0</v>
      </c>
      <c r="AK332">
        <v>0</v>
      </c>
    </row>
    <row r="333" spans="1:37" x14ac:dyDescent="0.25">
      <c r="A333" t="s">
        <v>79</v>
      </c>
      <c r="B333">
        <v>2</v>
      </c>
      <c r="C333">
        <v>1</v>
      </c>
      <c r="D333">
        <v>4</v>
      </c>
      <c r="E333">
        <v>3</v>
      </c>
      <c r="G333">
        <v>214</v>
      </c>
      <c r="H333" t="s">
        <v>63</v>
      </c>
      <c r="I333" t="s">
        <v>95</v>
      </c>
      <c r="J333" t="s">
        <v>143</v>
      </c>
      <c r="L333">
        <v>0</v>
      </c>
      <c r="M333" t="s">
        <v>125</v>
      </c>
      <c r="O333" t="s">
        <v>125</v>
      </c>
      <c r="P333" t="s">
        <v>125</v>
      </c>
      <c r="Q333" t="s">
        <v>125</v>
      </c>
      <c r="R333" t="s">
        <v>125</v>
      </c>
      <c r="S333" t="s">
        <v>125</v>
      </c>
      <c r="T333">
        <v>0</v>
      </c>
      <c r="V333" t="s">
        <v>125</v>
      </c>
      <c r="AE333" t="s">
        <v>125</v>
      </c>
      <c r="AF333">
        <v>0</v>
      </c>
      <c r="AG333" t="s">
        <v>125</v>
      </c>
      <c r="AH333">
        <v>0</v>
      </c>
      <c r="AK333">
        <v>0</v>
      </c>
    </row>
    <row r="334" spans="1:37" x14ac:dyDescent="0.25">
      <c r="A334" t="s">
        <v>79</v>
      </c>
      <c r="B334">
        <v>2</v>
      </c>
      <c r="C334">
        <v>1</v>
      </c>
      <c r="D334">
        <v>4</v>
      </c>
      <c r="E334">
        <v>4</v>
      </c>
      <c r="G334">
        <v>214</v>
      </c>
      <c r="H334" t="s">
        <v>63</v>
      </c>
      <c r="I334" t="s">
        <v>102</v>
      </c>
      <c r="J334" t="s">
        <v>144</v>
      </c>
      <c r="L334">
        <v>0</v>
      </c>
      <c r="M334" t="s">
        <v>125</v>
      </c>
      <c r="O334" t="s">
        <v>125</v>
      </c>
      <c r="P334" t="s">
        <v>125</v>
      </c>
      <c r="Q334" t="s">
        <v>125</v>
      </c>
      <c r="R334" t="s">
        <v>125</v>
      </c>
      <c r="S334" t="s">
        <v>125</v>
      </c>
      <c r="T334">
        <v>0</v>
      </c>
      <c r="V334" t="s">
        <v>125</v>
      </c>
      <c r="AE334" t="s">
        <v>125</v>
      </c>
      <c r="AF334">
        <v>0</v>
      </c>
      <c r="AG334" t="s">
        <v>125</v>
      </c>
      <c r="AH334">
        <v>0</v>
      </c>
      <c r="AK334">
        <v>0</v>
      </c>
    </row>
    <row r="335" spans="1:37" x14ac:dyDescent="0.25">
      <c r="A335" t="s">
        <v>79</v>
      </c>
      <c r="B335">
        <v>2</v>
      </c>
      <c r="C335">
        <v>1</v>
      </c>
      <c r="D335">
        <v>4</v>
      </c>
      <c r="E335">
        <v>5</v>
      </c>
      <c r="G335">
        <v>214</v>
      </c>
      <c r="H335" t="s">
        <v>63</v>
      </c>
      <c r="I335" t="s">
        <v>109</v>
      </c>
      <c r="J335" t="s">
        <v>145</v>
      </c>
      <c r="L335">
        <v>0</v>
      </c>
      <c r="M335" t="s">
        <v>125</v>
      </c>
      <c r="O335" t="s">
        <v>125</v>
      </c>
      <c r="P335" t="s">
        <v>125</v>
      </c>
      <c r="Q335" t="s">
        <v>125</v>
      </c>
      <c r="R335" t="s">
        <v>125</v>
      </c>
      <c r="S335" t="s">
        <v>125</v>
      </c>
      <c r="T335">
        <v>0</v>
      </c>
      <c r="V335" t="s">
        <v>125</v>
      </c>
      <c r="AE335" t="s">
        <v>125</v>
      </c>
      <c r="AF335">
        <v>0</v>
      </c>
      <c r="AG335" t="s">
        <v>125</v>
      </c>
      <c r="AH335">
        <v>0</v>
      </c>
      <c r="AK335">
        <v>0</v>
      </c>
    </row>
    <row r="336" spans="1:37" x14ac:dyDescent="0.25">
      <c r="A336" t="s">
        <v>79</v>
      </c>
      <c r="B336">
        <v>2</v>
      </c>
      <c r="C336">
        <v>1</v>
      </c>
      <c r="D336">
        <v>4</v>
      </c>
      <c r="E336">
        <v>6</v>
      </c>
      <c r="G336">
        <v>214</v>
      </c>
      <c r="H336" t="s">
        <v>63</v>
      </c>
      <c r="I336" t="s">
        <v>116</v>
      </c>
      <c r="J336" t="s">
        <v>146</v>
      </c>
      <c r="L336">
        <v>0</v>
      </c>
      <c r="M336" t="s">
        <v>125</v>
      </c>
      <c r="O336" t="s">
        <v>125</v>
      </c>
      <c r="P336" t="s">
        <v>125</v>
      </c>
      <c r="Q336" t="s">
        <v>125</v>
      </c>
      <c r="R336" t="s">
        <v>125</v>
      </c>
      <c r="S336" t="s">
        <v>125</v>
      </c>
      <c r="T336">
        <v>0</v>
      </c>
      <c r="V336" t="s">
        <v>125</v>
      </c>
      <c r="AE336" t="s">
        <v>125</v>
      </c>
      <c r="AF336">
        <v>0</v>
      </c>
      <c r="AG336" t="s">
        <v>125</v>
      </c>
      <c r="AH336">
        <v>0</v>
      </c>
      <c r="AK336">
        <v>0</v>
      </c>
    </row>
    <row r="337" spans="1:37" x14ac:dyDescent="0.25">
      <c r="A337" t="s">
        <v>79</v>
      </c>
      <c r="B337">
        <v>2</v>
      </c>
      <c r="C337">
        <v>1</v>
      </c>
      <c r="D337">
        <v>4</v>
      </c>
      <c r="E337">
        <v>7</v>
      </c>
      <c r="G337">
        <v>214</v>
      </c>
      <c r="H337" t="s">
        <v>63</v>
      </c>
      <c r="I337" t="s">
        <v>123</v>
      </c>
      <c r="J337" t="s">
        <v>147</v>
      </c>
      <c r="L337">
        <v>0</v>
      </c>
      <c r="M337" t="s">
        <v>125</v>
      </c>
      <c r="O337" t="s">
        <v>125</v>
      </c>
      <c r="P337" t="s">
        <v>125</v>
      </c>
      <c r="Q337" t="s">
        <v>125</v>
      </c>
      <c r="R337" t="s">
        <v>125</v>
      </c>
      <c r="S337" t="s">
        <v>125</v>
      </c>
      <c r="T337">
        <v>0</v>
      </c>
      <c r="V337" t="s">
        <v>125</v>
      </c>
      <c r="AE337" t="s">
        <v>125</v>
      </c>
      <c r="AF337">
        <v>0</v>
      </c>
      <c r="AG337" t="s">
        <v>125</v>
      </c>
      <c r="AH337">
        <v>0</v>
      </c>
      <c r="AK337">
        <v>0</v>
      </c>
    </row>
    <row r="338" spans="1:37" x14ac:dyDescent="0.25">
      <c r="A338" t="s">
        <v>79</v>
      </c>
      <c r="B338">
        <v>2</v>
      </c>
      <c r="C338">
        <v>1</v>
      </c>
      <c r="D338">
        <v>4</v>
      </c>
      <c r="E338">
        <v>8</v>
      </c>
      <c r="G338">
        <v>214</v>
      </c>
      <c r="H338" t="s">
        <v>63</v>
      </c>
      <c r="I338" t="s">
        <v>126</v>
      </c>
      <c r="J338" t="s">
        <v>148</v>
      </c>
      <c r="L338">
        <v>0</v>
      </c>
      <c r="M338" t="s">
        <v>125</v>
      </c>
      <c r="O338" t="s">
        <v>125</v>
      </c>
      <c r="P338" t="s">
        <v>125</v>
      </c>
      <c r="Q338" t="s">
        <v>125</v>
      </c>
      <c r="R338" t="s">
        <v>125</v>
      </c>
      <c r="S338" t="s">
        <v>125</v>
      </c>
      <c r="T338">
        <v>0</v>
      </c>
      <c r="V338" t="s">
        <v>125</v>
      </c>
      <c r="AE338" t="s">
        <v>125</v>
      </c>
      <c r="AF338">
        <v>0</v>
      </c>
      <c r="AG338" t="s">
        <v>125</v>
      </c>
      <c r="AH338">
        <v>0</v>
      </c>
      <c r="AK338">
        <v>0</v>
      </c>
    </row>
    <row r="339" spans="1:37" x14ac:dyDescent="0.25">
      <c r="A339" t="s">
        <v>79</v>
      </c>
      <c r="B339">
        <v>2</v>
      </c>
      <c r="C339">
        <v>1</v>
      </c>
      <c r="D339">
        <v>4</v>
      </c>
      <c r="E339">
        <v>9</v>
      </c>
      <c r="G339">
        <v>214</v>
      </c>
      <c r="H339" t="s">
        <v>63</v>
      </c>
      <c r="I339" t="s">
        <v>74</v>
      </c>
      <c r="J339" t="s">
        <v>149</v>
      </c>
      <c r="L339">
        <v>0</v>
      </c>
      <c r="M339" t="s">
        <v>125</v>
      </c>
      <c r="O339" t="s">
        <v>125</v>
      </c>
      <c r="P339" t="s">
        <v>125</v>
      </c>
      <c r="Q339" t="s">
        <v>125</v>
      </c>
      <c r="R339" t="s">
        <v>125</v>
      </c>
      <c r="S339" t="s">
        <v>125</v>
      </c>
      <c r="T339">
        <v>0</v>
      </c>
      <c r="V339" t="s">
        <v>125</v>
      </c>
      <c r="AE339" t="s">
        <v>125</v>
      </c>
      <c r="AF339">
        <v>0</v>
      </c>
      <c r="AG339" t="s">
        <v>125</v>
      </c>
      <c r="AH339">
        <v>0</v>
      </c>
      <c r="AK339">
        <v>0</v>
      </c>
    </row>
    <row r="340" spans="1:37" x14ac:dyDescent="0.25">
      <c r="A340" t="s">
        <v>79</v>
      </c>
      <c r="B340">
        <v>2</v>
      </c>
      <c r="C340">
        <v>1</v>
      </c>
      <c r="D340">
        <v>4</v>
      </c>
      <c r="E340">
        <v>10</v>
      </c>
      <c r="G340">
        <v>214</v>
      </c>
      <c r="H340" t="s">
        <v>63</v>
      </c>
      <c r="I340" t="s">
        <v>129</v>
      </c>
      <c r="J340" t="s">
        <v>150</v>
      </c>
      <c r="L340">
        <v>0</v>
      </c>
      <c r="M340" t="s">
        <v>125</v>
      </c>
      <c r="O340" t="s">
        <v>125</v>
      </c>
      <c r="P340" t="s">
        <v>125</v>
      </c>
      <c r="Q340" t="s">
        <v>125</v>
      </c>
      <c r="R340" t="s">
        <v>125</v>
      </c>
      <c r="S340" t="s">
        <v>125</v>
      </c>
      <c r="T340">
        <v>0</v>
      </c>
      <c r="V340" t="s">
        <v>125</v>
      </c>
      <c r="AE340" t="s">
        <v>125</v>
      </c>
      <c r="AF340">
        <v>0</v>
      </c>
      <c r="AG340" t="s">
        <v>125</v>
      </c>
      <c r="AH340">
        <v>0</v>
      </c>
      <c r="AK340">
        <v>0</v>
      </c>
    </row>
    <row r="341" spans="1:37" x14ac:dyDescent="0.25">
      <c r="A341" t="s">
        <v>79</v>
      </c>
      <c r="B341">
        <v>2</v>
      </c>
      <c r="C341">
        <v>1</v>
      </c>
      <c r="D341">
        <v>4</v>
      </c>
      <c r="E341">
        <v>11</v>
      </c>
      <c r="G341">
        <v>214</v>
      </c>
      <c r="H341" t="s">
        <v>63</v>
      </c>
      <c r="I341" t="s">
        <v>131</v>
      </c>
      <c r="J341" t="s">
        <v>151</v>
      </c>
      <c r="L341">
        <v>0</v>
      </c>
      <c r="M341" t="s">
        <v>125</v>
      </c>
      <c r="O341" t="s">
        <v>125</v>
      </c>
      <c r="P341" t="s">
        <v>125</v>
      </c>
      <c r="Q341" t="s">
        <v>125</v>
      </c>
      <c r="R341" t="s">
        <v>125</v>
      </c>
      <c r="S341" t="s">
        <v>125</v>
      </c>
      <c r="T341">
        <v>0</v>
      </c>
      <c r="V341" t="s">
        <v>125</v>
      </c>
      <c r="AE341" t="s">
        <v>125</v>
      </c>
      <c r="AF341">
        <v>0</v>
      </c>
      <c r="AG341" t="s">
        <v>125</v>
      </c>
      <c r="AH341">
        <v>0</v>
      </c>
      <c r="AK341">
        <v>0</v>
      </c>
    </row>
    <row r="342" spans="1:37" x14ac:dyDescent="0.25">
      <c r="A342" t="s">
        <v>79</v>
      </c>
      <c r="B342">
        <v>2</v>
      </c>
      <c r="C342">
        <v>1</v>
      </c>
      <c r="D342">
        <v>4</v>
      </c>
      <c r="E342">
        <v>12</v>
      </c>
      <c r="G342">
        <v>214</v>
      </c>
      <c r="H342" t="s">
        <v>63</v>
      </c>
      <c r="I342" t="s">
        <v>133</v>
      </c>
      <c r="J342" t="s">
        <v>152</v>
      </c>
      <c r="L342">
        <v>0</v>
      </c>
      <c r="M342" t="s">
        <v>125</v>
      </c>
      <c r="O342" t="s">
        <v>125</v>
      </c>
      <c r="P342" t="s">
        <v>125</v>
      </c>
      <c r="Q342" t="s">
        <v>125</v>
      </c>
      <c r="R342" t="s">
        <v>125</v>
      </c>
      <c r="S342" t="s">
        <v>125</v>
      </c>
      <c r="T342">
        <v>0</v>
      </c>
      <c r="V342" t="s">
        <v>125</v>
      </c>
      <c r="AE342" t="s">
        <v>125</v>
      </c>
      <c r="AF342">
        <v>0</v>
      </c>
      <c r="AG342" t="s">
        <v>125</v>
      </c>
      <c r="AH342">
        <v>0</v>
      </c>
      <c r="AK342">
        <v>0</v>
      </c>
    </row>
    <row r="343" spans="1:37" x14ac:dyDescent="0.25">
      <c r="A343" t="s">
        <v>79</v>
      </c>
      <c r="B343">
        <v>2</v>
      </c>
      <c r="C343">
        <v>1</v>
      </c>
      <c r="D343">
        <v>4</v>
      </c>
      <c r="E343">
        <v>13</v>
      </c>
      <c r="G343">
        <v>214</v>
      </c>
      <c r="H343" t="s">
        <v>63</v>
      </c>
      <c r="I343" t="s">
        <v>135</v>
      </c>
      <c r="J343" t="s">
        <v>153</v>
      </c>
      <c r="L343">
        <v>0</v>
      </c>
      <c r="M343" t="s">
        <v>125</v>
      </c>
      <c r="O343" t="s">
        <v>125</v>
      </c>
      <c r="P343" t="s">
        <v>125</v>
      </c>
      <c r="Q343" t="s">
        <v>125</v>
      </c>
      <c r="R343" t="s">
        <v>125</v>
      </c>
      <c r="S343" t="s">
        <v>125</v>
      </c>
      <c r="T343">
        <v>0</v>
      </c>
      <c r="V343" t="s">
        <v>125</v>
      </c>
      <c r="AE343" t="s">
        <v>125</v>
      </c>
      <c r="AF343">
        <v>0</v>
      </c>
      <c r="AG343" t="s">
        <v>125</v>
      </c>
      <c r="AH343">
        <v>0</v>
      </c>
      <c r="AK343">
        <v>0</v>
      </c>
    </row>
    <row r="344" spans="1:37" x14ac:dyDescent="0.25">
      <c r="A344" t="s">
        <v>79</v>
      </c>
      <c r="B344">
        <v>2</v>
      </c>
      <c r="C344">
        <v>1</v>
      </c>
      <c r="D344">
        <v>4</v>
      </c>
      <c r="E344">
        <v>14</v>
      </c>
      <c r="G344">
        <v>214</v>
      </c>
      <c r="H344" t="s">
        <v>63</v>
      </c>
      <c r="I344" t="s">
        <v>137</v>
      </c>
      <c r="J344" t="s">
        <v>154</v>
      </c>
      <c r="L344">
        <v>0</v>
      </c>
      <c r="M344" t="s">
        <v>125</v>
      </c>
      <c r="O344" t="s">
        <v>125</v>
      </c>
      <c r="P344" t="s">
        <v>125</v>
      </c>
      <c r="Q344" t="s">
        <v>125</v>
      </c>
      <c r="R344" t="s">
        <v>125</v>
      </c>
      <c r="S344" t="s">
        <v>125</v>
      </c>
      <c r="T344">
        <v>0</v>
      </c>
      <c r="V344" t="s">
        <v>125</v>
      </c>
      <c r="AE344" t="s">
        <v>125</v>
      </c>
      <c r="AF344">
        <v>0</v>
      </c>
      <c r="AG344" t="s">
        <v>125</v>
      </c>
      <c r="AH344">
        <v>0</v>
      </c>
      <c r="AK344">
        <v>0</v>
      </c>
    </row>
    <row r="345" spans="1:37" x14ac:dyDescent="0.25">
      <c r="A345" t="s">
        <v>79</v>
      </c>
      <c r="B345">
        <v>2</v>
      </c>
      <c r="C345">
        <v>1</v>
      </c>
      <c r="D345">
        <v>4</v>
      </c>
      <c r="E345">
        <v>15</v>
      </c>
      <c r="G345">
        <v>214</v>
      </c>
      <c r="H345" t="s">
        <v>63</v>
      </c>
      <c r="I345" t="s">
        <v>139</v>
      </c>
      <c r="J345" t="s">
        <v>155</v>
      </c>
      <c r="L345">
        <v>0</v>
      </c>
      <c r="M345" t="s">
        <v>125</v>
      </c>
      <c r="O345" t="s">
        <v>125</v>
      </c>
      <c r="P345" t="s">
        <v>125</v>
      </c>
      <c r="Q345" t="s">
        <v>125</v>
      </c>
      <c r="R345" t="s">
        <v>125</v>
      </c>
      <c r="S345" t="s">
        <v>125</v>
      </c>
      <c r="T345">
        <v>0</v>
      </c>
      <c r="V345" t="s">
        <v>125</v>
      </c>
      <c r="AE345" t="s">
        <v>125</v>
      </c>
      <c r="AF345">
        <v>0</v>
      </c>
      <c r="AG345" t="s">
        <v>125</v>
      </c>
      <c r="AH345">
        <v>0</v>
      </c>
      <c r="AK345">
        <v>0</v>
      </c>
    </row>
    <row r="346" spans="1:37" x14ac:dyDescent="0.25">
      <c r="L346">
        <v>0</v>
      </c>
    </row>
    <row r="347" spans="1:37" x14ac:dyDescent="0.25">
      <c r="A347" t="s">
        <v>70</v>
      </c>
      <c r="B347">
        <v>2</v>
      </c>
      <c r="C347">
        <v>1</v>
      </c>
      <c r="D347">
        <v>5</v>
      </c>
      <c r="G347">
        <v>21</v>
      </c>
      <c r="L347">
        <v>0</v>
      </c>
      <c r="M347" t="s">
        <v>125</v>
      </c>
      <c r="P347" t="s">
        <v>125</v>
      </c>
      <c r="R347" t="s">
        <v>125</v>
      </c>
      <c r="S347" t="s">
        <v>63</v>
      </c>
      <c r="V347" t="s">
        <v>125</v>
      </c>
      <c r="X347" t="s">
        <v>125</v>
      </c>
      <c r="Y347" t="s">
        <v>125</v>
      </c>
      <c r="Z347" t="s">
        <v>125</v>
      </c>
      <c r="AA347" t="s">
        <v>125</v>
      </c>
      <c r="AB347" t="s">
        <v>125</v>
      </c>
      <c r="AC347" t="s">
        <v>125</v>
      </c>
      <c r="AE347" t="s">
        <v>125</v>
      </c>
      <c r="AF347">
        <v>0</v>
      </c>
      <c r="AG347" t="s">
        <v>125</v>
      </c>
      <c r="AH347">
        <v>0</v>
      </c>
      <c r="AK347">
        <v>0</v>
      </c>
    </row>
    <row r="348" spans="1:37" x14ac:dyDescent="0.25">
      <c r="A348" t="s">
        <v>79</v>
      </c>
      <c r="B348">
        <v>2</v>
      </c>
      <c r="C348">
        <v>1</v>
      </c>
      <c r="D348">
        <v>5</v>
      </c>
      <c r="E348">
        <v>1</v>
      </c>
      <c r="G348">
        <v>215</v>
      </c>
      <c r="H348" t="s">
        <v>63</v>
      </c>
      <c r="I348" t="s">
        <v>80</v>
      </c>
      <c r="J348" t="s">
        <v>141</v>
      </c>
      <c r="L348">
        <v>0</v>
      </c>
      <c r="M348" t="s">
        <v>125</v>
      </c>
      <c r="O348" t="s">
        <v>125</v>
      </c>
      <c r="P348" t="s">
        <v>125</v>
      </c>
      <c r="Q348" t="s">
        <v>125</v>
      </c>
      <c r="R348" t="s">
        <v>125</v>
      </c>
      <c r="S348" t="s">
        <v>125</v>
      </c>
      <c r="T348">
        <v>0</v>
      </c>
      <c r="V348" t="s">
        <v>125</v>
      </c>
      <c r="AE348" t="s">
        <v>125</v>
      </c>
      <c r="AF348">
        <v>0</v>
      </c>
      <c r="AG348" t="s">
        <v>125</v>
      </c>
      <c r="AH348">
        <v>0</v>
      </c>
      <c r="AK348">
        <v>0</v>
      </c>
    </row>
    <row r="349" spans="1:37" x14ac:dyDescent="0.25">
      <c r="A349" t="s">
        <v>79</v>
      </c>
      <c r="B349">
        <v>2</v>
      </c>
      <c r="C349">
        <v>1</v>
      </c>
      <c r="D349">
        <v>5</v>
      </c>
      <c r="E349">
        <v>2</v>
      </c>
      <c r="G349">
        <v>215</v>
      </c>
      <c r="H349" t="s">
        <v>63</v>
      </c>
      <c r="I349" t="s">
        <v>88</v>
      </c>
      <c r="J349" t="s">
        <v>142</v>
      </c>
      <c r="L349">
        <v>0</v>
      </c>
      <c r="M349" t="s">
        <v>125</v>
      </c>
      <c r="O349" t="s">
        <v>125</v>
      </c>
      <c r="P349" t="s">
        <v>125</v>
      </c>
      <c r="Q349" t="s">
        <v>125</v>
      </c>
      <c r="R349" t="s">
        <v>125</v>
      </c>
      <c r="S349" t="s">
        <v>125</v>
      </c>
      <c r="T349">
        <v>0</v>
      </c>
      <c r="V349" t="s">
        <v>125</v>
      </c>
      <c r="AE349" t="s">
        <v>125</v>
      </c>
      <c r="AF349">
        <v>0</v>
      </c>
      <c r="AG349" t="s">
        <v>125</v>
      </c>
      <c r="AH349">
        <v>0</v>
      </c>
      <c r="AK349">
        <v>0</v>
      </c>
    </row>
    <row r="350" spans="1:37" x14ac:dyDescent="0.25">
      <c r="A350" t="s">
        <v>79</v>
      </c>
      <c r="B350">
        <v>2</v>
      </c>
      <c r="C350">
        <v>1</v>
      </c>
      <c r="D350">
        <v>5</v>
      </c>
      <c r="E350">
        <v>3</v>
      </c>
      <c r="G350">
        <v>215</v>
      </c>
      <c r="H350" t="s">
        <v>63</v>
      </c>
      <c r="I350" t="s">
        <v>95</v>
      </c>
      <c r="J350" t="s">
        <v>143</v>
      </c>
      <c r="L350">
        <v>0</v>
      </c>
      <c r="M350" t="s">
        <v>125</v>
      </c>
      <c r="O350" t="s">
        <v>125</v>
      </c>
      <c r="P350" t="s">
        <v>125</v>
      </c>
      <c r="Q350" t="s">
        <v>125</v>
      </c>
      <c r="R350" t="s">
        <v>125</v>
      </c>
      <c r="S350" t="s">
        <v>125</v>
      </c>
      <c r="T350">
        <v>0</v>
      </c>
      <c r="V350" t="s">
        <v>125</v>
      </c>
      <c r="AE350" t="s">
        <v>125</v>
      </c>
      <c r="AF350">
        <v>0</v>
      </c>
      <c r="AG350" t="s">
        <v>125</v>
      </c>
      <c r="AH350">
        <v>0</v>
      </c>
      <c r="AK350">
        <v>0</v>
      </c>
    </row>
    <row r="351" spans="1:37" x14ac:dyDescent="0.25">
      <c r="A351" t="s">
        <v>79</v>
      </c>
      <c r="B351">
        <v>2</v>
      </c>
      <c r="C351">
        <v>1</v>
      </c>
      <c r="D351">
        <v>5</v>
      </c>
      <c r="E351">
        <v>4</v>
      </c>
      <c r="G351">
        <v>215</v>
      </c>
      <c r="H351" t="s">
        <v>63</v>
      </c>
      <c r="I351" t="s">
        <v>102</v>
      </c>
      <c r="J351" t="s">
        <v>144</v>
      </c>
      <c r="L351">
        <v>0</v>
      </c>
      <c r="M351" t="s">
        <v>125</v>
      </c>
      <c r="O351" t="s">
        <v>125</v>
      </c>
      <c r="P351" t="s">
        <v>125</v>
      </c>
      <c r="Q351" t="s">
        <v>125</v>
      </c>
      <c r="R351" t="s">
        <v>125</v>
      </c>
      <c r="S351" t="s">
        <v>125</v>
      </c>
      <c r="T351">
        <v>0</v>
      </c>
      <c r="V351" t="s">
        <v>125</v>
      </c>
      <c r="AE351" t="s">
        <v>125</v>
      </c>
      <c r="AF351">
        <v>0</v>
      </c>
      <c r="AG351" t="s">
        <v>125</v>
      </c>
      <c r="AH351">
        <v>0</v>
      </c>
      <c r="AK351">
        <v>0</v>
      </c>
    </row>
    <row r="352" spans="1:37" x14ac:dyDescent="0.25">
      <c r="A352" t="s">
        <v>79</v>
      </c>
      <c r="B352">
        <v>2</v>
      </c>
      <c r="C352">
        <v>1</v>
      </c>
      <c r="D352">
        <v>5</v>
      </c>
      <c r="E352">
        <v>5</v>
      </c>
      <c r="G352">
        <v>215</v>
      </c>
      <c r="H352" t="s">
        <v>63</v>
      </c>
      <c r="I352" t="s">
        <v>109</v>
      </c>
      <c r="J352" t="s">
        <v>145</v>
      </c>
      <c r="L352">
        <v>0</v>
      </c>
      <c r="M352" t="s">
        <v>125</v>
      </c>
      <c r="O352" t="s">
        <v>125</v>
      </c>
      <c r="P352" t="s">
        <v>125</v>
      </c>
      <c r="Q352" t="s">
        <v>125</v>
      </c>
      <c r="R352" t="s">
        <v>125</v>
      </c>
      <c r="S352" t="s">
        <v>125</v>
      </c>
      <c r="T352">
        <v>0</v>
      </c>
      <c r="V352" t="s">
        <v>125</v>
      </c>
      <c r="AE352" t="s">
        <v>125</v>
      </c>
      <c r="AF352">
        <v>0</v>
      </c>
      <c r="AG352" t="s">
        <v>125</v>
      </c>
      <c r="AH352">
        <v>0</v>
      </c>
      <c r="AK352">
        <v>0</v>
      </c>
    </row>
    <row r="353" spans="1:37" x14ac:dyDescent="0.25">
      <c r="A353" t="s">
        <v>79</v>
      </c>
      <c r="B353">
        <v>2</v>
      </c>
      <c r="C353">
        <v>1</v>
      </c>
      <c r="D353">
        <v>5</v>
      </c>
      <c r="E353">
        <v>6</v>
      </c>
      <c r="G353">
        <v>215</v>
      </c>
      <c r="H353" t="s">
        <v>63</v>
      </c>
      <c r="I353" t="s">
        <v>116</v>
      </c>
      <c r="J353" t="s">
        <v>146</v>
      </c>
      <c r="L353">
        <v>0</v>
      </c>
      <c r="M353" t="s">
        <v>125</v>
      </c>
      <c r="O353" t="s">
        <v>125</v>
      </c>
      <c r="P353" t="s">
        <v>125</v>
      </c>
      <c r="Q353" t="s">
        <v>125</v>
      </c>
      <c r="R353" t="s">
        <v>125</v>
      </c>
      <c r="S353" t="s">
        <v>125</v>
      </c>
      <c r="T353">
        <v>0</v>
      </c>
      <c r="V353" t="s">
        <v>125</v>
      </c>
      <c r="AE353" t="s">
        <v>125</v>
      </c>
      <c r="AF353">
        <v>0</v>
      </c>
      <c r="AG353" t="s">
        <v>125</v>
      </c>
      <c r="AH353">
        <v>0</v>
      </c>
      <c r="AK353">
        <v>0</v>
      </c>
    </row>
    <row r="354" spans="1:37" x14ac:dyDescent="0.25">
      <c r="A354" t="s">
        <v>79</v>
      </c>
      <c r="B354">
        <v>2</v>
      </c>
      <c r="C354">
        <v>1</v>
      </c>
      <c r="D354">
        <v>5</v>
      </c>
      <c r="E354">
        <v>7</v>
      </c>
      <c r="G354">
        <v>215</v>
      </c>
      <c r="H354" t="s">
        <v>63</v>
      </c>
      <c r="I354" t="s">
        <v>123</v>
      </c>
      <c r="J354" t="s">
        <v>147</v>
      </c>
      <c r="L354">
        <v>0</v>
      </c>
      <c r="M354" t="s">
        <v>125</v>
      </c>
      <c r="O354" t="s">
        <v>125</v>
      </c>
      <c r="P354" t="s">
        <v>125</v>
      </c>
      <c r="Q354" t="s">
        <v>125</v>
      </c>
      <c r="R354" t="s">
        <v>125</v>
      </c>
      <c r="S354" t="s">
        <v>125</v>
      </c>
      <c r="T354">
        <v>0</v>
      </c>
      <c r="V354" t="s">
        <v>125</v>
      </c>
      <c r="AE354" t="s">
        <v>125</v>
      </c>
      <c r="AF354">
        <v>0</v>
      </c>
      <c r="AG354" t="s">
        <v>125</v>
      </c>
      <c r="AH354">
        <v>0</v>
      </c>
      <c r="AK354">
        <v>0</v>
      </c>
    </row>
    <row r="355" spans="1:37" x14ac:dyDescent="0.25">
      <c r="A355" t="s">
        <v>79</v>
      </c>
      <c r="B355">
        <v>2</v>
      </c>
      <c r="C355">
        <v>1</v>
      </c>
      <c r="D355">
        <v>5</v>
      </c>
      <c r="E355">
        <v>8</v>
      </c>
      <c r="G355">
        <v>215</v>
      </c>
      <c r="H355" t="s">
        <v>63</v>
      </c>
      <c r="I355" t="s">
        <v>126</v>
      </c>
      <c r="J355" t="s">
        <v>148</v>
      </c>
      <c r="L355">
        <v>0</v>
      </c>
      <c r="M355" t="s">
        <v>125</v>
      </c>
      <c r="O355" t="s">
        <v>125</v>
      </c>
      <c r="P355" t="s">
        <v>125</v>
      </c>
      <c r="Q355" t="s">
        <v>125</v>
      </c>
      <c r="R355" t="s">
        <v>125</v>
      </c>
      <c r="S355" t="s">
        <v>125</v>
      </c>
      <c r="T355">
        <v>0</v>
      </c>
      <c r="V355" t="s">
        <v>125</v>
      </c>
      <c r="AE355" t="s">
        <v>125</v>
      </c>
      <c r="AF355">
        <v>0</v>
      </c>
      <c r="AG355" t="s">
        <v>125</v>
      </c>
      <c r="AH355">
        <v>0</v>
      </c>
      <c r="AK355">
        <v>0</v>
      </c>
    </row>
    <row r="356" spans="1:37" x14ac:dyDescent="0.25">
      <c r="A356" t="s">
        <v>79</v>
      </c>
      <c r="B356">
        <v>2</v>
      </c>
      <c r="C356">
        <v>1</v>
      </c>
      <c r="D356">
        <v>5</v>
      </c>
      <c r="E356">
        <v>9</v>
      </c>
      <c r="G356">
        <v>215</v>
      </c>
      <c r="H356" t="s">
        <v>63</v>
      </c>
      <c r="I356" t="s">
        <v>74</v>
      </c>
      <c r="J356" t="s">
        <v>149</v>
      </c>
      <c r="L356">
        <v>0</v>
      </c>
      <c r="M356" t="s">
        <v>125</v>
      </c>
      <c r="O356" t="s">
        <v>125</v>
      </c>
      <c r="P356" t="s">
        <v>125</v>
      </c>
      <c r="Q356" t="s">
        <v>125</v>
      </c>
      <c r="R356" t="s">
        <v>125</v>
      </c>
      <c r="S356" t="s">
        <v>125</v>
      </c>
      <c r="T356">
        <v>0</v>
      </c>
      <c r="V356" t="s">
        <v>125</v>
      </c>
      <c r="AE356" t="s">
        <v>125</v>
      </c>
      <c r="AF356">
        <v>0</v>
      </c>
      <c r="AG356" t="s">
        <v>125</v>
      </c>
      <c r="AH356">
        <v>0</v>
      </c>
      <c r="AK356">
        <v>0</v>
      </c>
    </row>
    <row r="357" spans="1:37" x14ac:dyDescent="0.25">
      <c r="A357" t="s">
        <v>79</v>
      </c>
      <c r="B357">
        <v>2</v>
      </c>
      <c r="C357">
        <v>1</v>
      </c>
      <c r="D357">
        <v>5</v>
      </c>
      <c r="E357">
        <v>10</v>
      </c>
      <c r="G357">
        <v>215</v>
      </c>
      <c r="H357" t="s">
        <v>63</v>
      </c>
      <c r="I357" t="s">
        <v>129</v>
      </c>
      <c r="J357" t="s">
        <v>150</v>
      </c>
      <c r="L357">
        <v>0</v>
      </c>
      <c r="M357" t="s">
        <v>125</v>
      </c>
      <c r="O357" t="s">
        <v>125</v>
      </c>
      <c r="P357" t="s">
        <v>125</v>
      </c>
      <c r="Q357" t="s">
        <v>125</v>
      </c>
      <c r="R357" t="s">
        <v>125</v>
      </c>
      <c r="S357" t="s">
        <v>125</v>
      </c>
      <c r="T357">
        <v>0</v>
      </c>
      <c r="V357" t="s">
        <v>125</v>
      </c>
      <c r="AE357" t="s">
        <v>125</v>
      </c>
      <c r="AF357">
        <v>0</v>
      </c>
      <c r="AG357" t="s">
        <v>125</v>
      </c>
      <c r="AH357">
        <v>0</v>
      </c>
      <c r="AK357">
        <v>0</v>
      </c>
    </row>
    <row r="358" spans="1:37" x14ac:dyDescent="0.25">
      <c r="A358" t="s">
        <v>79</v>
      </c>
      <c r="B358">
        <v>2</v>
      </c>
      <c r="C358">
        <v>1</v>
      </c>
      <c r="D358">
        <v>5</v>
      </c>
      <c r="E358">
        <v>11</v>
      </c>
      <c r="G358">
        <v>215</v>
      </c>
      <c r="H358" t="s">
        <v>63</v>
      </c>
      <c r="I358" t="s">
        <v>131</v>
      </c>
      <c r="J358" t="s">
        <v>151</v>
      </c>
      <c r="L358">
        <v>0</v>
      </c>
      <c r="M358" t="s">
        <v>125</v>
      </c>
      <c r="O358" t="s">
        <v>125</v>
      </c>
      <c r="P358" t="s">
        <v>125</v>
      </c>
      <c r="Q358" t="s">
        <v>125</v>
      </c>
      <c r="R358" t="s">
        <v>125</v>
      </c>
      <c r="S358" t="s">
        <v>125</v>
      </c>
      <c r="T358">
        <v>0</v>
      </c>
      <c r="V358" t="s">
        <v>125</v>
      </c>
      <c r="AE358" t="s">
        <v>125</v>
      </c>
      <c r="AF358">
        <v>0</v>
      </c>
      <c r="AG358" t="s">
        <v>125</v>
      </c>
      <c r="AH358">
        <v>0</v>
      </c>
      <c r="AK358">
        <v>0</v>
      </c>
    </row>
    <row r="359" spans="1:37" x14ac:dyDescent="0.25">
      <c r="A359" t="s">
        <v>79</v>
      </c>
      <c r="B359">
        <v>2</v>
      </c>
      <c r="C359">
        <v>1</v>
      </c>
      <c r="D359">
        <v>5</v>
      </c>
      <c r="E359">
        <v>12</v>
      </c>
      <c r="G359">
        <v>215</v>
      </c>
      <c r="H359" t="s">
        <v>63</v>
      </c>
      <c r="I359" t="s">
        <v>133</v>
      </c>
      <c r="J359" t="s">
        <v>152</v>
      </c>
      <c r="L359">
        <v>0</v>
      </c>
      <c r="M359" t="s">
        <v>125</v>
      </c>
      <c r="O359" t="s">
        <v>125</v>
      </c>
      <c r="P359" t="s">
        <v>125</v>
      </c>
      <c r="Q359" t="s">
        <v>125</v>
      </c>
      <c r="R359" t="s">
        <v>125</v>
      </c>
      <c r="S359" t="s">
        <v>125</v>
      </c>
      <c r="T359">
        <v>0</v>
      </c>
      <c r="V359" t="s">
        <v>125</v>
      </c>
      <c r="AE359" t="s">
        <v>125</v>
      </c>
      <c r="AF359">
        <v>0</v>
      </c>
      <c r="AG359" t="s">
        <v>125</v>
      </c>
      <c r="AH359">
        <v>0</v>
      </c>
      <c r="AK359">
        <v>0</v>
      </c>
    </row>
    <row r="360" spans="1:37" x14ac:dyDescent="0.25">
      <c r="A360" t="s">
        <v>79</v>
      </c>
      <c r="B360">
        <v>2</v>
      </c>
      <c r="C360">
        <v>1</v>
      </c>
      <c r="D360">
        <v>5</v>
      </c>
      <c r="E360">
        <v>13</v>
      </c>
      <c r="G360">
        <v>215</v>
      </c>
      <c r="H360" t="s">
        <v>63</v>
      </c>
      <c r="I360" t="s">
        <v>135</v>
      </c>
      <c r="J360" t="s">
        <v>153</v>
      </c>
      <c r="L360">
        <v>0</v>
      </c>
      <c r="M360" t="s">
        <v>125</v>
      </c>
      <c r="O360" t="s">
        <v>125</v>
      </c>
      <c r="P360" t="s">
        <v>125</v>
      </c>
      <c r="Q360" t="s">
        <v>125</v>
      </c>
      <c r="R360" t="s">
        <v>125</v>
      </c>
      <c r="S360" t="s">
        <v>125</v>
      </c>
      <c r="T360">
        <v>0</v>
      </c>
      <c r="V360" t="s">
        <v>125</v>
      </c>
      <c r="AE360" t="s">
        <v>125</v>
      </c>
      <c r="AF360">
        <v>0</v>
      </c>
      <c r="AG360" t="s">
        <v>125</v>
      </c>
      <c r="AH360">
        <v>0</v>
      </c>
      <c r="AK360">
        <v>0</v>
      </c>
    </row>
    <row r="361" spans="1:37" x14ac:dyDescent="0.25">
      <c r="A361" t="s">
        <v>79</v>
      </c>
      <c r="B361">
        <v>2</v>
      </c>
      <c r="C361">
        <v>1</v>
      </c>
      <c r="D361">
        <v>5</v>
      </c>
      <c r="E361">
        <v>14</v>
      </c>
      <c r="G361">
        <v>215</v>
      </c>
      <c r="H361" t="s">
        <v>63</v>
      </c>
      <c r="I361" t="s">
        <v>137</v>
      </c>
      <c r="J361" t="s">
        <v>154</v>
      </c>
      <c r="L361">
        <v>0</v>
      </c>
      <c r="M361" t="s">
        <v>125</v>
      </c>
      <c r="O361" t="s">
        <v>125</v>
      </c>
      <c r="P361" t="s">
        <v>125</v>
      </c>
      <c r="Q361" t="s">
        <v>125</v>
      </c>
      <c r="R361" t="s">
        <v>125</v>
      </c>
      <c r="S361" t="s">
        <v>125</v>
      </c>
      <c r="T361">
        <v>0</v>
      </c>
      <c r="V361" t="s">
        <v>125</v>
      </c>
      <c r="AE361" t="s">
        <v>125</v>
      </c>
      <c r="AF361">
        <v>0</v>
      </c>
      <c r="AG361" t="s">
        <v>125</v>
      </c>
      <c r="AH361">
        <v>0</v>
      </c>
      <c r="AK361">
        <v>0</v>
      </c>
    </row>
    <row r="362" spans="1:37" x14ac:dyDescent="0.25">
      <c r="A362" t="s">
        <v>79</v>
      </c>
      <c r="B362">
        <v>2</v>
      </c>
      <c r="C362">
        <v>1</v>
      </c>
      <c r="D362">
        <v>5</v>
      </c>
      <c r="E362">
        <v>15</v>
      </c>
      <c r="G362">
        <v>215</v>
      </c>
      <c r="H362" t="s">
        <v>63</v>
      </c>
      <c r="I362" t="s">
        <v>139</v>
      </c>
      <c r="J362" t="s">
        <v>155</v>
      </c>
      <c r="L362">
        <v>0</v>
      </c>
      <c r="M362" t="s">
        <v>125</v>
      </c>
      <c r="O362" t="s">
        <v>125</v>
      </c>
      <c r="P362" t="s">
        <v>125</v>
      </c>
      <c r="Q362" t="s">
        <v>125</v>
      </c>
      <c r="R362" t="s">
        <v>125</v>
      </c>
      <c r="S362" t="s">
        <v>125</v>
      </c>
      <c r="T362">
        <v>0</v>
      </c>
      <c r="V362" t="s">
        <v>125</v>
      </c>
      <c r="AE362" t="s">
        <v>125</v>
      </c>
      <c r="AF362">
        <v>0</v>
      </c>
      <c r="AG362" t="s">
        <v>125</v>
      </c>
      <c r="AH362">
        <v>0</v>
      </c>
      <c r="AK362">
        <v>0</v>
      </c>
    </row>
    <row r="363" spans="1:37" x14ac:dyDescent="0.25">
      <c r="L363">
        <v>0</v>
      </c>
    </row>
    <row r="364" spans="1:37" x14ac:dyDescent="0.25">
      <c r="L364">
        <v>0</v>
      </c>
    </row>
    <row r="365" spans="1:37" x14ac:dyDescent="0.25">
      <c r="A365" t="s">
        <v>66</v>
      </c>
      <c r="B365">
        <v>2</v>
      </c>
      <c r="C365">
        <v>2</v>
      </c>
      <c r="G365">
        <v>2</v>
      </c>
      <c r="H365" t="s">
        <v>158</v>
      </c>
      <c r="I365" t="s">
        <v>336</v>
      </c>
      <c r="M365" t="s">
        <v>337</v>
      </c>
      <c r="N365" t="s">
        <v>336</v>
      </c>
      <c r="P365" t="s">
        <v>338</v>
      </c>
      <c r="V365" t="s">
        <v>339</v>
      </c>
      <c r="Y365" t="s">
        <v>340</v>
      </c>
      <c r="AA365" t="s">
        <v>341</v>
      </c>
      <c r="AC365" t="s">
        <v>342</v>
      </c>
      <c r="AE365" t="s">
        <v>343</v>
      </c>
      <c r="AF365">
        <v>0</v>
      </c>
      <c r="AG365" t="s">
        <v>344</v>
      </c>
      <c r="AH365">
        <v>0</v>
      </c>
      <c r="AK365">
        <v>0</v>
      </c>
    </row>
    <row r="366" spans="1:37" x14ac:dyDescent="0.25">
      <c r="L366">
        <v>0</v>
      </c>
    </row>
    <row r="367" spans="1:37" x14ac:dyDescent="0.25">
      <c r="A367" t="s">
        <v>70</v>
      </c>
      <c r="B367">
        <v>2</v>
      </c>
      <c r="C367">
        <v>2</v>
      </c>
      <c r="D367">
        <v>1</v>
      </c>
      <c r="G367">
        <v>22</v>
      </c>
      <c r="M367" t="s">
        <v>345</v>
      </c>
      <c r="O367" t="s">
        <v>346</v>
      </c>
      <c r="P367" t="s">
        <v>347</v>
      </c>
      <c r="Q367" t="s">
        <v>74</v>
      </c>
      <c r="R367" t="s">
        <v>179</v>
      </c>
      <c r="S367" t="s">
        <v>348</v>
      </c>
      <c r="V367" t="s">
        <v>349</v>
      </c>
      <c r="X367" t="s">
        <v>350</v>
      </c>
      <c r="Y367" t="s">
        <v>351</v>
      </c>
      <c r="Z367" t="s">
        <v>352</v>
      </c>
      <c r="AA367" t="s">
        <v>353</v>
      </c>
      <c r="AB367" t="s">
        <v>354</v>
      </c>
      <c r="AC367" t="s">
        <v>355</v>
      </c>
      <c r="AE367" t="s">
        <v>356</v>
      </c>
      <c r="AF367">
        <v>0</v>
      </c>
      <c r="AG367" t="s">
        <v>357</v>
      </c>
      <c r="AH367">
        <v>0</v>
      </c>
      <c r="AK367">
        <v>0</v>
      </c>
    </row>
    <row r="368" spans="1:37" x14ac:dyDescent="0.25">
      <c r="A368" t="s">
        <v>79</v>
      </c>
      <c r="B368">
        <v>2</v>
      </c>
      <c r="C368">
        <v>2</v>
      </c>
      <c r="D368">
        <v>1</v>
      </c>
      <c r="E368">
        <v>1</v>
      </c>
      <c r="G368">
        <v>221</v>
      </c>
      <c r="H368" t="s">
        <v>346</v>
      </c>
      <c r="I368" t="s">
        <v>80</v>
      </c>
      <c r="J368" t="s">
        <v>358</v>
      </c>
      <c r="L368">
        <v>0</v>
      </c>
      <c r="M368" t="s">
        <v>359</v>
      </c>
      <c r="O368" t="s">
        <v>360</v>
      </c>
      <c r="P368" t="s">
        <v>361</v>
      </c>
      <c r="Q368" t="s">
        <v>362</v>
      </c>
      <c r="R368" t="s">
        <v>363</v>
      </c>
      <c r="S368" t="s">
        <v>364</v>
      </c>
      <c r="T368">
        <v>10</v>
      </c>
      <c r="U368">
        <v>1</v>
      </c>
      <c r="V368" t="s">
        <v>365</v>
      </c>
      <c r="AE368" t="s">
        <v>366</v>
      </c>
      <c r="AF368">
        <v>0</v>
      </c>
      <c r="AG368" t="s">
        <v>367</v>
      </c>
      <c r="AH368">
        <v>0</v>
      </c>
      <c r="AK368">
        <v>0</v>
      </c>
    </row>
    <row r="369" spans="1:37" x14ac:dyDescent="0.25">
      <c r="A369" t="s">
        <v>79</v>
      </c>
      <c r="B369">
        <v>2</v>
      </c>
      <c r="C369">
        <v>2</v>
      </c>
      <c r="D369">
        <v>1</v>
      </c>
      <c r="E369">
        <v>2</v>
      </c>
      <c r="G369">
        <v>221</v>
      </c>
      <c r="H369" t="s">
        <v>346</v>
      </c>
      <c r="I369" t="s">
        <v>88</v>
      </c>
      <c r="J369" t="s">
        <v>368</v>
      </c>
      <c r="L369">
        <v>0</v>
      </c>
      <c r="M369" t="s">
        <v>369</v>
      </c>
      <c r="O369" t="s">
        <v>370</v>
      </c>
      <c r="P369" t="s">
        <v>371</v>
      </c>
      <c r="Q369" t="s">
        <v>372</v>
      </c>
      <c r="R369" t="s">
        <v>363</v>
      </c>
      <c r="S369" t="s">
        <v>373</v>
      </c>
      <c r="T369">
        <v>10</v>
      </c>
      <c r="U369">
        <v>0</v>
      </c>
      <c r="V369" t="s">
        <v>374</v>
      </c>
      <c r="AE369" t="s">
        <v>375</v>
      </c>
      <c r="AF369">
        <v>0</v>
      </c>
      <c r="AG369" t="s">
        <v>376</v>
      </c>
      <c r="AH369">
        <v>0</v>
      </c>
      <c r="AK369">
        <v>0</v>
      </c>
    </row>
    <row r="370" spans="1:37" x14ac:dyDescent="0.25">
      <c r="A370" t="s">
        <v>79</v>
      </c>
      <c r="B370">
        <v>2</v>
      </c>
      <c r="C370">
        <v>2</v>
      </c>
      <c r="D370">
        <v>1</v>
      </c>
      <c r="E370">
        <v>3</v>
      </c>
      <c r="G370">
        <v>221</v>
      </c>
      <c r="H370" t="s">
        <v>346</v>
      </c>
      <c r="I370" t="s">
        <v>95</v>
      </c>
      <c r="J370" t="s">
        <v>377</v>
      </c>
      <c r="L370">
        <v>0</v>
      </c>
      <c r="M370" t="s">
        <v>378</v>
      </c>
      <c r="O370" t="s">
        <v>379</v>
      </c>
      <c r="P370" t="s">
        <v>380</v>
      </c>
      <c r="Q370" t="s">
        <v>381</v>
      </c>
      <c r="R370" t="s">
        <v>382</v>
      </c>
      <c r="S370" t="s">
        <v>383</v>
      </c>
      <c r="T370">
        <v>10</v>
      </c>
      <c r="U370">
        <v>0</v>
      </c>
      <c r="V370" t="s">
        <v>384</v>
      </c>
      <c r="AE370" t="s">
        <v>385</v>
      </c>
      <c r="AF370">
        <v>0</v>
      </c>
      <c r="AG370" t="s">
        <v>386</v>
      </c>
      <c r="AH370">
        <v>0</v>
      </c>
      <c r="AK370">
        <v>0</v>
      </c>
    </row>
    <row r="371" spans="1:37" x14ac:dyDescent="0.25">
      <c r="A371" t="s">
        <v>79</v>
      </c>
      <c r="B371">
        <v>2</v>
      </c>
      <c r="C371">
        <v>2</v>
      </c>
      <c r="D371">
        <v>1</v>
      </c>
      <c r="E371">
        <v>4</v>
      </c>
      <c r="G371">
        <v>221</v>
      </c>
      <c r="H371" t="s">
        <v>346</v>
      </c>
      <c r="I371" t="s">
        <v>102</v>
      </c>
      <c r="J371" t="s">
        <v>387</v>
      </c>
      <c r="L371">
        <v>0</v>
      </c>
      <c r="M371" t="s">
        <v>388</v>
      </c>
      <c r="O371" t="s">
        <v>389</v>
      </c>
      <c r="P371" t="s">
        <v>390</v>
      </c>
      <c r="Q371" t="s">
        <v>381</v>
      </c>
      <c r="R371" t="s">
        <v>382</v>
      </c>
      <c r="S371" t="s">
        <v>391</v>
      </c>
      <c r="T371">
        <v>10</v>
      </c>
      <c r="U371">
        <v>0</v>
      </c>
      <c r="V371" t="s">
        <v>392</v>
      </c>
      <c r="AE371" t="s">
        <v>393</v>
      </c>
      <c r="AF371">
        <v>0</v>
      </c>
      <c r="AG371" t="s">
        <v>386</v>
      </c>
      <c r="AH371">
        <v>0</v>
      </c>
      <c r="AK371">
        <v>0</v>
      </c>
    </row>
    <row r="372" spans="1:37" x14ac:dyDescent="0.25">
      <c r="A372" t="s">
        <v>79</v>
      </c>
      <c r="B372">
        <v>2</v>
      </c>
      <c r="C372">
        <v>2</v>
      </c>
      <c r="D372">
        <v>1</v>
      </c>
      <c r="E372">
        <v>5</v>
      </c>
      <c r="G372">
        <v>221</v>
      </c>
      <c r="H372" t="s">
        <v>346</v>
      </c>
      <c r="I372" t="s">
        <v>109</v>
      </c>
      <c r="J372" t="s">
        <v>394</v>
      </c>
      <c r="L372">
        <v>0</v>
      </c>
      <c r="M372" t="s">
        <v>395</v>
      </c>
      <c r="O372" t="s">
        <v>396</v>
      </c>
      <c r="P372" t="s">
        <v>397</v>
      </c>
      <c r="Q372" t="s">
        <v>398</v>
      </c>
      <c r="R372" t="s">
        <v>179</v>
      </c>
      <c r="S372" t="s">
        <v>399</v>
      </c>
      <c r="T372">
        <v>10</v>
      </c>
      <c r="U372">
        <v>10</v>
      </c>
      <c r="V372" t="s">
        <v>400</v>
      </c>
      <c r="AE372" t="s">
        <v>401</v>
      </c>
      <c r="AF372">
        <v>0</v>
      </c>
      <c r="AG372" t="s">
        <v>402</v>
      </c>
      <c r="AH372">
        <v>0</v>
      </c>
      <c r="AK372">
        <v>0</v>
      </c>
    </row>
    <row r="373" spans="1:37" x14ac:dyDescent="0.25">
      <c r="A373" t="s">
        <v>79</v>
      </c>
      <c r="B373">
        <v>2</v>
      </c>
      <c r="C373">
        <v>2</v>
      </c>
      <c r="D373">
        <v>1</v>
      </c>
      <c r="E373">
        <v>6</v>
      </c>
      <c r="G373">
        <v>221</v>
      </c>
      <c r="H373" t="s">
        <v>346</v>
      </c>
      <c r="I373" t="s">
        <v>116</v>
      </c>
      <c r="J373" t="s">
        <v>403</v>
      </c>
      <c r="L373">
        <v>0</v>
      </c>
      <c r="M373" t="s">
        <v>404</v>
      </c>
      <c r="O373" t="s">
        <v>405</v>
      </c>
      <c r="P373" t="s">
        <v>406</v>
      </c>
      <c r="Q373" t="s">
        <v>372</v>
      </c>
      <c r="R373" t="s">
        <v>382</v>
      </c>
      <c r="S373" t="s">
        <v>407</v>
      </c>
      <c r="T373">
        <v>10</v>
      </c>
      <c r="U373">
        <v>0</v>
      </c>
      <c r="V373" t="s">
        <v>408</v>
      </c>
      <c r="AE373" t="s">
        <v>409</v>
      </c>
      <c r="AF373">
        <v>0</v>
      </c>
      <c r="AG373" t="s">
        <v>410</v>
      </c>
      <c r="AH373">
        <v>0</v>
      </c>
      <c r="AK373">
        <v>0</v>
      </c>
    </row>
    <row r="374" spans="1:37" x14ac:dyDescent="0.25">
      <c r="A374" t="s">
        <v>79</v>
      </c>
      <c r="B374">
        <v>2</v>
      </c>
      <c r="C374">
        <v>2</v>
      </c>
      <c r="D374">
        <v>1</v>
      </c>
      <c r="E374">
        <v>7</v>
      </c>
      <c r="G374">
        <v>221</v>
      </c>
      <c r="H374" t="s">
        <v>346</v>
      </c>
      <c r="I374" t="s">
        <v>123</v>
      </c>
      <c r="J374" t="s">
        <v>411</v>
      </c>
      <c r="L374">
        <v>0</v>
      </c>
      <c r="M374" t="s">
        <v>412</v>
      </c>
      <c r="O374" t="s">
        <v>413</v>
      </c>
      <c r="P374" t="s">
        <v>414</v>
      </c>
      <c r="Q374" t="s">
        <v>381</v>
      </c>
      <c r="R374" t="s">
        <v>382</v>
      </c>
      <c r="S374" t="s">
        <v>415</v>
      </c>
      <c r="T374">
        <v>10</v>
      </c>
      <c r="U374">
        <v>0</v>
      </c>
      <c r="V374" t="s">
        <v>416</v>
      </c>
      <c r="AE374" t="s">
        <v>417</v>
      </c>
      <c r="AF374">
        <v>0</v>
      </c>
      <c r="AG374" t="s">
        <v>386</v>
      </c>
      <c r="AH374">
        <v>0</v>
      </c>
      <c r="AK374">
        <v>0</v>
      </c>
    </row>
    <row r="375" spans="1:37" x14ac:dyDescent="0.25">
      <c r="A375" t="s">
        <v>79</v>
      </c>
      <c r="B375">
        <v>2</v>
      </c>
      <c r="C375">
        <v>2</v>
      </c>
      <c r="D375">
        <v>1</v>
      </c>
      <c r="E375">
        <v>8</v>
      </c>
      <c r="G375">
        <v>221</v>
      </c>
      <c r="H375" t="s">
        <v>346</v>
      </c>
      <c r="I375" t="s">
        <v>126</v>
      </c>
      <c r="J375" t="s">
        <v>418</v>
      </c>
      <c r="L375">
        <v>0</v>
      </c>
      <c r="M375" t="s">
        <v>419</v>
      </c>
      <c r="O375" t="s">
        <v>420</v>
      </c>
      <c r="P375" t="s">
        <v>421</v>
      </c>
      <c r="Q375" t="s">
        <v>372</v>
      </c>
      <c r="R375" t="s">
        <v>382</v>
      </c>
      <c r="S375" t="s">
        <v>422</v>
      </c>
      <c r="T375">
        <v>10</v>
      </c>
      <c r="U375">
        <v>0</v>
      </c>
      <c r="V375" t="s">
        <v>423</v>
      </c>
      <c r="AE375" t="s">
        <v>424</v>
      </c>
      <c r="AF375">
        <v>0</v>
      </c>
      <c r="AG375" t="s">
        <v>410</v>
      </c>
      <c r="AH375">
        <v>0</v>
      </c>
      <c r="AK375">
        <v>0</v>
      </c>
    </row>
    <row r="376" spans="1:37" x14ac:dyDescent="0.25">
      <c r="A376" t="s">
        <v>79</v>
      </c>
      <c r="B376">
        <v>2</v>
      </c>
      <c r="C376">
        <v>2</v>
      </c>
      <c r="D376">
        <v>1</v>
      </c>
      <c r="E376">
        <v>9</v>
      </c>
      <c r="G376">
        <v>221</v>
      </c>
      <c r="H376" t="s">
        <v>346</v>
      </c>
      <c r="I376" t="s">
        <v>74</v>
      </c>
      <c r="J376" t="s">
        <v>425</v>
      </c>
      <c r="L376">
        <v>0</v>
      </c>
      <c r="M376" t="s">
        <v>426</v>
      </c>
      <c r="O376" t="s">
        <v>427</v>
      </c>
      <c r="P376" t="s">
        <v>428</v>
      </c>
      <c r="Q376" t="s">
        <v>372</v>
      </c>
      <c r="R376" t="s">
        <v>179</v>
      </c>
      <c r="S376" t="s">
        <v>429</v>
      </c>
      <c r="T376">
        <v>10</v>
      </c>
      <c r="U376">
        <v>0</v>
      </c>
      <c r="V376" t="s">
        <v>430</v>
      </c>
      <c r="AE376" t="s">
        <v>431</v>
      </c>
      <c r="AF376">
        <v>0</v>
      </c>
      <c r="AG376" t="s">
        <v>432</v>
      </c>
      <c r="AH376">
        <v>0</v>
      </c>
      <c r="AK376">
        <v>0</v>
      </c>
    </row>
    <row r="377" spans="1:37" x14ac:dyDescent="0.25">
      <c r="A377" t="s">
        <v>79</v>
      </c>
      <c r="B377">
        <v>2</v>
      </c>
      <c r="C377">
        <v>2</v>
      </c>
      <c r="D377">
        <v>1</v>
      </c>
      <c r="E377">
        <v>10</v>
      </c>
      <c r="G377">
        <v>221</v>
      </c>
      <c r="H377" t="s">
        <v>346</v>
      </c>
      <c r="I377" t="s">
        <v>129</v>
      </c>
      <c r="J377" t="s">
        <v>433</v>
      </c>
      <c r="L377">
        <v>0</v>
      </c>
      <c r="M377" t="s">
        <v>434</v>
      </c>
      <c r="O377" t="s">
        <v>435</v>
      </c>
      <c r="P377" t="s">
        <v>436</v>
      </c>
      <c r="Q377" t="s">
        <v>437</v>
      </c>
      <c r="R377" t="s">
        <v>179</v>
      </c>
      <c r="S377" t="s">
        <v>438</v>
      </c>
      <c r="T377">
        <v>10</v>
      </c>
      <c r="U377">
        <v>2</v>
      </c>
      <c r="V377" t="s">
        <v>439</v>
      </c>
      <c r="AE377" t="s">
        <v>440</v>
      </c>
      <c r="AF377">
        <v>0</v>
      </c>
      <c r="AG377" t="s">
        <v>441</v>
      </c>
      <c r="AH377">
        <v>0</v>
      </c>
      <c r="AK377">
        <v>0</v>
      </c>
    </row>
    <row r="378" spans="1:37" x14ac:dyDescent="0.25">
      <c r="A378" t="s">
        <v>79</v>
      </c>
      <c r="B378">
        <v>2</v>
      </c>
      <c r="C378">
        <v>2</v>
      </c>
      <c r="D378">
        <v>1</v>
      </c>
      <c r="E378">
        <v>11</v>
      </c>
      <c r="G378">
        <v>221</v>
      </c>
      <c r="H378" t="s">
        <v>346</v>
      </c>
      <c r="I378" t="s">
        <v>131</v>
      </c>
      <c r="J378" t="s">
        <v>442</v>
      </c>
      <c r="L378">
        <v>0</v>
      </c>
      <c r="M378" t="s">
        <v>443</v>
      </c>
      <c r="O378" t="s">
        <v>444</v>
      </c>
      <c r="P378" t="s">
        <v>445</v>
      </c>
      <c r="Q378" t="s">
        <v>446</v>
      </c>
      <c r="R378" t="s">
        <v>179</v>
      </c>
      <c r="S378" t="s">
        <v>447</v>
      </c>
      <c r="T378">
        <v>10</v>
      </c>
      <c r="U378">
        <v>45</v>
      </c>
      <c r="V378" t="s">
        <v>448</v>
      </c>
      <c r="AE378" t="s">
        <v>449</v>
      </c>
      <c r="AF378">
        <v>0</v>
      </c>
      <c r="AG378" t="s">
        <v>450</v>
      </c>
      <c r="AH378">
        <v>0</v>
      </c>
      <c r="AK378">
        <v>0</v>
      </c>
    </row>
    <row r="379" spans="1:37" x14ac:dyDescent="0.25">
      <c r="A379" t="s">
        <v>79</v>
      </c>
      <c r="B379">
        <v>2</v>
      </c>
      <c r="C379">
        <v>2</v>
      </c>
      <c r="D379">
        <v>1</v>
      </c>
      <c r="E379">
        <v>12</v>
      </c>
      <c r="G379">
        <v>221</v>
      </c>
      <c r="H379" t="s">
        <v>346</v>
      </c>
      <c r="I379" t="s">
        <v>133</v>
      </c>
      <c r="J379" t="s">
        <v>451</v>
      </c>
      <c r="L379">
        <v>0</v>
      </c>
      <c r="M379" t="s">
        <v>452</v>
      </c>
      <c r="O379" t="s">
        <v>453</v>
      </c>
      <c r="P379" t="s">
        <v>454</v>
      </c>
      <c r="Q379" t="s">
        <v>455</v>
      </c>
      <c r="R379" t="s">
        <v>179</v>
      </c>
      <c r="S379" t="s">
        <v>456</v>
      </c>
      <c r="T379">
        <v>10</v>
      </c>
      <c r="U379">
        <v>1</v>
      </c>
      <c r="V379" t="s">
        <v>457</v>
      </c>
      <c r="AE379" t="s">
        <v>458</v>
      </c>
      <c r="AF379">
        <v>0</v>
      </c>
      <c r="AG379" t="s">
        <v>459</v>
      </c>
      <c r="AH379">
        <v>0</v>
      </c>
      <c r="AK379">
        <v>0</v>
      </c>
    </row>
    <row r="380" spans="1:37" x14ac:dyDescent="0.25">
      <c r="A380" t="s">
        <v>79</v>
      </c>
      <c r="B380">
        <v>2</v>
      </c>
      <c r="C380">
        <v>2</v>
      </c>
      <c r="D380">
        <v>1</v>
      </c>
      <c r="E380">
        <v>13</v>
      </c>
      <c r="G380">
        <v>221</v>
      </c>
      <c r="H380" t="s">
        <v>346</v>
      </c>
      <c r="I380" t="s">
        <v>135</v>
      </c>
      <c r="J380" t="s">
        <v>460</v>
      </c>
      <c r="L380">
        <v>0</v>
      </c>
      <c r="M380" t="s">
        <v>461</v>
      </c>
      <c r="O380" t="s">
        <v>462</v>
      </c>
      <c r="P380" t="s">
        <v>463</v>
      </c>
      <c r="Q380" t="s">
        <v>437</v>
      </c>
      <c r="R380" t="s">
        <v>179</v>
      </c>
      <c r="S380" t="s">
        <v>464</v>
      </c>
      <c r="T380">
        <v>10</v>
      </c>
      <c r="U380">
        <v>2</v>
      </c>
      <c r="V380" t="s">
        <v>465</v>
      </c>
      <c r="AE380" t="s">
        <v>466</v>
      </c>
      <c r="AF380">
        <v>0</v>
      </c>
      <c r="AG380" t="s">
        <v>441</v>
      </c>
      <c r="AH380">
        <v>0</v>
      </c>
      <c r="AK380">
        <v>0</v>
      </c>
    </row>
    <row r="381" spans="1:37" x14ac:dyDescent="0.25">
      <c r="A381" t="s">
        <v>79</v>
      </c>
      <c r="B381">
        <v>2</v>
      </c>
      <c r="C381">
        <v>2</v>
      </c>
      <c r="D381">
        <v>1</v>
      </c>
      <c r="E381">
        <v>14</v>
      </c>
      <c r="G381">
        <v>221</v>
      </c>
      <c r="H381" t="s">
        <v>346</v>
      </c>
      <c r="I381" t="s">
        <v>137</v>
      </c>
      <c r="J381" t="s">
        <v>467</v>
      </c>
      <c r="L381">
        <v>0</v>
      </c>
      <c r="M381" t="s">
        <v>468</v>
      </c>
      <c r="O381" t="s">
        <v>469</v>
      </c>
      <c r="P381" t="s">
        <v>470</v>
      </c>
      <c r="Q381" t="s">
        <v>372</v>
      </c>
      <c r="R381" t="s">
        <v>382</v>
      </c>
      <c r="S381" t="s">
        <v>471</v>
      </c>
      <c r="T381">
        <v>10</v>
      </c>
      <c r="U381">
        <v>0</v>
      </c>
      <c r="V381" t="s">
        <v>472</v>
      </c>
      <c r="AE381" t="s">
        <v>473</v>
      </c>
      <c r="AF381">
        <v>0</v>
      </c>
      <c r="AG381" t="s">
        <v>410</v>
      </c>
      <c r="AH381">
        <v>0</v>
      </c>
      <c r="AK381">
        <v>0</v>
      </c>
    </row>
    <row r="382" spans="1:37" x14ac:dyDescent="0.25">
      <c r="A382" t="s">
        <v>79</v>
      </c>
      <c r="B382">
        <v>2</v>
      </c>
      <c r="C382">
        <v>2</v>
      </c>
      <c r="D382">
        <v>1</v>
      </c>
      <c r="E382">
        <v>15</v>
      </c>
      <c r="G382">
        <v>221</v>
      </c>
      <c r="H382" t="s">
        <v>346</v>
      </c>
      <c r="I382" t="s">
        <v>139</v>
      </c>
      <c r="J382" t="s">
        <v>474</v>
      </c>
      <c r="L382">
        <v>0</v>
      </c>
      <c r="M382" t="s">
        <v>475</v>
      </c>
      <c r="O382" t="s">
        <v>476</v>
      </c>
      <c r="P382" t="s">
        <v>477</v>
      </c>
      <c r="Q382" t="s">
        <v>478</v>
      </c>
      <c r="R382" t="s">
        <v>192</v>
      </c>
      <c r="S382" t="s">
        <v>479</v>
      </c>
      <c r="T382">
        <v>10</v>
      </c>
      <c r="U382">
        <v>1</v>
      </c>
      <c r="V382" t="s">
        <v>480</v>
      </c>
      <c r="AE382" t="s">
        <v>481</v>
      </c>
      <c r="AF382">
        <v>0</v>
      </c>
      <c r="AG382" t="s">
        <v>482</v>
      </c>
      <c r="AH382">
        <v>0</v>
      </c>
      <c r="AK382">
        <v>0</v>
      </c>
    </row>
    <row r="383" spans="1:37" x14ac:dyDescent="0.25">
      <c r="L383">
        <v>0</v>
      </c>
    </row>
    <row r="384" spans="1:37" x14ac:dyDescent="0.25">
      <c r="A384" t="s">
        <v>70</v>
      </c>
      <c r="B384">
        <v>2</v>
      </c>
      <c r="C384">
        <v>2</v>
      </c>
      <c r="D384">
        <v>2</v>
      </c>
      <c r="G384">
        <v>22</v>
      </c>
      <c r="M384" t="s">
        <v>483</v>
      </c>
      <c r="O384" t="s">
        <v>484</v>
      </c>
      <c r="P384" t="s">
        <v>485</v>
      </c>
      <c r="Q384" t="s">
        <v>486</v>
      </c>
      <c r="R384" t="s">
        <v>179</v>
      </c>
      <c r="S384" t="s">
        <v>487</v>
      </c>
      <c r="V384" t="s">
        <v>488</v>
      </c>
      <c r="X384" t="s">
        <v>489</v>
      </c>
      <c r="Y384" t="s">
        <v>490</v>
      </c>
      <c r="Z384" t="s">
        <v>491</v>
      </c>
      <c r="AA384" t="s">
        <v>492</v>
      </c>
      <c r="AB384" t="s">
        <v>493</v>
      </c>
      <c r="AC384" t="s">
        <v>494</v>
      </c>
      <c r="AE384" t="s">
        <v>495</v>
      </c>
      <c r="AF384">
        <v>0</v>
      </c>
      <c r="AG384" t="s">
        <v>496</v>
      </c>
      <c r="AH384">
        <v>0</v>
      </c>
      <c r="AK384">
        <v>0</v>
      </c>
    </row>
    <row r="385" spans="1:37" x14ac:dyDescent="0.25">
      <c r="A385" t="s">
        <v>79</v>
      </c>
      <c r="B385">
        <v>2</v>
      </c>
      <c r="C385">
        <v>2</v>
      </c>
      <c r="D385">
        <v>2</v>
      </c>
      <c r="E385">
        <v>1</v>
      </c>
      <c r="G385">
        <v>222</v>
      </c>
      <c r="H385" t="s">
        <v>484</v>
      </c>
      <c r="I385" t="s">
        <v>80</v>
      </c>
      <c r="J385" t="s">
        <v>497</v>
      </c>
      <c r="L385">
        <v>0</v>
      </c>
      <c r="M385" t="s">
        <v>498</v>
      </c>
      <c r="O385" t="s">
        <v>499</v>
      </c>
      <c r="P385" t="s">
        <v>500</v>
      </c>
      <c r="Q385" t="s">
        <v>501</v>
      </c>
      <c r="R385" t="s">
        <v>192</v>
      </c>
      <c r="S385" t="s">
        <v>502</v>
      </c>
      <c r="T385">
        <v>20</v>
      </c>
      <c r="U385">
        <v>70</v>
      </c>
      <c r="V385" t="s">
        <v>503</v>
      </c>
      <c r="AE385" t="s">
        <v>504</v>
      </c>
      <c r="AF385">
        <v>0</v>
      </c>
      <c r="AG385" t="s">
        <v>505</v>
      </c>
      <c r="AH385">
        <v>0</v>
      </c>
      <c r="AK385">
        <v>0</v>
      </c>
    </row>
    <row r="386" spans="1:37" x14ac:dyDescent="0.25">
      <c r="A386" t="s">
        <v>79</v>
      </c>
      <c r="B386">
        <v>2</v>
      </c>
      <c r="C386">
        <v>2</v>
      </c>
      <c r="D386">
        <v>2</v>
      </c>
      <c r="E386">
        <v>2</v>
      </c>
      <c r="G386">
        <v>222</v>
      </c>
      <c r="H386" t="s">
        <v>484</v>
      </c>
      <c r="I386" t="s">
        <v>88</v>
      </c>
      <c r="J386" t="s">
        <v>506</v>
      </c>
      <c r="L386">
        <v>0</v>
      </c>
      <c r="M386" t="s">
        <v>507</v>
      </c>
      <c r="O386" t="s">
        <v>508</v>
      </c>
      <c r="P386" t="s">
        <v>509</v>
      </c>
      <c r="Q386" t="s">
        <v>510</v>
      </c>
      <c r="R386" t="s">
        <v>192</v>
      </c>
      <c r="S386" t="s">
        <v>511</v>
      </c>
      <c r="T386">
        <v>20</v>
      </c>
      <c r="U386">
        <v>78</v>
      </c>
      <c r="V386" t="s">
        <v>512</v>
      </c>
      <c r="AE386" t="s">
        <v>513</v>
      </c>
      <c r="AF386">
        <v>0</v>
      </c>
      <c r="AG386" t="s">
        <v>514</v>
      </c>
      <c r="AH386">
        <v>0</v>
      </c>
      <c r="AK386">
        <v>0</v>
      </c>
    </row>
    <row r="387" spans="1:37" x14ac:dyDescent="0.25">
      <c r="A387" t="s">
        <v>79</v>
      </c>
      <c r="B387">
        <v>2</v>
      </c>
      <c r="C387">
        <v>2</v>
      </c>
      <c r="D387">
        <v>2</v>
      </c>
      <c r="E387">
        <v>3</v>
      </c>
      <c r="G387">
        <v>222</v>
      </c>
      <c r="H387" t="s">
        <v>484</v>
      </c>
      <c r="I387" t="s">
        <v>95</v>
      </c>
      <c r="J387" t="s">
        <v>515</v>
      </c>
      <c r="L387">
        <v>0</v>
      </c>
      <c r="M387" t="s">
        <v>516</v>
      </c>
      <c r="O387" t="s">
        <v>379</v>
      </c>
      <c r="P387" t="s">
        <v>380</v>
      </c>
      <c r="Q387" t="s">
        <v>517</v>
      </c>
      <c r="R387" t="s">
        <v>382</v>
      </c>
      <c r="S387" t="s">
        <v>383</v>
      </c>
      <c r="T387">
        <v>20</v>
      </c>
      <c r="U387">
        <v>1</v>
      </c>
      <c r="V387" t="s">
        <v>518</v>
      </c>
      <c r="AE387" t="s">
        <v>519</v>
      </c>
      <c r="AF387">
        <v>0</v>
      </c>
      <c r="AG387" t="s">
        <v>520</v>
      </c>
      <c r="AH387">
        <v>0</v>
      </c>
      <c r="AK387">
        <v>0</v>
      </c>
    </row>
    <row r="388" spans="1:37" x14ac:dyDescent="0.25">
      <c r="A388" t="s">
        <v>79</v>
      </c>
      <c r="B388">
        <v>2</v>
      </c>
      <c r="C388">
        <v>2</v>
      </c>
      <c r="D388">
        <v>2</v>
      </c>
      <c r="E388">
        <v>4</v>
      </c>
      <c r="G388">
        <v>222</v>
      </c>
      <c r="H388" t="s">
        <v>484</v>
      </c>
      <c r="I388" t="s">
        <v>102</v>
      </c>
      <c r="J388" t="s">
        <v>521</v>
      </c>
      <c r="L388">
        <v>0</v>
      </c>
      <c r="M388" t="s">
        <v>522</v>
      </c>
      <c r="O388" t="s">
        <v>389</v>
      </c>
      <c r="P388" t="s">
        <v>390</v>
      </c>
      <c r="Q388" t="s">
        <v>517</v>
      </c>
      <c r="R388" t="s">
        <v>382</v>
      </c>
      <c r="S388" t="s">
        <v>391</v>
      </c>
      <c r="T388">
        <v>20</v>
      </c>
      <c r="U388">
        <v>1</v>
      </c>
      <c r="V388" t="s">
        <v>523</v>
      </c>
      <c r="AE388" t="s">
        <v>524</v>
      </c>
      <c r="AF388">
        <v>0</v>
      </c>
      <c r="AG388" t="s">
        <v>520</v>
      </c>
      <c r="AH388">
        <v>0</v>
      </c>
      <c r="AK388">
        <v>0</v>
      </c>
    </row>
    <row r="389" spans="1:37" x14ac:dyDescent="0.25">
      <c r="A389" t="s">
        <v>79</v>
      </c>
      <c r="B389">
        <v>2</v>
      </c>
      <c r="C389">
        <v>2</v>
      </c>
      <c r="D389">
        <v>2</v>
      </c>
      <c r="E389">
        <v>5</v>
      </c>
      <c r="G389">
        <v>222</v>
      </c>
      <c r="H389" t="s">
        <v>484</v>
      </c>
      <c r="I389" t="s">
        <v>109</v>
      </c>
      <c r="J389" t="s">
        <v>525</v>
      </c>
      <c r="L389">
        <v>0</v>
      </c>
      <c r="M389" t="s">
        <v>526</v>
      </c>
      <c r="O389" t="s">
        <v>527</v>
      </c>
      <c r="P389" t="s">
        <v>528</v>
      </c>
      <c r="Q389" t="s">
        <v>517</v>
      </c>
      <c r="R389" t="s">
        <v>382</v>
      </c>
      <c r="S389" t="s">
        <v>529</v>
      </c>
      <c r="T389">
        <v>20</v>
      </c>
      <c r="U389">
        <v>1</v>
      </c>
      <c r="V389" t="s">
        <v>530</v>
      </c>
      <c r="AE389" t="s">
        <v>531</v>
      </c>
      <c r="AF389">
        <v>0</v>
      </c>
      <c r="AG389" t="s">
        <v>520</v>
      </c>
      <c r="AH389">
        <v>0</v>
      </c>
      <c r="AK389">
        <v>0</v>
      </c>
    </row>
    <row r="390" spans="1:37" x14ac:dyDescent="0.25">
      <c r="A390" t="s">
        <v>79</v>
      </c>
      <c r="B390">
        <v>2</v>
      </c>
      <c r="C390">
        <v>2</v>
      </c>
      <c r="D390">
        <v>2</v>
      </c>
      <c r="E390">
        <v>6</v>
      </c>
      <c r="G390">
        <v>222</v>
      </c>
      <c r="H390" t="s">
        <v>484</v>
      </c>
      <c r="I390" t="s">
        <v>116</v>
      </c>
      <c r="J390" t="s">
        <v>532</v>
      </c>
      <c r="L390">
        <v>0</v>
      </c>
      <c r="M390" t="s">
        <v>533</v>
      </c>
      <c r="O390" t="s">
        <v>396</v>
      </c>
      <c r="P390" t="s">
        <v>397</v>
      </c>
      <c r="Q390" t="s">
        <v>57</v>
      </c>
      <c r="R390" t="s">
        <v>179</v>
      </c>
      <c r="S390" t="s">
        <v>399</v>
      </c>
      <c r="T390">
        <v>20</v>
      </c>
      <c r="U390">
        <v>20</v>
      </c>
      <c r="V390" t="s">
        <v>399</v>
      </c>
      <c r="AE390" t="s">
        <v>534</v>
      </c>
      <c r="AF390">
        <v>0</v>
      </c>
      <c r="AG390" t="s">
        <v>535</v>
      </c>
      <c r="AH390">
        <v>0</v>
      </c>
      <c r="AK390">
        <v>0</v>
      </c>
    </row>
    <row r="391" spans="1:37" x14ac:dyDescent="0.25">
      <c r="A391" t="s">
        <v>79</v>
      </c>
      <c r="B391">
        <v>2</v>
      </c>
      <c r="C391">
        <v>2</v>
      </c>
      <c r="D391">
        <v>2</v>
      </c>
      <c r="E391">
        <v>7</v>
      </c>
      <c r="G391">
        <v>222</v>
      </c>
      <c r="H391" t="s">
        <v>484</v>
      </c>
      <c r="I391" t="s">
        <v>123</v>
      </c>
      <c r="J391" t="s">
        <v>536</v>
      </c>
      <c r="L391">
        <v>0</v>
      </c>
      <c r="M391" t="s">
        <v>537</v>
      </c>
      <c r="O391" t="s">
        <v>236</v>
      </c>
      <c r="P391" t="s">
        <v>237</v>
      </c>
      <c r="Q391" t="s">
        <v>538</v>
      </c>
      <c r="R391" t="s">
        <v>229</v>
      </c>
      <c r="S391" t="s">
        <v>239</v>
      </c>
      <c r="T391">
        <v>20</v>
      </c>
      <c r="U391">
        <v>20</v>
      </c>
      <c r="V391" t="s">
        <v>539</v>
      </c>
      <c r="AE391" t="s">
        <v>540</v>
      </c>
      <c r="AF391">
        <v>0</v>
      </c>
      <c r="AG391" t="s">
        <v>541</v>
      </c>
      <c r="AH391">
        <v>0</v>
      </c>
      <c r="AK391">
        <v>0</v>
      </c>
    </row>
    <row r="392" spans="1:37" x14ac:dyDescent="0.25">
      <c r="A392" t="s">
        <v>79</v>
      </c>
      <c r="B392">
        <v>2</v>
      </c>
      <c r="C392">
        <v>2</v>
      </c>
      <c r="D392">
        <v>2</v>
      </c>
      <c r="E392">
        <v>8</v>
      </c>
      <c r="G392">
        <v>222</v>
      </c>
      <c r="H392" t="s">
        <v>484</v>
      </c>
      <c r="I392" t="s">
        <v>126</v>
      </c>
      <c r="J392" t="s">
        <v>542</v>
      </c>
      <c r="L392">
        <v>0</v>
      </c>
      <c r="M392" t="s">
        <v>543</v>
      </c>
      <c r="O392" t="s">
        <v>444</v>
      </c>
      <c r="P392" t="s">
        <v>445</v>
      </c>
      <c r="Q392" t="s">
        <v>544</v>
      </c>
      <c r="R392" t="s">
        <v>179</v>
      </c>
      <c r="S392" t="s">
        <v>447</v>
      </c>
      <c r="T392">
        <v>20</v>
      </c>
      <c r="U392">
        <v>75</v>
      </c>
      <c r="V392" t="s">
        <v>545</v>
      </c>
      <c r="AE392" t="s">
        <v>546</v>
      </c>
      <c r="AF392">
        <v>0</v>
      </c>
      <c r="AG392" t="s">
        <v>547</v>
      </c>
      <c r="AH392">
        <v>0</v>
      </c>
      <c r="AK392">
        <v>0</v>
      </c>
    </row>
    <row r="393" spans="1:37" x14ac:dyDescent="0.25">
      <c r="A393" t="s">
        <v>79</v>
      </c>
      <c r="B393">
        <v>2</v>
      </c>
      <c r="C393">
        <v>2</v>
      </c>
      <c r="D393">
        <v>2</v>
      </c>
      <c r="E393">
        <v>9</v>
      </c>
      <c r="G393">
        <v>222</v>
      </c>
      <c r="H393" t="s">
        <v>484</v>
      </c>
      <c r="I393" t="s">
        <v>74</v>
      </c>
      <c r="J393" t="s">
        <v>548</v>
      </c>
      <c r="L393">
        <v>0</v>
      </c>
      <c r="M393" t="s">
        <v>549</v>
      </c>
      <c r="O393" t="s">
        <v>550</v>
      </c>
      <c r="P393" t="s">
        <v>551</v>
      </c>
      <c r="Q393" t="s">
        <v>552</v>
      </c>
      <c r="R393" t="s">
        <v>192</v>
      </c>
      <c r="S393" t="s">
        <v>553</v>
      </c>
      <c r="T393">
        <v>20</v>
      </c>
      <c r="U393">
        <v>5</v>
      </c>
      <c r="V393" t="s">
        <v>554</v>
      </c>
      <c r="AE393" t="s">
        <v>555</v>
      </c>
      <c r="AF393">
        <v>0</v>
      </c>
      <c r="AG393" t="s">
        <v>556</v>
      </c>
      <c r="AH393">
        <v>0</v>
      </c>
      <c r="AK393">
        <v>0</v>
      </c>
    </row>
    <row r="394" spans="1:37" x14ac:dyDescent="0.25">
      <c r="A394" t="s">
        <v>79</v>
      </c>
      <c r="B394">
        <v>2</v>
      </c>
      <c r="C394">
        <v>2</v>
      </c>
      <c r="D394">
        <v>2</v>
      </c>
      <c r="E394">
        <v>10</v>
      </c>
      <c r="G394">
        <v>222</v>
      </c>
      <c r="H394" t="s">
        <v>484</v>
      </c>
      <c r="I394" t="s">
        <v>129</v>
      </c>
      <c r="J394" t="s">
        <v>557</v>
      </c>
      <c r="L394">
        <v>0</v>
      </c>
      <c r="M394" t="s">
        <v>558</v>
      </c>
      <c r="O394" t="s">
        <v>559</v>
      </c>
      <c r="P394" t="s">
        <v>560</v>
      </c>
      <c r="Q394" t="s">
        <v>561</v>
      </c>
      <c r="R394" t="s">
        <v>192</v>
      </c>
      <c r="S394" t="s">
        <v>562</v>
      </c>
      <c r="T394">
        <v>20</v>
      </c>
      <c r="U394">
        <v>5</v>
      </c>
      <c r="V394" t="s">
        <v>563</v>
      </c>
      <c r="AE394" t="s">
        <v>564</v>
      </c>
      <c r="AF394">
        <v>0</v>
      </c>
      <c r="AG394" t="s">
        <v>565</v>
      </c>
      <c r="AH394">
        <v>0</v>
      </c>
      <c r="AK394">
        <v>0</v>
      </c>
    </row>
    <row r="395" spans="1:37" x14ac:dyDescent="0.25">
      <c r="A395" t="s">
        <v>79</v>
      </c>
      <c r="B395">
        <v>2</v>
      </c>
      <c r="C395">
        <v>2</v>
      </c>
      <c r="D395">
        <v>2</v>
      </c>
      <c r="E395">
        <v>11</v>
      </c>
      <c r="G395">
        <v>222</v>
      </c>
      <c r="H395" t="s">
        <v>484</v>
      </c>
      <c r="I395" t="s">
        <v>131</v>
      </c>
      <c r="J395" t="s">
        <v>566</v>
      </c>
      <c r="L395">
        <v>0</v>
      </c>
      <c r="M395" t="s">
        <v>567</v>
      </c>
      <c r="O395" t="s">
        <v>568</v>
      </c>
      <c r="P395" t="s">
        <v>569</v>
      </c>
      <c r="Q395" t="s">
        <v>570</v>
      </c>
      <c r="R395" t="s">
        <v>179</v>
      </c>
      <c r="S395" t="s">
        <v>571</v>
      </c>
      <c r="T395">
        <v>20</v>
      </c>
      <c r="U395">
        <v>1</v>
      </c>
      <c r="V395" t="s">
        <v>572</v>
      </c>
      <c r="AE395" t="s">
        <v>573</v>
      </c>
      <c r="AF395">
        <v>0</v>
      </c>
      <c r="AG395" t="s">
        <v>574</v>
      </c>
      <c r="AH395">
        <v>0</v>
      </c>
      <c r="AK395">
        <v>0</v>
      </c>
    </row>
    <row r="396" spans="1:37" x14ac:dyDescent="0.25">
      <c r="A396" t="s">
        <v>79</v>
      </c>
      <c r="B396">
        <v>2</v>
      </c>
      <c r="C396">
        <v>2</v>
      </c>
      <c r="D396">
        <v>2</v>
      </c>
      <c r="E396">
        <v>12</v>
      </c>
      <c r="G396">
        <v>222</v>
      </c>
      <c r="H396" t="s">
        <v>484</v>
      </c>
      <c r="I396" t="s">
        <v>133</v>
      </c>
      <c r="J396" t="s">
        <v>575</v>
      </c>
      <c r="L396">
        <v>0</v>
      </c>
      <c r="M396" t="s">
        <v>576</v>
      </c>
      <c r="O396" t="s">
        <v>577</v>
      </c>
      <c r="P396" t="s">
        <v>578</v>
      </c>
      <c r="Q396" t="s">
        <v>552</v>
      </c>
      <c r="R396" t="s">
        <v>192</v>
      </c>
      <c r="S396" t="s">
        <v>579</v>
      </c>
      <c r="T396">
        <v>20</v>
      </c>
      <c r="U396">
        <v>5</v>
      </c>
      <c r="V396" t="s">
        <v>580</v>
      </c>
      <c r="AE396" t="s">
        <v>581</v>
      </c>
      <c r="AF396">
        <v>0</v>
      </c>
      <c r="AG396" t="s">
        <v>556</v>
      </c>
      <c r="AH396">
        <v>0</v>
      </c>
      <c r="AK396">
        <v>0</v>
      </c>
    </row>
    <row r="397" spans="1:37" x14ac:dyDescent="0.25">
      <c r="A397" t="s">
        <v>79</v>
      </c>
      <c r="B397">
        <v>2</v>
      </c>
      <c r="C397">
        <v>2</v>
      </c>
      <c r="D397">
        <v>2</v>
      </c>
      <c r="E397">
        <v>13</v>
      </c>
      <c r="G397">
        <v>222</v>
      </c>
      <c r="H397" t="s">
        <v>484</v>
      </c>
      <c r="I397" t="s">
        <v>135</v>
      </c>
      <c r="J397" t="s">
        <v>582</v>
      </c>
      <c r="L397">
        <v>0</v>
      </c>
      <c r="M397" t="s">
        <v>583</v>
      </c>
      <c r="O397" t="s">
        <v>584</v>
      </c>
      <c r="P397" t="s">
        <v>585</v>
      </c>
      <c r="Q397" t="s">
        <v>561</v>
      </c>
      <c r="R397" t="s">
        <v>192</v>
      </c>
      <c r="S397" t="s">
        <v>586</v>
      </c>
      <c r="T397">
        <v>20</v>
      </c>
      <c r="U397">
        <v>5</v>
      </c>
      <c r="V397" t="s">
        <v>587</v>
      </c>
      <c r="AE397" t="s">
        <v>588</v>
      </c>
      <c r="AF397">
        <v>0</v>
      </c>
      <c r="AG397" t="s">
        <v>565</v>
      </c>
      <c r="AH397">
        <v>0</v>
      </c>
      <c r="AK397">
        <v>0</v>
      </c>
    </row>
    <row r="398" spans="1:37" x14ac:dyDescent="0.25">
      <c r="A398" t="s">
        <v>79</v>
      </c>
      <c r="B398">
        <v>2</v>
      </c>
      <c r="C398">
        <v>2</v>
      </c>
      <c r="D398">
        <v>2</v>
      </c>
      <c r="E398">
        <v>14</v>
      </c>
      <c r="G398">
        <v>222</v>
      </c>
      <c r="H398" t="s">
        <v>484</v>
      </c>
      <c r="I398" t="s">
        <v>137</v>
      </c>
      <c r="J398" t="s">
        <v>589</v>
      </c>
      <c r="L398">
        <v>0</v>
      </c>
      <c r="M398" t="s">
        <v>590</v>
      </c>
      <c r="O398" t="s">
        <v>591</v>
      </c>
      <c r="P398" t="s">
        <v>592</v>
      </c>
      <c r="Q398" t="s">
        <v>593</v>
      </c>
      <c r="R398" t="s">
        <v>382</v>
      </c>
      <c r="S398" t="s">
        <v>594</v>
      </c>
      <c r="T398">
        <v>20</v>
      </c>
      <c r="U398">
        <v>2</v>
      </c>
      <c r="V398" t="s">
        <v>595</v>
      </c>
      <c r="AE398" t="s">
        <v>596</v>
      </c>
      <c r="AF398">
        <v>0</v>
      </c>
      <c r="AG398" t="s">
        <v>597</v>
      </c>
      <c r="AH398">
        <v>0</v>
      </c>
      <c r="AK398">
        <v>0</v>
      </c>
    </row>
    <row r="399" spans="1:37" x14ac:dyDescent="0.25">
      <c r="A399" t="s">
        <v>79</v>
      </c>
      <c r="B399">
        <v>2</v>
      </c>
      <c r="C399">
        <v>2</v>
      </c>
      <c r="D399">
        <v>2</v>
      </c>
      <c r="E399">
        <v>15</v>
      </c>
      <c r="G399">
        <v>222</v>
      </c>
      <c r="H399" t="s">
        <v>484</v>
      </c>
      <c r="I399" t="s">
        <v>139</v>
      </c>
      <c r="J399" t="s">
        <v>598</v>
      </c>
      <c r="L399">
        <v>0</v>
      </c>
      <c r="M399" t="s">
        <v>599</v>
      </c>
      <c r="O399" t="s">
        <v>600</v>
      </c>
      <c r="P399" t="s">
        <v>601</v>
      </c>
      <c r="Q399" t="s">
        <v>602</v>
      </c>
      <c r="R399" t="s">
        <v>192</v>
      </c>
      <c r="S399" t="s">
        <v>603</v>
      </c>
      <c r="T399">
        <v>20</v>
      </c>
      <c r="U399">
        <v>12</v>
      </c>
      <c r="V399" t="s">
        <v>439</v>
      </c>
      <c r="AE399" t="s">
        <v>604</v>
      </c>
      <c r="AF399">
        <v>0</v>
      </c>
      <c r="AG399" t="s">
        <v>605</v>
      </c>
      <c r="AH399">
        <v>0</v>
      </c>
      <c r="AK399">
        <v>0</v>
      </c>
    </row>
    <row r="400" spans="1:37" x14ac:dyDescent="0.25">
      <c r="L400">
        <v>0</v>
      </c>
    </row>
    <row r="401" spans="1:37" x14ac:dyDescent="0.25">
      <c r="A401" t="s">
        <v>70</v>
      </c>
      <c r="B401">
        <v>2</v>
      </c>
      <c r="C401">
        <v>2</v>
      </c>
      <c r="D401">
        <v>3</v>
      </c>
      <c r="G401">
        <v>22</v>
      </c>
      <c r="M401" t="s">
        <v>606</v>
      </c>
      <c r="O401" t="s">
        <v>607</v>
      </c>
      <c r="P401" t="s">
        <v>608</v>
      </c>
      <c r="Q401" t="s">
        <v>102</v>
      </c>
      <c r="R401" t="s">
        <v>179</v>
      </c>
      <c r="S401" t="s">
        <v>609</v>
      </c>
      <c r="V401" t="s">
        <v>610</v>
      </c>
      <c r="X401" t="s">
        <v>611</v>
      </c>
      <c r="Y401" t="s">
        <v>612</v>
      </c>
      <c r="Z401" t="s">
        <v>613</v>
      </c>
      <c r="AA401" t="s">
        <v>614</v>
      </c>
      <c r="AB401" t="s">
        <v>615</v>
      </c>
      <c r="AC401" t="s">
        <v>616</v>
      </c>
      <c r="AE401" t="s">
        <v>617</v>
      </c>
      <c r="AF401">
        <v>0</v>
      </c>
      <c r="AG401" t="s">
        <v>618</v>
      </c>
      <c r="AH401">
        <v>0</v>
      </c>
      <c r="AK401">
        <v>0</v>
      </c>
    </row>
    <row r="402" spans="1:37" x14ac:dyDescent="0.25">
      <c r="A402" t="s">
        <v>79</v>
      </c>
      <c r="B402">
        <v>2</v>
      </c>
      <c r="C402">
        <v>2</v>
      </c>
      <c r="D402">
        <v>3</v>
      </c>
      <c r="E402">
        <v>1</v>
      </c>
      <c r="G402">
        <v>223</v>
      </c>
      <c r="H402" t="s">
        <v>607</v>
      </c>
      <c r="I402" t="s">
        <v>80</v>
      </c>
      <c r="J402" t="s">
        <v>619</v>
      </c>
      <c r="L402">
        <v>0</v>
      </c>
      <c r="M402" t="s">
        <v>620</v>
      </c>
      <c r="O402" t="s">
        <v>360</v>
      </c>
      <c r="P402" t="s">
        <v>361</v>
      </c>
      <c r="Q402" t="s">
        <v>621</v>
      </c>
      <c r="R402" t="s">
        <v>363</v>
      </c>
      <c r="S402" t="s">
        <v>364</v>
      </c>
      <c r="T402">
        <v>5</v>
      </c>
      <c r="U402">
        <v>0</v>
      </c>
      <c r="V402" t="s">
        <v>622</v>
      </c>
      <c r="AE402" t="s">
        <v>623</v>
      </c>
      <c r="AF402">
        <v>0</v>
      </c>
      <c r="AG402" t="s">
        <v>624</v>
      </c>
      <c r="AH402">
        <v>0</v>
      </c>
      <c r="AK402">
        <v>0</v>
      </c>
    </row>
    <row r="403" spans="1:37" x14ac:dyDescent="0.25">
      <c r="A403" t="s">
        <v>79</v>
      </c>
      <c r="B403">
        <v>2</v>
      </c>
      <c r="C403">
        <v>2</v>
      </c>
      <c r="D403">
        <v>3</v>
      </c>
      <c r="E403">
        <v>2</v>
      </c>
      <c r="G403">
        <v>223</v>
      </c>
      <c r="H403" t="s">
        <v>607</v>
      </c>
      <c r="I403" t="s">
        <v>88</v>
      </c>
      <c r="J403" t="s">
        <v>625</v>
      </c>
      <c r="L403">
        <v>0</v>
      </c>
      <c r="M403" t="s">
        <v>626</v>
      </c>
      <c r="O403" t="s">
        <v>627</v>
      </c>
      <c r="P403" t="s">
        <v>628</v>
      </c>
      <c r="Q403" t="s">
        <v>629</v>
      </c>
      <c r="R403" t="s">
        <v>382</v>
      </c>
      <c r="S403" t="s">
        <v>630</v>
      </c>
      <c r="T403">
        <v>5</v>
      </c>
      <c r="U403">
        <v>0</v>
      </c>
      <c r="V403" t="s">
        <v>631</v>
      </c>
      <c r="AE403" t="s">
        <v>632</v>
      </c>
      <c r="AF403">
        <v>0</v>
      </c>
      <c r="AG403" t="s">
        <v>633</v>
      </c>
      <c r="AH403">
        <v>0</v>
      </c>
      <c r="AK403">
        <v>0</v>
      </c>
    </row>
    <row r="404" spans="1:37" x14ac:dyDescent="0.25">
      <c r="A404" t="s">
        <v>79</v>
      </c>
      <c r="B404">
        <v>2</v>
      </c>
      <c r="C404">
        <v>2</v>
      </c>
      <c r="D404">
        <v>3</v>
      </c>
      <c r="E404">
        <v>3</v>
      </c>
      <c r="G404">
        <v>223</v>
      </c>
      <c r="H404" t="s">
        <v>607</v>
      </c>
      <c r="I404" t="s">
        <v>95</v>
      </c>
      <c r="J404" t="s">
        <v>634</v>
      </c>
      <c r="L404">
        <v>0</v>
      </c>
      <c r="M404" t="s">
        <v>635</v>
      </c>
      <c r="O404" t="s">
        <v>636</v>
      </c>
      <c r="P404" t="s">
        <v>637</v>
      </c>
      <c r="Q404" t="s">
        <v>621</v>
      </c>
      <c r="R404" t="s">
        <v>382</v>
      </c>
      <c r="S404" t="s">
        <v>638</v>
      </c>
      <c r="T404">
        <v>5</v>
      </c>
      <c r="U404">
        <v>0</v>
      </c>
      <c r="V404" t="s">
        <v>639</v>
      </c>
      <c r="AE404" t="s">
        <v>640</v>
      </c>
      <c r="AF404">
        <v>0</v>
      </c>
      <c r="AG404" t="s">
        <v>641</v>
      </c>
      <c r="AH404">
        <v>0</v>
      </c>
      <c r="AK404">
        <v>0</v>
      </c>
    </row>
    <row r="405" spans="1:37" x14ac:dyDescent="0.25">
      <c r="A405" t="s">
        <v>79</v>
      </c>
      <c r="B405">
        <v>2</v>
      </c>
      <c r="C405">
        <v>2</v>
      </c>
      <c r="D405">
        <v>3</v>
      </c>
      <c r="E405">
        <v>4</v>
      </c>
      <c r="G405">
        <v>223</v>
      </c>
      <c r="H405" t="s">
        <v>607</v>
      </c>
      <c r="I405" t="s">
        <v>102</v>
      </c>
      <c r="J405" t="s">
        <v>642</v>
      </c>
      <c r="L405">
        <v>0</v>
      </c>
      <c r="M405" t="s">
        <v>643</v>
      </c>
      <c r="O405" t="s">
        <v>396</v>
      </c>
      <c r="P405" t="s">
        <v>397</v>
      </c>
      <c r="Q405" t="s">
        <v>644</v>
      </c>
      <c r="R405" t="s">
        <v>179</v>
      </c>
      <c r="S405" t="s">
        <v>399</v>
      </c>
      <c r="T405">
        <v>5</v>
      </c>
      <c r="U405">
        <v>5</v>
      </c>
      <c r="V405" t="s">
        <v>645</v>
      </c>
      <c r="AE405" t="s">
        <v>646</v>
      </c>
      <c r="AF405">
        <v>0</v>
      </c>
      <c r="AG405" t="s">
        <v>647</v>
      </c>
      <c r="AH405">
        <v>0</v>
      </c>
      <c r="AK405">
        <v>0</v>
      </c>
    </row>
    <row r="406" spans="1:37" x14ac:dyDescent="0.25">
      <c r="A406" t="s">
        <v>79</v>
      </c>
      <c r="B406">
        <v>2</v>
      </c>
      <c r="C406">
        <v>2</v>
      </c>
      <c r="D406">
        <v>3</v>
      </c>
      <c r="E406">
        <v>5</v>
      </c>
      <c r="G406">
        <v>223</v>
      </c>
      <c r="H406" t="s">
        <v>607</v>
      </c>
      <c r="I406" t="s">
        <v>109</v>
      </c>
      <c r="J406" t="s">
        <v>648</v>
      </c>
      <c r="L406">
        <v>0</v>
      </c>
      <c r="M406" t="s">
        <v>649</v>
      </c>
      <c r="O406" t="s">
        <v>650</v>
      </c>
      <c r="P406" t="s">
        <v>651</v>
      </c>
      <c r="Q406" t="s">
        <v>629</v>
      </c>
      <c r="R406" t="s">
        <v>382</v>
      </c>
      <c r="S406" t="s">
        <v>652</v>
      </c>
      <c r="T406">
        <v>5</v>
      </c>
      <c r="U406">
        <v>0</v>
      </c>
      <c r="V406" t="s">
        <v>653</v>
      </c>
      <c r="AE406" t="s">
        <v>654</v>
      </c>
      <c r="AF406">
        <v>0</v>
      </c>
      <c r="AG406" t="s">
        <v>633</v>
      </c>
      <c r="AH406">
        <v>0</v>
      </c>
      <c r="AK406">
        <v>0</v>
      </c>
    </row>
    <row r="407" spans="1:37" x14ac:dyDescent="0.25">
      <c r="A407" t="s">
        <v>79</v>
      </c>
      <c r="B407">
        <v>2</v>
      </c>
      <c r="C407">
        <v>2</v>
      </c>
      <c r="D407">
        <v>3</v>
      </c>
      <c r="E407">
        <v>6</v>
      </c>
      <c r="G407">
        <v>223</v>
      </c>
      <c r="H407" t="s">
        <v>607</v>
      </c>
      <c r="I407" t="s">
        <v>116</v>
      </c>
      <c r="J407" t="s">
        <v>655</v>
      </c>
      <c r="L407">
        <v>0</v>
      </c>
      <c r="M407" t="s">
        <v>656</v>
      </c>
      <c r="O407" t="s">
        <v>657</v>
      </c>
      <c r="P407" t="s">
        <v>658</v>
      </c>
      <c r="Q407" t="s">
        <v>621</v>
      </c>
      <c r="R407" t="s">
        <v>382</v>
      </c>
      <c r="S407" t="s">
        <v>659</v>
      </c>
      <c r="T407">
        <v>5</v>
      </c>
      <c r="U407">
        <v>0</v>
      </c>
      <c r="V407" t="s">
        <v>660</v>
      </c>
      <c r="AE407" t="s">
        <v>661</v>
      </c>
      <c r="AF407">
        <v>0</v>
      </c>
      <c r="AG407" t="s">
        <v>641</v>
      </c>
      <c r="AH407">
        <v>0</v>
      </c>
      <c r="AK407">
        <v>0</v>
      </c>
    </row>
    <row r="408" spans="1:37" x14ac:dyDescent="0.25">
      <c r="A408" t="s">
        <v>79</v>
      </c>
      <c r="B408">
        <v>2</v>
      </c>
      <c r="C408">
        <v>2</v>
      </c>
      <c r="D408">
        <v>3</v>
      </c>
      <c r="E408">
        <v>7</v>
      </c>
      <c r="G408">
        <v>223</v>
      </c>
      <c r="H408" t="s">
        <v>607</v>
      </c>
      <c r="I408" t="s">
        <v>123</v>
      </c>
      <c r="J408" t="s">
        <v>662</v>
      </c>
      <c r="L408">
        <v>0</v>
      </c>
      <c r="M408" t="s">
        <v>663</v>
      </c>
      <c r="O408" t="s">
        <v>664</v>
      </c>
      <c r="P408" t="s">
        <v>665</v>
      </c>
      <c r="Q408" t="s">
        <v>629</v>
      </c>
      <c r="R408" t="s">
        <v>382</v>
      </c>
      <c r="S408" t="s">
        <v>666</v>
      </c>
      <c r="T408">
        <v>5</v>
      </c>
      <c r="U408">
        <v>0</v>
      </c>
      <c r="V408" t="s">
        <v>667</v>
      </c>
      <c r="AE408" t="s">
        <v>668</v>
      </c>
      <c r="AF408">
        <v>0</v>
      </c>
      <c r="AG408" t="s">
        <v>633</v>
      </c>
      <c r="AH408">
        <v>0</v>
      </c>
      <c r="AK408">
        <v>0</v>
      </c>
    </row>
    <row r="409" spans="1:37" x14ac:dyDescent="0.25">
      <c r="A409" t="s">
        <v>79</v>
      </c>
      <c r="B409">
        <v>2</v>
      </c>
      <c r="C409">
        <v>2</v>
      </c>
      <c r="D409">
        <v>3</v>
      </c>
      <c r="E409">
        <v>8</v>
      </c>
      <c r="G409">
        <v>223</v>
      </c>
      <c r="H409" t="s">
        <v>607</v>
      </c>
      <c r="I409" t="s">
        <v>126</v>
      </c>
      <c r="J409" t="s">
        <v>669</v>
      </c>
      <c r="L409">
        <v>0</v>
      </c>
      <c r="M409" t="s">
        <v>670</v>
      </c>
      <c r="O409" t="s">
        <v>671</v>
      </c>
      <c r="P409" t="s">
        <v>672</v>
      </c>
      <c r="Q409" t="s">
        <v>673</v>
      </c>
      <c r="R409" t="s">
        <v>382</v>
      </c>
      <c r="S409" t="s">
        <v>674</v>
      </c>
      <c r="T409">
        <v>5</v>
      </c>
      <c r="U409">
        <v>0</v>
      </c>
      <c r="V409" t="s">
        <v>675</v>
      </c>
      <c r="AE409" t="s">
        <v>676</v>
      </c>
      <c r="AF409">
        <v>0</v>
      </c>
      <c r="AG409" t="s">
        <v>677</v>
      </c>
      <c r="AH409">
        <v>0</v>
      </c>
      <c r="AK409">
        <v>0</v>
      </c>
    </row>
    <row r="410" spans="1:37" x14ac:dyDescent="0.25">
      <c r="A410" t="s">
        <v>79</v>
      </c>
      <c r="B410">
        <v>2</v>
      </c>
      <c r="C410">
        <v>2</v>
      </c>
      <c r="D410">
        <v>3</v>
      </c>
      <c r="E410">
        <v>9</v>
      </c>
      <c r="G410">
        <v>223</v>
      </c>
      <c r="H410" t="s">
        <v>607</v>
      </c>
      <c r="I410" t="s">
        <v>74</v>
      </c>
      <c r="J410" t="s">
        <v>678</v>
      </c>
      <c r="L410">
        <v>0</v>
      </c>
      <c r="M410" t="s">
        <v>679</v>
      </c>
      <c r="O410" t="s">
        <v>405</v>
      </c>
      <c r="P410" t="s">
        <v>406</v>
      </c>
      <c r="Q410" t="s">
        <v>680</v>
      </c>
      <c r="R410" t="s">
        <v>382</v>
      </c>
      <c r="S410" t="s">
        <v>407</v>
      </c>
      <c r="T410">
        <v>5</v>
      </c>
      <c r="U410">
        <v>0</v>
      </c>
      <c r="V410" t="s">
        <v>681</v>
      </c>
      <c r="AE410" t="s">
        <v>682</v>
      </c>
      <c r="AF410">
        <v>0</v>
      </c>
      <c r="AG410" t="s">
        <v>683</v>
      </c>
      <c r="AH410">
        <v>0</v>
      </c>
      <c r="AK410">
        <v>0</v>
      </c>
    </row>
    <row r="411" spans="1:37" x14ac:dyDescent="0.25">
      <c r="A411" t="s">
        <v>79</v>
      </c>
      <c r="B411">
        <v>2</v>
      </c>
      <c r="C411">
        <v>2</v>
      </c>
      <c r="D411">
        <v>3</v>
      </c>
      <c r="E411">
        <v>10</v>
      </c>
      <c r="G411">
        <v>223</v>
      </c>
      <c r="H411" t="s">
        <v>607</v>
      </c>
      <c r="I411" t="s">
        <v>129</v>
      </c>
      <c r="J411" t="s">
        <v>684</v>
      </c>
      <c r="L411">
        <v>0</v>
      </c>
      <c r="M411" t="s">
        <v>685</v>
      </c>
      <c r="O411" t="s">
        <v>420</v>
      </c>
      <c r="P411" t="s">
        <v>421</v>
      </c>
      <c r="Q411" t="s">
        <v>680</v>
      </c>
      <c r="R411" t="s">
        <v>382</v>
      </c>
      <c r="S411" t="s">
        <v>422</v>
      </c>
      <c r="T411">
        <v>5</v>
      </c>
      <c r="U411">
        <v>0</v>
      </c>
      <c r="V411" t="s">
        <v>686</v>
      </c>
      <c r="AE411" t="s">
        <v>687</v>
      </c>
      <c r="AF411">
        <v>0</v>
      </c>
      <c r="AG411" t="s">
        <v>683</v>
      </c>
      <c r="AH411">
        <v>0</v>
      </c>
      <c r="AK411">
        <v>0</v>
      </c>
    </row>
    <row r="412" spans="1:37" x14ac:dyDescent="0.25">
      <c r="A412" t="s">
        <v>79</v>
      </c>
      <c r="B412">
        <v>2</v>
      </c>
      <c r="C412">
        <v>2</v>
      </c>
      <c r="D412">
        <v>3</v>
      </c>
      <c r="E412">
        <v>11</v>
      </c>
      <c r="G412">
        <v>223</v>
      </c>
      <c r="H412" t="s">
        <v>607</v>
      </c>
      <c r="I412" t="s">
        <v>131</v>
      </c>
      <c r="J412" t="s">
        <v>688</v>
      </c>
      <c r="L412">
        <v>0</v>
      </c>
      <c r="M412" t="s">
        <v>689</v>
      </c>
      <c r="O412" t="s">
        <v>427</v>
      </c>
      <c r="P412" t="s">
        <v>428</v>
      </c>
      <c r="Q412" t="s">
        <v>690</v>
      </c>
      <c r="R412" t="s">
        <v>179</v>
      </c>
      <c r="S412" t="s">
        <v>429</v>
      </c>
      <c r="T412">
        <v>5</v>
      </c>
      <c r="U412">
        <v>1</v>
      </c>
      <c r="V412" t="s">
        <v>691</v>
      </c>
      <c r="AE412" t="s">
        <v>692</v>
      </c>
      <c r="AF412">
        <v>0</v>
      </c>
      <c r="AG412" t="s">
        <v>693</v>
      </c>
      <c r="AH412">
        <v>0</v>
      </c>
      <c r="AK412">
        <v>0</v>
      </c>
    </row>
    <row r="413" spans="1:37" x14ac:dyDescent="0.25">
      <c r="A413" t="s">
        <v>79</v>
      </c>
      <c r="B413">
        <v>2</v>
      </c>
      <c r="C413">
        <v>2</v>
      </c>
      <c r="D413">
        <v>3</v>
      </c>
      <c r="E413">
        <v>12</v>
      </c>
      <c r="G413">
        <v>223</v>
      </c>
      <c r="H413" t="s">
        <v>607</v>
      </c>
      <c r="I413" t="s">
        <v>133</v>
      </c>
      <c r="J413" t="s">
        <v>694</v>
      </c>
      <c r="L413">
        <v>0</v>
      </c>
      <c r="M413" t="s">
        <v>695</v>
      </c>
      <c r="O413" t="s">
        <v>696</v>
      </c>
      <c r="P413" t="s">
        <v>697</v>
      </c>
      <c r="Q413" t="s">
        <v>698</v>
      </c>
      <c r="R413" t="s">
        <v>179</v>
      </c>
      <c r="S413" t="s">
        <v>699</v>
      </c>
      <c r="T413">
        <v>5</v>
      </c>
      <c r="U413">
        <v>1</v>
      </c>
      <c r="V413" t="s">
        <v>700</v>
      </c>
      <c r="AE413" t="s">
        <v>701</v>
      </c>
      <c r="AF413">
        <v>0</v>
      </c>
      <c r="AG413" t="s">
        <v>702</v>
      </c>
      <c r="AH413">
        <v>0</v>
      </c>
      <c r="AK413">
        <v>0</v>
      </c>
    </row>
    <row r="414" spans="1:37" x14ac:dyDescent="0.25">
      <c r="A414" t="s">
        <v>79</v>
      </c>
      <c r="B414">
        <v>2</v>
      </c>
      <c r="C414">
        <v>2</v>
      </c>
      <c r="D414">
        <v>3</v>
      </c>
      <c r="E414">
        <v>13</v>
      </c>
      <c r="G414">
        <v>223</v>
      </c>
      <c r="H414" t="s">
        <v>607</v>
      </c>
      <c r="I414" t="s">
        <v>135</v>
      </c>
      <c r="J414" t="s">
        <v>703</v>
      </c>
      <c r="L414">
        <v>0</v>
      </c>
      <c r="M414" t="s">
        <v>704</v>
      </c>
      <c r="O414" t="s">
        <v>435</v>
      </c>
      <c r="P414" t="s">
        <v>436</v>
      </c>
      <c r="Q414" t="s">
        <v>705</v>
      </c>
      <c r="R414" t="s">
        <v>179</v>
      </c>
      <c r="S414" t="s">
        <v>438</v>
      </c>
      <c r="T414">
        <v>5</v>
      </c>
      <c r="U414">
        <v>4</v>
      </c>
      <c r="V414" t="s">
        <v>706</v>
      </c>
      <c r="AE414" t="s">
        <v>707</v>
      </c>
      <c r="AF414">
        <v>0</v>
      </c>
      <c r="AG414" t="s">
        <v>708</v>
      </c>
      <c r="AH414">
        <v>0</v>
      </c>
      <c r="AK414">
        <v>0</v>
      </c>
    </row>
    <row r="415" spans="1:37" x14ac:dyDescent="0.25">
      <c r="A415" t="s">
        <v>79</v>
      </c>
      <c r="B415">
        <v>2</v>
      </c>
      <c r="C415">
        <v>2</v>
      </c>
      <c r="D415">
        <v>3</v>
      </c>
      <c r="E415">
        <v>14</v>
      </c>
      <c r="G415">
        <v>223</v>
      </c>
      <c r="H415" t="s">
        <v>607</v>
      </c>
      <c r="I415" t="s">
        <v>137</v>
      </c>
      <c r="J415" t="s">
        <v>709</v>
      </c>
      <c r="L415">
        <v>0</v>
      </c>
      <c r="M415" t="s">
        <v>710</v>
      </c>
      <c r="O415" t="s">
        <v>711</v>
      </c>
      <c r="P415" t="s">
        <v>712</v>
      </c>
      <c r="Q415" t="s">
        <v>698</v>
      </c>
      <c r="R415" t="s">
        <v>179</v>
      </c>
      <c r="S415" t="s">
        <v>713</v>
      </c>
      <c r="T415">
        <v>5</v>
      </c>
      <c r="U415">
        <v>1</v>
      </c>
      <c r="V415" t="s">
        <v>714</v>
      </c>
      <c r="AE415" t="s">
        <v>715</v>
      </c>
      <c r="AF415">
        <v>0</v>
      </c>
      <c r="AG415" t="s">
        <v>702</v>
      </c>
      <c r="AH415">
        <v>0</v>
      </c>
      <c r="AK415">
        <v>0</v>
      </c>
    </row>
    <row r="416" spans="1:37" x14ac:dyDescent="0.25">
      <c r="A416" t="s">
        <v>79</v>
      </c>
      <c r="B416">
        <v>2</v>
      </c>
      <c r="C416">
        <v>2</v>
      </c>
      <c r="D416">
        <v>3</v>
      </c>
      <c r="E416">
        <v>15</v>
      </c>
      <c r="G416">
        <v>223</v>
      </c>
      <c r="H416" t="s">
        <v>607</v>
      </c>
      <c r="I416" t="s">
        <v>139</v>
      </c>
      <c r="J416" t="s">
        <v>716</v>
      </c>
      <c r="L416">
        <v>0</v>
      </c>
      <c r="M416" t="s">
        <v>717</v>
      </c>
      <c r="O416" t="s">
        <v>444</v>
      </c>
      <c r="P416" t="s">
        <v>445</v>
      </c>
      <c r="Q416" t="s">
        <v>718</v>
      </c>
      <c r="R416" t="s">
        <v>179</v>
      </c>
      <c r="S416" t="s">
        <v>447</v>
      </c>
      <c r="T416">
        <v>5</v>
      </c>
      <c r="U416">
        <v>12</v>
      </c>
      <c r="V416" t="s">
        <v>719</v>
      </c>
      <c r="AE416" t="s">
        <v>720</v>
      </c>
      <c r="AF416">
        <v>0</v>
      </c>
      <c r="AG416" t="s">
        <v>721</v>
      </c>
      <c r="AH416">
        <v>0</v>
      </c>
      <c r="AK416">
        <v>0</v>
      </c>
    </row>
    <row r="417" spans="1:37" x14ac:dyDescent="0.25">
      <c r="L417">
        <v>0</v>
      </c>
    </row>
    <row r="418" spans="1:37" x14ac:dyDescent="0.25">
      <c r="A418" t="s">
        <v>70</v>
      </c>
      <c r="B418">
        <v>2</v>
      </c>
      <c r="C418">
        <v>2</v>
      </c>
      <c r="D418">
        <v>4</v>
      </c>
      <c r="G418">
        <v>22</v>
      </c>
      <c r="M418" t="s">
        <v>722</v>
      </c>
      <c r="O418" t="s">
        <v>723</v>
      </c>
      <c r="P418" t="s">
        <v>724</v>
      </c>
      <c r="Q418" t="s">
        <v>102</v>
      </c>
      <c r="R418" t="s">
        <v>179</v>
      </c>
      <c r="S418" t="s">
        <v>725</v>
      </c>
      <c r="V418" t="s">
        <v>726</v>
      </c>
      <c r="X418" t="s">
        <v>727</v>
      </c>
      <c r="Y418" t="s">
        <v>728</v>
      </c>
      <c r="Z418" t="s">
        <v>729</v>
      </c>
      <c r="AA418" t="s">
        <v>730</v>
      </c>
      <c r="AB418" t="s">
        <v>731</v>
      </c>
      <c r="AC418" t="s">
        <v>732</v>
      </c>
      <c r="AE418" t="s">
        <v>733</v>
      </c>
      <c r="AF418">
        <v>0</v>
      </c>
      <c r="AG418" t="s">
        <v>734</v>
      </c>
      <c r="AH418">
        <v>0</v>
      </c>
      <c r="AK418">
        <v>0</v>
      </c>
    </row>
    <row r="419" spans="1:37" x14ac:dyDescent="0.25">
      <c r="A419" t="s">
        <v>79</v>
      </c>
      <c r="B419">
        <v>2</v>
      </c>
      <c r="C419">
        <v>2</v>
      </c>
      <c r="D419">
        <v>4</v>
      </c>
      <c r="E419">
        <v>1</v>
      </c>
      <c r="G419">
        <v>224</v>
      </c>
      <c r="H419" t="s">
        <v>723</v>
      </c>
      <c r="I419" t="s">
        <v>80</v>
      </c>
      <c r="J419" t="s">
        <v>735</v>
      </c>
      <c r="L419">
        <v>0</v>
      </c>
      <c r="M419" t="s">
        <v>736</v>
      </c>
      <c r="O419" t="s">
        <v>360</v>
      </c>
      <c r="P419" t="s">
        <v>361</v>
      </c>
      <c r="Q419" t="s">
        <v>737</v>
      </c>
      <c r="R419" t="s">
        <v>363</v>
      </c>
      <c r="S419" t="s">
        <v>364</v>
      </c>
      <c r="T419">
        <v>5</v>
      </c>
      <c r="U419">
        <v>1</v>
      </c>
      <c r="V419" t="s">
        <v>738</v>
      </c>
      <c r="AE419" t="s">
        <v>739</v>
      </c>
      <c r="AF419">
        <v>0</v>
      </c>
      <c r="AG419" t="s">
        <v>740</v>
      </c>
      <c r="AH419">
        <v>0</v>
      </c>
      <c r="AK419">
        <v>0</v>
      </c>
    </row>
    <row r="420" spans="1:37" x14ac:dyDescent="0.25">
      <c r="A420" t="s">
        <v>79</v>
      </c>
      <c r="B420">
        <v>2</v>
      </c>
      <c r="C420">
        <v>2</v>
      </c>
      <c r="D420">
        <v>4</v>
      </c>
      <c r="E420">
        <v>2</v>
      </c>
      <c r="G420">
        <v>224</v>
      </c>
      <c r="H420" t="s">
        <v>723</v>
      </c>
      <c r="I420" t="s">
        <v>88</v>
      </c>
      <c r="J420" t="s">
        <v>741</v>
      </c>
      <c r="L420">
        <v>0</v>
      </c>
      <c r="M420" t="s">
        <v>742</v>
      </c>
      <c r="O420" t="s">
        <v>444</v>
      </c>
      <c r="P420" t="s">
        <v>445</v>
      </c>
      <c r="Q420" t="s">
        <v>743</v>
      </c>
      <c r="R420" t="s">
        <v>179</v>
      </c>
      <c r="S420" t="s">
        <v>447</v>
      </c>
      <c r="T420">
        <v>5</v>
      </c>
      <c r="U420">
        <v>19</v>
      </c>
      <c r="V420" t="s">
        <v>744</v>
      </c>
      <c r="AE420" t="s">
        <v>745</v>
      </c>
      <c r="AF420">
        <v>0</v>
      </c>
      <c r="AG420" t="s">
        <v>746</v>
      </c>
      <c r="AH420">
        <v>0</v>
      </c>
      <c r="AK420">
        <v>0</v>
      </c>
    </row>
    <row r="421" spans="1:37" x14ac:dyDescent="0.25">
      <c r="A421" t="s">
        <v>79</v>
      </c>
      <c r="B421">
        <v>2</v>
      </c>
      <c r="C421">
        <v>2</v>
      </c>
      <c r="D421">
        <v>4</v>
      </c>
      <c r="E421">
        <v>3</v>
      </c>
      <c r="G421">
        <v>224</v>
      </c>
      <c r="H421" t="s">
        <v>723</v>
      </c>
      <c r="I421" t="s">
        <v>95</v>
      </c>
      <c r="J421" t="s">
        <v>747</v>
      </c>
      <c r="L421">
        <v>0</v>
      </c>
      <c r="M421" t="s">
        <v>748</v>
      </c>
      <c r="O421" t="s">
        <v>749</v>
      </c>
      <c r="P421" t="s">
        <v>750</v>
      </c>
      <c r="Q421" t="s">
        <v>737</v>
      </c>
      <c r="R421" t="s">
        <v>382</v>
      </c>
      <c r="S421" t="s">
        <v>751</v>
      </c>
      <c r="T421">
        <v>5</v>
      </c>
      <c r="U421">
        <v>1</v>
      </c>
      <c r="V421" t="s">
        <v>752</v>
      </c>
      <c r="AE421" t="s">
        <v>753</v>
      </c>
      <c r="AF421">
        <v>0</v>
      </c>
      <c r="AG421" t="s">
        <v>754</v>
      </c>
      <c r="AH421">
        <v>0</v>
      </c>
      <c r="AK421">
        <v>0</v>
      </c>
    </row>
    <row r="422" spans="1:37" x14ac:dyDescent="0.25">
      <c r="A422" t="s">
        <v>79</v>
      </c>
      <c r="B422">
        <v>2</v>
      </c>
      <c r="C422">
        <v>2</v>
      </c>
      <c r="D422">
        <v>4</v>
      </c>
      <c r="E422">
        <v>4</v>
      </c>
      <c r="G422">
        <v>224</v>
      </c>
      <c r="H422" t="s">
        <v>723</v>
      </c>
      <c r="I422" t="s">
        <v>102</v>
      </c>
      <c r="J422" t="s">
        <v>755</v>
      </c>
      <c r="L422">
        <v>0</v>
      </c>
      <c r="M422" t="s">
        <v>756</v>
      </c>
      <c r="O422" t="s">
        <v>550</v>
      </c>
      <c r="P422" t="s">
        <v>551</v>
      </c>
      <c r="Q422" t="s">
        <v>757</v>
      </c>
      <c r="R422" t="s">
        <v>192</v>
      </c>
      <c r="S422" t="s">
        <v>553</v>
      </c>
      <c r="T422">
        <v>5</v>
      </c>
      <c r="U422">
        <v>1</v>
      </c>
      <c r="V422" t="s">
        <v>758</v>
      </c>
      <c r="AE422" t="s">
        <v>759</v>
      </c>
      <c r="AF422">
        <v>0</v>
      </c>
      <c r="AG422" t="s">
        <v>760</v>
      </c>
      <c r="AH422">
        <v>0</v>
      </c>
      <c r="AK422">
        <v>0</v>
      </c>
    </row>
    <row r="423" spans="1:37" x14ac:dyDescent="0.25">
      <c r="A423" t="s">
        <v>79</v>
      </c>
      <c r="B423">
        <v>2</v>
      </c>
      <c r="C423">
        <v>2</v>
      </c>
      <c r="D423">
        <v>4</v>
      </c>
      <c r="E423">
        <v>5</v>
      </c>
      <c r="G423">
        <v>224</v>
      </c>
      <c r="H423" t="s">
        <v>723</v>
      </c>
      <c r="I423" t="s">
        <v>109</v>
      </c>
      <c r="J423" t="s">
        <v>761</v>
      </c>
      <c r="L423">
        <v>0</v>
      </c>
      <c r="M423" t="s">
        <v>762</v>
      </c>
      <c r="O423" t="s">
        <v>559</v>
      </c>
      <c r="P423" t="s">
        <v>560</v>
      </c>
      <c r="Q423" t="s">
        <v>763</v>
      </c>
      <c r="R423" t="s">
        <v>192</v>
      </c>
      <c r="S423" t="s">
        <v>562</v>
      </c>
      <c r="T423">
        <v>5</v>
      </c>
      <c r="U423">
        <v>2</v>
      </c>
      <c r="V423" t="s">
        <v>764</v>
      </c>
      <c r="AE423" t="s">
        <v>765</v>
      </c>
      <c r="AF423">
        <v>0</v>
      </c>
      <c r="AG423" t="s">
        <v>766</v>
      </c>
      <c r="AH423">
        <v>0</v>
      </c>
      <c r="AK423">
        <v>0</v>
      </c>
    </row>
    <row r="424" spans="1:37" x14ac:dyDescent="0.25">
      <c r="A424" t="s">
        <v>79</v>
      </c>
      <c r="B424">
        <v>2</v>
      </c>
      <c r="C424">
        <v>2</v>
      </c>
      <c r="D424">
        <v>4</v>
      </c>
      <c r="E424">
        <v>6</v>
      </c>
      <c r="G424">
        <v>224</v>
      </c>
      <c r="H424" t="s">
        <v>723</v>
      </c>
      <c r="I424" t="s">
        <v>116</v>
      </c>
      <c r="J424" t="s">
        <v>767</v>
      </c>
      <c r="L424">
        <v>0</v>
      </c>
      <c r="M424" t="s">
        <v>768</v>
      </c>
      <c r="O424" t="s">
        <v>769</v>
      </c>
      <c r="P424" t="s">
        <v>770</v>
      </c>
      <c r="Q424" t="s">
        <v>737</v>
      </c>
      <c r="R424" t="s">
        <v>192</v>
      </c>
      <c r="S424" t="s">
        <v>771</v>
      </c>
      <c r="T424">
        <v>5</v>
      </c>
      <c r="U424">
        <v>1</v>
      </c>
      <c r="V424" t="s">
        <v>772</v>
      </c>
      <c r="AE424" t="s">
        <v>773</v>
      </c>
      <c r="AF424">
        <v>0</v>
      </c>
      <c r="AG424" t="s">
        <v>774</v>
      </c>
      <c r="AH424">
        <v>0</v>
      </c>
      <c r="AK424">
        <v>0</v>
      </c>
    </row>
    <row r="425" spans="1:37" x14ac:dyDescent="0.25">
      <c r="A425" t="s">
        <v>79</v>
      </c>
      <c r="B425">
        <v>2</v>
      </c>
      <c r="C425">
        <v>2</v>
      </c>
      <c r="D425">
        <v>4</v>
      </c>
      <c r="E425">
        <v>7</v>
      </c>
      <c r="G425">
        <v>224</v>
      </c>
      <c r="H425" t="s">
        <v>723</v>
      </c>
      <c r="I425" t="s">
        <v>123</v>
      </c>
      <c r="J425" t="s">
        <v>775</v>
      </c>
      <c r="L425">
        <v>0</v>
      </c>
      <c r="M425" t="s">
        <v>776</v>
      </c>
      <c r="O425" t="s">
        <v>577</v>
      </c>
      <c r="P425" t="s">
        <v>578</v>
      </c>
      <c r="Q425" t="s">
        <v>757</v>
      </c>
      <c r="R425" t="s">
        <v>192</v>
      </c>
      <c r="S425" t="s">
        <v>579</v>
      </c>
      <c r="T425">
        <v>5</v>
      </c>
      <c r="U425">
        <v>1</v>
      </c>
      <c r="V425" t="s">
        <v>777</v>
      </c>
      <c r="AE425" t="s">
        <v>778</v>
      </c>
      <c r="AF425">
        <v>0</v>
      </c>
      <c r="AG425" t="s">
        <v>760</v>
      </c>
      <c r="AH425">
        <v>0</v>
      </c>
      <c r="AK425">
        <v>0</v>
      </c>
    </row>
    <row r="426" spans="1:37" x14ac:dyDescent="0.25">
      <c r="A426" t="s">
        <v>79</v>
      </c>
      <c r="B426">
        <v>2</v>
      </c>
      <c r="C426">
        <v>2</v>
      </c>
      <c r="D426">
        <v>4</v>
      </c>
      <c r="E426">
        <v>8</v>
      </c>
      <c r="G426">
        <v>224</v>
      </c>
      <c r="H426" t="s">
        <v>723</v>
      </c>
      <c r="I426" t="s">
        <v>126</v>
      </c>
      <c r="J426" t="s">
        <v>779</v>
      </c>
      <c r="L426">
        <v>0</v>
      </c>
      <c r="M426" t="s">
        <v>780</v>
      </c>
      <c r="O426" t="s">
        <v>584</v>
      </c>
      <c r="P426" t="s">
        <v>585</v>
      </c>
      <c r="Q426" t="s">
        <v>781</v>
      </c>
      <c r="R426" t="s">
        <v>192</v>
      </c>
      <c r="S426" t="s">
        <v>586</v>
      </c>
      <c r="T426">
        <v>5</v>
      </c>
      <c r="U426">
        <v>2</v>
      </c>
      <c r="V426" t="s">
        <v>782</v>
      </c>
      <c r="AE426" t="s">
        <v>783</v>
      </c>
      <c r="AF426">
        <v>0</v>
      </c>
      <c r="AG426" t="s">
        <v>784</v>
      </c>
      <c r="AH426">
        <v>0</v>
      </c>
      <c r="AK426">
        <v>0</v>
      </c>
    </row>
    <row r="427" spans="1:37" x14ac:dyDescent="0.25">
      <c r="A427" t="s">
        <v>79</v>
      </c>
      <c r="B427">
        <v>2</v>
      </c>
      <c r="C427">
        <v>2</v>
      </c>
      <c r="D427">
        <v>4</v>
      </c>
      <c r="E427">
        <v>9</v>
      </c>
      <c r="G427">
        <v>224</v>
      </c>
      <c r="H427" t="s">
        <v>723</v>
      </c>
      <c r="I427" t="s">
        <v>74</v>
      </c>
      <c r="J427" t="s">
        <v>785</v>
      </c>
      <c r="L427">
        <v>0</v>
      </c>
      <c r="M427" t="s">
        <v>786</v>
      </c>
      <c r="O427" t="s">
        <v>787</v>
      </c>
      <c r="P427" t="s">
        <v>788</v>
      </c>
      <c r="Q427" t="s">
        <v>789</v>
      </c>
      <c r="R427" t="s">
        <v>192</v>
      </c>
      <c r="S427" t="s">
        <v>790</v>
      </c>
      <c r="T427">
        <v>5</v>
      </c>
      <c r="U427">
        <v>11</v>
      </c>
      <c r="V427" t="s">
        <v>791</v>
      </c>
      <c r="AE427" t="s">
        <v>792</v>
      </c>
      <c r="AF427">
        <v>0</v>
      </c>
      <c r="AG427" t="s">
        <v>793</v>
      </c>
      <c r="AH427">
        <v>0</v>
      </c>
      <c r="AK427">
        <v>0</v>
      </c>
    </row>
    <row r="428" spans="1:37" x14ac:dyDescent="0.25">
      <c r="A428" t="s">
        <v>79</v>
      </c>
      <c r="B428">
        <v>2</v>
      </c>
      <c r="C428">
        <v>2</v>
      </c>
      <c r="D428">
        <v>4</v>
      </c>
      <c r="E428">
        <v>10</v>
      </c>
      <c r="G428">
        <v>224</v>
      </c>
      <c r="H428" t="s">
        <v>723</v>
      </c>
      <c r="I428" t="s">
        <v>129</v>
      </c>
      <c r="J428" t="s">
        <v>794</v>
      </c>
      <c r="L428">
        <v>0</v>
      </c>
      <c r="M428" t="s">
        <v>795</v>
      </c>
      <c r="O428" t="s">
        <v>796</v>
      </c>
      <c r="P428" t="s">
        <v>797</v>
      </c>
      <c r="Q428" t="s">
        <v>737</v>
      </c>
      <c r="R428" t="s">
        <v>382</v>
      </c>
      <c r="S428" t="s">
        <v>798</v>
      </c>
      <c r="T428">
        <v>5</v>
      </c>
      <c r="U428">
        <v>1</v>
      </c>
      <c r="V428" t="s">
        <v>799</v>
      </c>
      <c r="AE428" t="s">
        <v>800</v>
      </c>
      <c r="AF428">
        <v>0</v>
      </c>
      <c r="AG428" t="s">
        <v>754</v>
      </c>
      <c r="AH428">
        <v>0</v>
      </c>
      <c r="AK428">
        <v>0</v>
      </c>
    </row>
    <row r="429" spans="1:37" x14ac:dyDescent="0.25">
      <c r="A429" t="s">
        <v>79</v>
      </c>
      <c r="B429">
        <v>2</v>
      </c>
      <c r="C429">
        <v>2</v>
      </c>
      <c r="D429">
        <v>4</v>
      </c>
      <c r="E429">
        <v>11</v>
      </c>
      <c r="G429">
        <v>224</v>
      </c>
      <c r="H429" t="s">
        <v>723</v>
      </c>
      <c r="I429" t="s">
        <v>131</v>
      </c>
      <c r="J429" t="s">
        <v>801</v>
      </c>
      <c r="L429">
        <v>0</v>
      </c>
      <c r="M429" t="s">
        <v>802</v>
      </c>
      <c r="O429" t="s">
        <v>803</v>
      </c>
      <c r="P429" t="s">
        <v>804</v>
      </c>
      <c r="Q429" t="s">
        <v>805</v>
      </c>
      <c r="R429" t="s">
        <v>179</v>
      </c>
      <c r="S429" t="s">
        <v>806</v>
      </c>
      <c r="T429">
        <v>5</v>
      </c>
      <c r="U429">
        <v>8</v>
      </c>
      <c r="V429" t="s">
        <v>807</v>
      </c>
      <c r="AE429" t="s">
        <v>808</v>
      </c>
      <c r="AF429">
        <v>0</v>
      </c>
      <c r="AG429" t="s">
        <v>809</v>
      </c>
      <c r="AH429">
        <v>0</v>
      </c>
      <c r="AK429">
        <v>0</v>
      </c>
    </row>
    <row r="430" spans="1:37" x14ac:dyDescent="0.25">
      <c r="A430" t="s">
        <v>79</v>
      </c>
      <c r="B430">
        <v>2</v>
      </c>
      <c r="C430">
        <v>2</v>
      </c>
      <c r="D430">
        <v>4</v>
      </c>
      <c r="E430">
        <v>12</v>
      </c>
      <c r="G430">
        <v>224</v>
      </c>
      <c r="H430" t="s">
        <v>723</v>
      </c>
      <c r="I430" t="s">
        <v>133</v>
      </c>
      <c r="J430" t="s">
        <v>810</v>
      </c>
      <c r="L430">
        <v>0</v>
      </c>
      <c r="M430" t="s">
        <v>811</v>
      </c>
      <c r="O430" t="s">
        <v>812</v>
      </c>
      <c r="P430" t="s">
        <v>813</v>
      </c>
      <c r="Q430" t="s">
        <v>805</v>
      </c>
      <c r="R430" t="s">
        <v>179</v>
      </c>
      <c r="S430" t="s">
        <v>814</v>
      </c>
      <c r="T430">
        <v>5</v>
      </c>
      <c r="U430">
        <v>8</v>
      </c>
      <c r="V430" t="s">
        <v>815</v>
      </c>
      <c r="AE430" t="s">
        <v>816</v>
      </c>
      <c r="AF430">
        <v>0</v>
      </c>
      <c r="AG430" t="s">
        <v>809</v>
      </c>
      <c r="AH430">
        <v>0</v>
      </c>
      <c r="AK430">
        <v>0</v>
      </c>
    </row>
    <row r="431" spans="1:37" x14ac:dyDescent="0.25">
      <c r="A431" t="s">
        <v>79</v>
      </c>
      <c r="B431">
        <v>2</v>
      </c>
      <c r="C431">
        <v>2</v>
      </c>
      <c r="D431">
        <v>4</v>
      </c>
      <c r="E431">
        <v>13</v>
      </c>
      <c r="G431">
        <v>224</v>
      </c>
      <c r="H431" t="s">
        <v>723</v>
      </c>
      <c r="I431" t="s">
        <v>135</v>
      </c>
      <c r="J431" t="s">
        <v>817</v>
      </c>
      <c r="L431">
        <v>0</v>
      </c>
      <c r="M431" t="s">
        <v>818</v>
      </c>
      <c r="O431" t="s">
        <v>819</v>
      </c>
      <c r="P431" t="s">
        <v>820</v>
      </c>
      <c r="Q431" t="s">
        <v>821</v>
      </c>
      <c r="R431" t="s">
        <v>179</v>
      </c>
      <c r="S431" t="s">
        <v>822</v>
      </c>
      <c r="T431">
        <v>5</v>
      </c>
      <c r="U431">
        <v>9</v>
      </c>
      <c r="V431" t="s">
        <v>823</v>
      </c>
      <c r="AE431" t="s">
        <v>824</v>
      </c>
      <c r="AF431">
        <v>0</v>
      </c>
      <c r="AG431" t="s">
        <v>825</v>
      </c>
      <c r="AH431">
        <v>0</v>
      </c>
      <c r="AK431">
        <v>0</v>
      </c>
    </row>
    <row r="432" spans="1:37" x14ac:dyDescent="0.25">
      <c r="A432" t="s">
        <v>79</v>
      </c>
      <c r="B432">
        <v>2</v>
      </c>
      <c r="C432">
        <v>2</v>
      </c>
      <c r="D432">
        <v>4</v>
      </c>
      <c r="E432">
        <v>14</v>
      </c>
      <c r="G432">
        <v>224</v>
      </c>
      <c r="H432" t="s">
        <v>723</v>
      </c>
      <c r="I432" t="s">
        <v>137</v>
      </c>
      <c r="J432" t="s">
        <v>826</v>
      </c>
      <c r="L432">
        <v>0</v>
      </c>
      <c r="M432" t="s">
        <v>827</v>
      </c>
      <c r="O432" t="s">
        <v>828</v>
      </c>
      <c r="P432" t="s">
        <v>829</v>
      </c>
      <c r="Q432" t="s">
        <v>830</v>
      </c>
      <c r="R432" t="s">
        <v>382</v>
      </c>
      <c r="S432" t="s">
        <v>831</v>
      </c>
      <c r="T432">
        <v>5</v>
      </c>
      <c r="U432">
        <v>2</v>
      </c>
      <c r="V432" t="s">
        <v>832</v>
      </c>
      <c r="AE432" t="s">
        <v>833</v>
      </c>
      <c r="AF432">
        <v>0</v>
      </c>
      <c r="AG432" t="s">
        <v>834</v>
      </c>
      <c r="AH432">
        <v>0</v>
      </c>
      <c r="AK432">
        <v>0</v>
      </c>
    </row>
    <row r="433" spans="1:37" x14ac:dyDescent="0.25">
      <c r="A433" t="s">
        <v>79</v>
      </c>
      <c r="B433">
        <v>2</v>
      </c>
      <c r="C433">
        <v>2</v>
      </c>
      <c r="D433">
        <v>4</v>
      </c>
      <c r="E433">
        <v>15</v>
      </c>
      <c r="G433">
        <v>224</v>
      </c>
      <c r="H433" t="s">
        <v>723</v>
      </c>
      <c r="I433" t="s">
        <v>139</v>
      </c>
      <c r="J433" t="s">
        <v>835</v>
      </c>
      <c r="L433">
        <v>0</v>
      </c>
      <c r="M433" t="s">
        <v>836</v>
      </c>
      <c r="O433" t="s">
        <v>837</v>
      </c>
      <c r="P433" t="s">
        <v>838</v>
      </c>
      <c r="Q433" t="s">
        <v>737</v>
      </c>
      <c r="R433" t="s">
        <v>382</v>
      </c>
      <c r="S433" t="s">
        <v>839</v>
      </c>
      <c r="T433">
        <v>5</v>
      </c>
      <c r="U433">
        <v>1</v>
      </c>
      <c r="V433" t="s">
        <v>840</v>
      </c>
      <c r="AE433" t="s">
        <v>841</v>
      </c>
      <c r="AF433">
        <v>0</v>
      </c>
      <c r="AG433" t="s">
        <v>754</v>
      </c>
      <c r="AH433">
        <v>0</v>
      </c>
      <c r="AK433">
        <v>0</v>
      </c>
    </row>
    <row r="434" spans="1:37" x14ac:dyDescent="0.25">
      <c r="L434">
        <v>0</v>
      </c>
    </row>
    <row r="435" spans="1:37" x14ac:dyDescent="0.25">
      <c r="A435" t="s">
        <v>70</v>
      </c>
      <c r="B435">
        <v>2</v>
      </c>
      <c r="C435">
        <v>2</v>
      </c>
      <c r="D435">
        <v>5</v>
      </c>
      <c r="G435">
        <v>22</v>
      </c>
      <c r="M435" t="s">
        <v>842</v>
      </c>
      <c r="O435" t="s">
        <v>843</v>
      </c>
      <c r="P435" t="s">
        <v>844</v>
      </c>
      <c r="Q435" t="s">
        <v>137</v>
      </c>
      <c r="R435" t="s">
        <v>179</v>
      </c>
      <c r="S435" t="s">
        <v>845</v>
      </c>
      <c r="V435" t="s">
        <v>846</v>
      </c>
      <c r="X435" t="s">
        <v>847</v>
      </c>
      <c r="Y435" t="s">
        <v>848</v>
      </c>
      <c r="Z435" t="s">
        <v>849</v>
      </c>
      <c r="AA435" t="s">
        <v>850</v>
      </c>
      <c r="AB435" t="s">
        <v>851</v>
      </c>
      <c r="AC435" t="s">
        <v>852</v>
      </c>
      <c r="AE435" t="s">
        <v>853</v>
      </c>
      <c r="AF435">
        <v>0</v>
      </c>
      <c r="AG435" t="s">
        <v>854</v>
      </c>
      <c r="AH435">
        <v>0</v>
      </c>
      <c r="AK435">
        <v>0</v>
      </c>
    </row>
    <row r="436" spans="1:37" x14ac:dyDescent="0.25">
      <c r="A436" t="s">
        <v>79</v>
      </c>
      <c r="B436">
        <v>2</v>
      </c>
      <c r="C436">
        <v>2</v>
      </c>
      <c r="D436">
        <v>5</v>
      </c>
      <c r="E436">
        <v>1</v>
      </c>
      <c r="G436">
        <v>225</v>
      </c>
      <c r="H436" t="s">
        <v>843</v>
      </c>
      <c r="I436" t="s">
        <v>80</v>
      </c>
      <c r="J436" t="s">
        <v>855</v>
      </c>
      <c r="L436">
        <v>0</v>
      </c>
      <c r="M436" t="s">
        <v>856</v>
      </c>
      <c r="O436" t="s">
        <v>360</v>
      </c>
      <c r="P436" t="s">
        <v>361</v>
      </c>
      <c r="Q436" t="s">
        <v>857</v>
      </c>
      <c r="R436" t="s">
        <v>363</v>
      </c>
      <c r="S436" t="s">
        <v>364</v>
      </c>
      <c r="T436">
        <v>15</v>
      </c>
      <c r="U436">
        <v>0</v>
      </c>
      <c r="V436" t="s">
        <v>858</v>
      </c>
      <c r="AE436" t="s">
        <v>859</v>
      </c>
      <c r="AF436">
        <v>0</v>
      </c>
      <c r="AG436" t="s">
        <v>860</v>
      </c>
      <c r="AH436">
        <v>0</v>
      </c>
      <c r="AK436">
        <v>0</v>
      </c>
    </row>
    <row r="437" spans="1:37" x14ac:dyDescent="0.25">
      <c r="A437" t="s">
        <v>79</v>
      </c>
      <c r="B437">
        <v>2</v>
      </c>
      <c r="C437">
        <v>2</v>
      </c>
      <c r="D437">
        <v>5</v>
      </c>
      <c r="E437">
        <v>2</v>
      </c>
      <c r="G437">
        <v>225</v>
      </c>
      <c r="H437" t="s">
        <v>843</v>
      </c>
      <c r="I437" t="s">
        <v>88</v>
      </c>
      <c r="J437" t="s">
        <v>861</v>
      </c>
      <c r="L437">
        <v>0</v>
      </c>
      <c r="M437" t="s">
        <v>862</v>
      </c>
      <c r="O437" t="s">
        <v>379</v>
      </c>
      <c r="P437" t="s">
        <v>380</v>
      </c>
      <c r="Q437" t="s">
        <v>857</v>
      </c>
      <c r="R437" t="s">
        <v>382</v>
      </c>
      <c r="S437" t="s">
        <v>383</v>
      </c>
      <c r="T437">
        <v>15</v>
      </c>
      <c r="U437">
        <v>0</v>
      </c>
      <c r="V437" t="s">
        <v>863</v>
      </c>
      <c r="AE437" t="s">
        <v>864</v>
      </c>
      <c r="AF437">
        <v>0</v>
      </c>
      <c r="AG437" t="s">
        <v>865</v>
      </c>
      <c r="AH437">
        <v>0</v>
      </c>
      <c r="AK437">
        <v>0</v>
      </c>
    </row>
    <row r="438" spans="1:37" x14ac:dyDescent="0.25">
      <c r="A438" t="s">
        <v>79</v>
      </c>
      <c r="B438">
        <v>2</v>
      </c>
      <c r="C438">
        <v>2</v>
      </c>
      <c r="D438">
        <v>5</v>
      </c>
      <c r="E438">
        <v>3</v>
      </c>
      <c r="G438">
        <v>225</v>
      </c>
      <c r="H438" t="s">
        <v>843</v>
      </c>
      <c r="I438" t="s">
        <v>95</v>
      </c>
      <c r="J438" t="s">
        <v>866</v>
      </c>
      <c r="L438">
        <v>0</v>
      </c>
      <c r="M438" t="s">
        <v>867</v>
      </c>
      <c r="O438" t="s">
        <v>389</v>
      </c>
      <c r="P438" t="s">
        <v>390</v>
      </c>
      <c r="Q438" t="s">
        <v>857</v>
      </c>
      <c r="R438" t="s">
        <v>382</v>
      </c>
      <c r="S438" t="s">
        <v>391</v>
      </c>
      <c r="T438">
        <v>15</v>
      </c>
      <c r="U438">
        <v>0</v>
      </c>
      <c r="V438" t="s">
        <v>868</v>
      </c>
      <c r="AE438" t="s">
        <v>869</v>
      </c>
      <c r="AF438">
        <v>0</v>
      </c>
      <c r="AG438" t="s">
        <v>865</v>
      </c>
      <c r="AH438">
        <v>0</v>
      </c>
      <c r="AK438">
        <v>0</v>
      </c>
    </row>
    <row r="439" spans="1:37" x14ac:dyDescent="0.25">
      <c r="A439" t="s">
        <v>79</v>
      </c>
      <c r="B439">
        <v>2</v>
      </c>
      <c r="C439">
        <v>2</v>
      </c>
      <c r="D439">
        <v>5</v>
      </c>
      <c r="E439">
        <v>4</v>
      </c>
      <c r="G439">
        <v>225</v>
      </c>
      <c r="H439" t="s">
        <v>843</v>
      </c>
      <c r="I439" t="s">
        <v>102</v>
      </c>
      <c r="J439" t="s">
        <v>870</v>
      </c>
      <c r="L439">
        <v>0</v>
      </c>
      <c r="M439" t="s">
        <v>871</v>
      </c>
      <c r="O439" t="s">
        <v>396</v>
      </c>
      <c r="P439" t="s">
        <v>397</v>
      </c>
      <c r="Q439" t="s">
        <v>57</v>
      </c>
      <c r="R439" t="s">
        <v>179</v>
      </c>
      <c r="S439" t="s">
        <v>399</v>
      </c>
      <c r="T439">
        <v>15</v>
      </c>
      <c r="U439">
        <v>15</v>
      </c>
      <c r="V439" t="s">
        <v>399</v>
      </c>
      <c r="AE439" t="s">
        <v>534</v>
      </c>
      <c r="AF439">
        <v>0</v>
      </c>
      <c r="AG439" t="s">
        <v>872</v>
      </c>
      <c r="AH439">
        <v>0</v>
      </c>
      <c r="AK439">
        <v>0</v>
      </c>
    </row>
    <row r="440" spans="1:37" x14ac:dyDescent="0.25">
      <c r="A440" t="s">
        <v>79</v>
      </c>
      <c r="B440">
        <v>2</v>
      </c>
      <c r="C440">
        <v>2</v>
      </c>
      <c r="D440">
        <v>5</v>
      </c>
      <c r="E440">
        <v>5</v>
      </c>
      <c r="G440">
        <v>225</v>
      </c>
      <c r="H440" t="s">
        <v>843</v>
      </c>
      <c r="I440" t="s">
        <v>109</v>
      </c>
      <c r="J440" t="s">
        <v>873</v>
      </c>
      <c r="L440">
        <v>0</v>
      </c>
      <c r="M440" t="s">
        <v>874</v>
      </c>
      <c r="O440" t="s">
        <v>875</v>
      </c>
      <c r="P440" t="s">
        <v>876</v>
      </c>
      <c r="Q440" t="s">
        <v>877</v>
      </c>
      <c r="R440" t="s">
        <v>192</v>
      </c>
      <c r="S440" t="s">
        <v>878</v>
      </c>
      <c r="T440">
        <v>15</v>
      </c>
      <c r="U440">
        <v>19</v>
      </c>
      <c r="V440" t="s">
        <v>879</v>
      </c>
      <c r="AE440" t="s">
        <v>880</v>
      </c>
      <c r="AF440">
        <v>0</v>
      </c>
      <c r="AG440" t="s">
        <v>881</v>
      </c>
      <c r="AH440">
        <v>0</v>
      </c>
      <c r="AK440">
        <v>0</v>
      </c>
    </row>
    <row r="441" spans="1:37" x14ac:dyDescent="0.25">
      <c r="A441" t="s">
        <v>79</v>
      </c>
      <c r="B441">
        <v>2</v>
      </c>
      <c r="C441">
        <v>2</v>
      </c>
      <c r="D441">
        <v>5</v>
      </c>
      <c r="E441">
        <v>6</v>
      </c>
      <c r="G441">
        <v>225</v>
      </c>
      <c r="H441" t="s">
        <v>843</v>
      </c>
      <c r="I441" t="s">
        <v>116</v>
      </c>
      <c r="J441" t="s">
        <v>882</v>
      </c>
      <c r="L441">
        <v>0</v>
      </c>
      <c r="M441" t="s">
        <v>883</v>
      </c>
      <c r="O441" t="s">
        <v>413</v>
      </c>
      <c r="P441" t="s">
        <v>414</v>
      </c>
      <c r="Q441" t="s">
        <v>857</v>
      </c>
      <c r="R441" t="s">
        <v>382</v>
      </c>
      <c r="S441" t="s">
        <v>415</v>
      </c>
      <c r="T441">
        <v>15</v>
      </c>
      <c r="U441">
        <v>0</v>
      </c>
      <c r="V441" t="s">
        <v>884</v>
      </c>
      <c r="AE441" t="s">
        <v>885</v>
      </c>
      <c r="AF441">
        <v>0</v>
      </c>
      <c r="AG441" t="s">
        <v>865</v>
      </c>
      <c r="AH441">
        <v>0</v>
      </c>
      <c r="AK441">
        <v>0</v>
      </c>
    </row>
    <row r="442" spans="1:37" x14ac:dyDescent="0.25">
      <c r="A442" t="s">
        <v>79</v>
      </c>
      <c r="B442">
        <v>2</v>
      </c>
      <c r="C442">
        <v>2</v>
      </c>
      <c r="D442">
        <v>5</v>
      </c>
      <c r="E442">
        <v>7</v>
      </c>
      <c r="G442">
        <v>225</v>
      </c>
      <c r="H442" t="s">
        <v>843</v>
      </c>
      <c r="I442" t="s">
        <v>123</v>
      </c>
      <c r="J442" t="s">
        <v>886</v>
      </c>
      <c r="L442">
        <v>0</v>
      </c>
      <c r="M442" t="s">
        <v>887</v>
      </c>
      <c r="O442" t="s">
        <v>420</v>
      </c>
      <c r="P442" t="s">
        <v>421</v>
      </c>
      <c r="Q442" t="s">
        <v>857</v>
      </c>
      <c r="R442" t="s">
        <v>382</v>
      </c>
      <c r="S442" t="s">
        <v>422</v>
      </c>
      <c r="T442">
        <v>15</v>
      </c>
      <c r="U442">
        <v>0</v>
      </c>
      <c r="V442" t="s">
        <v>888</v>
      </c>
      <c r="AE442" t="s">
        <v>889</v>
      </c>
      <c r="AF442">
        <v>0</v>
      </c>
      <c r="AG442" t="s">
        <v>865</v>
      </c>
      <c r="AH442">
        <v>0</v>
      </c>
      <c r="AK442">
        <v>0</v>
      </c>
    </row>
    <row r="443" spans="1:37" x14ac:dyDescent="0.25">
      <c r="A443" t="s">
        <v>79</v>
      </c>
      <c r="B443">
        <v>2</v>
      </c>
      <c r="C443">
        <v>2</v>
      </c>
      <c r="D443">
        <v>5</v>
      </c>
      <c r="E443">
        <v>8</v>
      </c>
      <c r="G443">
        <v>225</v>
      </c>
      <c r="H443" t="s">
        <v>843</v>
      </c>
      <c r="I443" t="s">
        <v>126</v>
      </c>
      <c r="J443" t="s">
        <v>890</v>
      </c>
      <c r="L443">
        <v>0</v>
      </c>
      <c r="M443" t="s">
        <v>891</v>
      </c>
      <c r="O443" t="s">
        <v>236</v>
      </c>
      <c r="P443" t="s">
        <v>237</v>
      </c>
      <c r="Q443" t="s">
        <v>892</v>
      </c>
      <c r="R443" t="s">
        <v>229</v>
      </c>
      <c r="S443" t="s">
        <v>239</v>
      </c>
      <c r="T443">
        <v>15</v>
      </c>
      <c r="U443">
        <v>17</v>
      </c>
      <c r="V443" t="s">
        <v>893</v>
      </c>
      <c r="AE443" t="s">
        <v>894</v>
      </c>
      <c r="AF443">
        <v>0</v>
      </c>
      <c r="AG443" t="s">
        <v>895</v>
      </c>
      <c r="AH443">
        <v>0</v>
      </c>
      <c r="AK443">
        <v>0</v>
      </c>
    </row>
    <row r="444" spans="1:37" x14ac:dyDescent="0.25">
      <c r="A444" t="s">
        <v>79</v>
      </c>
      <c r="B444">
        <v>2</v>
      </c>
      <c r="C444">
        <v>2</v>
      </c>
      <c r="D444">
        <v>5</v>
      </c>
      <c r="E444">
        <v>9</v>
      </c>
      <c r="G444">
        <v>225</v>
      </c>
      <c r="H444" t="s">
        <v>843</v>
      </c>
      <c r="I444" t="s">
        <v>74</v>
      </c>
      <c r="J444" t="s">
        <v>896</v>
      </c>
      <c r="L444">
        <v>0</v>
      </c>
      <c r="M444" t="s">
        <v>897</v>
      </c>
      <c r="O444" t="s">
        <v>444</v>
      </c>
      <c r="P444" t="s">
        <v>445</v>
      </c>
      <c r="Q444" t="s">
        <v>898</v>
      </c>
      <c r="R444" t="s">
        <v>179</v>
      </c>
      <c r="S444" t="s">
        <v>447</v>
      </c>
      <c r="T444">
        <v>15</v>
      </c>
      <c r="U444">
        <v>21</v>
      </c>
      <c r="V444" t="s">
        <v>899</v>
      </c>
      <c r="AE444" t="s">
        <v>900</v>
      </c>
      <c r="AF444">
        <v>0</v>
      </c>
      <c r="AG444" t="s">
        <v>901</v>
      </c>
      <c r="AH444">
        <v>0</v>
      </c>
      <c r="AK444">
        <v>0</v>
      </c>
    </row>
    <row r="445" spans="1:37" x14ac:dyDescent="0.25">
      <c r="A445" t="s">
        <v>79</v>
      </c>
      <c r="B445">
        <v>2</v>
      </c>
      <c r="C445">
        <v>2</v>
      </c>
      <c r="D445">
        <v>5</v>
      </c>
      <c r="E445">
        <v>10</v>
      </c>
      <c r="G445">
        <v>225</v>
      </c>
      <c r="H445" t="s">
        <v>843</v>
      </c>
      <c r="I445" t="s">
        <v>129</v>
      </c>
      <c r="J445" t="s">
        <v>902</v>
      </c>
      <c r="L445">
        <v>0</v>
      </c>
      <c r="M445" t="s">
        <v>903</v>
      </c>
      <c r="O445" t="s">
        <v>476</v>
      </c>
      <c r="P445" t="s">
        <v>477</v>
      </c>
      <c r="Q445" t="s">
        <v>904</v>
      </c>
      <c r="R445" t="s">
        <v>192</v>
      </c>
      <c r="S445" t="s">
        <v>479</v>
      </c>
      <c r="T445">
        <v>15</v>
      </c>
      <c r="U445">
        <v>1</v>
      </c>
      <c r="V445" t="s">
        <v>905</v>
      </c>
      <c r="AE445" t="s">
        <v>906</v>
      </c>
      <c r="AF445">
        <v>0</v>
      </c>
      <c r="AG445" t="s">
        <v>907</v>
      </c>
      <c r="AH445">
        <v>0</v>
      </c>
      <c r="AK445">
        <v>0</v>
      </c>
    </row>
    <row r="446" spans="1:37" x14ac:dyDescent="0.25">
      <c r="A446" t="s">
        <v>79</v>
      </c>
      <c r="B446">
        <v>2</v>
      </c>
      <c r="C446">
        <v>2</v>
      </c>
      <c r="D446">
        <v>5</v>
      </c>
      <c r="E446">
        <v>11</v>
      </c>
      <c r="G446">
        <v>225</v>
      </c>
      <c r="H446" t="s">
        <v>843</v>
      </c>
      <c r="I446" t="s">
        <v>131</v>
      </c>
      <c r="J446" t="s">
        <v>908</v>
      </c>
      <c r="L446">
        <v>0</v>
      </c>
      <c r="M446" t="s">
        <v>909</v>
      </c>
      <c r="O446" t="s">
        <v>910</v>
      </c>
      <c r="P446" t="s">
        <v>911</v>
      </c>
      <c r="Q446" t="s">
        <v>912</v>
      </c>
      <c r="R446" t="s">
        <v>192</v>
      </c>
      <c r="S446" t="s">
        <v>913</v>
      </c>
      <c r="T446">
        <v>15</v>
      </c>
      <c r="U446">
        <v>2</v>
      </c>
      <c r="V446" t="s">
        <v>914</v>
      </c>
      <c r="AE446" t="s">
        <v>915</v>
      </c>
      <c r="AF446">
        <v>0</v>
      </c>
      <c r="AG446" t="s">
        <v>916</v>
      </c>
      <c r="AH446">
        <v>0</v>
      </c>
      <c r="AK446">
        <v>0</v>
      </c>
    </row>
    <row r="447" spans="1:37" x14ac:dyDescent="0.25">
      <c r="A447" t="s">
        <v>79</v>
      </c>
      <c r="B447">
        <v>2</v>
      </c>
      <c r="C447">
        <v>2</v>
      </c>
      <c r="D447">
        <v>5</v>
      </c>
      <c r="E447">
        <v>12</v>
      </c>
      <c r="G447">
        <v>225</v>
      </c>
      <c r="H447" t="s">
        <v>843</v>
      </c>
      <c r="I447" t="s">
        <v>133</v>
      </c>
      <c r="J447" t="s">
        <v>917</v>
      </c>
      <c r="L447">
        <v>0</v>
      </c>
      <c r="M447" t="s">
        <v>918</v>
      </c>
      <c r="O447" t="s">
        <v>919</v>
      </c>
      <c r="P447" t="s">
        <v>920</v>
      </c>
      <c r="Q447" t="s">
        <v>921</v>
      </c>
      <c r="R447" t="s">
        <v>382</v>
      </c>
      <c r="S447" t="s">
        <v>131</v>
      </c>
      <c r="T447">
        <v>15</v>
      </c>
      <c r="U447">
        <v>1</v>
      </c>
      <c r="V447" t="s">
        <v>922</v>
      </c>
      <c r="AE447" t="s">
        <v>923</v>
      </c>
      <c r="AF447">
        <v>0</v>
      </c>
      <c r="AG447" t="s">
        <v>924</v>
      </c>
      <c r="AH447">
        <v>0</v>
      </c>
      <c r="AK447">
        <v>0</v>
      </c>
    </row>
    <row r="448" spans="1:37" x14ac:dyDescent="0.25">
      <c r="A448" t="s">
        <v>79</v>
      </c>
      <c r="B448">
        <v>2</v>
      </c>
      <c r="C448">
        <v>2</v>
      </c>
      <c r="D448">
        <v>5</v>
      </c>
      <c r="E448">
        <v>13</v>
      </c>
      <c r="G448">
        <v>225</v>
      </c>
      <c r="H448" t="s">
        <v>843</v>
      </c>
      <c r="I448" t="s">
        <v>135</v>
      </c>
      <c r="J448" t="s">
        <v>925</v>
      </c>
      <c r="L448">
        <v>0</v>
      </c>
      <c r="M448" t="s">
        <v>926</v>
      </c>
      <c r="O448" t="s">
        <v>927</v>
      </c>
      <c r="P448" t="s">
        <v>928</v>
      </c>
      <c r="Q448" t="s">
        <v>921</v>
      </c>
      <c r="R448" t="s">
        <v>382</v>
      </c>
      <c r="S448" t="s">
        <v>929</v>
      </c>
      <c r="T448">
        <v>15</v>
      </c>
      <c r="U448">
        <v>1</v>
      </c>
      <c r="V448" t="s">
        <v>930</v>
      </c>
      <c r="AE448" t="s">
        <v>931</v>
      </c>
      <c r="AF448">
        <v>0</v>
      </c>
      <c r="AG448" t="s">
        <v>924</v>
      </c>
      <c r="AH448">
        <v>0</v>
      </c>
      <c r="AK448">
        <v>0</v>
      </c>
    </row>
    <row r="449" spans="1:37" x14ac:dyDescent="0.25">
      <c r="A449" t="s">
        <v>79</v>
      </c>
      <c r="B449">
        <v>2</v>
      </c>
      <c r="C449">
        <v>2</v>
      </c>
      <c r="D449">
        <v>5</v>
      </c>
      <c r="E449">
        <v>14</v>
      </c>
      <c r="G449">
        <v>225</v>
      </c>
      <c r="H449" t="s">
        <v>843</v>
      </c>
      <c r="I449" t="s">
        <v>137</v>
      </c>
      <c r="J449" t="s">
        <v>932</v>
      </c>
      <c r="L449">
        <v>0</v>
      </c>
      <c r="M449" t="s">
        <v>933</v>
      </c>
      <c r="O449" t="s">
        <v>749</v>
      </c>
      <c r="P449" t="s">
        <v>750</v>
      </c>
      <c r="Q449" t="s">
        <v>857</v>
      </c>
      <c r="R449" t="s">
        <v>382</v>
      </c>
      <c r="S449" t="s">
        <v>751</v>
      </c>
      <c r="T449">
        <v>15</v>
      </c>
      <c r="U449">
        <v>0</v>
      </c>
      <c r="V449" t="s">
        <v>934</v>
      </c>
      <c r="AE449" t="s">
        <v>935</v>
      </c>
      <c r="AF449">
        <v>0</v>
      </c>
      <c r="AG449" t="s">
        <v>865</v>
      </c>
      <c r="AH449">
        <v>0</v>
      </c>
      <c r="AK449">
        <v>0</v>
      </c>
    </row>
    <row r="450" spans="1:37" x14ac:dyDescent="0.25">
      <c r="A450" t="s">
        <v>79</v>
      </c>
      <c r="B450">
        <v>2</v>
      </c>
      <c r="C450">
        <v>2</v>
      </c>
      <c r="D450">
        <v>5</v>
      </c>
      <c r="E450">
        <v>15</v>
      </c>
      <c r="G450">
        <v>225</v>
      </c>
      <c r="H450" t="s">
        <v>843</v>
      </c>
      <c r="I450" t="s">
        <v>139</v>
      </c>
      <c r="J450" t="s">
        <v>936</v>
      </c>
      <c r="L450">
        <v>0</v>
      </c>
      <c r="M450" t="s">
        <v>937</v>
      </c>
      <c r="O450" t="s">
        <v>550</v>
      </c>
      <c r="P450" t="s">
        <v>551</v>
      </c>
      <c r="Q450" t="s">
        <v>938</v>
      </c>
      <c r="R450" t="s">
        <v>192</v>
      </c>
      <c r="S450" t="s">
        <v>553</v>
      </c>
      <c r="T450">
        <v>15</v>
      </c>
      <c r="U450">
        <v>5</v>
      </c>
      <c r="V450" t="s">
        <v>939</v>
      </c>
      <c r="AE450" t="s">
        <v>940</v>
      </c>
      <c r="AF450">
        <v>0</v>
      </c>
      <c r="AG450" t="s">
        <v>941</v>
      </c>
      <c r="AH450">
        <v>0</v>
      </c>
      <c r="AK450">
        <v>0</v>
      </c>
    </row>
    <row r="451" spans="1:37" x14ac:dyDescent="0.25">
      <c r="L451">
        <v>0</v>
      </c>
    </row>
    <row r="452" spans="1:37" x14ac:dyDescent="0.25">
      <c r="L452">
        <v>0</v>
      </c>
    </row>
    <row r="453" spans="1:37" x14ac:dyDescent="0.25">
      <c r="A453" t="s">
        <v>66</v>
      </c>
      <c r="B453">
        <v>2</v>
      </c>
      <c r="C453">
        <v>3</v>
      </c>
      <c r="G453">
        <v>2</v>
      </c>
      <c r="H453" t="s">
        <v>158</v>
      </c>
      <c r="I453" t="s">
        <v>942</v>
      </c>
      <c r="M453" t="s">
        <v>943</v>
      </c>
      <c r="N453" t="s">
        <v>942</v>
      </c>
      <c r="P453" t="s">
        <v>944</v>
      </c>
      <c r="V453" t="s">
        <v>945</v>
      </c>
      <c r="Y453" t="s">
        <v>946</v>
      </c>
      <c r="AA453" t="s">
        <v>947</v>
      </c>
      <c r="AC453" t="s">
        <v>948</v>
      </c>
      <c r="AE453" t="s">
        <v>949</v>
      </c>
      <c r="AF453">
        <v>0</v>
      </c>
      <c r="AG453" t="s">
        <v>950</v>
      </c>
      <c r="AH453">
        <v>0</v>
      </c>
      <c r="AK453">
        <v>0</v>
      </c>
    </row>
    <row r="454" spans="1:37" x14ac:dyDescent="0.25">
      <c r="L454">
        <v>0</v>
      </c>
    </row>
    <row r="455" spans="1:37" x14ac:dyDescent="0.25">
      <c r="A455" t="s">
        <v>70</v>
      </c>
      <c r="B455">
        <v>2</v>
      </c>
      <c r="C455">
        <v>3</v>
      </c>
      <c r="D455">
        <v>1</v>
      </c>
      <c r="G455">
        <v>23</v>
      </c>
      <c r="M455" t="s">
        <v>951</v>
      </c>
      <c r="O455" t="s">
        <v>952</v>
      </c>
      <c r="P455" t="s">
        <v>953</v>
      </c>
      <c r="Q455" t="s">
        <v>57</v>
      </c>
      <c r="R455" t="s">
        <v>382</v>
      </c>
      <c r="S455" t="s">
        <v>945</v>
      </c>
      <c r="V455" t="s">
        <v>945</v>
      </c>
      <c r="X455" t="s">
        <v>946</v>
      </c>
      <c r="Y455" t="s">
        <v>946</v>
      </c>
      <c r="Z455" t="s">
        <v>947</v>
      </c>
      <c r="AA455" t="s">
        <v>947</v>
      </c>
      <c r="AB455" t="s">
        <v>948</v>
      </c>
      <c r="AC455" t="s">
        <v>948</v>
      </c>
      <c r="AE455" t="s">
        <v>949</v>
      </c>
      <c r="AF455">
        <v>0</v>
      </c>
      <c r="AG455" t="s">
        <v>950</v>
      </c>
      <c r="AH455">
        <v>0</v>
      </c>
      <c r="AK455">
        <v>0</v>
      </c>
    </row>
    <row r="456" spans="1:37" x14ac:dyDescent="0.25">
      <c r="A456" t="s">
        <v>79</v>
      </c>
      <c r="B456">
        <v>2</v>
      </c>
      <c r="C456">
        <v>3</v>
      </c>
      <c r="D456">
        <v>1</v>
      </c>
      <c r="E456">
        <v>1</v>
      </c>
      <c r="G456">
        <v>231</v>
      </c>
      <c r="H456" t="s">
        <v>952</v>
      </c>
      <c r="I456" t="s">
        <v>80</v>
      </c>
      <c r="J456" t="s">
        <v>954</v>
      </c>
      <c r="L456">
        <v>0</v>
      </c>
      <c r="M456" t="s">
        <v>955</v>
      </c>
      <c r="O456" t="s">
        <v>956</v>
      </c>
      <c r="P456" t="s">
        <v>957</v>
      </c>
      <c r="Q456" t="s">
        <v>958</v>
      </c>
      <c r="R456" t="s">
        <v>268</v>
      </c>
      <c r="S456" t="s">
        <v>959</v>
      </c>
      <c r="T456">
        <v>1</v>
      </c>
      <c r="U456">
        <v>3</v>
      </c>
      <c r="V456" t="s">
        <v>960</v>
      </c>
      <c r="AE456" t="s">
        <v>961</v>
      </c>
      <c r="AF456">
        <v>0</v>
      </c>
      <c r="AG456" t="s">
        <v>962</v>
      </c>
      <c r="AH456">
        <v>0</v>
      </c>
      <c r="AK456">
        <v>0</v>
      </c>
    </row>
    <row r="457" spans="1:37" x14ac:dyDescent="0.25">
      <c r="A457" t="s">
        <v>79</v>
      </c>
      <c r="B457">
        <v>2</v>
      </c>
      <c r="C457">
        <v>3</v>
      </c>
      <c r="D457">
        <v>1</v>
      </c>
      <c r="E457">
        <v>2</v>
      </c>
      <c r="G457">
        <v>231</v>
      </c>
      <c r="H457" t="s">
        <v>952</v>
      </c>
      <c r="I457" t="s">
        <v>88</v>
      </c>
      <c r="J457" t="s">
        <v>963</v>
      </c>
      <c r="L457">
        <v>0</v>
      </c>
      <c r="M457" t="s">
        <v>964</v>
      </c>
      <c r="O457" t="s">
        <v>965</v>
      </c>
      <c r="P457" t="s">
        <v>966</v>
      </c>
      <c r="Q457" t="s">
        <v>967</v>
      </c>
      <c r="R457" t="s">
        <v>268</v>
      </c>
      <c r="S457" t="s">
        <v>968</v>
      </c>
      <c r="T457">
        <v>1</v>
      </c>
      <c r="U457">
        <v>3</v>
      </c>
      <c r="V457" t="s">
        <v>969</v>
      </c>
      <c r="AE457" t="s">
        <v>970</v>
      </c>
      <c r="AF457">
        <v>0</v>
      </c>
      <c r="AG457" t="s">
        <v>971</v>
      </c>
      <c r="AH457">
        <v>0</v>
      </c>
      <c r="AK457">
        <v>0</v>
      </c>
    </row>
    <row r="458" spans="1:37" x14ac:dyDescent="0.25">
      <c r="A458" t="s">
        <v>79</v>
      </c>
      <c r="B458">
        <v>2</v>
      </c>
      <c r="C458">
        <v>3</v>
      </c>
      <c r="D458">
        <v>1</v>
      </c>
      <c r="E458">
        <v>3</v>
      </c>
      <c r="G458">
        <v>231</v>
      </c>
      <c r="H458" t="s">
        <v>952</v>
      </c>
      <c r="I458" t="s">
        <v>95</v>
      </c>
      <c r="J458" t="s">
        <v>972</v>
      </c>
      <c r="L458">
        <v>0</v>
      </c>
      <c r="M458" t="s">
        <v>973</v>
      </c>
      <c r="O458" t="s">
        <v>974</v>
      </c>
      <c r="P458" t="s">
        <v>975</v>
      </c>
      <c r="Q458" t="s">
        <v>976</v>
      </c>
      <c r="R458" t="s">
        <v>268</v>
      </c>
      <c r="S458" t="s">
        <v>977</v>
      </c>
      <c r="T458">
        <v>1</v>
      </c>
      <c r="U458">
        <v>0</v>
      </c>
      <c r="V458" t="s">
        <v>978</v>
      </c>
      <c r="AE458" t="s">
        <v>979</v>
      </c>
      <c r="AF458">
        <v>0</v>
      </c>
      <c r="AG458" t="s">
        <v>980</v>
      </c>
      <c r="AH458">
        <v>0</v>
      </c>
      <c r="AK458">
        <v>0</v>
      </c>
    </row>
    <row r="459" spans="1:37" x14ac:dyDescent="0.25">
      <c r="A459" t="s">
        <v>79</v>
      </c>
      <c r="B459">
        <v>2</v>
      </c>
      <c r="C459">
        <v>3</v>
      </c>
      <c r="D459">
        <v>1</v>
      </c>
      <c r="E459">
        <v>4</v>
      </c>
      <c r="G459">
        <v>231</v>
      </c>
      <c r="H459" t="s">
        <v>952</v>
      </c>
      <c r="I459" t="s">
        <v>102</v>
      </c>
      <c r="J459" t="s">
        <v>981</v>
      </c>
      <c r="L459">
        <v>0</v>
      </c>
      <c r="M459" t="s">
        <v>982</v>
      </c>
      <c r="O459" t="s">
        <v>983</v>
      </c>
      <c r="P459" t="s">
        <v>984</v>
      </c>
      <c r="Q459" t="s">
        <v>57</v>
      </c>
      <c r="R459" t="s">
        <v>382</v>
      </c>
      <c r="S459" t="s">
        <v>985</v>
      </c>
      <c r="T459">
        <v>1</v>
      </c>
      <c r="U459">
        <v>1</v>
      </c>
      <c r="V459" t="s">
        <v>985</v>
      </c>
      <c r="AE459" t="s">
        <v>986</v>
      </c>
      <c r="AF459">
        <v>0</v>
      </c>
      <c r="AG459" t="s">
        <v>987</v>
      </c>
      <c r="AH459">
        <v>0</v>
      </c>
      <c r="AK459">
        <v>0</v>
      </c>
    </row>
    <row r="460" spans="1:37" x14ac:dyDescent="0.25">
      <c r="A460" t="s">
        <v>79</v>
      </c>
      <c r="B460">
        <v>2</v>
      </c>
      <c r="C460">
        <v>3</v>
      </c>
      <c r="D460">
        <v>1</v>
      </c>
      <c r="E460">
        <v>5</v>
      </c>
      <c r="G460">
        <v>231</v>
      </c>
      <c r="H460" t="s">
        <v>952</v>
      </c>
      <c r="I460" t="s">
        <v>109</v>
      </c>
      <c r="J460" t="s">
        <v>988</v>
      </c>
      <c r="L460">
        <v>0</v>
      </c>
      <c r="M460" t="s">
        <v>989</v>
      </c>
      <c r="O460" t="s">
        <v>990</v>
      </c>
      <c r="P460" t="s">
        <v>991</v>
      </c>
      <c r="Q460" t="s">
        <v>57</v>
      </c>
      <c r="R460" t="s">
        <v>382</v>
      </c>
      <c r="S460" t="s">
        <v>992</v>
      </c>
      <c r="T460">
        <v>1</v>
      </c>
      <c r="U460">
        <v>1</v>
      </c>
      <c r="V460" t="s">
        <v>992</v>
      </c>
      <c r="AE460" t="s">
        <v>993</v>
      </c>
      <c r="AF460">
        <v>0</v>
      </c>
      <c r="AG460" t="s">
        <v>987</v>
      </c>
      <c r="AH460">
        <v>0</v>
      </c>
      <c r="AK460">
        <v>0</v>
      </c>
    </row>
    <row r="461" spans="1:37" x14ac:dyDescent="0.25">
      <c r="A461" t="s">
        <v>79</v>
      </c>
      <c r="B461">
        <v>2</v>
      </c>
      <c r="C461">
        <v>3</v>
      </c>
      <c r="D461">
        <v>1</v>
      </c>
      <c r="E461">
        <v>6</v>
      </c>
      <c r="G461">
        <v>231</v>
      </c>
      <c r="H461" t="s">
        <v>952</v>
      </c>
      <c r="I461" t="s">
        <v>116</v>
      </c>
      <c r="J461" t="s">
        <v>994</v>
      </c>
      <c r="L461">
        <v>0</v>
      </c>
      <c r="M461" t="s">
        <v>995</v>
      </c>
      <c r="O461" t="s">
        <v>996</v>
      </c>
      <c r="P461" t="s">
        <v>997</v>
      </c>
      <c r="Q461" t="s">
        <v>57</v>
      </c>
      <c r="R461" t="s">
        <v>382</v>
      </c>
      <c r="S461" t="s">
        <v>998</v>
      </c>
      <c r="T461">
        <v>1</v>
      </c>
      <c r="U461">
        <v>1</v>
      </c>
      <c r="V461" t="s">
        <v>998</v>
      </c>
      <c r="AE461" t="s">
        <v>999</v>
      </c>
      <c r="AF461">
        <v>0</v>
      </c>
      <c r="AG461" t="s">
        <v>987</v>
      </c>
      <c r="AH461">
        <v>0</v>
      </c>
      <c r="AK461">
        <v>0</v>
      </c>
    </row>
    <row r="462" spans="1:37" x14ac:dyDescent="0.25">
      <c r="A462" t="s">
        <v>79</v>
      </c>
      <c r="B462">
        <v>2</v>
      </c>
      <c r="C462">
        <v>3</v>
      </c>
      <c r="D462">
        <v>1</v>
      </c>
      <c r="E462">
        <v>7</v>
      </c>
      <c r="G462">
        <v>231</v>
      </c>
      <c r="H462" t="s">
        <v>952</v>
      </c>
      <c r="I462" t="s">
        <v>123</v>
      </c>
      <c r="J462" t="s">
        <v>1000</v>
      </c>
      <c r="L462">
        <v>0</v>
      </c>
      <c r="M462" t="s">
        <v>1001</v>
      </c>
      <c r="O462" t="s">
        <v>1002</v>
      </c>
      <c r="P462" t="s">
        <v>1003</v>
      </c>
      <c r="Q462" t="s">
        <v>57</v>
      </c>
      <c r="R462" t="s">
        <v>382</v>
      </c>
      <c r="S462" t="s">
        <v>1004</v>
      </c>
      <c r="T462">
        <v>1</v>
      </c>
      <c r="U462">
        <v>1</v>
      </c>
      <c r="V462" t="s">
        <v>1004</v>
      </c>
      <c r="AE462" t="s">
        <v>1005</v>
      </c>
      <c r="AF462">
        <v>0</v>
      </c>
      <c r="AG462" t="s">
        <v>987</v>
      </c>
      <c r="AH462">
        <v>0</v>
      </c>
      <c r="AK462">
        <v>0</v>
      </c>
    </row>
    <row r="463" spans="1:37" x14ac:dyDescent="0.25">
      <c r="A463" t="s">
        <v>79</v>
      </c>
      <c r="B463">
        <v>2</v>
      </c>
      <c r="C463">
        <v>3</v>
      </c>
      <c r="D463">
        <v>1</v>
      </c>
      <c r="E463">
        <v>8</v>
      </c>
      <c r="G463">
        <v>231</v>
      </c>
      <c r="H463" t="s">
        <v>952</v>
      </c>
      <c r="I463" t="s">
        <v>126</v>
      </c>
      <c r="J463" t="s">
        <v>1006</v>
      </c>
      <c r="L463">
        <v>0</v>
      </c>
      <c r="M463" t="s">
        <v>1007</v>
      </c>
      <c r="O463" t="s">
        <v>1008</v>
      </c>
      <c r="P463" t="s">
        <v>1009</v>
      </c>
      <c r="Q463" t="s">
        <v>109</v>
      </c>
      <c r="R463" t="s">
        <v>192</v>
      </c>
      <c r="S463" t="s">
        <v>1010</v>
      </c>
      <c r="T463">
        <v>1</v>
      </c>
      <c r="U463">
        <v>6</v>
      </c>
      <c r="V463" t="s">
        <v>1011</v>
      </c>
      <c r="AE463" t="s">
        <v>1012</v>
      </c>
      <c r="AF463">
        <v>0</v>
      </c>
      <c r="AG463" t="s">
        <v>1013</v>
      </c>
      <c r="AH463">
        <v>0</v>
      </c>
      <c r="AK463">
        <v>0</v>
      </c>
    </row>
    <row r="464" spans="1:37" x14ac:dyDescent="0.25">
      <c r="A464" t="s">
        <v>79</v>
      </c>
      <c r="B464">
        <v>2</v>
      </c>
      <c r="C464">
        <v>3</v>
      </c>
      <c r="D464">
        <v>1</v>
      </c>
      <c r="E464">
        <v>9</v>
      </c>
      <c r="G464">
        <v>231</v>
      </c>
      <c r="H464" t="s">
        <v>952</v>
      </c>
      <c r="I464" t="s">
        <v>74</v>
      </c>
      <c r="J464" t="s">
        <v>1014</v>
      </c>
      <c r="L464">
        <v>0</v>
      </c>
      <c r="M464" t="s">
        <v>125</v>
      </c>
      <c r="O464" t="s">
        <v>125</v>
      </c>
      <c r="P464" t="s">
        <v>125</v>
      </c>
      <c r="Q464" t="s">
        <v>125</v>
      </c>
      <c r="R464" t="s">
        <v>125</v>
      </c>
      <c r="S464" t="s">
        <v>125</v>
      </c>
      <c r="T464">
        <v>1</v>
      </c>
      <c r="V464" t="s">
        <v>125</v>
      </c>
      <c r="AE464" t="s">
        <v>125</v>
      </c>
      <c r="AF464">
        <v>0</v>
      </c>
      <c r="AG464" t="s">
        <v>125</v>
      </c>
      <c r="AH464">
        <v>0</v>
      </c>
      <c r="AK464">
        <v>0</v>
      </c>
    </row>
    <row r="465" spans="1:37" x14ac:dyDescent="0.25">
      <c r="A465" t="s">
        <v>79</v>
      </c>
      <c r="B465">
        <v>2</v>
      </c>
      <c r="C465">
        <v>3</v>
      </c>
      <c r="D465">
        <v>1</v>
      </c>
      <c r="E465">
        <v>10</v>
      </c>
      <c r="G465">
        <v>231</v>
      </c>
      <c r="H465" t="s">
        <v>952</v>
      </c>
      <c r="I465" t="s">
        <v>129</v>
      </c>
      <c r="J465" t="s">
        <v>1015</v>
      </c>
      <c r="L465">
        <v>0</v>
      </c>
      <c r="M465" t="s">
        <v>125</v>
      </c>
      <c r="O465" t="s">
        <v>125</v>
      </c>
      <c r="P465" t="s">
        <v>125</v>
      </c>
      <c r="Q465" t="s">
        <v>125</v>
      </c>
      <c r="R465" t="s">
        <v>125</v>
      </c>
      <c r="S465" t="s">
        <v>125</v>
      </c>
      <c r="T465">
        <v>1</v>
      </c>
      <c r="V465" t="s">
        <v>125</v>
      </c>
      <c r="AE465" t="s">
        <v>125</v>
      </c>
      <c r="AF465">
        <v>0</v>
      </c>
      <c r="AG465" t="s">
        <v>125</v>
      </c>
      <c r="AH465">
        <v>0</v>
      </c>
      <c r="AK465">
        <v>0</v>
      </c>
    </row>
    <row r="466" spans="1:37" x14ac:dyDescent="0.25">
      <c r="A466" t="s">
        <v>79</v>
      </c>
      <c r="B466">
        <v>2</v>
      </c>
      <c r="C466">
        <v>3</v>
      </c>
      <c r="D466">
        <v>1</v>
      </c>
      <c r="E466">
        <v>11</v>
      </c>
      <c r="G466">
        <v>231</v>
      </c>
      <c r="H466" t="s">
        <v>952</v>
      </c>
      <c r="I466" t="s">
        <v>131</v>
      </c>
      <c r="J466" t="s">
        <v>1016</v>
      </c>
      <c r="L466">
        <v>0</v>
      </c>
      <c r="M466" t="s">
        <v>125</v>
      </c>
      <c r="O466" t="s">
        <v>125</v>
      </c>
      <c r="P466" t="s">
        <v>125</v>
      </c>
      <c r="Q466" t="s">
        <v>125</v>
      </c>
      <c r="R466" t="s">
        <v>125</v>
      </c>
      <c r="S466" t="s">
        <v>125</v>
      </c>
      <c r="T466">
        <v>1</v>
      </c>
      <c r="V466" t="s">
        <v>125</v>
      </c>
      <c r="AE466" t="s">
        <v>125</v>
      </c>
      <c r="AF466">
        <v>0</v>
      </c>
      <c r="AG466" t="s">
        <v>125</v>
      </c>
      <c r="AH466">
        <v>0</v>
      </c>
      <c r="AK466">
        <v>0</v>
      </c>
    </row>
    <row r="467" spans="1:37" x14ac:dyDescent="0.25">
      <c r="A467" t="s">
        <v>79</v>
      </c>
      <c r="B467">
        <v>2</v>
      </c>
      <c r="C467">
        <v>3</v>
      </c>
      <c r="D467">
        <v>1</v>
      </c>
      <c r="E467">
        <v>12</v>
      </c>
      <c r="G467">
        <v>231</v>
      </c>
      <c r="H467" t="s">
        <v>952</v>
      </c>
      <c r="I467" t="s">
        <v>133</v>
      </c>
      <c r="J467" t="s">
        <v>1017</v>
      </c>
      <c r="L467">
        <v>0</v>
      </c>
      <c r="M467" t="s">
        <v>125</v>
      </c>
      <c r="O467" t="s">
        <v>125</v>
      </c>
      <c r="P467" t="s">
        <v>125</v>
      </c>
      <c r="Q467" t="s">
        <v>125</v>
      </c>
      <c r="R467" t="s">
        <v>125</v>
      </c>
      <c r="S467" t="s">
        <v>125</v>
      </c>
      <c r="T467">
        <v>1</v>
      </c>
      <c r="V467" t="s">
        <v>125</v>
      </c>
      <c r="AE467" t="s">
        <v>125</v>
      </c>
      <c r="AF467">
        <v>0</v>
      </c>
      <c r="AG467" t="s">
        <v>125</v>
      </c>
      <c r="AH467">
        <v>0</v>
      </c>
      <c r="AK467">
        <v>0</v>
      </c>
    </row>
    <row r="468" spans="1:37" x14ac:dyDescent="0.25">
      <c r="A468" t="s">
        <v>79</v>
      </c>
      <c r="B468">
        <v>2</v>
      </c>
      <c r="C468">
        <v>3</v>
      </c>
      <c r="D468">
        <v>1</v>
      </c>
      <c r="E468">
        <v>13</v>
      </c>
      <c r="G468">
        <v>231</v>
      </c>
      <c r="H468" t="s">
        <v>952</v>
      </c>
      <c r="I468" t="s">
        <v>135</v>
      </c>
      <c r="J468" t="s">
        <v>1018</v>
      </c>
      <c r="L468">
        <v>0</v>
      </c>
      <c r="M468" t="s">
        <v>125</v>
      </c>
      <c r="O468" t="s">
        <v>125</v>
      </c>
      <c r="P468" t="s">
        <v>125</v>
      </c>
      <c r="Q468" t="s">
        <v>125</v>
      </c>
      <c r="R468" t="s">
        <v>125</v>
      </c>
      <c r="S468" t="s">
        <v>125</v>
      </c>
      <c r="T468">
        <v>1</v>
      </c>
      <c r="V468" t="s">
        <v>125</v>
      </c>
      <c r="AE468" t="s">
        <v>125</v>
      </c>
      <c r="AF468">
        <v>0</v>
      </c>
      <c r="AG468" t="s">
        <v>125</v>
      </c>
      <c r="AH468">
        <v>0</v>
      </c>
      <c r="AK468">
        <v>0</v>
      </c>
    </row>
    <row r="469" spans="1:37" x14ac:dyDescent="0.25">
      <c r="A469" t="s">
        <v>79</v>
      </c>
      <c r="B469">
        <v>2</v>
      </c>
      <c r="C469">
        <v>3</v>
      </c>
      <c r="D469">
        <v>1</v>
      </c>
      <c r="E469">
        <v>14</v>
      </c>
      <c r="G469">
        <v>231</v>
      </c>
      <c r="H469" t="s">
        <v>952</v>
      </c>
      <c r="I469" t="s">
        <v>137</v>
      </c>
      <c r="J469" t="s">
        <v>1019</v>
      </c>
      <c r="L469">
        <v>0</v>
      </c>
      <c r="M469" t="s">
        <v>125</v>
      </c>
      <c r="O469" t="s">
        <v>125</v>
      </c>
      <c r="P469" t="s">
        <v>125</v>
      </c>
      <c r="Q469" t="s">
        <v>125</v>
      </c>
      <c r="R469" t="s">
        <v>125</v>
      </c>
      <c r="S469" t="s">
        <v>125</v>
      </c>
      <c r="T469">
        <v>1</v>
      </c>
      <c r="V469" t="s">
        <v>125</v>
      </c>
      <c r="AE469" t="s">
        <v>125</v>
      </c>
      <c r="AF469">
        <v>0</v>
      </c>
      <c r="AG469" t="s">
        <v>125</v>
      </c>
      <c r="AH469">
        <v>0</v>
      </c>
      <c r="AK469">
        <v>0</v>
      </c>
    </row>
    <row r="470" spans="1:37" x14ac:dyDescent="0.25">
      <c r="A470" t="s">
        <v>79</v>
      </c>
      <c r="B470">
        <v>2</v>
      </c>
      <c r="C470">
        <v>3</v>
      </c>
      <c r="D470">
        <v>1</v>
      </c>
      <c r="E470">
        <v>15</v>
      </c>
      <c r="G470">
        <v>231</v>
      </c>
      <c r="H470" t="s">
        <v>952</v>
      </c>
      <c r="I470" t="s">
        <v>139</v>
      </c>
      <c r="J470" t="s">
        <v>1020</v>
      </c>
      <c r="L470">
        <v>0</v>
      </c>
      <c r="M470" t="s">
        <v>125</v>
      </c>
      <c r="O470" t="s">
        <v>125</v>
      </c>
      <c r="P470" t="s">
        <v>125</v>
      </c>
      <c r="Q470" t="s">
        <v>125</v>
      </c>
      <c r="R470" t="s">
        <v>125</v>
      </c>
      <c r="S470" t="s">
        <v>125</v>
      </c>
      <c r="T470">
        <v>1</v>
      </c>
      <c r="V470" t="s">
        <v>125</v>
      </c>
      <c r="AE470" t="s">
        <v>125</v>
      </c>
      <c r="AF470">
        <v>0</v>
      </c>
      <c r="AG470" t="s">
        <v>125</v>
      </c>
      <c r="AH470">
        <v>0</v>
      </c>
      <c r="AK470">
        <v>0</v>
      </c>
    </row>
    <row r="471" spans="1:37" x14ac:dyDescent="0.25">
      <c r="L471">
        <v>0</v>
      </c>
    </row>
    <row r="472" spans="1:37" x14ac:dyDescent="0.25">
      <c r="A472" t="s">
        <v>70</v>
      </c>
      <c r="B472">
        <v>2</v>
      </c>
      <c r="C472">
        <v>3</v>
      </c>
      <c r="D472">
        <v>2</v>
      </c>
      <c r="G472">
        <v>23</v>
      </c>
      <c r="L472">
        <v>0</v>
      </c>
      <c r="M472" t="s">
        <v>125</v>
      </c>
      <c r="P472" t="s">
        <v>125</v>
      </c>
      <c r="R472" t="s">
        <v>125</v>
      </c>
      <c r="S472" t="s">
        <v>63</v>
      </c>
      <c r="V472" t="s">
        <v>125</v>
      </c>
      <c r="X472" t="s">
        <v>125</v>
      </c>
      <c r="Y472" t="s">
        <v>125</v>
      </c>
      <c r="Z472" t="s">
        <v>125</v>
      </c>
      <c r="AA472" t="s">
        <v>125</v>
      </c>
      <c r="AB472" t="s">
        <v>125</v>
      </c>
      <c r="AC472" t="s">
        <v>125</v>
      </c>
      <c r="AE472" t="s">
        <v>125</v>
      </c>
      <c r="AF472">
        <v>0</v>
      </c>
      <c r="AG472" t="s">
        <v>125</v>
      </c>
      <c r="AH472">
        <v>0</v>
      </c>
      <c r="AK472">
        <v>0</v>
      </c>
    </row>
    <row r="473" spans="1:37" x14ac:dyDescent="0.25">
      <c r="A473" t="s">
        <v>79</v>
      </c>
      <c r="B473">
        <v>2</v>
      </c>
      <c r="C473">
        <v>3</v>
      </c>
      <c r="D473">
        <v>2</v>
      </c>
      <c r="E473">
        <v>1</v>
      </c>
      <c r="G473">
        <v>232</v>
      </c>
      <c r="H473" t="s">
        <v>63</v>
      </c>
      <c r="I473" t="s">
        <v>80</v>
      </c>
      <c r="J473" t="s">
        <v>141</v>
      </c>
      <c r="L473">
        <v>0</v>
      </c>
      <c r="M473" t="s">
        <v>125</v>
      </c>
      <c r="O473" t="s">
        <v>125</v>
      </c>
      <c r="P473" t="s">
        <v>125</v>
      </c>
      <c r="Q473" t="s">
        <v>125</v>
      </c>
      <c r="R473" t="s">
        <v>125</v>
      </c>
      <c r="S473" t="s">
        <v>125</v>
      </c>
      <c r="T473">
        <v>0</v>
      </c>
      <c r="V473" t="s">
        <v>125</v>
      </c>
      <c r="AE473" t="s">
        <v>125</v>
      </c>
      <c r="AF473">
        <v>0</v>
      </c>
      <c r="AG473" t="s">
        <v>125</v>
      </c>
      <c r="AH473">
        <v>0</v>
      </c>
      <c r="AK473">
        <v>0</v>
      </c>
    </row>
    <row r="474" spans="1:37" x14ac:dyDescent="0.25">
      <c r="A474" t="s">
        <v>79</v>
      </c>
      <c r="B474">
        <v>2</v>
      </c>
      <c r="C474">
        <v>3</v>
      </c>
      <c r="D474">
        <v>2</v>
      </c>
      <c r="E474">
        <v>2</v>
      </c>
      <c r="G474">
        <v>232</v>
      </c>
      <c r="H474" t="s">
        <v>63</v>
      </c>
      <c r="I474" t="s">
        <v>88</v>
      </c>
      <c r="J474" t="s">
        <v>142</v>
      </c>
      <c r="L474">
        <v>0</v>
      </c>
      <c r="M474" t="s">
        <v>125</v>
      </c>
      <c r="O474" t="s">
        <v>125</v>
      </c>
      <c r="P474" t="s">
        <v>125</v>
      </c>
      <c r="Q474" t="s">
        <v>125</v>
      </c>
      <c r="R474" t="s">
        <v>125</v>
      </c>
      <c r="S474" t="s">
        <v>125</v>
      </c>
      <c r="T474">
        <v>0</v>
      </c>
      <c r="V474" t="s">
        <v>125</v>
      </c>
      <c r="AE474" t="s">
        <v>125</v>
      </c>
      <c r="AF474">
        <v>0</v>
      </c>
      <c r="AG474" t="s">
        <v>125</v>
      </c>
      <c r="AH474">
        <v>0</v>
      </c>
      <c r="AK474">
        <v>0</v>
      </c>
    </row>
    <row r="475" spans="1:37" x14ac:dyDescent="0.25">
      <c r="A475" t="s">
        <v>79</v>
      </c>
      <c r="B475">
        <v>2</v>
      </c>
      <c r="C475">
        <v>3</v>
      </c>
      <c r="D475">
        <v>2</v>
      </c>
      <c r="E475">
        <v>3</v>
      </c>
      <c r="G475">
        <v>232</v>
      </c>
      <c r="H475" t="s">
        <v>63</v>
      </c>
      <c r="I475" t="s">
        <v>95</v>
      </c>
      <c r="J475" t="s">
        <v>143</v>
      </c>
      <c r="L475">
        <v>0</v>
      </c>
      <c r="M475" t="s">
        <v>125</v>
      </c>
      <c r="O475" t="s">
        <v>125</v>
      </c>
      <c r="P475" t="s">
        <v>125</v>
      </c>
      <c r="Q475" t="s">
        <v>125</v>
      </c>
      <c r="R475" t="s">
        <v>125</v>
      </c>
      <c r="S475" t="s">
        <v>125</v>
      </c>
      <c r="T475">
        <v>0</v>
      </c>
      <c r="V475" t="s">
        <v>125</v>
      </c>
      <c r="AE475" t="s">
        <v>125</v>
      </c>
      <c r="AF475">
        <v>0</v>
      </c>
      <c r="AG475" t="s">
        <v>125</v>
      </c>
      <c r="AH475">
        <v>0</v>
      </c>
      <c r="AK475">
        <v>0</v>
      </c>
    </row>
    <row r="476" spans="1:37" x14ac:dyDescent="0.25">
      <c r="A476" t="s">
        <v>79</v>
      </c>
      <c r="B476">
        <v>2</v>
      </c>
      <c r="C476">
        <v>3</v>
      </c>
      <c r="D476">
        <v>2</v>
      </c>
      <c r="E476">
        <v>4</v>
      </c>
      <c r="G476">
        <v>232</v>
      </c>
      <c r="H476" t="s">
        <v>63</v>
      </c>
      <c r="I476" t="s">
        <v>102</v>
      </c>
      <c r="J476" t="s">
        <v>144</v>
      </c>
      <c r="L476">
        <v>0</v>
      </c>
      <c r="M476" t="s">
        <v>125</v>
      </c>
      <c r="O476" t="s">
        <v>125</v>
      </c>
      <c r="P476" t="s">
        <v>125</v>
      </c>
      <c r="Q476" t="s">
        <v>125</v>
      </c>
      <c r="R476" t="s">
        <v>125</v>
      </c>
      <c r="S476" t="s">
        <v>125</v>
      </c>
      <c r="T476">
        <v>0</v>
      </c>
      <c r="V476" t="s">
        <v>125</v>
      </c>
      <c r="AE476" t="s">
        <v>125</v>
      </c>
      <c r="AF476">
        <v>0</v>
      </c>
      <c r="AG476" t="s">
        <v>125</v>
      </c>
      <c r="AH476">
        <v>0</v>
      </c>
      <c r="AK476">
        <v>0</v>
      </c>
    </row>
    <row r="477" spans="1:37" x14ac:dyDescent="0.25">
      <c r="A477" t="s">
        <v>79</v>
      </c>
      <c r="B477">
        <v>2</v>
      </c>
      <c r="C477">
        <v>3</v>
      </c>
      <c r="D477">
        <v>2</v>
      </c>
      <c r="E477">
        <v>5</v>
      </c>
      <c r="G477">
        <v>232</v>
      </c>
      <c r="H477" t="s">
        <v>63</v>
      </c>
      <c r="I477" t="s">
        <v>109</v>
      </c>
      <c r="J477" t="s">
        <v>145</v>
      </c>
      <c r="L477">
        <v>0</v>
      </c>
      <c r="M477" t="s">
        <v>125</v>
      </c>
      <c r="O477" t="s">
        <v>125</v>
      </c>
      <c r="P477" t="s">
        <v>125</v>
      </c>
      <c r="Q477" t="s">
        <v>125</v>
      </c>
      <c r="R477" t="s">
        <v>125</v>
      </c>
      <c r="S477" t="s">
        <v>125</v>
      </c>
      <c r="T477">
        <v>0</v>
      </c>
      <c r="V477" t="s">
        <v>125</v>
      </c>
      <c r="AE477" t="s">
        <v>125</v>
      </c>
      <c r="AF477">
        <v>0</v>
      </c>
      <c r="AG477" t="s">
        <v>125</v>
      </c>
      <c r="AH477">
        <v>0</v>
      </c>
      <c r="AK477">
        <v>0</v>
      </c>
    </row>
    <row r="478" spans="1:37" x14ac:dyDescent="0.25">
      <c r="A478" t="s">
        <v>79</v>
      </c>
      <c r="B478">
        <v>2</v>
      </c>
      <c r="C478">
        <v>3</v>
      </c>
      <c r="D478">
        <v>2</v>
      </c>
      <c r="E478">
        <v>6</v>
      </c>
      <c r="G478">
        <v>232</v>
      </c>
      <c r="H478" t="s">
        <v>63</v>
      </c>
      <c r="I478" t="s">
        <v>116</v>
      </c>
      <c r="J478" t="s">
        <v>146</v>
      </c>
      <c r="L478">
        <v>0</v>
      </c>
      <c r="M478" t="s">
        <v>125</v>
      </c>
      <c r="O478" t="s">
        <v>125</v>
      </c>
      <c r="P478" t="s">
        <v>125</v>
      </c>
      <c r="Q478" t="s">
        <v>125</v>
      </c>
      <c r="R478" t="s">
        <v>125</v>
      </c>
      <c r="S478" t="s">
        <v>125</v>
      </c>
      <c r="T478">
        <v>0</v>
      </c>
      <c r="V478" t="s">
        <v>125</v>
      </c>
      <c r="AE478" t="s">
        <v>125</v>
      </c>
      <c r="AF478">
        <v>0</v>
      </c>
      <c r="AG478" t="s">
        <v>125</v>
      </c>
      <c r="AH478">
        <v>0</v>
      </c>
      <c r="AK478">
        <v>0</v>
      </c>
    </row>
    <row r="479" spans="1:37" x14ac:dyDescent="0.25">
      <c r="A479" t="s">
        <v>79</v>
      </c>
      <c r="B479">
        <v>2</v>
      </c>
      <c r="C479">
        <v>3</v>
      </c>
      <c r="D479">
        <v>2</v>
      </c>
      <c r="E479">
        <v>7</v>
      </c>
      <c r="G479">
        <v>232</v>
      </c>
      <c r="H479" t="s">
        <v>63</v>
      </c>
      <c r="I479" t="s">
        <v>123</v>
      </c>
      <c r="J479" t="s">
        <v>147</v>
      </c>
      <c r="L479">
        <v>0</v>
      </c>
      <c r="M479" t="s">
        <v>125</v>
      </c>
      <c r="O479" t="s">
        <v>125</v>
      </c>
      <c r="P479" t="s">
        <v>125</v>
      </c>
      <c r="Q479" t="s">
        <v>125</v>
      </c>
      <c r="R479" t="s">
        <v>125</v>
      </c>
      <c r="S479" t="s">
        <v>125</v>
      </c>
      <c r="T479">
        <v>0</v>
      </c>
      <c r="V479" t="s">
        <v>125</v>
      </c>
      <c r="AE479" t="s">
        <v>125</v>
      </c>
      <c r="AF479">
        <v>0</v>
      </c>
      <c r="AG479" t="s">
        <v>125</v>
      </c>
      <c r="AH479">
        <v>0</v>
      </c>
      <c r="AK479">
        <v>0</v>
      </c>
    </row>
    <row r="480" spans="1:37" x14ac:dyDescent="0.25">
      <c r="A480" t="s">
        <v>79</v>
      </c>
      <c r="B480">
        <v>2</v>
      </c>
      <c r="C480">
        <v>3</v>
      </c>
      <c r="D480">
        <v>2</v>
      </c>
      <c r="E480">
        <v>8</v>
      </c>
      <c r="G480">
        <v>232</v>
      </c>
      <c r="H480" t="s">
        <v>63</v>
      </c>
      <c r="I480" t="s">
        <v>126</v>
      </c>
      <c r="J480" t="s">
        <v>148</v>
      </c>
      <c r="L480">
        <v>0</v>
      </c>
      <c r="M480" t="s">
        <v>125</v>
      </c>
      <c r="O480" t="s">
        <v>125</v>
      </c>
      <c r="P480" t="s">
        <v>125</v>
      </c>
      <c r="Q480" t="s">
        <v>125</v>
      </c>
      <c r="R480" t="s">
        <v>125</v>
      </c>
      <c r="S480" t="s">
        <v>125</v>
      </c>
      <c r="T480">
        <v>0</v>
      </c>
      <c r="V480" t="s">
        <v>125</v>
      </c>
      <c r="AE480" t="s">
        <v>125</v>
      </c>
      <c r="AF480">
        <v>0</v>
      </c>
      <c r="AG480" t="s">
        <v>125</v>
      </c>
      <c r="AH480">
        <v>0</v>
      </c>
      <c r="AK480">
        <v>0</v>
      </c>
    </row>
    <row r="481" spans="1:37" x14ac:dyDescent="0.25">
      <c r="A481" t="s">
        <v>79</v>
      </c>
      <c r="B481">
        <v>2</v>
      </c>
      <c r="C481">
        <v>3</v>
      </c>
      <c r="D481">
        <v>2</v>
      </c>
      <c r="E481">
        <v>9</v>
      </c>
      <c r="G481">
        <v>232</v>
      </c>
      <c r="H481" t="s">
        <v>63</v>
      </c>
      <c r="I481" t="s">
        <v>74</v>
      </c>
      <c r="J481" t="s">
        <v>149</v>
      </c>
      <c r="L481">
        <v>0</v>
      </c>
      <c r="M481" t="s">
        <v>125</v>
      </c>
      <c r="O481" t="s">
        <v>125</v>
      </c>
      <c r="P481" t="s">
        <v>125</v>
      </c>
      <c r="Q481" t="s">
        <v>125</v>
      </c>
      <c r="R481" t="s">
        <v>125</v>
      </c>
      <c r="S481" t="s">
        <v>125</v>
      </c>
      <c r="T481">
        <v>0</v>
      </c>
      <c r="V481" t="s">
        <v>125</v>
      </c>
      <c r="AE481" t="s">
        <v>125</v>
      </c>
      <c r="AF481">
        <v>0</v>
      </c>
      <c r="AG481" t="s">
        <v>125</v>
      </c>
      <c r="AH481">
        <v>0</v>
      </c>
      <c r="AK481">
        <v>0</v>
      </c>
    </row>
    <row r="482" spans="1:37" x14ac:dyDescent="0.25">
      <c r="A482" t="s">
        <v>79</v>
      </c>
      <c r="B482">
        <v>2</v>
      </c>
      <c r="C482">
        <v>3</v>
      </c>
      <c r="D482">
        <v>2</v>
      </c>
      <c r="E482">
        <v>10</v>
      </c>
      <c r="G482">
        <v>232</v>
      </c>
      <c r="H482" t="s">
        <v>63</v>
      </c>
      <c r="I482" t="s">
        <v>129</v>
      </c>
      <c r="J482" t="s">
        <v>150</v>
      </c>
      <c r="L482">
        <v>0</v>
      </c>
      <c r="M482" t="s">
        <v>125</v>
      </c>
      <c r="O482" t="s">
        <v>125</v>
      </c>
      <c r="P482" t="s">
        <v>125</v>
      </c>
      <c r="Q482" t="s">
        <v>125</v>
      </c>
      <c r="R482" t="s">
        <v>125</v>
      </c>
      <c r="S482" t="s">
        <v>125</v>
      </c>
      <c r="T482">
        <v>0</v>
      </c>
      <c r="V482" t="s">
        <v>125</v>
      </c>
      <c r="AE482" t="s">
        <v>125</v>
      </c>
      <c r="AF482">
        <v>0</v>
      </c>
      <c r="AG482" t="s">
        <v>125</v>
      </c>
      <c r="AH482">
        <v>0</v>
      </c>
      <c r="AK482">
        <v>0</v>
      </c>
    </row>
    <row r="483" spans="1:37" x14ac:dyDescent="0.25">
      <c r="A483" t="s">
        <v>79</v>
      </c>
      <c r="B483">
        <v>2</v>
      </c>
      <c r="C483">
        <v>3</v>
      </c>
      <c r="D483">
        <v>2</v>
      </c>
      <c r="E483">
        <v>11</v>
      </c>
      <c r="G483">
        <v>232</v>
      </c>
      <c r="H483" t="s">
        <v>63</v>
      </c>
      <c r="I483" t="s">
        <v>131</v>
      </c>
      <c r="J483" t="s">
        <v>151</v>
      </c>
      <c r="L483">
        <v>0</v>
      </c>
      <c r="M483" t="s">
        <v>125</v>
      </c>
      <c r="O483" t="s">
        <v>125</v>
      </c>
      <c r="P483" t="s">
        <v>125</v>
      </c>
      <c r="Q483" t="s">
        <v>125</v>
      </c>
      <c r="R483" t="s">
        <v>125</v>
      </c>
      <c r="S483" t="s">
        <v>125</v>
      </c>
      <c r="T483">
        <v>0</v>
      </c>
      <c r="V483" t="s">
        <v>125</v>
      </c>
      <c r="AE483" t="s">
        <v>125</v>
      </c>
      <c r="AF483">
        <v>0</v>
      </c>
      <c r="AG483" t="s">
        <v>125</v>
      </c>
      <c r="AH483">
        <v>0</v>
      </c>
      <c r="AK483">
        <v>0</v>
      </c>
    </row>
    <row r="484" spans="1:37" x14ac:dyDescent="0.25">
      <c r="A484" t="s">
        <v>79</v>
      </c>
      <c r="B484">
        <v>2</v>
      </c>
      <c r="C484">
        <v>3</v>
      </c>
      <c r="D484">
        <v>2</v>
      </c>
      <c r="E484">
        <v>12</v>
      </c>
      <c r="G484">
        <v>232</v>
      </c>
      <c r="H484" t="s">
        <v>63</v>
      </c>
      <c r="I484" t="s">
        <v>133</v>
      </c>
      <c r="J484" t="s">
        <v>152</v>
      </c>
      <c r="L484">
        <v>0</v>
      </c>
      <c r="M484" t="s">
        <v>125</v>
      </c>
      <c r="O484" t="s">
        <v>125</v>
      </c>
      <c r="P484" t="s">
        <v>125</v>
      </c>
      <c r="Q484" t="s">
        <v>125</v>
      </c>
      <c r="R484" t="s">
        <v>125</v>
      </c>
      <c r="S484" t="s">
        <v>125</v>
      </c>
      <c r="T484">
        <v>0</v>
      </c>
      <c r="V484" t="s">
        <v>125</v>
      </c>
      <c r="AE484" t="s">
        <v>125</v>
      </c>
      <c r="AF484">
        <v>0</v>
      </c>
      <c r="AG484" t="s">
        <v>125</v>
      </c>
      <c r="AH484">
        <v>0</v>
      </c>
      <c r="AK484">
        <v>0</v>
      </c>
    </row>
    <row r="485" spans="1:37" x14ac:dyDescent="0.25">
      <c r="A485" t="s">
        <v>79</v>
      </c>
      <c r="B485">
        <v>2</v>
      </c>
      <c r="C485">
        <v>3</v>
      </c>
      <c r="D485">
        <v>2</v>
      </c>
      <c r="E485">
        <v>13</v>
      </c>
      <c r="G485">
        <v>232</v>
      </c>
      <c r="H485" t="s">
        <v>63</v>
      </c>
      <c r="I485" t="s">
        <v>135</v>
      </c>
      <c r="J485" t="s">
        <v>153</v>
      </c>
      <c r="L485">
        <v>0</v>
      </c>
      <c r="M485" t="s">
        <v>125</v>
      </c>
      <c r="O485" t="s">
        <v>125</v>
      </c>
      <c r="P485" t="s">
        <v>125</v>
      </c>
      <c r="Q485" t="s">
        <v>125</v>
      </c>
      <c r="R485" t="s">
        <v>125</v>
      </c>
      <c r="S485" t="s">
        <v>125</v>
      </c>
      <c r="T485">
        <v>0</v>
      </c>
      <c r="V485" t="s">
        <v>125</v>
      </c>
      <c r="AE485" t="s">
        <v>125</v>
      </c>
      <c r="AF485">
        <v>0</v>
      </c>
      <c r="AG485" t="s">
        <v>125</v>
      </c>
      <c r="AH485">
        <v>0</v>
      </c>
      <c r="AK485">
        <v>0</v>
      </c>
    </row>
    <row r="486" spans="1:37" x14ac:dyDescent="0.25">
      <c r="A486" t="s">
        <v>79</v>
      </c>
      <c r="B486">
        <v>2</v>
      </c>
      <c r="C486">
        <v>3</v>
      </c>
      <c r="D486">
        <v>2</v>
      </c>
      <c r="E486">
        <v>14</v>
      </c>
      <c r="G486">
        <v>232</v>
      </c>
      <c r="H486" t="s">
        <v>63</v>
      </c>
      <c r="I486" t="s">
        <v>137</v>
      </c>
      <c r="J486" t="s">
        <v>154</v>
      </c>
      <c r="L486">
        <v>0</v>
      </c>
      <c r="M486" t="s">
        <v>125</v>
      </c>
      <c r="O486" t="s">
        <v>125</v>
      </c>
      <c r="P486" t="s">
        <v>125</v>
      </c>
      <c r="Q486" t="s">
        <v>125</v>
      </c>
      <c r="R486" t="s">
        <v>125</v>
      </c>
      <c r="S486" t="s">
        <v>125</v>
      </c>
      <c r="T486">
        <v>0</v>
      </c>
      <c r="V486" t="s">
        <v>125</v>
      </c>
      <c r="AE486" t="s">
        <v>125</v>
      </c>
      <c r="AF486">
        <v>0</v>
      </c>
      <c r="AG486" t="s">
        <v>125</v>
      </c>
      <c r="AH486">
        <v>0</v>
      </c>
      <c r="AK486">
        <v>0</v>
      </c>
    </row>
    <row r="487" spans="1:37" x14ac:dyDescent="0.25">
      <c r="A487" t="s">
        <v>79</v>
      </c>
      <c r="B487">
        <v>2</v>
      </c>
      <c r="C487">
        <v>3</v>
      </c>
      <c r="D487">
        <v>2</v>
      </c>
      <c r="E487">
        <v>15</v>
      </c>
      <c r="G487">
        <v>232</v>
      </c>
      <c r="H487" t="s">
        <v>63</v>
      </c>
      <c r="I487" t="s">
        <v>139</v>
      </c>
      <c r="J487" t="s">
        <v>155</v>
      </c>
      <c r="L487">
        <v>0</v>
      </c>
      <c r="M487" t="s">
        <v>125</v>
      </c>
      <c r="O487" t="s">
        <v>125</v>
      </c>
      <c r="P487" t="s">
        <v>125</v>
      </c>
      <c r="Q487" t="s">
        <v>125</v>
      </c>
      <c r="R487" t="s">
        <v>125</v>
      </c>
      <c r="S487" t="s">
        <v>125</v>
      </c>
      <c r="T487">
        <v>0</v>
      </c>
      <c r="V487" t="s">
        <v>125</v>
      </c>
      <c r="AE487" t="s">
        <v>125</v>
      </c>
      <c r="AF487">
        <v>0</v>
      </c>
      <c r="AG487" t="s">
        <v>125</v>
      </c>
      <c r="AH487">
        <v>0</v>
      </c>
      <c r="AK487">
        <v>0</v>
      </c>
    </row>
    <row r="488" spans="1:37" x14ac:dyDescent="0.25">
      <c r="L488">
        <v>0</v>
      </c>
    </row>
    <row r="489" spans="1:37" x14ac:dyDescent="0.25">
      <c r="A489" t="s">
        <v>70</v>
      </c>
      <c r="B489">
        <v>2</v>
      </c>
      <c r="C489">
        <v>3</v>
      </c>
      <c r="D489">
        <v>3</v>
      </c>
      <c r="G489">
        <v>23</v>
      </c>
      <c r="L489">
        <v>0</v>
      </c>
      <c r="M489" t="s">
        <v>125</v>
      </c>
      <c r="P489" t="s">
        <v>125</v>
      </c>
      <c r="R489" t="s">
        <v>125</v>
      </c>
      <c r="S489" t="s">
        <v>63</v>
      </c>
      <c r="V489" t="s">
        <v>125</v>
      </c>
      <c r="X489" t="s">
        <v>125</v>
      </c>
      <c r="Y489" t="s">
        <v>125</v>
      </c>
      <c r="Z489" t="s">
        <v>125</v>
      </c>
      <c r="AA489" t="s">
        <v>125</v>
      </c>
      <c r="AB489" t="s">
        <v>125</v>
      </c>
      <c r="AC489" t="s">
        <v>125</v>
      </c>
      <c r="AE489" t="s">
        <v>125</v>
      </c>
      <c r="AF489">
        <v>0</v>
      </c>
      <c r="AG489" t="s">
        <v>125</v>
      </c>
      <c r="AH489">
        <v>0</v>
      </c>
      <c r="AK489">
        <v>0</v>
      </c>
    </row>
    <row r="490" spans="1:37" x14ac:dyDescent="0.25">
      <c r="A490" t="s">
        <v>79</v>
      </c>
      <c r="B490">
        <v>2</v>
      </c>
      <c r="C490">
        <v>3</v>
      </c>
      <c r="D490">
        <v>3</v>
      </c>
      <c r="E490">
        <v>1</v>
      </c>
      <c r="G490">
        <v>233</v>
      </c>
      <c r="H490" t="s">
        <v>63</v>
      </c>
      <c r="I490" t="s">
        <v>80</v>
      </c>
      <c r="J490" t="s">
        <v>141</v>
      </c>
      <c r="L490">
        <v>0</v>
      </c>
      <c r="M490" t="s">
        <v>125</v>
      </c>
      <c r="O490" t="s">
        <v>125</v>
      </c>
      <c r="P490" t="s">
        <v>125</v>
      </c>
      <c r="Q490" t="s">
        <v>125</v>
      </c>
      <c r="R490" t="s">
        <v>125</v>
      </c>
      <c r="S490" t="s">
        <v>125</v>
      </c>
      <c r="T490">
        <v>0</v>
      </c>
      <c r="V490" t="s">
        <v>125</v>
      </c>
      <c r="AE490" t="s">
        <v>125</v>
      </c>
      <c r="AF490">
        <v>0</v>
      </c>
      <c r="AG490" t="s">
        <v>125</v>
      </c>
      <c r="AH490">
        <v>0</v>
      </c>
      <c r="AK490">
        <v>0</v>
      </c>
    </row>
    <row r="491" spans="1:37" x14ac:dyDescent="0.25">
      <c r="A491" t="s">
        <v>79</v>
      </c>
      <c r="B491">
        <v>2</v>
      </c>
      <c r="C491">
        <v>3</v>
      </c>
      <c r="D491">
        <v>3</v>
      </c>
      <c r="E491">
        <v>2</v>
      </c>
      <c r="G491">
        <v>233</v>
      </c>
      <c r="H491" t="s">
        <v>63</v>
      </c>
      <c r="I491" t="s">
        <v>88</v>
      </c>
      <c r="J491" t="s">
        <v>142</v>
      </c>
      <c r="L491">
        <v>0</v>
      </c>
      <c r="M491" t="s">
        <v>125</v>
      </c>
      <c r="O491" t="s">
        <v>125</v>
      </c>
      <c r="P491" t="s">
        <v>125</v>
      </c>
      <c r="Q491" t="s">
        <v>125</v>
      </c>
      <c r="R491" t="s">
        <v>125</v>
      </c>
      <c r="S491" t="s">
        <v>125</v>
      </c>
      <c r="T491">
        <v>0</v>
      </c>
      <c r="V491" t="s">
        <v>125</v>
      </c>
      <c r="AE491" t="s">
        <v>125</v>
      </c>
      <c r="AF491">
        <v>0</v>
      </c>
      <c r="AG491" t="s">
        <v>125</v>
      </c>
      <c r="AH491">
        <v>0</v>
      </c>
      <c r="AK491">
        <v>0</v>
      </c>
    </row>
    <row r="492" spans="1:37" x14ac:dyDescent="0.25">
      <c r="A492" t="s">
        <v>79</v>
      </c>
      <c r="B492">
        <v>2</v>
      </c>
      <c r="C492">
        <v>3</v>
      </c>
      <c r="D492">
        <v>3</v>
      </c>
      <c r="E492">
        <v>3</v>
      </c>
      <c r="G492">
        <v>233</v>
      </c>
      <c r="H492" t="s">
        <v>63</v>
      </c>
      <c r="I492" t="s">
        <v>95</v>
      </c>
      <c r="J492" t="s">
        <v>143</v>
      </c>
      <c r="L492">
        <v>0</v>
      </c>
      <c r="M492" t="s">
        <v>125</v>
      </c>
      <c r="O492" t="s">
        <v>125</v>
      </c>
      <c r="P492" t="s">
        <v>125</v>
      </c>
      <c r="Q492" t="s">
        <v>125</v>
      </c>
      <c r="R492" t="s">
        <v>125</v>
      </c>
      <c r="S492" t="s">
        <v>125</v>
      </c>
      <c r="T492">
        <v>0</v>
      </c>
      <c r="V492" t="s">
        <v>125</v>
      </c>
      <c r="AE492" t="s">
        <v>125</v>
      </c>
      <c r="AF492">
        <v>0</v>
      </c>
      <c r="AG492" t="s">
        <v>125</v>
      </c>
      <c r="AH492">
        <v>0</v>
      </c>
      <c r="AK492">
        <v>0</v>
      </c>
    </row>
    <row r="493" spans="1:37" x14ac:dyDescent="0.25">
      <c r="A493" t="s">
        <v>79</v>
      </c>
      <c r="B493">
        <v>2</v>
      </c>
      <c r="C493">
        <v>3</v>
      </c>
      <c r="D493">
        <v>3</v>
      </c>
      <c r="E493">
        <v>4</v>
      </c>
      <c r="G493">
        <v>233</v>
      </c>
      <c r="H493" t="s">
        <v>63</v>
      </c>
      <c r="I493" t="s">
        <v>102</v>
      </c>
      <c r="J493" t="s">
        <v>144</v>
      </c>
      <c r="L493">
        <v>0</v>
      </c>
      <c r="M493" t="s">
        <v>125</v>
      </c>
      <c r="O493" t="s">
        <v>125</v>
      </c>
      <c r="P493" t="s">
        <v>125</v>
      </c>
      <c r="Q493" t="s">
        <v>125</v>
      </c>
      <c r="R493" t="s">
        <v>125</v>
      </c>
      <c r="S493" t="s">
        <v>125</v>
      </c>
      <c r="T493">
        <v>0</v>
      </c>
      <c r="V493" t="s">
        <v>125</v>
      </c>
      <c r="AE493" t="s">
        <v>125</v>
      </c>
      <c r="AF493">
        <v>0</v>
      </c>
      <c r="AG493" t="s">
        <v>125</v>
      </c>
      <c r="AH493">
        <v>0</v>
      </c>
      <c r="AK493">
        <v>0</v>
      </c>
    </row>
    <row r="494" spans="1:37" x14ac:dyDescent="0.25">
      <c r="A494" t="s">
        <v>79</v>
      </c>
      <c r="B494">
        <v>2</v>
      </c>
      <c r="C494">
        <v>3</v>
      </c>
      <c r="D494">
        <v>3</v>
      </c>
      <c r="E494">
        <v>5</v>
      </c>
      <c r="G494">
        <v>233</v>
      </c>
      <c r="H494" t="s">
        <v>63</v>
      </c>
      <c r="I494" t="s">
        <v>109</v>
      </c>
      <c r="J494" t="s">
        <v>145</v>
      </c>
      <c r="L494">
        <v>0</v>
      </c>
      <c r="M494" t="s">
        <v>125</v>
      </c>
      <c r="O494" t="s">
        <v>125</v>
      </c>
      <c r="P494" t="s">
        <v>125</v>
      </c>
      <c r="Q494" t="s">
        <v>125</v>
      </c>
      <c r="R494" t="s">
        <v>125</v>
      </c>
      <c r="S494" t="s">
        <v>125</v>
      </c>
      <c r="T494">
        <v>0</v>
      </c>
      <c r="V494" t="s">
        <v>125</v>
      </c>
      <c r="AE494" t="s">
        <v>125</v>
      </c>
      <c r="AF494">
        <v>0</v>
      </c>
      <c r="AG494" t="s">
        <v>125</v>
      </c>
      <c r="AH494">
        <v>0</v>
      </c>
      <c r="AK494">
        <v>0</v>
      </c>
    </row>
    <row r="495" spans="1:37" x14ac:dyDescent="0.25">
      <c r="A495" t="s">
        <v>79</v>
      </c>
      <c r="B495">
        <v>2</v>
      </c>
      <c r="C495">
        <v>3</v>
      </c>
      <c r="D495">
        <v>3</v>
      </c>
      <c r="E495">
        <v>6</v>
      </c>
      <c r="G495">
        <v>233</v>
      </c>
      <c r="H495" t="s">
        <v>63</v>
      </c>
      <c r="I495" t="s">
        <v>116</v>
      </c>
      <c r="J495" t="s">
        <v>146</v>
      </c>
      <c r="L495">
        <v>0</v>
      </c>
      <c r="M495" t="s">
        <v>125</v>
      </c>
      <c r="O495" t="s">
        <v>125</v>
      </c>
      <c r="P495" t="s">
        <v>125</v>
      </c>
      <c r="Q495" t="s">
        <v>125</v>
      </c>
      <c r="R495" t="s">
        <v>125</v>
      </c>
      <c r="S495" t="s">
        <v>125</v>
      </c>
      <c r="T495">
        <v>0</v>
      </c>
      <c r="V495" t="s">
        <v>125</v>
      </c>
      <c r="AE495" t="s">
        <v>125</v>
      </c>
      <c r="AF495">
        <v>0</v>
      </c>
      <c r="AG495" t="s">
        <v>125</v>
      </c>
      <c r="AH495">
        <v>0</v>
      </c>
      <c r="AK495">
        <v>0</v>
      </c>
    </row>
    <row r="496" spans="1:37" x14ac:dyDescent="0.25">
      <c r="A496" t="s">
        <v>79</v>
      </c>
      <c r="B496">
        <v>2</v>
      </c>
      <c r="C496">
        <v>3</v>
      </c>
      <c r="D496">
        <v>3</v>
      </c>
      <c r="E496">
        <v>7</v>
      </c>
      <c r="G496">
        <v>233</v>
      </c>
      <c r="H496" t="s">
        <v>63</v>
      </c>
      <c r="I496" t="s">
        <v>123</v>
      </c>
      <c r="J496" t="s">
        <v>147</v>
      </c>
      <c r="L496">
        <v>0</v>
      </c>
      <c r="M496" t="s">
        <v>125</v>
      </c>
      <c r="O496" t="s">
        <v>125</v>
      </c>
      <c r="P496" t="s">
        <v>125</v>
      </c>
      <c r="Q496" t="s">
        <v>125</v>
      </c>
      <c r="R496" t="s">
        <v>125</v>
      </c>
      <c r="S496" t="s">
        <v>125</v>
      </c>
      <c r="T496">
        <v>0</v>
      </c>
      <c r="V496" t="s">
        <v>125</v>
      </c>
      <c r="AE496" t="s">
        <v>125</v>
      </c>
      <c r="AF496">
        <v>0</v>
      </c>
      <c r="AG496" t="s">
        <v>125</v>
      </c>
      <c r="AH496">
        <v>0</v>
      </c>
      <c r="AK496">
        <v>0</v>
      </c>
    </row>
    <row r="497" spans="1:37" x14ac:dyDescent="0.25">
      <c r="A497" t="s">
        <v>79</v>
      </c>
      <c r="B497">
        <v>2</v>
      </c>
      <c r="C497">
        <v>3</v>
      </c>
      <c r="D497">
        <v>3</v>
      </c>
      <c r="E497">
        <v>8</v>
      </c>
      <c r="G497">
        <v>233</v>
      </c>
      <c r="H497" t="s">
        <v>63</v>
      </c>
      <c r="I497" t="s">
        <v>126</v>
      </c>
      <c r="J497" t="s">
        <v>148</v>
      </c>
      <c r="L497">
        <v>0</v>
      </c>
      <c r="M497" t="s">
        <v>125</v>
      </c>
      <c r="O497" t="s">
        <v>125</v>
      </c>
      <c r="P497" t="s">
        <v>125</v>
      </c>
      <c r="Q497" t="s">
        <v>125</v>
      </c>
      <c r="R497" t="s">
        <v>125</v>
      </c>
      <c r="S497" t="s">
        <v>125</v>
      </c>
      <c r="T497">
        <v>0</v>
      </c>
      <c r="V497" t="s">
        <v>125</v>
      </c>
      <c r="AE497" t="s">
        <v>125</v>
      </c>
      <c r="AF497">
        <v>0</v>
      </c>
      <c r="AG497" t="s">
        <v>125</v>
      </c>
      <c r="AH497">
        <v>0</v>
      </c>
      <c r="AK497">
        <v>0</v>
      </c>
    </row>
    <row r="498" spans="1:37" x14ac:dyDescent="0.25">
      <c r="A498" t="s">
        <v>79</v>
      </c>
      <c r="B498">
        <v>2</v>
      </c>
      <c r="C498">
        <v>3</v>
      </c>
      <c r="D498">
        <v>3</v>
      </c>
      <c r="E498">
        <v>9</v>
      </c>
      <c r="G498">
        <v>233</v>
      </c>
      <c r="H498" t="s">
        <v>63</v>
      </c>
      <c r="I498" t="s">
        <v>74</v>
      </c>
      <c r="J498" t="s">
        <v>149</v>
      </c>
      <c r="L498">
        <v>0</v>
      </c>
      <c r="M498" t="s">
        <v>125</v>
      </c>
      <c r="O498" t="s">
        <v>125</v>
      </c>
      <c r="P498" t="s">
        <v>125</v>
      </c>
      <c r="Q498" t="s">
        <v>125</v>
      </c>
      <c r="R498" t="s">
        <v>125</v>
      </c>
      <c r="S498" t="s">
        <v>125</v>
      </c>
      <c r="T498">
        <v>0</v>
      </c>
      <c r="V498" t="s">
        <v>125</v>
      </c>
      <c r="AE498" t="s">
        <v>125</v>
      </c>
      <c r="AF498">
        <v>0</v>
      </c>
      <c r="AG498" t="s">
        <v>125</v>
      </c>
      <c r="AH498">
        <v>0</v>
      </c>
      <c r="AK498">
        <v>0</v>
      </c>
    </row>
    <row r="499" spans="1:37" x14ac:dyDescent="0.25">
      <c r="A499" t="s">
        <v>79</v>
      </c>
      <c r="B499">
        <v>2</v>
      </c>
      <c r="C499">
        <v>3</v>
      </c>
      <c r="D499">
        <v>3</v>
      </c>
      <c r="E499">
        <v>10</v>
      </c>
      <c r="G499">
        <v>233</v>
      </c>
      <c r="H499" t="s">
        <v>63</v>
      </c>
      <c r="I499" t="s">
        <v>129</v>
      </c>
      <c r="J499" t="s">
        <v>150</v>
      </c>
      <c r="L499">
        <v>0</v>
      </c>
      <c r="M499" t="s">
        <v>125</v>
      </c>
      <c r="O499" t="s">
        <v>125</v>
      </c>
      <c r="P499" t="s">
        <v>125</v>
      </c>
      <c r="Q499" t="s">
        <v>125</v>
      </c>
      <c r="R499" t="s">
        <v>125</v>
      </c>
      <c r="S499" t="s">
        <v>125</v>
      </c>
      <c r="T499">
        <v>0</v>
      </c>
      <c r="V499" t="s">
        <v>125</v>
      </c>
      <c r="AE499" t="s">
        <v>125</v>
      </c>
      <c r="AF499">
        <v>0</v>
      </c>
      <c r="AG499" t="s">
        <v>125</v>
      </c>
      <c r="AH499">
        <v>0</v>
      </c>
      <c r="AK499">
        <v>0</v>
      </c>
    </row>
    <row r="500" spans="1:37" x14ac:dyDescent="0.25">
      <c r="A500" t="s">
        <v>79</v>
      </c>
      <c r="B500">
        <v>2</v>
      </c>
      <c r="C500">
        <v>3</v>
      </c>
      <c r="D500">
        <v>3</v>
      </c>
      <c r="E500">
        <v>11</v>
      </c>
      <c r="G500">
        <v>233</v>
      </c>
      <c r="H500" t="s">
        <v>63</v>
      </c>
      <c r="I500" t="s">
        <v>131</v>
      </c>
      <c r="J500" t="s">
        <v>151</v>
      </c>
      <c r="L500">
        <v>0</v>
      </c>
      <c r="M500" t="s">
        <v>125</v>
      </c>
      <c r="O500" t="s">
        <v>125</v>
      </c>
      <c r="P500" t="s">
        <v>125</v>
      </c>
      <c r="Q500" t="s">
        <v>125</v>
      </c>
      <c r="R500" t="s">
        <v>125</v>
      </c>
      <c r="S500" t="s">
        <v>125</v>
      </c>
      <c r="T500">
        <v>0</v>
      </c>
      <c r="V500" t="s">
        <v>125</v>
      </c>
      <c r="AE500" t="s">
        <v>125</v>
      </c>
      <c r="AF500">
        <v>0</v>
      </c>
      <c r="AG500" t="s">
        <v>125</v>
      </c>
      <c r="AH500">
        <v>0</v>
      </c>
      <c r="AK500">
        <v>0</v>
      </c>
    </row>
    <row r="501" spans="1:37" x14ac:dyDescent="0.25">
      <c r="A501" t="s">
        <v>79</v>
      </c>
      <c r="B501">
        <v>2</v>
      </c>
      <c r="C501">
        <v>3</v>
      </c>
      <c r="D501">
        <v>3</v>
      </c>
      <c r="E501">
        <v>12</v>
      </c>
      <c r="G501">
        <v>233</v>
      </c>
      <c r="H501" t="s">
        <v>63</v>
      </c>
      <c r="I501" t="s">
        <v>133</v>
      </c>
      <c r="J501" t="s">
        <v>152</v>
      </c>
      <c r="L501">
        <v>0</v>
      </c>
      <c r="M501" t="s">
        <v>125</v>
      </c>
      <c r="O501" t="s">
        <v>125</v>
      </c>
      <c r="P501" t="s">
        <v>125</v>
      </c>
      <c r="Q501" t="s">
        <v>125</v>
      </c>
      <c r="R501" t="s">
        <v>125</v>
      </c>
      <c r="S501" t="s">
        <v>125</v>
      </c>
      <c r="T501">
        <v>0</v>
      </c>
      <c r="V501" t="s">
        <v>125</v>
      </c>
      <c r="AE501" t="s">
        <v>125</v>
      </c>
      <c r="AF501">
        <v>0</v>
      </c>
      <c r="AG501" t="s">
        <v>125</v>
      </c>
      <c r="AH501">
        <v>0</v>
      </c>
      <c r="AK501">
        <v>0</v>
      </c>
    </row>
    <row r="502" spans="1:37" x14ac:dyDescent="0.25">
      <c r="A502" t="s">
        <v>79</v>
      </c>
      <c r="B502">
        <v>2</v>
      </c>
      <c r="C502">
        <v>3</v>
      </c>
      <c r="D502">
        <v>3</v>
      </c>
      <c r="E502">
        <v>13</v>
      </c>
      <c r="G502">
        <v>233</v>
      </c>
      <c r="H502" t="s">
        <v>63</v>
      </c>
      <c r="I502" t="s">
        <v>135</v>
      </c>
      <c r="J502" t="s">
        <v>153</v>
      </c>
      <c r="L502">
        <v>0</v>
      </c>
      <c r="M502" t="s">
        <v>125</v>
      </c>
      <c r="O502" t="s">
        <v>125</v>
      </c>
      <c r="P502" t="s">
        <v>125</v>
      </c>
      <c r="Q502" t="s">
        <v>125</v>
      </c>
      <c r="R502" t="s">
        <v>125</v>
      </c>
      <c r="S502" t="s">
        <v>125</v>
      </c>
      <c r="T502">
        <v>0</v>
      </c>
      <c r="V502" t="s">
        <v>125</v>
      </c>
      <c r="AE502" t="s">
        <v>125</v>
      </c>
      <c r="AF502">
        <v>0</v>
      </c>
      <c r="AG502" t="s">
        <v>125</v>
      </c>
      <c r="AH502">
        <v>0</v>
      </c>
      <c r="AK502">
        <v>0</v>
      </c>
    </row>
    <row r="503" spans="1:37" x14ac:dyDescent="0.25">
      <c r="A503" t="s">
        <v>79</v>
      </c>
      <c r="B503">
        <v>2</v>
      </c>
      <c r="C503">
        <v>3</v>
      </c>
      <c r="D503">
        <v>3</v>
      </c>
      <c r="E503">
        <v>14</v>
      </c>
      <c r="G503">
        <v>233</v>
      </c>
      <c r="H503" t="s">
        <v>63</v>
      </c>
      <c r="I503" t="s">
        <v>137</v>
      </c>
      <c r="J503" t="s">
        <v>154</v>
      </c>
      <c r="L503">
        <v>0</v>
      </c>
      <c r="M503" t="s">
        <v>125</v>
      </c>
      <c r="O503" t="s">
        <v>125</v>
      </c>
      <c r="P503" t="s">
        <v>125</v>
      </c>
      <c r="Q503" t="s">
        <v>125</v>
      </c>
      <c r="R503" t="s">
        <v>125</v>
      </c>
      <c r="S503" t="s">
        <v>125</v>
      </c>
      <c r="T503">
        <v>0</v>
      </c>
      <c r="V503" t="s">
        <v>125</v>
      </c>
      <c r="AE503" t="s">
        <v>125</v>
      </c>
      <c r="AF503">
        <v>0</v>
      </c>
      <c r="AG503" t="s">
        <v>125</v>
      </c>
      <c r="AH503">
        <v>0</v>
      </c>
      <c r="AK503">
        <v>0</v>
      </c>
    </row>
    <row r="504" spans="1:37" x14ac:dyDescent="0.25">
      <c r="A504" t="s">
        <v>79</v>
      </c>
      <c r="B504">
        <v>2</v>
      </c>
      <c r="C504">
        <v>3</v>
      </c>
      <c r="D504">
        <v>3</v>
      </c>
      <c r="E504">
        <v>15</v>
      </c>
      <c r="G504">
        <v>233</v>
      </c>
      <c r="H504" t="s">
        <v>63</v>
      </c>
      <c r="I504" t="s">
        <v>139</v>
      </c>
      <c r="J504" t="s">
        <v>155</v>
      </c>
      <c r="L504">
        <v>0</v>
      </c>
      <c r="M504" t="s">
        <v>125</v>
      </c>
      <c r="O504" t="s">
        <v>125</v>
      </c>
      <c r="P504" t="s">
        <v>125</v>
      </c>
      <c r="Q504" t="s">
        <v>125</v>
      </c>
      <c r="R504" t="s">
        <v>125</v>
      </c>
      <c r="S504" t="s">
        <v>125</v>
      </c>
      <c r="T504">
        <v>0</v>
      </c>
      <c r="V504" t="s">
        <v>125</v>
      </c>
      <c r="AE504" t="s">
        <v>125</v>
      </c>
      <c r="AF504">
        <v>0</v>
      </c>
      <c r="AG504" t="s">
        <v>125</v>
      </c>
      <c r="AH504">
        <v>0</v>
      </c>
      <c r="AK504">
        <v>0</v>
      </c>
    </row>
    <row r="505" spans="1:37" x14ac:dyDescent="0.25">
      <c r="L505">
        <v>0</v>
      </c>
    </row>
    <row r="506" spans="1:37" x14ac:dyDescent="0.25">
      <c r="A506" t="s">
        <v>70</v>
      </c>
      <c r="B506">
        <v>2</v>
      </c>
      <c r="C506">
        <v>3</v>
      </c>
      <c r="D506">
        <v>4</v>
      </c>
      <c r="G506">
        <v>23</v>
      </c>
      <c r="L506">
        <v>0</v>
      </c>
      <c r="M506" t="s">
        <v>125</v>
      </c>
      <c r="P506" t="s">
        <v>125</v>
      </c>
      <c r="R506" t="s">
        <v>125</v>
      </c>
      <c r="S506" t="s">
        <v>63</v>
      </c>
      <c r="V506" t="s">
        <v>125</v>
      </c>
      <c r="X506" t="s">
        <v>125</v>
      </c>
      <c r="Y506" t="s">
        <v>125</v>
      </c>
      <c r="Z506" t="s">
        <v>125</v>
      </c>
      <c r="AA506" t="s">
        <v>125</v>
      </c>
      <c r="AB506" t="s">
        <v>125</v>
      </c>
      <c r="AC506" t="s">
        <v>125</v>
      </c>
      <c r="AE506" t="s">
        <v>125</v>
      </c>
      <c r="AF506">
        <v>0</v>
      </c>
      <c r="AG506" t="s">
        <v>125</v>
      </c>
      <c r="AH506">
        <v>0</v>
      </c>
      <c r="AK506">
        <v>0</v>
      </c>
    </row>
    <row r="507" spans="1:37" x14ac:dyDescent="0.25">
      <c r="A507" t="s">
        <v>79</v>
      </c>
      <c r="B507">
        <v>2</v>
      </c>
      <c r="C507">
        <v>3</v>
      </c>
      <c r="D507">
        <v>4</v>
      </c>
      <c r="E507">
        <v>1</v>
      </c>
      <c r="G507">
        <v>234</v>
      </c>
      <c r="H507" t="s">
        <v>63</v>
      </c>
      <c r="I507" t="s">
        <v>80</v>
      </c>
      <c r="J507" t="s">
        <v>141</v>
      </c>
      <c r="L507">
        <v>0</v>
      </c>
      <c r="M507" t="s">
        <v>125</v>
      </c>
      <c r="O507" t="s">
        <v>125</v>
      </c>
      <c r="P507" t="s">
        <v>125</v>
      </c>
      <c r="Q507" t="s">
        <v>125</v>
      </c>
      <c r="R507" t="s">
        <v>125</v>
      </c>
      <c r="S507" t="s">
        <v>125</v>
      </c>
      <c r="T507">
        <v>0</v>
      </c>
      <c r="V507" t="s">
        <v>125</v>
      </c>
      <c r="AE507" t="s">
        <v>125</v>
      </c>
      <c r="AF507">
        <v>0</v>
      </c>
      <c r="AG507" t="s">
        <v>125</v>
      </c>
      <c r="AH507">
        <v>0</v>
      </c>
      <c r="AK507">
        <v>0</v>
      </c>
    </row>
    <row r="508" spans="1:37" x14ac:dyDescent="0.25">
      <c r="A508" t="s">
        <v>79</v>
      </c>
      <c r="B508">
        <v>2</v>
      </c>
      <c r="C508">
        <v>3</v>
      </c>
      <c r="D508">
        <v>4</v>
      </c>
      <c r="E508">
        <v>2</v>
      </c>
      <c r="G508">
        <v>234</v>
      </c>
      <c r="H508" t="s">
        <v>63</v>
      </c>
      <c r="I508" t="s">
        <v>88</v>
      </c>
      <c r="J508" t="s">
        <v>142</v>
      </c>
      <c r="L508">
        <v>0</v>
      </c>
      <c r="M508" t="s">
        <v>125</v>
      </c>
      <c r="O508" t="s">
        <v>125</v>
      </c>
      <c r="P508" t="s">
        <v>125</v>
      </c>
      <c r="Q508" t="s">
        <v>125</v>
      </c>
      <c r="R508" t="s">
        <v>125</v>
      </c>
      <c r="S508" t="s">
        <v>125</v>
      </c>
      <c r="T508">
        <v>0</v>
      </c>
      <c r="V508" t="s">
        <v>125</v>
      </c>
      <c r="AE508" t="s">
        <v>125</v>
      </c>
      <c r="AF508">
        <v>0</v>
      </c>
      <c r="AG508" t="s">
        <v>125</v>
      </c>
      <c r="AH508">
        <v>0</v>
      </c>
      <c r="AK508">
        <v>0</v>
      </c>
    </row>
    <row r="509" spans="1:37" x14ac:dyDescent="0.25">
      <c r="A509" t="s">
        <v>79</v>
      </c>
      <c r="B509">
        <v>2</v>
      </c>
      <c r="C509">
        <v>3</v>
      </c>
      <c r="D509">
        <v>4</v>
      </c>
      <c r="E509">
        <v>3</v>
      </c>
      <c r="G509">
        <v>234</v>
      </c>
      <c r="H509" t="s">
        <v>63</v>
      </c>
      <c r="I509" t="s">
        <v>95</v>
      </c>
      <c r="J509" t="s">
        <v>143</v>
      </c>
      <c r="L509">
        <v>0</v>
      </c>
      <c r="M509" t="s">
        <v>125</v>
      </c>
      <c r="O509" t="s">
        <v>125</v>
      </c>
      <c r="P509" t="s">
        <v>125</v>
      </c>
      <c r="Q509" t="s">
        <v>125</v>
      </c>
      <c r="R509" t="s">
        <v>125</v>
      </c>
      <c r="S509" t="s">
        <v>125</v>
      </c>
      <c r="T509">
        <v>0</v>
      </c>
      <c r="V509" t="s">
        <v>125</v>
      </c>
      <c r="AE509" t="s">
        <v>125</v>
      </c>
      <c r="AF509">
        <v>0</v>
      </c>
      <c r="AG509" t="s">
        <v>125</v>
      </c>
      <c r="AH509">
        <v>0</v>
      </c>
      <c r="AK509">
        <v>0</v>
      </c>
    </row>
    <row r="510" spans="1:37" x14ac:dyDescent="0.25">
      <c r="A510" t="s">
        <v>79</v>
      </c>
      <c r="B510">
        <v>2</v>
      </c>
      <c r="C510">
        <v>3</v>
      </c>
      <c r="D510">
        <v>4</v>
      </c>
      <c r="E510">
        <v>4</v>
      </c>
      <c r="G510">
        <v>234</v>
      </c>
      <c r="H510" t="s">
        <v>63</v>
      </c>
      <c r="I510" t="s">
        <v>102</v>
      </c>
      <c r="J510" t="s">
        <v>144</v>
      </c>
      <c r="L510">
        <v>0</v>
      </c>
      <c r="M510" t="s">
        <v>125</v>
      </c>
      <c r="O510" t="s">
        <v>125</v>
      </c>
      <c r="P510" t="s">
        <v>125</v>
      </c>
      <c r="Q510" t="s">
        <v>125</v>
      </c>
      <c r="R510" t="s">
        <v>125</v>
      </c>
      <c r="S510" t="s">
        <v>125</v>
      </c>
      <c r="T510">
        <v>0</v>
      </c>
      <c r="V510" t="s">
        <v>125</v>
      </c>
      <c r="AE510" t="s">
        <v>125</v>
      </c>
      <c r="AF510">
        <v>0</v>
      </c>
      <c r="AG510" t="s">
        <v>125</v>
      </c>
      <c r="AH510">
        <v>0</v>
      </c>
      <c r="AK510">
        <v>0</v>
      </c>
    </row>
    <row r="511" spans="1:37" x14ac:dyDescent="0.25">
      <c r="A511" t="s">
        <v>79</v>
      </c>
      <c r="B511">
        <v>2</v>
      </c>
      <c r="C511">
        <v>3</v>
      </c>
      <c r="D511">
        <v>4</v>
      </c>
      <c r="E511">
        <v>5</v>
      </c>
      <c r="G511">
        <v>234</v>
      </c>
      <c r="H511" t="s">
        <v>63</v>
      </c>
      <c r="I511" t="s">
        <v>109</v>
      </c>
      <c r="J511" t="s">
        <v>145</v>
      </c>
      <c r="L511">
        <v>0</v>
      </c>
      <c r="M511" t="s">
        <v>125</v>
      </c>
      <c r="O511" t="s">
        <v>125</v>
      </c>
      <c r="P511" t="s">
        <v>125</v>
      </c>
      <c r="Q511" t="s">
        <v>125</v>
      </c>
      <c r="R511" t="s">
        <v>125</v>
      </c>
      <c r="S511" t="s">
        <v>125</v>
      </c>
      <c r="T511">
        <v>0</v>
      </c>
      <c r="V511" t="s">
        <v>125</v>
      </c>
      <c r="AE511" t="s">
        <v>125</v>
      </c>
      <c r="AF511">
        <v>0</v>
      </c>
      <c r="AG511" t="s">
        <v>125</v>
      </c>
      <c r="AH511">
        <v>0</v>
      </c>
      <c r="AK511">
        <v>0</v>
      </c>
    </row>
    <row r="512" spans="1:37" x14ac:dyDescent="0.25">
      <c r="A512" t="s">
        <v>79</v>
      </c>
      <c r="B512">
        <v>2</v>
      </c>
      <c r="C512">
        <v>3</v>
      </c>
      <c r="D512">
        <v>4</v>
      </c>
      <c r="E512">
        <v>6</v>
      </c>
      <c r="G512">
        <v>234</v>
      </c>
      <c r="H512" t="s">
        <v>63</v>
      </c>
      <c r="I512" t="s">
        <v>116</v>
      </c>
      <c r="J512" t="s">
        <v>146</v>
      </c>
      <c r="L512">
        <v>0</v>
      </c>
      <c r="M512" t="s">
        <v>125</v>
      </c>
      <c r="O512" t="s">
        <v>125</v>
      </c>
      <c r="P512" t="s">
        <v>125</v>
      </c>
      <c r="Q512" t="s">
        <v>125</v>
      </c>
      <c r="R512" t="s">
        <v>125</v>
      </c>
      <c r="S512" t="s">
        <v>125</v>
      </c>
      <c r="T512">
        <v>0</v>
      </c>
      <c r="V512" t="s">
        <v>125</v>
      </c>
      <c r="AE512" t="s">
        <v>125</v>
      </c>
      <c r="AF512">
        <v>0</v>
      </c>
      <c r="AG512" t="s">
        <v>125</v>
      </c>
      <c r="AH512">
        <v>0</v>
      </c>
      <c r="AK512">
        <v>0</v>
      </c>
    </row>
    <row r="513" spans="1:37" x14ac:dyDescent="0.25">
      <c r="A513" t="s">
        <v>79</v>
      </c>
      <c r="B513">
        <v>2</v>
      </c>
      <c r="C513">
        <v>3</v>
      </c>
      <c r="D513">
        <v>4</v>
      </c>
      <c r="E513">
        <v>7</v>
      </c>
      <c r="G513">
        <v>234</v>
      </c>
      <c r="H513" t="s">
        <v>63</v>
      </c>
      <c r="I513" t="s">
        <v>123</v>
      </c>
      <c r="J513" t="s">
        <v>147</v>
      </c>
      <c r="L513">
        <v>0</v>
      </c>
      <c r="M513" t="s">
        <v>125</v>
      </c>
      <c r="O513" t="s">
        <v>125</v>
      </c>
      <c r="P513" t="s">
        <v>125</v>
      </c>
      <c r="Q513" t="s">
        <v>125</v>
      </c>
      <c r="R513" t="s">
        <v>125</v>
      </c>
      <c r="S513" t="s">
        <v>125</v>
      </c>
      <c r="T513">
        <v>0</v>
      </c>
      <c r="V513" t="s">
        <v>125</v>
      </c>
      <c r="AE513" t="s">
        <v>125</v>
      </c>
      <c r="AF513">
        <v>0</v>
      </c>
      <c r="AG513" t="s">
        <v>125</v>
      </c>
      <c r="AH513">
        <v>0</v>
      </c>
      <c r="AK513">
        <v>0</v>
      </c>
    </row>
    <row r="514" spans="1:37" x14ac:dyDescent="0.25">
      <c r="A514" t="s">
        <v>79</v>
      </c>
      <c r="B514">
        <v>2</v>
      </c>
      <c r="C514">
        <v>3</v>
      </c>
      <c r="D514">
        <v>4</v>
      </c>
      <c r="E514">
        <v>8</v>
      </c>
      <c r="G514">
        <v>234</v>
      </c>
      <c r="H514" t="s">
        <v>63</v>
      </c>
      <c r="I514" t="s">
        <v>126</v>
      </c>
      <c r="J514" t="s">
        <v>148</v>
      </c>
      <c r="L514">
        <v>0</v>
      </c>
      <c r="M514" t="s">
        <v>125</v>
      </c>
      <c r="O514" t="s">
        <v>125</v>
      </c>
      <c r="P514" t="s">
        <v>125</v>
      </c>
      <c r="Q514" t="s">
        <v>125</v>
      </c>
      <c r="R514" t="s">
        <v>125</v>
      </c>
      <c r="S514" t="s">
        <v>125</v>
      </c>
      <c r="T514">
        <v>0</v>
      </c>
      <c r="V514" t="s">
        <v>125</v>
      </c>
      <c r="AE514" t="s">
        <v>125</v>
      </c>
      <c r="AF514">
        <v>0</v>
      </c>
      <c r="AG514" t="s">
        <v>125</v>
      </c>
      <c r="AH514">
        <v>0</v>
      </c>
      <c r="AK514">
        <v>0</v>
      </c>
    </row>
    <row r="515" spans="1:37" x14ac:dyDescent="0.25">
      <c r="A515" t="s">
        <v>79</v>
      </c>
      <c r="B515">
        <v>2</v>
      </c>
      <c r="C515">
        <v>3</v>
      </c>
      <c r="D515">
        <v>4</v>
      </c>
      <c r="E515">
        <v>9</v>
      </c>
      <c r="G515">
        <v>234</v>
      </c>
      <c r="H515" t="s">
        <v>63</v>
      </c>
      <c r="I515" t="s">
        <v>74</v>
      </c>
      <c r="J515" t="s">
        <v>149</v>
      </c>
      <c r="L515">
        <v>0</v>
      </c>
      <c r="M515" t="s">
        <v>125</v>
      </c>
      <c r="O515" t="s">
        <v>125</v>
      </c>
      <c r="P515" t="s">
        <v>125</v>
      </c>
      <c r="Q515" t="s">
        <v>125</v>
      </c>
      <c r="R515" t="s">
        <v>125</v>
      </c>
      <c r="S515" t="s">
        <v>125</v>
      </c>
      <c r="T515">
        <v>0</v>
      </c>
      <c r="V515" t="s">
        <v>125</v>
      </c>
      <c r="AE515" t="s">
        <v>125</v>
      </c>
      <c r="AF515">
        <v>0</v>
      </c>
      <c r="AG515" t="s">
        <v>125</v>
      </c>
      <c r="AH515">
        <v>0</v>
      </c>
      <c r="AK515">
        <v>0</v>
      </c>
    </row>
    <row r="516" spans="1:37" x14ac:dyDescent="0.25">
      <c r="A516" t="s">
        <v>79</v>
      </c>
      <c r="B516">
        <v>2</v>
      </c>
      <c r="C516">
        <v>3</v>
      </c>
      <c r="D516">
        <v>4</v>
      </c>
      <c r="E516">
        <v>10</v>
      </c>
      <c r="G516">
        <v>234</v>
      </c>
      <c r="H516" t="s">
        <v>63</v>
      </c>
      <c r="I516" t="s">
        <v>129</v>
      </c>
      <c r="J516" t="s">
        <v>150</v>
      </c>
      <c r="L516">
        <v>0</v>
      </c>
      <c r="M516" t="s">
        <v>125</v>
      </c>
      <c r="O516" t="s">
        <v>125</v>
      </c>
      <c r="P516" t="s">
        <v>125</v>
      </c>
      <c r="Q516" t="s">
        <v>125</v>
      </c>
      <c r="R516" t="s">
        <v>125</v>
      </c>
      <c r="S516" t="s">
        <v>125</v>
      </c>
      <c r="T516">
        <v>0</v>
      </c>
      <c r="V516" t="s">
        <v>125</v>
      </c>
      <c r="AE516" t="s">
        <v>125</v>
      </c>
      <c r="AF516">
        <v>0</v>
      </c>
      <c r="AG516" t="s">
        <v>125</v>
      </c>
      <c r="AH516">
        <v>0</v>
      </c>
      <c r="AK516">
        <v>0</v>
      </c>
    </row>
    <row r="517" spans="1:37" x14ac:dyDescent="0.25">
      <c r="A517" t="s">
        <v>79</v>
      </c>
      <c r="B517">
        <v>2</v>
      </c>
      <c r="C517">
        <v>3</v>
      </c>
      <c r="D517">
        <v>4</v>
      </c>
      <c r="E517">
        <v>11</v>
      </c>
      <c r="G517">
        <v>234</v>
      </c>
      <c r="H517" t="s">
        <v>63</v>
      </c>
      <c r="I517" t="s">
        <v>131</v>
      </c>
      <c r="J517" t="s">
        <v>151</v>
      </c>
      <c r="L517">
        <v>0</v>
      </c>
      <c r="M517" t="s">
        <v>125</v>
      </c>
      <c r="O517" t="s">
        <v>125</v>
      </c>
      <c r="P517" t="s">
        <v>125</v>
      </c>
      <c r="Q517" t="s">
        <v>125</v>
      </c>
      <c r="R517" t="s">
        <v>125</v>
      </c>
      <c r="S517" t="s">
        <v>125</v>
      </c>
      <c r="T517">
        <v>0</v>
      </c>
      <c r="V517" t="s">
        <v>125</v>
      </c>
      <c r="AE517" t="s">
        <v>125</v>
      </c>
      <c r="AF517">
        <v>0</v>
      </c>
      <c r="AG517" t="s">
        <v>125</v>
      </c>
      <c r="AH517">
        <v>0</v>
      </c>
      <c r="AK517">
        <v>0</v>
      </c>
    </row>
    <row r="518" spans="1:37" x14ac:dyDescent="0.25">
      <c r="A518" t="s">
        <v>79</v>
      </c>
      <c r="B518">
        <v>2</v>
      </c>
      <c r="C518">
        <v>3</v>
      </c>
      <c r="D518">
        <v>4</v>
      </c>
      <c r="E518">
        <v>12</v>
      </c>
      <c r="G518">
        <v>234</v>
      </c>
      <c r="H518" t="s">
        <v>63</v>
      </c>
      <c r="I518" t="s">
        <v>133</v>
      </c>
      <c r="J518" t="s">
        <v>152</v>
      </c>
      <c r="L518">
        <v>0</v>
      </c>
      <c r="M518" t="s">
        <v>125</v>
      </c>
      <c r="O518" t="s">
        <v>125</v>
      </c>
      <c r="P518" t="s">
        <v>125</v>
      </c>
      <c r="Q518" t="s">
        <v>125</v>
      </c>
      <c r="R518" t="s">
        <v>125</v>
      </c>
      <c r="S518" t="s">
        <v>125</v>
      </c>
      <c r="T518">
        <v>0</v>
      </c>
      <c r="V518" t="s">
        <v>125</v>
      </c>
      <c r="AE518" t="s">
        <v>125</v>
      </c>
      <c r="AF518">
        <v>0</v>
      </c>
      <c r="AG518" t="s">
        <v>125</v>
      </c>
      <c r="AH518">
        <v>0</v>
      </c>
      <c r="AK518">
        <v>0</v>
      </c>
    </row>
    <row r="519" spans="1:37" x14ac:dyDescent="0.25">
      <c r="A519" t="s">
        <v>79</v>
      </c>
      <c r="B519">
        <v>2</v>
      </c>
      <c r="C519">
        <v>3</v>
      </c>
      <c r="D519">
        <v>4</v>
      </c>
      <c r="E519">
        <v>13</v>
      </c>
      <c r="G519">
        <v>234</v>
      </c>
      <c r="H519" t="s">
        <v>63</v>
      </c>
      <c r="I519" t="s">
        <v>135</v>
      </c>
      <c r="J519" t="s">
        <v>153</v>
      </c>
      <c r="L519">
        <v>0</v>
      </c>
      <c r="M519" t="s">
        <v>125</v>
      </c>
      <c r="O519" t="s">
        <v>125</v>
      </c>
      <c r="P519" t="s">
        <v>125</v>
      </c>
      <c r="Q519" t="s">
        <v>125</v>
      </c>
      <c r="R519" t="s">
        <v>125</v>
      </c>
      <c r="S519" t="s">
        <v>125</v>
      </c>
      <c r="T519">
        <v>0</v>
      </c>
      <c r="V519" t="s">
        <v>125</v>
      </c>
      <c r="AE519" t="s">
        <v>125</v>
      </c>
      <c r="AF519">
        <v>0</v>
      </c>
      <c r="AG519" t="s">
        <v>125</v>
      </c>
      <c r="AH519">
        <v>0</v>
      </c>
      <c r="AK519">
        <v>0</v>
      </c>
    </row>
    <row r="520" spans="1:37" x14ac:dyDescent="0.25">
      <c r="A520" t="s">
        <v>79</v>
      </c>
      <c r="B520">
        <v>2</v>
      </c>
      <c r="C520">
        <v>3</v>
      </c>
      <c r="D520">
        <v>4</v>
      </c>
      <c r="E520">
        <v>14</v>
      </c>
      <c r="G520">
        <v>234</v>
      </c>
      <c r="H520" t="s">
        <v>63</v>
      </c>
      <c r="I520" t="s">
        <v>137</v>
      </c>
      <c r="J520" t="s">
        <v>154</v>
      </c>
      <c r="L520">
        <v>0</v>
      </c>
      <c r="M520" t="s">
        <v>125</v>
      </c>
      <c r="O520" t="s">
        <v>125</v>
      </c>
      <c r="P520" t="s">
        <v>125</v>
      </c>
      <c r="Q520" t="s">
        <v>125</v>
      </c>
      <c r="R520" t="s">
        <v>125</v>
      </c>
      <c r="S520" t="s">
        <v>125</v>
      </c>
      <c r="T520">
        <v>0</v>
      </c>
      <c r="V520" t="s">
        <v>125</v>
      </c>
      <c r="AE520" t="s">
        <v>125</v>
      </c>
      <c r="AF520">
        <v>0</v>
      </c>
      <c r="AG520" t="s">
        <v>125</v>
      </c>
      <c r="AH520">
        <v>0</v>
      </c>
      <c r="AK520">
        <v>0</v>
      </c>
    </row>
    <row r="521" spans="1:37" x14ac:dyDescent="0.25">
      <c r="A521" t="s">
        <v>79</v>
      </c>
      <c r="B521">
        <v>2</v>
      </c>
      <c r="C521">
        <v>3</v>
      </c>
      <c r="D521">
        <v>4</v>
      </c>
      <c r="E521">
        <v>15</v>
      </c>
      <c r="G521">
        <v>234</v>
      </c>
      <c r="H521" t="s">
        <v>63</v>
      </c>
      <c r="I521" t="s">
        <v>139</v>
      </c>
      <c r="J521" t="s">
        <v>155</v>
      </c>
      <c r="L521">
        <v>0</v>
      </c>
      <c r="M521" t="s">
        <v>125</v>
      </c>
      <c r="O521" t="s">
        <v>125</v>
      </c>
      <c r="P521" t="s">
        <v>125</v>
      </c>
      <c r="Q521" t="s">
        <v>125</v>
      </c>
      <c r="R521" t="s">
        <v>125</v>
      </c>
      <c r="S521" t="s">
        <v>125</v>
      </c>
      <c r="T521">
        <v>0</v>
      </c>
      <c r="V521" t="s">
        <v>125</v>
      </c>
      <c r="AE521" t="s">
        <v>125</v>
      </c>
      <c r="AF521">
        <v>0</v>
      </c>
      <c r="AG521" t="s">
        <v>125</v>
      </c>
      <c r="AH521">
        <v>0</v>
      </c>
      <c r="AK521">
        <v>0</v>
      </c>
    </row>
    <row r="522" spans="1:37" x14ac:dyDescent="0.25">
      <c r="L522">
        <v>0</v>
      </c>
    </row>
    <row r="523" spans="1:37" x14ac:dyDescent="0.25">
      <c r="A523" t="s">
        <v>70</v>
      </c>
      <c r="B523">
        <v>2</v>
      </c>
      <c r="C523">
        <v>3</v>
      </c>
      <c r="D523">
        <v>5</v>
      </c>
      <c r="G523">
        <v>23</v>
      </c>
      <c r="L523">
        <v>0</v>
      </c>
      <c r="M523" t="s">
        <v>125</v>
      </c>
      <c r="P523" t="s">
        <v>125</v>
      </c>
      <c r="R523" t="s">
        <v>125</v>
      </c>
      <c r="S523" t="s">
        <v>63</v>
      </c>
      <c r="V523" t="s">
        <v>125</v>
      </c>
      <c r="X523" t="s">
        <v>125</v>
      </c>
      <c r="Y523" t="s">
        <v>125</v>
      </c>
      <c r="Z523" t="s">
        <v>125</v>
      </c>
      <c r="AA523" t="s">
        <v>125</v>
      </c>
      <c r="AB523" t="s">
        <v>125</v>
      </c>
      <c r="AC523" t="s">
        <v>125</v>
      </c>
      <c r="AE523" t="s">
        <v>125</v>
      </c>
      <c r="AF523">
        <v>0</v>
      </c>
      <c r="AG523" t="s">
        <v>125</v>
      </c>
      <c r="AH523">
        <v>0</v>
      </c>
      <c r="AK523">
        <v>0</v>
      </c>
    </row>
    <row r="524" spans="1:37" x14ac:dyDescent="0.25">
      <c r="A524" t="s">
        <v>79</v>
      </c>
      <c r="B524">
        <v>2</v>
      </c>
      <c r="C524">
        <v>3</v>
      </c>
      <c r="D524">
        <v>5</v>
      </c>
      <c r="E524">
        <v>1</v>
      </c>
      <c r="G524">
        <v>235</v>
      </c>
      <c r="H524" t="s">
        <v>63</v>
      </c>
      <c r="I524" t="s">
        <v>80</v>
      </c>
      <c r="J524" t="s">
        <v>141</v>
      </c>
      <c r="L524">
        <v>0</v>
      </c>
      <c r="M524" t="s">
        <v>125</v>
      </c>
      <c r="O524" t="s">
        <v>125</v>
      </c>
      <c r="P524" t="s">
        <v>125</v>
      </c>
      <c r="Q524" t="s">
        <v>125</v>
      </c>
      <c r="R524" t="s">
        <v>125</v>
      </c>
      <c r="S524" t="s">
        <v>125</v>
      </c>
      <c r="T524">
        <v>0</v>
      </c>
      <c r="V524" t="s">
        <v>125</v>
      </c>
      <c r="AE524" t="s">
        <v>125</v>
      </c>
      <c r="AF524">
        <v>0</v>
      </c>
      <c r="AG524" t="s">
        <v>125</v>
      </c>
      <c r="AH524">
        <v>0</v>
      </c>
      <c r="AK524">
        <v>0</v>
      </c>
    </row>
    <row r="525" spans="1:37" x14ac:dyDescent="0.25">
      <c r="A525" t="s">
        <v>79</v>
      </c>
      <c r="B525">
        <v>2</v>
      </c>
      <c r="C525">
        <v>3</v>
      </c>
      <c r="D525">
        <v>5</v>
      </c>
      <c r="E525">
        <v>2</v>
      </c>
      <c r="G525">
        <v>235</v>
      </c>
      <c r="H525" t="s">
        <v>63</v>
      </c>
      <c r="I525" t="s">
        <v>88</v>
      </c>
      <c r="J525" t="s">
        <v>142</v>
      </c>
      <c r="L525">
        <v>0</v>
      </c>
      <c r="M525" t="s">
        <v>125</v>
      </c>
      <c r="O525" t="s">
        <v>125</v>
      </c>
      <c r="P525" t="s">
        <v>125</v>
      </c>
      <c r="Q525" t="s">
        <v>125</v>
      </c>
      <c r="R525" t="s">
        <v>125</v>
      </c>
      <c r="S525" t="s">
        <v>125</v>
      </c>
      <c r="T525">
        <v>0</v>
      </c>
      <c r="V525" t="s">
        <v>125</v>
      </c>
      <c r="AE525" t="s">
        <v>125</v>
      </c>
      <c r="AF525">
        <v>0</v>
      </c>
      <c r="AG525" t="s">
        <v>125</v>
      </c>
      <c r="AH525">
        <v>0</v>
      </c>
      <c r="AK525">
        <v>0</v>
      </c>
    </row>
    <row r="526" spans="1:37" x14ac:dyDescent="0.25">
      <c r="A526" t="s">
        <v>79</v>
      </c>
      <c r="B526">
        <v>2</v>
      </c>
      <c r="C526">
        <v>3</v>
      </c>
      <c r="D526">
        <v>5</v>
      </c>
      <c r="E526">
        <v>3</v>
      </c>
      <c r="G526">
        <v>235</v>
      </c>
      <c r="H526" t="s">
        <v>63</v>
      </c>
      <c r="I526" t="s">
        <v>95</v>
      </c>
      <c r="J526" t="s">
        <v>143</v>
      </c>
      <c r="L526">
        <v>0</v>
      </c>
      <c r="M526" t="s">
        <v>125</v>
      </c>
      <c r="O526" t="s">
        <v>125</v>
      </c>
      <c r="P526" t="s">
        <v>125</v>
      </c>
      <c r="Q526" t="s">
        <v>125</v>
      </c>
      <c r="R526" t="s">
        <v>125</v>
      </c>
      <c r="S526" t="s">
        <v>125</v>
      </c>
      <c r="T526">
        <v>0</v>
      </c>
      <c r="V526" t="s">
        <v>125</v>
      </c>
      <c r="AE526" t="s">
        <v>125</v>
      </c>
      <c r="AF526">
        <v>0</v>
      </c>
      <c r="AG526" t="s">
        <v>125</v>
      </c>
      <c r="AH526">
        <v>0</v>
      </c>
      <c r="AK526">
        <v>0</v>
      </c>
    </row>
    <row r="527" spans="1:37" x14ac:dyDescent="0.25">
      <c r="A527" t="s">
        <v>79</v>
      </c>
      <c r="B527">
        <v>2</v>
      </c>
      <c r="C527">
        <v>3</v>
      </c>
      <c r="D527">
        <v>5</v>
      </c>
      <c r="E527">
        <v>4</v>
      </c>
      <c r="G527">
        <v>235</v>
      </c>
      <c r="H527" t="s">
        <v>63</v>
      </c>
      <c r="I527" t="s">
        <v>102</v>
      </c>
      <c r="J527" t="s">
        <v>144</v>
      </c>
      <c r="L527">
        <v>0</v>
      </c>
      <c r="M527" t="s">
        <v>125</v>
      </c>
      <c r="O527" t="s">
        <v>125</v>
      </c>
      <c r="P527" t="s">
        <v>125</v>
      </c>
      <c r="Q527" t="s">
        <v>125</v>
      </c>
      <c r="R527" t="s">
        <v>125</v>
      </c>
      <c r="S527" t="s">
        <v>125</v>
      </c>
      <c r="T527">
        <v>0</v>
      </c>
      <c r="V527" t="s">
        <v>125</v>
      </c>
      <c r="AE527" t="s">
        <v>125</v>
      </c>
      <c r="AF527">
        <v>0</v>
      </c>
      <c r="AG527" t="s">
        <v>125</v>
      </c>
      <c r="AH527">
        <v>0</v>
      </c>
      <c r="AK527">
        <v>0</v>
      </c>
    </row>
    <row r="528" spans="1:37" x14ac:dyDescent="0.25">
      <c r="A528" t="s">
        <v>79</v>
      </c>
      <c r="B528">
        <v>2</v>
      </c>
      <c r="C528">
        <v>3</v>
      </c>
      <c r="D528">
        <v>5</v>
      </c>
      <c r="E528">
        <v>5</v>
      </c>
      <c r="G528">
        <v>235</v>
      </c>
      <c r="H528" t="s">
        <v>63</v>
      </c>
      <c r="I528" t="s">
        <v>109</v>
      </c>
      <c r="J528" t="s">
        <v>145</v>
      </c>
      <c r="L528">
        <v>0</v>
      </c>
      <c r="M528" t="s">
        <v>125</v>
      </c>
      <c r="O528" t="s">
        <v>125</v>
      </c>
      <c r="P528" t="s">
        <v>125</v>
      </c>
      <c r="Q528" t="s">
        <v>125</v>
      </c>
      <c r="R528" t="s">
        <v>125</v>
      </c>
      <c r="S528" t="s">
        <v>125</v>
      </c>
      <c r="T528">
        <v>0</v>
      </c>
      <c r="V528" t="s">
        <v>125</v>
      </c>
      <c r="AE528" t="s">
        <v>125</v>
      </c>
      <c r="AF528">
        <v>0</v>
      </c>
      <c r="AG528" t="s">
        <v>125</v>
      </c>
      <c r="AH528">
        <v>0</v>
      </c>
      <c r="AK528">
        <v>0</v>
      </c>
    </row>
    <row r="529" spans="1:37" x14ac:dyDescent="0.25">
      <c r="A529" t="s">
        <v>79</v>
      </c>
      <c r="B529">
        <v>2</v>
      </c>
      <c r="C529">
        <v>3</v>
      </c>
      <c r="D529">
        <v>5</v>
      </c>
      <c r="E529">
        <v>6</v>
      </c>
      <c r="G529">
        <v>235</v>
      </c>
      <c r="H529" t="s">
        <v>63</v>
      </c>
      <c r="I529" t="s">
        <v>116</v>
      </c>
      <c r="J529" t="s">
        <v>146</v>
      </c>
      <c r="L529">
        <v>0</v>
      </c>
      <c r="M529" t="s">
        <v>125</v>
      </c>
      <c r="O529" t="s">
        <v>125</v>
      </c>
      <c r="P529" t="s">
        <v>125</v>
      </c>
      <c r="Q529" t="s">
        <v>125</v>
      </c>
      <c r="R529" t="s">
        <v>125</v>
      </c>
      <c r="S529" t="s">
        <v>125</v>
      </c>
      <c r="T529">
        <v>0</v>
      </c>
      <c r="V529" t="s">
        <v>125</v>
      </c>
      <c r="AE529" t="s">
        <v>125</v>
      </c>
      <c r="AF529">
        <v>0</v>
      </c>
      <c r="AG529" t="s">
        <v>125</v>
      </c>
      <c r="AH529">
        <v>0</v>
      </c>
      <c r="AK529">
        <v>0</v>
      </c>
    </row>
    <row r="530" spans="1:37" x14ac:dyDescent="0.25">
      <c r="A530" t="s">
        <v>79</v>
      </c>
      <c r="B530">
        <v>2</v>
      </c>
      <c r="C530">
        <v>3</v>
      </c>
      <c r="D530">
        <v>5</v>
      </c>
      <c r="E530">
        <v>7</v>
      </c>
      <c r="G530">
        <v>235</v>
      </c>
      <c r="H530" t="s">
        <v>63</v>
      </c>
      <c r="I530" t="s">
        <v>123</v>
      </c>
      <c r="J530" t="s">
        <v>147</v>
      </c>
      <c r="L530">
        <v>0</v>
      </c>
      <c r="M530" t="s">
        <v>125</v>
      </c>
      <c r="O530" t="s">
        <v>125</v>
      </c>
      <c r="P530" t="s">
        <v>125</v>
      </c>
      <c r="Q530" t="s">
        <v>125</v>
      </c>
      <c r="R530" t="s">
        <v>125</v>
      </c>
      <c r="S530" t="s">
        <v>125</v>
      </c>
      <c r="T530">
        <v>0</v>
      </c>
      <c r="V530" t="s">
        <v>125</v>
      </c>
      <c r="AE530" t="s">
        <v>125</v>
      </c>
      <c r="AF530">
        <v>0</v>
      </c>
      <c r="AG530" t="s">
        <v>125</v>
      </c>
      <c r="AH530">
        <v>0</v>
      </c>
      <c r="AK530">
        <v>0</v>
      </c>
    </row>
    <row r="531" spans="1:37" x14ac:dyDescent="0.25">
      <c r="A531" t="s">
        <v>79</v>
      </c>
      <c r="B531">
        <v>2</v>
      </c>
      <c r="C531">
        <v>3</v>
      </c>
      <c r="D531">
        <v>5</v>
      </c>
      <c r="E531">
        <v>8</v>
      </c>
      <c r="G531">
        <v>235</v>
      </c>
      <c r="H531" t="s">
        <v>63</v>
      </c>
      <c r="I531" t="s">
        <v>126</v>
      </c>
      <c r="J531" t="s">
        <v>148</v>
      </c>
      <c r="L531">
        <v>0</v>
      </c>
      <c r="M531" t="s">
        <v>125</v>
      </c>
      <c r="O531" t="s">
        <v>125</v>
      </c>
      <c r="P531" t="s">
        <v>125</v>
      </c>
      <c r="Q531" t="s">
        <v>125</v>
      </c>
      <c r="R531" t="s">
        <v>125</v>
      </c>
      <c r="S531" t="s">
        <v>125</v>
      </c>
      <c r="T531">
        <v>0</v>
      </c>
      <c r="V531" t="s">
        <v>125</v>
      </c>
      <c r="AE531" t="s">
        <v>125</v>
      </c>
      <c r="AF531">
        <v>0</v>
      </c>
      <c r="AG531" t="s">
        <v>125</v>
      </c>
      <c r="AH531">
        <v>0</v>
      </c>
      <c r="AK531">
        <v>0</v>
      </c>
    </row>
    <row r="532" spans="1:37" x14ac:dyDescent="0.25">
      <c r="A532" t="s">
        <v>79</v>
      </c>
      <c r="B532">
        <v>2</v>
      </c>
      <c r="C532">
        <v>3</v>
      </c>
      <c r="D532">
        <v>5</v>
      </c>
      <c r="E532">
        <v>9</v>
      </c>
      <c r="G532">
        <v>235</v>
      </c>
      <c r="H532" t="s">
        <v>63</v>
      </c>
      <c r="I532" t="s">
        <v>74</v>
      </c>
      <c r="J532" t="s">
        <v>149</v>
      </c>
      <c r="L532">
        <v>0</v>
      </c>
      <c r="M532" t="s">
        <v>125</v>
      </c>
      <c r="O532" t="s">
        <v>125</v>
      </c>
      <c r="P532" t="s">
        <v>125</v>
      </c>
      <c r="Q532" t="s">
        <v>125</v>
      </c>
      <c r="R532" t="s">
        <v>125</v>
      </c>
      <c r="S532" t="s">
        <v>125</v>
      </c>
      <c r="T532">
        <v>0</v>
      </c>
      <c r="V532" t="s">
        <v>125</v>
      </c>
      <c r="AE532" t="s">
        <v>125</v>
      </c>
      <c r="AF532">
        <v>0</v>
      </c>
      <c r="AG532" t="s">
        <v>125</v>
      </c>
      <c r="AH532">
        <v>0</v>
      </c>
      <c r="AK532">
        <v>0</v>
      </c>
    </row>
    <row r="533" spans="1:37" x14ac:dyDescent="0.25">
      <c r="A533" t="s">
        <v>79</v>
      </c>
      <c r="B533">
        <v>2</v>
      </c>
      <c r="C533">
        <v>3</v>
      </c>
      <c r="D533">
        <v>5</v>
      </c>
      <c r="E533">
        <v>10</v>
      </c>
      <c r="G533">
        <v>235</v>
      </c>
      <c r="H533" t="s">
        <v>63</v>
      </c>
      <c r="I533" t="s">
        <v>129</v>
      </c>
      <c r="J533" t="s">
        <v>150</v>
      </c>
      <c r="L533">
        <v>0</v>
      </c>
      <c r="M533" t="s">
        <v>125</v>
      </c>
      <c r="O533" t="s">
        <v>125</v>
      </c>
      <c r="P533" t="s">
        <v>125</v>
      </c>
      <c r="Q533" t="s">
        <v>125</v>
      </c>
      <c r="R533" t="s">
        <v>125</v>
      </c>
      <c r="S533" t="s">
        <v>125</v>
      </c>
      <c r="T533">
        <v>0</v>
      </c>
      <c r="V533" t="s">
        <v>125</v>
      </c>
      <c r="AE533" t="s">
        <v>125</v>
      </c>
      <c r="AF533">
        <v>0</v>
      </c>
      <c r="AG533" t="s">
        <v>125</v>
      </c>
      <c r="AH533">
        <v>0</v>
      </c>
      <c r="AK533">
        <v>0</v>
      </c>
    </row>
    <row r="534" spans="1:37" x14ac:dyDescent="0.25">
      <c r="A534" t="s">
        <v>79</v>
      </c>
      <c r="B534">
        <v>2</v>
      </c>
      <c r="C534">
        <v>3</v>
      </c>
      <c r="D534">
        <v>5</v>
      </c>
      <c r="E534">
        <v>11</v>
      </c>
      <c r="G534">
        <v>235</v>
      </c>
      <c r="H534" t="s">
        <v>63</v>
      </c>
      <c r="I534" t="s">
        <v>131</v>
      </c>
      <c r="J534" t="s">
        <v>151</v>
      </c>
      <c r="L534">
        <v>0</v>
      </c>
      <c r="M534" t="s">
        <v>125</v>
      </c>
      <c r="O534" t="s">
        <v>125</v>
      </c>
      <c r="P534" t="s">
        <v>125</v>
      </c>
      <c r="Q534" t="s">
        <v>125</v>
      </c>
      <c r="R534" t="s">
        <v>125</v>
      </c>
      <c r="S534" t="s">
        <v>125</v>
      </c>
      <c r="T534">
        <v>0</v>
      </c>
      <c r="V534" t="s">
        <v>125</v>
      </c>
      <c r="AE534" t="s">
        <v>125</v>
      </c>
      <c r="AF534">
        <v>0</v>
      </c>
      <c r="AG534" t="s">
        <v>125</v>
      </c>
      <c r="AH534">
        <v>0</v>
      </c>
      <c r="AK534">
        <v>0</v>
      </c>
    </row>
    <row r="535" spans="1:37" x14ac:dyDescent="0.25">
      <c r="A535" t="s">
        <v>79</v>
      </c>
      <c r="B535">
        <v>2</v>
      </c>
      <c r="C535">
        <v>3</v>
      </c>
      <c r="D535">
        <v>5</v>
      </c>
      <c r="E535">
        <v>12</v>
      </c>
      <c r="G535">
        <v>235</v>
      </c>
      <c r="H535" t="s">
        <v>63</v>
      </c>
      <c r="I535" t="s">
        <v>133</v>
      </c>
      <c r="J535" t="s">
        <v>152</v>
      </c>
      <c r="L535">
        <v>0</v>
      </c>
      <c r="M535" t="s">
        <v>125</v>
      </c>
      <c r="O535" t="s">
        <v>125</v>
      </c>
      <c r="P535" t="s">
        <v>125</v>
      </c>
      <c r="Q535" t="s">
        <v>125</v>
      </c>
      <c r="R535" t="s">
        <v>125</v>
      </c>
      <c r="S535" t="s">
        <v>125</v>
      </c>
      <c r="T535">
        <v>0</v>
      </c>
      <c r="V535" t="s">
        <v>125</v>
      </c>
      <c r="AE535" t="s">
        <v>125</v>
      </c>
      <c r="AF535">
        <v>0</v>
      </c>
      <c r="AG535" t="s">
        <v>125</v>
      </c>
      <c r="AH535">
        <v>0</v>
      </c>
      <c r="AK535">
        <v>0</v>
      </c>
    </row>
    <row r="536" spans="1:37" x14ac:dyDescent="0.25">
      <c r="A536" t="s">
        <v>79</v>
      </c>
      <c r="B536">
        <v>2</v>
      </c>
      <c r="C536">
        <v>3</v>
      </c>
      <c r="D536">
        <v>5</v>
      </c>
      <c r="E536">
        <v>13</v>
      </c>
      <c r="G536">
        <v>235</v>
      </c>
      <c r="H536" t="s">
        <v>63</v>
      </c>
      <c r="I536" t="s">
        <v>135</v>
      </c>
      <c r="J536" t="s">
        <v>153</v>
      </c>
      <c r="L536">
        <v>0</v>
      </c>
      <c r="M536" t="s">
        <v>125</v>
      </c>
      <c r="O536" t="s">
        <v>125</v>
      </c>
      <c r="P536" t="s">
        <v>125</v>
      </c>
      <c r="Q536" t="s">
        <v>125</v>
      </c>
      <c r="R536" t="s">
        <v>125</v>
      </c>
      <c r="S536" t="s">
        <v>125</v>
      </c>
      <c r="T536">
        <v>0</v>
      </c>
      <c r="V536" t="s">
        <v>125</v>
      </c>
      <c r="AE536" t="s">
        <v>125</v>
      </c>
      <c r="AF536">
        <v>0</v>
      </c>
      <c r="AG536" t="s">
        <v>125</v>
      </c>
      <c r="AH536">
        <v>0</v>
      </c>
      <c r="AK536">
        <v>0</v>
      </c>
    </row>
    <row r="537" spans="1:37" x14ac:dyDescent="0.25">
      <c r="A537" t="s">
        <v>79</v>
      </c>
      <c r="B537">
        <v>2</v>
      </c>
      <c r="C537">
        <v>3</v>
      </c>
      <c r="D537">
        <v>5</v>
      </c>
      <c r="E537">
        <v>14</v>
      </c>
      <c r="G537">
        <v>235</v>
      </c>
      <c r="H537" t="s">
        <v>63</v>
      </c>
      <c r="I537" t="s">
        <v>137</v>
      </c>
      <c r="J537" t="s">
        <v>154</v>
      </c>
      <c r="L537">
        <v>0</v>
      </c>
      <c r="M537" t="s">
        <v>125</v>
      </c>
      <c r="O537" t="s">
        <v>125</v>
      </c>
      <c r="P537" t="s">
        <v>125</v>
      </c>
      <c r="Q537" t="s">
        <v>125</v>
      </c>
      <c r="R537" t="s">
        <v>125</v>
      </c>
      <c r="S537" t="s">
        <v>125</v>
      </c>
      <c r="T537">
        <v>0</v>
      </c>
      <c r="V537" t="s">
        <v>125</v>
      </c>
      <c r="AE537" t="s">
        <v>125</v>
      </c>
      <c r="AF537">
        <v>0</v>
      </c>
      <c r="AG537" t="s">
        <v>125</v>
      </c>
      <c r="AH537">
        <v>0</v>
      </c>
      <c r="AK537">
        <v>0</v>
      </c>
    </row>
    <row r="538" spans="1:37" x14ac:dyDescent="0.25">
      <c r="A538" t="s">
        <v>79</v>
      </c>
      <c r="B538">
        <v>2</v>
      </c>
      <c r="C538">
        <v>3</v>
      </c>
      <c r="D538">
        <v>5</v>
      </c>
      <c r="E538">
        <v>15</v>
      </c>
      <c r="G538">
        <v>235</v>
      </c>
      <c r="H538" t="s">
        <v>63</v>
      </c>
      <c r="I538" t="s">
        <v>139</v>
      </c>
      <c r="J538" t="s">
        <v>155</v>
      </c>
      <c r="L538">
        <v>0</v>
      </c>
      <c r="M538" t="s">
        <v>125</v>
      </c>
      <c r="O538" t="s">
        <v>125</v>
      </c>
      <c r="P538" t="s">
        <v>125</v>
      </c>
      <c r="Q538" t="s">
        <v>125</v>
      </c>
      <c r="R538" t="s">
        <v>125</v>
      </c>
      <c r="S538" t="s">
        <v>125</v>
      </c>
      <c r="T538">
        <v>0</v>
      </c>
      <c r="V538" t="s">
        <v>125</v>
      </c>
      <c r="AE538" t="s">
        <v>125</v>
      </c>
      <c r="AF538">
        <v>0</v>
      </c>
      <c r="AG538" t="s">
        <v>125</v>
      </c>
      <c r="AH538">
        <v>0</v>
      </c>
      <c r="AK538">
        <v>0</v>
      </c>
    </row>
    <row r="539" spans="1:37" x14ac:dyDescent="0.25">
      <c r="L539">
        <v>0</v>
      </c>
    </row>
    <row r="540" spans="1:37" x14ac:dyDescent="0.25">
      <c r="L540">
        <v>0</v>
      </c>
    </row>
    <row r="541" spans="1:37" x14ac:dyDescent="0.25">
      <c r="A541" t="s">
        <v>56</v>
      </c>
      <c r="F541">
        <v>3</v>
      </c>
      <c r="L541">
        <v>3</v>
      </c>
      <c r="M541" t="s">
        <v>88</v>
      </c>
      <c r="N541" t="s">
        <v>1021</v>
      </c>
      <c r="P541" t="s">
        <v>1022</v>
      </c>
      <c r="V541" t="s">
        <v>1023</v>
      </c>
      <c r="Y541" t="s">
        <v>1024</v>
      </c>
      <c r="AA541" t="s">
        <v>1025</v>
      </c>
      <c r="AC541" t="s">
        <v>1026</v>
      </c>
      <c r="AE541" t="s">
        <v>1027</v>
      </c>
      <c r="AF541">
        <v>0</v>
      </c>
      <c r="AG541" t="s">
        <v>1028</v>
      </c>
      <c r="AH541">
        <v>0</v>
      </c>
      <c r="AK541">
        <v>0</v>
      </c>
    </row>
    <row r="542" spans="1:37" x14ac:dyDescent="0.25">
      <c r="L542">
        <v>0</v>
      </c>
    </row>
    <row r="543" spans="1:37" x14ac:dyDescent="0.25">
      <c r="A543" t="s">
        <v>66</v>
      </c>
      <c r="B543">
        <v>3</v>
      </c>
      <c r="C543">
        <v>1</v>
      </c>
      <c r="G543">
        <v>3</v>
      </c>
      <c r="H543" t="s">
        <v>1021</v>
      </c>
      <c r="I543" t="s">
        <v>1029</v>
      </c>
      <c r="M543" t="s">
        <v>1030</v>
      </c>
      <c r="N543" t="s">
        <v>1029</v>
      </c>
      <c r="P543" t="s">
        <v>1031</v>
      </c>
      <c r="V543" t="s">
        <v>1023</v>
      </c>
      <c r="Y543" t="s">
        <v>1024</v>
      </c>
      <c r="AA543" t="s">
        <v>1025</v>
      </c>
      <c r="AC543" t="s">
        <v>1026</v>
      </c>
      <c r="AE543" t="s">
        <v>1027</v>
      </c>
      <c r="AF543">
        <v>0</v>
      </c>
      <c r="AG543" t="s">
        <v>1028</v>
      </c>
      <c r="AH543">
        <v>0</v>
      </c>
      <c r="AK543">
        <v>0</v>
      </c>
    </row>
    <row r="544" spans="1:37" x14ac:dyDescent="0.25">
      <c r="L544">
        <v>0</v>
      </c>
    </row>
    <row r="545" spans="1:37" x14ac:dyDescent="0.25">
      <c r="A545" t="s">
        <v>70</v>
      </c>
      <c r="B545">
        <v>3</v>
      </c>
      <c r="C545">
        <v>1</v>
      </c>
      <c r="D545">
        <v>1</v>
      </c>
      <c r="G545">
        <v>31</v>
      </c>
      <c r="M545" t="s">
        <v>1032</v>
      </c>
      <c r="O545" t="s">
        <v>1033</v>
      </c>
      <c r="P545" t="s">
        <v>1034</v>
      </c>
      <c r="Q545" t="s">
        <v>282</v>
      </c>
      <c r="R545" t="s">
        <v>179</v>
      </c>
      <c r="S545" t="s">
        <v>1035</v>
      </c>
      <c r="V545" t="s">
        <v>1023</v>
      </c>
      <c r="X545" t="s">
        <v>1036</v>
      </c>
      <c r="Y545" t="s">
        <v>1024</v>
      </c>
      <c r="Z545" t="s">
        <v>1037</v>
      </c>
      <c r="AA545" t="s">
        <v>1025</v>
      </c>
      <c r="AB545" t="s">
        <v>1038</v>
      </c>
      <c r="AC545" t="s">
        <v>1026</v>
      </c>
      <c r="AE545" t="s">
        <v>1027</v>
      </c>
      <c r="AF545">
        <v>0</v>
      </c>
      <c r="AG545" t="s">
        <v>1028</v>
      </c>
      <c r="AH545">
        <v>0</v>
      </c>
      <c r="AK545">
        <v>0</v>
      </c>
    </row>
    <row r="546" spans="1:37" x14ac:dyDescent="0.25">
      <c r="A546" t="s">
        <v>79</v>
      </c>
      <c r="B546">
        <v>3</v>
      </c>
      <c r="C546">
        <v>1</v>
      </c>
      <c r="D546">
        <v>1</v>
      </c>
      <c r="E546">
        <v>1</v>
      </c>
      <c r="G546">
        <v>311</v>
      </c>
      <c r="H546" t="s">
        <v>1033</v>
      </c>
      <c r="I546" t="s">
        <v>80</v>
      </c>
      <c r="J546" t="s">
        <v>1039</v>
      </c>
      <c r="L546">
        <v>0</v>
      </c>
      <c r="M546" t="s">
        <v>1040</v>
      </c>
      <c r="O546" t="s">
        <v>1041</v>
      </c>
      <c r="P546" t="s">
        <v>1042</v>
      </c>
      <c r="Q546" t="s">
        <v>1043</v>
      </c>
      <c r="R546" t="s">
        <v>248</v>
      </c>
      <c r="S546" t="s">
        <v>1044</v>
      </c>
      <c r="T546">
        <v>1365</v>
      </c>
      <c r="U546">
        <v>1</v>
      </c>
      <c r="V546" t="s">
        <v>1045</v>
      </c>
      <c r="AE546" t="s">
        <v>1046</v>
      </c>
      <c r="AF546">
        <v>0</v>
      </c>
      <c r="AG546" t="s">
        <v>1047</v>
      </c>
      <c r="AH546">
        <v>0</v>
      </c>
      <c r="AK546">
        <v>0</v>
      </c>
    </row>
    <row r="547" spans="1:37" x14ac:dyDescent="0.25">
      <c r="A547" t="s">
        <v>79</v>
      </c>
      <c r="B547">
        <v>3</v>
      </c>
      <c r="C547">
        <v>1</v>
      </c>
      <c r="D547">
        <v>1</v>
      </c>
      <c r="E547">
        <v>2</v>
      </c>
      <c r="G547">
        <v>311</v>
      </c>
      <c r="H547" t="s">
        <v>1033</v>
      </c>
      <c r="I547" t="s">
        <v>88</v>
      </c>
      <c r="J547" t="s">
        <v>1048</v>
      </c>
      <c r="L547">
        <v>0</v>
      </c>
      <c r="M547" t="s">
        <v>1049</v>
      </c>
      <c r="O547" t="s">
        <v>1050</v>
      </c>
      <c r="P547" t="s">
        <v>1051</v>
      </c>
      <c r="Q547" t="s">
        <v>1052</v>
      </c>
      <c r="R547" t="s">
        <v>258</v>
      </c>
      <c r="S547" t="s">
        <v>1053</v>
      </c>
      <c r="T547">
        <v>1365</v>
      </c>
      <c r="U547">
        <v>10</v>
      </c>
      <c r="V547" t="s">
        <v>1054</v>
      </c>
      <c r="AE547" t="s">
        <v>1055</v>
      </c>
      <c r="AF547">
        <v>0</v>
      </c>
      <c r="AG547" t="s">
        <v>1056</v>
      </c>
      <c r="AH547">
        <v>0</v>
      </c>
      <c r="AK547">
        <v>0</v>
      </c>
    </row>
    <row r="548" spans="1:37" x14ac:dyDescent="0.25">
      <c r="A548" t="s">
        <v>79</v>
      </c>
      <c r="B548">
        <v>3</v>
      </c>
      <c r="C548">
        <v>1</v>
      </c>
      <c r="D548">
        <v>1</v>
      </c>
      <c r="E548">
        <v>3</v>
      </c>
      <c r="G548">
        <v>311</v>
      </c>
      <c r="H548" t="s">
        <v>1033</v>
      </c>
      <c r="I548" t="s">
        <v>95</v>
      </c>
      <c r="J548" t="s">
        <v>1057</v>
      </c>
      <c r="L548">
        <v>0</v>
      </c>
      <c r="M548" t="s">
        <v>1058</v>
      </c>
      <c r="O548" t="s">
        <v>1059</v>
      </c>
      <c r="P548" t="s">
        <v>1060</v>
      </c>
      <c r="Q548" t="s">
        <v>1061</v>
      </c>
      <c r="R548" t="s">
        <v>248</v>
      </c>
      <c r="S548" t="s">
        <v>1062</v>
      </c>
      <c r="T548">
        <v>1365</v>
      </c>
      <c r="U548">
        <v>0</v>
      </c>
      <c r="V548" t="s">
        <v>1063</v>
      </c>
      <c r="AE548" t="s">
        <v>1064</v>
      </c>
      <c r="AF548">
        <v>0</v>
      </c>
      <c r="AG548" t="s">
        <v>1065</v>
      </c>
      <c r="AH548">
        <v>0</v>
      </c>
      <c r="AK548">
        <v>0</v>
      </c>
    </row>
    <row r="549" spans="1:37" x14ac:dyDescent="0.25">
      <c r="A549" t="s">
        <v>79</v>
      </c>
      <c r="B549">
        <v>3</v>
      </c>
      <c r="C549">
        <v>1</v>
      </c>
      <c r="D549">
        <v>1</v>
      </c>
      <c r="E549">
        <v>4</v>
      </c>
      <c r="G549">
        <v>311</v>
      </c>
      <c r="H549" t="s">
        <v>1033</v>
      </c>
      <c r="I549" t="s">
        <v>102</v>
      </c>
      <c r="J549" t="s">
        <v>1066</v>
      </c>
      <c r="L549">
        <v>0</v>
      </c>
      <c r="M549" t="s">
        <v>1067</v>
      </c>
      <c r="O549" t="s">
        <v>1068</v>
      </c>
      <c r="P549" t="s">
        <v>1069</v>
      </c>
      <c r="Q549" t="s">
        <v>1070</v>
      </c>
      <c r="R549" t="s">
        <v>258</v>
      </c>
      <c r="S549" t="s">
        <v>1071</v>
      </c>
      <c r="T549">
        <v>1365</v>
      </c>
      <c r="U549">
        <v>11</v>
      </c>
      <c r="V549" t="s">
        <v>1072</v>
      </c>
      <c r="AE549" t="s">
        <v>1073</v>
      </c>
      <c r="AF549">
        <v>0</v>
      </c>
      <c r="AG549" t="s">
        <v>1074</v>
      </c>
      <c r="AH549">
        <v>0</v>
      </c>
      <c r="AK549">
        <v>0</v>
      </c>
    </row>
    <row r="550" spans="1:37" x14ac:dyDescent="0.25">
      <c r="A550" t="s">
        <v>79</v>
      </c>
      <c r="B550">
        <v>3</v>
      </c>
      <c r="C550">
        <v>1</v>
      </c>
      <c r="D550">
        <v>1</v>
      </c>
      <c r="E550">
        <v>5</v>
      </c>
      <c r="G550">
        <v>311</v>
      </c>
      <c r="H550" t="s">
        <v>1033</v>
      </c>
      <c r="I550" t="s">
        <v>109</v>
      </c>
      <c r="J550" t="s">
        <v>1075</v>
      </c>
      <c r="L550">
        <v>0</v>
      </c>
      <c r="M550" t="s">
        <v>1076</v>
      </c>
      <c r="O550" t="s">
        <v>1077</v>
      </c>
      <c r="P550" t="s">
        <v>1078</v>
      </c>
      <c r="Q550" t="s">
        <v>1079</v>
      </c>
      <c r="R550" t="s">
        <v>248</v>
      </c>
      <c r="S550" t="s">
        <v>1080</v>
      </c>
      <c r="T550">
        <v>1365</v>
      </c>
      <c r="U550">
        <v>3</v>
      </c>
      <c r="V550" t="s">
        <v>1081</v>
      </c>
      <c r="AE550" t="s">
        <v>1082</v>
      </c>
      <c r="AF550">
        <v>0</v>
      </c>
      <c r="AG550" t="s">
        <v>1083</v>
      </c>
      <c r="AH550">
        <v>0</v>
      </c>
      <c r="AK550">
        <v>0</v>
      </c>
    </row>
    <row r="551" spans="1:37" x14ac:dyDescent="0.25">
      <c r="A551" t="s">
        <v>79</v>
      </c>
      <c r="B551">
        <v>3</v>
      </c>
      <c r="C551">
        <v>1</v>
      </c>
      <c r="D551">
        <v>1</v>
      </c>
      <c r="E551">
        <v>6</v>
      </c>
      <c r="G551">
        <v>311</v>
      </c>
      <c r="H551" t="s">
        <v>1033</v>
      </c>
      <c r="I551" t="s">
        <v>116</v>
      </c>
      <c r="J551" t="s">
        <v>1084</v>
      </c>
      <c r="L551">
        <v>0</v>
      </c>
      <c r="M551" t="s">
        <v>1085</v>
      </c>
      <c r="O551" t="s">
        <v>294</v>
      </c>
      <c r="P551" t="s">
        <v>295</v>
      </c>
      <c r="Q551" t="s">
        <v>1070</v>
      </c>
      <c r="R551" t="s">
        <v>229</v>
      </c>
      <c r="S551" t="s">
        <v>297</v>
      </c>
      <c r="T551">
        <v>1365</v>
      </c>
      <c r="U551">
        <v>11</v>
      </c>
      <c r="V551" t="s">
        <v>1086</v>
      </c>
      <c r="AE551" t="s">
        <v>1087</v>
      </c>
      <c r="AF551">
        <v>0</v>
      </c>
      <c r="AG551" t="s">
        <v>1088</v>
      </c>
      <c r="AH551">
        <v>0</v>
      </c>
      <c r="AK551">
        <v>0</v>
      </c>
    </row>
    <row r="552" spans="1:37" x14ac:dyDescent="0.25">
      <c r="A552" t="s">
        <v>79</v>
      </c>
      <c r="B552">
        <v>3</v>
      </c>
      <c r="C552">
        <v>1</v>
      </c>
      <c r="D552">
        <v>1</v>
      </c>
      <c r="E552">
        <v>7</v>
      </c>
      <c r="G552">
        <v>311</v>
      </c>
      <c r="H552" t="s">
        <v>1033</v>
      </c>
      <c r="I552" t="s">
        <v>123</v>
      </c>
      <c r="J552" t="s">
        <v>1089</v>
      </c>
      <c r="L552">
        <v>0</v>
      </c>
      <c r="M552" t="s">
        <v>1090</v>
      </c>
      <c r="O552" t="s">
        <v>1091</v>
      </c>
      <c r="P552" t="s">
        <v>1092</v>
      </c>
      <c r="Q552" t="s">
        <v>1093</v>
      </c>
      <c r="R552" t="s">
        <v>258</v>
      </c>
      <c r="S552" t="s">
        <v>1094</v>
      </c>
      <c r="T552">
        <v>1365</v>
      </c>
      <c r="U552">
        <v>8</v>
      </c>
      <c r="V552" t="s">
        <v>1095</v>
      </c>
      <c r="AE552" t="s">
        <v>1096</v>
      </c>
      <c r="AF552">
        <v>0</v>
      </c>
      <c r="AG552" t="s">
        <v>1097</v>
      </c>
      <c r="AH552">
        <v>0</v>
      </c>
      <c r="AK552">
        <v>0</v>
      </c>
    </row>
    <row r="553" spans="1:37" x14ac:dyDescent="0.25">
      <c r="A553" t="s">
        <v>79</v>
      </c>
      <c r="B553">
        <v>3</v>
      </c>
      <c r="C553">
        <v>1</v>
      </c>
      <c r="D553">
        <v>1</v>
      </c>
      <c r="E553">
        <v>8</v>
      </c>
      <c r="G553">
        <v>311</v>
      </c>
      <c r="H553" t="s">
        <v>1033</v>
      </c>
      <c r="I553" t="s">
        <v>126</v>
      </c>
      <c r="J553" t="s">
        <v>1098</v>
      </c>
      <c r="L553">
        <v>0</v>
      </c>
      <c r="M553" t="s">
        <v>125</v>
      </c>
      <c r="O553" t="s">
        <v>125</v>
      </c>
      <c r="P553" t="s">
        <v>125</v>
      </c>
      <c r="Q553" t="s">
        <v>125</v>
      </c>
      <c r="R553" t="s">
        <v>125</v>
      </c>
      <c r="S553" t="s">
        <v>125</v>
      </c>
      <c r="T553">
        <v>1365</v>
      </c>
      <c r="V553" t="s">
        <v>125</v>
      </c>
      <c r="AE553" t="s">
        <v>125</v>
      </c>
      <c r="AF553">
        <v>0</v>
      </c>
      <c r="AG553" t="s">
        <v>125</v>
      </c>
      <c r="AH553">
        <v>0</v>
      </c>
      <c r="AK553">
        <v>0</v>
      </c>
    </row>
    <row r="554" spans="1:37" x14ac:dyDescent="0.25">
      <c r="A554" t="s">
        <v>79</v>
      </c>
      <c r="B554">
        <v>3</v>
      </c>
      <c r="C554">
        <v>1</v>
      </c>
      <c r="D554">
        <v>1</v>
      </c>
      <c r="E554">
        <v>9</v>
      </c>
      <c r="G554">
        <v>311</v>
      </c>
      <c r="H554" t="s">
        <v>1033</v>
      </c>
      <c r="I554" t="s">
        <v>74</v>
      </c>
      <c r="J554" t="s">
        <v>1099</v>
      </c>
      <c r="L554">
        <v>0</v>
      </c>
      <c r="M554" t="s">
        <v>125</v>
      </c>
      <c r="O554" t="s">
        <v>125</v>
      </c>
      <c r="P554" t="s">
        <v>125</v>
      </c>
      <c r="Q554" t="s">
        <v>125</v>
      </c>
      <c r="R554" t="s">
        <v>125</v>
      </c>
      <c r="S554" t="s">
        <v>125</v>
      </c>
      <c r="T554">
        <v>1365</v>
      </c>
      <c r="V554" t="s">
        <v>125</v>
      </c>
      <c r="AE554" t="s">
        <v>125</v>
      </c>
      <c r="AF554">
        <v>0</v>
      </c>
      <c r="AG554" t="s">
        <v>125</v>
      </c>
      <c r="AH554">
        <v>0</v>
      </c>
      <c r="AK554">
        <v>0</v>
      </c>
    </row>
    <row r="555" spans="1:37" x14ac:dyDescent="0.25">
      <c r="A555" t="s">
        <v>79</v>
      </c>
      <c r="B555">
        <v>3</v>
      </c>
      <c r="C555">
        <v>1</v>
      </c>
      <c r="D555">
        <v>1</v>
      </c>
      <c r="E555">
        <v>10</v>
      </c>
      <c r="G555">
        <v>311</v>
      </c>
      <c r="H555" t="s">
        <v>1033</v>
      </c>
      <c r="I555" t="s">
        <v>129</v>
      </c>
      <c r="J555" t="s">
        <v>1100</v>
      </c>
      <c r="L555">
        <v>0</v>
      </c>
      <c r="M555" t="s">
        <v>125</v>
      </c>
      <c r="O555" t="s">
        <v>125</v>
      </c>
      <c r="P555" t="s">
        <v>125</v>
      </c>
      <c r="Q555" t="s">
        <v>125</v>
      </c>
      <c r="R555" t="s">
        <v>125</v>
      </c>
      <c r="S555" t="s">
        <v>125</v>
      </c>
      <c r="T555">
        <v>1365</v>
      </c>
      <c r="V555" t="s">
        <v>125</v>
      </c>
      <c r="AE555" t="s">
        <v>125</v>
      </c>
      <c r="AF555">
        <v>0</v>
      </c>
      <c r="AG555" t="s">
        <v>125</v>
      </c>
      <c r="AH555">
        <v>0</v>
      </c>
      <c r="AK555">
        <v>0</v>
      </c>
    </row>
    <row r="556" spans="1:37" x14ac:dyDescent="0.25">
      <c r="A556" t="s">
        <v>79</v>
      </c>
      <c r="B556">
        <v>3</v>
      </c>
      <c r="C556">
        <v>1</v>
      </c>
      <c r="D556">
        <v>1</v>
      </c>
      <c r="E556">
        <v>11</v>
      </c>
      <c r="G556">
        <v>311</v>
      </c>
      <c r="H556" t="s">
        <v>1033</v>
      </c>
      <c r="I556" t="s">
        <v>131</v>
      </c>
      <c r="J556" t="s">
        <v>1101</v>
      </c>
      <c r="L556">
        <v>0</v>
      </c>
      <c r="M556" t="s">
        <v>125</v>
      </c>
      <c r="O556" t="s">
        <v>125</v>
      </c>
      <c r="P556" t="s">
        <v>125</v>
      </c>
      <c r="Q556" t="s">
        <v>125</v>
      </c>
      <c r="R556" t="s">
        <v>125</v>
      </c>
      <c r="S556" t="s">
        <v>125</v>
      </c>
      <c r="T556">
        <v>1365</v>
      </c>
      <c r="V556" t="s">
        <v>125</v>
      </c>
      <c r="AE556" t="s">
        <v>125</v>
      </c>
      <c r="AF556">
        <v>0</v>
      </c>
      <c r="AG556" t="s">
        <v>125</v>
      </c>
      <c r="AH556">
        <v>0</v>
      </c>
      <c r="AK556">
        <v>0</v>
      </c>
    </row>
    <row r="557" spans="1:37" x14ac:dyDescent="0.25">
      <c r="A557" t="s">
        <v>79</v>
      </c>
      <c r="B557">
        <v>3</v>
      </c>
      <c r="C557">
        <v>1</v>
      </c>
      <c r="D557">
        <v>1</v>
      </c>
      <c r="E557">
        <v>12</v>
      </c>
      <c r="G557">
        <v>311</v>
      </c>
      <c r="H557" t="s">
        <v>1033</v>
      </c>
      <c r="I557" t="s">
        <v>133</v>
      </c>
      <c r="J557" t="s">
        <v>1102</v>
      </c>
      <c r="L557">
        <v>0</v>
      </c>
      <c r="M557" t="s">
        <v>125</v>
      </c>
      <c r="O557" t="s">
        <v>125</v>
      </c>
      <c r="P557" t="s">
        <v>125</v>
      </c>
      <c r="Q557" t="s">
        <v>125</v>
      </c>
      <c r="R557" t="s">
        <v>125</v>
      </c>
      <c r="S557" t="s">
        <v>125</v>
      </c>
      <c r="T557">
        <v>1365</v>
      </c>
      <c r="V557" t="s">
        <v>125</v>
      </c>
      <c r="AE557" t="s">
        <v>125</v>
      </c>
      <c r="AF557">
        <v>0</v>
      </c>
      <c r="AG557" t="s">
        <v>125</v>
      </c>
      <c r="AH557">
        <v>0</v>
      </c>
      <c r="AK557">
        <v>0</v>
      </c>
    </row>
    <row r="558" spans="1:37" x14ac:dyDescent="0.25">
      <c r="A558" t="s">
        <v>79</v>
      </c>
      <c r="B558">
        <v>3</v>
      </c>
      <c r="C558">
        <v>1</v>
      </c>
      <c r="D558">
        <v>1</v>
      </c>
      <c r="E558">
        <v>13</v>
      </c>
      <c r="G558">
        <v>311</v>
      </c>
      <c r="H558" t="s">
        <v>1033</v>
      </c>
      <c r="I558" t="s">
        <v>135</v>
      </c>
      <c r="J558" t="s">
        <v>1103</v>
      </c>
      <c r="L558">
        <v>0</v>
      </c>
      <c r="M558" t="s">
        <v>125</v>
      </c>
      <c r="O558" t="s">
        <v>125</v>
      </c>
      <c r="P558" t="s">
        <v>125</v>
      </c>
      <c r="Q558" t="s">
        <v>125</v>
      </c>
      <c r="R558" t="s">
        <v>125</v>
      </c>
      <c r="S558" t="s">
        <v>125</v>
      </c>
      <c r="T558">
        <v>1365</v>
      </c>
      <c r="V558" t="s">
        <v>125</v>
      </c>
      <c r="AE558" t="s">
        <v>125</v>
      </c>
      <c r="AF558">
        <v>0</v>
      </c>
      <c r="AG558" t="s">
        <v>125</v>
      </c>
      <c r="AH558">
        <v>0</v>
      </c>
      <c r="AK558">
        <v>0</v>
      </c>
    </row>
    <row r="559" spans="1:37" x14ac:dyDescent="0.25">
      <c r="A559" t="s">
        <v>79</v>
      </c>
      <c r="B559">
        <v>3</v>
      </c>
      <c r="C559">
        <v>1</v>
      </c>
      <c r="D559">
        <v>1</v>
      </c>
      <c r="E559">
        <v>14</v>
      </c>
      <c r="G559">
        <v>311</v>
      </c>
      <c r="H559" t="s">
        <v>1033</v>
      </c>
      <c r="I559" t="s">
        <v>137</v>
      </c>
      <c r="J559" t="s">
        <v>1104</v>
      </c>
      <c r="L559">
        <v>0</v>
      </c>
      <c r="M559" t="s">
        <v>125</v>
      </c>
      <c r="O559" t="s">
        <v>125</v>
      </c>
      <c r="P559" t="s">
        <v>125</v>
      </c>
      <c r="Q559" t="s">
        <v>125</v>
      </c>
      <c r="R559" t="s">
        <v>125</v>
      </c>
      <c r="S559" t="s">
        <v>125</v>
      </c>
      <c r="T559">
        <v>1365</v>
      </c>
      <c r="V559" t="s">
        <v>125</v>
      </c>
      <c r="AE559" t="s">
        <v>125</v>
      </c>
      <c r="AF559">
        <v>0</v>
      </c>
      <c r="AG559" t="s">
        <v>125</v>
      </c>
      <c r="AH559">
        <v>0</v>
      </c>
      <c r="AK559">
        <v>0</v>
      </c>
    </row>
    <row r="560" spans="1:37" x14ac:dyDescent="0.25">
      <c r="A560" t="s">
        <v>79</v>
      </c>
      <c r="B560">
        <v>3</v>
      </c>
      <c r="C560">
        <v>1</v>
      </c>
      <c r="D560">
        <v>1</v>
      </c>
      <c r="E560">
        <v>15</v>
      </c>
      <c r="G560">
        <v>311</v>
      </c>
      <c r="H560" t="s">
        <v>1033</v>
      </c>
      <c r="I560" t="s">
        <v>139</v>
      </c>
      <c r="J560" t="s">
        <v>1105</v>
      </c>
      <c r="L560">
        <v>0</v>
      </c>
      <c r="M560" t="s">
        <v>125</v>
      </c>
      <c r="O560" t="s">
        <v>125</v>
      </c>
      <c r="P560" t="s">
        <v>125</v>
      </c>
      <c r="Q560" t="s">
        <v>125</v>
      </c>
      <c r="R560" t="s">
        <v>125</v>
      </c>
      <c r="S560" t="s">
        <v>125</v>
      </c>
      <c r="T560">
        <v>1365</v>
      </c>
      <c r="V560" t="s">
        <v>125</v>
      </c>
      <c r="AE560" t="s">
        <v>125</v>
      </c>
      <c r="AF560">
        <v>0</v>
      </c>
      <c r="AG560" t="s">
        <v>125</v>
      </c>
      <c r="AH560">
        <v>0</v>
      </c>
      <c r="AK560">
        <v>0</v>
      </c>
    </row>
    <row r="561" spans="1:37" x14ac:dyDescent="0.25">
      <c r="L561">
        <v>0</v>
      </c>
    </row>
    <row r="562" spans="1:37" x14ac:dyDescent="0.25">
      <c r="A562" t="s">
        <v>70</v>
      </c>
      <c r="B562">
        <v>3</v>
      </c>
      <c r="C562">
        <v>1</v>
      </c>
      <c r="D562">
        <v>2</v>
      </c>
      <c r="G562">
        <v>31</v>
      </c>
      <c r="M562" t="s">
        <v>1106</v>
      </c>
      <c r="O562" t="s">
        <v>1107</v>
      </c>
      <c r="P562" t="s">
        <v>125</v>
      </c>
      <c r="Q562" t="s">
        <v>1108</v>
      </c>
      <c r="R562" t="s">
        <v>125</v>
      </c>
      <c r="S562" t="s">
        <v>63</v>
      </c>
      <c r="V562" t="s">
        <v>63</v>
      </c>
      <c r="X562" t="s">
        <v>125</v>
      </c>
      <c r="Y562" t="s">
        <v>125</v>
      </c>
      <c r="Z562" t="s">
        <v>125</v>
      </c>
      <c r="AA562" t="s">
        <v>125</v>
      </c>
      <c r="AB562" t="s">
        <v>125</v>
      </c>
      <c r="AC562" t="s">
        <v>125</v>
      </c>
      <c r="AE562" t="s">
        <v>63</v>
      </c>
      <c r="AF562">
        <v>0</v>
      </c>
      <c r="AG562" t="s">
        <v>63</v>
      </c>
      <c r="AH562">
        <v>0</v>
      </c>
      <c r="AK562">
        <v>0</v>
      </c>
    </row>
    <row r="563" spans="1:37" x14ac:dyDescent="0.25">
      <c r="A563" t="s">
        <v>79</v>
      </c>
      <c r="B563">
        <v>3</v>
      </c>
      <c r="C563">
        <v>1</v>
      </c>
      <c r="D563">
        <v>2</v>
      </c>
      <c r="E563">
        <v>1</v>
      </c>
      <c r="G563">
        <v>312</v>
      </c>
      <c r="H563" t="s">
        <v>1107</v>
      </c>
      <c r="I563" t="s">
        <v>80</v>
      </c>
      <c r="J563" t="s">
        <v>1109</v>
      </c>
      <c r="L563">
        <v>0</v>
      </c>
      <c r="M563" t="s">
        <v>125</v>
      </c>
      <c r="O563" t="s">
        <v>125</v>
      </c>
      <c r="P563" t="s">
        <v>125</v>
      </c>
      <c r="Q563" t="s">
        <v>125</v>
      </c>
      <c r="R563" t="s">
        <v>125</v>
      </c>
      <c r="S563" t="s">
        <v>125</v>
      </c>
      <c r="T563">
        <v>680</v>
      </c>
      <c r="V563" t="s">
        <v>125</v>
      </c>
      <c r="AE563" t="s">
        <v>125</v>
      </c>
      <c r="AF563">
        <v>0</v>
      </c>
      <c r="AG563" t="s">
        <v>125</v>
      </c>
      <c r="AH563">
        <v>0</v>
      </c>
      <c r="AK563">
        <v>0</v>
      </c>
    </row>
    <row r="564" spans="1:37" x14ac:dyDescent="0.25">
      <c r="A564" t="s">
        <v>79</v>
      </c>
      <c r="B564">
        <v>3</v>
      </c>
      <c r="C564">
        <v>1</v>
      </c>
      <c r="D564">
        <v>2</v>
      </c>
      <c r="E564">
        <v>2</v>
      </c>
      <c r="G564">
        <v>312</v>
      </c>
      <c r="H564" t="s">
        <v>1107</v>
      </c>
      <c r="I564" t="s">
        <v>88</v>
      </c>
      <c r="J564" t="s">
        <v>1110</v>
      </c>
      <c r="L564">
        <v>0</v>
      </c>
      <c r="M564" t="s">
        <v>125</v>
      </c>
      <c r="O564" t="s">
        <v>125</v>
      </c>
      <c r="P564" t="s">
        <v>125</v>
      </c>
      <c r="Q564" t="s">
        <v>125</v>
      </c>
      <c r="R564" t="s">
        <v>125</v>
      </c>
      <c r="S564" t="s">
        <v>125</v>
      </c>
      <c r="T564">
        <v>680</v>
      </c>
      <c r="V564" t="s">
        <v>125</v>
      </c>
      <c r="AE564" t="s">
        <v>125</v>
      </c>
      <c r="AF564">
        <v>0</v>
      </c>
      <c r="AG564" t="s">
        <v>125</v>
      </c>
      <c r="AH564">
        <v>0</v>
      </c>
      <c r="AK564">
        <v>0</v>
      </c>
    </row>
    <row r="565" spans="1:37" x14ac:dyDescent="0.25">
      <c r="A565" t="s">
        <v>79</v>
      </c>
      <c r="B565">
        <v>3</v>
      </c>
      <c r="C565">
        <v>1</v>
      </c>
      <c r="D565">
        <v>2</v>
      </c>
      <c r="E565">
        <v>3</v>
      </c>
      <c r="G565">
        <v>312</v>
      </c>
      <c r="H565" t="s">
        <v>1107</v>
      </c>
      <c r="I565" t="s">
        <v>95</v>
      </c>
      <c r="J565" t="s">
        <v>1111</v>
      </c>
      <c r="L565">
        <v>0</v>
      </c>
      <c r="M565" t="s">
        <v>125</v>
      </c>
      <c r="O565" t="s">
        <v>125</v>
      </c>
      <c r="P565" t="s">
        <v>125</v>
      </c>
      <c r="Q565" t="s">
        <v>125</v>
      </c>
      <c r="R565" t="s">
        <v>125</v>
      </c>
      <c r="S565" t="s">
        <v>125</v>
      </c>
      <c r="T565">
        <v>680</v>
      </c>
      <c r="V565" t="s">
        <v>125</v>
      </c>
      <c r="AE565" t="s">
        <v>125</v>
      </c>
      <c r="AF565">
        <v>0</v>
      </c>
      <c r="AG565" t="s">
        <v>125</v>
      </c>
      <c r="AH565">
        <v>0</v>
      </c>
      <c r="AK565">
        <v>0</v>
      </c>
    </row>
    <row r="566" spans="1:37" x14ac:dyDescent="0.25">
      <c r="A566" t="s">
        <v>79</v>
      </c>
      <c r="B566">
        <v>3</v>
      </c>
      <c r="C566">
        <v>1</v>
      </c>
      <c r="D566">
        <v>2</v>
      </c>
      <c r="E566">
        <v>4</v>
      </c>
      <c r="G566">
        <v>312</v>
      </c>
      <c r="H566" t="s">
        <v>1107</v>
      </c>
      <c r="I566" t="s">
        <v>102</v>
      </c>
      <c r="J566" t="s">
        <v>1112</v>
      </c>
      <c r="L566">
        <v>0</v>
      </c>
      <c r="M566" t="s">
        <v>125</v>
      </c>
      <c r="O566" t="s">
        <v>125</v>
      </c>
      <c r="P566" t="s">
        <v>125</v>
      </c>
      <c r="Q566" t="s">
        <v>125</v>
      </c>
      <c r="R566" t="s">
        <v>125</v>
      </c>
      <c r="S566" t="s">
        <v>125</v>
      </c>
      <c r="T566">
        <v>680</v>
      </c>
      <c r="V566" t="s">
        <v>125</v>
      </c>
      <c r="AE566" t="s">
        <v>125</v>
      </c>
      <c r="AF566">
        <v>0</v>
      </c>
      <c r="AG566" t="s">
        <v>125</v>
      </c>
      <c r="AH566">
        <v>0</v>
      </c>
      <c r="AK566">
        <v>0</v>
      </c>
    </row>
    <row r="567" spans="1:37" x14ac:dyDescent="0.25">
      <c r="A567" t="s">
        <v>79</v>
      </c>
      <c r="B567">
        <v>3</v>
      </c>
      <c r="C567">
        <v>1</v>
      </c>
      <c r="D567">
        <v>2</v>
      </c>
      <c r="E567">
        <v>5</v>
      </c>
      <c r="G567">
        <v>312</v>
      </c>
      <c r="H567" t="s">
        <v>1107</v>
      </c>
      <c r="I567" t="s">
        <v>109</v>
      </c>
      <c r="J567" t="s">
        <v>1113</v>
      </c>
      <c r="L567">
        <v>0</v>
      </c>
      <c r="M567" t="s">
        <v>125</v>
      </c>
      <c r="O567" t="s">
        <v>125</v>
      </c>
      <c r="P567" t="s">
        <v>125</v>
      </c>
      <c r="Q567" t="s">
        <v>125</v>
      </c>
      <c r="R567" t="s">
        <v>125</v>
      </c>
      <c r="S567" t="s">
        <v>125</v>
      </c>
      <c r="T567">
        <v>680</v>
      </c>
      <c r="V567" t="s">
        <v>125</v>
      </c>
      <c r="AE567" t="s">
        <v>125</v>
      </c>
      <c r="AF567">
        <v>0</v>
      </c>
      <c r="AG567" t="s">
        <v>125</v>
      </c>
      <c r="AH567">
        <v>0</v>
      </c>
      <c r="AK567">
        <v>0</v>
      </c>
    </row>
    <row r="568" spans="1:37" x14ac:dyDescent="0.25">
      <c r="A568" t="s">
        <v>79</v>
      </c>
      <c r="B568">
        <v>3</v>
      </c>
      <c r="C568">
        <v>1</v>
      </c>
      <c r="D568">
        <v>2</v>
      </c>
      <c r="E568">
        <v>6</v>
      </c>
      <c r="G568">
        <v>312</v>
      </c>
      <c r="H568" t="s">
        <v>1107</v>
      </c>
      <c r="I568" t="s">
        <v>116</v>
      </c>
      <c r="J568" t="s">
        <v>1114</v>
      </c>
      <c r="L568">
        <v>0</v>
      </c>
      <c r="M568" t="s">
        <v>125</v>
      </c>
      <c r="O568" t="s">
        <v>125</v>
      </c>
      <c r="P568" t="s">
        <v>125</v>
      </c>
      <c r="Q568" t="s">
        <v>125</v>
      </c>
      <c r="R568" t="s">
        <v>125</v>
      </c>
      <c r="S568" t="s">
        <v>125</v>
      </c>
      <c r="T568">
        <v>680</v>
      </c>
      <c r="V568" t="s">
        <v>125</v>
      </c>
      <c r="AE568" t="s">
        <v>125</v>
      </c>
      <c r="AF568">
        <v>0</v>
      </c>
      <c r="AG568" t="s">
        <v>125</v>
      </c>
      <c r="AH568">
        <v>0</v>
      </c>
      <c r="AK568">
        <v>0</v>
      </c>
    </row>
    <row r="569" spans="1:37" x14ac:dyDescent="0.25">
      <c r="A569" t="s">
        <v>79</v>
      </c>
      <c r="B569">
        <v>3</v>
      </c>
      <c r="C569">
        <v>1</v>
      </c>
      <c r="D569">
        <v>2</v>
      </c>
      <c r="E569">
        <v>7</v>
      </c>
      <c r="G569">
        <v>312</v>
      </c>
      <c r="H569" t="s">
        <v>1107</v>
      </c>
      <c r="I569" t="s">
        <v>123</v>
      </c>
      <c r="J569" t="s">
        <v>1115</v>
      </c>
      <c r="L569">
        <v>0</v>
      </c>
      <c r="M569" t="s">
        <v>125</v>
      </c>
      <c r="O569" t="s">
        <v>125</v>
      </c>
      <c r="P569" t="s">
        <v>125</v>
      </c>
      <c r="Q569" t="s">
        <v>125</v>
      </c>
      <c r="R569" t="s">
        <v>125</v>
      </c>
      <c r="S569" t="s">
        <v>125</v>
      </c>
      <c r="T569">
        <v>680</v>
      </c>
      <c r="V569" t="s">
        <v>125</v>
      </c>
      <c r="AE569" t="s">
        <v>125</v>
      </c>
      <c r="AF569">
        <v>0</v>
      </c>
      <c r="AG569" t="s">
        <v>125</v>
      </c>
      <c r="AH569">
        <v>0</v>
      </c>
      <c r="AK569">
        <v>0</v>
      </c>
    </row>
    <row r="570" spans="1:37" x14ac:dyDescent="0.25">
      <c r="A570" t="s">
        <v>79</v>
      </c>
      <c r="B570">
        <v>3</v>
      </c>
      <c r="C570">
        <v>1</v>
      </c>
      <c r="D570">
        <v>2</v>
      </c>
      <c r="E570">
        <v>8</v>
      </c>
      <c r="G570">
        <v>312</v>
      </c>
      <c r="H570" t="s">
        <v>1107</v>
      </c>
      <c r="I570" t="s">
        <v>126</v>
      </c>
      <c r="J570" t="s">
        <v>1116</v>
      </c>
      <c r="L570">
        <v>0</v>
      </c>
      <c r="M570" t="s">
        <v>125</v>
      </c>
      <c r="O570" t="s">
        <v>125</v>
      </c>
      <c r="P570" t="s">
        <v>125</v>
      </c>
      <c r="Q570" t="s">
        <v>125</v>
      </c>
      <c r="R570" t="s">
        <v>125</v>
      </c>
      <c r="S570" t="s">
        <v>125</v>
      </c>
      <c r="T570">
        <v>680</v>
      </c>
      <c r="V570" t="s">
        <v>125</v>
      </c>
      <c r="AE570" t="s">
        <v>125</v>
      </c>
      <c r="AF570">
        <v>0</v>
      </c>
      <c r="AG570" t="s">
        <v>125</v>
      </c>
      <c r="AH570">
        <v>0</v>
      </c>
      <c r="AK570">
        <v>0</v>
      </c>
    </row>
    <row r="571" spans="1:37" x14ac:dyDescent="0.25">
      <c r="A571" t="s">
        <v>79</v>
      </c>
      <c r="B571">
        <v>3</v>
      </c>
      <c r="C571">
        <v>1</v>
      </c>
      <c r="D571">
        <v>2</v>
      </c>
      <c r="E571">
        <v>9</v>
      </c>
      <c r="G571">
        <v>312</v>
      </c>
      <c r="H571" t="s">
        <v>1107</v>
      </c>
      <c r="I571" t="s">
        <v>74</v>
      </c>
      <c r="J571" t="s">
        <v>1117</v>
      </c>
      <c r="L571">
        <v>0</v>
      </c>
      <c r="M571" t="s">
        <v>125</v>
      </c>
      <c r="O571" t="s">
        <v>125</v>
      </c>
      <c r="P571" t="s">
        <v>125</v>
      </c>
      <c r="Q571" t="s">
        <v>125</v>
      </c>
      <c r="R571" t="s">
        <v>125</v>
      </c>
      <c r="S571" t="s">
        <v>125</v>
      </c>
      <c r="T571">
        <v>680</v>
      </c>
      <c r="V571" t="s">
        <v>125</v>
      </c>
      <c r="AE571" t="s">
        <v>125</v>
      </c>
      <c r="AF571">
        <v>0</v>
      </c>
      <c r="AG571" t="s">
        <v>125</v>
      </c>
      <c r="AH571">
        <v>0</v>
      </c>
      <c r="AK571">
        <v>0</v>
      </c>
    </row>
    <row r="572" spans="1:37" x14ac:dyDescent="0.25">
      <c r="A572" t="s">
        <v>79</v>
      </c>
      <c r="B572">
        <v>3</v>
      </c>
      <c r="C572">
        <v>1</v>
      </c>
      <c r="D572">
        <v>2</v>
      </c>
      <c r="E572">
        <v>10</v>
      </c>
      <c r="G572">
        <v>312</v>
      </c>
      <c r="H572" t="s">
        <v>1107</v>
      </c>
      <c r="I572" t="s">
        <v>129</v>
      </c>
      <c r="J572" t="s">
        <v>1118</v>
      </c>
      <c r="L572">
        <v>0</v>
      </c>
      <c r="M572" t="s">
        <v>125</v>
      </c>
      <c r="O572" t="s">
        <v>125</v>
      </c>
      <c r="P572" t="s">
        <v>125</v>
      </c>
      <c r="Q572" t="s">
        <v>125</v>
      </c>
      <c r="R572" t="s">
        <v>125</v>
      </c>
      <c r="S572" t="s">
        <v>125</v>
      </c>
      <c r="T572">
        <v>680</v>
      </c>
      <c r="V572" t="s">
        <v>125</v>
      </c>
      <c r="AE572" t="s">
        <v>125</v>
      </c>
      <c r="AF572">
        <v>0</v>
      </c>
      <c r="AG572" t="s">
        <v>125</v>
      </c>
      <c r="AH572">
        <v>0</v>
      </c>
      <c r="AK572">
        <v>0</v>
      </c>
    </row>
    <row r="573" spans="1:37" x14ac:dyDescent="0.25">
      <c r="A573" t="s">
        <v>79</v>
      </c>
      <c r="B573">
        <v>3</v>
      </c>
      <c r="C573">
        <v>1</v>
      </c>
      <c r="D573">
        <v>2</v>
      </c>
      <c r="E573">
        <v>11</v>
      </c>
      <c r="G573">
        <v>312</v>
      </c>
      <c r="H573" t="s">
        <v>1107</v>
      </c>
      <c r="I573" t="s">
        <v>131</v>
      </c>
      <c r="J573" t="s">
        <v>1119</v>
      </c>
      <c r="L573">
        <v>0</v>
      </c>
      <c r="M573" t="s">
        <v>125</v>
      </c>
      <c r="O573" t="s">
        <v>125</v>
      </c>
      <c r="P573" t="s">
        <v>125</v>
      </c>
      <c r="Q573" t="s">
        <v>125</v>
      </c>
      <c r="R573" t="s">
        <v>125</v>
      </c>
      <c r="S573" t="s">
        <v>125</v>
      </c>
      <c r="T573">
        <v>680</v>
      </c>
      <c r="V573" t="s">
        <v>125</v>
      </c>
      <c r="AE573" t="s">
        <v>125</v>
      </c>
      <c r="AF573">
        <v>0</v>
      </c>
      <c r="AG573" t="s">
        <v>125</v>
      </c>
      <c r="AH573">
        <v>0</v>
      </c>
      <c r="AK573">
        <v>0</v>
      </c>
    </row>
    <row r="574" spans="1:37" x14ac:dyDescent="0.25">
      <c r="A574" t="s">
        <v>79</v>
      </c>
      <c r="B574">
        <v>3</v>
      </c>
      <c r="C574">
        <v>1</v>
      </c>
      <c r="D574">
        <v>2</v>
      </c>
      <c r="E574">
        <v>12</v>
      </c>
      <c r="G574">
        <v>312</v>
      </c>
      <c r="H574" t="s">
        <v>1107</v>
      </c>
      <c r="I574" t="s">
        <v>133</v>
      </c>
      <c r="J574" t="s">
        <v>1120</v>
      </c>
      <c r="L574">
        <v>0</v>
      </c>
      <c r="M574" t="s">
        <v>125</v>
      </c>
      <c r="O574" t="s">
        <v>125</v>
      </c>
      <c r="P574" t="s">
        <v>125</v>
      </c>
      <c r="Q574" t="s">
        <v>125</v>
      </c>
      <c r="R574" t="s">
        <v>125</v>
      </c>
      <c r="S574" t="s">
        <v>125</v>
      </c>
      <c r="T574">
        <v>680</v>
      </c>
      <c r="V574" t="s">
        <v>125</v>
      </c>
      <c r="AE574" t="s">
        <v>125</v>
      </c>
      <c r="AF574">
        <v>0</v>
      </c>
      <c r="AG574" t="s">
        <v>125</v>
      </c>
      <c r="AH574">
        <v>0</v>
      </c>
      <c r="AK574">
        <v>0</v>
      </c>
    </row>
    <row r="575" spans="1:37" x14ac:dyDescent="0.25">
      <c r="A575" t="s">
        <v>79</v>
      </c>
      <c r="B575">
        <v>3</v>
      </c>
      <c r="C575">
        <v>1</v>
      </c>
      <c r="D575">
        <v>2</v>
      </c>
      <c r="E575">
        <v>13</v>
      </c>
      <c r="G575">
        <v>312</v>
      </c>
      <c r="H575" t="s">
        <v>1107</v>
      </c>
      <c r="I575" t="s">
        <v>135</v>
      </c>
      <c r="J575" t="s">
        <v>1121</v>
      </c>
      <c r="L575">
        <v>0</v>
      </c>
      <c r="M575" t="s">
        <v>125</v>
      </c>
      <c r="O575" t="s">
        <v>125</v>
      </c>
      <c r="P575" t="s">
        <v>125</v>
      </c>
      <c r="Q575" t="s">
        <v>125</v>
      </c>
      <c r="R575" t="s">
        <v>125</v>
      </c>
      <c r="S575" t="s">
        <v>125</v>
      </c>
      <c r="T575">
        <v>680</v>
      </c>
      <c r="V575" t="s">
        <v>125</v>
      </c>
      <c r="AE575" t="s">
        <v>125</v>
      </c>
      <c r="AF575">
        <v>0</v>
      </c>
      <c r="AG575" t="s">
        <v>125</v>
      </c>
      <c r="AH575">
        <v>0</v>
      </c>
      <c r="AK575">
        <v>0</v>
      </c>
    </row>
    <row r="576" spans="1:37" x14ac:dyDescent="0.25">
      <c r="A576" t="s">
        <v>79</v>
      </c>
      <c r="B576">
        <v>3</v>
      </c>
      <c r="C576">
        <v>1</v>
      </c>
      <c r="D576">
        <v>2</v>
      </c>
      <c r="E576">
        <v>14</v>
      </c>
      <c r="G576">
        <v>312</v>
      </c>
      <c r="H576" t="s">
        <v>1107</v>
      </c>
      <c r="I576" t="s">
        <v>137</v>
      </c>
      <c r="J576" t="s">
        <v>1122</v>
      </c>
      <c r="L576">
        <v>0</v>
      </c>
      <c r="M576" t="s">
        <v>125</v>
      </c>
      <c r="O576" t="s">
        <v>125</v>
      </c>
      <c r="P576" t="s">
        <v>125</v>
      </c>
      <c r="Q576" t="s">
        <v>125</v>
      </c>
      <c r="R576" t="s">
        <v>125</v>
      </c>
      <c r="S576" t="s">
        <v>125</v>
      </c>
      <c r="T576">
        <v>680</v>
      </c>
      <c r="V576" t="s">
        <v>125</v>
      </c>
      <c r="AE576" t="s">
        <v>125</v>
      </c>
      <c r="AF576">
        <v>0</v>
      </c>
      <c r="AG576" t="s">
        <v>125</v>
      </c>
      <c r="AH576">
        <v>0</v>
      </c>
      <c r="AK576">
        <v>0</v>
      </c>
    </row>
    <row r="577" spans="1:37" x14ac:dyDescent="0.25">
      <c r="A577" t="s">
        <v>79</v>
      </c>
      <c r="B577">
        <v>3</v>
      </c>
      <c r="C577">
        <v>1</v>
      </c>
      <c r="D577">
        <v>2</v>
      </c>
      <c r="E577">
        <v>15</v>
      </c>
      <c r="G577">
        <v>312</v>
      </c>
      <c r="H577" t="s">
        <v>1107</v>
      </c>
      <c r="I577" t="s">
        <v>139</v>
      </c>
      <c r="J577" t="s">
        <v>1123</v>
      </c>
      <c r="L577">
        <v>0</v>
      </c>
      <c r="M577" t="s">
        <v>125</v>
      </c>
      <c r="O577" t="s">
        <v>125</v>
      </c>
      <c r="P577" t="s">
        <v>125</v>
      </c>
      <c r="Q577" t="s">
        <v>125</v>
      </c>
      <c r="R577" t="s">
        <v>125</v>
      </c>
      <c r="S577" t="s">
        <v>125</v>
      </c>
      <c r="T577">
        <v>680</v>
      </c>
      <c r="V577" t="s">
        <v>125</v>
      </c>
      <c r="AE577" t="s">
        <v>125</v>
      </c>
      <c r="AF577">
        <v>0</v>
      </c>
      <c r="AG577" t="s">
        <v>125</v>
      </c>
      <c r="AH577">
        <v>0</v>
      </c>
      <c r="AK577">
        <v>0</v>
      </c>
    </row>
    <row r="578" spans="1:37" x14ac:dyDescent="0.25">
      <c r="L578">
        <v>0</v>
      </c>
    </row>
    <row r="579" spans="1:37" x14ac:dyDescent="0.25">
      <c r="A579" t="s">
        <v>70</v>
      </c>
      <c r="B579">
        <v>3</v>
      </c>
      <c r="C579">
        <v>1</v>
      </c>
      <c r="D579">
        <v>3</v>
      </c>
      <c r="G579">
        <v>31</v>
      </c>
      <c r="L579">
        <v>0</v>
      </c>
      <c r="M579" t="s">
        <v>125</v>
      </c>
      <c r="P579" t="s">
        <v>125</v>
      </c>
      <c r="R579" t="s">
        <v>125</v>
      </c>
      <c r="S579" t="s">
        <v>63</v>
      </c>
      <c r="V579" t="s">
        <v>125</v>
      </c>
      <c r="X579" t="s">
        <v>125</v>
      </c>
      <c r="Y579" t="s">
        <v>125</v>
      </c>
      <c r="Z579" t="s">
        <v>125</v>
      </c>
      <c r="AA579" t="s">
        <v>125</v>
      </c>
      <c r="AB579" t="s">
        <v>125</v>
      </c>
      <c r="AC579" t="s">
        <v>125</v>
      </c>
      <c r="AE579" t="s">
        <v>125</v>
      </c>
      <c r="AF579">
        <v>0</v>
      </c>
      <c r="AG579" t="s">
        <v>125</v>
      </c>
      <c r="AH579">
        <v>0</v>
      </c>
      <c r="AK579">
        <v>0</v>
      </c>
    </row>
    <row r="580" spans="1:37" x14ac:dyDescent="0.25">
      <c r="A580" t="s">
        <v>79</v>
      </c>
      <c r="B580">
        <v>3</v>
      </c>
      <c r="C580">
        <v>1</v>
      </c>
      <c r="D580">
        <v>3</v>
      </c>
      <c r="E580">
        <v>1</v>
      </c>
      <c r="G580">
        <v>313</v>
      </c>
      <c r="H580" t="s">
        <v>63</v>
      </c>
      <c r="I580" t="s">
        <v>80</v>
      </c>
      <c r="J580" t="s">
        <v>141</v>
      </c>
      <c r="L580">
        <v>0</v>
      </c>
      <c r="M580" t="s">
        <v>125</v>
      </c>
      <c r="O580" t="s">
        <v>125</v>
      </c>
      <c r="P580" t="s">
        <v>125</v>
      </c>
      <c r="Q580" t="s">
        <v>125</v>
      </c>
      <c r="R580" t="s">
        <v>125</v>
      </c>
      <c r="S580" t="s">
        <v>125</v>
      </c>
      <c r="T580">
        <v>0</v>
      </c>
      <c r="V580" t="s">
        <v>125</v>
      </c>
      <c r="AE580" t="s">
        <v>125</v>
      </c>
      <c r="AF580">
        <v>0</v>
      </c>
      <c r="AG580" t="s">
        <v>125</v>
      </c>
      <c r="AH580">
        <v>0</v>
      </c>
      <c r="AK580">
        <v>0</v>
      </c>
    </row>
    <row r="581" spans="1:37" x14ac:dyDescent="0.25">
      <c r="A581" t="s">
        <v>79</v>
      </c>
      <c r="B581">
        <v>3</v>
      </c>
      <c r="C581">
        <v>1</v>
      </c>
      <c r="D581">
        <v>3</v>
      </c>
      <c r="E581">
        <v>2</v>
      </c>
      <c r="G581">
        <v>313</v>
      </c>
      <c r="H581" t="s">
        <v>63</v>
      </c>
      <c r="I581" t="s">
        <v>88</v>
      </c>
      <c r="J581" t="s">
        <v>142</v>
      </c>
      <c r="L581">
        <v>0</v>
      </c>
      <c r="M581" t="s">
        <v>125</v>
      </c>
      <c r="O581" t="s">
        <v>125</v>
      </c>
      <c r="P581" t="s">
        <v>125</v>
      </c>
      <c r="Q581" t="s">
        <v>125</v>
      </c>
      <c r="R581" t="s">
        <v>125</v>
      </c>
      <c r="S581" t="s">
        <v>125</v>
      </c>
      <c r="T581">
        <v>0</v>
      </c>
      <c r="V581" t="s">
        <v>125</v>
      </c>
      <c r="AE581" t="s">
        <v>125</v>
      </c>
      <c r="AF581">
        <v>0</v>
      </c>
      <c r="AG581" t="s">
        <v>125</v>
      </c>
      <c r="AH581">
        <v>0</v>
      </c>
      <c r="AK581">
        <v>0</v>
      </c>
    </row>
    <row r="582" spans="1:37" x14ac:dyDescent="0.25">
      <c r="A582" t="s">
        <v>79</v>
      </c>
      <c r="B582">
        <v>3</v>
      </c>
      <c r="C582">
        <v>1</v>
      </c>
      <c r="D582">
        <v>3</v>
      </c>
      <c r="E582">
        <v>3</v>
      </c>
      <c r="G582">
        <v>313</v>
      </c>
      <c r="H582" t="s">
        <v>63</v>
      </c>
      <c r="I582" t="s">
        <v>95</v>
      </c>
      <c r="J582" t="s">
        <v>143</v>
      </c>
      <c r="L582">
        <v>0</v>
      </c>
      <c r="M582" t="s">
        <v>125</v>
      </c>
      <c r="O582" t="s">
        <v>125</v>
      </c>
      <c r="P582" t="s">
        <v>125</v>
      </c>
      <c r="Q582" t="s">
        <v>125</v>
      </c>
      <c r="R582" t="s">
        <v>125</v>
      </c>
      <c r="S582" t="s">
        <v>125</v>
      </c>
      <c r="T582">
        <v>0</v>
      </c>
      <c r="V582" t="s">
        <v>125</v>
      </c>
      <c r="AE582" t="s">
        <v>125</v>
      </c>
      <c r="AF582">
        <v>0</v>
      </c>
      <c r="AG582" t="s">
        <v>125</v>
      </c>
      <c r="AH582">
        <v>0</v>
      </c>
      <c r="AK582">
        <v>0</v>
      </c>
    </row>
    <row r="583" spans="1:37" x14ac:dyDescent="0.25">
      <c r="A583" t="s">
        <v>79</v>
      </c>
      <c r="B583">
        <v>3</v>
      </c>
      <c r="C583">
        <v>1</v>
      </c>
      <c r="D583">
        <v>3</v>
      </c>
      <c r="E583">
        <v>4</v>
      </c>
      <c r="G583">
        <v>313</v>
      </c>
      <c r="H583" t="s">
        <v>63</v>
      </c>
      <c r="I583" t="s">
        <v>102</v>
      </c>
      <c r="J583" t="s">
        <v>144</v>
      </c>
      <c r="L583">
        <v>0</v>
      </c>
      <c r="M583" t="s">
        <v>125</v>
      </c>
      <c r="O583" t="s">
        <v>125</v>
      </c>
      <c r="P583" t="s">
        <v>125</v>
      </c>
      <c r="Q583" t="s">
        <v>125</v>
      </c>
      <c r="R583" t="s">
        <v>125</v>
      </c>
      <c r="S583" t="s">
        <v>125</v>
      </c>
      <c r="T583">
        <v>0</v>
      </c>
      <c r="V583" t="s">
        <v>125</v>
      </c>
      <c r="AE583" t="s">
        <v>125</v>
      </c>
      <c r="AF583">
        <v>0</v>
      </c>
      <c r="AG583" t="s">
        <v>125</v>
      </c>
      <c r="AH583">
        <v>0</v>
      </c>
      <c r="AK583">
        <v>0</v>
      </c>
    </row>
    <row r="584" spans="1:37" x14ac:dyDescent="0.25">
      <c r="A584" t="s">
        <v>79</v>
      </c>
      <c r="B584">
        <v>3</v>
      </c>
      <c r="C584">
        <v>1</v>
      </c>
      <c r="D584">
        <v>3</v>
      </c>
      <c r="E584">
        <v>5</v>
      </c>
      <c r="G584">
        <v>313</v>
      </c>
      <c r="H584" t="s">
        <v>63</v>
      </c>
      <c r="I584" t="s">
        <v>109</v>
      </c>
      <c r="J584" t="s">
        <v>145</v>
      </c>
      <c r="L584">
        <v>0</v>
      </c>
      <c r="M584" t="s">
        <v>125</v>
      </c>
      <c r="O584" t="s">
        <v>125</v>
      </c>
      <c r="P584" t="s">
        <v>125</v>
      </c>
      <c r="Q584" t="s">
        <v>125</v>
      </c>
      <c r="R584" t="s">
        <v>125</v>
      </c>
      <c r="S584" t="s">
        <v>125</v>
      </c>
      <c r="T584">
        <v>0</v>
      </c>
      <c r="V584" t="s">
        <v>125</v>
      </c>
      <c r="AE584" t="s">
        <v>125</v>
      </c>
      <c r="AF584">
        <v>0</v>
      </c>
      <c r="AG584" t="s">
        <v>125</v>
      </c>
      <c r="AH584">
        <v>0</v>
      </c>
      <c r="AK584">
        <v>0</v>
      </c>
    </row>
    <row r="585" spans="1:37" x14ac:dyDescent="0.25">
      <c r="A585" t="s">
        <v>79</v>
      </c>
      <c r="B585">
        <v>3</v>
      </c>
      <c r="C585">
        <v>1</v>
      </c>
      <c r="D585">
        <v>3</v>
      </c>
      <c r="E585">
        <v>6</v>
      </c>
      <c r="G585">
        <v>313</v>
      </c>
      <c r="H585" t="s">
        <v>63</v>
      </c>
      <c r="I585" t="s">
        <v>116</v>
      </c>
      <c r="J585" t="s">
        <v>146</v>
      </c>
      <c r="L585">
        <v>0</v>
      </c>
      <c r="M585" t="s">
        <v>125</v>
      </c>
      <c r="O585" t="s">
        <v>125</v>
      </c>
      <c r="P585" t="s">
        <v>125</v>
      </c>
      <c r="Q585" t="s">
        <v>125</v>
      </c>
      <c r="R585" t="s">
        <v>125</v>
      </c>
      <c r="S585" t="s">
        <v>125</v>
      </c>
      <c r="T585">
        <v>0</v>
      </c>
      <c r="V585" t="s">
        <v>125</v>
      </c>
      <c r="AE585" t="s">
        <v>125</v>
      </c>
      <c r="AF585">
        <v>0</v>
      </c>
      <c r="AG585" t="s">
        <v>125</v>
      </c>
      <c r="AH585">
        <v>0</v>
      </c>
      <c r="AK585">
        <v>0</v>
      </c>
    </row>
    <row r="586" spans="1:37" x14ac:dyDescent="0.25">
      <c r="A586" t="s">
        <v>79</v>
      </c>
      <c r="B586">
        <v>3</v>
      </c>
      <c r="C586">
        <v>1</v>
      </c>
      <c r="D586">
        <v>3</v>
      </c>
      <c r="E586">
        <v>7</v>
      </c>
      <c r="G586">
        <v>313</v>
      </c>
      <c r="H586" t="s">
        <v>63</v>
      </c>
      <c r="I586" t="s">
        <v>123</v>
      </c>
      <c r="J586" t="s">
        <v>147</v>
      </c>
      <c r="L586">
        <v>0</v>
      </c>
      <c r="M586" t="s">
        <v>125</v>
      </c>
      <c r="O586" t="s">
        <v>125</v>
      </c>
      <c r="P586" t="s">
        <v>125</v>
      </c>
      <c r="Q586" t="s">
        <v>125</v>
      </c>
      <c r="R586" t="s">
        <v>125</v>
      </c>
      <c r="S586" t="s">
        <v>125</v>
      </c>
      <c r="T586">
        <v>0</v>
      </c>
      <c r="V586" t="s">
        <v>125</v>
      </c>
      <c r="AE586" t="s">
        <v>125</v>
      </c>
      <c r="AF586">
        <v>0</v>
      </c>
      <c r="AG586" t="s">
        <v>125</v>
      </c>
      <c r="AH586">
        <v>0</v>
      </c>
      <c r="AK586">
        <v>0</v>
      </c>
    </row>
    <row r="587" spans="1:37" x14ac:dyDescent="0.25">
      <c r="A587" t="s">
        <v>79</v>
      </c>
      <c r="B587">
        <v>3</v>
      </c>
      <c r="C587">
        <v>1</v>
      </c>
      <c r="D587">
        <v>3</v>
      </c>
      <c r="E587">
        <v>8</v>
      </c>
      <c r="G587">
        <v>313</v>
      </c>
      <c r="H587" t="s">
        <v>63</v>
      </c>
      <c r="I587" t="s">
        <v>126</v>
      </c>
      <c r="J587" t="s">
        <v>148</v>
      </c>
      <c r="L587">
        <v>0</v>
      </c>
      <c r="M587" t="s">
        <v>125</v>
      </c>
      <c r="O587" t="s">
        <v>125</v>
      </c>
      <c r="P587" t="s">
        <v>125</v>
      </c>
      <c r="Q587" t="s">
        <v>125</v>
      </c>
      <c r="R587" t="s">
        <v>125</v>
      </c>
      <c r="S587" t="s">
        <v>125</v>
      </c>
      <c r="T587">
        <v>0</v>
      </c>
      <c r="V587" t="s">
        <v>125</v>
      </c>
      <c r="AE587" t="s">
        <v>125</v>
      </c>
      <c r="AF587">
        <v>0</v>
      </c>
      <c r="AG587" t="s">
        <v>125</v>
      </c>
      <c r="AH587">
        <v>0</v>
      </c>
      <c r="AK587">
        <v>0</v>
      </c>
    </row>
    <row r="588" spans="1:37" x14ac:dyDescent="0.25">
      <c r="A588" t="s">
        <v>79</v>
      </c>
      <c r="B588">
        <v>3</v>
      </c>
      <c r="C588">
        <v>1</v>
      </c>
      <c r="D588">
        <v>3</v>
      </c>
      <c r="E588">
        <v>9</v>
      </c>
      <c r="G588">
        <v>313</v>
      </c>
      <c r="H588" t="s">
        <v>63</v>
      </c>
      <c r="I588" t="s">
        <v>74</v>
      </c>
      <c r="J588" t="s">
        <v>149</v>
      </c>
      <c r="L588">
        <v>0</v>
      </c>
      <c r="M588" t="s">
        <v>125</v>
      </c>
      <c r="O588" t="s">
        <v>125</v>
      </c>
      <c r="P588" t="s">
        <v>125</v>
      </c>
      <c r="Q588" t="s">
        <v>125</v>
      </c>
      <c r="R588" t="s">
        <v>125</v>
      </c>
      <c r="S588" t="s">
        <v>125</v>
      </c>
      <c r="T588">
        <v>0</v>
      </c>
      <c r="V588" t="s">
        <v>125</v>
      </c>
      <c r="AE588" t="s">
        <v>125</v>
      </c>
      <c r="AF588">
        <v>0</v>
      </c>
      <c r="AG588" t="s">
        <v>125</v>
      </c>
      <c r="AH588">
        <v>0</v>
      </c>
      <c r="AK588">
        <v>0</v>
      </c>
    </row>
    <row r="589" spans="1:37" x14ac:dyDescent="0.25">
      <c r="A589" t="s">
        <v>79</v>
      </c>
      <c r="B589">
        <v>3</v>
      </c>
      <c r="C589">
        <v>1</v>
      </c>
      <c r="D589">
        <v>3</v>
      </c>
      <c r="E589">
        <v>10</v>
      </c>
      <c r="G589">
        <v>313</v>
      </c>
      <c r="H589" t="s">
        <v>63</v>
      </c>
      <c r="I589" t="s">
        <v>129</v>
      </c>
      <c r="J589" t="s">
        <v>150</v>
      </c>
      <c r="L589">
        <v>0</v>
      </c>
      <c r="M589" t="s">
        <v>125</v>
      </c>
      <c r="O589" t="s">
        <v>125</v>
      </c>
      <c r="P589" t="s">
        <v>125</v>
      </c>
      <c r="Q589" t="s">
        <v>125</v>
      </c>
      <c r="R589" t="s">
        <v>125</v>
      </c>
      <c r="S589" t="s">
        <v>125</v>
      </c>
      <c r="T589">
        <v>0</v>
      </c>
      <c r="V589" t="s">
        <v>125</v>
      </c>
      <c r="AE589" t="s">
        <v>125</v>
      </c>
      <c r="AF589">
        <v>0</v>
      </c>
      <c r="AG589" t="s">
        <v>125</v>
      </c>
      <c r="AH589">
        <v>0</v>
      </c>
      <c r="AK589">
        <v>0</v>
      </c>
    </row>
    <row r="590" spans="1:37" x14ac:dyDescent="0.25">
      <c r="A590" t="s">
        <v>79</v>
      </c>
      <c r="B590">
        <v>3</v>
      </c>
      <c r="C590">
        <v>1</v>
      </c>
      <c r="D590">
        <v>3</v>
      </c>
      <c r="E590">
        <v>11</v>
      </c>
      <c r="G590">
        <v>313</v>
      </c>
      <c r="H590" t="s">
        <v>63</v>
      </c>
      <c r="I590" t="s">
        <v>131</v>
      </c>
      <c r="J590" t="s">
        <v>151</v>
      </c>
      <c r="L590">
        <v>0</v>
      </c>
      <c r="M590" t="s">
        <v>125</v>
      </c>
      <c r="O590" t="s">
        <v>125</v>
      </c>
      <c r="P590" t="s">
        <v>125</v>
      </c>
      <c r="Q590" t="s">
        <v>125</v>
      </c>
      <c r="R590" t="s">
        <v>125</v>
      </c>
      <c r="S590" t="s">
        <v>125</v>
      </c>
      <c r="T590">
        <v>0</v>
      </c>
      <c r="V590" t="s">
        <v>125</v>
      </c>
      <c r="AE590" t="s">
        <v>125</v>
      </c>
      <c r="AF590">
        <v>0</v>
      </c>
      <c r="AG590" t="s">
        <v>125</v>
      </c>
      <c r="AH590">
        <v>0</v>
      </c>
      <c r="AK590">
        <v>0</v>
      </c>
    </row>
    <row r="591" spans="1:37" x14ac:dyDescent="0.25">
      <c r="A591" t="s">
        <v>79</v>
      </c>
      <c r="B591">
        <v>3</v>
      </c>
      <c r="C591">
        <v>1</v>
      </c>
      <c r="D591">
        <v>3</v>
      </c>
      <c r="E591">
        <v>12</v>
      </c>
      <c r="G591">
        <v>313</v>
      </c>
      <c r="H591" t="s">
        <v>63</v>
      </c>
      <c r="I591" t="s">
        <v>133</v>
      </c>
      <c r="J591" t="s">
        <v>152</v>
      </c>
      <c r="L591">
        <v>0</v>
      </c>
      <c r="M591" t="s">
        <v>125</v>
      </c>
      <c r="O591" t="s">
        <v>125</v>
      </c>
      <c r="P591" t="s">
        <v>125</v>
      </c>
      <c r="Q591" t="s">
        <v>125</v>
      </c>
      <c r="R591" t="s">
        <v>125</v>
      </c>
      <c r="S591" t="s">
        <v>125</v>
      </c>
      <c r="T591">
        <v>0</v>
      </c>
      <c r="V591" t="s">
        <v>125</v>
      </c>
      <c r="AE591" t="s">
        <v>125</v>
      </c>
      <c r="AF591">
        <v>0</v>
      </c>
      <c r="AG591" t="s">
        <v>125</v>
      </c>
      <c r="AH591">
        <v>0</v>
      </c>
      <c r="AK591">
        <v>0</v>
      </c>
    </row>
    <row r="592" spans="1:37" x14ac:dyDescent="0.25">
      <c r="A592" t="s">
        <v>79</v>
      </c>
      <c r="B592">
        <v>3</v>
      </c>
      <c r="C592">
        <v>1</v>
      </c>
      <c r="D592">
        <v>3</v>
      </c>
      <c r="E592">
        <v>13</v>
      </c>
      <c r="G592">
        <v>313</v>
      </c>
      <c r="H592" t="s">
        <v>63</v>
      </c>
      <c r="I592" t="s">
        <v>135</v>
      </c>
      <c r="J592" t="s">
        <v>153</v>
      </c>
      <c r="L592">
        <v>0</v>
      </c>
      <c r="M592" t="s">
        <v>125</v>
      </c>
      <c r="O592" t="s">
        <v>125</v>
      </c>
      <c r="P592" t="s">
        <v>125</v>
      </c>
      <c r="Q592" t="s">
        <v>125</v>
      </c>
      <c r="R592" t="s">
        <v>125</v>
      </c>
      <c r="S592" t="s">
        <v>125</v>
      </c>
      <c r="T592">
        <v>0</v>
      </c>
      <c r="V592" t="s">
        <v>125</v>
      </c>
      <c r="AE592" t="s">
        <v>125</v>
      </c>
      <c r="AF592">
        <v>0</v>
      </c>
      <c r="AG592" t="s">
        <v>125</v>
      </c>
      <c r="AH592">
        <v>0</v>
      </c>
      <c r="AK592">
        <v>0</v>
      </c>
    </row>
    <row r="593" spans="1:37" x14ac:dyDescent="0.25">
      <c r="A593" t="s">
        <v>79</v>
      </c>
      <c r="B593">
        <v>3</v>
      </c>
      <c r="C593">
        <v>1</v>
      </c>
      <c r="D593">
        <v>3</v>
      </c>
      <c r="E593">
        <v>14</v>
      </c>
      <c r="G593">
        <v>313</v>
      </c>
      <c r="H593" t="s">
        <v>63</v>
      </c>
      <c r="I593" t="s">
        <v>137</v>
      </c>
      <c r="J593" t="s">
        <v>154</v>
      </c>
      <c r="L593">
        <v>0</v>
      </c>
      <c r="M593" t="s">
        <v>125</v>
      </c>
      <c r="O593" t="s">
        <v>125</v>
      </c>
      <c r="P593" t="s">
        <v>125</v>
      </c>
      <c r="Q593" t="s">
        <v>125</v>
      </c>
      <c r="R593" t="s">
        <v>125</v>
      </c>
      <c r="S593" t="s">
        <v>125</v>
      </c>
      <c r="T593">
        <v>0</v>
      </c>
      <c r="V593" t="s">
        <v>125</v>
      </c>
      <c r="AE593" t="s">
        <v>125</v>
      </c>
      <c r="AF593">
        <v>0</v>
      </c>
      <c r="AG593" t="s">
        <v>125</v>
      </c>
      <c r="AH593">
        <v>0</v>
      </c>
      <c r="AK593">
        <v>0</v>
      </c>
    </row>
    <row r="594" spans="1:37" x14ac:dyDescent="0.25">
      <c r="A594" t="s">
        <v>79</v>
      </c>
      <c r="B594">
        <v>3</v>
      </c>
      <c r="C594">
        <v>1</v>
      </c>
      <c r="D594">
        <v>3</v>
      </c>
      <c r="E594">
        <v>15</v>
      </c>
      <c r="G594">
        <v>313</v>
      </c>
      <c r="H594" t="s">
        <v>63</v>
      </c>
      <c r="I594" t="s">
        <v>139</v>
      </c>
      <c r="J594" t="s">
        <v>155</v>
      </c>
      <c r="L594">
        <v>0</v>
      </c>
      <c r="M594" t="s">
        <v>125</v>
      </c>
      <c r="O594" t="s">
        <v>125</v>
      </c>
      <c r="P594" t="s">
        <v>125</v>
      </c>
      <c r="Q594" t="s">
        <v>125</v>
      </c>
      <c r="R594" t="s">
        <v>125</v>
      </c>
      <c r="S594" t="s">
        <v>125</v>
      </c>
      <c r="T594">
        <v>0</v>
      </c>
      <c r="V594" t="s">
        <v>125</v>
      </c>
      <c r="AE594" t="s">
        <v>125</v>
      </c>
      <c r="AF594">
        <v>0</v>
      </c>
      <c r="AG594" t="s">
        <v>125</v>
      </c>
      <c r="AH594">
        <v>0</v>
      </c>
      <c r="AK594">
        <v>0</v>
      </c>
    </row>
    <row r="595" spans="1:37" x14ac:dyDescent="0.25">
      <c r="L595">
        <v>0</v>
      </c>
    </row>
    <row r="596" spans="1:37" x14ac:dyDescent="0.25">
      <c r="A596" t="s">
        <v>70</v>
      </c>
      <c r="B596">
        <v>3</v>
      </c>
      <c r="C596">
        <v>1</v>
      </c>
      <c r="D596">
        <v>4</v>
      </c>
      <c r="G596">
        <v>31</v>
      </c>
      <c r="L596">
        <v>0</v>
      </c>
      <c r="M596" t="s">
        <v>125</v>
      </c>
      <c r="P596" t="s">
        <v>125</v>
      </c>
      <c r="R596" t="s">
        <v>125</v>
      </c>
      <c r="S596" t="s">
        <v>63</v>
      </c>
      <c r="V596" t="s">
        <v>125</v>
      </c>
      <c r="X596" t="s">
        <v>125</v>
      </c>
      <c r="Y596" t="s">
        <v>125</v>
      </c>
      <c r="Z596" t="s">
        <v>125</v>
      </c>
      <c r="AA596" t="s">
        <v>125</v>
      </c>
      <c r="AB596" t="s">
        <v>125</v>
      </c>
      <c r="AC596" t="s">
        <v>125</v>
      </c>
      <c r="AE596" t="s">
        <v>125</v>
      </c>
      <c r="AF596">
        <v>0</v>
      </c>
      <c r="AG596" t="s">
        <v>125</v>
      </c>
      <c r="AH596">
        <v>0</v>
      </c>
      <c r="AK596">
        <v>0</v>
      </c>
    </row>
    <row r="597" spans="1:37" x14ac:dyDescent="0.25">
      <c r="A597" t="s">
        <v>79</v>
      </c>
      <c r="B597">
        <v>3</v>
      </c>
      <c r="C597">
        <v>1</v>
      </c>
      <c r="D597">
        <v>4</v>
      </c>
      <c r="E597">
        <v>1</v>
      </c>
      <c r="G597">
        <v>314</v>
      </c>
      <c r="H597" t="s">
        <v>63</v>
      </c>
      <c r="I597" t="s">
        <v>80</v>
      </c>
      <c r="J597" t="s">
        <v>141</v>
      </c>
      <c r="L597">
        <v>0</v>
      </c>
      <c r="M597" t="s">
        <v>125</v>
      </c>
      <c r="O597" t="s">
        <v>125</v>
      </c>
      <c r="P597" t="s">
        <v>125</v>
      </c>
      <c r="Q597" t="s">
        <v>125</v>
      </c>
      <c r="R597" t="s">
        <v>125</v>
      </c>
      <c r="S597" t="s">
        <v>125</v>
      </c>
      <c r="T597">
        <v>0</v>
      </c>
      <c r="V597" t="s">
        <v>125</v>
      </c>
      <c r="AE597" t="s">
        <v>125</v>
      </c>
      <c r="AF597">
        <v>0</v>
      </c>
      <c r="AG597" t="s">
        <v>125</v>
      </c>
      <c r="AH597">
        <v>0</v>
      </c>
      <c r="AK597">
        <v>0</v>
      </c>
    </row>
    <row r="598" spans="1:37" x14ac:dyDescent="0.25">
      <c r="A598" t="s">
        <v>79</v>
      </c>
      <c r="B598">
        <v>3</v>
      </c>
      <c r="C598">
        <v>1</v>
      </c>
      <c r="D598">
        <v>4</v>
      </c>
      <c r="E598">
        <v>2</v>
      </c>
      <c r="G598">
        <v>314</v>
      </c>
      <c r="H598" t="s">
        <v>63</v>
      </c>
      <c r="I598" t="s">
        <v>88</v>
      </c>
      <c r="J598" t="s">
        <v>142</v>
      </c>
      <c r="L598">
        <v>0</v>
      </c>
      <c r="M598" t="s">
        <v>125</v>
      </c>
      <c r="O598" t="s">
        <v>125</v>
      </c>
      <c r="P598" t="s">
        <v>125</v>
      </c>
      <c r="Q598" t="s">
        <v>125</v>
      </c>
      <c r="R598" t="s">
        <v>125</v>
      </c>
      <c r="S598" t="s">
        <v>125</v>
      </c>
      <c r="T598">
        <v>0</v>
      </c>
      <c r="V598" t="s">
        <v>125</v>
      </c>
      <c r="AE598" t="s">
        <v>125</v>
      </c>
      <c r="AF598">
        <v>0</v>
      </c>
      <c r="AG598" t="s">
        <v>125</v>
      </c>
      <c r="AH598">
        <v>0</v>
      </c>
      <c r="AK598">
        <v>0</v>
      </c>
    </row>
    <row r="599" spans="1:37" x14ac:dyDescent="0.25">
      <c r="A599" t="s">
        <v>79</v>
      </c>
      <c r="B599">
        <v>3</v>
      </c>
      <c r="C599">
        <v>1</v>
      </c>
      <c r="D599">
        <v>4</v>
      </c>
      <c r="E599">
        <v>3</v>
      </c>
      <c r="G599">
        <v>314</v>
      </c>
      <c r="H599" t="s">
        <v>63</v>
      </c>
      <c r="I599" t="s">
        <v>95</v>
      </c>
      <c r="J599" t="s">
        <v>143</v>
      </c>
      <c r="L599">
        <v>0</v>
      </c>
      <c r="M599" t="s">
        <v>125</v>
      </c>
      <c r="O599" t="s">
        <v>125</v>
      </c>
      <c r="P599" t="s">
        <v>125</v>
      </c>
      <c r="Q599" t="s">
        <v>125</v>
      </c>
      <c r="R599" t="s">
        <v>125</v>
      </c>
      <c r="S599" t="s">
        <v>125</v>
      </c>
      <c r="T599">
        <v>0</v>
      </c>
      <c r="V599" t="s">
        <v>125</v>
      </c>
      <c r="AE599" t="s">
        <v>125</v>
      </c>
      <c r="AF599">
        <v>0</v>
      </c>
      <c r="AG599" t="s">
        <v>125</v>
      </c>
      <c r="AH599">
        <v>0</v>
      </c>
      <c r="AK599">
        <v>0</v>
      </c>
    </row>
    <row r="600" spans="1:37" x14ac:dyDescent="0.25">
      <c r="A600" t="s">
        <v>79</v>
      </c>
      <c r="B600">
        <v>3</v>
      </c>
      <c r="C600">
        <v>1</v>
      </c>
      <c r="D600">
        <v>4</v>
      </c>
      <c r="E600">
        <v>4</v>
      </c>
      <c r="G600">
        <v>314</v>
      </c>
      <c r="H600" t="s">
        <v>63</v>
      </c>
      <c r="I600" t="s">
        <v>102</v>
      </c>
      <c r="J600" t="s">
        <v>144</v>
      </c>
      <c r="L600">
        <v>0</v>
      </c>
      <c r="M600" t="s">
        <v>125</v>
      </c>
      <c r="O600" t="s">
        <v>125</v>
      </c>
      <c r="P600" t="s">
        <v>125</v>
      </c>
      <c r="Q600" t="s">
        <v>125</v>
      </c>
      <c r="R600" t="s">
        <v>125</v>
      </c>
      <c r="S600" t="s">
        <v>125</v>
      </c>
      <c r="T600">
        <v>0</v>
      </c>
      <c r="V600" t="s">
        <v>125</v>
      </c>
      <c r="AE600" t="s">
        <v>125</v>
      </c>
      <c r="AF600">
        <v>0</v>
      </c>
      <c r="AG600" t="s">
        <v>125</v>
      </c>
      <c r="AH600">
        <v>0</v>
      </c>
      <c r="AK600">
        <v>0</v>
      </c>
    </row>
    <row r="601" spans="1:37" x14ac:dyDescent="0.25">
      <c r="A601" t="s">
        <v>79</v>
      </c>
      <c r="B601">
        <v>3</v>
      </c>
      <c r="C601">
        <v>1</v>
      </c>
      <c r="D601">
        <v>4</v>
      </c>
      <c r="E601">
        <v>5</v>
      </c>
      <c r="G601">
        <v>314</v>
      </c>
      <c r="H601" t="s">
        <v>63</v>
      </c>
      <c r="I601" t="s">
        <v>109</v>
      </c>
      <c r="J601" t="s">
        <v>145</v>
      </c>
      <c r="L601">
        <v>0</v>
      </c>
      <c r="M601" t="s">
        <v>125</v>
      </c>
      <c r="O601" t="s">
        <v>125</v>
      </c>
      <c r="P601" t="s">
        <v>125</v>
      </c>
      <c r="Q601" t="s">
        <v>125</v>
      </c>
      <c r="R601" t="s">
        <v>125</v>
      </c>
      <c r="S601" t="s">
        <v>125</v>
      </c>
      <c r="T601">
        <v>0</v>
      </c>
      <c r="V601" t="s">
        <v>125</v>
      </c>
      <c r="AE601" t="s">
        <v>125</v>
      </c>
      <c r="AF601">
        <v>0</v>
      </c>
      <c r="AG601" t="s">
        <v>125</v>
      </c>
      <c r="AH601">
        <v>0</v>
      </c>
      <c r="AK601">
        <v>0</v>
      </c>
    </row>
    <row r="602" spans="1:37" x14ac:dyDescent="0.25">
      <c r="A602" t="s">
        <v>79</v>
      </c>
      <c r="B602">
        <v>3</v>
      </c>
      <c r="C602">
        <v>1</v>
      </c>
      <c r="D602">
        <v>4</v>
      </c>
      <c r="E602">
        <v>6</v>
      </c>
      <c r="G602">
        <v>314</v>
      </c>
      <c r="H602" t="s">
        <v>63</v>
      </c>
      <c r="I602" t="s">
        <v>116</v>
      </c>
      <c r="J602" t="s">
        <v>146</v>
      </c>
      <c r="L602">
        <v>0</v>
      </c>
      <c r="M602" t="s">
        <v>125</v>
      </c>
      <c r="O602" t="s">
        <v>125</v>
      </c>
      <c r="P602" t="s">
        <v>125</v>
      </c>
      <c r="Q602" t="s">
        <v>125</v>
      </c>
      <c r="R602" t="s">
        <v>125</v>
      </c>
      <c r="S602" t="s">
        <v>125</v>
      </c>
      <c r="T602">
        <v>0</v>
      </c>
      <c r="V602" t="s">
        <v>125</v>
      </c>
      <c r="AE602" t="s">
        <v>125</v>
      </c>
      <c r="AF602">
        <v>0</v>
      </c>
      <c r="AG602" t="s">
        <v>125</v>
      </c>
      <c r="AH602">
        <v>0</v>
      </c>
      <c r="AK602">
        <v>0</v>
      </c>
    </row>
    <row r="603" spans="1:37" x14ac:dyDescent="0.25">
      <c r="A603" t="s">
        <v>79</v>
      </c>
      <c r="B603">
        <v>3</v>
      </c>
      <c r="C603">
        <v>1</v>
      </c>
      <c r="D603">
        <v>4</v>
      </c>
      <c r="E603">
        <v>7</v>
      </c>
      <c r="G603">
        <v>314</v>
      </c>
      <c r="H603" t="s">
        <v>63</v>
      </c>
      <c r="I603" t="s">
        <v>123</v>
      </c>
      <c r="J603" t="s">
        <v>147</v>
      </c>
      <c r="L603">
        <v>0</v>
      </c>
      <c r="M603" t="s">
        <v>125</v>
      </c>
      <c r="O603" t="s">
        <v>125</v>
      </c>
      <c r="P603" t="s">
        <v>125</v>
      </c>
      <c r="Q603" t="s">
        <v>125</v>
      </c>
      <c r="R603" t="s">
        <v>125</v>
      </c>
      <c r="S603" t="s">
        <v>125</v>
      </c>
      <c r="T603">
        <v>0</v>
      </c>
      <c r="V603" t="s">
        <v>125</v>
      </c>
      <c r="AE603" t="s">
        <v>125</v>
      </c>
      <c r="AF603">
        <v>0</v>
      </c>
      <c r="AG603" t="s">
        <v>125</v>
      </c>
      <c r="AH603">
        <v>0</v>
      </c>
      <c r="AK603">
        <v>0</v>
      </c>
    </row>
    <row r="604" spans="1:37" x14ac:dyDescent="0.25">
      <c r="A604" t="s">
        <v>79</v>
      </c>
      <c r="B604">
        <v>3</v>
      </c>
      <c r="C604">
        <v>1</v>
      </c>
      <c r="D604">
        <v>4</v>
      </c>
      <c r="E604">
        <v>8</v>
      </c>
      <c r="G604">
        <v>314</v>
      </c>
      <c r="H604" t="s">
        <v>63</v>
      </c>
      <c r="I604" t="s">
        <v>126</v>
      </c>
      <c r="J604" t="s">
        <v>148</v>
      </c>
      <c r="L604">
        <v>0</v>
      </c>
      <c r="M604" t="s">
        <v>125</v>
      </c>
      <c r="O604" t="s">
        <v>125</v>
      </c>
      <c r="P604" t="s">
        <v>125</v>
      </c>
      <c r="Q604" t="s">
        <v>125</v>
      </c>
      <c r="R604" t="s">
        <v>125</v>
      </c>
      <c r="S604" t="s">
        <v>125</v>
      </c>
      <c r="T604">
        <v>0</v>
      </c>
      <c r="V604" t="s">
        <v>125</v>
      </c>
      <c r="AE604" t="s">
        <v>125</v>
      </c>
      <c r="AF604">
        <v>0</v>
      </c>
      <c r="AG604" t="s">
        <v>125</v>
      </c>
      <c r="AH604">
        <v>0</v>
      </c>
      <c r="AK604">
        <v>0</v>
      </c>
    </row>
    <row r="605" spans="1:37" x14ac:dyDescent="0.25">
      <c r="A605" t="s">
        <v>79</v>
      </c>
      <c r="B605">
        <v>3</v>
      </c>
      <c r="C605">
        <v>1</v>
      </c>
      <c r="D605">
        <v>4</v>
      </c>
      <c r="E605">
        <v>9</v>
      </c>
      <c r="G605">
        <v>314</v>
      </c>
      <c r="H605" t="s">
        <v>63</v>
      </c>
      <c r="I605" t="s">
        <v>74</v>
      </c>
      <c r="J605" t="s">
        <v>149</v>
      </c>
      <c r="L605">
        <v>0</v>
      </c>
      <c r="M605" t="s">
        <v>125</v>
      </c>
      <c r="O605" t="s">
        <v>125</v>
      </c>
      <c r="P605" t="s">
        <v>125</v>
      </c>
      <c r="Q605" t="s">
        <v>125</v>
      </c>
      <c r="R605" t="s">
        <v>125</v>
      </c>
      <c r="S605" t="s">
        <v>125</v>
      </c>
      <c r="T605">
        <v>0</v>
      </c>
      <c r="V605" t="s">
        <v>125</v>
      </c>
      <c r="AE605" t="s">
        <v>125</v>
      </c>
      <c r="AF605">
        <v>0</v>
      </c>
      <c r="AG605" t="s">
        <v>125</v>
      </c>
      <c r="AH605">
        <v>0</v>
      </c>
      <c r="AK605">
        <v>0</v>
      </c>
    </row>
    <row r="606" spans="1:37" x14ac:dyDescent="0.25">
      <c r="A606" t="s">
        <v>79</v>
      </c>
      <c r="B606">
        <v>3</v>
      </c>
      <c r="C606">
        <v>1</v>
      </c>
      <c r="D606">
        <v>4</v>
      </c>
      <c r="E606">
        <v>10</v>
      </c>
      <c r="G606">
        <v>314</v>
      </c>
      <c r="H606" t="s">
        <v>63</v>
      </c>
      <c r="I606" t="s">
        <v>129</v>
      </c>
      <c r="J606" t="s">
        <v>150</v>
      </c>
      <c r="L606">
        <v>0</v>
      </c>
      <c r="M606" t="s">
        <v>125</v>
      </c>
      <c r="O606" t="s">
        <v>125</v>
      </c>
      <c r="P606" t="s">
        <v>125</v>
      </c>
      <c r="Q606" t="s">
        <v>125</v>
      </c>
      <c r="R606" t="s">
        <v>125</v>
      </c>
      <c r="S606" t="s">
        <v>125</v>
      </c>
      <c r="T606">
        <v>0</v>
      </c>
      <c r="V606" t="s">
        <v>125</v>
      </c>
      <c r="AE606" t="s">
        <v>125</v>
      </c>
      <c r="AF606">
        <v>0</v>
      </c>
      <c r="AG606" t="s">
        <v>125</v>
      </c>
      <c r="AH606">
        <v>0</v>
      </c>
      <c r="AK606">
        <v>0</v>
      </c>
    </row>
    <row r="607" spans="1:37" x14ac:dyDescent="0.25">
      <c r="A607" t="s">
        <v>79</v>
      </c>
      <c r="B607">
        <v>3</v>
      </c>
      <c r="C607">
        <v>1</v>
      </c>
      <c r="D607">
        <v>4</v>
      </c>
      <c r="E607">
        <v>11</v>
      </c>
      <c r="G607">
        <v>314</v>
      </c>
      <c r="H607" t="s">
        <v>63</v>
      </c>
      <c r="I607" t="s">
        <v>131</v>
      </c>
      <c r="J607" t="s">
        <v>151</v>
      </c>
      <c r="L607">
        <v>0</v>
      </c>
      <c r="M607" t="s">
        <v>125</v>
      </c>
      <c r="O607" t="s">
        <v>125</v>
      </c>
      <c r="P607" t="s">
        <v>125</v>
      </c>
      <c r="Q607" t="s">
        <v>125</v>
      </c>
      <c r="R607" t="s">
        <v>125</v>
      </c>
      <c r="S607" t="s">
        <v>125</v>
      </c>
      <c r="T607">
        <v>0</v>
      </c>
      <c r="V607" t="s">
        <v>125</v>
      </c>
      <c r="AE607" t="s">
        <v>125</v>
      </c>
      <c r="AF607">
        <v>0</v>
      </c>
      <c r="AG607" t="s">
        <v>125</v>
      </c>
      <c r="AH607">
        <v>0</v>
      </c>
      <c r="AK607">
        <v>0</v>
      </c>
    </row>
    <row r="608" spans="1:37" x14ac:dyDescent="0.25">
      <c r="A608" t="s">
        <v>79</v>
      </c>
      <c r="B608">
        <v>3</v>
      </c>
      <c r="C608">
        <v>1</v>
      </c>
      <c r="D608">
        <v>4</v>
      </c>
      <c r="E608">
        <v>12</v>
      </c>
      <c r="G608">
        <v>314</v>
      </c>
      <c r="H608" t="s">
        <v>63</v>
      </c>
      <c r="I608" t="s">
        <v>133</v>
      </c>
      <c r="J608" t="s">
        <v>152</v>
      </c>
      <c r="L608">
        <v>0</v>
      </c>
      <c r="M608" t="s">
        <v>125</v>
      </c>
      <c r="O608" t="s">
        <v>125</v>
      </c>
      <c r="P608" t="s">
        <v>125</v>
      </c>
      <c r="Q608" t="s">
        <v>125</v>
      </c>
      <c r="R608" t="s">
        <v>125</v>
      </c>
      <c r="S608" t="s">
        <v>125</v>
      </c>
      <c r="T608">
        <v>0</v>
      </c>
      <c r="V608" t="s">
        <v>125</v>
      </c>
      <c r="AE608" t="s">
        <v>125</v>
      </c>
      <c r="AF608">
        <v>0</v>
      </c>
      <c r="AG608" t="s">
        <v>125</v>
      </c>
      <c r="AH608">
        <v>0</v>
      </c>
      <c r="AK608">
        <v>0</v>
      </c>
    </row>
    <row r="609" spans="1:37" x14ac:dyDescent="0.25">
      <c r="A609" t="s">
        <v>79</v>
      </c>
      <c r="B609">
        <v>3</v>
      </c>
      <c r="C609">
        <v>1</v>
      </c>
      <c r="D609">
        <v>4</v>
      </c>
      <c r="E609">
        <v>13</v>
      </c>
      <c r="G609">
        <v>314</v>
      </c>
      <c r="H609" t="s">
        <v>63</v>
      </c>
      <c r="I609" t="s">
        <v>135</v>
      </c>
      <c r="J609" t="s">
        <v>153</v>
      </c>
      <c r="L609">
        <v>0</v>
      </c>
      <c r="M609" t="s">
        <v>125</v>
      </c>
      <c r="O609" t="s">
        <v>125</v>
      </c>
      <c r="P609" t="s">
        <v>125</v>
      </c>
      <c r="Q609" t="s">
        <v>125</v>
      </c>
      <c r="R609" t="s">
        <v>125</v>
      </c>
      <c r="S609" t="s">
        <v>125</v>
      </c>
      <c r="T609">
        <v>0</v>
      </c>
      <c r="V609" t="s">
        <v>125</v>
      </c>
      <c r="AE609" t="s">
        <v>125</v>
      </c>
      <c r="AF609">
        <v>0</v>
      </c>
      <c r="AG609" t="s">
        <v>125</v>
      </c>
      <c r="AH609">
        <v>0</v>
      </c>
      <c r="AK609">
        <v>0</v>
      </c>
    </row>
    <row r="610" spans="1:37" x14ac:dyDescent="0.25">
      <c r="A610" t="s">
        <v>79</v>
      </c>
      <c r="B610">
        <v>3</v>
      </c>
      <c r="C610">
        <v>1</v>
      </c>
      <c r="D610">
        <v>4</v>
      </c>
      <c r="E610">
        <v>14</v>
      </c>
      <c r="G610">
        <v>314</v>
      </c>
      <c r="H610" t="s">
        <v>63</v>
      </c>
      <c r="I610" t="s">
        <v>137</v>
      </c>
      <c r="J610" t="s">
        <v>154</v>
      </c>
      <c r="L610">
        <v>0</v>
      </c>
      <c r="M610" t="s">
        <v>125</v>
      </c>
      <c r="O610" t="s">
        <v>125</v>
      </c>
      <c r="P610" t="s">
        <v>125</v>
      </c>
      <c r="Q610" t="s">
        <v>125</v>
      </c>
      <c r="R610" t="s">
        <v>125</v>
      </c>
      <c r="S610" t="s">
        <v>125</v>
      </c>
      <c r="T610">
        <v>0</v>
      </c>
      <c r="V610" t="s">
        <v>125</v>
      </c>
      <c r="AE610" t="s">
        <v>125</v>
      </c>
      <c r="AF610">
        <v>0</v>
      </c>
      <c r="AG610" t="s">
        <v>125</v>
      </c>
      <c r="AH610">
        <v>0</v>
      </c>
      <c r="AK610">
        <v>0</v>
      </c>
    </row>
    <row r="611" spans="1:37" x14ac:dyDescent="0.25">
      <c r="A611" t="s">
        <v>79</v>
      </c>
      <c r="B611">
        <v>3</v>
      </c>
      <c r="C611">
        <v>1</v>
      </c>
      <c r="D611">
        <v>4</v>
      </c>
      <c r="E611">
        <v>15</v>
      </c>
      <c r="G611">
        <v>314</v>
      </c>
      <c r="H611" t="s">
        <v>63</v>
      </c>
      <c r="I611" t="s">
        <v>139</v>
      </c>
      <c r="J611" t="s">
        <v>155</v>
      </c>
      <c r="L611">
        <v>0</v>
      </c>
      <c r="M611" t="s">
        <v>125</v>
      </c>
      <c r="O611" t="s">
        <v>125</v>
      </c>
      <c r="P611" t="s">
        <v>125</v>
      </c>
      <c r="Q611" t="s">
        <v>125</v>
      </c>
      <c r="R611" t="s">
        <v>125</v>
      </c>
      <c r="S611" t="s">
        <v>125</v>
      </c>
      <c r="T611">
        <v>0</v>
      </c>
      <c r="V611" t="s">
        <v>125</v>
      </c>
      <c r="AE611" t="s">
        <v>125</v>
      </c>
      <c r="AF611">
        <v>0</v>
      </c>
      <c r="AG611" t="s">
        <v>125</v>
      </c>
      <c r="AH611">
        <v>0</v>
      </c>
      <c r="AK611">
        <v>0</v>
      </c>
    </row>
    <row r="612" spans="1:37" x14ac:dyDescent="0.25">
      <c r="L612">
        <v>0</v>
      </c>
    </row>
    <row r="613" spans="1:37" x14ac:dyDescent="0.25">
      <c r="A613" t="s">
        <v>70</v>
      </c>
      <c r="B613">
        <v>3</v>
      </c>
      <c r="C613">
        <v>1</v>
      </c>
      <c r="D613">
        <v>5</v>
      </c>
      <c r="G613">
        <v>31</v>
      </c>
      <c r="L613">
        <v>0</v>
      </c>
      <c r="M613" t="s">
        <v>125</v>
      </c>
      <c r="P613" t="s">
        <v>125</v>
      </c>
      <c r="R613" t="s">
        <v>125</v>
      </c>
      <c r="S613" t="s">
        <v>63</v>
      </c>
      <c r="V613" t="s">
        <v>125</v>
      </c>
      <c r="X613" t="s">
        <v>125</v>
      </c>
      <c r="Y613" t="s">
        <v>125</v>
      </c>
      <c r="Z613" t="s">
        <v>125</v>
      </c>
      <c r="AA613" t="s">
        <v>125</v>
      </c>
      <c r="AB613" t="s">
        <v>125</v>
      </c>
      <c r="AC613" t="s">
        <v>125</v>
      </c>
      <c r="AE613" t="s">
        <v>125</v>
      </c>
      <c r="AF613">
        <v>0</v>
      </c>
      <c r="AG613" t="s">
        <v>125</v>
      </c>
      <c r="AH613">
        <v>0</v>
      </c>
      <c r="AK613">
        <v>0</v>
      </c>
    </row>
    <row r="614" spans="1:37" x14ac:dyDescent="0.25">
      <c r="A614" t="s">
        <v>79</v>
      </c>
      <c r="B614">
        <v>3</v>
      </c>
      <c r="C614">
        <v>1</v>
      </c>
      <c r="D614">
        <v>5</v>
      </c>
      <c r="E614">
        <v>1</v>
      </c>
      <c r="G614">
        <v>315</v>
      </c>
      <c r="H614" t="s">
        <v>63</v>
      </c>
      <c r="I614" t="s">
        <v>80</v>
      </c>
      <c r="J614" t="s">
        <v>141</v>
      </c>
      <c r="L614">
        <v>0</v>
      </c>
      <c r="M614" t="s">
        <v>125</v>
      </c>
      <c r="O614" t="s">
        <v>125</v>
      </c>
      <c r="P614" t="s">
        <v>125</v>
      </c>
      <c r="Q614" t="s">
        <v>125</v>
      </c>
      <c r="R614" t="s">
        <v>125</v>
      </c>
      <c r="S614" t="s">
        <v>125</v>
      </c>
      <c r="T614">
        <v>0</v>
      </c>
      <c r="V614" t="s">
        <v>125</v>
      </c>
      <c r="AE614" t="s">
        <v>125</v>
      </c>
      <c r="AF614">
        <v>0</v>
      </c>
      <c r="AG614" t="s">
        <v>125</v>
      </c>
      <c r="AH614">
        <v>0</v>
      </c>
      <c r="AK614">
        <v>0</v>
      </c>
    </row>
    <row r="615" spans="1:37" x14ac:dyDescent="0.25">
      <c r="A615" t="s">
        <v>79</v>
      </c>
      <c r="B615">
        <v>3</v>
      </c>
      <c r="C615">
        <v>1</v>
      </c>
      <c r="D615">
        <v>5</v>
      </c>
      <c r="E615">
        <v>2</v>
      </c>
      <c r="G615">
        <v>315</v>
      </c>
      <c r="H615" t="s">
        <v>63</v>
      </c>
      <c r="I615" t="s">
        <v>88</v>
      </c>
      <c r="J615" t="s">
        <v>142</v>
      </c>
      <c r="L615">
        <v>0</v>
      </c>
      <c r="M615" t="s">
        <v>125</v>
      </c>
      <c r="O615" t="s">
        <v>125</v>
      </c>
      <c r="P615" t="s">
        <v>125</v>
      </c>
      <c r="Q615" t="s">
        <v>125</v>
      </c>
      <c r="R615" t="s">
        <v>125</v>
      </c>
      <c r="S615" t="s">
        <v>125</v>
      </c>
      <c r="T615">
        <v>0</v>
      </c>
      <c r="V615" t="s">
        <v>125</v>
      </c>
      <c r="AE615" t="s">
        <v>125</v>
      </c>
      <c r="AF615">
        <v>0</v>
      </c>
      <c r="AG615" t="s">
        <v>125</v>
      </c>
      <c r="AH615">
        <v>0</v>
      </c>
      <c r="AK615">
        <v>0</v>
      </c>
    </row>
    <row r="616" spans="1:37" x14ac:dyDescent="0.25">
      <c r="A616" t="s">
        <v>79</v>
      </c>
      <c r="B616">
        <v>3</v>
      </c>
      <c r="C616">
        <v>1</v>
      </c>
      <c r="D616">
        <v>5</v>
      </c>
      <c r="E616">
        <v>3</v>
      </c>
      <c r="G616">
        <v>315</v>
      </c>
      <c r="H616" t="s">
        <v>63</v>
      </c>
      <c r="I616" t="s">
        <v>95</v>
      </c>
      <c r="J616" t="s">
        <v>143</v>
      </c>
      <c r="L616">
        <v>0</v>
      </c>
      <c r="M616" t="s">
        <v>125</v>
      </c>
      <c r="O616" t="s">
        <v>125</v>
      </c>
      <c r="P616" t="s">
        <v>125</v>
      </c>
      <c r="Q616" t="s">
        <v>125</v>
      </c>
      <c r="R616" t="s">
        <v>125</v>
      </c>
      <c r="S616" t="s">
        <v>125</v>
      </c>
      <c r="T616">
        <v>0</v>
      </c>
      <c r="V616" t="s">
        <v>125</v>
      </c>
      <c r="AE616" t="s">
        <v>125</v>
      </c>
      <c r="AF616">
        <v>0</v>
      </c>
      <c r="AG616" t="s">
        <v>125</v>
      </c>
      <c r="AH616">
        <v>0</v>
      </c>
      <c r="AK616">
        <v>0</v>
      </c>
    </row>
    <row r="617" spans="1:37" x14ac:dyDescent="0.25">
      <c r="A617" t="s">
        <v>79</v>
      </c>
      <c r="B617">
        <v>3</v>
      </c>
      <c r="C617">
        <v>1</v>
      </c>
      <c r="D617">
        <v>5</v>
      </c>
      <c r="E617">
        <v>4</v>
      </c>
      <c r="G617">
        <v>315</v>
      </c>
      <c r="H617" t="s">
        <v>63</v>
      </c>
      <c r="I617" t="s">
        <v>102</v>
      </c>
      <c r="J617" t="s">
        <v>144</v>
      </c>
      <c r="L617">
        <v>0</v>
      </c>
      <c r="M617" t="s">
        <v>125</v>
      </c>
      <c r="O617" t="s">
        <v>125</v>
      </c>
      <c r="P617" t="s">
        <v>125</v>
      </c>
      <c r="Q617" t="s">
        <v>125</v>
      </c>
      <c r="R617" t="s">
        <v>125</v>
      </c>
      <c r="S617" t="s">
        <v>125</v>
      </c>
      <c r="T617">
        <v>0</v>
      </c>
      <c r="V617" t="s">
        <v>125</v>
      </c>
      <c r="AE617" t="s">
        <v>125</v>
      </c>
      <c r="AF617">
        <v>0</v>
      </c>
      <c r="AG617" t="s">
        <v>125</v>
      </c>
      <c r="AH617">
        <v>0</v>
      </c>
      <c r="AK617">
        <v>0</v>
      </c>
    </row>
    <row r="618" spans="1:37" x14ac:dyDescent="0.25">
      <c r="A618" t="s">
        <v>79</v>
      </c>
      <c r="B618">
        <v>3</v>
      </c>
      <c r="C618">
        <v>1</v>
      </c>
      <c r="D618">
        <v>5</v>
      </c>
      <c r="E618">
        <v>5</v>
      </c>
      <c r="G618">
        <v>315</v>
      </c>
      <c r="H618" t="s">
        <v>63</v>
      </c>
      <c r="I618" t="s">
        <v>109</v>
      </c>
      <c r="J618" t="s">
        <v>145</v>
      </c>
      <c r="L618">
        <v>0</v>
      </c>
      <c r="M618" t="s">
        <v>125</v>
      </c>
      <c r="O618" t="s">
        <v>125</v>
      </c>
      <c r="P618" t="s">
        <v>125</v>
      </c>
      <c r="Q618" t="s">
        <v>125</v>
      </c>
      <c r="R618" t="s">
        <v>125</v>
      </c>
      <c r="S618" t="s">
        <v>125</v>
      </c>
      <c r="T618">
        <v>0</v>
      </c>
      <c r="V618" t="s">
        <v>125</v>
      </c>
      <c r="AE618" t="s">
        <v>125</v>
      </c>
      <c r="AF618">
        <v>0</v>
      </c>
      <c r="AG618" t="s">
        <v>125</v>
      </c>
      <c r="AH618">
        <v>0</v>
      </c>
      <c r="AK618">
        <v>0</v>
      </c>
    </row>
    <row r="619" spans="1:37" x14ac:dyDescent="0.25">
      <c r="A619" t="s">
        <v>79</v>
      </c>
      <c r="B619">
        <v>3</v>
      </c>
      <c r="C619">
        <v>1</v>
      </c>
      <c r="D619">
        <v>5</v>
      </c>
      <c r="E619">
        <v>6</v>
      </c>
      <c r="G619">
        <v>315</v>
      </c>
      <c r="H619" t="s">
        <v>63</v>
      </c>
      <c r="I619" t="s">
        <v>116</v>
      </c>
      <c r="J619" t="s">
        <v>146</v>
      </c>
      <c r="L619">
        <v>0</v>
      </c>
      <c r="M619" t="s">
        <v>125</v>
      </c>
      <c r="O619" t="s">
        <v>125</v>
      </c>
      <c r="P619" t="s">
        <v>125</v>
      </c>
      <c r="Q619" t="s">
        <v>125</v>
      </c>
      <c r="R619" t="s">
        <v>125</v>
      </c>
      <c r="S619" t="s">
        <v>125</v>
      </c>
      <c r="T619">
        <v>0</v>
      </c>
      <c r="V619" t="s">
        <v>125</v>
      </c>
      <c r="AE619" t="s">
        <v>125</v>
      </c>
      <c r="AF619">
        <v>0</v>
      </c>
      <c r="AG619" t="s">
        <v>125</v>
      </c>
      <c r="AH619">
        <v>0</v>
      </c>
      <c r="AK619">
        <v>0</v>
      </c>
    </row>
    <row r="620" spans="1:37" x14ac:dyDescent="0.25">
      <c r="A620" t="s">
        <v>79</v>
      </c>
      <c r="B620">
        <v>3</v>
      </c>
      <c r="C620">
        <v>1</v>
      </c>
      <c r="D620">
        <v>5</v>
      </c>
      <c r="E620">
        <v>7</v>
      </c>
      <c r="G620">
        <v>315</v>
      </c>
      <c r="H620" t="s">
        <v>63</v>
      </c>
      <c r="I620" t="s">
        <v>123</v>
      </c>
      <c r="J620" t="s">
        <v>147</v>
      </c>
      <c r="L620">
        <v>0</v>
      </c>
      <c r="M620" t="s">
        <v>125</v>
      </c>
      <c r="O620" t="s">
        <v>125</v>
      </c>
      <c r="P620" t="s">
        <v>125</v>
      </c>
      <c r="Q620" t="s">
        <v>125</v>
      </c>
      <c r="R620" t="s">
        <v>125</v>
      </c>
      <c r="S620" t="s">
        <v>125</v>
      </c>
      <c r="T620">
        <v>0</v>
      </c>
      <c r="V620" t="s">
        <v>125</v>
      </c>
      <c r="AE620" t="s">
        <v>125</v>
      </c>
      <c r="AF620">
        <v>0</v>
      </c>
      <c r="AG620" t="s">
        <v>125</v>
      </c>
      <c r="AH620">
        <v>0</v>
      </c>
      <c r="AK620">
        <v>0</v>
      </c>
    </row>
    <row r="621" spans="1:37" x14ac:dyDescent="0.25">
      <c r="A621" t="s">
        <v>79</v>
      </c>
      <c r="B621">
        <v>3</v>
      </c>
      <c r="C621">
        <v>1</v>
      </c>
      <c r="D621">
        <v>5</v>
      </c>
      <c r="E621">
        <v>8</v>
      </c>
      <c r="G621">
        <v>315</v>
      </c>
      <c r="H621" t="s">
        <v>63</v>
      </c>
      <c r="I621" t="s">
        <v>126</v>
      </c>
      <c r="J621" t="s">
        <v>148</v>
      </c>
      <c r="L621">
        <v>0</v>
      </c>
      <c r="M621" t="s">
        <v>125</v>
      </c>
      <c r="O621" t="s">
        <v>125</v>
      </c>
      <c r="P621" t="s">
        <v>125</v>
      </c>
      <c r="Q621" t="s">
        <v>125</v>
      </c>
      <c r="R621" t="s">
        <v>125</v>
      </c>
      <c r="S621" t="s">
        <v>125</v>
      </c>
      <c r="T621">
        <v>0</v>
      </c>
      <c r="V621" t="s">
        <v>125</v>
      </c>
      <c r="AE621" t="s">
        <v>125</v>
      </c>
      <c r="AF621">
        <v>0</v>
      </c>
      <c r="AG621" t="s">
        <v>125</v>
      </c>
      <c r="AH621">
        <v>0</v>
      </c>
      <c r="AK621">
        <v>0</v>
      </c>
    </row>
    <row r="622" spans="1:37" x14ac:dyDescent="0.25">
      <c r="A622" t="s">
        <v>79</v>
      </c>
      <c r="B622">
        <v>3</v>
      </c>
      <c r="C622">
        <v>1</v>
      </c>
      <c r="D622">
        <v>5</v>
      </c>
      <c r="E622">
        <v>9</v>
      </c>
      <c r="G622">
        <v>315</v>
      </c>
      <c r="H622" t="s">
        <v>63</v>
      </c>
      <c r="I622" t="s">
        <v>74</v>
      </c>
      <c r="J622" t="s">
        <v>149</v>
      </c>
      <c r="L622">
        <v>0</v>
      </c>
      <c r="M622" t="s">
        <v>125</v>
      </c>
      <c r="O622" t="s">
        <v>125</v>
      </c>
      <c r="P622" t="s">
        <v>125</v>
      </c>
      <c r="Q622" t="s">
        <v>125</v>
      </c>
      <c r="R622" t="s">
        <v>125</v>
      </c>
      <c r="S622" t="s">
        <v>125</v>
      </c>
      <c r="T622">
        <v>0</v>
      </c>
      <c r="V622" t="s">
        <v>125</v>
      </c>
      <c r="AE622" t="s">
        <v>125</v>
      </c>
      <c r="AF622">
        <v>0</v>
      </c>
      <c r="AG622" t="s">
        <v>125</v>
      </c>
      <c r="AH622">
        <v>0</v>
      </c>
      <c r="AK622">
        <v>0</v>
      </c>
    </row>
    <row r="623" spans="1:37" x14ac:dyDescent="0.25">
      <c r="A623" t="s">
        <v>79</v>
      </c>
      <c r="B623">
        <v>3</v>
      </c>
      <c r="C623">
        <v>1</v>
      </c>
      <c r="D623">
        <v>5</v>
      </c>
      <c r="E623">
        <v>10</v>
      </c>
      <c r="G623">
        <v>315</v>
      </c>
      <c r="H623" t="s">
        <v>63</v>
      </c>
      <c r="I623" t="s">
        <v>129</v>
      </c>
      <c r="J623" t="s">
        <v>150</v>
      </c>
      <c r="L623">
        <v>0</v>
      </c>
      <c r="M623" t="s">
        <v>125</v>
      </c>
      <c r="O623" t="s">
        <v>125</v>
      </c>
      <c r="P623" t="s">
        <v>125</v>
      </c>
      <c r="Q623" t="s">
        <v>125</v>
      </c>
      <c r="R623" t="s">
        <v>125</v>
      </c>
      <c r="S623" t="s">
        <v>125</v>
      </c>
      <c r="T623">
        <v>0</v>
      </c>
      <c r="V623" t="s">
        <v>125</v>
      </c>
      <c r="AE623" t="s">
        <v>125</v>
      </c>
      <c r="AF623">
        <v>0</v>
      </c>
      <c r="AG623" t="s">
        <v>125</v>
      </c>
      <c r="AH623">
        <v>0</v>
      </c>
      <c r="AK623">
        <v>0</v>
      </c>
    </row>
    <row r="624" spans="1:37" x14ac:dyDescent="0.25">
      <c r="A624" t="s">
        <v>79</v>
      </c>
      <c r="B624">
        <v>3</v>
      </c>
      <c r="C624">
        <v>1</v>
      </c>
      <c r="D624">
        <v>5</v>
      </c>
      <c r="E624">
        <v>11</v>
      </c>
      <c r="G624">
        <v>315</v>
      </c>
      <c r="H624" t="s">
        <v>63</v>
      </c>
      <c r="I624" t="s">
        <v>131</v>
      </c>
      <c r="J624" t="s">
        <v>151</v>
      </c>
      <c r="L624">
        <v>0</v>
      </c>
      <c r="M624" t="s">
        <v>125</v>
      </c>
      <c r="O624" t="s">
        <v>125</v>
      </c>
      <c r="P624" t="s">
        <v>125</v>
      </c>
      <c r="Q624" t="s">
        <v>125</v>
      </c>
      <c r="R624" t="s">
        <v>125</v>
      </c>
      <c r="S624" t="s">
        <v>125</v>
      </c>
      <c r="T624">
        <v>0</v>
      </c>
      <c r="V624" t="s">
        <v>125</v>
      </c>
      <c r="AE624" t="s">
        <v>125</v>
      </c>
      <c r="AF624">
        <v>0</v>
      </c>
      <c r="AG624" t="s">
        <v>125</v>
      </c>
      <c r="AH624">
        <v>0</v>
      </c>
      <c r="AK624">
        <v>0</v>
      </c>
    </row>
    <row r="625" spans="1:37" x14ac:dyDescent="0.25">
      <c r="A625" t="s">
        <v>79</v>
      </c>
      <c r="B625">
        <v>3</v>
      </c>
      <c r="C625">
        <v>1</v>
      </c>
      <c r="D625">
        <v>5</v>
      </c>
      <c r="E625">
        <v>12</v>
      </c>
      <c r="G625">
        <v>315</v>
      </c>
      <c r="H625" t="s">
        <v>63</v>
      </c>
      <c r="I625" t="s">
        <v>133</v>
      </c>
      <c r="J625" t="s">
        <v>152</v>
      </c>
      <c r="L625">
        <v>0</v>
      </c>
      <c r="M625" t="s">
        <v>125</v>
      </c>
      <c r="O625" t="s">
        <v>125</v>
      </c>
      <c r="P625" t="s">
        <v>125</v>
      </c>
      <c r="Q625" t="s">
        <v>125</v>
      </c>
      <c r="R625" t="s">
        <v>125</v>
      </c>
      <c r="S625" t="s">
        <v>125</v>
      </c>
      <c r="T625">
        <v>0</v>
      </c>
      <c r="V625" t="s">
        <v>125</v>
      </c>
      <c r="AE625" t="s">
        <v>125</v>
      </c>
      <c r="AF625">
        <v>0</v>
      </c>
      <c r="AG625" t="s">
        <v>125</v>
      </c>
      <c r="AH625">
        <v>0</v>
      </c>
      <c r="AK625">
        <v>0</v>
      </c>
    </row>
    <row r="626" spans="1:37" x14ac:dyDescent="0.25">
      <c r="A626" t="s">
        <v>79</v>
      </c>
      <c r="B626">
        <v>3</v>
      </c>
      <c r="C626">
        <v>1</v>
      </c>
      <c r="D626">
        <v>5</v>
      </c>
      <c r="E626">
        <v>13</v>
      </c>
      <c r="G626">
        <v>315</v>
      </c>
      <c r="H626" t="s">
        <v>63</v>
      </c>
      <c r="I626" t="s">
        <v>135</v>
      </c>
      <c r="J626" t="s">
        <v>153</v>
      </c>
      <c r="L626">
        <v>0</v>
      </c>
      <c r="M626" t="s">
        <v>125</v>
      </c>
      <c r="O626" t="s">
        <v>125</v>
      </c>
      <c r="P626" t="s">
        <v>125</v>
      </c>
      <c r="Q626" t="s">
        <v>125</v>
      </c>
      <c r="R626" t="s">
        <v>125</v>
      </c>
      <c r="S626" t="s">
        <v>125</v>
      </c>
      <c r="T626">
        <v>0</v>
      </c>
      <c r="V626" t="s">
        <v>125</v>
      </c>
      <c r="AE626" t="s">
        <v>125</v>
      </c>
      <c r="AF626">
        <v>0</v>
      </c>
      <c r="AG626" t="s">
        <v>125</v>
      </c>
      <c r="AH626">
        <v>0</v>
      </c>
      <c r="AK626">
        <v>0</v>
      </c>
    </row>
    <row r="627" spans="1:37" x14ac:dyDescent="0.25">
      <c r="A627" t="s">
        <v>79</v>
      </c>
      <c r="B627">
        <v>3</v>
      </c>
      <c r="C627">
        <v>1</v>
      </c>
      <c r="D627">
        <v>5</v>
      </c>
      <c r="E627">
        <v>14</v>
      </c>
      <c r="G627">
        <v>315</v>
      </c>
      <c r="H627" t="s">
        <v>63</v>
      </c>
      <c r="I627" t="s">
        <v>137</v>
      </c>
      <c r="J627" t="s">
        <v>154</v>
      </c>
      <c r="L627">
        <v>0</v>
      </c>
      <c r="M627" t="s">
        <v>125</v>
      </c>
      <c r="O627" t="s">
        <v>125</v>
      </c>
      <c r="P627" t="s">
        <v>125</v>
      </c>
      <c r="Q627" t="s">
        <v>125</v>
      </c>
      <c r="R627" t="s">
        <v>125</v>
      </c>
      <c r="S627" t="s">
        <v>125</v>
      </c>
      <c r="T627">
        <v>0</v>
      </c>
      <c r="V627" t="s">
        <v>125</v>
      </c>
      <c r="AE627" t="s">
        <v>125</v>
      </c>
      <c r="AF627">
        <v>0</v>
      </c>
      <c r="AG627" t="s">
        <v>125</v>
      </c>
      <c r="AH627">
        <v>0</v>
      </c>
      <c r="AK627">
        <v>0</v>
      </c>
    </row>
    <row r="628" spans="1:37" x14ac:dyDescent="0.25">
      <c r="A628" t="s">
        <v>79</v>
      </c>
      <c r="B628">
        <v>3</v>
      </c>
      <c r="C628">
        <v>1</v>
      </c>
      <c r="D628">
        <v>5</v>
      </c>
      <c r="E628">
        <v>15</v>
      </c>
      <c r="G628">
        <v>315</v>
      </c>
      <c r="H628" t="s">
        <v>63</v>
      </c>
      <c r="I628" t="s">
        <v>139</v>
      </c>
      <c r="J628" t="s">
        <v>155</v>
      </c>
      <c r="L628">
        <v>0</v>
      </c>
      <c r="M628" t="s">
        <v>125</v>
      </c>
      <c r="O628" t="s">
        <v>125</v>
      </c>
      <c r="P628" t="s">
        <v>125</v>
      </c>
      <c r="Q628" t="s">
        <v>125</v>
      </c>
      <c r="R628" t="s">
        <v>125</v>
      </c>
      <c r="S628" t="s">
        <v>125</v>
      </c>
      <c r="T628">
        <v>0</v>
      </c>
      <c r="V628" t="s">
        <v>125</v>
      </c>
      <c r="AE628" t="s">
        <v>125</v>
      </c>
      <c r="AF628">
        <v>0</v>
      </c>
      <c r="AG628" t="s">
        <v>125</v>
      </c>
      <c r="AH628">
        <v>0</v>
      </c>
      <c r="AK628">
        <v>0</v>
      </c>
    </row>
    <row r="629" spans="1:37" x14ac:dyDescent="0.25">
      <c r="L629">
        <v>0</v>
      </c>
    </row>
    <row r="630" spans="1:37" x14ac:dyDescent="0.25">
      <c r="L630">
        <v>0</v>
      </c>
    </row>
    <row r="631" spans="1:37" x14ac:dyDescent="0.25">
      <c r="A631" t="s">
        <v>66</v>
      </c>
      <c r="B631">
        <v>3</v>
      </c>
      <c r="C631">
        <v>2</v>
      </c>
      <c r="G631">
        <v>3</v>
      </c>
      <c r="H631" t="s">
        <v>1021</v>
      </c>
      <c r="I631" t="s">
        <v>1124</v>
      </c>
      <c r="L631">
        <v>0</v>
      </c>
      <c r="M631" t="s">
        <v>125</v>
      </c>
      <c r="N631" t="s">
        <v>125</v>
      </c>
      <c r="V631" t="s">
        <v>63</v>
      </c>
      <c r="Y631" t="s">
        <v>63</v>
      </c>
      <c r="AA631" t="s">
        <v>63</v>
      </c>
      <c r="AC631" t="s">
        <v>63</v>
      </c>
      <c r="AE631" t="s">
        <v>63</v>
      </c>
      <c r="AF631">
        <v>0</v>
      </c>
      <c r="AG631" t="s">
        <v>63</v>
      </c>
      <c r="AH631">
        <v>0</v>
      </c>
      <c r="AK631">
        <v>0</v>
      </c>
    </row>
    <row r="632" spans="1:37" x14ac:dyDescent="0.25">
      <c r="L632">
        <v>0</v>
      </c>
    </row>
    <row r="633" spans="1:37" x14ac:dyDescent="0.25">
      <c r="A633" t="s">
        <v>70</v>
      </c>
      <c r="B633">
        <v>3</v>
      </c>
      <c r="C633">
        <v>2</v>
      </c>
      <c r="D633">
        <v>1</v>
      </c>
      <c r="G633">
        <v>32</v>
      </c>
      <c r="L633">
        <v>0</v>
      </c>
      <c r="M633" t="s">
        <v>125</v>
      </c>
      <c r="P633" t="s">
        <v>125</v>
      </c>
      <c r="R633" t="s">
        <v>125</v>
      </c>
      <c r="S633" t="s">
        <v>63</v>
      </c>
      <c r="V633" t="s">
        <v>125</v>
      </c>
      <c r="X633" t="s">
        <v>125</v>
      </c>
      <c r="Y633" t="s">
        <v>125</v>
      </c>
      <c r="Z633" t="s">
        <v>125</v>
      </c>
      <c r="AA633" t="s">
        <v>125</v>
      </c>
      <c r="AB633" t="s">
        <v>125</v>
      </c>
      <c r="AC633" t="s">
        <v>125</v>
      </c>
      <c r="AE633" t="s">
        <v>125</v>
      </c>
      <c r="AF633">
        <v>0</v>
      </c>
      <c r="AG633" t="s">
        <v>125</v>
      </c>
      <c r="AH633">
        <v>0</v>
      </c>
      <c r="AK633">
        <v>0</v>
      </c>
    </row>
    <row r="634" spans="1:37" x14ac:dyDescent="0.25">
      <c r="A634" t="s">
        <v>79</v>
      </c>
      <c r="B634">
        <v>3</v>
      </c>
      <c r="C634">
        <v>2</v>
      </c>
      <c r="D634">
        <v>1</v>
      </c>
      <c r="E634">
        <v>1</v>
      </c>
      <c r="G634">
        <v>321</v>
      </c>
      <c r="H634" t="s">
        <v>63</v>
      </c>
      <c r="I634" t="s">
        <v>80</v>
      </c>
      <c r="J634" t="s">
        <v>141</v>
      </c>
      <c r="L634">
        <v>0</v>
      </c>
      <c r="M634" t="s">
        <v>125</v>
      </c>
      <c r="O634" t="s">
        <v>125</v>
      </c>
      <c r="P634" t="s">
        <v>125</v>
      </c>
      <c r="Q634" t="s">
        <v>125</v>
      </c>
      <c r="R634" t="s">
        <v>125</v>
      </c>
      <c r="S634" t="s">
        <v>125</v>
      </c>
      <c r="T634">
        <v>0</v>
      </c>
      <c r="V634" t="s">
        <v>125</v>
      </c>
      <c r="AE634" t="s">
        <v>125</v>
      </c>
      <c r="AF634">
        <v>0</v>
      </c>
      <c r="AG634" t="s">
        <v>125</v>
      </c>
      <c r="AH634">
        <v>0</v>
      </c>
      <c r="AK634">
        <v>0</v>
      </c>
    </row>
    <row r="635" spans="1:37" x14ac:dyDescent="0.25">
      <c r="A635" t="s">
        <v>79</v>
      </c>
      <c r="B635">
        <v>3</v>
      </c>
      <c r="C635">
        <v>2</v>
      </c>
      <c r="D635">
        <v>1</v>
      </c>
      <c r="E635">
        <v>2</v>
      </c>
      <c r="G635">
        <v>321</v>
      </c>
      <c r="H635" t="s">
        <v>63</v>
      </c>
      <c r="I635" t="s">
        <v>88</v>
      </c>
      <c r="J635" t="s">
        <v>142</v>
      </c>
      <c r="L635">
        <v>0</v>
      </c>
      <c r="M635" t="s">
        <v>125</v>
      </c>
      <c r="O635" t="s">
        <v>125</v>
      </c>
      <c r="P635" t="s">
        <v>125</v>
      </c>
      <c r="Q635" t="s">
        <v>125</v>
      </c>
      <c r="R635" t="s">
        <v>125</v>
      </c>
      <c r="S635" t="s">
        <v>125</v>
      </c>
      <c r="T635">
        <v>0</v>
      </c>
      <c r="V635" t="s">
        <v>125</v>
      </c>
      <c r="AE635" t="s">
        <v>125</v>
      </c>
      <c r="AF635">
        <v>0</v>
      </c>
      <c r="AG635" t="s">
        <v>125</v>
      </c>
      <c r="AH635">
        <v>0</v>
      </c>
      <c r="AK635">
        <v>0</v>
      </c>
    </row>
    <row r="636" spans="1:37" x14ac:dyDescent="0.25">
      <c r="A636" t="s">
        <v>79</v>
      </c>
      <c r="B636">
        <v>3</v>
      </c>
      <c r="C636">
        <v>2</v>
      </c>
      <c r="D636">
        <v>1</v>
      </c>
      <c r="E636">
        <v>3</v>
      </c>
      <c r="G636">
        <v>321</v>
      </c>
      <c r="H636" t="s">
        <v>63</v>
      </c>
      <c r="I636" t="s">
        <v>95</v>
      </c>
      <c r="J636" t="s">
        <v>143</v>
      </c>
      <c r="L636">
        <v>0</v>
      </c>
      <c r="M636" t="s">
        <v>125</v>
      </c>
      <c r="O636" t="s">
        <v>125</v>
      </c>
      <c r="P636" t="s">
        <v>125</v>
      </c>
      <c r="Q636" t="s">
        <v>125</v>
      </c>
      <c r="R636" t="s">
        <v>125</v>
      </c>
      <c r="S636" t="s">
        <v>125</v>
      </c>
      <c r="T636">
        <v>0</v>
      </c>
      <c r="V636" t="s">
        <v>125</v>
      </c>
      <c r="AE636" t="s">
        <v>125</v>
      </c>
      <c r="AF636">
        <v>0</v>
      </c>
      <c r="AG636" t="s">
        <v>125</v>
      </c>
      <c r="AH636">
        <v>0</v>
      </c>
      <c r="AK636">
        <v>0</v>
      </c>
    </row>
    <row r="637" spans="1:37" x14ac:dyDescent="0.25">
      <c r="A637" t="s">
        <v>79</v>
      </c>
      <c r="B637">
        <v>3</v>
      </c>
      <c r="C637">
        <v>2</v>
      </c>
      <c r="D637">
        <v>1</v>
      </c>
      <c r="E637">
        <v>4</v>
      </c>
      <c r="G637">
        <v>321</v>
      </c>
      <c r="H637" t="s">
        <v>63</v>
      </c>
      <c r="I637" t="s">
        <v>102</v>
      </c>
      <c r="J637" t="s">
        <v>144</v>
      </c>
      <c r="L637">
        <v>0</v>
      </c>
      <c r="M637" t="s">
        <v>125</v>
      </c>
      <c r="O637" t="s">
        <v>125</v>
      </c>
      <c r="P637" t="s">
        <v>125</v>
      </c>
      <c r="Q637" t="s">
        <v>125</v>
      </c>
      <c r="R637" t="s">
        <v>125</v>
      </c>
      <c r="S637" t="s">
        <v>125</v>
      </c>
      <c r="T637">
        <v>0</v>
      </c>
      <c r="V637" t="s">
        <v>125</v>
      </c>
      <c r="AE637" t="s">
        <v>125</v>
      </c>
      <c r="AF637">
        <v>0</v>
      </c>
      <c r="AG637" t="s">
        <v>125</v>
      </c>
      <c r="AH637">
        <v>0</v>
      </c>
      <c r="AK637">
        <v>0</v>
      </c>
    </row>
    <row r="638" spans="1:37" x14ac:dyDescent="0.25">
      <c r="A638" t="s">
        <v>79</v>
      </c>
      <c r="B638">
        <v>3</v>
      </c>
      <c r="C638">
        <v>2</v>
      </c>
      <c r="D638">
        <v>1</v>
      </c>
      <c r="E638">
        <v>5</v>
      </c>
      <c r="G638">
        <v>321</v>
      </c>
      <c r="H638" t="s">
        <v>63</v>
      </c>
      <c r="I638" t="s">
        <v>109</v>
      </c>
      <c r="J638" t="s">
        <v>145</v>
      </c>
      <c r="L638">
        <v>0</v>
      </c>
      <c r="M638" t="s">
        <v>125</v>
      </c>
      <c r="O638" t="s">
        <v>125</v>
      </c>
      <c r="P638" t="s">
        <v>125</v>
      </c>
      <c r="Q638" t="s">
        <v>125</v>
      </c>
      <c r="R638" t="s">
        <v>125</v>
      </c>
      <c r="S638" t="s">
        <v>125</v>
      </c>
      <c r="T638">
        <v>0</v>
      </c>
      <c r="V638" t="s">
        <v>125</v>
      </c>
      <c r="AE638" t="s">
        <v>125</v>
      </c>
      <c r="AF638">
        <v>0</v>
      </c>
      <c r="AG638" t="s">
        <v>125</v>
      </c>
      <c r="AH638">
        <v>0</v>
      </c>
      <c r="AK638">
        <v>0</v>
      </c>
    </row>
    <row r="639" spans="1:37" x14ac:dyDescent="0.25">
      <c r="A639" t="s">
        <v>79</v>
      </c>
      <c r="B639">
        <v>3</v>
      </c>
      <c r="C639">
        <v>2</v>
      </c>
      <c r="D639">
        <v>1</v>
      </c>
      <c r="E639">
        <v>6</v>
      </c>
      <c r="G639">
        <v>321</v>
      </c>
      <c r="H639" t="s">
        <v>63</v>
      </c>
      <c r="I639" t="s">
        <v>116</v>
      </c>
      <c r="J639" t="s">
        <v>146</v>
      </c>
      <c r="L639">
        <v>0</v>
      </c>
      <c r="M639" t="s">
        <v>125</v>
      </c>
      <c r="O639" t="s">
        <v>125</v>
      </c>
      <c r="P639" t="s">
        <v>125</v>
      </c>
      <c r="Q639" t="s">
        <v>125</v>
      </c>
      <c r="R639" t="s">
        <v>125</v>
      </c>
      <c r="S639" t="s">
        <v>125</v>
      </c>
      <c r="T639">
        <v>0</v>
      </c>
      <c r="V639" t="s">
        <v>125</v>
      </c>
      <c r="AE639" t="s">
        <v>125</v>
      </c>
      <c r="AF639">
        <v>0</v>
      </c>
      <c r="AG639" t="s">
        <v>125</v>
      </c>
      <c r="AH639">
        <v>0</v>
      </c>
      <c r="AK639">
        <v>0</v>
      </c>
    </row>
    <row r="640" spans="1:37" x14ac:dyDescent="0.25">
      <c r="A640" t="s">
        <v>79</v>
      </c>
      <c r="B640">
        <v>3</v>
      </c>
      <c r="C640">
        <v>2</v>
      </c>
      <c r="D640">
        <v>1</v>
      </c>
      <c r="E640">
        <v>7</v>
      </c>
      <c r="G640">
        <v>321</v>
      </c>
      <c r="H640" t="s">
        <v>63</v>
      </c>
      <c r="I640" t="s">
        <v>123</v>
      </c>
      <c r="J640" t="s">
        <v>147</v>
      </c>
      <c r="L640">
        <v>0</v>
      </c>
      <c r="M640" t="s">
        <v>125</v>
      </c>
      <c r="O640" t="s">
        <v>125</v>
      </c>
      <c r="P640" t="s">
        <v>125</v>
      </c>
      <c r="Q640" t="s">
        <v>125</v>
      </c>
      <c r="R640" t="s">
        <v>125</v>
      </c>
      <c r="S640" t="s">
        <v>125</v>
      </c>
      <c r="T640">
        <v>0</v>
      </c>
      <c r="V640" t="s">
        <v>125</v>
      </c>
      <c r="AE640" t="s">
        <v>125</v>
      </c>
      <c r="AF640">
        <v>0</v>
      </c>
      <c r="AG640" t="s">
        <v>125</v>
      </c>
      <c r="AH640">
        <v>0</v>
      </c>
      <c r="AK640">
        <v>0</v>
      </c>
    </row>
    <row r="641" spans="1:37" x14ac:dyDescent="0.25">
      <c r="A641" t="s">
        <v>79</v>
      </c>
      <c r="B641">
        <v>3</v>
      </c>
      <c r="C641">
        <v>2</v>
      </c>
      <c r="D641">
        <v>1</v>
      </c>
      <c r="E641">
        <v>8</v>
      </c>
      <c r="G641">
        <v>321</v>
      </c>
      <c r="H641" t="s">
        <v>63</v>
      </c>
      <c r="I641" t="s">
        <v>126</v>
      </c>
      <c r="J641" t="s">
        <v>148</v>
      </c>
      <c r="L641">
        <v>0</v>
      </c>
      <c r="M641" t="s">
        <v>125</v>
      </c>
      <c r="O641" t="s">
        <v>125</v>
      </c>
      <c r="P641" t="s">
        <v>125</v>
      </c>
      <c r="Q641" t="s">
        <v>125</v>
      </c>
      <c r="R641" t="s">
        <v>125</v>
      </c>
      <c r="S641" t="s">
        <v>125</v>
      </c>
      <c r="T641">
        <v>0</v>
      </c>
      <c r="V641" t="s">
        <v>125</v>
      </c>
      <c r="AE641" t="s">
        <v>125</v>
      </c>
      <c r="AF641">
        <v>0</v>
      </c>
      <c r="AG641" t="s">
        <v>125</v>
      </c>
      <c r="AH641">
        <v>0</v>
      </c>
      <c r="AK641">
        <v>0</v>
      </c>
    </row>
    <row r="642" spans="1:37" x14ac:dyDescent="0.25">
      <c r="A642" t="s">
        <v>79</v>
      </c>
      <c r="B642">
        <v>3</v>
      </c>
      <c r="C642">
        <v>2</v>
      </c>
      <c r="D642">
        <v>1</v>
      </c>
      <c r="E642">
        <v>9</v>
      </c>
      <c r="G642">
        <v>321</v>
      </c>
      <c r="H642" t="s">
        <v>63</v>
      </c>
      <c r="I642" t="s">
        <v>74</v>
      </c>
      <c r="J642" t="s">
        <v>149</v>
      </c>
      <c r="L642">
        <v>0</v>
      </c>
      <c r="M642" t="s">
        <v>125</v>
      </c>
      <c r="O642" t="s">
        <v>125</v>
      </c>
      <c r="P642" t="s">
        <v>125</v>
      </c>
      <c r="Q642" t="s">
        <v>125</v>
      </c>
      <c r="R642" t="s">
        <v>125</v>
      </c>
      <c r="S642" t="s">
        <v>125</v>
      </c>
      <c r="T642">
        <v>0</v>
      </c>
      <c r="V642" t="s">
        <v>125</v>
      </c>
      <c r="AE642" t="s">
        <v>125</v>
      </c>
      <c r="AF642">
        <v>0</v>
      </c>
      <c r="AG642" t="s">
        <v>125</v>
      </c>
      <c r="AH642">
        <v>0</v>
      </c>
      <c r="AK642">
        <v>0</v>
      </c>
    </row>
    <row r="643" spans="1:37" x14ac:dyDescent="0.25">
      <c r="A643" t="s">
        <v>79</v>
      </c>
      <c r="B643">
        <v>3</v>
      </c>
      <c r="C643">
        <v>2</v>
      </c>
      <c r="D643">
        <v>1</v>
      </c>
      <c r="E643">
        <v>10</v>
      </c>
      <c r="G643">
        <v>321</v>
      </c>
      <c r="H643" t="s">
        <v>63</v>
      </c>
      <c r="I643" t="s">
        <v>129</v>
      </c>
      <c r="J643" t="s">
        <v>150</v>
      </c>
      <c r="L643">
        <v>0</v>
      </c>
      <c r="M643" t="s">
        <v>125</v>
      </c>
      <c r="O643" t="s">
        <v>125</v>
      </c>
      <c r="P643" t="s">
        <v>125</v>
      </c>
      <c r="Q643" t="s">
        <v>125</v>
      </c>
      <c r="R643" t="s">
        <v>125</v>
      </c>
      <c r="S643" t="s">
        <v>125</v>
      </c>
      <c r="T643">
        <v>0</v>
      </c>
      <c r="V643" t="s">
        <v>125</v>
      </c>
      <c r="AE643" t="s">
        <v>125</v>
      </c>
      <c r="AF643">
        <v>0</v>
      </c>
      <c r="AG643" t="s">
        <v>125</v>
      </c>
      <c r="AH643">
        <v>0</v>
      </c>
      <c r="AK643">
        <v>0</v>
      </c>
    </row>
    <row r="644" spans="1:37" x14ac:dyDescent="0.25">
      <c r="A644" t="s">
        <v>79</v>
      </c>
      <c r="B644">
        <v>3</v>
      </c>
      <c r="C644">
        <v>2</v>
      </c>
      <c r="D644">
        <v>1</v>
      </c>
      <c r="E644">
        <v>11</v>
      </c>
      <c r="G644">
        <v>321</v>
      </c>
      <c r="H644" t="s">
        <v>63</v>
      </c>
      <c r="I644" t="s">
        <v>131</v>
      </c>
      <c r="J644" t="s">
        <v>151</v>
      </c>
      <c r="L644">
        <v>0</v>
      </c>
      <c r="M644" t="s">
        <v>125</v>
      </c>
      <c r="O644" t="s">
        <v>125</v>
      </c>
      <c r="P644" t="s">
        <v>125</v>
      </c>
      <c r="Q644" t="s">
        <v>125</v>
      </c>
      <c r="R644" t="s">
        <v>125</v>
      </c>
      <c r="S644" t="s">
        <v>125</v>
      </c>
      <c r="T644">
        <v>0</v>
      </c>
      <c r="V644" t="s">
        <v>125</v>
      </c>
      <c r="AE644" t="s">
        <v>125</v>
      </c>
      <c r="AF644">
        <v>0</v>
      </c>
      <c r="AG644" t="s">
        <v>125</v>
      </c>
      <c r="AH644">
        <v>0</v>
      </c>
      <c r="AK644">
        <v>0</v>
      </c>
    </row>
    <row r="645" spans="1:37" x14ac:dyDescent="0.25">
      <c r="A645" t="s">
        <v>79</v>
      </c>
      <c r="B645">
        <v>3</v>
      </c>
      <c r="C645">
        <v>2</v>
      </c>
      <c r="D645">
        <v>1</v>
      </c>
      <c r="E645">
        <v>12</v>
      </c>
      <c r="G645">
        <v>321</v>
      </c>
      <c r="H645" t="s">
        <v>63</v>
      </c>
      <c r="I645" t="s">
        <v>133</v>
      </c>
      <c r="J645" t="s">
        <v>152</v>
      </c>
      <c r="L645">
        <v>0</v>
      </c>
      <c r="M645" t="s">
        <v>125</v>
      </c>
      <c r="O645" t="s">
        <v>125</v>
      </c>
      <c r="P645" t="s">
        <v>125</v>
      </c>
      <c r="Q645" t="s">
        <v>125</v>
      </c>
      <c r="R645" t="s">
        <v>125</v>
      </c>
      <c r="S645" t="s">
        <v>125</v>
      </c>
      <c r="T645">
        <v>0</v>
      </c>
      <c r="V645" t="s">
        <v>125</v>
      </c>
      <c r="AE645" t="s">
        <v>125</v>
      </c>
      <c r="AF645">
        <v>0</v>
      </c>
      <c r="AG645" t="s">
        <v>125</v>
      </c>
      <c r="AH645">
        <v>0</v>
      </c>
      <c r="AK645">
        <v>0</v>
      </c>
    </row>
    <row r="646" spans="1:37" x14ac:dyDescent="0.25">
      <c r="A646" t="s">
        <v>79</v>
      </c>
      <c r="B646">
        <v>3</v>
      </c>
      <c r="C646">
        <v>2</v>
      </c>
      <c r="D646">
        <v>1</v>
      </c>
      <c r="E646">
        <v>13</v>
      </c>
      <c r="G646">
        <v>321</v>
      </c>
      <c r="H646" t="s">
        <v>63</v>
      </c>
      <c r="I646" t="s">
        <v>135</v>
      </c>
      <c r="J646" t="s">
        <v>153</v>
      </c>
      <c r="L646">
        <v>0</v>
      </c>
      <c r="M646" t="s">
        <v>125</v>
      </c>
      <c r="O646" t="s">
        <v>125</v>
      </c>
      <c r="P646" t="s">
        <v>125</v>
      </c>
      <c r="Q646" t="s">
        <v>125</v>
      </c>
      <c r="R646" t="s">
        <v>125</v>
      </c>
      <c r="S646" t="s">
        <v>125</v>
      </c>
      <c r="T646">
        <v>0</v>
      </c>
      <c r="V646" t="s">
        <v>125</v>
      </c>
      <c r="AE646" t="s">
        <v>125</v>
      </c>
      <c r="AF646">
        <v>0</v>
      </c>
      <c r="AG646" t="s">
        <v>125</v>
      </c>
      <c r="AH646">
        <v>0</v>
      </c>
      <c r="AK646">
        <v>0</v>
      </c>
    </row>
    <row r="647" spans="1:37" x14ac:dyDescent="0.25">
      <c r="A647" t="s">
        <v>79</v>
      </c>
      <c r="B647">
        <v>3</v>
      </c>
      <c r="C647">
        <v>2</v>
      </c>
      <c r="D647">
        <v>1</v>
      </c>
      <c r="E647">
        <v>14</v>
      </c>
      <c r="G647">
        <v>321</v>
      </c>
      <c r="H647" t="s">
        <v>63</v>
      </c>
      <c r="I647" t="s">
        <v>137</v>
      </c>
      <c r="J647" t="s">
        <v>154</v>
      </c>
      <c r="L647">
        <v>0</v>
      </c>
      <c r="M647" t="s">
        <v>125</v>
      </c>
      <c r="O647" t="s">
        <v>125</v>
      </c>
      <c r="P647" t="s">
        <v>125</v>
      </c>
      <c r="Q647" t="s">
        <v>125</v>
      </c>
      <c r="R647" t="s">
        <v>125</v>
      </c>
      <c r="S647" t="s">
        <v>125</v>
      </c>
      <c r="T647">
        <v>0</v>
      </c>
      <c r="V647" t="s">
        <v>125</v>
      </c>
      <c r="AE647" t="s">
        <v>125</v>
      </c>
      <c r="AF647">
        <v>0</v>
      </c>
      <c r="AG647" t="s">
        <v>125</v>
      </c>
      <c r="AH647">
        <v>0</v>
      </c>
      <c r="AK647">
        <v>0</v>
      </c>
    </row>
    <row r="648" spans="1:37" x14ac:dyDescent="0.25">
      <c r="A648" t="s">
        <v>79</v>
      </c>
      <c r="B648">
        <v>3</v>
      </c>
      <c r="C648">
        <v>2</v>
      </c>
      <c r="D648">
        <v>1</v>
      </c>
      <c r="E648">
        <v>15</v>
      </c>
      <c r="G648">
        <v>321</v>
      </c>
      <c r="H648" t="s">
        <v>63</v>
      </c>
      <c r="I648" t="s">
        <v>139</v>
      </c>
      <c r="J648" t="s">
        <v>155</v>
      </c>
      <c r="L648">
        <v>0</v>
      </c>
      <c r="M648" t="s">
        <v>125</v>
      </c>
      <c r="O648" t="s">
        <v>125</v>
      </c>
      <c r="P648" t="s">
        <v>125</v>
      </c>
      <c r="Q648" t="s">
        <v>125</v>
      </c>
      <c r="R648" t="s">
        <v>125</v>
      </c>
      <c r="S648" t="s">
        <v>125</v>
      </c>
      <c r="T648">
        <v>0</v>
      </c>
      <c r="V648" t="s">
        <v>125</v>
      </c>
      <c r="AE648" t="s">
        <v>125</v>
      </c>
      <c r="AF648">
        <v>0</v>
      </c>
      <c r="AG648" t="s">
        <v>125</v>
      </c>
      <c r="AH648">
        <v>0</v>
      </c>
      <c r="AK648">
        <v>0</v>
      </c>
    </row>
    <row r="649" spans="1:37" x14ac:dyDescent="0.25">
      <c r="L649">
        <v>0</v>
      </c>
    </row>
    <row r="650" spans="1:37" x14ac:dyDescent="0.25">
      <c r="A650" t="s">
        <v>70</v>
      </c>
      <c r="B650">
        <v>3</v>
      </c>
      <c r="C650">
        <v>2</v>
      </c>
      <c r="D650">
        <v>2</v>
      </c>
      <c r="G650">
        <v>32</v>
      </c>
      <c r="L650">
        <v>0</v>
      </c>
      <c r="M650" t="s">
        <v>125</v>
      </c>
      <c r="P650" t="s">
        <v>125</v>
      </c>
      <c r="R650" t="s">
        <v>125</v>
      </c>
      <c r="S650" t="s">
        <v>63</v>
      </c>
      <c r="V650" t="s">
        <v>125</v>
      </c>
      <c r="X650" t="s">
        <v>125</v>
      </c>
      <c r="Y650" t="s">
        <v>125</v>
      </c>
      <c r="Z650" t="s">
        <v>125</v>
      </c>
      <c r="AA650" t="s">
        <v>125</v>
      </c>
      <c r="AB650" t="s">
        <v>125</v>
      </c>
      <c r="AC650" t="s">
        <v>125</v>
      </c>
      <c r="AE650" t="s">
        <v>125</v>
      </c>
      <c r="AF650">
        <v>0</v>
      </c>
      <c r="AG650" t="s">
        <v>125</v>
      </c>
      <c r="AH650">
        <v>0</v>
      </c>
      <c r="AK650">
        <v>0</v>
      </c>
    </row>
    <row r="651" spans="1:37" x14ac:dyDescent="0.25">
      <c r="A651" t="s">
        <v>79</v>
      </c>
      <c r="B651">
        <v>3</v>
      </c>
      <c r="C651">
        <v>2</v>
      </c>
      <c r="D651">
        <v>2</v>
      </c>
      <c r="E651">
        <v>1</v>
      </c>
      <c r="G651">
        <v>322</v>
      </c>
      <c r="H651" t="s">
        <v>63</v>
      </c>
      <c r="I651" t="s">
        <v>80</v>
      </c>
      <c r="J651" t="s">
        <v>141</v>
      </c>
      <c r="L651">
        <v>0</v>
      </c>
      <c r="M651" t="s">
        <v>125</v>
      </c>
      <c r="O651" t="s">
        <v>125</v>
      </c>
      <c r="P651" t="s">
        <v>125</v>
      </c>
      <c r="Q651" t="s">
        <v>125</v>
      </c>
      <c r="R651" t="s">
        <v>125</v>
      </c>
      <c r="S651" t="s">
        <v>125</v>
      </c>
      <c r="T651">
        <v>0</v>
      </c>
      <c r="V651" t="s">
        <v>125</v>
      </c>
      <c r="AE651" t="s">
        <v>125</v>
      </c>
      <c r="AF651">
        <v>0</v>
      </c>
      <c r="AG651" t="s">
        <v>125</v>
      </c>
      <c r="AH651">
        <v>0</v>
      </c>
      <c r="AK651">
        <v>0</v>
      </c>
    </row>
    <row r="652" spans="1:37" x14ac:dyDescent="0.25">
      <c r="A652" t="s">
        <v>79</v>
      </c>
      <c r="B652">
        <v>3</v>
      </c>
      <c r="C652">
        <v>2</v>
      </c>
      <c r="D652">
        <v>2</v>
      </c>
      <c r="E652">
        <v>2</v>
      </c>
      <c r="G652">
        <v>322</v>
      </c>
      <c r="H652" t="s">
        <v>63</v>
      </c>
      <c r="I652" t="s">
        <v>88</v>
      </c>
      <c r="J652" t="s">
        <v>142</v>
      </c>
      <c r="L652">
        <v>0</v>
      </c>
      <c r="M652" t="s">
        <v>125</v>
      </c>
      <c r="O652" t="s">
        <v>125</v>
      </c>
      <c r="P652" t="s">
        <v>125</v>
      </c>
      <c r="Q652" t="s">
        <v>125</v>
      </c>
      <c r="R652" t="s">
        <v>125</v>
      </c>
      <c r="S652" t="s">
        <v>125</v>
      </c>
      <c r="T652">
        <v>0</v>
      </c>
      <c r="V652" t="s">
        <v>125</v>
      </c>
      <c r="AE652" t="s">
        <v>125</v>
      </c>
      <c r="AF652">
        <v>0</v>
      </c>
      <c r="AG652" t="s">
        <v>125</v>
      </c>
      <c r="AH652">
        <v>0</v>
      </c>
      <c r="AK652">
        <v>0</v>
      </c>
    </row>
    <row r="653" spans="1:37" x14ac:dyDescent="0.25">
      <c r="A653" t="s">
        <v>79</v>
      </c>
      <c r="B653">
        <v>3</v>
      </c>
      <c r="C653">
        <v>2</v>
      </c>
      <c r="D653">
        <v>2</v>
      </c>
      <c r="E653">
        <v>3</v>
      </c>
      <c r="G653">
        <v>322</v>
      </c>
      <c r="H653" t="s">
        <v>63</v>
      </c>
      <c r="I653" t="s">
        <v>95</v>
      </c>
      <c r="J653" t="s">
        <v>143</v>
      </c>
      <c r="L653">
        <v>0</v>
      </c>
      <c r="M653" t="s">
        <v>125</v>
      </c>
      <c r="O653" t="s">
        <v>125</v>
      </c>
      <c r="P653" t="s">
        <v>125</v>
      </c>
      <c r="Q653" t="s">
        <v>125</v>
      </c>
      <c r="R653" t="s">
        <v>125</v>
      </c>
      <c r="S653" t="s">
        <v>125</v>
      </c>
      <c r="T653">
        <v>0</v>
      </c>
      <c r="V653" t="s">
        <v>125</v>
      </c>
      <c r="AE653" t="s">
        <v>125</v>
      </c>
      <c r="AF653">
        <v>0</v>
      </c>
      <c r="AG653" t="s">
        <v>125</v>
      </c>
      <c r="AH653">
        <v>0</v>
      </c>
      <c r="AK653">
        <v>0</v>
      </c>
    </row>
    <row r="654" spans="1:37" x14ac:dyDescent="0.25">
      <c r="A654" t="s">
        <v>79</v>
      </c>
      <c r="B654">
        <v>3</v>
      </c>
      <c r="C654">
        <v>2</v>
      </c>
      <c r="D654">
        <v>2</v>
      </c>
      <c r="E654">
        <v>4</v>
      </c>
      <c r="G654">
        <v>322</v>
      </c>
      <c r="H654" t="s">
        <v>63</v>
      </c>
      <c r="I654" t="s">
        <v>102</v>
      </c>
      <c r="J654" t="s">
        <v>144</v>
      </c>
      <c r="L654">
        <v>0</v>
      </c>
      <c r="M654" t="s">
        <v>125</v>
      </c>
      <c r="O654" t="s">
        <v>125</v>
      </c>
      <c r="P654" t="s">
        <v>125</v>
      </c>
      <c r="Q654" t="s">
        <v>125</v>
      </c>
      <c r="R654" t="s">
        <v>125</v>
      </c>
      <c r="S654" t="s">
        <v>125</v>
      </c>
      <c r="T654">
        <v>0</v>
      </c>
      <c r="V654" t="s">
        <v>125</v>
      </c>
      <c r="AE654" t="s">
        <v>125</v>
      </c>
      <c r="AF654">
        <v>0</v>
      </c>
      <c r="AG654" t="s">
        <v>125</v>
      </c>
      <c r="AH654">
        <v>0</v>
      </c>
      <c r="AK654">
        <v>0</v>
      </c>
    </row>
    <row r="655" spans="1:37" x14ac:dyDescent="0.25">
      <c r="A655" t="s">
        <v>79</v>
      </c>
      <c r="B655">
        <v>3</v>
      </c>
      <c r="C655">
        <v>2</v>
      </c>
      <c r="D655">
        <v>2</v>
      </c>
      <c r="E655">
        <v>5</v>
      </c>
      <c r="G655">
        <v>322</v>
      </c>
      <c r="H655" t="s">
        <v>63</v>
      </c>
      <c r="I655" t="s">
        <v>109</v>
      </c>
      <c r="J655" t="s">
        <v>145</v>
      </c>
      <c r="L655">
        <v>0</v>
      </c>
      <c r="M655" t="s">
        <v>125</v>
      </c>
      <c r="O655" t="s">
        <v>125</v>
      </c>
      <c r="P655" t="s">
        <v>125</v>
      </c>
      <c r="Q655" t="s">
        <v>125</v>
      </c>
      <c r="R655" t="s">
        <v>125</v>
      </c>
      <c r="S655" t="s">
        <v>125</v>
      </c>
      <c r="T655">
        <v>0</v>
      </c>
      <c r="V655" t="s">
        <v>125</v>
      </c>
      <c r="AE655" t="s">
        <v>125</v>
      </c>
      <c r="AF655">
        <v>0</v>
      </c>
      <c r="AG655" t="s">
        <v>125</v>
      </c>
      <c r="AH655">
        <v>0</v>
      </c>
      <c r="AK655">
        <v>0</v>
      </c>
    </row>
    <row r="656" spans="1:37" x14ac:dyDescent="0.25">
      <c r="A656" t="s">
        <v>79</v>
      </c>
      <c r="B656">
        <v>3</v>
      </c>
      <c r="C656">
        <v>2</v>
      </c>
      <c r="D656">
        <v>2</v>
      </c>
      <c r="E656">
        <v>6</v>
      </c>
      <c r="G656">
        <v>322</v>
      </c>
      <c r="H656" t="s">
        <v>63</v>
      </c>
      <c r="I656" t="s">
        <v>116</v>
      </c>
      <c r="J656" t="s">
        <v>146</v>
      </c>
      <c r="L656">
        <v>0</v>
      </c>
      <c r="M656" t="s">
        <v>125</v>
      </c>
      <c r="O656" t="s">
        <v>125</v>
      </c>
      <c r="P656" t="s">
        <v>125</v>
      </c>
      <c r="Q656" t="s">
        <v>125</v>
      </c>
      <c r="R656" t="s">
        <v>125</v>
      </c>
      <c r="S656" t="s">
        <v>125</v>
      </c>
      <c r="T656">
        <v>0</v>
      </c>
      <c r="V656" t="s">
        <v>125</v>
      </c>
      <c r="AE656" t="s">
        <v>125</v>
      </c>
      <c r="AF656">
        <v>0</v>
      </c>
      <c r="AG656" t="s">
        <v>125</v>
      </c>
      <c r="AH656">
        <v>0</v>
      </c>
      <c r="AK656">
        <v>0</v>
      </c>
    </row>
    <row r="657" spans="1:37" x14ac:dyDescent="0.25">
      <c r="A657" t="s">
        <v>79</v>
      </c>
      <c r="B657">
        <v>3</v>
      </c>
      <c r="C657">
        <v>2</v>
      </c>
      <c r="D657">
        <v>2</v>
      </c>
      <c r="E657">
        <v>7</v>
      </c>
      <c r="G657">
        <v>322</v>
      </c>
      <c r="H657" t="s">
        <v>63</v>
      </c>
      <c r="I657" t="s">
        <v>123</v>
      </c>
      <c r="J657" t="s">
        <v>147</v>
      </c>
      <c r="L657">
        <v>0</v>
      </c>
      <c r="M657" t="s">
        <v>125</v>
      </c>
      <c r="O657" t="s">
        <v>125</v>
      </c>
      <c r="P657" t="s">
        <v>125</v>
      </c>
      <c r="Q657" t="s">
        <v>125</v>
      </c>
      <c r="R657" t="s">
        <v>125</v>
      </c>
      <c r="S657" t="s">
        <v>125</v>
      </c>
      <c r="T657">
        <v>0</v>
      </c>
      <c r="V657" t="s">
        <v>125</v>
      </c>
      <c r="AE657" t="s">
        <v>125</v>
      </c>
      <c r="AF657">
        <v>0</v>
      </c>
      <c r="AG657" t="s">
        <v>125</v>
      </c>
      <c r="AH657">
        <v>0</v>
      </c>
      <c r="AK657">
        <v>0</v>
      </c>
    </row>
    <row r="658" spans="1:37" x14ac:dyDescent="0.25">
      <c r="A658" t="s">
        <v>79</v>
      </c>
      <c r="B658">
        <v>3</v>
      </c>
      <c r="C658">
        <v>2</v>
      </c>
      <c r="D658">
        <v>2</v>
      </c>
      <c r="E658">
        <v>8</v>
      </c>
      <c r="G658">
        <v>322</v>
      </c>
      <c r="H658" t="s">
        <v>63</v>
      </c>
      <c r="I658" t="s">
        <v>126</v>
      </c>
      <c r="J658" t="s">
        <v>148</v>
      </c>
      <c r="L658">
        <v>0</v>
      </c>
      <c r="M658" t="s">
        <v>125</v>
      </c>
      <c r="O658" t="s">
        <v>125</v>
      </c>
      <c r="P658" t="s">
        <v>125</v>
      </c>
      <c r="Q658" t="s">
        <v>125</v>
      </c>
      <c r="R658" t="s">
        <v>125</v>
      </c>
      <c r="S658" t="s">
        <v>125</v>
      </c>
      <c r="T658">
        <v>0</v>
      </c>
      <c r="V658" t="s">
        <v>125</v>
      </c>
      <c r="AE658" t="s">
        <v>125</v>
      </c>
      <c r="AF658">
        <v>0</v>
      </c>
      <c r="AG658" t="s">
        <v>125</v>
      </c>
      <c r="AH658">
        <v>0</v>
      </c>
      <c r="AK658">
        <v>0</v>
      </c>
    </row>
    <row r="659" spans="1:37" x14ac:dyDescent="0.25">
      <c r="A659" t="s">
        <v>79</v>
      </c>
      <c r="B659">
        <v>3</v>
      </c>
      <c r="C659">
        <v>2</v>
      </c>
      <c r="D659">
        <v>2</v>
      </c>
      <c r="E659">
        <v>9</v>
      </c>
      <c r="G659">
        <v>322</v>
      </c>
      <c r="H659" t="s">
        <v>63</v>
      </c>
      <c r="I659" t="s">
        <v>74</v>
      </c>
      <c r="J659" t="s">
        <v>149</v>
      </c>
      <c r="L659">
        <v>0</v>
      </c>
      <c r="M659" t="s">
        <v>125</v>
      </c>
      <c r="O659" t="s">
        <v>125</v>
      </c>
      <c r="P659" t="s">
        <v>125</v>
      </c>
      <c r="Q659" t="s">
        <v>125</v>
      </c>
      <c r="R659" t="s">
        <v>125</v>
      </c>
      <c r="S659" t="s">
        <v>125</v>
      </c>
      <c r="T659">
        <v>0</v>
      </c>
      <c r="V659" t="s">
        <v>125</v>
      </c>
      <c r="AE659" t="s">
        <v>125</v>
      </c>
      <c r="AF659">
        <v>0</v>
      </c>
      <c r="AG659" t="s">
        <v>125</v>
      </c>
      <c r="AH659">
        <v>0</v>
      </c>
      <c r="AK659">
        <v>0</v>
      </c>
    </row>
    <row r="660" spans="1:37" x14ac:dyDescent="0.25">
      <c r="A660" t="s">
        <v>79</v>
      </c>
      <c r="B660">
        <v>3</v>
      </c>
      <c r="C660">
        <v>2</v>
      </c>
      <c r="D660">
        <v>2</v>
      </c>
      <c r="E660">
        <v>10</v>
      </c>
      <c r="G660">
        <v>322</v>
      </c>
      <c r="H660" t="s">
        <v>63</v>
      </c>
      <c r="I660" t="s">
        <v>129</v>
      </c>
      <c r="J660" t="s">
        <v>150</v>
      </c>
      <c r="L660">
        <v>0</v>
      </c>
      <c r="M660" t="s">
        <v>125</v>
      </c>
      <c r="O660" t="s">
        <v>125</v>
      </c>
      <c r="P660" t="s">
        <v>125</v>
      </c>
      <c r="Q660" t="s">
        <v>125</v>
      </c>
      <c r="R660" t="s">
        <v>125</v>
      </c>
      <c r="S660" t="s">
        <v>125</v>
      </c>
      <c r="T660">
        <v>0</v>
      </c>
      <c r="V660" t="s">
        <v>125</v>
      </c>
      <c r="AE660" t="s">
        <v>125</v>
      </c>
      <c r="AF660">
        <v>0</v>
      </c>
      <c r="AG660" t="s">
        <v>125</v>
      </c>
      <c r="AH660">
        <v>0</v>
      </c>
      <c r="AK660">
        <v>0</v>
      </c>
    </row>
    <row r="661" spans="1:37" x14ac:dyDescent="0.25">
      <c r="A661" t="s">
        <v>79</v>
      </c>
      <c r="B661">
        <v>3</v>
      </c>
      <c r="C661">
        <v>2</v>
      </c>
      <c r="D661">
        <v>2</v>
      </c>
      <c r="E661">
        <v>11</v>
      </c>
      <c r="G661">
        <v>322</v>
      </c>
      <c r="H661" t="s">
        <v>63</v>
      </c>
      <c r="I661" t="s">
        <v>131</v>
      </c>
      <c r="J661" t="s">
        <v>151</v>
      </c>
      <c r="L661">
        <v>0</v>
      </c>
      <c r="M661" t="s">
        <v>125</v>
      </c>
      <c r="O661" t="s">
        <v>125</v>
      </c>
      <c r="P661" t="s">
        <v>125</v>
      </c>
      <c r="Q661" t="s">
        <v>125</v>
      </c>
      <c r="R661" t="s">
        <v>125</v>
      </c>
      <c r="S661" t="s">
        <v>125</v>
      </c>
      <c r="T661">
        <v>0</v>
      </c>
      <c r="V661" t="s">
        <v>125</v>
      </c>
      <c r="AE661" t="s">
        <v>125</v>
      </c>
      <c r="AF661">
        <v>0</v>
      </c>
      <c r="AG661" t="s">
        <v>125</v>
      </c>
      <c r="AH661">
        <v>0</v>
      </c>
      <c r="AK661">
        <v>0</v>
      </c>
    </row>
    <row r="662" spans="1:37" x14ac:dyDescent="0.25">
      <c r="A662" t="s">
        <v>79</v>
      </c>
      <c r="B662">
        <v>3</v>
      </c>
      <c r="C662">
        <v>2</v>
      </c>
      <c r="D662">
        <v>2</v>
      </c>
      <c r="E662">
        <v>12</v>
      </c>
      <c r="G662">
        <v>322</v>
      </c>
      <c r="H662" t="s">
        <v>63</v>
      </c>
      <c r="I662" t="s">
        <v>133</v>
      </c>
      <c r="J662" t="s">
        <v>152</v>
      </c>
      <c r="L662">
        <v>0</v>
      </c>
      <c r="M662" t="s">
        <v>125</v>
      </c>
      <c r="O662" t="s">
        <v>125</v>
      </c>
      <c r="P662" t="s">
        <v>125</v>
      </c>
      <c r="Q662" t="s">
        <v>125</v>
      </c>
      <c r="R662" t="s">
        <v>125</v>
      </c>
      <c r="S662" t="s">
        <v>125</v>
      </c>
      <c r="T662">
        <v>0</v>
      </c>
      <c r="V662" t="s">
        <v>125</v>
      </c>
      <c r="AE662" t="s">
        <v>125</v>
      </c>
      <c r="AF662">
        <v>0</v>
      </c>
      <c r="AG662" t="s">
        <v>125</v>
      </c>
      <c r="AH662">
        <v>0</v>
      </c>
      <c r="AK662">
        <v>0</v>
      </c>
    </row>
    <row r="663" spans="1:37" x14ac:dyDescent="0.25">
      <c r="A663" t="s">
        <v>79</v>
      </c>
      <c r="B663">
        <v>3</v>
      </c>
      <c r="C663">
        <v>2</v>
      </c>
      <c r="D663">
        <v>2</v>
      </c>
      <c r="E663">
        <v>13</v>
      </c>
      <c r="G663">
        <v>322</v>
      </c>
      <c r="H663" t="s">
        <v>63</v>
      </c>
      <c r="I663" t="s">
        <v>135</v>
      </c>
      <c r="J663" t="s">
        <v>153</v>
      </c>
      <c r="L663">
        <v>0</v>
      </c>
      <c r="M663" t="s">
        <v>125</v>
      </c>
      <c r="O663" t="s">
        <v>125</v>
      </c>
      <c r="P663" t="s">
        <v>125</v>
      </c>
      <c r="Q663" t="s">
        <v>125</v>
      </c>
      <c r="R663" t="s">
        <v>125</v>
      </c>
      <c r="S663" t="s">
        <v>125</v>
      </c>
      <c r="T663">
        <v>0</v>
      </c>
      <c r="V663" t="s">
        <v>125</v>
      </c>
      <c r="AE663" t="s">
        <v>125</v>
      </c>
      <c r="AF663">
        <v>0</v>
      </c>
      <c r="AG663" t="s">
        <v>125</v>
      </c>
      <c r="AH663">
        <v>0</v>
      </c>
      <c r="AK663">
        <v>0</v>
      </c>
    </row>
    <row r="664" spans="1:37" x14ac:dyDescent="0.25">
      <c r="A664" t="s">
        <v>79</v>
      </c>
      <c r="B664">
        <v>3</v>
      </c>
      <c r="C664">
        <v>2</v>
      </c>
      <c r="D664">
        <v>2</v>
      </c>
      <c r="E664">
        <v>14</v>
      </c>
      <c r="G664">
        <v>322</v>
      </c>
      <c r="H664" t="s">
        <v>63</v>
      </c>
      <c r="I664" t="s">
        <v>137</v>
      </c>
      <c r="J664" t="s">
        <v>154</v>
      </c>
      <c r="L664">
        <v>0</v>
      </c>
      <c r="M664" t="s">
        <v>125</v>
      </c>
      <c r="O664" t="s">
        <v>125</v>
      </c>
      <c r="P664" t="s">
        <v>125</v>
      </c>
      <c r="Q664" t="s">
        <v>125</v>
      </c>
      <c r="R664" t="s">
        <v>125</v>
      </c>
      <c r="S664" t="s">
        <v>125</v>
      </c>
      <c r="T664">
        <v>0</v>
      </c>
      <c r="V664" t="s">
        <v>125</v>
      </c>
      <c r="AE664" t="s">
        <v>125</v>
      </c>
      <c r="AF664">
        <v>0</v>
      </c>
      <c r="AG664" t="s">
        <v>125</v>
      </c>
      <c r="AH664">
        <v>0</v>
      </c>
      <c r="AK664">
        <v>0</v>
      </c>
    </row>
    <row r="665" spans="1:37" x14ac:dyDescent="0.25">
      <c r="A665" t="s">
        <v>79</v>
      </c>
      <c r="B665">
        <v>3</v>
      </c>
      <c r="C665">
        <v>2</v>
      </c>
      <c r="D665">
        <v>2</v>
      </c>
      <c r="E665">
        <v>15</v>
      </c>
      <c r="G665">
        <v>322</v>
      </c>
      <c r="H665" t="s">
        <v>63</v>
      </c>
      <c r="I665" t="s">
        <v>139</v>
      </c>
      <c r="J665" t="s">
        <v>155</v>
      </c>
      <c r="L665">
        <v>0</v>
      </c>
      <c r="M665" t="s">
        <v>125</v>
      </c>
      <c r="O665" t="s">
        <v>125</v>
      </c>
      <c r="P665" t="s">
        <v>125</v>
      </c>
      <c r="Q665" t="s">
        <v>125</v>
      </c>
      <c r="R665" t="s">
        <v>125</v>
      </c>
      <c r="S665" t="s">
        <v>125</v>
      </c>
      <c r="T665">
        <v>0</v>
      </c>
      <c r="V665" t="s">
        <v>125</v>
      </c>
      <c r="AE665" t="s">
        <v>125</v>
      </c>
      <c r="AF665">
        <v>0</v>
      </c>
      <c r="AG665" t="s">
        <v>125</v>
      </c>
      <c r="AH665">
        <v>0</v>
      </c>
      <c r="AK665">
        <v>0</v>
      </c>
    </row>
    <row r="666" spans="1:37" x14ac:dyDescent="0.25">
      <c r="L666">
        <v>0</v>
      </c>
    </row>
    <row r="667" spans="1:37" x14ac:dyDescent="0.25">
      <c r="A667" t="s">
        <v>70</v>
      </c>
      <c r="B667">
        <v>3</v>
      </c>
      <c r="C667">
        <v>2</v>
      </c>
      <c r="D667">
        <v>3</v>
      </c>
      <c r="G667">
        <v>32</v>
      </c>
      <c r="L667">
        <v>0</v>
      </c>
      <c r="M667" t="s">
        <v>125</v>
      </c>
      <c r="P667" t="s">
        <v>125</v>
      </c>
      <c r="R667" t="s">
        <v>125</v>
      </c>
      <c r="S667" t="s">
        <v>63</v>
      </c>
      <c r="V667" t="s">
        <v>125</v>
      </c>
      <c r="X667" t="s">
        <v>125</v>
      </c>
      <c r="Y667" t="s">
        <v>125</v>
      </c>
      <c r="Z667" t="s">
        <v>125</v>
      </c>
      <c r="AA667" t="s">
        <v>125</v>
      </c>
      <c r="AB667" t="s">
        <v>125</v>
      </c>
      <c r="AC667" t="s">
        <v>125</v>
      </c>
      <c r="AE667" t="s">
        <v>125</v>
      </c>
      <c r="AF667">
        <v>0</v>
      </c>
      <c r="AG667" t="s">
        <v>125</v>
      </c>
      <c r="AH667">
        <v>0</v>
      </c>
      <c r="AK667">
        <v>0</v>
      </c>
    </row>
    <row r="668" spans="1:37" x14ac:dyDescent="0.25">
      <c r="A668" t="s">
        <v>79</v>
      </c>
      <c r="B668">
        <v>3</v>
      </c>
      <c r="C668">
        <v>2</v>
      </c>
      <c r="D668">
        <v>3</v>
      </c>
      <c r="E668">
        <v>1</v>
      </c>
      <c r="G668">
        <v>323</v>
      </c>
      <c r="H668" t="s">
        <v>63</v>
      </c>
      <c r="I668" t="s">
        <v>80</v>
      </c>
      <c r="J668" t="s">
        <v>141</v>
      </c>
      <c r="L668">
        <v>0</v>
      </c>
      <c r="M668" t="s">
        <v>125</v>
      </c>
      <c r="O668" t="s">
        <v>125</v>
      </c>
      <c r="P668" t="s">
        <v>125</v>
      </c>
      <c r="Q668" t="s">
        <v>125</v>
      </c>
      <c r="R668" t="s">
        <v>125</v>
      </c>
      <c r="S668" t="s">
        <v>125</v>
      </c>
      <c r="T668">
        <v>0</v>
      </c>
      <c r="V668" t="s">
        <v>125</v>
      </c>
      <c r="AE668" t="s">
        <v>125</v>
      </c>
      <c r="AF668">
        <v>0</v>
      </c>
      <c r="AG668" t="s">
        <v>125</v>
      </c>
      <c r="AH668">
        <v>0</v>
      </c>
      <c r="AK668">
        <v>0</v>
      </c>
    </row>
    <row r="669" spans="1:37" x14ac:dyDescent="0.25">
      <c r="A669" t="s">
        <v>79</v>
      </c>
      <c r="B669">
        <v>3</v>
      </c>
      <c r="C669">
        <v>2</v>
      </c>
      <c r="D669">
        <v>3</v>
      </c>
      <c r="E669">
        <v>2</v>
      </c>
      <c r="G669">
        <v>323</v>
      </c>
      <c r="H669" t="s">
        <v>63</v>
      </c>
      <c r="I669" t="s">
        <v>88</v>
      </c>
      <c r="J669" t="s">
        <v>142</v>
      </c>
      <c r="L669">
        <v>0</v>
      </c>
      <c r="M669" t="s">
        <v>125</v>
      </c>
      <c r="O669" t="s">
        <v>125</v>
      </c>
      <c r="P669" t="s">
        <v>125</v>
      </c>
      <c r="Q669" t="s">
        <v>125</v>
      </c>
      <c r="R669" t="s">
        <v>125</v>
      </c>
      <c r="S669" t="s">
        <v>125</v>
      </c>
      <c r="T669">
        <v>0</v>
      </c>
      <c r="V669" t="s">
        <v>125</v>
      </c>
      <c r="AE669" t="s">
        <v>125</v>
      </c>
      <c r="AF669">
        <v>0</v>
      </c>
      <c r="AG669" t="s">
        <v>125</v>
      </c>
      <c r="AH669">
        <v>0</v>
      </c>
      <c r="AK669">
        <v>0</v>
      </c>
    </row>
    <row r="670" spans="1:37" x14ac:dyDescent="0.25">
      <c r="A670" t="s">
        <v>79</v>
      </c>
      <c r="B670">
        <v>3</v>
      </c>
      <c r="C670">
        <v>2</v>
      </c>
      <c r="D670">
        <v>3</v>
      </c>
      <c r="E670">
        <v>3</v>
      </c>
      <c r="G670">
        <v>323</v>
      </c>
      <c r="H670" t="s">
        <v>63</v>
      </c>
      <c r="I670" t="s">
        <v>95</v>
      </c>
      <c r="J670" t="s">
        <v>143</v>
      </c>
      <c r="L670">
        <v>0</v>
      </c>
      <c r="M670" t="s">
        <v>125</v>
      </c>
      <c r="O670" t="s">
        <v>125</v>
      </c>
      <c r="P670" t="s">
        <v>125</v>
      </c>
      <c r="Q670" t="s">
        <v>125</v>
      </c>
      <c r="R670" t="s">
        <v>125</v>
      </c>
      <c r="S670" t="s">
        <v>125</v>
      </c>
      <c r="T670">
        <v>0</v>
      </c>
      <c r="V670" t="s">
        <v>125</v>
      </c>
      <c r="AE670" t="s">
        <v>125</v>
      </c>
      <c r="AF670">
        <v>0</v>
      </c>
      <c r="AG670" t="s">
        <v>125</v>
      </c>
      <c r="AH670">
        <v>0</v>
      </c>
      <c r="AK670">
        <v>0</v>
      </c>
    </row>
    <row r="671" spans="1:37" x14ac:dyDescent="0.25">
      <c r="A671" t="s">
        <v>79</v>
      </c>
      <c r="B671">
        <v>3</v>
      </c>
      <c r="C671">
        <v>2</v>
      </c>
      <c r="D671">
        <v>3</v>
      </c>
      <c r="E671">
        <v>4</v>
      </c>
      <c r="G671">
        <v>323</v>
      </c>
      <c r="H671" t="s">
        <v>63</v>
      </c>
      <c r="I671" t="s">
        <v>102</v>
      </c>
      <c r="J671" t="s">
        <v>144</v>
      </c>
      <c r="L671">
        <v>0</v>
      </c>
      <c r="M671" t="s">
        <v>125</v>
      </c>
      <c r="O671" t="s">
        <v>125</v>
      </c>
      <c r="P671" t="s">
        <v>125</v>
      </c>
      <c r="Q671" t="s">
        <v>125</v>
      </c>
      <c r="R671" t="s">
        <v>125</v>
      </c>
      <c r="S671" t="s">
        <v>125</v>
      </c>
      <c r="T671">
        <v>0</v>
      </c>
      <c r="V671" t="s">
        <v>125</v>
      </c>
      <c r="AE671" t="s">
        <v>125</v>
      </c>
      <c r="AF671">
        <v>0</v>
      </c>
      <c r="AG671" t="s">
        <v>125</v>
      </c>
      <c r="AH671">
        <v>0</v>
      </c>
      <c r="AK671">
        <v>0</v>
      </c>
    </row>
    <row r="672" spans="1:37" x14ac:dyDescent="0.25">
      <c r="A672" t="s">
        <v>79</v>
      </c>
      <c r="B672">
        <v>3</v>
      </c>
      <c r="C672">
        <v>2</v>
      </c>
      <c r="D672">
        <v>3</v>
      </c>
      <c r="E672">
        <v>5</v>
      </c>
      <c r="G672">
        <v>323</v>
      </c>
      <c r="H672" t="s">
        <v>63</v>
      </c>
      <c r="I672" t="s">
        <v>109</v>
      </c>
      <c r="J672" t="s">
        <v>145</v>
      </c>
      <c r="L672">
        <v>0</v>
      </c>
      <c r="M672" t="s">
        <v>125</v>
      </c>
      <c r="O672" t="s">
        <v>125</v>
      </c>
      <c r="P672" t="s">
        <v>125</v>
      </c>
      <c r="Q672" t="s">
        <v>125</v>
      </c>
      <c r="R672" t="s">
        <v>125</v>
      </c>
      <c r="S672" t="s">
        <v>125</v>
      </c>
      <c r="T672">
        <v>0</v>
      </c>
      <c r="V672" t="s">
        <v>125</v>
      </c>
      <c r="AE672" t="s">
        <v>125</v>
      </c>
      <c r="AF672">
        <v>0</v>
      </c>
      <c r="AG672" t="s">
        <v>125</v>
      </c>
      <c r="AH672">
        <v>0</v>
      </c>
      <c r="AK672">
        <v>0</v>
      </c>
    </row>
    <row r="673" spans="1:37" x14ac:dyDescent="0.25">
      <c r="A673" t="s">
        <v>79</v>
      </c>
      <c r="B673">
        <v>3</v>
      </c>
      <c r="C673">
        <v>2</v>
      </c>
      <c r="D673">
        <v>3</v>
      </c>
      <c r="E673">
        <v>6</v>
      </c>
      <c r="G673">
        <v>323</v>
      </c>
      <c r="H673" t="s">
        <v>63</v>
      </c>
      <c r="I673" t="s">
        <v>116</v>
      </c>
      <c r="J673" t="s">
        <v>146</v>
      </c>
      <c r="L673">
        <v>0</v>
      </c>
      <c r="M673" t="s">
        <v>125</v>
      </c>
      <c r="O673" t="s">
        <v>125</v>
      </c>
      <c r="P673" t="s">
        <v>125</v>
      </c>
      <c r="Q673" t="s">
        <v>125</v>
      </c>
      <c r="R673" t="s">
        <v>125</v>
      </c>
      <c r="S673" t="s">
        <v>125</v>
      </c>
      <c r="T673">
        <v>0</v>
      </c>
      <c r="V673" t="s">
        <v>125</v>
      </c>
      <c r="AE673" t="s">
        <v>125</v>
      </c>
      <c r="AF673">
        <v>0</v>
      </c>
      <c r="AG673" t="s">
        <v>125</v>
      </c>
      <c r="AH673">
        <v>0</v>
      </c>
      <c r="AK673">
        <v>0</v>
      </c>
    </row>
    <row r="674" spans="1:37" x14ac:dyDescent="0.25">
      <c r="A674" t="s">
        <v>79</v>
      </c>
      <c r="B674">
        <v>3</v>
      </c>
      <c r="C674">
        <v>2</v>
      </c>
      <c r="D674">
        <v>3</v>
      </c>
      <c r="E674">
        <v>7</v>
      </c>
      <c r="G674">
        <v>323</v>
      </c>
      <c r="H674" t="s">
        <v>63</v>
      </c>
      <c r="I674" t="s">
        <v>123</v>
      </c>
      <c r="J674" t="s">
        <v>147</v>
      </c>
      <c r="L674">
        <v>0</v>
      </c>
      <c r="M674" t="s">
        <v>125</v>
      </c>
      <c r="O674" t="s">
        <v>125</v>
      </c>
      <c r="P674" t="s">
        <v>125</v>
      </c>
      <c r="Q674" t="s">
        <v>125</v>
      </c>
      <c r="R674" t="s">
        <v>125</v>
      </c>
      <c r="S674" t="s">
        <v>125</v>
      </c>
      <c r="T674">
        <v>0</v>
      </c>
      <c r="V674" t="s">
        <v>125</v>
      </c>
      <c r="AE674" t="s">
        <v>125</v>
      </c>
      <c r="AF674">
        <v>0</v>
      </c>
      <c r="AG674" t="s">
        <v>125</v>
      </c>
      <c r="AH674">
        <v>0</v>
      </c>
      <c r="AK674">
        <v>0</v>
      </c>
    </row>
    <row r="675" spans="1:37" x14ac:dyDescent="0.25">
      <c r="A675" t="s">
        <v>79</v>
      </c>
      <c r="B675">
        <v>3</v>
      </c>
      <c r="C675">
        <v>2</v>
      </c>
      <c r="D675">
        <v>3</v>
      </c>
      <c r="E675">
        <v>8</v>
      </c>
      <c r="G675">
        <v>323</v>
      </c>
      <c r="H675" t="s">
        <v>63</v>
      </c>
      <c r="I675" t="s">
        <v>126</v>
      </c>
      <c r="J675" t="s">
        <v>148</v>
      </c>
      <c r="L675">
        <v>0</v>
      </c>
      <c r="M675" t="s">
        <v>125</v>
      </c>
      <c r="O675" t="s">
        <v>125</v>
      </c>
      <c r="P675" t="s">
        <v>125</v>
      </c>
      <c r="Q675" t="s">
        <v>125</v>
      </c>
      <c r="R675" t="s">
        <v>125</v>
      </c>
      <c r="S675" t="s">
        <v>125</v>
      </c>
      <c r="T675">
        <v>0</v>
      </c>
      <c r="V675" t="s">
        <v>125</v>
      </c>
      <c r="AE675" t="s">
        <v>125</v>
      </c>
      <c r="AF675">
        <v>0</v>
      </c>
      <c r="AG675" t="s">
        <v>125</v>
      </c>
      <c r="AH675">
        <v>0</v>
      </c>
      <c r="AK675">
        <v>0</v>
      </c>
    </row>
    <row r="676" spans="1:37" x14ac:dyDescent="0.25">
      <c r="A676" t="s">
        <v>79</v>
      </c>
      <c r="B676">
        <v>3</v>
      </c>
      <c r="C676">
        <v>2</v>
      </c>
      <c r="D676">
        <v>3</v>
      </c>
      <c r="E676">
        <v>9</v>
      </c>
      <c r="G676">
        <v>323</v>
      </c>
      <c r="H676" t="s">
        <v>63</v>
      </c>
      <c r="I676" t="s">
        <v>74</v>
      </c>
      <c r="J676" t="s">
        <v>149</v>
      </c>
      <c r="L676">
        <v>0</v>
      </c>
      <c r="M676" t="s">
        <v>125</v>
      </c>
      <c r="O676" t="s">
        <v>125</v>
      </c>
      <c r="P676" t="s">
        <v>125</v>
      </c>
      <c r="Q676" t="s">
        <v>125</v>
      </c>
      <c r="R676" t="s">
        <v>125</v>
      </c>
      <c r="S676" t="s">
        <v>125</v>
      </c>
      <c r="T676">
        <v>0</v>
      </c>
      <c r="V676" t="s">
        <v>125</v>
      </c>
      <c r="AE676" t="s">
        <v>125</v>
      </c>
      <c r="AF676">
        <v>0</v>
      </c>
      <c r="AG676" t="s">
        <v>125</v>
      </c>
      <c r="AH676">
        <v>0</v>
      </c>
      <c r="AK676">
        <v>0</v>
      </c>
    </row>
    <row r="677" spans="1:37" x14ac:dyDescent="0.25">
      <c r="A677" t="s">
        <v>79</v>
      </c>
      <c r="B677">
        <v>3</v>
      </c>
      <c r="C677">
        <v>2</v>
      </c>
      <c r="D677">
        <v>3</v>
      </c>
      <c r="E677">
        <v>10</v>
      </c>
      <c r="G677">
        <v>323</v>
      </c>
      <c r="H677" t="s">
        <v>63</v>
      </c>
      <c r="I677" t="s">
        <v>129</v>
      </c>
      <c r="J677" t="s">
        <v>150</v>
      </c>
      <c r="L677">
        <v>0</v>
      </c>
      <c r="M677" t="s">
        <v>125</v>
      </c>
      <c r="O677" t="s">
        <v>125</v>
      </c>
      <c r="P677" t="s">
        <v>125</v>
      </c>
      <c r="Q677" t="s">
        <v>125</v>
      </c>
      <c r="R677" t="s">
        <v>125</v>
      </c>
      <c r="S677" t="s">
        <v>125</v>
      </c>
      <c r="T677">
        <v>0</v>
      </c>
      <c r="V677" t="s">
        <v>125</v>
      </c>
      <c r="AE677" t="s">
        <v>125</v>
      </c>
      <c r="AF677">
        <v>0</v>
      </c>
      <c r="AG677" t="s">
        <v>125</v>
      </c>
      <c r="AH677">
        <v>0</v>
      </c>
      <c r="AK677">
        <v>0</v>
      </c>
    </row>
    <row r="678" spans="1:37" x14ac:dyDescent="0.25">
      <c r="A678" t="s">
        <v>79</v>
      </c>
      <c r="B678">
        <v>3</v>
      </c>
      <c r="C678">
        <v>2</v>
      </c>
      <c r="D678">
        <v>3</v>
      </c>
      <c r="E678">
        <v>11</v>
      </c>
      <c r="G678">
        <v>323</v>
      </c>
      <c r="H678" t="s">
        <v>63</v>
      </c>
      <c r="I678" t="s">
        <v>131</v>
      </c>
      <c r="J678" t="s">
        <v>151</v>
      </c>
      <c r="L678">
        <v>0</v>
      </c>
      <c r="M678" t="s">
        <v>125</v>
      </c>
      <c r="O678" t="s">
        <v>125</v>
      </c>
      <c r="P678" t="s">
        <v>125</v>
      </c>
      <c r="Q678" t="s">
        <v>125</v>
      </c>
      <c r="R678" t="s">
        <v>125</v>
      </c>
      <c r="S678" t="s">
        <v>125</v>
      </c>
      <c r="T678">
        <v>0</v>
      </c>
      <c r="V678" t="s">
        <v>125</v>
      </c>
      <c r="AE678" t="s">
        <v>125</v>
      </c>
      <c r="AF678">
        <v>0</v>
      </c>
      <c r="AG678" t="s">
        <v>125</v>
      </c>
      <c r="AH678">
        <v>0</v>
      </c>
      <c r="AK678">
        <v>0</v>
      </c>
    </row>
    <row r="679" spans="1:37" x14ac:dyDescent="0.25">
      <c r="A679" t="s">
        <v>79</v>
      </c>
      <c r="B679">
        <v>3</v>
      </c>
      <c r="C679">
        <v>2</v>
      </c>
      <c r="D679">
        <v>3</v>
      </c>
      <c r="E679">
        <v>12</v>
      </c>
      <c r="G679">
        <v>323</v>
      </c>
      <c r="H679" t="s">
        <v>63</v>
      </c>
      <c r="I679" t="s">
        <v>133</v>
      </c>
      <c r="J679" t="s">
        <v>152</v>
      </c>
      <c r="L679">
        <v>0</v>
      </c>
      <c r="M679" t="s">
        <v>125</v>
      </c>
      <c r="O679" t="s">
        <v>125</v>
      </c>
      <c r="P679" t="s">
        <v>125</v>
      </c>
      <c r="Q679" t="s">
        <v>125</v>
      </c>
      <c r="R679" t="s">
        <v>125</v>
      </c>
      <c r="S679" t="s">
        <v>125</v>
      </c>
      <c r="T679">
        <v>0</v>
      </c>
      <c r="V679" t="s">
        <v>125</v>
      </c>
      <c r="AE679" t="s">
        <v>125</v>
      </c>
      <c r="AF679">
        <v>0</v>
      </c>
      <c r="AG679" t="s">
        <v>125</v>
      </c>
      <c r="AH679">
        <v>0</v>
      </c>
      <c r="AK679">
        <v>0</v>
      </c>
    </row>
    <row r="680" spans="1:37" x14ac:dyDescent="0.25">
      <c r="A680" t="s">
        <v>79</v>
      </c>
      <c r="B680">
        <v>3</v>
      </c>
      <c r="C680">
        <v>2</v>
      </c>
      <c r="D680">
        <v>3</v>
      </c>
      <c r="E680">
        <v>13</v>
      </c>
      <c r="G680">
        <v>323</v>
      </c>
      <c r="H680" t="s">
        <v>63</v>
      </c>
      <c r="I680" t="s">
        <v>135</v>
      </c>
      <c r="J680" t="s">
        <v>153</v>
      </c>
      <c r="L680">
        <v>0</v>
      </c>
      <c r="M680" t="s">
        <v>125</v>
      </c>
      <c r="O680" t="s">
        <v>125</v>
      </c>
      <c r="P680" t="s">
        <v>125</v>
      </c>
      <c r="Q680" t="s">
        <v>125</v>
      </c>
      <c r="R680" t="s">
        <v>125</v>
      </c>
      <c r="S680" t="s">
        <v>125</v>
      </c>
      <c r="T680">
        <v>0</v>
      </c>
      <c r="V680" t="s">
        <v>125</v>
      </c>
      <c r="AE680" t="s">
        <v>125</v>
      </c>
      <c r="AF680">
        <v>0</v>
      </c>
      <c r="AG680" t="s">
        <v>125</v>
      </c>
      <c r="AH680">
        <v>0</v>
      </c>
      <c r="AK680">
        <v>0</v>
      </c>
    </row>
    <row r="681" spans="1:37" x14ac:dyDescent="0.25">
      <c r="A681" t="s">
        <v>79</v>
      </c>
      <c r="B681">
        <v>3</v>
      </c>
      <c r="C681">
        <v>2</v>
      </c>
      <c r="D681">
        <v>3</v>
      </c>
      <c r="E681">
        <v>14</v>
      </c>
      <c r="G681">
        <v>323</v>
      </c>
      <c r="H681" t="s">
        <v>63</v>
      </c>
      <c r="I681" t="s">
        <v>137</v>
      </c>
      <c r="J681" t="s">
        <v>154</v>
      </c>
      <c r="L681">
        <v>0</v>
      </c>
      <c r="M681" t="s">
        <v>125</v>
      </c>
      <c r="O681" t="s">
        <v>125</v>
      </c>
      <c r="P681" t="s">
        <v>125</v>
      </c>
      <c r="Q681" t="s">
        <v>125</v>
      </c>
      <c r="R681" t="s">
        <v>125</v>
      </c>
      <c r="S681" t="s">
        <v>125</v>
      </c>
      <c r="T681">
        <v>0</v>
      </c>
      <c r="V681" t="s">
        <v>125</v>
      </c>
      <c r="AE681" t="s">
        <v>125</v>
      </c>
      <c r="AF681">
        <v>0</v>
      </c>
      <c r="AG681" t="s">
        <v>125</v>
      </c>
      <c r="AH681">
        <v>0</v>
      </c>
      <c r="AK681">
        <v>0</v>
      </c>
    </row>
    <row r="682" spans="1:37" x14ac:dyDescent="0.25">
      <c r="A682" t="s">
        <v>79</v>
      </c>
      <c r="B682">
        <v>3</v>
      </c>
      <c r="C682">
        <v>2</v>
      </c>
      <c r="D682">
        <v>3</v>
      </c>
      <c r="E682">
        <v>15</v>
      </c>
      <c r="G682">
        <v>323</v>
      </c>
      <c r="H682" t="s">
        <v>63</v>
      </c>
      <c r="I682" t="s">
        <v>139</v>
      </c>
      <c r="J682" t="s">
        <v>155</v>
      </c>
      <c r="L682">
        <v>0</v>
      </c>
      <c r="M682" t="s">
        <v>125</v>
      </c>
      <c r="O682" t="s">
        <v>125</v>
      </c>
      <c r="P682" t="s">
        <v>125</v>
      </c>
      <c r="Q682" t="s">
        <v>125</v>
      </c>
      <c r="R682" t="s">
        <v>125</v>
      </c>
      <c r="S682" t="s">
        <v>125</v>
      </c>
      <c r="T682">
        <v>0</v>
      </c>
      <c r="V682" t="s">
        <v>125</v>
      </c>
      <c r="AE682" t="s">
        <v>125</v>
      </c>
      <c r="AF682">
        <v>0</v>
      </c>
      <c r="AG682" t="s">
        <v>125</v>
      </c>
      <c r="AH682">
        <v>0</v>
      </c>
      <c r="AK682">
        <v>0</v>
      </c>
    </row>
    <row r="683" spans="1:37" x14ac:dyDescent="0.25">
      <c r="L683">
        <v>0</v>
      </c>
    </row>
    <row r="684" spans="1:37" x14ac:dyDescent="0.25">
      <c r="A684" t="s">
        <v>70</v>
      </c>
      <c r="B684">
        <v>3</v>
      </c>
      <c r="C684">
        <v>2</v>
      </c>
      <c r="D684">
        <v>4</v>
      </c>
      <c r="G684">
        <v>32</v>
      </c>
      <c r="L684">
        <v>0</v>
      </c>
      <c r="M684" t="s">
        <v>125</v>
      </c>
      <c r="P684" t="s">
        <v>125</v>
      </c>
      <c r="R684" t="s">
        <v>125</v>
      </c>
      <c r="S684" t="s">
        <v>63</v>
      </c>
      <c r="V684" t="s">
        <v>125</v>
      </c>
      <c r="X684" t="s">
        <v>125</v>
      </c>
      <c r="Y684" t="s">
        <v>125</v>
      </c>
      <c r="Z684" t="s">
        <v>125</v>
      </c>
      <c r="AA684" t="s">
        <v>125</v>
      </c>
      <c r="AB684" t="s">
        <v>125</v>
      </c>
      <c r="AC684" t="s">
        <v>125</v>
      </c>
      <c r="AE684" t="s">
        <v>125</v>
      </c>
      <c r="AF684">
        <v>0</v>
      </c>
      <c r="AG684" t="s">
        <v>125</v>
      </c>
      <c r="AH684">
        <v>0</v>
      </c>
      <c r="AK684">
        <v>0</v>
      </c>
    </row>
    <row r="685" spans="1:37" x14ac:dyDescent="0.25">
      <c r="A685" t="s">
        <v>79</v>
      </c>
      <c r="B685">
        <v>3</v>
      </c>
      <c r="C685">
        <v>2</v>
      </c>
      <c r="D685">
        <v>4</v>
      </c>
      <c r="E685">
        <v>1</v>
      </c>
      <c r="G685">
        <v>324</v>
      </c>
      <c r="H685" t="s">
        <v>63</v>
      </c>
      <c r="I685" t="s">
        <v>80</v>
      </c>
      <c r="J685" t="s">
        <v>141</v>
      </c>
      <c r="L685">
        <v>0</v>
      </c>
      <c r="M685" t="s">
        <v>125</v>
      </c>
      <c r="O685" t="s">
        <v>125</v>
      </c>
      <c r="P685" t="s">
        <v>125</v>
      </c>
      <c r="Q685" t="s">
        <v>125</v>
      </c>
      <c r="R685" t="s">
        <v>125</v>
      </c>
      <c r="S685" t="s">
        <v>125</v>
      </c>
      <c r="T685">
        <v>0</v>
      </c>
      <c r="V685" t="s">
        <v>125</v>
      </c>
      <c r="AE685" t="s">
        <v>125</v>
      </c>
      <c r="AF685">
        <v>0</v>
      </c>
      <c r="AG685" t="s">
        <v>125</v>
      </c>
      <c r="AH685">
        <v>0</v>
      </c>
      <c r="AK685">
        <v>0</v>
      </c>
    </row>
    <row r="686" spans="1:37" x14ac:dyDescent="0.25">
      <c r="A686" t="s">
        <v>79</v>
      </c>
      <c r="B686">
        <v>3</v>
      </c>
      <c r="C686">
        <v>2</v>
      </c>
      <c r="D686">
        <v>4</v>
      </c>
      <c r="E686">
        <v>2</v>
      </c>
      <c r="G686">
        <v>324</v>
      </c>
      <c r="H686" t="s">
        <v>63</v>
      </c>
      <c r="I686" t="s">
        <v>88</v>
      </c>
      <c r="J686" t="s">
        <v>142</v>
      </c>
      <c r="L686">
        <v>0</v>
      </c>
      <c r="M686" t="s">
        <v>125</v>
      </c>
      <c r="O686" t="s">
        <v>125</v>
      </c>
      <c r="P686" t="s">
        <v>125</v>
      </c>
      <c r="Q686" t="s">
        <v>125</v>
      </c>
      <c r="R686" t="s">
        <v>125</v>
      </c>
      <c r="S686" t="s">
        <v>125</v>
      </c>
      <c r="T686">
        <v>0</v>
      </c>
      <c r="V686" t="s">
        <v>125</v>
      </c>
      <c r="AE686" t="s">
        <v>125</v>
      </c>
      <c r="AF686">
        <v>0</v>
      </c>
      <c r="AG686" t="s">
        <v>125</v>
      </c>
      <c r="AH686">
        <v>0</v>
      </c>
      <c r="AK686">
        <v>0</v>
      </c>
    </row>
    <row r="687" spans="1:37" x14ac:dyDescent="0.25">
      <c r="A687" t="s">
        <v>79</v>
      </c>
      <c r="B687">
        <v>3</v>
      </c>
      <c r="C687">
        <v>2</v>
      </c>
      <c r="D687">
        <v>4</v>
      </c>
      <c r="E687">
        <v>3</v>
      </c>
      <c r="G687">
        <v>324</v>
      </c>
      <c r="H687" t="s">
        <v>63</v>
      </c>
      <c r="I687" t="s">
        <v>95</v>
      </c>
      <c r="J687" t="s">
        <v>143</v>
      </c>
      <c r="L687">
        <v>0</v>
      </c>
      <c r="M687" t="s">
        <v>125</v>
      </c>
      <c r="O687" t="s">
        <v>125</v>
      </c>
      <c r="P687" t="s">
        <v>125</v>
      </c>
      <c r="Q687" t="s">
        <v>125</v>
      </c>
      <c r="R687" t="s">
        <v>125</v>
      </c>
      <c r="S687" t="s">
        <v>125</v>
      </c>
      <c r="T687">
        <v>0</v>
      </c>
      <c r="V687" t="s">
        <v>125</v>
      </c>
      <c r="AE687" t="s">
        <v>125</v>
      </c>
      <c r="AF687">
        <v>0</v>
      </c>
      <c r="AG687" t="s">
        <v>125</v>
      </c>
      <c r="AH687">
        <v>0</v>
      </c>
      <c r="AK687">
        <v>0</v>
      </c>
    </row>
    <row r="688" spans="1:37" x14ac:dyDescent="0.25">
      <c r="A688" t="s">
        <v>79</v>
      </c>
      <c r="B688">
        <v>3</v>
      </c>
      <c r="C688">
        <v>2</v>
      </c>
      <c r="D688">
        <v>4</v>
      </c>
      <c r="E688">
        <v>4</v>
      </c>
      <c r="G688">
        <v>324</v>
      </c>
      <c r="H688" t="s">
        <v>63</v>
      </c>
      <c r="I688" t="s">
        <v>102</v>
      </c>
      <c r="J688" t="s">
        <v>144</v>
      </c>
      <c r="L688">
        <v>0</v>
      </c>
      <c r="M688" t="s">
        <v>125</v>
      </c>
      <c r="O688" t="s">
        <v>125</v>
      </c>
      <c r="P688" t="s">
        <v>125</v>
      </c>
      <c r="Q688" t="s">
        <v>125</v>
      </c>
      <c r="R688" t="s">
        <v>125</v>
      </c>
      <c r="S688" t="s">
        <v>125</v>
      </c>
      <c r="T688">
        <v>0</v>
      </c>
      <c r="V688" t="s">
        <v>125</v>
      </c>
      <c r="AE688" t="s">
        <v>125</v>
      </c>
      <c r="AF688">
        <v>0</v>
      </c>
      <c r="AG688" t="s">
        <v>125</v>
      </c>
      <c r="AH688">
        <v>0</v>
      </c>
      <c r="AK688">
        <v>0</v>
      </c>
    </row>
    <row r="689" spans="1:37" x14ac:dyDescent="0.25">
      <c r="A689" t="s">
        <v>79</v>
      </c>
      <c r="B689">
        <v>3</v>
      </c>
      <c r="C689">
        <v>2</v>
      </c>
      <c r="D689">
        <v>4</v>
      </c>
      <c r="E689">
        <v>5</v>
      </c>
      <c r="G689">
        <v>324</v>
      </c>
      <c r="H689" t="s">
        <v>63</v>
      </c>
      <c r="I689" t="s">
        <v>109</v>
      </c>
      <c r="J689" t="s">
        <v>145</v>
      </c>
      <c r="L689">
        <v>0</v>
      </c>
      <c r="M689" t="s">
        <v>125</v>
      </c>
      <c r="O689" t="s">
        <v>125</v>
      </c>
      <c r="P689" t="s">
        <v>125</v>
      </c>
      <c r="Q689" t="s">
        <v>125</v>
      </c>
      <c r="R689" t="s">
        <v>125</v>
      </c>
      <c r="S689" t="s">
        <v>125</v>
      </c>
      <c r="T689">
        <v>0</v>
      </c>
      <c r="V689" t="s">
        <v>125</v>
      </c>
      <c r="AE689" t="s">
        <v>125</v>
      </c>
      <c r="AF689">
        <v>0</v>
      </c>
      <c r="AG689" t="s">
        <v>125</v>
      </c>
      <c r="AH689">
        <v>0</v>
      </c>
      <c r="AK689">
        <v>0</v>
      </c>
    </row>
    <row r="690" spans="1:37" x14ac:dyDescent="0.25">
      <c r="A690" t="s">
        <v>79</v>
      </c>
      <c r="B690">
        <v>3</v>
      </c>
      <c r="C690">
        <v>2</v>
      </c>
      <c r="D690">
        <v>4</v>
      </c>
      <c r="E690">
        <v>6</v>
      </c>
      <c r="G690">
        <v>324</v>
      </c>
      <c r="H690" t="s">
        <v>63</v>
      </c>
      <c r="I690" t="s">
        <v>116</v>
      </c>
      <c r="J690" t="s">
        <v>146</v>
      </c>
      <c r="L690">
        <v>0</v>
      </c>
      <c r="M690" t="s">
        <v>125</v>
      </c>
      <c r="O690" t="s">
        <v>125</v>
      </c>
      <c r="P690" t="s">
        <v>125</v>
      </c>
      <c r="Q690" t="s">
        <v>125</v>
      </c>
      <c r="R690" t="s">
        <v>125</v>
      </c>
      <c r="S690" t="s">
        <v>125</v>
      </c>
      <c r="T690">
        <v>0</v>
      </c>
      <c r="V690" t="s">
        <v>125</v>
      </c>
      <c r="AE690" t="s">
        <v>125</v>
      </c>
      <c r="AF690">
        <v>0</v>
      </c>
      <c r="AG690" t="s">
        <v>125</v>
      </c>
      <c r="AH690">
        <v>0</v>
      </c>
      <c r="AK690">
        <v>0</v>
      </c>
    </row>
    <row r="691" spans="1:37" x14ac:dyDescent="0.25">
      <c r="A691" t="s">
        <v>79</v>
      </c>
      <c r="B691">
        <v>3</v>
      </c>
      <c r="C691">
        <v>2</v>
      </c>
      <c r="D691">
        <v>4</v>
      </c>
      <c r="E691">
        <v>7</v>
      </c>
      <c r="G691">
        <v>324</v>
      </c>
      <c r="H691" t="s">
        <v>63</v>
      </c>
      <c r="I691" t="s">
        <v>123</v>
      </c>
      <c r="J691" t="s">
        <v>147</v>
      </c>
      <c r="L691">
        <v>0</v>
      </c>
      <c r="M691" t="s">
        <v>125</v>
      </c>
      <c r="O691" t="s">
        <v>125</v>
      </c>
      <c r="P691" t="s">
        <v>125</v>
      </c>
      <c r="Q691" t="s">
        <v>125</v>
      </c>
      <c r="R691" t="s">
        <v>125</v>
      </c>
      <c r="S691" t="s">
        <v>125</v>
      </c>
      <c r="T691">
        <v>0</v>
      </c>
      <c r="V691" t="s">
        <v>125</v>
      </c>
      <c r="AE691" t="s">
        <v>125</v>
      </c>
      <c r="AF691">
        <v>0</v>
      </c>
      <c r="AG691" t="s">
        <v>125</v>
      </c>
      <c r="AH691">
        <v>0</v>
      </c>
      <c r="AK691">
        <v>0</v>
      </c>
    </row>
    <row r="692" spans="1:37" x14ac:dyDescent="0.25">
      <c r="A692" t="s">
        <v>79</v>
      </c>
      <c r="B692">
        <v>3</v>
      </c>
      <c r="C692">
        <v>2</v>
      </c>
      <c r="D692">
        <v>4</v>
      </c>
      <c r="E692">
        <v>8</v>
      </c>
      <c r="G692">
        <v>324</v>
      </c>
      <c r="H692" t="s">
        <v>63</v>
      </c>
      <c r="I692" t="s">
        <v>126</v>
      </c>
      <c r="J692" t="s">
        <v>148</v>
      </c>
      <c r="L692">
        <v>0</v>
      </c>
      <c r="M692" t="s">
        <v>125</v>
      </c>
      <c r="O692" t="s">
        <v>125</v>
      </c>
      <c r="P692" t="s">
        <v>125</v>
      </c>
      <c r="Q692" t="s">
        <v>125</v>
      </c>
      <c r="R692" t="s">
        <v>125</v>
      </c>
      <c r="S692" t="s">
        <v>125</v>
      </c>
      <c r="T692">
        <v>0</v>
      </c>
      <c r="V692" t="s">
        <v>125</v>
      </c>
      <c r="AE692" t="s">
        <v>125</v>
      </c>
      <c r="AF692">
        <v>0</v>
      </c>
      <c r="AG692" t="s">
        <v>125</v>
      </c>
      <c r="AH692">
        <v>0</v>
      </c>
      <c r="AK692">
        <v>0</v>
      </c>
    </row>
    <row r="693" spans="1:37" x14ac:dyDescent="0.25">
      <c r="A693" t="s">
        <v>79</v>
      </c>
      <c r="B693">
        <v>3</v>
      </c>
      <c r="C693">
        <v>2</v>
      </c>
      <c r="D693">
        <v>4</v>
      </c>
      <c r="E693">
        <v>9</v>
      </c>
      <c r="G693">
        <v>324</v>
      </c>
      <c r="H693" t="s">
        <v>63</v>
      </c>
      <c r="I693" t="s">
        <v>74</v>
      </c>
      <c r="J693" t="s">
        <v>149</v>
      </c>
      <c r="L693">
        <v>0</v>
      </c>
      <c r="M693" t="s">
        <v>125</v>
      </c>
      <c r="O693" t="s">
        <v>125</v>
      </c>
      <c r="P693" t="s">
        <v>125</v>
      </c>
      <c r="Q693" t="s">
        <v>125</v>
      </c>
      <c r="R693" t="s">
        <v>125</v>
      </c>
      <c r="S693" t="s">
        <v>125</v>
      </c>
      <c r="T693">
        <v>0</v>
      </c>
      <c r="V693" t="s">
        <v>125</v>
      </c>
      <c r="AE693" t="s">
        <v>125</v>
      </c>
      <c r="AF693">
        <v>0</v>
      </c>
      <c r="AG693" t="s">
        <v>125</v>
      </c>
      <c r="AH693">
        <v>0</v>
      </c>
      <c r="AK693">
        <v>0</v>
      </c>
    </row>
    <row r="694" spans="1:37" x14ac:dyDescent="0.25">
      <c r="A694" t="s">
        <v>79</v>
      </c>
      <c r="B694">
        <v>3</v>
      </c>
      <c r="C694">
        <v>2</v>
      </c>
      <c r="D694">
        <v>4</v>
      </c>
      <c r="E694">
        <v>10</v>
      </c>
      <c r="G694">
        <v>324</v>
      </c>
      <c r="H694" t="s">
        <v>63</v>
      </c>
      <c r="I694" t="s">
        <v>129</v>
      </c>
      <c r="J694" t="s">
        <v>150</v>
      </c>
      <c r="L694">
        <v>0</v>
      </c>
      <c r="M694" t="s">
        <v>125</v>
      </c>
      <c r="O694" t="s">
        <v>125</v>
      </c>
      <c r="P694" t="s">
        <v>125</v>
      </c>
      <c r="Q694" t="s">
        <v>125</v>
      </c>
      <c r="R694" t="s">
        <v>125</v>
      </c>
      <c r="S694" t="s">
        <v>125</v>
      </c>
      <c r="T694">
        <v>0</v>
      </c>
      <c r="V694" t="s">
        <v>125</v>
      </c>
      <c r="AE694" t="s">
        <v>125</v>
      </c>
      <c r="AF694">
        <v>0</v>
      </c>
      <c r="AG694" t="s">
        <v>125</v>
      </c>
      <c r="AH694">
        <v>0</v>
      </c>
      <c r="AK694">
        <v>0</v>
      </c>
    </row>
    <row r="695" spans="1:37" x14ac:dyDescent="0.25">
      <c r="A695" t="s">
        <v>79</v>
      </c>
      <c r="B695">
        <v>3</v>
      </c>
      <c r="C695">
        <v>2</v>
      </c>
      <c r="D695">
        <v>4</v>
      </c>
      <c r="E695">
        <v>11</v>
      </c>
      <c r="G695">
        <v>324</v>
      </c>
      <c r="H695" t="s">
        <v>63</v>
      </c>
      <c r="I695" t="s">
        <v>131</v>
      </c>
      <c r="J695" t="s">
        <v>151</v>
      </c>
      <c r="L695">
        <v>0</v>
      </c>
      <c r="M695" t="s">
        <v>125</v>
      </c>
      <c r="O695" t="s">
        <v>125</v>
      </c>
      <c r="P695" t="s">
        <v>125</v>
      </c>
      <c r="Q695" t="s">
        <v>125</v>
      </c>
      <c r="R695" t="s">
        <v>125</v>
      </c>
      <c r="S695" t="s">
        <v>125</v>
      </c>
      <c r="T695">
        <v>0</v>
      </c>
      <c r="V695" t="s">
        <v>125</v>
      </c>
      <c r="AE695" t="s">
        <v>125</v>
      </c>
      <c r="AF695">
        <v>0</v>
      </c>
      <c r="AG695" t="s">
        <v>125</v>
      </c>
      <c r="AH695">
        <v>0</v>
      </c>
      <c r="AK695">
        <v>0</v>
      </c>
    </row>
    <row r="696" spans="1:37" x14ac:dyDescent="0.25">
      <c r="A696" t="s">
        <v>79</v>
      </c>
      <c r="B696">
        <v>3</v>
      </c>
      <c r="C696">
        <v>2</v>
      </c>
      <c r="D696">
        <v>4</v>
      </c>
      <c r="E696">
        <v>12</v>
      </c>
      <c r="G696">
        <v>324</v>
      </c>
      <c r="H696" t="s">
        <v>63</v>
      </c>
      <c r="I696" t="s">
        <v>133</v>
      </c>
      <c r="J696" t="s">
        <v>152</v>
      </c>
      <c r="L696">
        <v>0</v>
      </c>
      <c r="M696" t="s">
        <v>125</v>
      </c>
      <c r="O696" t="s">
        <v>125</v>
      </c>
      <c r="P696" t="s">
        <v>125</v>
      </c>
      <c r="Q696" t="s">
        <v>125</v>
      </c>
      <c r="R696" t="s">
        <v>125</v>
      </c>
      <c r="S696" t="s">
        <v>125</v>
      </c>
      <c r="T696">
        <v>0</v>
      </c>
      <c r="V696" t="s">
        <v>125</v>
      </c>
      <c r="AE696" t="s">
        <v>125</v>
      </c>
      <c r="AF696">
        <v>0</v>
      </c>
      <c r="AG696" t="s">
        <v>125</v>
      </c>
      <c r="AH696">
        <v>0</v>
      </c>
      <c r="AK696">
        <v>0</v>
      </c>
    </row>
    <row r="697" spans="1:37" x14ac:dyDescent="0.25">
      <c r="A697" t="s">
        <v>79</v>
      </c>
      <c r="B697">
        <v>3</v>
      </c>
      <c r="C697">
        <v>2</v>
      </c>
      <c r="D697">
        <v>4</v>
      </c>
      <c r="E697">
        <v>13</v>
      </c>
      <c r="G697">
        <v>324</v>
      </c>
      <c r="H697" t="s">
        <v>63</v>
      </c>
      <c r="I697" t="s">
        <v>135</v>
      </c>
      <c r="J697" t="s">
        <v>153</v>
      </c>
      <c r="L697">
        <v>0</v>
      </c>
      <c r="M697" t="s">
        <v>125</v>
      </c>
      <c r="O697" t="s">
        <v>125</v>
      </c>
      <c r="P697" t="s">
        <v>125</v>
      </c>
      <c r="Q697" t="s">
        <v>125</v>
      </c>
      <c r="R697" t="s">
        <v>125</v>
      </c>
      <c r="S697" t="s">
        <v>125</v>
      </c>
      <c r="T697">
        <v>0</v>
      </c>
      <c r="V697" t="s">
        <v>125</v>
      </c>
      <c r="AE697" t="s">
        <v>125</v>
      </c>
      <c r="AF697">
        <v>0</v>
      </c>
      <c r="AG697" t="s">
        <v>125</v>
      </c>
      <c r="AH697">
        <v>0</v>
      </c>
      <c r="AK697">
        <v>0</v>
      </c>
    </row>
    <row r="698" spans="1:37" x14ac:dyDescent="0.25">
      <c r="A698" t="s">
        <v>79</v>
      </c>
      <c r="B698">
        <v>3</v>
      </c>
      <c r="C698">
        <v>2</v>
      </c>
      <c r="D698">
        <v>4</v>
      </c>
      <c r="E698">
        <v>14</v>
      </c>
      <c r="G698">
        <v>324</v>
      </c>
      <c r="H698" t="s">
        <v>63</v>
      </c>
      <c r="I698" t="s">
        <v>137</v>
      </c>
      <c r="J698" t="s">
        <v>154</v>
      </c>
      <c r="L698">
        <v>0</v>
      </c>
      <c r="M698" t="s">
        <v>125</v>
      </c>
      <c r="O698" t="s">
        <v>125</v>
      </c>
      <c r="P698" t="s">
        <v>125</v>
      </c>
      <c r="Q698" t="s">
        <v>125</v>
      </c>
      <c r="R698" t="s">
        <v>125</v>
      </c>
      <c r="S698" t="s">
        <v>125</v>
      </c>
      <c r="T698">
        <v>0</v>
      </c>
      <c r="V698" t="s">
        <v>125</v>
      </c>
      <c r="AE698" t="s">
        <v>125</v>
      </c>
      <c r="AF698">
        <v>0</v>
      </c>
      <c r="AG698" t="s">
        <v>125</v>
      </c>
      <c r="AH698">
        <v>0</v>
      </c>
      <c r="AK698">
        <v>0</v>
      </c>
    </row>
    <row r="699" spans="1:37" x14ac:dyDescent="0.25">
      <c r="A699" t="s">
        <v>79</v>
      </c>
      <c r="B699">
        <v>3</v>
      </c>
      <c r="C699">
        <v>2</v>
      </c>
      <c r="D699">
        <v>4</v>
      </c>
      <c r="E699">
        <v>15</v>
      </c>
      <c r="G699">
        <v>324</v>
      </c>
      <c r="H699" t="s">
        <v>63</v>
      </c>
      <c r="I699" t="s">
        <v>139</v>
      </c>
      <c r="J699" t="s">
        <v>155</v>
      </c>
      <c r="L699">
        <v>0</v>
      </c>
      <c r="M699" t="s">
        <v>125</v>
      </c>
      <c r="O699" t="s">
        <v>125</v>
      </c>
      <c r="P699" t="s">
        <v>125</v>
      </c>
      <c r="Q699" t="s">
        <v>125</v>
      </c>
      <c r="R699" t="s">
        <v>125</v>
      </c>
      <c r="S699" t="s">
        <v>125</v>
      </c>
      <c r="T699">
        <v>0</v>
      </c>
      <c r="V699" t="s">
        <v>125</v>
      </c>
      <c r="AE699" t="s">
        <v>125</v>
      </c>
      <c r="AF699">
        <v>0</v>
      </c>
      <c r="AG699" t="s">
        <v>125</v>
      </c>
      <c r="AH699">
        <v>0</v>
      </c>
      <c r="AK699">
        <v>0</v>
      </c>
    </row>
    <row r="700" spans="1:37" x14ac:dyDescent="0.25">
      <c r="L700">
        <v>0</v>
      </c>
    </row>
    <row r="701" spans="1:37" x14ac:dyDescent="0.25">
      <c r="A701" t="s">
        <v>70</v>
      </c>
      <c r="B701">
        <v>3</v>
      </c>
      <c r="C701">
        <v>2</v>
      </c>
      <c r="D701">
        <v>5</v>
      </c>
      <c r="G701">
        <v>32</v>
      </c>
      <c r="L701">
        <v>0</v>
      </c>
      <c r="M701" t="s">
        <v>125</v>
      </c>
      <c r="P701" t="s">
        <v>125</v>
      </c>
      <c r="R701" t="s">
        <v>125</v>
      </c>
      <c r="S701" t="s">
        <v>63</v>
      </c>
      <c r="V701" t="s">
        <v>125</v>
      </c>
      <c r="X701" t="s">
        <v>125</v>
      </c>
      <c r="Y701" t="s">
        <v>125</v>
      </c>
      <c r="Z701" t="s">
        <v>125</v>
      </c>
      <c r="AA701" t="s">
        <v>125</v>
      </c>
      <c r="AB701" t="s">
        <v>125</v>
      </c>
      <c r="AC701" t="s">
        <v>125</v>
      </c>
      <c r="AE701" t="s">
        <v>125</v>
      </c>
      <c r="AF701">
        <v>0</v>
      </c>
      <c r="AG701" t="s">
        <v>125</v>
      </c>
      <c r="AH701">
        <v>0</v>
      </c>
      <c r="AK701">
        <v>0</v>
      </c>
    </row>
    <row r="702" spans="1:37" x14ac:dyDescent="0.25">
      <c r="A702" t="s">
        <v>79</v>
      </c>
      <c r="B702">
        <v>3</v>
      </c>
      <c r="C702">
        <v>2</v>
      </c>
      <c r="D702">
        <v>5</v>
      </c>
      <c r="E702">
        <v>1</v>
      </c>
      <c r="G702">
        <v>325</v>
      </c>
      <c r="H702" t="s">
        <v>63</v>
      </c>
      <c r="I702" t="s">
        <v>80</v>
      </c>
      <c r="J702" t="s">
        <v>141</v>
      </c>
      <c r="L702">
        <v>0</v>
      </c>
      <c r="M702" t="s">
        <v>125</v>
      </c>
      <c r="O702" t="s">
        <v>125</v>
      </c>
      <c r="P702" t="s">
        <v>125</v>
      </c>
      <c r="Q702" t="s">
        <v>125</v>
      </c>
      <c r="R702" t="s">
        <v>125</v>
      </c>
      <c r="S702" t="s">
        <v>125</v>
      </c>
      <c r="T702">
        <v>0</v>
      </c>
      <c r="V702" t="s">
        <v>125</v>
      </c>
      <c r="AE702" t="s">
        <v>125</v>
      </c>
      <c r="AF702">
        <v>0</v>
      </c>
      <c r="AG702" t="s">
        <v>125</v>
      </c>
      <c r="AH702">
        <v>0</v>
      </c>
      <c r="AK702">
        <v>0</v>
      </c>
    </row>
    <row r="703" spans="1:37" x14ac:dyDescent="0.25">
      <c r="A703" t="s">
        <v>79</v>
      </c>
      <c r="B703">
        <v>3</v>
      </c>
      <c r="C703">
        <v>2</v>
      </c>
      <c r="D703">
        <v>5</v>
      </c>
      <c r="E703">
        <v>2</v>
      </c>
      <c r="G703">
        <v>325</v>
      </c>
      <c r="H703" t="s">
        <v>63</v>
      </c>
      <c r="I703" t="s">
        <v>88</v>
      </c>
      <c r="J703" t="s">
        <v>142</v>
      </c>
      <c r="L703">
        <v>0</v>
      </c>
      <c r="M703" t="s">
        <v>125</v>
      </c>
      <c r="O703" t="s">
        <v>125</v>
      </c>
      <c r="P703" t="s">
        <v>125</v>
      </c>
      <c r="Q703" t="s">
        <v>125</v>
      </c>
      <c r="R703" t="s">
        <v>125</v>
      </c>
      <c r="S703" t="s">
        <v>125</v>
      </c>
      <c r="T703">
        <v>0</v>
      </c>
      <c r="V703" t="s">
        <v>125</v>
      </c>
      <c r="AE703" t="s">
        <v>125</v>
      </c>
      <c r="AF703">
        <v>0</v>
      </c>
      <c r="AG703" t="s">
        <v>125</v>
      </c>
      <c r="AH703">
        <v>0</v>
      </c>
      <c r="AK703">
        <v>0</v>
      </c>
    </row>
    <row r="704" spans="1:37" x14ac:dyDescent="0.25">
      <c r="A704" t="s">
        <v>79</v>
      </c>
      <c r="B704">
        <v>3</v>
      </c>
      <c r="C704">
        <v>2</v>
      </c>
      <c r="D704">
        <v>5</v>
      </c>
      <c r="E704">
        <v>3</v>
      </c>
      <c r="G704">
        <v>325</v>
      </c>
      <c r="H704" t="s">
        <v>63</v>
      </c>
      <c r="I704" t="s">
        <v>95</v>
      </c>
      <c r="J704" t="s">
        <v>143</v>
      </c>
      <c r="L704">
        <v>0</v>
      </c>
      <c r="M704" t="s">
        <v>125</v>
      </c>
      <c r="O704" t="s">
        <v>125</v>
      </c>
      <c r="P704" t="s">
        <v>125</v>
      </c>
      <c r="Q704" t="s">
        <v>125</v>
      </c>
      <c r="R704" t="s">
        <v>125</v>
      </c>
      <c r="S704" t="s">
        <v>125</v>
      </c>
      <c r="T704">
        <v>0</v>
      </c>
      <c r="V704" t="s">
        <v>125</v>
      </c>
      <c r="AE704" t="s">
        <v>125</v>
      </c>
      <c r="AF704">
        <v>0</v>
      </c>
      <c r="AG704" t="s">
        <v>125</v>
      </c>
      <c r="AH704">
        <v>0</v>
      </c>
      <c r="AK704">
        <v>0</v>
      </c>
    </row>
    <row r="705" spans="1:37" x14ac:dyDescent="0.25">
      <c r="A705" t="s">
        <v>79</v>
      </c>
      <c r="B705">
        <v>3</v>
      </c>
      <c r="C705">
        <v>2</v>
      </c>
      <c r="D705">
        <v>5</v>
      </c>
      <c r="E705">
        <v>4</v>
      </c>
      <c r="G705">
        <v>325</v>
      </c>
      <c r="H705" t="s">
        <v>63</v>
      </c>
      <c r="I705" t="s">
        <v>102</v>
      </c>
      <c r="J705" t="s">
        <v>144</v>
      </c>
      <c r="L705">
        <v>0</v>
      </c>
      <c r="M705" t="s">
        <v>125</v>
      </c>
      <c r="O705" t="s">
        <v>125</v>
      </c>
      <c r="P705" t="s">
        <v>125</v>
      </c>
      <c r="Q705" t="s">
        <v>125</v>
      </c>
      <c r="R705" t="s">
        <v>125</v>
      </c>
      <c r="S705" t="s">
        <v>125</v>
      </c>
      <c r="T705">
        <v>0</v>
      </c>
      <c r="V705" t="s">
        <v>125</v>
      </c>
      <c r="AE705" t="s">
        <v>125</v>
      </c>
      <c r="AF705">
        <v>0</v>
      </c>
      <c r="AG705" t="s">
        <v>125</v>
      </c>
      <c r="AH705">
        <v>0</v>
      </c>
      <c r="AK705">
        <v>0</v>
      </c>
    </row>
    <row r="706" spans="1:37" x14ac:dyDescent="0.25">
      <c r="A706" t="s">
        <v>79</v>
      </c>
      <c r="B706">
        <v>3</v>
      </c>
      <c r="C706">
        <v>2</v>
      </c>
      <c r="D706">
        <v>5</v>
      </c>
      <c r="E706">
        <v>5</v>
      </c>
      <c r="G706">
        <v>325</v>
      </c>
      <c r="H706" t="s">
        <v>63</v>
      </c>
      <c r="I706" t="s">
        <v>109</v>
      </c>
      <c r="J706" t="s">
        <v>145</v>
      </c>
      <c r="L706">
        <v>0</v>
      </c>
      <c r="M706" t="s">
        <v>125</v>
      </c>
      <c r="O706" t="s">
        <v>125</v>
      </c>
      <c r="P706" t="s">
        <v>125</v>
      </c>
      <c r="Q706" t="s">
        <v>125</v>
      </c>
      <c r="R706" t="s">
        <v>125</v>
      </c>
      <c r="S706" t="s">
        <v>125</v>
      </c>
      <c r="T706">
        <v>0</v>
      </c>
      <c r="V706" t="s">
        <v>125</v>
      </c>
      <c r="AE706" t="s">
        <v>125</v>
      </c>
      <c r="AF706">
        <v>0</v>
      </c>
      <c r="AG706" t="s">
        <v>125</v>
      </c>
      <c r="AH706">
        <v>0</v>
      </c>
      <c r="AK706">
        <v>0</v>
      </c>
    </row>
    <row r="707" spans="1:37" x14ac:dyDescent="0.25">
      <c r="A707" t="s">
        <v>79</v>
      </c>
      <c r="B707">
        <v>3</v>
      </c>
      <c r="C707">
        <v>2</v>
      </c>
      <c r="D707">
        <v>5</v>
      </c>
      <c r="E707">
        <v>6</v>
      </c>
      <c r="G707">
        <v>325</v>
      </c>
      <c r="H707" t="s">
        <v>63</v>
      </c>
      <c r="I707" t="s">
        <v>116</v>
      </c>
      <c r="J707" t="s">
        <v>146</v>
      </c>
      <c r="L707">
        <v>0</v>
      </c>
      <c r="M707" t="s">
        <v>125</v>
      </c>
      <c r="O707" t="s">
        <v>125</v>
      </c>
      <c r="P707" t="s">
        <v>125</v>
      </c>
      <c r="Q707" t="s">
        <v>125</v>
      </c>
      <c r="R707" t="s">
        <v>125</v>
      </c>
      <c r="S707" t="s">
        <v>125</v>
      </c>
      <c r="T707">
        <v>0</v>
      </c>
      <c r="V707" t="s">
        <v>125</v>
      </c>
      <c r="AE707" t="s">
        <v>125</v>
      </c>
      <c r="AF707">
        <v>0</v>
      </c>
      <c r="AG707" t="s">
        <v>125</v>
      </c>
      <c r="AH707">
        <v>0</v>
      </c>
      <c r="AK707">
        <v>0</v>
      </c>
    </row>
    <row r="708" spans="1:37" x14ac:dyDescent="0.25">
      <c r="A708" t="s">
        <v>79</v>
      </c>
      <c r="B708">
        <v>3</v>
      </c>
      <c r="C708">
        <v>2</v>
      </c>
      <c r="D708">
        <v>5</v>
      </c>
      <c r="E708">
        <v>7</v>
      </c>
      <c r="G708">
        <v>325</v>
      </c>
      <c r="H708" t="s">
        <v>63</v>
      </c>
      <c r="I708" t="s">
        <v>123</v>
      </c>
      <c r="J708" t="s">
        <v>147</v>
      </c>
      <c r="L708">
        <v>0</v>
      </c>
      <c r="M708" t="s">
        <v>125</v>
      </c>
      <c r="O708" t="s">
        <v>125</v>
      </c>
      <c r="P708" t="s">
        <v>125</v>
      </c>
      <c r="Q708" t="s">
        <v>125</v>
      </c>
      <c r="R708" t="s">
        <v>125</v>
      </c>
      <c r="S708" t="s">
        <v>125</v>
      </c>
      <c r="T708">
        <v>0</v>
      </c>
      <c r="V708" t="s">
        <v>125</v>
      </c>
      <c r="AE708" t="s">
        <v>125</v>
      </c>
      <c r="AF708">
        <v>0</v>
      </c>
      <c r="AG708" t="s">
        <v>125</v>
      </c>
      <c r="AH708">
        <v>0</v>
      </c>
      <c r="AK708">
        <v>0</v>
      </c>
    </row>
    <row r="709" spans="1:37" x14ac:dyDescent="0.25">
      <c r="A709" t="s">
        <v>79</v>
      </c>
      <c r="B709">
        <v>3</v>
      </c>
      <c r="C709">
        <v>2</v>
      </c>
      <c r="D709">
        <v>5</v>
      </c>
      <c r="E709">
        <v>8</v>
      </c>
      <c r="G709">
        <v>325</v>
      </c>
      <c r="H709" t="s">
        <v>63</v>
      </c>
      <c r="I709" t="s">
        <v>126</v>
      </c>
      <c r="J709" t="s">
        <v>148</v>
      </c>
      <c r="L709">
        <v>0</v>
      </c>
      <c r="M709" t="s">
        <v>125</v>
      </c>
      <c r="O709" t="s">
        <v>125</v>
      </c>
      <c r="P709" t="s">
        <v>125</v>
      </c>
      <c r="Q709" t="s">
        <v>125</v>
      </c>
      <c r="R709" t="s">
        <v>125</v>
      </c>
      <c r="S709" t="s">
        <v>125</v>
      </c>
      <c r="T709">
        <v>0</v>
      </c>
      <c r="V709" t="s">
        <v>125</v>
      </c>
      <c r="AE709" t="s">
        <v>125</v>
      </c>
      <c r="AF709">
        <v>0</v>
      </c>
      <c r="AG709" t="s">
        <v>125</v>
      </c>
      <c r="AH709">
        <v>0</v>
      </c>
      <c r="AK709">
        <v>0</v>
      </c>
    </row>
    <row r="710" spans="1:37" x14ac:dyDescent="0.25">
      <c r="A710" t="s">
        <v>79</v>
      </c>
      <c r="B710">
        <v>3</v>
      </c>
      <c r="C710">
        <v>2</v>
      </c>
      <c r="D710">
        <v>5</v>
      </c>
      <c r="E710">
        <v>9</v>
      </c>
      <c r="G710">
        <v>325</v>
      </c>
      <c r="H710" t="s">
        <v>63</v>
      </c>
      <c r="I710" t="s">
        <v>74</v>
      </c>
      <c r="J710" t="s">
        <v>149</v>
      </c>
      <c r="L710">
        <v>0</v>
      </c>
      <c r="M710" t="s">
        <v>125</v>
      </c>
      <c r="O710" t="s">
        <v>125</v>
      </c>
      <c r="P710" t="s">
        <v>125</v>
      </c>
      <c r="Q710" t="s">
        <v>125</v>
      </c>
      <c r="R710" t="s">
        <v>125</v>
      </c>
      <c r="S710" t="s">
        <v>125</v>
      </c>
      <c r="T710">
        <v>0</v>
      </c>
      <c r="V710" t="s">
        <v>125</v>
      </c>
      <c r="AE710" t="s">
        <v>125</v>
      </c>
      <c r="AF710">
        <v>0</v>
      </c>
      <c r="AG710" t="s">
        <v>125</v>
      </c>
      <c r="AH710">
        <v>0</v>
      </c>
      <c r="AK710">
        <v>0</v>
      </c>
    </row>
    <row r="711" spans="1:37" x14ac:dyDescent="0.25">
      <c r="A711" t="s">
        <v>79</v>
      </c>
      <c r="B711">
        <v>3</v>
      </c>
      <c r="C711">
        <v>2</v>
      </c>
      <c r="D711">
        <v>5</v>
      </c>
      <c r="E711">
        <v>10</v>
      </c>
      <c r="G711">
        <v>325</v>
      </c>
      <c r="H711" t="s">
        <v>63</v>
      </c>
      <c r="I711" t="s">
        <v>129</v>
      </c>
      <c r="J711" t="s">
        <v>150</v>
      </c>
      <c r="L711">
        <v>0</v>
      </c>
      <c r="M711" t="s">
        <v>125</v>
      </c>
      <c r="O711" t="s">
        <v>125</v>
      </c>
      <c r="P711" t="s">
        <v>125</v>
      </c>
      <c r="Q711" t="s">
        <v>125</v>
      </c>
      <c r="R711" t="s">
        <v>125</v>
      </c>
      <c r="S711" t="s">
        <v>125</v>
      </c>
      <c r="T711">
        <v>0</v>
      </c>
      <c r="V711" t="s">
        <v>125</v>
      </c>
      <c r="AE711" t="s">
        <v>125</v>
      </c>
      <c r="AF711">
        <v>0</v>
      </c>
      <c r="AG711" t="s">
        <v>125</v>
      </c>
      <c r="AH711">
        <v>0</v>
      </c>
      <c r="AK711">
        <v>0</v>
      </c>
    </row>
    <row r="712" spans="1:37" x14ac:dyDescent="0.25">
      <c r="A712" t="s">
        <v>79</v>
      </c>
      <c r="B712">
        <v>3</v>
      </c>
      <c r="C712">
        <v>2</v>
      </c>
      <c r="D712">
        <v>5</v>
      </c>
      <c r="E712">
        <v>11</v>
      </c>
      <c r="G712">
        <v>325</v>
      </c>
      <c r="H712" t="s">
        <v>63</v>
      </c>
      <c r="I712" t="s">
        <v>131</v>
      </c>
      <c r="J712" t="s">
        <v>151</v>
      </c>
      <c r="L712">
        <v>0</v>
      </c>
      <c r="M712" t="s">
        <v>125</v>
      </c>
      <c r="O712" t="s">
        <v>125</v>
      </c>
      <c r="P712" t="s">
        <v>125</v>
      </c>
      <c r="Q712" t="s">
        <v>125</v>
      </c>
      <c r="R712" t="s">
        <v>125</v>
      </c>
      <c r="S712" t="s">
        <v>125</v>
      </c>
      <c r="T712">
        <v>0</v>
      </c>
      <c r="V712" t="s">
        <v>125</v>
      </c>
      <c r="AE712" t="s">
        <v>125</v>
      </c>
      <c r="AF712">
        <v>0</v>
      </c>
      <c r="AG712" t="s">
        <v>125</v>
      </c>
      <c r="AH712">
        <v>0</v>
      </c>
      <c r="AK712">
        <v>0</v>
      </c>
    </row>
    <row r="713" spans="1:37" x14ac:dyDescent="0.25">
      <c r="A713" t="s">
        <v>79</v>
      </c>
      <c r="B713">
        <v>3</v>
      </c>
      <c r="C713">
        <v>2</v>
      </c>
      <c r="D713">
        <v>5</v>
      </c>
      <c r="E713">
        <v>12</v>
      </c>
      <c r="G713">
        <v>325</v>
      </c>
      <c r="H713" t="s">
        <v>63</v>
      </c>
      <c r="I713" t="s">
        <v>133</v>
      </c>
      <c r="J713" t="s">
        <v>152</v>
      </c>
      <c r="L713">
        <v>0</v>
      </c>
      <c r="M713" t="s">
        <v>125</v>
      </c>
      <c r="O713" t="s">
        <v>125</v>
      </c>
      <c r="P713" t="s">
        <v>125</v>
      </c>
      <c r="Q713" t="s">
        <v>125</v>
      </c>
      <c r="R713" t="s">
        <v>125</v>
      </c>
      <c r="S713" t="s">
        <v>125</v>
      </c>
      <c r="T713">
        <v>0</v>
      </c>
      <c r="V713" t="s">
        <v>125</v>
      </c>
      <c r="AE713" t="s">
        <v>125</v>
      </c>
      <c r="AF713">
        <v>0</v>
      </c>
      <c r="AG713" t="s">
        <v>125</v>
      </c>
      <c r="AH713">
        <v>0</v>
      </c>
      <c r="AK713">
        <v>0</v>
      </c>
    </row>
    <row r="714" spans="1:37" x14ac:dyDescent="0.25">
      <c r="A714" t="s">
        <v>79</v>
      </c>
      <c r="B714">
        <v>3</v>
      </c>
      <c r="C714">
        <v>2</v>
      </c>
      <c r="D714">
        <v>5</v>
      </c>
      <c r="E714">
        <v>13</v>
      </c>
      <c r="G714">
        <v>325</v>
      </c>
      <c r="H714" t="s">
        <v>63</v>
      </c>
      <c r="I714" t="s">
        <v>135</v>
      </c>
      <c r="J714" t="s">
        <v>153</v>
      </c>
      <c r="L714">
        <v>0</v>
      </c>
      <c r="M714" t="s">
        <v>125</v>
      </c>
      <c r="O714" t="s">
        <v>125</v>
      </c>
      <c r="P714" t="s">
        <v>125</v>
      </c>
      <c r="Q714" t="s">
        <v>125</v>
      </c>
      <c r="R714" t="s">
        <v>125</v>
      </c>
      <c r="S714" t="s">
        <v>125</v>
      </c>
      <c r="T714">
        <v>0</v>
      </c>
      <c r="V714" t="s">
        <v>125</v>
      </c>
      <c r="AE714" t="s">
        <v>125</v>
      </c>
      <c r="AF714">
        <v>0</v>
      </c>
      <c r="AG714" t="s">
        <v>125</v>
      </c>
      <c r="AH714">
        <v>0</v>
      </c>
      <c r="AK714">
        <v>0</v>
      </c>
    </row>
    <row r="715" spans="1:37" x14ac:dyDescent="0.25">
      <c r="A715" t="s">
        <v>79</v>
      </c>
      <c r="B715">
        <v>3</v>
      </c>
      <c r="C715">
        <v>2</v>
      </c>
      <c r="D715">
        <v>5</v>
      </c>
      <c r="E715">
        <v>14</v>
      </c>
      <c r="G715">
        <v>325</v>
      </c>
      <c r="H715" t="s">
        <v>63</v>
      </c>
      <c r="I715" t="s">
        <v>137</v>
      </c>
      <c r="J715" t="s">
        <v>154</v>
      </c>
      <c r="L715">
        <v>0</v>
      </c>
      <c r="M715" t="s">
        <v>125</v>
      </c>
      <c r="O715" t="s">
        <v>125</v>
      </c>
      <c r="P715" t="s">
        <v>125</v>
      </c>
      <c r="Q715" t="s">
        <v>125</v>
      </c>
      <c r="R715" t="s">
        <v>125</v>
      </c>
      <c r="S715" t="s">
        <v>125</v>
      </c>
      <c r="T715">
        <v>0</v>
      </c>
      <c r="V715" t="s">
        <v>125</v>
      </c>
      <c r="AE715" t="s">
        <v>125</v>
      </c>
      <c r="AF715">
        <v>0</v>
      </c>
      <c r="AG715" t="s">
        <v>125</v>
      </c>
      <c r="AH715">
        <v>0</v>
      </c>
      <c r="AK715">
        <v>0</v>
      </c>
    </row>
    <row r="716" spans="1:37" x14ac:dyDescent="0.25">
      <c r="A716" t="s">
        <v>79</v>
      </c>
      <c r="B716">
        <v>3</v>
      </c>
      <c r="C716">
        <v>2</v>
      </c>
      <c r="D716">
        <v>5</v>
      </c>
      <c r="E716">
        <v>15</v>
      </c>
      <c r="G716">
        <v>325</v>
      </c>
      <c r="H716" t="s">
        <v>63</v>
      </c>
      <c r="I716" t="s">
        <v>139</v>
      </c>
      <c r="J716" t="s">
        <v>155</v>
      </c>
      <c r="L716">
        <v>0</v>
      </c>
      <c r="M716" t="s">
        <v>125</v>
      </c>
      <c r="O716" t="s">
        <v>125</v>
      </c>
      <c r="P716" t="s">
        <v>125</v>
      </c>
      <c r="Q716" t="s">
        <v>125</v>
      </c>
      <c r="R716" t="s">
        <v>125</v>
      </c>
      <c r="S716" t="s">
        <v>125</v>
      </c>
      <c r="T716">
        <v>0</v>
      </c>
      <c r="V716" t="s">
        <v>125</v>
      </c>
      <c r="AE716" t="s">
        <v>125</v>
      </c>
      <c r="AF716">
        <v>0</v>
      </c>
      <c r="AG716" t="s">
        <v>125</v>
      </c>
      <c r="AH716">
        <v>0</v>
      </c>
      <c r="AK716">
        <v>0</v>
      </c>
    </row>
    <row r="717" spans="1:37" x14ac:dyDescent="0.25">
      <c r="L717">
        <v>0</v>
      </c>
    </row>
    <row r="718" spans="1:37" x14ac:dyDescent="0.25">
      <c r="L718">
        <v>0</v>
      </c>
    </row>
    <row r="719" spans="1:37" x14ac:dyDescent="0.25">
      <c r="A719" t="s">
        <v>66</v>
      </c>
      <c r="B719">
        <v>3</v>
      </c>
      <c r="C719">
        <v>3</v>
      </c>
      <c r="G719">
        <v>3</v>
      </c>
      <c r="H719" t="s">
        <v>1021</v>
      </c>
      <c r="I719" t="s">
        <v>1125</v>
      </c>
      <c r="L719">
        <v>0</v>
      </c>
      <c r="M719" t="s">
        <v>125</v>
      </c>
      <c r="N719" t="s">
        <v>125</v>
      </c>
      <c r="V719" t="s">
        <v>63</v>
      </c>
      <c r="Y719" t="s">
        <v>63</v>
      </c>
      <c r="AA719" t="s">
        <v>63</v>
      </c>
      <c r="AC719" t="s">
        <v>63</v>
      </c>
      <c r="AE719" t="s">
        <v>63</v>
      </c>
      <c r="AF719">
        <v>0</v>
      </c>
      <c r="AG719" t="s">
        <v>63</v>
      </c>
      <c r="AH719">
        <v>0</v>
      </c>
      <c r="AK719">
        <v>0</v>
      </c>
    </row>
    <row r="720" spans="1:37" x14ac:dyDescent="0.25">
      <c r="L720">
        <v>0</v>
      </c>
    </row>
    <row r="721" spans="1:37" x14ac:dyDescent="0.25">
      <c r="A721" t="s">
        <v>70</v>
      </c>
      <c r="B721">
        <v>3</v>
      </c>
      <c r="C721">
        <v>3</v>
      </c>
      <c r="D721">
        <v>1</v>
      </c>
      <c r="G721">
        <v>33</v>
      </c>
      <c r="L721">
        <v>0</v>
      </c>
      <c r="M721" t="s">
        <v>125</v>
      </c>
      <c r="P721" t="s">
        <v>125</v>
      </c>
      <c r="R721" t="s">
        <v>125</v>
      </c>
      <c r="S721" t="s">
        <v>63</v>
      </c>
      <c r="V721" t="s">
        <v>125</v>
      </c>
      <c r="X721" t="s">
        <v>125</v>
      </c>
      <c r="Y721" t="s">
        <v>125</v>
      </c>
      <c r="Z721" t="s">
        <v>125</v>
      </c>
      <c r="AA721" t="s">
        <v>125</v>
      </c>
      <c r="AB721" t="s">
        <v>125</v>
      </c>
      <c r="AC721" t="s">
        <v>125</v>
      </c>
      <c r="AE721" t="s">
        <v>125</v>
      </c>
      <c r="AF721">
        <v>0</v>
      </c>
      <c r="AG721" t="s">
        <v>125</v>
      </c>
      <c r="AH721">
        <v>0</v>
      </c>
      <c r="AK721">
        <v>0</v>
      </c>
    </row>
    <row r="722" spans="1:37" x14ac:dyDescent="0.25">
      <c r="A722" t="s">
        <v>79</v>
      </c>
      <c r="B722">
        <v>3</v>
      </c>
      <c r="C722">
        <v>3</v>
      </c>
      <c r="D722">
        <v>1</v>
      </c>
      <c r="E722">
        <v>1</v>
      </c>
      <c r="G722">
        <v>331</v>
      </c>
      <c r="H722" t="s">
        <v>63</v>
      </c>
      <c r="I722" t="s">
        <v>80</v>
      </c>
      <c r="J722" t="s">
        <v>141</v>
      </c>
      <c r="L722">
        <v>0</v>
      </c>
      <c r="M722" t="s">
        <v>125</v>
      </c>
      <c r="O722" t="s">
        <v>125</v>
      </c>
      <c r="P722" t="s">
        <v>125</v>
      </c>
      <c r="Q722" t="s">
        <v>125</v>
      </c>
      <c r="R722" t="s">
        <v>125</v>
      </c>
      <c r="S722" t="s">
        <v>125</v>
      </c>
      <c r="T722">
        <v>0</v>
      </c>
      <c r="V722" t="s">
        <v>125</v>
      </c>
      <c r="AE722" t="s">
        <v>125</v>
      </c>
      <c r="AF722">
        <v>0</v>
      </c>
      <c r="AG722" t="s">
        <v>125</v>
      </c>
      <c r="AH722">
        <v>0</v>
      </c>
      <c r="AK722">
        <v>0</v>
      </c>
    </row>
    <row r="723" spans="1:37" x14ac:dyDescent="0.25">
      <c r="A723" t="s">
        <v>79</v>
      </c>
      <c r="B723">
        <v>3</v>
      </c>
      <c r="C723">
        <v>3</v>
      </c>
      <c r="D723">
        <v>1</v>
      </c>
      <c r="E723">
        <v>2</v>
      </c>
      <c r="G723">
        <v>331</v>
      </c>
      <c r="H723" t="s">
        <v>63</v>
      </c>
      <c r="I723" t="s">
        <v>88</v>
      </c>
      <c r="J723" t="s">
        <v>142</v>
      </c>
      <c r="L723">
        <v>0</v>
      </c>
      <c r="M723" t="s">
        <v>125</v>
      </c>
      <c r="O723" t="s">
        <v>125</v>
      </c>
      <c r="P723" t="s">
        <v>125</v>
      </c>
      <c r="Q723" t="s">
        <v>125</v>
      </c>
      <c r="R723" t="s">
        <v>125</v>
      </c>
      <c r="S723" t="s">
        <v>125</v>
      </c>
      <c r="T723">
        <v>0</v>
      </c>
      <c r="V723" t="s">
        <v>125</v>
      </c>
      <c r="AE723" t="s">
        <v>125</v>
      </c>
      <c r="AF723">
        <v>0</v>
      </c>
      <c r="AG723" t="s">
        <v>125</v>
      </c>
      <c r="AH723">
        <v>0</v>
      </c>
      <c r="AK723">
        <v>0</v>
      </c>
    </row>
    <row r="724" spans="1:37" x14ac:dyDescent="0.25">
      <c r="A724" t="s">
        <v>79</v>
      </c>
      <c r="B724">
        <v>3</v>
      </c>
      <c r="C724">
        <v>3</v>
      </c>
      <c r="D724">
        <v>1</v>
      </c>
      <c r="E724">
        <v>3</v>
      </c>
      <c r="G724">
        <v>331</v>
      </c>
      <c r="H724" t="s">
        <v>63</v>
      </c>
      <c r="I724" t="s">
        <v>95</v>
      </c>
      <c r="J724" t="s">
        <v>143</v>
      </c>
      <c r="L724">
        <v>0</v>
      </c>
      <c r="M724" t="s">
        <v>125</v>
      </c>
      <c r="O724" t="s">
        <v>125</v>
      </c>
      <c r="P724" t="s">
        <v>125</v>
      </c>
      <c r="Q724" t="s">
        <v>125</v>
      </c>
      <c r="R724" t="s">
        <v>125</v>
      </c>
      <c r="S724" t="s">
        <v>125</v>
      </c>
      <c r="T724">
        <v>0</v>
      </c>
      <c r="V724" t="s">
        <v>125</v>
      </c>
      <c r="AE724" t="s">
        <v>125</v>
      </c>
      <c r="AF724">
        <v>0</v>
      </c>
      <c r="AG724" t="s">
        <v>125</v>
      </c>
      <c r="AH724">
        <v>0</v>
      </c>
      <c r="AK724">
        <v>0</v>
      </c>
    </row>
    <row r="725" spans="1:37" x14ac:dyDescent="0.25">
      <c r="A725" t="s">
        <v>79</v>
      </c>
      <c r="B725">
        <v>3</v>
      </c>
      <c r="C725">
        <v>3</v>
      </c>
      <c r="D725">
        <v>1</v>
      </c>
      <c r="E725">
        <v>4</v>
      </c>
      <c r="G725">
        <v>331</v>
      </c>
      <c r="H725" t="s">
        <v>63</v>
      </c>
      <c r="I725" t="s">
        <v>102</v>
      </c>
      <c r="J725" t="s">
        <v>144</v>
      </c>
      <c r="L725">
        <v>0</v>
      </c>
      <c r="M725" t="s">
        <v>125</v>
      </c>
      <c r="O725" t="s">
        <v>125</v>
      </c>
      <c r="P725" t="s">
        <v>125</v>
      </c>
      <c r="Q725" t="s">
        <v>125</v>
      </c>
      <c r="R725" t="s">
        <v>125</v>
      </c>
      <c r="S725" t="s">
        <v>125</v>
      </c>
      <c r="T725">
        <v>0</v>
      </c>
      <c r="V725" t="s">
        <v>125</v>
      </c>
      <c r="AE725" t="s">
        <v>125</v>
      </c>
      <c r="AF725">
        <v>0</v>
      </c>
      <c r="AG725" t="s">
        <v>125</v>
      </c>
      <c r="AH725">
        <v>0</v>
      </c>
      <c r="AK725">
        <v>0</v>
      </c>
    </row>
    <row r="726" spans="1:37" x14ac:dyDescent="0.25">
      <c r="A726" t="s">
        <v>79</v>
      </c>
      <c r="B726">
        <v>3</v>
      </c>
      <c r="C726">
        <v>3</v>
      </c>
      <c r="D726">
        <v>1</v>
      </c>
      <c r="E726">
        <v>5</v>
      </c>
      <c r="G726">
        <v>331</v>
      </c>
      <c r="H726" t="s">
        <v>63</v>
      </c>
      <c r="I726" t="s">
        <v>109</v>
      </c>
      <c r="J726" t="s">
        <v>145</v>
      </c>
      <c r="L726">
        <v>0</v>
      </c>
      <c r="M726" t="s">
        <v>125</v>
      </c>
      <c r="O726" t="s">
        <v>125</v>
      </c>
      <c r="P726" t="s">
        <v>125</v>
      </c>
      <c r="Q726" t="s">
        <v>125</v>
      </c>
      <c r="R726" t="s">
        <v>125</v>
      </c>
      <c r="S726" t="s">
        <v>125</v>
      </c>
      <c r="T726">
        <v>0</v>
      </c>
      <c r="V726" t="s">
        <v>125</v>
      </c>
      <c r="AE726" t="s">
        <v>125</v>
      </c>
      <c r="AF726">
        <v>0</v>
      </c>
      <c r="AG726" t="s">
        <v>125</v>
      </c>
      <c r="AH726">
        <v>0</v>
      </c>
      <c r="AK726">
        <v>0</v>
      </c>
    </row>
    <row r="727" spans="1:37" x14ac:dyDescent="0.25">
      <c r="A727" t="s">
        <v>79</v>
      </c>
      <c r="B727">
        <v>3</v>
      </c>
      <c r="C727">
        <v>3</v>
      </c>
      <c r="D727">
        <v>1</v>
      </c>
      <c r="E727">
        <v>6</v>
      </c>
      <c r="G727">
        <v>331</v>
      </c>
      <c r="H727" t="s">
        <v>63</v>
      </c>
      <c r="I727" t="s">
        <v>116</v>
      </c>
      <c r="J727" t="s">
        <v>146</v>
      </c>
      <c r="L727">
        <v>0</v>
      </c>
      <c r="M727" t="s">
        <v>125</v>
      </c>
      <c r="O727" t="s">
        <v>125</v>
      </c>
      <c r="P727" t="s">
        <v>125</v>
      </c>
      <c r="Q727" t="s">
        <v>125</v>
      </c>
      <c r="R727" t="s">
        <v>125</v>
      </c>
      <c r="S727" t="s">
        <v>125</v>
      </c>
      <c r="T727">
        <v>0</v>
      </c>
      <c r="V727" t="s">
        <v>125</v>
      </c>
      <c r="AE727" t="s">
        <v>125</v>
      </c>
      <c r="AF727">
        <v>0</v>
      </c>
      <c r="AG727" t="s">
        <v>125</v>
      </c>
      <c r="AH727">
        <v>0</v>
      </c>
      <c r="AK727">
        <v>0</v>
      </c>
    </row>
    <row r="728" spans="1:37" x14ac:dyDescent="0.25">
      <c r="A728" t="s">
        <v>79</v>
      </c>
      <c r="B728">
        <v>3</v>
      </c>
      <c r="C728">
        <v>3</v>
      </c>
      <c r="D728">
        <v>1</v>
      </c>
      <c r="E728">
        <v>7</v>
      </c>
      <c r="G728">
        <v>331</v>
      </c>
      <c r="H728" t="s">
        <v>63</v>
      </c>
      <c r="I728" t="s">
        <v>123</v>
      </c>
      <c r="J728" t="s">
        <v>147</v>
      </c>
      <c r="L728">
        <v>0</v>
      </c>
      <c r="M728" t="s">
        <v>125</v>
      </c>
      <c r="O728" t="s">
        <v>125</v>
      </c>
      <c r="P728" t="s">
        <v>125</v>
      </c>
      <c r="Q728" t="s">
        <v>125</v>
      </c>
      <c r="R728" t="s">
        <v>125</v>
      </c>
      <c r="S728" t="s">
        <v>125</v>
      </c>
      <c r="T728">
        <v>0</v>
      </c>
      <c r="V728" t="s">
        <v>125</v>
      </c>
      <c r="AE728" t="s">
        <v>125</v>
      </c>
      <c r="AF728">
        <v>0</v>
      </c>
      <c r="AG728" t="s">
        <v>125</v>
      </c>
      <c r="AH728">
        <v>0</v>
      </c>
      <c r="AK728">
        <v>0</v>
      </c>
    </row>
    <row r="729" spans="1:37" x14ac:dyDescent="0.25">
      <c r="A729" t="s">
        <v>79</v>
      </c>
      <c r="B729">
        <v>3</v>
      </c>
      <c r="C729">
        <v>3</v>
      </c>
      <c r="D729">
        <v>1</v>
      </c>
      <c r="E729">
        <v>8</v>
      </c>
      <c r="G729">
        <v>331</v>
      </c>
      <c r="H729" t="s">
        <v>63</v>
      </c>
      <c r="I729" t="s">
        <v>126</v>
      </c>
      <c r="J729" t="s">
        <v>148</v>
      </c>
      <c r="L729">
        <v>0</v>
      </c>
      <c r="M729" t="s">
        <v>125</v>
      </c>
      <c r="O729" t="s">
        <v>125</v>
      </c>
      <c r="P729" t="s">
        <v>125</v>
      </c>
      <c r="Q729" t="s">
        <v>125</v>
      </c>
      <c r="R729" t="s">
        <v>125</v>
      </c>
      <c r="S729" t="s">
        <v>125</v>
      </c>
      <c r="T729">
        <v>0</v>
      </c>
      <c r="V729" t="s">
        <v>125</v>
      </c>
      <c r="AE729" t="s">
        <v>125</v>
      </c>
      <c r="AF729">
        <v>0</v>
      </c>
      <c r="AG729" t="s">
        <v>125</v>
      </c>
      <c r="AH729">
        <v>0</v>
      </c>
      <c r="AK729">
        <v>0</v>
      </c>
    </row>
    <row r="730" spans="1:37" x14ac:dyDescent="0.25">
      <c r="A730" t="s">
        <v>79</v>
      </c>
      <c r="B730">
        <v>3</v>
      </c>
      <c r="C730">
        <v>3</v>
      </c>
      <c r="D730">
        <v>1</v>
      </c>
      <c r="E730">
        <v>9</v>
      </c>
      <c r="G730">
        <v>331</v>
      </c>
      <c r="H730" t="s">
        <v>63</v>
      </c>
      <c r="I730" t="s">
        <v>74</v>
      </c>
      <c r="J730" t="s">
        <v>149</v>
      </c>
      <c r="L730">
        <v>0</v>
      </c>
      <c r="M730" t="s">
        <v>125</v>
      </c>
      <c r="O730" t="s">
        <v>125</v>
      </c>
      <c r="P730" t="s">
        <v>125</v>
      </c>
      <c r="Q730" t="s">
        <v>125</v>
      </c>
      <c r="R730" t="s">
        <v>125</v>
      </c>
      <c r="S730" t="s">
        <v>125</v>
      </c>
      <c r="T730">
        <v>0</v>
      </c>
      <c r="V730" t="s">
        <v>125</v>
      </c>
      <c r="AE730" t="s">
        <v>125</v>
      </c>
      <c r="AF730">
        <v>0</v>
      </c>
      <c r="AG730" t="s">
        <v>125</v>
      </c>
      <c r="AH730">
        <v>0</v>
      </c>
      <c r="AK730">
        <v>0</v>
      </c>
    </row>
    <row r="731" spans="1:37" x14ac:dyDescent="0.25">
      <c r="A731" t="s">
        <v>79</v>
      </c>
      <c r="B731">
        <v>3</v>
      </c>
      <c r="C731">
        <v>3</v>
      </c>
      <c r="D731">
        <v>1</v>
      </c>
      <c r="E731">
        <v>10</v>
      </c>
      <c r="G731">
        <v>331</v>
      </c>
      <c r="H731" t="s">
        <v>63</v>
      </c>
      <c r="I731" t="s">
        <v>129</v>
      </c>
      <c r="J731" t="s">
        <v>150</v>
      </c>
      <c r="L731">
        <v>0</v>
      </c>
      <c r="M731" t="s">
        <v>125</v>
      </c>
      <c r="O731" t="s">
        <v>125</v>
      </c>
      <c r="P731" t="s">
        <v>125</v>
      </c>
      <c r="Q731" t="s">
        <v>125</v>
      </c>
      <c r="R731" t="s">
        <v>125</v>
      </c>
      <c r="S731" t="s">
        <v>125</v>
      </c>
      <c r="T731">
        <v>0</v>
      </c>
      <c r="V731" t="s">
        <v>125</v>
      </c>
      <c r="AE731" t="s">
        <v>125</v>
      </c>
      <c r="AF731">
        <v>0</v>
      </c>
      <c r="AG731" t="s">
        <v>125</v>
      </c>
      <c r="AH731">
        <v>0</v>
      </c>
      <c r="AK731">
        <v>0</v>
      </c>
    </row>
    <row r="732" spans="1:37" x14ac:dyDescent="0.25">
      <c r="A732" t="s">
        <v>79</v>
      </c>
      <c r="B732">
        <v>3</v>
      </c>
      <c r="C732">
        <v>3</v>
      </c>
      <c r="D732">
        <v>1</v>
      </c>
      <c r="E732">
        <v>11</v>
      </c>
      <c r="G732">
        <v>331</v>
      </c>
      <c r="H732" t="s">
        <v>63</v>
      </c>
      <c r="I732" t="s">
        <v>131</v>
      </c>
      <c r="J732" t="s">
        <v>151</v>
      </c>
      <c r="L732">
        <v>0</v>
      </c>
      <c r="M732" t="s">
        <v>125</v>
      </c>
      <c r="O732" t="s">
        <v>125</v>
      </c>
      <c r="P732" t="s">
        <v>125</v>
      </c>
      <c r="Q732" t="s">
        <v>125</v>
      </c>
      <c r="R732" t="s">
        <v>125</v>
      </c>
      <c r="S732" t="s">
        <v>125</v>
      </c>
      <c r="T732">
        <v>0</v>
      </c>
      <c r="V732" t="s">
        <v>125</v>
      </c>
      <c r="AE732" t="s">
        <v>125</v>
      </c>
      <c r="AF732">
        <v>0</v>
      </c>
      <c r="AG732" t="s">
        <v>125</v>
      </c>
      <c r="AH732">
        <v>0</v>
      </c>
      <c r="AK732">
        <v>0</v>
      </c>
    </row>
    <row r="733" spans="1:37" x14ac:dyDescent="0.25">
      <c r="A733" t="s">
        <v>79</v>
      </c>
      <c r="B733">
        <v>3</v>
      </c>
      <c r="C733">
        <v>3</v>
      </c>
      <c r="D733">
        <v>1</v>
      </c>
      <c r="E733">
        <v>12</v>
      </c>
      <c r="G733">
        <v>331</v>
      </c>
      <c r="H733" t="s">
        <v>63</v>
      </c>
      <c r="I733" t="s">
        <v>133</v>
      </c>
      <c r="J733" t="s">
        <v>152</v>
      </c>
      <c r="L733">
        <v>0</v>
      </c>
      <c r="M733" t="s">
        <v>125</v>
      </c>
      <c r="O733" t="s">
        <v>125</v>
      </c>
      <c r="P733" t="s">
        <v>125</v>
      </c>
      <c r="Q733" t="s">
        <v>125</v>
      </c>
      <c r="R733" t="s">
        <v>125</v>
      </c>
      <c r="S733" t="s">
        <v>125</v>
      </c>
      <c r="T733">
        <v>0</v>
      </c>
      <c r="V733" t="s">
        <v>125</v>
      </c>
      <c r="AE733" t="s">
        <v>125</v>
      </c>
      <c r="AF733">
        <v>0</v>
      </c>
      <c r="AG733" t="s">
        <v>125</v>
      </c>
      <c r="AH733">
        <v>0</v>
      </c>
      <c r="AK733">
        <v>0</v>
      </c>
    </row>
    <row r="734" spans="1:37" x14ac:dyDescent="0.25">
      <c r="A734" t="s">
        <v>79</v>
      </c>
      <c r="B734">
        <v>3</v>
      </c>
      <c r="C734">
        <v>3</v>
      </c>
      <c r="D734">
        <v>1</v>
      </c>
      <c r="E734">
        <v>13</v>
      </c>
      <c r="G734">
        <v>331</v>
      </c>
      <c r="H734" t="s">
        <v>63</v>
      </c>
      <c r="I734" t="s">
        <v>135</v>
      </c>
      <c r="J734" t="s">
        <v>153</v>
      </c>
      <c r="L734">
        <v>0</v>
      </c>
      <c r="M734" t="s">
        <v>125</v>
      </c>
      <c r="O734" t="s">
        <v>125</v>
      </c>
      <c r="P734" t="s">
        <v>125</v>
      </c>
      <c r="Q734" t="s">
        <v>125</v>
      </c>
      <c r="R734" t="s">
        <v>125</v>
      </c>
      <c r="S734" t="s">
        <v>125</v>
      </c>
      <c r="T734">
        <v>0</v>
      </c>
      <c r="V734" t="s">
        <v>125</v>
      </c>
      <c r="AE734" t="s">
        <v>125</v>
      </c>
      <c r="AF734">
        <v>0</v>
      </c>
      <c r="AG734" t="s">
        <v>125</v>
      </c>
      <c r="AH734">
        <v>0</v>
      </c>
      <c r="AK734">
        <v>0</v>
      </c>
    </row>
    <row r="735" spans="1:37" x14ac:dyDescent="0.25">
      <c r="A735" t="s">
        <v>79</v>
      </c>
      <c r="B735">
        <v>3</v>
      </c>
      <c r="C735">
        <v>3</v>
      </c>
      <c r="D735">
        <v>1</v>
      </c>
      <c r="E735">
        <v>14</v>
      </c>
      <c r="G735">
        <v>331</v>
      </c>
      <c r="H735" t="s">
        <v>63</v>
      </c>
      <c r="I735" t="s">
        <v>137</v>
      </c>
      <c r="J735" t="s">
        <v>154</v>
      </c>
      <c r="L735">
        <v>0</v>
      </c>
      <c r="M735" t="s">
        <v>125</v>
      </c>
      <c r="O735" t="s">
        <v>125</v>
      </c>
      <c r="P735" t="s">
        <v>125</v>
      </c>
      <c r="Q735" t="s">
        <v>125</v>
      </c>
      <c r="R735" t="s">
        <v>125</v>
      </c>
      <c r="S735" t="s">
        <v>125</v>
      </c>
      <c r="T735">
        <v>0</v>
      </c>
      <c r="V735" t="s">
        <v>125</v>
      </c>
      <c r="AE735" t="s">
        <v>125</v>
      </c>
      <c r="AF735">
        <v>0</v>
      </c>
      <c r="AG735" t="s">
        <v>125</v>
      </c>
      <c r="AH735">
        <v>0</v>
      </c>
      <c r="AK735">
        <v>0</v>
      </c>
    </row>
    <row r="736" spans="1:37" x14ac:dyDescent="0.25">
      <c r="A736" t="s">
        <v>79</v>
      </c>
      <c r="B736">
        <v>3</v>
      </c>
      <c r="C736">
        <v>3</v>
      </c>
      <c r="D736">
        <v>1</v>
      </c>
      <c r="E736">
        <v>15</v>
      </c>
      <c r="G736">
        <v>331</v>
      </c>
      <c r="H736" t="s">
        <v>63</v>
      </c>
      <c r="I736" t="s">
        <v>139</v>
      </c>
      <c r="J736" t="s">
        <v>155</v>
      </c>
      <c r="L736">
        <v>0</v>
      </c>
      <c r="M736" t="s">
        <v>125</v>
      </c>
      <c r="O736" t="s">
        <v>125</v>
      </c>
      <c r="P736" t="s">
        <v>125</v>
      </c>
      <c r="Q736" t="s">
        <v>125</v>
      </c>
      <c r="R736" t="s">
        <v>125</v>
      </c>
      <c r="S736" t="s">
        <v>125</v>
      </c>
      <c r="T736">
        <v>0</v>
      </c>
      <c r="V736" t="s">
        <v>125</v>
      </c>
      <c r="AE736" t="s">
        <v>125</v>
      </c>
      <c r="AF736">
        <v>0</v>
      </c>
      <c r="AG736" t="s">
        <v>125</v>
      </c>
      <c r="AH736">
        <v>0</v>
      </c>
      <c r="AK736">
        <v>0</v>
      </c>
    </row>
    <row r="737" spans="1:37" x14ac:dyDescent="0.25">
      <c r="L737">
        <v>0</v>
      </c>
    </row>
    <row r="738" spans="1:37" x14ac:dyDescent="0.25">
      <c r="A738" t="s">
        <v>70</v>
      </c>
      <c r="B738">
        <v>3</v>
      </c>
      <c r="C738">
        <v>3</v>
      </c>
      <c r="D738">
        <v>2</v>
      </c>
      <c r="G738">
        <v>33</v>
      </c>
      <c r="L738">
        <v>0</v>
      </c>
      <c r="M738" t="s">
        <v>125</v>
      </c>
      <c r="P738" t="s">
        <v>125</v>
      </c>
      <c r="R738" t="s">
        <v>125</v>
      </c>
      <c r="S738" t="s">
        <v>63</v>
      </c>
      <c r="V738" t="s">
        <v>125</v>
      </c>
      <c r="X738" t="s">
        <v>125</v>
      </c>
      <c r="Y738" t="s">
        <v>125</v>
      </c>
      <c r="Z738" t="s">
        <v>125</v>
      </c>
      <c r="AA738" t="s">
        <v>125</v>
      </c>
      <c r="AB738" t="s">
        <v>125</v>
      </c>
      <c r="AC738" t="s">
        <v>125</v>
      </c>
      <c r="AE738" t="s">
        <v>125</v>
      </c>
      <c r="AF738">
        <v>0</v>
      </c>
      <c r="AG738" t="s">
        <v>125</v>
      </c>
      <c r="AH738">
        <v>0</v>
      </c>
      <c r="AK738">
        <v>0</v>
      </c>
    </row>
    <row r="739" spans="1:37" x14ac:dyDescent="0.25">
      <c r="A739" t="s">
        <v>79</v>
      </c>
      <c r="B739">
        <v>3</v>
      </c>
      <c r="C739">
        <v>3</v>
      </c>
      <c r="D739">
        <v>2</v>
      </c>
      <c r="E739">
        <v>1</v>
      </c>
      <c r="G739">
        <v>332</v>
      </c>
      <c r="H739" t="s">
        <v>63</v>
      </c>
      <c r="I739" t="s">
        <v>80</v>
      </c>
      <c r="J739" t="s">
        <v>141</v>
      </c>
      <c r="L739">
        <v>0</v>
      </c>
      <c r="M739" t="s">
        <v>125</v>
      </c>
      <c r="O739" t="s">
        <v>125</v>
      </c>
      <c r="P739" t="s">
        <v>125</v>
      </c>
      <c r="Q739" t="s">
        <v>125</v>
      </c>
      <c r="R739" t="s">
        <v>125</v>
      </c>
      <c r="S739" t="s">
        <v>125</v>
      </c>
      <c r="T739">
        <v>0</v>
      </c>
      <c r="V739" t="s">
        <v>125</v>
      </c>
      <c r="AE739" t="s">
        <v>125</v>
      </c>
      <c r="AF739">
        <v>0</v>
      </c>
      <c r="AG739" t="s">
        <v>125</v>
      </c>
      <c r="AH739">
        <v>0</v>
      </c>
      <c r="AK739">
        <v>0</v>
      </c>
    </row>
    <row r="740" spans="1:37" x14ac:dyDescent="0.25">
      <c r="A740" t="s">
        <v>79</v>
      </c>
      <c r="B740">
        <v>3</v>
      </c>
      <c r="C740">
        <v>3</v>
      </c>
      <c r="D740">
        <v>2</v>
      </c>
      <c r="E740">
        <v>2</v>
      </c>
      <c r="G740">
        <v>332</v>
      </c>
      <c r="H740" t="s">
        <v>63</v>
      </c>
      <c r="I740" t="s">
        <v>88</v>
      </c>
      <c r="J740" t="s">
        <v>142</v>
      </c>
      <c r="L740">
        <v>0</v>
      </c>
      <c r="M740" t="s">
        <v>125</v>
      </c>
      <c r="O740" t="s">
        <v>125</v>
      </c>
      <c r="P740" t="s">
        <v>125</v>
      </c>
      <c r="Q740" t="s">
        <v>125</v>
      </c>
      <c r="R740" t="s">
        <v>125</v>
      </c>
      <c r="S740" t="s">
        <v>125</v>
      </c>
      <c r="T740">
        <v>0</v>
      </c>
      <c r="V740" t="s">
        <v>125</v>
      </c>
      <c r="AE740" t="s">
        <v>125</v>
      </c>
      <c r="AF740">
        <v>0</v>
      </c>
      <c r="AG740" t="s">
        <v>125</v>
      </c>
      <c r="AH740">
        <v>0</v>
      </c>
      <c r="AK740">
        <v>0</v>
      </c>
    </row>
    <row r="741" spans="1:37" x14ac:dyDescent="0.25">
      <c r="A741" t="s">
        <v>79</v>
      </c>
      <c r="B741">
        <v>3</v>
      </c>
      <c r="C741">
        <v>3</v>
      </c>
      <c r="D741">
        <v>2</v>
      </c>
      <c r="E741">
        <v>3</v>
      </c>
      <c r="G741">
        <v>332</v>
      </c>
      <c r="H741" t="s">
        <v>63</v>
      </c>
      <c r="I741" t="s">
        <v>95</v>
      </c>
      <c r="J741" t="s">
        <v>143</v>
      </c>
      <c r="L741">
        <v>0</v>
      </c>
      <c r="M741" t="s">
        <v>125</v>
      </c>
      <c r="O741" t="s">
        <v>125</v>
      </c>
      <c r="P741" t="s">
        <v>125</v>
      </c>
      <c r="Q741" t="s">
        <v>125</v>
      </c>
      <c r="R741" t="s">
        <v>125</v>
      </c>
      <c r="S741" t="s">
        <v>125</v>
      </c>
      <c r="T741">
        <v>0</v>
      </c>
      <c r="V741" t="s">
        <v>125</v>
      </c>
      <c r="AE741" t="s">
        <v>125</v>
      </c>
      <c r="AF741">
        <v>0</v>
      </c>
      <c r="AG741" t="s">
        <v>125</v>
      </c>
      <c r="AH741">
        <v>0</v>
      </c>
      <c r="AK741">
        <v>0</v>
      </c>
    </row>
    <row r="742" spans="1:37" x14ac:dyDescent="0.25">
      <c r="A742" t="s">
        <v>79</v>
      </c>
      <c r="B742">
        <v>3</v>
      </c>
      <c r="C742">
        <v>3</v>
      </c>
      <c r="D742">
        <v>2</v>
      </c>
      <c r="E742">
        <v>4</v>
      </c>
      <c r="G742">
        <v>332</v>
      </c>
      <c r="H742" t="s">
        <v>63</v>
      </c>
      <c r="I742" t="s">
        <v>102</v>
      </c>
      <c r="J742" t="s">
        <v>144</v>
      </c>
      <c r="L742">
        <v>0</v>
      </c>
      <c r="M742" t="s">
        <v>125</v>
      </c>
      <c r="O742" t="s">
        <v>125</v>
      </c>
      <c r="P742" t="s">
        <v>125</v>
      </c>
      <c r="Q742" t="s">
        <v>125</v>
      </c>
      <c r="R742" t="s">
        <v>125</v>
      </c>
      <c r="S742" t="s">
        <v>125</v>
      </c>
      <c r="T742">
        <v>0</v>
      </c>
      <c r="V742" t="s">
        <v>125</v>
      </c>
      <c r="AE742" t="s">
        <v>125</v>
      </c>
      <c r="AF742">
        <v>0</v>
      </c>
      <c r="AG742" t="s">
        <v>125</v>
      </c>
      <c r="AH742">
        <v>0</v>
      </c>
      <c r="AK742">
        <v>0</v>
      </c>
    </row>
    <row r="743" spans="1:37" x14ac:dyDescent="0.25">
      <c r="A743" t="s">
        <v>79</v>
      </c>
      <c r="B743">
        <v>3</v>
      </c>
      <c r="C743">
        <v>3</v>
      </c>
      <c r="D743">
        <v>2</v>
      </c>
      <c r="E743">
        <v>5</v>
      </c>
      <c r="G743">
        <v>332</v>
      </c>
      <c r="H743" t="s">
        <v>63</v>
      </c>
      <c r="I743" t="s">
        <v>109</v>
      </c>
      <c r="J743" t="s">
        <v>145</v>
      </c>
      <c r="L743">
        <v>0</v>
      </c>
      <c r="M743" t="s">
        <v>125</v>
      </c>
      <c r="O743" t="s">
        <v>125</v>
      </c>
      <c r="P743" t="s">
        <v>125</v>
      </c>
      <c r="Q743" t="s">
        <v>125</v>
      </c>
      <c r="R743" t="s">
        <v>125</v>
      </c>
      <c r="S743" t="s">
        <v>125</v>
      </c>
      <c r="T743">
        <v>0</v>
      </c>
      <c r="V743" t="s">
        <v>125</v>
      </c>
      <c r="AE743" t="s">
        <v>125</v>
      </c>
      <c r="AF743">
        <v>0</v>
      </c>
      <c r="AG743" t="s">
        <v>125</v>
      </c>
      <c r="AH743">
        <v>0</v>
      </c>
      <c r="AK743">
        <v>0</v>
      </c>
    </row>
    <row r="744" spans="1:37" x14ac:dyDescent="0.25">
      <c r="A744" t="s">
        <v>79</v>
      </c>
      <c r="B744">
        <v>3</v>
      </c>
      <c r="C744">
        <v>3</v>
      </c>
      <c r="D744">
        <v>2</v>
      </c>
      <c r="E744">
        <v>6</v>
      </c>
      <c r="G744">
        <v>332</v>
      </c>
      <c r="H744" t="s">
        <v>63</v>
      </c>
      <c r="I744" t="s">
        <v>116</v>
      </c>
      <c r="J744" t="s">
        <v>146</v>
      </c>
      <c r="L744">
        <v>0</v>
      </c>
      <c r="M744" t="s">
        <v>125</v>
      </c>
      <c r="O744" t="s">
        <v>125</v>
      </c>
      <c r="P744" t="s">
        <v>125</v>
      </c>
      <c r="Q744" t="s">
        <v>125</v>
      </c>
      <c r="R744" t="s">
        <v>125</v>
      </c>
      <c r="S744" t="s">
        <v>125</v>
      </c>
      <c r="T744">
        <v>0</v>
      </c>
      <c r="V744" t="s">
        <v>125</v>
      </c>
      <c r="AE744" t="s">
        <v>125</v>
      </c>
      <c r="AF744">
        <v>0</v>
      </c>
      <c r="AG744" t="s">
        <v>125</v>
      </c>
      <c r="AH744">
        <v>0</v>
      </c>
      <c r="AK744">
        <v>0</v>
      </c>
    </row>
    <row r="745" spans="1:37" x14ac:dyDescent="0.25">
      <c r="A745" t="s">
        <v>79</v>
      </c>
      <c r="B745">
        <v>3</v>
      </c>
      <c r="C745">
        <v>3</v>
      </c>
      <c r="D745">
        <v>2</v>
      </c>
      <c r="E745">
        <v>7</v>
      </c>
      <c r="G745">
        <v>332</v>
      </c>
      <c r="H745" t="s">
        <v>63</v>
      </c>
      <c r="I745" t="s">
        <v>123</v>
      </c>
      <c r="J745" t="s">
        <v>147</v>
      </c>
      <c r="L745">
        <v>0</v>
      </c>
      <c r="M745" t="s">
        <v>125</v>
      </c>
      <c r="O745" t="s">
        <v>125</v>
      </c>
      <c r="P745" t="s">
        <v>125</v>
      </c>
      <c r="Q745" t="s">
        <v>125</v>
      </c>
      <c r="R745" t="s">
        <v>125</v>
      </c>
      <c r="S745" t="s">
        <v>125</v>
      </c>
      <c r="T745">
        <v>0</v>
      </c>
      <c r="V745" t="s">
        <v>125</v>
      </c>
      <c r="AE745" t="s">
        <v>125</v>
      </c>
      <c r="AF745">
        <v>0</v>
      </c>
      <c r="AG745" t="s">
        <v>125</v>
      </c>
      <c r="AH745">
        <v>0</v>
      </c>
      <c r="AK745">
        <v>0</v>
      </c>
    </row>
    <row r="746" spans="1:37" x14ac:dyDescent="0.25">
      <c r="A746" t="s">
        <v>79</v>
      </c>
      <c r="B746">
        <v>3</v>
      </c>
      <c r="C746">
        <v>3</v>
      </c>
      <c r="D746">
        <v>2</v>
      </c>
      <c r="E746">
        <v>8</v>
      </c>
      <c r="G746">
        <v>332</v>
      </c>
      <c r="H746" t="s">
        <v>63</v>
      </c>
      <c r="I746" t="s">
        <v>126</v>
      </c>
      <c r="J746" t="s">
        <v>148</v>
      </c>
      <c r="L746">
        <v>0</v>
      </c>
      <c r="M746" t="s">
        <v>125</v>
      </c>
      <c r="O746" t="s">
        <v>125</v>
      </c>
      <c r="P746" t="s">
        <v>125</v>
      </c>
      <c r="Q746" t="s">
        <v>125</v>
      </c>
      <c r="R746" t="s">
        <v>125</v>
      </c>
      <c r="S746" t="s">
        <v>125</v>
      </c>
      <c r="T746">
        <v>0</v>
      </c>
      <c r="V746" t="s">
        <v>125</v>
      </c>
      <c r="AE746" t="s">
        <v>125</v>
      </c>
      <c r="AF746">
        <v>0</v>
      </c>
      <c r="AG746" t="s">
        <v>125</v>
      </c>
      <c r="AH746">
        <v>0</v>
      </c>
      <c r="AK746">
        <v>0</v>
      </c>
    </row>
    <row r="747" spans="1:37" x14ac:dyDescent="0.25">
      <c r="A747" t="s">
        <v>79</v>
      </c>
      <c r="B747">
        <v>3</v>
      </c>
      <c r="C747">
        <v>3</v>
      </c>
      <c r="D747">
        <v>2</v>
      </c>
      <c r="E747">
        <v>9</v>
      </c>
      <c r="G747">
        <v>332</v>
      </c>
      <c r="H747" t="s">
        <v>63</v>
      </c>
      <c r="I747" t="s">
        <v>74</v>
      </c>
      <c r="J747" t="s">
        <v>149</v>
      </c>
      <c r="L747">
        <v>0</v>
      </c>
      <c r="M747" t="s">
        <v>125</v>
      </c>
      <c r="O747" t="s">
        <v>125</v>
      </c>
      <c r="P747" t="s">
        <v>125</v>
      </c>
      <c r="Q747" t="s">
        <v>125</v>
      </c>
      <c r="R747" t="s">
        <v>125</v>
      </c>
      <c r="S747" t="s">
        <v>125</v>
      </c>
      <c r="T747">
        <v>0</v>
      </c>
      <c r="V747" t="s">
        <v>125</v>
      </c>
      <c r="AE747" t="s">
        <v>125</v>
      </c>
      <c r="AF747">
        <v>0</v>
      </c>
      <c r="AG747" t="s">
        <v>125</v>
      </c>
      <c r="AH747">
        <v>0</v>
      </c>
      <c r="AK747">
        <v>0</v>
      </c>
    </row>
    <row r="748" spans="1:37" x14ac:dyDescent="0.25">
      <c r="A748" t="s">
        <v>79</v>
      </c>
      <c r="B748">
        <v>3</v>
      </c>
      <c r="C748">
        <v>3</v>
      </c>
      <c r="D748">
        <v>2</v>
      </c>
      <c r="E748">
        <v>10</v>
      </c>
      <c r="G748">
        <v>332</v>
      </c>
      <c r="H748" t="s">
        <v>63</v>
      </c>
      <c r="I748" t="s">
        <v>129</v>
      </c>
      <c r="J748" t="s">
        <v>150</v>
      </c>
      <c r="L748">
        <v>0</v>
      </c>
      <c r="M748" t="s">
        <v>125</v>
      </c>
      <c r="O748" t="s">
        <v>125</v>
      </c>
      <c r="P748" t="s">
        <v>125</v>
      </c>
      <c r="Q748" t="s">
        <v>125</v>
      </c>
      <c r="R748" t="s">
        <v>125</v>
      </c>
      <c r="S748" t="s">
        <v>125</v>
      </c>
      <c r="T748">
        <v>0</v>
      </c>
      <c r="V748" t="s">
        <v>125</v>
      </c>
      <c r="AE748" t="s">
        <v>125</v>
      </c>
      <c r="AF748">
        <v>0</v>
      </c>
      <c r="AG748" t="s">
        <v>125</v>
      </c>
      <c r="AH748">
        <v>0</v>
      </c>
      <c r="AK748">
        <v>0</v>
      </c>
    </row>
    <row r="749" spans="1:37" x14ac:dyDescent="0.25">
      <c r="A749" t="s">
        <v>79</v>
      </c>
      <c r="B749">
        <v>3</v>
      </c>
      <c r="C749">
        <v>3</v>
      </c>
      <c r="D749">
        <v>2</v>
      </c>
      <c r="E749">
        <v>11</v>
      </c>
      <c r="G749">
        <v>332</v>
      </c>
      <c r="H749" t="s">
        <v>63</v>
      </c>
      <c r="I749" t="s">
        <v>131</v>
      </c>
      <c r="J749" t="s">
        <v>151</v>
      </c>
      <c r="L749">
        <v>0</v>
      </c>
      <c r="M749" t="s">
        <v>125</v>
      </c>
      <c r="O749" t="s">
        <v>125</v>
      </c>
      <c r="P749" t="s">
        <v>125</v>
      </c>
      <c r="Q749" t="s">
        <v>125</v>
      </c>
      <c r="R749" t="s">
        <v>125</v>
      </c>
      <c r="S749" t="s">
        <v>125</v>
      </c>
      <c r="T749">
        <v>0</v>
      </c>
      <c r="V749" t="s">
        <v>125</v>
      </c>
      <c r="AE749" t="s">
        <v>125</v>
      </c>
      <c r="AF749">
        <v>0</v>
      </c>
      <c r="AG749" t="s">
        <v>125</v>
      </c>
      <c r="AH749">
        <v>0</v>
      </c>
      <c r="AK749">
        <v>0</v>
      </c>
    </row>
    <row r="750" spans="1:37" x14ac:dyDescent="0.25">
      <c r="A750" t="s">
        <v>79</v>
      </c>
      <c r="B750">
        <v>3</v>
      </c>
      <c r="C750">
        <v>3</v>
      </c>
      <c r="D750">
        <v>2</v>
      </c>
      <c r="E750">
        <v>12</v>
      </c>
      <c r="G750">
        <v>332</v>
      </c>
      <c r="H750" t="s">
        <v>63</v>
      </c>
      <c r="I750" t="s">
        <v>133</v>
      </c>
      <c r="J750" t="s">
        <v>152</v>
      </c>
      <c r="L750">
        <v>0</v>
      </c>
      <c r="M750" t="s">
        <v>125</v>
      </c>
      <c r="O750" t="s">
        <v>125</v>
      </c>
      <c r="P750" t="s">
        <v>125</v>
      </c>
      <c r="Q750" t="s">
        <v>125</v>
      </c>
      <c r="R750" t="s">
        <v>125</v>
      </c>
      <c r="S750" t="s">
        <v>125</v>
      </c>
      <c r="T750">
        <v>0</v>
      </c>
      <c r="V750" t="s">
        <v>125</v>
      </c>
      <c r="AE750" t="s">
        <v>125</v>
      </c>
      <c r="AF750">
        <v>0</v>
      </c>
      <c r="AG750" t="s">
        <v>125</v>
      </c>
      <c r="AH750">
        <v>0</v>
      </c>
      <c r="AK750">
        <v>0</v>
      </c>
    </row>
    <row r="751" spans="1:37" x14ac:dyDescent="0.25">
      <c r="A751" t="s">
        <v>79</v>
      </c>
      <c r="B751">
        <v>3</v>
      </c>
      <c r="C751">
        <v>3</v>
      </c>
      <c r="D751">
        <v>2</v>
      </c>
      <c r="E751">
        <v>13</v>
      </c>
      <c r="G751">
        <v>332</v>
      </c>
      <c r="H751" t="s">
        <v>63</v>
      </c>
      <c r="I751" t="s">
        <v>135</v>
      </c>
      <c r="J751" t="s">
        <v>153</v>
      </c>
      <c r="L751">
        <v>0</v>
      </c>
      <c r="M751" t="s">
        <v>125</v>
      </c>
      <c r="O751" t="s">
        <v>125</v>
      </c>
      <c r="P751" t="s">
        <v>125</v>
      </c>
      <c r="Q751" t="s">
        <v>125</v>
      </c>
      <c r="R751" t="s">
        <v>125</v>
      </c>
      <c r="S751" t="s">
        <v>125</v>
      </c>
      <c r="T751">
        <v>0</v>
      </c>
      <c r="V751" t="s">
        <v>125</v>
      </c>
      <c r="AE751" t="s">
        <v>125</v>
      </c>
      <c r="AF751">
        <v>0</v>
      </c>
      <c r="AG751" t="s">
        <v>125</v>
      </c>
      <c r="AH751">
        <v>0</v>
      </c>
      <c r="AK751">
        <v>0</v>
      </c>
    </row>
    <row r="752" spans="1:37" x14ac:dyDescent="0.25">
      <c r="A752" t="s">
        <v>79</v>
      </c>
      <c r="B752">
        <v>3</v>
      </c>
      <c r="C752">
        <v>3</v>
      </c>
      <c r="D752">
        <v>2</v>
      </c>
      <c r="E752">
        <v>14</v>
      </c>
      <c r="G752">
        <v>332</v>
      </c>
      <c r="H752" t="s">
        <v>63</v>
      </c>
      <c r="I752" t="s">
        <v>137</v>
      </c>
      <c r="J752" t="s">
        <v>154</v>
      </c>
      <c r="L752">
        <v>0</v>
      </c>
      <c r="M752" t="s">
        <v>125</v>
      </c>
      <c r="O752" t="s">
        <v>125</v>
      </c>
      <c r="P752" t="s">
        <v>125</v>
      </c>
      <c r="Q752" t="s">
        <v>125</v>
      </c>
      <c r="R752" t="s">
        <v>125</v>
      </c>
      <c r="S752" t="s">
        <v>125</v>
      </c>
      <c r="T752">
        <v>0</v>
      </c>
      <c r="V752" t="s">
        <v>125</v>
      </c>
      <c r="AE752" t="s">
        <v>125</v>
      </c>
      <c r="AF752">
        <v>0</v>
      </c>
      <c r="AG752" t="s">
        <v>125</v>
      </c>
      <c r="AH752">
        <v>0</v>
      </c>
      <c r="AK752">
        <v>0</v>
      </c>
    </row>
    <row r="753" spans="1:37" x14ac:dyDescent="0.25">
      <c r="A753" t="s">
        <v>79</v>
      </c>
      <c r="B753">
        <v>3</v>
      </c>
      <c r="C753">
        <v>3</v>
      </c>
      <c r="D753">
        <v>2</v>
      </c>
      <c r="E753">
        <v>15</v>
      </c>
      <c r="G753">
        <v>332</v>
      </c>
      <c r="H753" t="s">
        <v>63</v>
      </c>
      <c r="I753" t="s">
        <v>139</v>
      </c>
      <c r="J753" t="s">
        <v>155</v>
      </c>
      <c r="L753">
        <v>0</v>
      </c>
      <c r="M753" t="s">
        <v>125</v>
      </c>
      <c r="O753" t="s">
        <v>125</v>
      </c>
      <c r="P753" t="s">
        <v>125</v>
      </c>
      <c r="Q753" t="s">
        <v>125</v>
      </c>
      <c r="R753" t="s">
        <v>125</v>
      </c>
      <c r="S753" t="s">
        <v>125</v>
      </c>
      <c r="T753">
        <v>0</v>
      </c>
      <c r="V753" t="s">
        <v>125</v>
      </c>
      <c r="AE753" t="s">
        <v>125</v>
      </c>
      <c r="AF753">
        <v>0</v>
      </c>
      <c r="AG753" t="s">
        <v>125</v>
      </c>
      <c r="AH753">
        <v>0</v>
      </c>
      <c r="AK753">
        <v>0</v>
      </c>
    </row>
    <row r="754" spans="1:37" x14ac:dyDescent="0.25">
      <c r="L754">
        <v>0</v>
      </c>
    </row>
    <row r="755" spans="1:37" x14ac:dyDescent="0.25">
      <c r="A755" t="s">
        <v>70</v>
      </c>
      <c r="B755">
        <v>3</v>
      </c>
      <c r="C755">
        <v>3</v>
      </c>
      <c r="D755">
        <v>3</v>
      </c>
      <c r="G755">
        <v>33</v>
      </c>
      <c r="L755">
        <v>0</v>
      </c>
      <c r="M755" t="s">
        <v>125</v>
      </c>
      <c r="P755" t="s">
        <v>125</v>
      </c>
      <c r="R755" t="s">
        <v>125</v>
      </c>
      <c r="S755" t="s">
        <v>63</v>
      </c>
      <c r="V755" t="s">
        <v>125</v>
      </c>
      <c r="X755" t="s">
        <v>125</v>
      </c>
      <c r="Y755" t="s">
        <v>125</v>
      </c>
      <c r="Z755" t="s">
        <v>125</v>
      </c>
      <c r="AA755" t="s">
        <v>125</v>
      </c>
      <c r="AB755" t="s">
        <v>125</v>
      </c>
      <c r="AC755" t="s">
        <v>125</v>
      </c>
      <c r="AE755" t="s">
        <v>125</v>
      </c>
      <c r="AF755">
        <v>0</v>
      </c>
      <c r="AG755" t="s">
        <v>125</v>
      </c>
      <c r="AH755">
        <v>0</v>
      </c>
      <c r="AK755">
        <v>0</v>
      </c>
    </row>
    <row r="756" spans="1:37" x14ac:dyDescent="0.25">
      <c r="A756" t="s">
        <v>79</v>
      </c>
      <c r="B756">
        <v>3</v>
      </c>
      <c r="C756">
        <v>3</v>
      </c>
      <c r="D756">
        <v>3</v>
      </c>
      <c r="E756">
        <v>1</v>
      </c>
      <c r="G756">
        <v>333</v>
      </c>
      <c r="H756" t="s">
        <v>63</v>
      </c>
      <c r="I756" t="s">
        <v>80</v>
      </c>
      <c r="J756" t="s">
        <v>141</v>
      </c>
      <c r="L756">
        <v>0</v>
      </c>
      <c r="M756" t="s">
        <v>125</v>
      </c>
      <c r="O756" t="s">
        <v>125</v>
      </c>
      <c r="P756" t="s">
        <v>125</v>
      </c>
      <c r="Q756" t="s">
        <v>125</v>
      </c>
      <c r="R756" t="s">
        <v>125</v>
      </c>
      <c r="S756" t="s">
        <v>125</v>
      </c>
      <c r="T756">
        <v>0</v>
      </c>
      <c r="V756" t="s">
        <v>125</v>
      </c>
      <c r="AE756" t="s">
        <v>125</v>
      </c>
      <c r="AF756">
        <v>0</v>
      </c>
      <c r="AG756" t="s">
        <v>125</v>
      </c>
      <c r="AH756">
        <v>0</v>
      </c>
      <c r="AK756">
        <v>0</v>
      </c>
    </row>
    <row r="757" spans="1:37" x14ac:dyDescent="0.25">
      <c r="A757" t="s">
        <v>79</v>
      </c>
      <c r="B757">
        <v>3</v>
      </c>
      <c r="C757">
        <v>3</v>
      </c>
      <c r="D757">
        <v>3</v>
      </c>
      <c r="E757">
        <v>2</v>
      </c>
      <c r="G757">
        <v>333</v>
      </c>
      <c r="H757" t="s">
        <v>63</v>
      </c>
      <c r="I757" t="s">
        <v>88</v>
      </c>
      <c r="J757" t="s">
        <v>142</v>
      </c>
      <c r="L757">
        <v>0</v>
      </c>
      <c r="M757" t="s">
        <v>125</v>
      </c>
      <c r="O757" t="s">
        <v>125</v>
      </c>
      <c r="P757" t="s">
        <v>125</v>
      </c>
      <c r="Q757" t="s">
        <v>125</v>
      </c>
      <c r="R757" t="s">
        <v>125</v>
      </c>
      <c r="S757" t="s">
        <v>125</v>
      </c>
      <c r="T757">
        <v>0</v>
      </c>
      <c r="V757" t="s">
        <v>125</v>
      </c>
      <c r="AE757" t="s">
        <v>125</v>
      </c>
      <c r="AF757">
        <v>0</v>
      </c>
      <c r="AG757" t="s">
        <v>125</v>
      </c>
      <c r="AH757">
        <v>0</v>
      </c>
      <c r="AK757">
        <v>0</v>
      </c>
    </row>
    <row r="758" spans="1:37" x14ac:dyDescent="0.25">
      <c r="A758" t="s">
        <v>79</v>
      </c>
      <c r="B758">
        <v>3</v>
      </c>
      <c r="C758">
        <v>3</v>
      </c>
      <c r="D758">
        <v>3</v>
      </c>
      <c r="E758">
        <v>3</v>
      </c>
      <c r="G758">
        <v>333</v>
      </c>
      <c r="H758" t="s">
        <v>63</v>
      </c>
      <c r="I758" t="s">
        <v>95</v>
      </c>
      <c r="J758" t="s">
        <v>143</v>
      </c>
      <c r="L758">
        <v>0</v>
      </c>
      <c r="M758" t="s">
        <v>125</v>
      </c>
      <c r="O758" t="s">
        <v>125</v>
      </c>
      <c r="P758" t="s">
        <v>125</v>
      </c>
      <c r="Q758" t="s">
        <v>125</v>
      </c>
      <c r="R758" t="s">
        <v>125</v>
      </c>
      <c r="S758" t="s">
        <v>125</v>
      </c>
      <c r="T758">
        <v>0</v>
      </c>
      <c r="V758" t="s">
        <v>125</v>
      </c>
      <c r="AE758" t="s">
        <v>125</v>
      </c>
      <c r="AF758">
        <v>0</v>
      </c>
      <c r="AG758" t="s">
        <v>125</v>
      </c>
      <c r="AH758">
        <v>0</v>
      </c>
      <c r="AK758">
        <v>0</v>
      </c>
    </row>
    <row r="759" spans="1:37" x14ac:dyDescent="0.25">
      <c r="A759" t="s">
        <v>79</v>
      </c>
      <c r="B759">
        <v>3</v>
      </c>
      <c r="C759">
        <v>3</v>
      </c>
      <c r="D759">
        <v>3</v>
      </c>
      <c r="E759">
        <v>4</v>
      </c>
      <c r="G759">
        <v>333</v>
      </c>
      <c r="H759" t="s">
        <v>63</v>
      </c>
      <c r="I759" t="s">
        <v>102</v>
      </c>
      <c r="J759" t="s">
        <v>144</v>
      </c>
      <c r="L759">
        <v>0</v>
      </c>
      <c r="M759" t="s">
        <v>125</v>
      </c>
      <c r="O759" t="s">
        <v>125</v>
      </c>
      <c r="P759" t="s">
        <v>125</v>
      </c>
      <c r="Q759" t="s">
        <v>125</v>
      </c>
      <c r="R759" t="s">
        <v>125</v>
      </c>
      <c r="S759" t="s">
        <v>125</v>
      </c>
      <c r="T759">
        <v>0</v>
      </c>
      <c r="V759" t="s">
        <v>125</v>
      </c>
      <c r="AE759" t="s">
        <v>125</v>
      </c>
      <c r="AF759">
        <v>0</v>
      </c>
      <c r="AG759" t="s">
        <v>125</v>
      </c>
      <c r="AH759">
        <v>0</v>
      </c>
      <c r="AK759">
        <v>0</v>
      </c>
    </row>
    <row r="760" spans="1:37" x14ac:dyDescent="0.25">
      <c r="A760" t="s">
        <v>79</v>
      </c>
      <c r="B760">
        <v>3</v>
      </c>
      <c r="C760">
        <v>3</v>
      </c>
      <c r="D760">
        <v>3</v>
      </c>
      <c r="E760">
        <v>5</v>
      </c>
      <c r="G760">
        <v>333</v>
      </c>
      <c r="H760" t="s">
        <v>63</v>
      </c>
      <c r="I760" t="s">
        <v>109</v>
      </c>
      <c r="J760" t="s">
        <v>145</v>
      </c>
      <c r="L760">
        <v>0</v>
      </c>
      <c r="M760" t="s">
        <v>125</v>
      </c>
      <c r="O760" t="s">
        <v>125</v>
      </c>
      <c r="P760" t="s">
        <v>125</v>
      </c>
      <c r="Q760" t="s">
        <v>125</v>
      </c>
      <c r="R760" t="s">
        <v>125</v>
      </c>
      <c r="S760" t="s">
        <v>125</v>
      </c>
      <c r="T760">
        <v>0</v>
      </c>
      <c r="V760" t="s">
        <v>125</v>
      </c>
      <c r="AE760" t="s">
        <v>125</v>
      </c>
      <c r="AF760">
        <v>0</v>
      </c>
      <c r="AG760" t="s">
        <v>125</v>
      </c>
      <c r="AH760">
        <v>0</v>
      </c>
      <c r="AK760">
        <v>0</v>
      </c>
    </row>
    <row r="761" spans="1:37" x14ac:dyDescent="0.25">
      <c r="A761" t="s">
        <v>79</v>
      </c>
      <c r="B761">
        <v>3</v>
      </c>
      <c r="C761">
        <v>3</v>
      </c>
      <c r="D761">
        <v>3</v>
      </c>
      <c r="E761">
        <v>6</v>
      </c>
      <c r="G761">
        <v>333</v>
      </c>
      <c r="H761" t="s">
        <v>63</v>
      </c>
      <c r="I761" t="s">
        <v>116</v>
      </c>
      <c r="J761" t="s">
        <v>146</v>
      </c>
      <c r="L761">
        <v>0</v>
      </c>
      <c r="M761" t="s">
        <v>125</v>
      </c>
      <c r="O761" t="s">
        <v>125</v>
      </c>
      <c r="P761" t="s">
        <v>125</v>
      </c>
      <c r="Q761" t="s">
        <v>125</v>
      </c>
      <c r="R761" t="s">
        <v>125</v>
      </c>
      <c r="S761" t="s">
        <v>125</v>
      </c>
      <c r="T761">
        <v>0</v>
      </c>
      <c r="V761" t="s">
        <v>125</v>
      </c>
      <c r="AE761" t="s">
        <v>125</v>
      </c>
      <c r="AF761">
        <v>0</v>
      </c>
      <c r="AG761" t="s">
        <v>125</v>
      </c>
      <c r="AH761">
        <v>0</v>
      </c>
      <c r="AK761">
        <v>0</v>
      </c>
    </row>
    <row r="762" spans="1:37" x14ac:dyDescent="0.25">
      <c r="A762" t="s">
        <v>79</v>
      </c>
      <c r="B762">
        <v>3</v>
      </c>
      <c r="C762">
        <v>3</v>
      </c>
      <c r="D762">
        <v>3</v>
      </c>
      <c r="E762">
        <v>7</v>
      </c>
      <c r="G762">
        <v>333</v>
      </c>
      <c r="H762" t="s">
        <v>63</v>
      </c>
      <c r="I762" t="s">
        <v>123</v>
      </c>
      <c r="J762" t="s">
        <v>147</v>
      </c>
      <c r="L762">
        <v>0</v>
      </c>
      <c r="M762" t="s">
        <v>125</v>
      </c>
      <c r="O762" t="s">
        <v>125</v>
      </c>
      <c r="P762" t="s">
        <v>125</v>
      </c>
      <c r="Q762" t="s">
        <v>125</v>
      </c>
      <c r="R762" t="s">
        <v>125</v>
      </c>
      <c r="S762" t="s">
        <v>125</v>
      </c>
      <c r="T762">
        <v>0</v>
      </c>
      <c r="V762" t="s">
        <v>125</v>
      </c>
      <c r="AE762" t="s">
        <v>125</v>
      </c>
      <c r="AF762">
        <v>0</v>
      </c>
      <c r="AG762" t="s">
        <v>125</v>
      </c>
      <c r="AH762">
        <v>0</v>
      </c>
      <c r="AK762">
        <v>0</v>
      </c>
    </row>
    <row r="763" spans="1:37" x14ac:dyDescent="0.25">
      <c r="A763" t="s">
        <v>79</v>
      </c>
      <c r="B763">
        <v>3</v>
      </c>
      <c r="C763">
        <v>3</v>
      </c>
      <c r="D763">
        <v>3</v>
      </c>
      <c r="E763">
        <v>8</v>
      </c>
      <c r="G763">
        <v>333</v>
      </c>
      <c r="H763" t="s">
        <v>63</v>
      </c>
      <c r="I763" t="s">
        <v>126</v>
      </c>
      <c r="J763" t="s">
        <v>148</v>
      </c>
      <c r="L763">
        <v>0</v>
      </c>
      <c r="M763" t="s">
        <v>125</v>
      </c>
      <c r="O763" t="s">
        <v>125</v>
      </c>
      <c r="P763" t="s">
        <v>125</v>
      </c>
      <c r="Q763" t="s">
        <v>125</v>
      </c>
      <c r="R763" t="s">
        <v>125</v>
      </c>
      <c r="S763" t="s">
        <v>125</v>
      </c>
      <c r="T763">
        <v>0</v>
      </c>
      <c r="V763" t="s">
        <v>125</v>
      </c>
      <c r="AE763" t="s">
        <v>125</v>
      </c>
      <c r="AF763">
        <v>0</v>
      </c>
      <c r="AG763" t="s">
        <v>125</v>
      </c>
      <c r="AH763">
        <v>0</v>
      </c>
      <c r="AK763">
        <v>0</v>
      </c>
    </row>
    <row r="764" spans="1:37" x14ac:dyDescent="0.25">
      <c r="A764" t="s">
        <v>79</v>
      </c>
      <c r="B764">
        <v>3</v>
      </c>
      <c r="C764">
        <v>3</v>
      </c>
      <c r="D764">
        <v>3</v>
      </c>
      <c r="E764">
        <v>9</v>
      </c>
      <c r="G764">
        <v>333</v>
      </c>
      <c r="H764" t="s">
        <v>63</v>
      </c>
      <c r="I764" t="s">
        <v>74</v>
      </c>
      <c r="J764" t="s">
        <v>149</v>
      </c>
      <c r="L764">
        <v>0</v>
      </c>
      <c r="M764" t="s">
        <v>125</v>
      </c>
      <c r="O764" t="s">
        <v>125</v>
      </c>
      <c r="P764" t="s">
        <v>125</v>
      </c>
      <c r="Q764" t="s">
        <v>125</v>
      </c>
      <c r="R764" t="s">
        <v>125</v>
      </c>
      <c r="S764" t="s">
        <v>125</v>
      </c>
      <c r="T764">
        <v>0</v>
      </c>
      <c r="V764" t="s">
        <v>125</v>
      </c>
      <c r="AE764" t="s">
        <v>125</v>
      </c>
      <c r="AF764">
        <v>0</v>
      </c>
      <c r="AG764" t="s">
        <v>125</v>
      </c>
      <c r="AH764">
        <v>0</v>
      </c>
      <c r="AK764">
        <v>0</v>
      </c>
    </row>
    <row r="765" spans="1:37" x14ac:dyDescent="0.25">
      <c r="A765" t="s">
        <v>79</v>
      </c>
      <c r="B765">
        <v>3</v>
      </c>
      <c r="C765">
        <v>3</v>
      </c>
      <c r="D765">
        <v>3</v>
      </c>
      <c r="E765">
        <v>10</v>
      </c>
      <c r="G765">
        <v>333</v>
      </c>
      <c r="H765" t="s">
        <v>63</v>
      </c>
      <c r="I765" t="s">
        <v>129</v>
      </c>
      <c r="J765" t="s">
        <v>150</v>
      </c>
      <c r="L765">
        <v>0</v>
      </c>
      <c r="M765" t="s">
        <v>125</v>
      </c>
      <c r="O765" t="s">
        <v>125</v>
      </c>
      <c r="P765" t="s">
        <v>125</v>
      </c>
      <c r="Q765" t="s">
        <v>125</v>
      </c>
      <c r="R765" t="s">
        <v>125</v>
      </c>
      <c r="S765" t="s">
        <v>125</v>
      </c>
      <c r="T765">
        <v>0</v>
      </c>
      <c r="V765" t="s">
        <v>125</v>
      </c>
      <c r="AE765" t="s">
        <v>125</v>
      </c>
      <c r="AF765">
        <v>0</v>
      </c>
      <c r="AG765" t="s">
        <v>125</v>
      </c>
      <c r="AH765">
        <v>0</v>
      </c>
      <c r="AK765">
        <v>0</v>
      </c>
    </row>
    <row r="766" spans="1:37" x14ac:dyDescent="0.25">
      <c r="A766" t="s">
        <v>79</v>
      </c>
      <c r="B766">
        <v>3</v>
      </c>
      <c r="C766">
        <v>3</v>
      </c>
      <c r="D766">
        <v>3</v>
      </c>
      <c r="E766">
        <v>11</v>
      </c>
      <c r="G766">
        <v>333</v>
      </c>
      <c r="H766" t="s">
        <v>63</v>
      </c>
      <c r="I766" t="s">
        <v>131</v>
      </c>
      <c r="J766" t="s">
        <v>151</v>
      </c>
      <c r="L766">
        <v>0</v>
      </c>
      <c r="M766" t="s">
        <v>125</v>
      </c>
      <c r="O766" t="s">
        <v>125</v>
      </c>
      <c r="P766" t="s">
        <v>125</v>
      </c>
      <c r="Q766" t="s">
        <v>125</v>
      </c>
      <c r="R766" t="s">
        <v>125</v>
      </c>
      <c r="S766" t="s">
        <v>125</v>
      </c>
      <c r="T766">
        <v>0</v>
      </c>
      <c r="V766" t="s">
        <v>125</v>
      </c>
      <c r="AE766" t="s">
        <v>125</v>
      </c>
      <c r="AF766">
        <v>0</v>
      </c>
      <c r="AG766" t="s">
        <v>125</v>
      </c>
      <c r="AH766">
        <v>0</v>
      </c>
      <c r="AK766">
        <v>0</v>
      </c>
    </row>
    <row r="767" spans="1:37" x14ac:dyDescent="0.25">
      <c r="A767" t="s">
        <v>79</v>
      </c>
      <c r="B767">
        <v>3</v>
      </c>
      <c r="C767">
        <v>3</v>
      </c>
      <c r="D767">
        <v>3</v>
      </c>
      <c r="E767">
        <v>12</v>
      </c>
      <c r="G767">
        <v>333</v>
      </c>
      <c r="H767" t="s">
        <v>63</v>
      </c>
      <c r="I767" t="s">
        <v>133</v>
      </c>
      <c r="J767" t="s">
        <v>152</v>
      </c>
      <c r="L767">
        <v>0</v>
      </c>
      <c r="M767" t="s">
        <v>125</v>
      </c>
      <c r="O767" t="s">
        <v>125</v>
      </c>
      <c r="P767" t="s">
        <v>125</v>
      </c>
      <c r="Q767" t="s">
        <v>125</v>
      </c>
      <c r="R767" t="s">
        <v>125</v>
      </c>
      <c r="S767" t="s">
        <v>125</v>
      </c>
      <c r="T767">
        <v>0</v>
      </c>
      <c r="V767" t="s">
        <v>125</v>
      </c>
      <c r="AE767" t="s">
        <v>125</v>
      </c>
      <c r="AF767">
        <v>0</v>
      </c>
      <c r="AG767" t="s">
        <v>125</v>
      </c>
      <c r="AH767">
        <v>0</v>
      </c>
      <c r="AK767">
        <v>0</v>
      </c>
    </row>
    <row r="768" spans="1:37" x14ac:dyDescent="0.25">
      <c r="A768" t="s">
        <v>79</v>
      </c>
      <c r="B768">
        <v>3</v>
      </c>
      <c r="C768">
        <v>3</v>
      </c>
      <c r="D768">
        <v>3</v>
      </c>
      <c r="E768">
        <v>13</v>
      </c>
      <c r="G768">
        <v>333</v>
      </c>
      <c r="H768" t="s">
        <v>63</v>
      </c>
      <c r="I768" t="s">
        <v>135</v>
      </c>
      <c r="J768" t="s">
        <v>153</v>
      </c>
      <c r="L768">
        <v>0</v>
      </c>
      <c r="M768" t="s">
        <v>125</v>
      </c>
      <c r="O768" t="s">
        <v>125</v>
      </c>
      <c r="P768" t="s">
        <v>125</v>
      </c>
      <c r="Q768" t="s">
        <v>125</v>
      </c>
      <c r="R768" t="s">
        <v>125</v>
      </c>
      <c r="S768" t="s">
        <v>125</v>
      </c>
      <c r="T768">
        <v>0</v>
      </c>
      <c r="V768" t="s">
        <v>125</v>
      </c>
      <c r="AE768" t="s">
        <v>125</v>
      </c>
      <c r="AF768">
        <v>0</v>
      </c>
      <c r="AG768" t="s">
        <v>125</v>
      </c>
      <c r="AH768">
        <v>0</v>
      </c>
      <c r="AK768">
        <v>0</v>
      </c>
    </row>
    <row r="769" spans="1:37" x14ac:dyDescent="0.25">
      <c r="A769" t="s">
        <v>79</v>
      </c>
      <c r="B769">
        <v>3</v>
      </c>
      <c r="C769">
        <v>3</v>
      </c>
      <c r="D769">
        <v>3</v>
      </c>
      <c r="E769">
        <v>14</v>
      </c>
      <c r="G769">
        <v>333</v>
      </c>
      <c r="H769" t="s">
        <v>63</v>
      </c>
      <c r="I769" t="s">
        <v>137</v>
      </c>
      <c r="J769" t="s">
        <v>154</v>
      </c>
      <c r="L769">
        <v>0</v>
      </c>
      <c r="M769" t="s">
        <v>125</v>
      </c>
      <c r="O769" t="s">
        <v>125</v>
      </c>
      <c r="P769" t="s">
        <v>125</v>
      </c>
      <c r="Q769" t="s">
        <v>125</v>
      </c>
      <c r="R769" t="s">
        <v>125</v>
      </c>
      <c r="S769" t="s">
        <v>125</v>
      </c>
      <c r="T769">
        <v>0</v>
      </c>
      <c r="V769" t="s">
        <v>125</v>
      </c>
      <c r="AE769" t="s">
        <v>125</v>
      </c>
      <c r="AF769">
        <v>0</v>
      </c>
      <c r="AG769" t="s">
        <v>125</v>
      </c>
      <c r="AH769">
        <v>0</v>
      </c>
      <c r="AK769">
        <v>0</v>
      </c>
    </row>
    <row r="770" spans="1:37" x14ac:dyDescent="0.25">
      <c r="A770" t="s">
        <v>79</v>
      </c>
      <c r="B770">
        <v>3</v>
      </c>
      <c r="C770">
        <v>3</v>
      </c>
      <c r="D770">
        <v>3</v>
      </c>
      <c r="E770">
        <v>15</v>
      </c>
      <c r="G770">
        <v>333</v>
      </c>
      <c r="H770" t="s">
        <v>63</v>
      </c>
      <c r="I770" t="s">
        <v>139</v>
      </c>
      <c r="J770" t="s">
        <v>155</v>
      </c>
      <c r="L770">
        <v>0</v>
      </c>
      <c r="M770" t="s">
        <v>125</v>
      </c>
      <c r="O770" t="s">
        <v>125</v>
      </c>
      <c r="P770" t="s">
        <v>125</v>
      </c>
      <c r="Q770" t="s">
        <v>125</v>
      </c>
      <c r="R770" t="s">
        <v>125</v>
      </c>
      <c r="S770" t="s">
        <v>125</v>
      </c>
      <c r="T770">
        <v>0</v>
      </c>
      <c r="V770" t="s">
        <v>125</v>
      </c>
      <c r="AE770" t="s">
        <v>125</v>
      </c>
      <c r="AF770">
        <v>0</v>
      </c>
      <c r="AG770" t="s">
        <v>125</v>
      </c>
      <c r="AH770">
        <v>0</v>
      </c>
      <c r="AK770">
        <v>0</v>
      </c>
    </row>
    <row r="771" spans="1:37" x14ac:dyDescent="0.25">
      <c r="L771">
        <v>0</v>
      </c>
    </row>
    <row r="772" spans="1:37" x14ac:dyDescent="0.25">
      <c r="A772" t="s">
        <v>70</v>
      </c>
      <c r="B772">
        <v>3</v>
      </c>
      <c r="C772">
        <v>3</v>
      </c>
      <c r="D772">
        <v>4</v>
      </c>
      <c r="G772">
        <v>33</v>
      </c>
      <c r="L772">
        <v>0</v>
      </c>
      <c r="M772" t="s">
        <v>125</v>
      </c>
      <c r="P772" t="s">
        <v>125</v>
      </c>
      <c r="R772" t="s">
        <v>125</v>
      </c>
      <c r="S772" t="s">
        <v>63</v>
      </c>
      <c r="V772" t="s">
        <v>125</v>
      </c>
      <c r="X772" t="s">
        <v>125</v>
      </c>
      <c r="Y772" t="s">
        <v>125</v>
      </c>
      <c r="Z772" t="s">
        <v>125</v>
      </c>
      <c r="AA772" t="s">
        <v>125</v>
      </c>
      <c r="AB772" t="s">
        <v>125</v>
      </c>
      <c r="AC772" t="s">
        <v>125</v>
      </c>
      <c r="AE772" t="s">
        <v>125</v>
      </c>
      <c r="AF772">
        <v>0</v>
      </c>
      <c r="AG772" t="s">
        <v>125</v>
      </c>
      <c r="AH772">
        <v>0</v>
      </c>
      <c r="AK772">
        <v>0</v>
      </c>
    </row>
    <row r="773" spans="1:37" x14ac:dyDescent="0.25">
      <c r="A773" t="s">
        <v>79</v>
      </c>
      <c r="B773">
        <v>3</v>
      </c>
      <c r="C773">
        <v>3</v>
      </c>
      <c r="D773">
        <v>4</v>
      </c>
      <c r="E773">
        <v>1</v>
      </c>
      <c r="G773">
        <v>334</v>
      </c>
      <c r="H773" t="s">
        <v>63</v>
      </c>
      <c r="I773" t="s">
        <v>80</v>
      </c>
      <c r="J773" t="s">
        <v>141</v>
      </c>
      <c r="L773">
        <v>0</v>
      </c>
      <c r="M773" t="s">
        <v>125</v>
      </c>
      <c r="O773" t="s">
        <v>125</v>
      </c>
      <c r="P773" t="s">
        <v>125</v>
      </c>
      <c r="Q773" t="s">
        <v>125</v>
      </c>
      <c r="R773" t="s">
        <v>125</v>
      </c>
      <c r="S773" t="s">
        <v>125</v>
      </c>
      <c r="T773">
        <v>0</v>
      </c>
      <c r="V773" t="s">
        <v>125</v>
      </c>
      <c r="AE773" t="s">
        <v>125</v>
      </c>
      <c r="AF773">
        <v>0</v>
      </c>
      <c r="AG773" t="s">
        <v>125</v>
      </c>
      <c r="AH773">
        <v>0</v>
      </c>
      <c r="AK773">
        <v>0</v>
      </c>
    </row>
    <row r="774" spans="1:37" x14ac:dyDescent="0.25">
      <c r="A774" t="s">
        <v>79</v>
      </c>
      <c r="B774">
        <v>3</v>
      </c>
      <c r="C774">
        <v>3</v>
      </c>
      <c r="D774">
        <v>4</v>
      </c>
      <c r="E774">
        <v>2</v>
      </c>
      <c r="G774">
        <v>334</v>
      </c>
      <c r="H774" t="s">
        <v>63</v>
      </c>
      <c r="I774" t="s">
        <v>88</v>
      </c>
      <c r="J774" t="s">
        <v>142</v>
      </c>
      <c r="L774">
        <v>0</v>
      </c>
      <c r="M774" t="s">
        <v>125</v>
      </c>
      <c r="O774" t="s">
        <v>125</v>
      </c>
      <c r="P774" t="s">
        <v>125</v>
      </c>
      <c r="Q774" t="s">
        <v>125</v>
      </c>
      <c r="R774" t="s">
        <v>125</v>
      </c>
      <c r="S774" t="s">
        <v>125</v>
      </c>
      <c r="T774">
        <v>0</v>
      </c>
      <c r="V774" t="s">
        <v>125</v>
      </c>
      <c r="AE774" t="s">
        <v>125</v>
      </c>
      <c r="AF774">
        <v>0</v>
      </c>
      <c r="AG774" t="s">
        <v>125</v>
      </c>
      <c r="AH774">
        <v>0</v>
      </c>
      <c r="AK774">
        <v>0</v>
      </c>
    </row>
    <row r="775" spans="1:37" x14ac:dyDescent="0.25">
      <c r="A775" t="s">
        <v>79</v>
      </c>
      <c r="B775">
        <v>3</v>
      </c>
      <c r="C775">
        <v>3</v>
      </c>
      <c r="D775">
        <v>4</v>
      </c>
      <c r="E775">
        <v>3</v>
      </c>
      <c r="G775">
        <v>334</v>
      </c>
      <c r="H775" t="s">
        <v>63</v>
      </c>
      <c r="I775" t="s">
        <v>95</v>
      </c>
      <c r="J775" t="s">
        <v>143</v>
      </c>
      <c r="L775">
        <v>0</v>
      </c>
      <c r="M775" t="s">
        <v>125</v>
      </c>
      <c r="O775" t="s">
        <v>125</v>
      </c>
      <c r="P775" t="s">
        <v>125</v>
      </c>
      <c r="Q775" t="s">
        <v>125</v>
      </c>
      <c r="R775" t="s">
        <v>125</v>
      </c>
      <c r="S775" t="s">
        <v>125</v>
      </c>
      <c r="T775">
        <v>0</v>
      </c>
      <c r="V775" t="s">
        <v>125</v>
      </c>
      <c r="AE775" t="s">
        <v>125</v>
      </c>
      <c r="AF775">
        <v>0</v>
      </c>
      <c r="AG775" t="s">
        <v>125</v>
      </c>
      <c r="AH775">
        <v>0</v>
      </c>
      <c r="AK775">
        <v>0</v>
      </c>
    </row>
    <row r="776" spans="1:37" x14ac:dyDescent="0.25">
      <c r="A776" t="s">
        <v>79</v>
      </c>
      <c r="B776">
        <v>3</v>
      </c>
      <c r="C776">
        <v>3</v>
      </c>
      <c r="D776">
        <v>4</v>
      </c>
      <c r="E776">
        <v>4</v>
      </c>
      <c r="G776">
        <v>334</v>
      </c>
      <c r="H776" t="s">
        <v>63</v>
      </c>
      <c r="I776" t="s">
        <v>102</v>
      </c>
      <c r="J776" t="s">
        <v>144</v>
      </c>
      <c r="L776">
        <v>0</v>
      </c>
      <c r="M776" t="s">
        <v>125</v>
      </c>
      <c r="O776" t="s">
        <v>125</v>
      </c>
      <c r="P776" t="s">
        <v>125</v>
      </c>
      <c r="Q776" t="s">
        <v>125</v>
      </c>
      <c r="R776" t="s">
        <v>125</v>
      </c>
      <c r="S776" t="s">
        <v>125</v>
      </c>
      <c r="T776">
        <v>0</v>
      </c>
      <c r="V776" t="s">
        <v>125</v>
      </c>
      <c r="AE776" t="s">
        <v>125</v>
      </c>
      <c r="AF776">
        <v>0</v>
      </c>
      <c r="AG776" t="s">
        <v>125</v>
      </c>
      <c r="AH776">
        <v>0</v>
      </c>
      <c r="AK776">
        <v>0</v>
      </c>
    </row>
    <row r="777" spans="1:37" x14ac:dyDescent="0.25">
      <c r="A777" t="s">
        <v>79</v>
      </c>
      <c r="B777">
        <v>3</v>
      </c>
      <c r="C777">
        <v>3</v>
      </c>
      <c r="D777">
        <v>4</v>
      </c>
      <c r="E777">
        <v>5</v>
      </c>
      <c r="G777">
        <v>334</v>
      </c>
      <c r="H777" t="s">
        <v>63</v>
      </c>
      <c r="I777" t="s">
        <v>109</v>
      </c>
      <c r="J777" t="s">
        <v>145</v>
      </c>
      <c r="L777">
        <v>0</v>
      </c>
      <c r="M777" t="s">
        <v>125</v>
      </c>
      <c r="O777" t="s">
        <v>125</v>
      </c>
      <c r="P777" t="s">
        <v>125</v>
      </c>
      <c r="Q777" t="s">
        <v>125</v>
      </c>
      <c r="R777" t="s">
        <v>125</v>
      </c>
      <c r="S777" t="s">
        <v>125</v>
      </c>
      <c r="T777">
        <v>0</v>
      </c>
      <c r="V777" t="s">
        <v>125</v>
      </c>
      <c r="AE777" t="s">
        <v>125</v>
      </c>
      <c r="AF777">
        <v>0</v>
      </c>
      <c r="AG777" t="s">
        <v>125</v>
      </c>
      <c r="AH777">
        <v>0</v>
      </c>
      <c r="AK777">
        <v>0</v>
      </c>
    </row>
    <row r="778" spans="1:37" x14ac:dyDescent="0.25">
      <c r="A778" t="s">
        <v>79</v>
      </c>
      <c r="B778">
        <v>3</v>
      </c>
      <c r="C778">
        <v>3</v>
      </c>
      <c r="D778">
        <v>4</v>
      </c>
      <c r="E778">
        <v>6</v>
      </c>
      <c r="G778">
        <v>334</v>
      </c>
      <c r="H778" t="s">
        <v>63</v>
      </c>
      <c r="I778" t="s">
        <v>116</v>
      </c>
      <c r="J778" t="s">
        <v>146</v>
      </c>
      <c r="L778">
        <v>0</v>
      </c>
      <c r="M778" t="s">
        <v>125</v>
      </c>
      <c r="O778" t="s">
        <v>125</v>
      </c>
      <c r="P778" t="s">
        <v>125</v>
      </c>
      <c r="Q778" t="s">
        <v>125</v>
      </c>
      <c r="R778" t="s">
        <v>125</v>
      </c>
      <c r="S778" t="s">
        <v>125</v>
      </c>
      <c r="T778">
        <v>0</v>
      </c>
      <c r="V778" t="s">
        <v>125</v>
      </c>
      <c r="AE778" t="s">
        <v>125</v>
      </c>
      <c r="AF778">
        <v>0</v>
      </c>
      <c r="AG778" t="s">
        <v>125</v>
      </c>
      <c r="AH778">
        <v>0</v>
      </c>
      <c r="AK778">
        <v>0</v>
      </c>
    </row>
    <row r="779" spans="1:37" x14ac:dyDescent="0.25">
      <c r="A779" t="s">
        <v>79</v>
      </c>
      <c r="B779">
        <v>3</v>
      </c>
      <c r="C779">
        <v>3</v>
      </c>
      <c r="D779">
        <v>4</v>
      </c>
      <c r="E779">
        <v>7</v>
      </c>
      <c r="G779">
        <v>334</v>
      </c>
      <c r="H779" t="s">
        <v>63</v>
      </c>
      <c r="I779" t="s">
        <v>123</v>
      </c>
      <c r="J779" t="s">
        <v>147</v>
      </c>
      <c r="L779">
        <v>0</v>
      </c>
      <c r="M779" t="s">
        <v>125</v>
      </c>
      <c r="O779" t="s">
        <v>125</v>
      </c>
      <c r="P779" t="s">
        <v>125</v>
      </c>
      <c r="Q779" t="s">
        <v>125</v>
      </c>
      <c r="R779" t="s">
        <v>125</v>
      </c>
      <c r="S779" t="s">
        <v>125</v>
      </c>
      <c r="T779">
        <v>0</v>
      </c>
      <c r="V779" t="s">
        <v>125</v>
      </c>
      <c r="AE779" t="s">
        <v>125</v>
      </c>
      <c r="AF779">
        <v>0</v>
      </c>
      <c r="AG779" t="s">
        <v>125</v>
      </c>
      <c r="AH779">
        <v>0</v>
      </c>
      <c r="AK779">
        <v>0</v>
      </c>
    </row>
    <row r="780" spans="1:37" x14ac:dyDescent="0.25">
      <c r="A780" t="s">
        <v>79</v>
      </c>
      <c r="B780">
        <v>3</v>
      </c>
      <c r="C780">
        <v>3</v>
      </c>
      <c r="D780">
        <v>4</v>
      </c>
      <c r="E780">
        <v>8</v>
      </c>
      <c r="G780">
        <v>334</v>
      </c>
      <c r="H780" t="s">
        <v>63</v>
      </c>
      <c r="I780" t="s">
        <v>126</v>
      </c>
      <c r="J780" t="s">
        <v>148</v>
      </c>
      <c r="L780">
        <v>0</v>
      </c>
      <c r="M780" t="s">
        <v>125</v>
      </c>
      <c r="O780" t="s">
        <v>125</v>
      </c>
      <c r="P780" t="s">
        <v>125</v>
      </c>
      <c r="Q780" t="s">
        <v>125</v>
      </c>
      <c r="R780" t="s">
        <v>125</v>
      </c>
      <c r="S780" t="s">
        <v>125</v>
      </c>
      <c r="T780">
        <v>0</v>
      </c>
      <c r="V780" t="s">
        <v>125</v>
      </c>
      <c r="AE780" t="s">
        <v>125</v>
      </c>
      <c r="AF780">
        <v>0</v>
      </c>
      <c r="AG780" t="s">
        <v>125</v>
      </c>
      <c r="AH780">
        <v>0</v>
      </c>
      <c r="AK780">
        <v>0</v>
      </c>
    </row>
    <row r="781" spans="1:37" x14ac:dyDescent="0.25">
      <c r="A781" t="s">
        <v>79</v>
      </c>
      <c r="B781">
        <v>3</v>
      </c>
      <c r="C781">
        <v>3</v>
      </c>
      <c r="D781">
        <v>4</v>
      </c>
      <c r="E781">
        <v>9</v>
      </c>
      <c r="G781">
        <v>334</v>
      </c>
      <c r="H781" t="s">
        <v>63</v>
      </c>
      <c r="I781" t="s">
        <v>74</v>
      </c>
      <c r="J781" t="s">
        <v>149</v>
      </c>
      <c r="L781">
        <v>0</v>
      </c>
      <c r="M781" t="s">
        <v>125</v>
      </c>
      <c r="O781" t="s">
        <v>125</v>
      </c>
      <c r="P781" t="s">
        <v>125</v>
      </c>
      <c r="Q781" t="s">
        <v>125</v>
      </c>
      <c r="R781" t="s">
        <v>125</v>
      </c>
      <c r="S781" t="s">
        <v>125</v>
      </c>
      <c r="T781">
        <v>0</v>
      </c>
      <c r="V781" t="s">
        <v>125</v>
      </c>
      <c r="AE781" t="s">
        <v>125</v>
      </c>
      <c r="AF781">
        <v>0</v>
      </c>
      <c r="AG781" t="s">
        <v>125</v>
      </c>
      <c r="AH781">
        <v>0</v>
      </c>
      <c r="AK781">
        <v>0</v>
      </c>
    </row>
    <row r="782" spans="1:37" x14ac:dyDescent="0.25">
      <c r="A782" t="s">
        <v>79</v>
      </c>
      <c r="B782">
        <v>3</v>
      </c>
      <c r="C782">
        <v>3</v>
      </c>
      <c r="D782">
        <v>4</v>
      </c>
      <c r="E782">
        <v>10</v>
      </c>
      <c r="G782">
        <v>334</v>
      </c>
      <c r="H782" t="s">
        <v>63</v>
      </c>
      <c r="I782" t="s">
        <v>129</v>
      </c>
      <c r="J782" t="s">
        <v>150</v>
      </c>
      <c r="L782">
        <v>0</v>
      </c>
      <c r="M782" t="s">
        <v>125</v>
      </c>
      <c r="O782" t="s">
        <v>125</v>
      </c>
      <c r="P782" t="s">
        <v>125</v>
      </c>
      <c r="Q782" t="s">
        <v>125</v>
      </c>
      <c r="R782" t="s">
        <v>125</v>
      </c>
      <c r="S782" t="s">
        <v>125</v>
      </c>
      <c r="T782">
        <v>0</v>
      </c>
      <c r="V782" t="s">
        <v>125</v>
      </c>
      <c r="AE782" t="s">
        <v>125</v>
      </c>
      <c r="AF782">
        <v>0</v>
      </c>
      <c r="AG782" t="s">
        <v>125</v>
      </c>
      <c r="AH782">
        <v>0</v>
      </c>
      <c r="AK782">
        <v>0</v>
      </c>
    </row>
    <row r="783" spans="1:37" x14ac:dyDescent="0.25">
      <c r="A783" t="s">
        <v>79</v>
      </c>
      <c r="B783">
        <v>3</v>
      </c>
      <c r="C783">
        <v>3</v>
      </c>
      <c r="D783">
        <v>4</v>
      </c>
      <c r="E783">
        <v>11</v>
      </c>
      <c r="G783">
        <v>334</v>
      </c>
      <c r="H783" t="s">
        <v>63</v>
      </c>
      <c r="I783" t="s">
        <v>131</v>
      </c>
      <c r="J783" t="s">
        <v>151</v>
      </c>
      <c r="L783">
        <v>0</v>
      </c>
      <c r="M783" t="s">
        <v>125</v>
      </c>
      <c r="O783" t="s">
        <v>125</v>
      </c>
      <c r="P783" t="s">
        <v>125</v>
      </c>
      <c r="Q783" t="s">
        <v>125</v>
      </c>
      <c r="R783" t="s">
        <v>125</v>
      </c>
      <c r="S783" t="s">
        <v>125</v>
      </c>
      <c r="T783">
        <v>0</v>
      </c>
      <c r="V783" t="s">
        <v>125</v>
      </c>
      <c r="AE783" t="s">
        <v>125</v>
      </c>
      <c r="AF783">
        <v>0</v>
      </c>
      <c r="AG783" t="s">
        <v>125</v>
      </c>
      <c r="AH783">
        <v>0</v>
      </c>
      <c r="AK783">
        <v>0</v>
      </c>
    </row>
    <row r="784" spans="1:37" x14ac:dyDescent="0.25">
      <c r="A784" t="s">
        <v>79</v>
      </c>
      <c r="B784">
        <v>3</v>
      </c>
      <c r="C784">
        <v>3</v>
      </c>
      <c r="D784">
        <v>4</v>
      </c>
      <c r="E784">
        <v>12</v>
      </c>
      <c r="G784">
        <v>334</v>
      </c>
      <c r="H784" t="s">
        <v>63</v>
      </c>
      <c r="I784" t="s">
        <v>133</v>
      </c>
      <c r="J784" t="s">
        <v>152</v>
      </c>
      <c r="L784">
        <v>0</v>
      </c>
      <c r="M784" t="s">
        <v>125</v>
      </c>
      <c r="O784" t="s">
        <v>125</v>
      </c>
      <c r="P784" t="s">
        <v>125</v>
      </c>
      <c r="Q784" t="s">
        <v>125</v>
      </c>
      <c r="R784" t="s">
        <v>125</v>
      </c>
      <c r="S784" t="s">
        <v>125</v>
      </c>
      <c r="T784">
        <v>0</v>
      </c>
      <c r="V784" t="s">
        <v>125</v>
      </c>
      <c r="AE784" t="s">
        <v>125</v>
      </c>
      <c r="AF784">
        <v>0</v>
      </c>
      <c r="AG784" t="s">
        <v>125</v>
      </c>
      <c r="AH784">
        <v>0</v>
      </c>
      <c r="AK784">
        <v>0</v>
      </c>
    </row>
    <row r="785" spans="1:37" x14ac:dyDescent="0.25">
      <c r="A785" t="s">
        <v>79</v>
      </c>
      <c r="B785">
        <v>3</v>
      </c>
      <c r="C785">
        <v>3</v>
      </c>
      <c r="D785">
        <v>4</v>
      </c>
      <c r="E785">
        <v>13</v>
      </c>
      <c r="G785">
        <v>334</v>
      </c>
      <c r="H785" t="s">
        <v>63</v>
      </c>
      <c r="I785" t="s">
        <v>135</v>
      </c>
      <c r="J785" t="s">
        <v>153</v>
      </c>
      <c r="L785">
        <v>0</v>
      </c>
      <c r="M785" t="s">
        <v>125</v>
      </c>
      <c r="O785" t="s">
        <v>125</v>
      </c>
      <c r="P785" t="s">
        <v>125</v>
      </c>
      <c r="Q785" t="s">
        <v>125</v>
      </c>
      <c r="R785" t="s">
        <v>125</v>
      </c>
      <c r="S785" t="s">
        <v>125</v>
      </c>
      <c r="T785">
        <v>0</v>
      </c>
      <c r="V785" t="s">
        <v>125</v>
      </c>
      <c r="AE785" t="s">
        <v>125</v>
      </c>
      <c r="AF785">
        <v>0</v>
      </c>
      <c r="AG785" t="s">
        <v>125</v>
      </c>
      <c r="AH785">
        <v>0</v>
      </c>
      <c r="AK785">
        <v>0</v>
      </c>
    </row>
    <row r="786" spans="1:37" x14ac:dyDescent="0.25">
      <c r="A786" t="s">
        <v>79</v>
      </c>
      <c r="B786">
        <v>3</v>
      </c>
      <c r="C786">
        <v>3</v>
      </c>
      <c r="D786">
        <v>4</v>
      </c>
      <c r="E786">
        <v>14</v>
      </c>
      <c r="G786">
        <v>334</v>
      </c>
      <c r="H786" t="s">
        <v>63</v>
      </c>
      <c r="I786" t="s">
        <v>137</v>
      </c>
      <c r="J786" t="s">
        <v>154</v>
      </c>
      <c r="L786">
        <v>0</v>
      </c>
      <c r="M786" t="s">
        <v>125</v>
      </c>
      <c r="O786" t="s">
        <v>125</v>
      </c>
      <c r="P786" t="s">
        <v>125</v>
      </c>
      <c r="Q786" t="s">
        <v>125</v>
      </c>
      <c r="R786" t="s">
        <v>125</v>
      </c>
      <c r="S786" t="s">
        <v>125</v>
      </c>
      <c r="T786">
        <v>0</v>
      </c>
      <c r="V786" t="s">
        <v>125</v>
      </c>
      <c r="AE786" t="s">
        <v>125</v>
      </c>
      <c r="AF786">
        <v>0</v>
      </c>
      <c r="AG786" t="s">
        <v>125</v>
      </c>
      <c r="AH786">
        <v>0</v>
      </c>
      <c r="AK786">
        <v>0</v>
      </c>
    </row>
    <row r="787" spans="1:37" x14ac:dyDescent="0.25">
      <c r="A787" t="s">
        <v>79</v>
      </c>
      <c r="B787">
        <v>3</v>
      </c>
      <c r="C787">
        <v>3</v>
      </c>
      <c r="D787">
        <v>4</v>
      </c>
      <c r="E787">
        <v>15</v>
      </c>
      <c r="G787">
        <v>334</v>
      </c>
      <c r="H787" t="s">
        <v>63</v>
      </c>
      <c r="I787" t="s">
        <v>139</v>
      </c>
      <c r="J787" t="s">
        <v>155</v>
      </c>
      <c r="L787">
        <v>0</v>
      </c>
      <c r="M787" t="s">
        <v>125</v>
      </c>
      <c r="O787" t="s">
        <v>125</v>
      </c>
      <c r="P787" t="s">
        <v>125</v>
      </c>
      <c r="Q787" t="s">
        <v>125</v>
      </c>
      <c r="R787" t="s">
        <v>125</v>
      </c>
      <c r="S787" t="s">
        <v>125</v>
      </c>
      <c r="T787">
        <v>0</v>
      </c>
      <c r="V787" t="s">
        <v>125</v>
      </c>
      <c r="AE787" t="s">
        <v>125</v>
      </c>
      <c r="AF787">
        <v>0</v>
      </c>
      <c r="AG787" t="s">
        <v>125</v>
      </c>
      <c r="AH787">
        <v>0</v>
      </c>
      <c r="AK787">
        <v>0</v>
      </c>
    </row>
    <row r="788" spans="1:37" x14ac:dyDescent="0.25">
      <c r="L788">
        <v>0</v>
      </c>
    </row>
    <row r="789" spans="1:37" x14ac:dyDescent="0.25">
      <c r="A789" t="s">
        <v>70</v>
      </c>
      <c r="B789">
        <v>3</v>
      </c>
      <c r="C789">
        <v>3</v>
      </c>
      <c r="D789">
        <v>5</v>
      </c>
      <c r="G789">
        <v>33</v>
      </c>
      <c r="L789">
        <v>0</v>
      </c>
      <c r="M789" t="s">
        <v>125</v>
      </c>
      <c r="P789" t="s">
        <v>125</v>
      </c>
      <c r="R789" t="s">
        <v>125</v>
      </c>
      <c r="S789" t="s">
        <v>63</v>
      </c>
      <c r="V789" t="s">
        <v>125</v>
      </c>
      <c r="X789" t="s">
        <v>125</v>
      </c>
      <c r="Y789" t="s">
        <v>125</v>
      </c>
      <c r="Z789" t="s">
        <v>125</v>
      </c>
      <c r="AA789" t="s">
        <v>125</v>
      </c>
      <c r="AB789" t="s">
        <v>125</v>
      </c>
      <c r="AC789" t="s">
        <v>125</v>
      </c>
      <c r="AE789" t="s">
        <v>125</v>
      </c>
      <c r="AF789">
        <v>0</v>
      </c>
      <c r="AG789" t="s">
        <v>125</v>
      </c>
      <c r="AH789">
        <v>0</v>
      </c>
      <c r="AK789">
        <v>0</v>
      </c>
    </row>
    <row r="790" spans="1:37" x14ac:dyDescent="0.25">
      <c r="A790" t="s">
        <v>79</v>
      </c>
      <c r="B790">
        <v>3</v>
      </c>
      <c r="C790">
        <v>3</v>
      </c>
      <c r="D790">
        <v>5</v>
      </c>
      <c r="E790">
        <v>1</v>
      </c>
      <c r="G790">
        <v>335</v>
      </c>
      <c r="H790" t="s">
        <v>63</v>
      </c>
      <c r="I790" t="s">
        <v>80</v>
      </c>
      <c r="J790" t="s">
        <v>141</v>
      </c>
      <c r="L790">
        <v>0</v>
      </c>
      <c r="M790" t="s">
        <v>125</v>
      </c>
      <c r="O790" t="s">
        <v>125</v>
      </c>
      <c r="P790" t="s">
        <v>125</v>
      </c>
      <c r="Q790" t="s">
        <v>125</v>
      </c>
      <c r="R790" t="s">
        <v>125</v>
      </c>
      <c r="S790" t="s">
        <v>125</v>
      </c>
      <c r="T790">
        <v>0</v>
      </c>
      <c r="V790" t="s">
        <v>125</v>
      </c>
      <c r="AE790" t="s">
        <v>125</v>
      </c>
      <c r="AF790">
        <v>0</v>
      </c>
      <c r="AG790" t="s">
        <v>125</v>
      </c>
      <c r="AH790">
        <v>0</v>
      </c>
      <c r="AK790">
        <v>0</v>
      </c>
    </row>
    <row r="791" spans="1:37" x14ac:dyDescent="0.25">
      <c r="A791" t="s">
        <v>79</v>
      </c>
      <c r="B791">
        <v>3</v>
      </c>
      <c r="C791">
        <v>3</v>
      </c>
      <c r="D791">
        <v>5</v>
      </c>
      <c r="E791">
        <v>2</v>
      </c>
      <c r="G791">
        <v>335</v>
      </c>
      <c r="H791" t="s">
        <v>63</v>
      </c>
      <c r="I791" t="s">
        <v>88</v>
      </c>
      <c r="J791" t="s">
        <v>142</v>
      </c>
      <c r="L791">
        <v>0</v>
      </c>
      <c r="M791" t="s">
        <v>125</v>
      </c>
      <c r="O791" t="s">
        <v>125</v>
      </c>
      <c r="P791" t="s">
        <v>125</v>
      </c>
      <c r="Q791" t="s">
        <v>125</v>
      </c>
      <c r="R791" t="s">
        <v>125</v>
      </c>
      <c r="S791" t="s">
        <v>125</v>
      </c>
      <c r="T791">
        <v>0</v>
      </c>
      <c r="V791" t="s">
        <v>125</v>
      </c>
      <c r="AE791" t="s">
        <v>125</v>
      </c>
      <c r="AF791">
        <v>0</v>
      </c>
      <c r="AG791" t="s">
        <v>125</v>
      </c>
      <c r="AH791">
        <v>0</v>
      </c>
      <c r="AK791">
        <v>0</v>
      </c>
    </row>
    <row r="792" spans="1:37" x14ac:dyDescent="0.25">
      <c r="A792" t="s">
        <v>79</v>
      </c>
      <c r="B792">
        <v>3</v>
      </c>
      <c r="C792">
        <v>3</v>
      </c>
      <c r="D792">
        <v>5</v>
      </c>
      <c r="E792">
        <v>3</v>
      </c>
      <c r="G792">
        <v>335</v>
      </c>
      <c r="H792" t="s">
        <v>63</v>
      </c>
      <c r="I792" t="s">
        <v>95</v>
      </c>
      <c r="J792" t="s">
        <v>143</v>
      </c>
      <c r="L792">
        <v>0</v>
      </c>
      <c r="M792" t="s">
        <v>125</v>
      </c>
      <c r="O792" t="s">
        <v>125</v>
      </c>
      <c r="P792" t="s">
        <v>125</v>
      </c>
      <c r="Q792" t="s">
        <v>125</v>
      </c>
      <c r="R792" t="s">
        <v>125</v>
      </c>
      <c r="S792" t="s">
        <v>125</v>
      </c>
      <c r="T792">
        <v>0</v>
      </c>
      <c r="V792" t="s">
        <v>125</v>
      </c>
      <c r="AE792" t="s">
        <v>125</v>
      </c>
      <c r="AF792">
        <v>0</v>
      </c>
      <c r="AG792" t="s">
        <v>125</v>
      </c>
      <c r="AH792">
        <v>0</v>
      </c>
      <c r="AK792">
        <v>0</v>
      </c>
    </row>
    <row r="793" spans="1:37" x14ac:dyDescent="0.25">
      <c r="A793" t="s">
        <v>79</v>
      </c>
      <c r="B793">
        <v>3</v>
      </c>
      <c r="C793">
        <v>3</v>
      </c>
      <c r="D793">
        <v>5</v>
      </c>
      <c r="E793">
        <v>4</v>
      </c>
      <c r="G793">
        <v>335</v>
      </c>
      <c r="H793" t="s">
        <v>63</v>
      </c>
      <c r="I793" t="s">
        <v>102</v>
      </c>
      <c r="J793" t="s">
        <v>144</v>
      </c>
      <c r="L793">
        <v>0</v>
      </c>
      <c r="M793" t="s">
        <v>125</v>
      </c>
      <c r="O793" t="s">
        <v>125</v>
      </c>
      <c r="P793" t="s">
        <v>125</v>
      </c>
      <c r="Q793" t="s">
        <v>125</v>
      </c>
      <c r="R793" t="s">
        <v>125</v>
      </c>
      <c r="S793" t="s">
        <v>125</v>
      </c>
      <c r="T793">
        <v>0</v>
      </c>
      <c r="V793" t="s">
        <v>125</v>
      </c>
      <c r="AE793" t="s">
        <v>125</v>
      </c>
      <c r="AF793">
        <v>0</v>
      </c>
      <c r="AG793" t="s">
        <v>125</v>
      </c>
      <c r="AH793">
        <v>0</v>
      </c>
      <c r="AK793">
        <v>0</v>
      </c>
    </row>
    <row r="794" spans="1:37" x14ac:dyDescent="0.25">
      <c r="A794" t="s">
        <v>79</v>
      </c>
      <c r="B794">
        <v>3</v>
      </c>
      <c r="C794">
        <v>3</v>
      </c>
      <c r="D794">
        <v>5</v>
      </c>
      <c r="E794">
        <v>5</v>
      </c>
      <c r="G794">
        <v>335</v>
      </c>
      <c r="H794" t="s">
        <v>63</v>
      </c>
      <c r="I794" t="s">
        <v>109</v>
      </c>
      <c r="J794" t="s">
        <v>145</v>
      </c>
      <c r="L794">
        <v>0</v>
      </c>
      <c r="M794" t="s">
        <v>125</v>
      </c>
      <c r="O794" t="s">
        <v>125</v>
      </c>
      <c r="P794" t="s">
        <v>125</v>
      </c>
      <c r="Q794" t="s">
        <v>125</v>
      </c>
      <c r="R794" t="s">
        <v>125</v>
      </c>
      <c r="S794" t="s">
        <v>125</v>
      </c>
      <c r="T794">
        <v>0</v>
      </c>
      <c r="V794" t="s">
        <v>125</v>
      </c>
      <c r="AE794" t="s">
        <v>125</v>
      </c>
      <c r="AF794">
        <v>0</v>
      </c>
      <c r="AG794" t="s">
        <v>125</v>
      </c>
      <c r="AH794">
        <v>0</v>
      </c>
      <c r="AK794">
        <v>0</v>
      </c>
    </row>
    <row r="795" spans="1:37" x14ac:dyDescent="0.25">
      <c r="A795" t="s">
        <v>79</v>
      </c>
      <c r="B795">
        <v>3</v>
      </c>
      <c r="C795">
        <v>3</v>
      </c>
      <c r="D795">
        <v>5</v>
      </c>
      <c r="E795">
        <v>6</v>
      </c>
      <c r="G795">
        <v>335</v>
      </c>
      <c r="H795" t="s">
        <v>63</v>
      </c>
      <c r="I795" t="s">
        <v>116</v>
      </c>
      <c r="J795" t="s">
        <v>146</v>
      </c>
      <c r="L795">
        <v>0</v>
      </c>
      <c r="M795" t="s">
        <v>125</v>
      </c>
      <c r="O795" t="s">
        <v>125</v>
      </c>
      <c r="P795" t="s">
        <v>125</v>
      </c>
      <c r="Q795" t="s">
        <v>125</v>
      </c>
      <c r="R795" t="s">
        <v>125</v>
      </c>
      <c r="S795" t="s">
        <v>125</v>
      </c>
      <c r="T795">
        <v>0</v>
      </c>
      <c r="V795" t="s">
        <v>125</v>
      </c>
      <c r="AE795" t="s">
        <v>125</v>
      </c>
      <c r="AF795">
        <v>0</v>
      </c>
      <c r="AG795" t="s">
        <v>125</v>
      </c>
      <c r="AH795">
        <v>0</v>
      </c>
      <c r="AK795">
        <v>0</v>
      </c>
    </row>
    <row r="796" spans="1:37" x14ac:dyDescent="0.25">
      <c r="A796" t="s">
        <v>79</v>
      </c>
      <c r="B796">
        <v>3</v>
      </c>
      <c r="C796">
        <v>3</v>
      </c>
      <c r="D796">
        <v>5</v>
      </c>
      <c r="E796">
        <v>7</v>
      </c>
      <c r="G796">
        <v>335</v>
      </c>
      <c r="H796" t="s">
        <v>63</v>
      </c>
      <c r="I796" t="s">
        <v>123</v>
      </c>
      <c r="J796" t="s">
        <v>147</v>
      </c>
      <c r="L796">
        <v>0</v>
      </c>
      <c r="M796" t="s">
        <v>125</v>
      </c>
      <c r="O796" t="s">
        <v>125</v>
      </c>
      <c r="P796" t="s">
        <v>125</v>
      </c>
      <c r="Q796" t="s">
        <v>125</v>
      </c>
      <c r="R796" t="s">
        <v>125</v>
      </c>
      <c r="S796" t="s">
        <v>125</v>
      </c>
      <c r="T796">
        <v>0</v>
      </c>
      <c r="V796" t="s">
        <v>125</v>
      </c>
      <c r="AE796" t="s">
        <v>125</v>
      </c>
      <c r="AF796">
        <v>0</v>
      </c>
      <c r="AG796" t="s">
        <v>125</v>
      </c>
      <c r="AH796">
        <v>0</v>
      </c>
      <c r="AK796">
        <v>0</v>
      </c>
    </row>
    <row r="797" spans="1:37" x14ac:dyDescent="0.25">
      <c r="A797" t="s">
        <v>79</v>
      </c>
      <c r="B797">
        <v>3</v>
      </c>
      <c r="C797">
        <v>3</v>
      </c>
      <c r="D797">
        <v>5</v>
      </c>
      <c r="E797">
        <v>8</v>
      </c>
      <c r="G797">
        <v>335</v>
      </c>
      <c r="H797" t="s">
        <v>63</v>
      </c>
      <c r="I797" t="s">
        <v>126</v>
      </c>
      <c r="J797" t="s">
        <v>148</v>
      </c>
      <c r="L797">
        <v>0</v>
      </c>
      <c r="M797" t="s">
        <v>125</v>
      </c>
      <c r="O797" t="s">
        <v>125</v>
      </c>
      <c r="P797" t="s">
        <v>125</v>
      </c>
      <c r="Q797" t="s">
        <v>125</v>
      </c>
      <c r="R797" t="s">
        <v>125</v>
      </c>
      <c r="S797" t="s">
        <v>125</v>
      </c>
      <c r="T797">
        <v>0</v>
      </c>
      <c r="V797" t="s">
        <v>125</v>
      </c>
      <c r="AE797" t="s">
        <v>125</v>
      </c>
      <c r="AF797">
        <v>0</v>
      </c>
      <c r="AG797" t="s">
        <v>125</v>
      </c>
      <c r="AH797">
        <v>0</v>
      </c>
      <c r="AK797">
        <v>0</v>
      </c>
    </row>
    <row r="798" spans="1:37" x14ac:dyDescent="0.25">
      <c r="A798" t="s">
        <v>79</v>
      </c>
      <c r="B798">
        <v>3</v>
      </c>
      <c r="C798">
        <v>3</v>
      </c>
      <c r="D798">
        <v>5</v>
      </c>
      <c r="E798">
        <v>9</v>
      </c>
      <c r="G798">
        <v>335</v>
      </c>
      <c r="H798" t="s">
        <v>63</v>
      </c>
      <c r="I798" t="s">
        <v>74</v>
      </c>
      <c r="J798" t="s">
        <v>149</v>
      </c>
      <c r="L798">
        <v>0</v>
      </c>
      <c r="M798" t="s">
        <v>125</v>
      </c>
      <c r="O798" t="s">
        <v>125</v>
      </c>
      <c r="P798" t="s">
        <v>125</v>
      </c>
      <c r="Q798" t="s">
        <v>125</v>
      </c>
      <c r="R798" t="s">
        <v>125</v>
      </c>
      <c r="S798" t="s">
        <v>125</v>
      </c>
      <c r="T798">
        <v>0</v>
      </c>
      <c r="V798" t="s">
        <v>125</v>
      </c>
      <c r="AE798" t="s">
        <v>125</v>
      </c>
      <c r="AF798">
        <v>0</v>
      </c>
      <c r="AG798" t="s">
        <v>125</v>
      </c>
      <c r="AH798">
        <v>0</v>
      </c>
      <c r="AK798">
        <v>0</v>
      </c>
    </row>
    <row r="799" spans="1:37" x14ac:dyDescent="0.25">
      <c r="A799" t="s">
        <v>79</v>
      </c>
      <c r="B799">
        <v>3</v>
      </c>
      <c r="C799">
        <v>3</v>
      </c>
      <c r="D799">
        <v>5</v>
      </c>
      <c r="E799">
        <v>10</v>
      </c>
      <c r="G799">
        <v>335</v>
      </c>
      <c r="H799" t="s">
        <v>63</v>
      </c>
      <c r="I799" t="s">
        <v>129</v>
      </c>
      <c r="J799" t="s">
        <v>150</v>
      </c>
      <c r="L799">
        <v>0</v>
      </c>
      <c r="M799" t="s">
        <v>125</v>
      </c>
      <c r="O799" t="s">
        <v>125</v>
      </c>
      <c r="P799" t="s">
        <v>125</v>
      </c>
      <c r="Q799" t="s">
        <v>125</v>
      </c>
      <c r="R799" t="s">
        <v>125</v>
      </c>
      <c r="S799" t="s">
        <v>125</v>
      </c>
      <c r="T799">
        <v>0</v>
      </c>
      <c r="V799" t="s">
        <v>125</v>
      </c>
      <c r="AE799" t="s">
        <v>125</v>
      </c>
      <c r="AF799">
        <v>0</v>
      </c>
      <c r="AG799" t="s">
        <v>125</v>
      </c>
      <c r="AH799">
        <v>0</v>
      </c>
      <c r="AK799">
        <v>0</v>
      </c>
    </row>
    <row r="800" spans="1:37" x14ac:dyDescent="0.25">
      <c r="A800" t="s">
        <v>79</v>
      </c>
      <c r="B800">
        <v>3</v>
      </c>
      <c r="C800">
        <v>3</v>
      </c>
      <c r="D800">
        <v>5</v>
      </c>
      <c r="E800">
        <v>11</v>
      </c>
      <c r="G800">
        <v>335</v>
      </c>
      <c r="H800" t="s">
        <v>63</v>
      </c>
      <c r="I800" t="s">
        <v>131</v>
      </c>
      <c r="J800" t="s">
        <v>151</v>
      </c>
      <c r="L800">
        <v>0</v>
      </c>
      <c r="M800" t="s">
        <v>125</v>
      </c>
      <c r="O800" t="s">
        <v>125</v>
      </c>
      <c r="P800" t="s">
        <v>125</v>
      </c>
      <c r="Q800" t="s">
        <v>125</v>
      </c>
      <c r="R800" t="s">
        <v>125</v>
      </c>
      <c r="S800" t="s">
        <v>125</v>
      </c>
      <c r="T800">
        <v>0</v>
      </c>
      <c r="V800" t="s">
        <v>125</v>
      </c>
      <c r="AE800" t="s">
        <v>125</v>
      </c>
      <c r="AF800">
        <v>0</v>
      </c>
      <c r="AG800" t="s">
        <v>125</v>
      </c>
      <c r="AH800">
        <v>0</v>
      </c>
      <c r="AK800">
        <v>0</v>
      </c>
    </row>
    <row r="801" spans="1:37" x14ac:dyDescent="0.25">
      <c r="A801" t="s">
        <v>79</v>
      </c>
      <c r="B801">
        <v>3</v>
      </c>
      <c r="C801">
        <v>3</v>
      </c>
      <c r="D801">
        <v>5</v>
      </c>
      <c r="E801">
        <v>12</v>
      </c>
      <c r="G801">
        <v>335</v>
      </c>
      <c r="H801" t="s">
        <v>63</v>
      </c>
      <c r="I801" t="s">
        <v>133</v>
      </c>
      <c r="J801" t="s">
        <v>152</v>
      </c>
      <c r="L801">
        <v>0</v>
      </c>
      <c r="M801" t="s">
        <v>125</v>
      </c>
      <c r="O801" t="s">
        <v>125</v>
      </c>
      <c r="P801" t="s">
        <v>125</v>
      </c>
      <c r="Q801" t="s">
        <v>125</v>
      </c>
      <c r="R801" t="s">
        <v>125</v>
      </c>
      <c r="S801" t="s">
        <v>125</v>
      </c>
      <c r="T801">
        <v>0</v>
      </c>
      <c r="V801" t="s">
        <v>125</v>
      </c>
      <c r="AE801" t="s">
        <v>125</v>
      </c>
      <c r="AF801">
        <v>0</v>
      </c>
      <c r="AG801" t="s">
        <v>125</v>
      </c>
      <c r="AH801">
        <v>0</v>
      </c>
      <c r="AK801">
        <v>0</v>
      </c>
    </row>
    <row r="802" spans="1:37" x14ac:dyDescent="0.25">
      <c r="A802" t="s">
        <v>79</v>
      </c>
      <c r="B802">
        <v>3</v>
      </c>
      <c r="C802">
        <v>3</v>
      </c>
      <c r="D802">
        <v>5</v>
      </c>
      <c r="E802">
        <v>13</v>
      </c>
      <c r="G802">
        <v>335</v>
      </c>
      <c r="H802" t="s">
        <v>63</v>
      </c>
      <c r="I802" t="s">
        <v>135</v>
      </c>
      <c r="J802" t="s">
        <v>153</v>
      </c>
      <c r="L802">
        <v>0</v>
      </c>
      <c r="M802" t="s">
        <v>125</v>
      </c>
      <c r="O802" t="s">
        <v>125</v>
      </c>
      <c r="P802" t="s">
        <v>125</v>
      </c>
      <c r="Q802" t="s">
        <v>125</v>
      </c>
      <c r="R802" t="s">
        <v>125</v>
      </c>
      <c r="S802" t="s">
        <v>125</v>
      </c>
      <c r="T802">
        <v>0</v>
      </c>
      <c r="V802" t="s">
        <v>125</v>
      </c>
      <c r="AE802" t="s">
        <v>125</v>
      </c>
      <c r="AF802">
        <v>0</v>
      </c>
      <c r="AG802" t="s">
        <v>125</v>
      </c>
      <c r="AH802">
        <v>0</v>
      </c>
      <c r="AK802">
        <v>0</v>
      </c>
    </row>
    <row r="803" spans="1:37" x14ac:dyDescent="0.25">
      <c r="A803" t="s">
        <v>79</v>
      </c>
      <c r="B803">
        <v>3</v>
      </c>
      <c r="C803">
        <v>3</v>
      </c>
      <c r="D803">
        <v>5</v>
      </c>
      <c r="E803">
        <v>14</v>
      </c>
      <c r="G803">
        <v>335</v>
      </c>
      <c r="H803" t="s">
        <v>63</v>
      </c>
      <c r="I803" t="s">
        <v>137</v>
      </c>
      <c r="J803" t="s">
        <v>154</v>
      </c>
      <c r="L803">
        <v>0</v>
      </c>
      <c r="M803" t="s">
        <v>125</v>
      </c>
      <c r="O803" t="s">
        <v>125</v>
      </c>
      <c r="P803" t="s">
        <v>125</v>
      </c>
      <c r="Q803" t="s">
        <v>125</v>
      </c>
      <c r="R803" t="s">
        <v>125</v>
      </c>
      <c r="S803" t="s">
        <v>125</v>
      </c>
      <c r="T803">
        <v>0</v>
      </c>
      <c r="V803" t="s">
        <v>125</v>
      </c>
      <c r="AE803" t="s">
        <v>125</v>
      </c>
      <c r="AF803">
        <v>0</v>
      </c>
      <c r="AG803" t="s">
        <v>125</v>
      </c>
      <c r="AH803">
        <v>0</v>
      </c>
      <c r="AK803">
        <v>0</v>
      </c>
    </row>
    <row r="804" spans="1:37" x14ac:dyDescent="0.25">
      <c r="A804" t="s">
        <v>79</v>
      </c>
      <c r="B804">
        <v>3</v>
      </c>
      <c r="C804">
        <v>3</v>
      </c>
      <c r="D804">
        <v>5</v>
      </c>
      <c r="E804">
        <v>15</v>
      </c>
      <c r="G804">
        <v>335</v>
      </c>
      <c r="H804" t="s">
        <v>63</v>
      </c>
      <c r="I804" t="s">
        <v>139</v>
      </c>
      <c r="J804" t="s">
        <v>155</v>
      </c>
      <c r="L804">
        <v>0</v>
      </c>
      <c r="M804" t="s">
        <v>125</v>
      </c>
      <c r="O804" t="s">
        <v>125</v>
      </c>
      <c r="P804" t="s">
        <v>125</v>
      </c>
      <c r="Q804" t="s">
        <v>125</v>
      </c>
      <c r="R804" t="s">
        <v>125</v>
      </c>
      <c r="S804" t="s">
        <v>125</v>
      </c>
      <c r="T804">
        <v>0</v>
      </c>
      <c r="V804" t="s">
        <v>125</v>
      </c>
      <c r="AE804" t="s">
        <v>125</v>
      </c>
      <c r="AF804">
        <v>0</v>
      </c>
      <c r="AG804" t="s">
        <v>125</v>
      </c>
      <c r="AH804">
        <v>0</v>
      </c>
      <c r="AK804">
        <v>0</v>
      </c>
    </row>
    <row r="805" spans="1:37" x14ac:dyDescent="0.25">
      <c r="L805">
        <v>0</v>
      </c>
    </row>
    <row r="806" spans="1:37" x14ac:dyDescent="0.25">
      <c r="L806">
        <v>0</v>
      </c>
    </row>
    <row r="807" spans="1:37" x14ac:dyDescent="0.25">
      <c r="A807" t="s">
        <v>56</v>
      </c>
      <c r="F807">
        <v>4</v>
      </c>
      <c r="L807">
        <v>4</v>
      </c>
      <c r="M807" t="s">
        <v>95</v>
      </c>
      <c r="N807" t="s">
        <v>1126</v>
      </c>
      <c r="P807" t="s">
        <v>1127</v>
      </c>
      <c r="V807" t="s">
        <v>1128</v>
      </c>
      <c r="Y807" t="s">
        <v>1129</v>
      </c>
      <c r="AA807" t="s">
        <v>1130</v>
      </c>
      <c r="AC807" t="s">
        <v>1131</v>
      </c>
      <c r="AE807" t="s">
        <v>1132</v>
      </c>
      <c r="AF807">
        <v>0</v>
      </c>
      <c r="AG807" t="s">
        <v>1133</v>
      </c>
      <c r="AH807">
        <v>0</v>
      </c>
      <c r="AK807">
        <v>0</v>
      </c>
    </row>
    <row r="808" spans="1:37" x14ac:dyDescent="0.25">
      <c r="L808">
        <v>0</v>
      </c>
    </row>
    <row r="809" spans="1:37" x14ac:dyDescent="0.25">
      <c r="A809" t="s">
        <v>66</v>
      </c>
      <c r="B809">
        <v>4</v>
      </c>
      <c r="C809">
        <v>1</v>
      </c>
      <c r="G809">
        <v>4</v>
      </c>
      <c r="H809" t="s">
        <v>1126</v>
      </c>
      <c r="I809" t="s">
        <v>1134</v>
      </c>
      <c r="M809" t="s">
        <v>1135</v>
      </c>
      <c r="N809" t="s">
        <v>1134</v>
      </c>
      <c r="P809" t="s">
        <v>1136</v>
      </c>
      <c r="V809" t="s">
        <v>1128</v>
      </c>
      <c r="Y809" t="s">
        <v>1129</v>
      </c>
      <c r="AA809" t="s">
        <v>1130</v>
      </c>
      <c r="AC809" t="s">
        <v>1131</v>
      </c>
      <c r="AE809" t="s">
        <v>1132</v>
      </c>
      <c r="AF809">
        <v>0</v>
      </c>
      <c r="AG809" t="s">
        <v>1133</v>
      </c>
      <c r="AH809">
        <v>0</v>
      </c>
      <c r="AK809">
        <v>0</v>
      </c>
    </row>
    <row r="810" spans="1:37" x14ac:dyDescent="0.25">
      <c r="L810">
        <v>0</v>
      </c>
    </row>
    <row r="811" spans="1:37" x14ac:dyDescent="0.25">
      <c r="A811" t="s">
        <v>70</v>
      </c>
      <c r="B811">
        <v>4</v>
      </c>
      <c r="C811">
        <v>1</v>
      </c>
      <c r="D811">
        <v>1</v>
      </c>
      <c r="G811">
        <v>41</v>
      </c>
      <c r="M811" t="s">
        <v>1137</v>
      </c>
      <c r="O811" t="s">
        <v>1138</v>
      </c>
      <c r="P811" t="s">
        <v>1139</v>
      </c>
      <c r="Q811" t="s">
        <v>1140</v>
      </c>
      <c r="R811" t="s">
        <v>210</v>
      </c>
      <c r="S811" t="s">
        <v>1141</v>
      </c>
      <c r="V811" t="s">
        <v>1142</v>
      </c>
      <c r="X811" t="s">
        <v>1143</v>
      </c>
      <c r="Y811" t="s">
        <v>1144</v>
      </c>
      <c r="Z811" t="s">
        <v>1145</v>
      </c>
      <c r="AA811" t="s">
        <v>1146</v>
      </c>
      <c r="AB811" t="s">
        <v>63</v>
      </c>
      <c r="AC811" t="s">
        <v>63</v>
      </c>
      <c r="AE811" t="s">
        <v>1147</v>
      </c>
      <c r="AF811">
        <v>0</v>
      </c>
      <c r="AG811" t="s">
        <v>1148</v>
      </c>
      <c r="AH811">
        <v>0</v>
      </c>
      <c r="AK811">
        <v>0</v>
      </c>
    </row>
    <row r="812" spans="1:37" x14ac:dyDescent="0.25">
      <c r="A812" t="s">
        <v>79</v>
      </c>
      <c r="B812">
        <v>4</v>
      </c>
      <c r="C812">
        <v>1</v>
      </c>
      <c r="D812">
        <v>1</v>
      </c>
      <c r="E812">
        <v>1</v>
      </c>
      <c r="G812">
        <v>411</v>
      </c>
      <c r="H812" t="s">
        <v>1138</v>
      </c>
      <c r="I812" t="s">
        <v>80</v>
      </c>
      <c r="J812" t="s">
        <v>1149</v>
      </c>
      <c r="L812">
        <v>0</v>
      </c>
      <c r="M812" t="s">
        <v>1150</v>
      </c>
      <c r="O812" t="s">
        <v>1151</v>
      </c>
      <c r="P812" t="s">
        <v>1152</v>
      </c>
      <c r="Q812" t="s">
        <v>1153</v>
      </c>
      <c r="R812" t="s">
        <v>382</v>
      </c>
      <c r="S812" t="s">
        <v>1154</v>
      </c>
      <c r="T812">
        <v>875</v>
      </c>
      <c r="U812">
        <v>650</v>
      </c>
      <c r="V812" t="s">
        <v>1155</v>
      </c>
      <c r="AE812" t="s">
        <v>1156</v>
      </c>
      <c r="AF812">
        <v>0</v>
      </c>
      <c r="AG812" t="s">
        <v>1157</v>
      </c>
      <c r="AH812">
        <v>0</v>
      </c>
      <c r="AK812">
        <v>0</v>
      </c>
    </row>
    <row r="813" spans="1:37" x14ac:dyDescent="0.25">
      <c r="A813" t="s">
        <v>79</v>
      </c>
      <c r="B813">
        <v>4</v>
      </c>
      <c r="C813">
        <v>1</v>
      </c>
      <c r="D813">
        <v>1</v>
      </c>
      <c r="E813">
        <v>2</v>
      </c>
      <c r="G813">
        <v>411</v>
      </c>
      <c r="H813" t="s">
        <v>1138</v>
      </c>
      <c r="I813" t="s">
        <v>88</v>
      </c>
      <c r="J813" t="s">
        <v>1158</v>
      </c>
      <c r="L813">
        <v>0</v>
      </c>
      <c r="M813" t="s">
        <v>1159</v>
      </c>
      <c r="O813" t="s">
        <v>1160</v>
      </c>
      <c r="P813" t="s">
        <v>1161</v>
      </c>
      <c r="Q813" t="s">
        <v>1162</v>
      </c>
      <c r="R813" t="s">
        <v>210</v>
      </c>
      <c r="S813" t="s">
        <v>1163</v>
      </c>
      <c r="T813">
        <v>875</v>
      </c>
      <c r="U813">
        <v>22</v>
      </c>
      <c r="V813" t="s">
        <v>212</v>
      </c>
      <c r="AE813" t="s">
        <v>1164</v>
      </c>
      <c r="AF813">
        <v>0</v>
      </c>
      <c r="AG813" t="s">
        <v>1165</v>
      </c>
      <c r="AH813">
        <v>0</v>
      </c>
      <c r="AK813">
        <v>0</v>
      </c>
    </row>
    <row r="814" spans="1:37" x14ac:dyDescent="0.25">
      <c r="A814" t="s">
        <v>79</v>
      </c>
      <c r="B814">
        <v>4</v>
      </c>
      <c r="C814">
        <v>1</v>
      </c>
      <c r="D814">
        <v>1</v>
      </c>
      <c r="E814">
        <v>3</v>
      </c>
      <c r="G814">
        <v>411</v>
      </c>
      <c r="H814" t="s">
        <v>1138</v>
      </c>
      <c r="I814" t="s">
        <v>95</v>
      </c>
      <c r="J814" t="s">
        <v>1166</v>
      </c>
      <c r="L814">
        <v>0</v>
      </c>
      <c r="M814" t="s">
        <v>1167</v>
      </c>
      <c r="O814" t="s">
        <v>1168</v>
      </c>
      <c r="P814" t="s">
        <v>1169</v>
      </c>
      <c r="Q814" t="s">
        <v>1170</v>
      </c>
      <c r="R814" t="s">
        <v>229</v>
      </c>
      <c r="S814" t="s">
        <v>1171</v>
      </c>
      <c r="T814">
        <v>875</v>
      </c>
      <c r="U814">
        <v>79</v>
      </c>
      <c r="V814" t="s">
        <v>1172</v>
      </c>
      <c r="AE814" t="s">
        <v>1173</v>
      </c>
      <c r="AF814">
        <v>0</v>
      </c>
      <c r="AG814" t="s">
        <v>1174</v>
      </c>
      <c r="AH814">
        <v>0</v>
      </c>
      <c r="AK814">
        <v>0</v>
      </c>
    </row>
    <row r="815" spans="1:37" x14ac:dyDescent="0.25">
      <c r="A815" t="s">
        <v>79</v>
      </c>
      <c r="B815">
        <v>4</v>
      </c>
      <c r="C815">
        <v>1</v>
      </c>
      <c r="D815">
        <v>1</v>
      </c>
      <c r="E815">
        <v>4</v>
      </c>
      <c r="G815">
        <v>411</v>
      </c>
      <c r="H815" t="s">
        <v>1138</v>
      </c>
      <c r="I815" t="s">
        <v>102</v>
      </c>
      <c r="J815" t="s">
        <v>1175</v>
      </c>
      <c r="L815">
        <v>0</v>
      </c>
      <c r="M815" t="s">
        <v>1176</v>
      </c>
      <c r="O815" t="s">
        <v>1177</v>
      </c>
      <c r="P815" t="s">
        <v>1178</v>
      </c>
      <c r="Q815" t="s">
        <v>57</v>
      </c>
      <c r="R815" t="s">
        <v>210</v>
      </c>
      <c r="S815" t="s">
        <v>1179</v>
      </c>
      <c r="T815">
        <v>875</v>
      </c>
      <c r="U815">
        <v>875</v>
      </c>
      <c r="V815" t="s">
        <v>1179</v>
      </c>
      <c r="AE815" t="s">
        <v>1180</v>
      </c>
      <c r="AF815">
        <v>0</v>
      </c>
      <c r="AG815" t="s">
        <v>1181</v>
      </c>
      <c r="AH815">
        <v>0</v>
      </c>
      <c r="AK815">
        <v>0</v>
      </c>
    </row>
    <row r="816" spans="1:37" x14ac:dyDescent="0.25">
      <c r="A816" t="s">
        <v>79</v>
      </c>
      <c r="B816">
        <v>4</v>
      </c>
      <c r="C816">
        <v>1</v>
      </c>
      <c r="D816">
        <v>1</v>
      </c>
      <c r="E816">
        <v>5</v>
      </c>
      <c r="G816">
        <v>411</v>
      </c>
      <c r="H816" t="s">
        <v>1138</v>
      </c>
      <c r="I816" t="s">
        <v>109</v>
      </c>
      <c r="J816" t="s">
        <v>1182</v>
      </c>
      <c r="L816">
        <v>0</v>
      </c>
      <c r="M816" t="s">
        <v>125</v>
      </c>
      <c r="O816" t="s">
        <v>125</v>
      </c>
      <c r="P816" t="s">
        <v>125</v>
      </c>
      <c r="Q816" t="s">
        <v>125</v>
      </c>
      <c r="R816" t="s">
        <v>125</v>
      </c>
      <c r="S816" t="s">
        <v>125</v>
      </c>
      <c r="T816">
        <v>875</v>
      </c>
      <c r="V816" t="s">
        <v>125</v>
      </c>
      <c r="AE816" t="s">
        <v>125</v>
      </c>
      <c r="AF816">
        <v>0</v>
      </c>
      <c r="AG816" t="s">
        <v>125</v>
      </c>
      <c r="AH816">
        <v>0</v>
      </c>
      <c r="AK816">
        <v>0</v>
      </c>
    </row>
    <row r="817" spans="1:37" x14ac:dyDescent="0.25">
      <c r="A817" t="s">
        <v>79</v>
      </c>
      <c r="B817">
        <v>4</v>
      </c>
      <c r="C817">
        <v>1</v>
      </c>
      <c r="D817">
        <v>1</v>
      </c>
      <c r="E817">
        <v>6</v>
      </c>
      <c r="G817">
        <v>411</v>
      </c>
      <c r="H817" t="s">
        <v>1138</v>
      </c>
      <c r="I817" t="s">
        <v>116</v>
      </c>
      <c r="J817" t="s">
        <v>1183</v>
      </c>
      <c r="L817">
        <v>0</v>
      </c>
      <c r="M817" t="s">
        <v>125</v>
      </c>
      <c r="O817" t="s">
        <v>125</v>
      </c>
      <c r="P817" t="s">
        <v>125</v>
      </c>
      <c r="Q817" t="s">
        <v>125</v>
      </c>
      <c r="R817" t="s">
        <v>125</v>
      </c>
      <c r="S817" t="s">
        <v>125</v>
      </c>
      <c r="T817">
        <v>875</v>
      </c>
      <c r="V817" t="s">
        <v>125</v>
      </c>
      <c r="AE817" t="s">
        <v>125</v>
      </c>
      <c r="AF817">
        <v>0</v>
      </c>
      <c r="AG817" t="s">
        <v>125</v>
      </c>
      <c r="AH817">
        <v>0</v>
      </c>
      <c r="AK817">
        <v>0</v>
      </c>
    </row>
    <row r="818" spans="1:37" x14ac:dyDescent="0.25">
      <c r="A818" t="s">
        <v>79</v>
      </c>
      <c r="B818">
        <v>4</v>
      </c>
      <c r="C818">
        <v>1</v>
      </c>
      <c r="D818">
        <v>1</v>
      </c>
      <c r="E818">
        <v>7</v>
      </c>
      <c r="G818">
        <v>411</v>
      </c>
      <c r="H818" t="s">
        <v>1138</v>
      </c>
      <c r="I818" t="s">
        <v>123</v>
      </c>
      <c r="J818" t="s">
        <v>1184</v>
      </c>
      <c r="L818">
        <v>0</v>
      </c>
      <c r="M818" t="s">
        <v>125</v>
      </c>
      <c r="O818" t="s">
        <v>125</v>
      </c>
      <c r="P818" t="s">
        <v>125</v>
      </c>
      <c r="Q818" t="s">
        <v>125</v>
      </c>
      <c r="R818" t="s">
        <v>125</v>
      </c>
      <c r="S818" t="s">
        <v>125</v>
      </c>
      <c r="T818">
        <v>875</v>
      </c>
      <c r="V818" t="s">
        <v>125</v>
      </c>
      <c r="AE818" t="s">
        <v>125</v>
      </c>
      <c r="AF818">
        <v>0</v>
      </c>
      <c r="AG818" t="s">
        <v>125</v>
      </c>
      <c r="AH818">
        <v>0</v>
      </c>
      <c r="AK818">
        <v>0</v>
      </c>
    </row>
    <row r="819" spans="1:37" x14ac:dyDescent="0.25">
      <c r="A819" t="s">
        <v>79</v>
      </c>
      <c r="B819">
        <v>4</v>
      </c>
      <c r="C819">
        <v>1</v>
      </c>
      <c r="D819">
        <v>1</v>
      </c>
      <c r="E819">
        <v>8</v>
      </c>
      <c r="G819">
        <v>411</v>
      </c>
      <c r="H819" t="s">
        <v>1138</v>
      </c>
      <c r="I819" t="s">
        <v>126</v>
      </c>
      <c r="J819" t="s">
        <v>1185</v>
      </c>
      <c r="L819">
        <v>0</v>
      </c>
      <c r="M819" t="s">
        <v>125</v>
      </c>
      <c r="O819" t="s">
        <v>125</v>
      </c>
      <c r="P819" t="s">
        <v>125</v>
      </c>
      <c r="Q819" t="s">
        <v>125</v>
      </c>
      <c r="R819" t="s">
        <v>125</v>
      </c>
      <c r="S819" t="s">
        <v>125</v>
      </c>
      <c r="T819">
        <v>875</v>
      </c>
      <c r="V819" t="s">
        <v>125</v>
      </c>
      <c r="AE819" t="s">
        <v>125</v>
      </c>
      <c r="AF819">
        <v>0</v>
      </c>
      <c r="AG819" t="s">
        <v>125</v>
      </c>
      <c r="AH819">
        <v>0</v>
      </c>
      <c r="AK819">
        <v>0</v>
      </c>
    </row>
    <row r="820" spans="1:37" x14ac:dyDescent="0.25">
      <c r="A820" t="s">
        <v>79</v>
      </c>
      <c r="B820">
        <v>4</v>
      </c>
      <c r="C820">
        <v>1</v>
      </c>
      <c r="D820">
        <v>1</v>
      </c>
      <c r="E820">
        <v>9</v>
      </c>
      <c r="G820">
        <v>411</v>
      </c>
      <c r="H820" t="s">
        <v>1138</v>
      </c>
      <c r="I820" t="s">
        <v>74</v>
      </c>
      <c r="J820" t="s">
        <v>1186</v>
      </c>
      <c r="L820">
        <v>0</v>
      </c>
      <c r="M820" t="s">
        <v>125</v>
      </c>
      <c r="O820" t="s">
        <v>125</v>
      </c>
      <c r="P820" t="s">
        <v>125</v>
      </c>
      <c r="Q820" t="s">
        <v>125</v>
      </c>
      <c r="R820" t="s">
        <v>125</v>
      </c>
      <c r="S820" t="s">
        <v>125</v>
      </c>
      <c r="T820">
        <v>875</v>
      </c>
      <c r="V820" t="s">
        <v>125</v>
      </c>
      <c r="AE820" t="s">
        <v>125</v>
      </c>
      <c r="AF820">
        <v>0</v>
      </c>
      <c r="AG820" t="s">
        <v>125</v>
      </c>
      <c r="AH820">
        <v>0</v>
      </c>
      <c r="AK820">
        <v>0</v>
      </c>
    </row>
    <row r="821" spans="1:37" x14ac:dyDescent="0.25">
      <c r="A821" t="s">
        <v>79</v>
      </c>
      <c r="B821">
        <v>4</v>
      </c>
      <c r="C821">
        <v>1</v>
      </c>
      <c r="D821">
        <v>1</v>
      </c>
      <c r="E821">
        <v>10</v>
      </c>
      <c r="G821">
        <v>411</v>
      </c>
      <c r="H821" t="s">
        <v>1138</v>
      </c>
      <c r="I821" t="s">
        <v>129</v>
      </c>
      <c r="J821" t="s">
        <v>1187</v>
      </c>
      <c r="L821">
        <v>0</v>
      </c>
      <c r="M821" t="s">
        <v>125</v>
      </c>
      <c r="O821" t="s">
        <v>125</v>
      </c>
      <c r="P821" t="s">
        <v>125</v>
      </c>
      <c r="Q821" t="s">
        <v>125</v>
      </c>
      <c r="R821" t="s">
        <v>125</v>
      </c>
      <c r="S821" t="s">
        <v>125</v>
      </c>
      <c r="T821">
        <v>875</v>
      </c>
      <c r="V821" t="s">
        <v>125</v>
      </c>
      <c r="AE821" t="s">
        <v>125</v>
      </c>
      <c r="AF821">
        <v>0</v>
      </c>
      <c r="AG821" t="s">
        <v>125</v>
      </c>
      <c r="AH821">
        <v>0</v>
      </c>
      <c r="AK821">
        <v>0</v>
      </c>
    </row>
    <row r="822" spans="1:37" x14ac:dyDescent="0.25">
      <c r="A822" t="s">
        <v>79</v>
      </c>
      <c r="B822">
        <v>4</v>
      </c>
      <c r="C822">
        <v>1</v>
      </c>
      <c r="D822">
        <v>1</v>
      </c>
      <c r="E822">
        <v>11</v>
      </c>
      <c r="G822">
        <v>411</v>
      </c>
      <c r="H822" t="s">
        <v>1138</v>
      </c>
      <c r="I822" t="s">
        <v>131</v>
      </c>
      <c r="J822" t="s">
        <v>1188</v>
      </c>
      <c r="L822">
        <v>0</v>
      </c>
      <c r="M822" t="s">
        <v>125</v>
      </c>
      <c r="O822" t="s">
        <v>125</v>
      </c>
      <c r="P822" t="s">
        <v>125</v>
      </c>
      <c r="Q822" t="s">
        <v>125</v>
      </c>
      <c r="R822" t="s">
        <v>125</v>
      </c>
      <c r="S822" t="s">
        <v>125</v>
      </c>
      <c r="T822">
        <v>875</v>
      </c>
      <c r="V822" t="s">
        <v>125</v>
      </c>
      <c r="AE822" t="s">
        <v>125</v>
      </c>
      <c r="AF822">
        <v>0</v>
      </c>
      <c r="AG822" t="s">
        <v>125</v>
      </c>
      <c r="AH822">
        <v>0</v>
      </c>
      <c r="AK822">
        <v>0</v>
      </c>
    </row>
    <row r="823" spans="1:37" x14ac:dyDescent="0.25">
      <c r="A823" t="s">
        <v>79</v>
      </c>
      <c r="B823">
        <v>4</v>
      </c>
      <c r="C823">
        <v>1</v>
      </c>
      <c r="D823">
        <v>1</v>
      </c>
      <c r="E823">
        <v>12</v>
      </c>
      <c r="G823">
        <v>411</v>
      </c>
      <c r="H823" t="s">
        <v>1138</v>
      </c>
      <c r="I823" t="s">
        <v>133</v>
      </c>
      <c r="J823" t="s">
        <v>1189</v>
      </c>
      <c r="L823">
        <v>0</v>
      </c>
      <c r="M823" t="s">
        <v>125</v>
      </c>
      <c r="O823" t="s">
        <v>125</v>
      </c>
      <c r="P823" t="s">
        <v>125</v>
      </c>
      <c r="Q823" t="s">
        <v>125</v>
      </c>
      <c r="R823" t="s">
        <v>125</v>
      </c>
      <c r="S823" t="s">
        <v>125</v>
      </c>
      <c r="T823">
        <v>875</v>
      </c>
      <c r="V823" t="s">
        <v>125</v>
      </c>
      <c r="AE823" t="s">
        <v>125</v>
      </c>
      <c r="AF823">
        <v>0</v>
      </c>
      <c r="AG823" t="s">
        <v>125</v>
      </c>
      <c r="AH823">
        <v>0</v>
      </c>
      <c r="AK823">
        <v>0</v>
      </c>
    </row>
    <row r="824" spans="1:37" x14ac:dyDescent="0.25">
      <c r="A824" t="s">
        <v>79</v>
      </c>
      <c r="B824">
        <v>4</v>
      </c>
      <c r="C824">
        <v>1</v>
      </c>
      <c r="D824">
        <v>1</v>
      </c>
      <c r="E824">
        <v>13</v>
      </c>
      <c r="G824">
        <v>411</v>
      </c>
      <c r="H824" t="s">
        <v>1138</v>
      </c>
      <c r="I824" t="s">
        <v>135</v>
      </c>
      <c r="J824" t="s">
        <v>1190</v>
      </c>
      <c r="L824">
        <v>0</v>
      </c>
      <c r="M824" t="s">
        <v>125</v>
      </c>
      <c r="O824" t="s">
        <v>125</v>
      </c>
      <c r="P824" t="s">
        <v>125</v>
      </c>
      <c r="Q824" t="s">
        <v>125</v>
      </c>
      <c r="R824" t="s">
        <v>125</v>
      </c>
      <c r="S824" t="s">
        <v>125</v>
      </c>
      <c r="T824">
        <v>875</v>
      </c>
      <c r="V824" t="s">
        <v>125</v>
      </c>
      <c r="AE824" t="s">
        <v>125</v>
      </c>
      <c r="AF824">
        <v>0</v>
      </c>
      <c r="AG824" t="s">
        <v>125</v>
      </c>
      <c r="AH824">
        <v>0</v>
      </c>
      <c r="AK824">
        <v>0</v>
      </c>
    </row>
    <row r="825" spans="1:37" x14ac:dyDescent="0.25">
      <c r="A825" t="s">
        <v>79</v>
      </c>
      <c r="B825">
        <v>4</v>
      </c>
      <c r="C825">
        <v>1</v>
      </c>
      <c r="D825">
        <v>1</v>
      </c>
      <c r="E825">
        <v>14</v>
      </c>
      <c r="G825">
        <v>411</v>
      </c>
      <c r="H825" t="s">
        <v>1138</v>
      </c>
      <c r="I825" t="s">
        <v>137</v>
      </c>
      <c r="J825" t="s">
        <v>1191</v>
      </c>
      <c r="L825">
        <v>0</v>
      </c>
      <c r="M825" t="s">
        <v>125</v>
      </c>
      <c r="O825" t="s">
        <v>125</v>
      </c>
      <c r="P825" t="s">
        <v>125</v>
      </c>
      <c r="Q825" t="s">
        <v>125</v>
      </c>
      <c r="R825" t="s">
        <v>125</v>
      </c>
      <c r="S825" t="s">
        <v>125</v>
      </c>
      <c r="T825">
        <v>875</v>
      </c>
      <c r="V825" t="s">
        <v>125</v>
      </c>
      <c r="AE825" t="s">
        <v>125</v>
      </c>
      <c r="AF825">
        <v>0</v>
      </c>
      <c r="AG825" t="s">
        <v>125</v>
      </c>
      <c r="AH825">
        <v>0</v>
      </c>
      <c r="AK825">
        <v>0</v>
      </c>
    </row>
    <row r="826" spans="1:37" x14ac:dyDescent="0.25">
      <c r="A826" t="s">
        <v>79</v>
      </c>
      <c r="B826">
        <v>4</v>
      </c>
      <c r="C826">
        <v>1</v>
      </c>
      <c r="D826">
        <v>1</v>
      </c>
      <c r="E826">
        <v>15</v>
      </c>
      <c r="G826">
        <v>411</v>
      </c>
      <c r="H826" t="s">
        <v>1138</v>
      </c>
      <c r="I826" t="s">
        <v>139</v>
      </c>
      <c r="J826" t="s">
        <v>1192</v>
      </c>
      <c r="L826">
        <v>0</v>
      </c>
      <c r="M826" t="s">
        <v>125</v>
      </c>
      <c r="O826" t="s">
        <v>125</v>
      </c>
      <c r="P826" t="s">
        <v>125</v>
      </c>
      <c r="Q826" t="s">
        <v>125</v>
      </c>
      <c r="R826" t="s">
        <v>125</v>
      </c>
      <c r="S826" t="s">
        <v>125</v>
      </c>
      <c r="T826">
        <v>875</v>
      </c>
      <c r="V826" t="s">
        <v>125</v>
      </c>
      <c r="AE826" t="s">
        <v>125</v>
      </c>
      <c r="AF826">
        <v>0</v>
      </c>
      <c r="AG826" t="s">
        <v>125</v>
      </c>
      <c r="AH826">
        <v>0</v>
      </c>
      <c r="AK826">
        <v>0</v>
      </c>
    </row>
    <row r="827" spans="1:37" x14ac:dyDescent="0.25">
      <c r="L827">
        <v>0</v>
      </c>
    </row>
    <row r="828" spans="1:37" x14ac:dyDescent="0.25">
      <c r="A828" t="s">
        <v>70</v>
      </c>
      <c r="B828">
        <v>4</v>
      </c>
      <c r="C828">
        <v>1</v>
      </c>
      <c r="D828">
        <v>2</v>
      </c>
      <c r="G828">
        <v>41</v>
      </c>
      <c r="M828" t="s">
        <v>1193</v>
      </c>
      <c r="O828" t="s">
        <v>1194</v>
      </c>
      <c r="P828" t="s">
        <v>1195</v>
      </c>
      <c r="Q828" t="s">
        <v>1196</v>
      </c>
      <c r="R828" t="s">
        <v>179</v>
      </c>
      <c r="S828" t="s">
        <v>1197</v>
      </c>
      <c r="V828" t="s">
        <v>1198</v>
      </c>
      <c r="X828" t="s">
        <v>1199</v>
      </c>
      <c r="Y828" t="s">
        <v>1200</v>
      </c>
      <c r="Z828" t="s">
        <v>1201</v>
      </c>
      <c r="AA828" t="s">
        <v>1202</v>
      </c>
      <c r="AB828" t="s">
        <v>1203</v>
      </c>
      <c r="AC828" t="s">
        <v>1204</v>
      </c>
      <c r="AE828" t="s">
        <v>1205</v>
      </c>
      <c r="AF828">
        <v>0</v>
      </c>
      <c r="AG828" t="s">
        <v>1206</v>
      </c>
      <c r="AH828">
        <v>0</v>
      </c>
      <c r="AK828">
        <v>0</v>
      </c>
    </row>
    <row r="829" spans="1:37" x14ac:dyDescent="0.25">
      <c r="A829" t="s">
        <v>79</v>
      </c>
      <c r="B829">
        <v>4</v>
      </c>
      <c r="C829">
        <v>1</v>
      </c>
      <c r="D829">
        <v>2</v>
      </c>
      <c r="E829">
        <v>1</v>
      </c>
      <c r="G829">
        <v>412</v>
      </c>
      <c r="H829" t="s">
        <v>1194</v>
      </c>
      <c r="I829" t="s">
        <v>80</v>
      </c>
      <c r="J829" t="s">
        <v>1207</v>
      </c>
      <c r="L829">
        <v>0</v>
      </c>
      <c r="M829" t="s">
        <v>1208</v>
      </c>
      <c r="O829" t="s">
        <v>1209</v>
      </c>
      <c r="P829" t="s">
        <v>1210</v>
      </c>
      <c r="Q829" t="s">
        <v>1211</v>
      </c>
      <c r="R829" t="s">
        <v>179</v>
      </c>
      <c r="S829" t="s">
        <v>1212</v>
      </c>
      <c r="T829">
        <v>35</v>
      </c>
      <c r="U829">
        <v>4</v>
      </c>
      <c r="V829" t="s">
        <v>1213</v>
      </c>
      <c r="AE829" t="s">
        <v>1214</v>
      </c>
      <c r="AF829">
        <v>0</v>
      </c>
      <c r="AG829" t="s">
        <v>1215</v>
      </c>
      <c r="AH829">
        <v>0</v>
      </c>
      <c r="AK829">
        <v>0</v>
      </c>
    </row>
    <row r="830" spans="1:37" x14ac:dyDescent="0.25">
      <c r="A830" t="s">
        <v>79</v>
      </c>
      <c r="B830">
        <v>4</v>
      </c>
      <c r="C830">
        <v>1</v>
      </c>
      <c r="D830">
        <v>2</v>
      </c>
      <c r="E830">
        <v>2</v>
      </c>
      <c r="G830">
        <v>412</v>
      </c>
      <c r="H830" t="s">
        <v>1194</v>
      </c>
      <c r="I830" t="s">
        <v>88</v>
      </c>
      <c r="J830" t="s">
        <v>1216</v>
      </c>
      <c r="L830">
        <v>0</v>
      </c>
      <c r="M830" t="s">
        <v>1217</v>
      </c>
      <c r="O830" t="s">
        <v>1218</v>
      </c>
      <c r="P830" t="s">
        <v>1219</v>
      </c>
      <c r="Q830" t="s">
        <v>1220</v>
      </c>
      <c r="R830" t="s">
        <v>1221</v>
      </c>
      <c r="S830" t="s">
        <v>1222</v>
      </c>
      <c r="T830">
        <v>35</v>
      </c>
      <c r="U830">
        <v>0</v>
      </c>
      <c r="V830" t="s">
        <v>1063</v>
      </c>
      <c r="AE830" t="s">
        <v>1223</v>
      </c>
      <c r="AF830">
        <v>0</v>
      </c>
      <c r="AG830" t="s">
        <v>1224</v>
      </c>
      <c r="AH830">
        <v>0</v>
      </c>
      <c r="AK830">
        <v>0</v>
      </c>
    </row>
    <row r="831" spans="1:37" x14ac:dyDescent="0.25">
      <c r="A831" t="s">
        <v>79</v>
      </c>
      <c r="B831">
        <v>4</v>
      </c>
      <c r="C831">
        <v>1</v>
      </c>
      <c r="D831">
        <v>2</v>
      </c>
      <c r="E831">
        <v>3</v>
      </c>
      <c r="G831">
        <v>412</v>
      </c>
      <c r="H831" t="s">
        <v>1194</v>
      </c>
      <c r="I831" t="s">
        <v>95</v>
      </c>
      <c r="J831" t="s">
        <v>1225</v>
      </c>
      <c r="L831">
        <v>0</v>
      </c>
      <c r="M831" t="s">
        <v>1226</v>
      </c>
      <c r="O831" t="s">
        <v>1227</v>
      </c>
      <c r="P831" t="s">
        <v>1228</v>
      </c>
      <c r="Q831" t="s">
        <v>1095</v>
      </c>
      <c r="R831" t="s">
        <v>192</v>
      </c>
      <c r="S831" t="s">
        <v>1229</v>
      </c>
      <c r="T831">
        <v>35</v>
      </c>
      <c r="U831">
        <v>15</v>
      </c>
      <c r="V831" t="s">
        <v>1230</v>
      </c>
      <c r="AE831" t="s">
        <v>1231</v>
      </c>
      <c r="AF831">
        <v>0</v>
      </c>
      <c r="AG831" t="s">
        <v>1232</v>
      </c>
      <c r="AH831">
        <v>0</v>
      </c>
      <c r="AK831">
        <v>0</v>
      </c>
    </row>
    <row r="832" spans="1:37" x14ac:dyDescent="0.25">
      <c r="A832" t="s">
        <v>79</v>
      </c>
      <c r="B832">
        <v>4</v>
      </c>
      <c r="C832">
        <v>1</v>
      </c>
      <c r="D832">
        <v>2</v>
      </c>
      <c r="E832">
        <v>4</v>
      </c>
      <c r="G832">
        <v>412</v>
      </c>
      <c r="H832" t="s">
        <v>1194</v>
      </c>
      <c r="I832" t="s">
        <v>102</v>
      </c>
      <c r="J832" t="s">
        <v>1233</v>
      </c>
      <c r="L832">
        <v>0</v>
      </c>
      <c r="M832" t="s">
        <v>1234</v>
      </c>
      <c r="O832" t="s">
        <v>1235</v>
      </c>
      <c r="P832" t="s">
        <v>1236</v>
      </c>
      <c r="Q832" t="s">
        <v>1052</v>
      </c>
      <c r="R832" t="s">
        <v>210</v>
      </c>
      <c r="S832" t="s">
        <v>1237</v>
      </c>
      <c r="T832">
        <v>35</v>
      </c>
      <c r="U832">
        <v>0</v>
      </c>
      <c r="V832" t="s">
        <v>1238</v>
      </c>
      <c r="AE832" t="s">
        <v>1239</v>
      </c>
      <c r="AF832">
        <v>0</v>
      </c>
      <c r="AG832" t="s">
        <v>1240</v>
      </c>
      <c r="AH832">
        <v>0</v>
      </c>
      <c r="AK832">
        <v>0</v>
      </c>
    </row>
    <row r="833" spans="1:37" x14ac:dyDescent="0.25">
      <c r="A833" t="s">
        <v>79</v>
      </c>
      <c r="B833">
        <v>4</v>
      </c>
      <c r="C833">
        <v>1</v>
      </c>
      <c r="D833">
        <v>2</v>
      </c>
      <c r="E833">
        <v>5</v>
      </c>
      <c r="G833">
        <v>412</v>
      </c>
      <c r="H833" t="s">
        <v>1194</v>
      </c>
      <c r="I833" t="s">
        <v>109</v>
      </c>
      <c r="J833" t="s">
        <v>1241</v>
      </c>
      <c r="L833">
        <v>0</v>
      </c>
      <c r="M833" t="s">
        <v>1242</v>
      </c>
      <c r="O833" t="s">
        <v>1243</v>
      </c>
      <c r="P833" t="s">
        <v>1244</v>
      </c>
      <c r="Q833" t="s">
        <v>1245</v>
      </c>
      <c r="R833" t="s">
        <v>1246</v>
      </c>
      <c r="S833" t="s">
        <v>1247</v>
      </c>
      <c r="T833">
        <v>35</v>
      </c>
      <c r="U833">
        <v>4</v>
      </c>
      <c r="V833" t="s">
        <v>1248</v>
      </c>
      <c r="AE833" t="s">
        <v>1249</v>
      </c>
      <c r="AF833">
        <v>0</v>
      </c>
      <c r="AG833" t="s">
        <v>1250</v>
      </c>
      <c r="AH833">
        <v>0</v>
      </c>
      <c r="AK833">
        <v>0</v>
      </c>
    </row>
    <row r="834" spans="1:37" x14ac:dyDescent="0.25">
      <c r="A834" t="s">
        <v>79</v>
      </c>
      <c r="B834">
        <v>4</v>
      </c>
      <c r="C834">
        <v>1</v>
      </c>
      <c r="D834">
        <v>2</v>
      </c>
      <c r="E834">
        <v>6</v>
      </c>
      <c r="G834">
        <v>412</v>
      </c>
      <c r="H834" t="s">
        <v>1194</v>
      </c>
      <c r="I834" t="s">
        <v>116</v>
      </c>
      <c r="J834" t="s">
        <v>1251</v>
      </c>
      <c r="L834">
        <v>0</v>
      </c>
      <c r="M834" t="s">
        <v>1252</v>
      </c>
      <c r="O834" t="s">
        <v>1253</v>
      </c>
      <c r="P834" t="s">
        <v>1254</v>
      </c>
      <c r="Q834" t="s">
        <v>1255</v>
      </c>
      <c r="R834" t="s">
        <v>1246</v>
      </c>
      <c r="S834" t="s">
        <v>486</v>
      </c>
      <c r="T834">
        <v>35</v>
      </c>
      <c r="U834">
        <v>5</v>
      </c>
      <c r="V834" t="s">
        <v>1256</v>
      </c>
      <c r="AE834" t="s">
        <v>1257</v>
      </c>
      <c r="AF834">
        <v>0</v>
      </c>
      <c r="AG834" t="s">
        <v>1258</v>
      </c>
      <c r="AH834">
        <v>0</v>
      </c>
      <c r="AK834">
        <v>0</v>
      </c>
    </row>
    <row r="835" spans="1:37" x14ac:dyDescent="0.25">
      <c r="A835" t="s">
        <v>79</v>
      </c>
      <c r="B835">
        <v>4</v>
      </c>
      <c r="C835">
        <v>1</v>
      </c>
      <c r="D835">
        <v>2</v>
      </c>
      <c r="E835">
        <v>7</v>
      </c>
      <c r="G835">
        <v>412</v>
      </c>
      <c r="H835" t="s">
        <v>1194</v>
      </c>
      <c r="I835" t="s">
        <v>123</v>
      </c>
      <c r="J835" t="s">
        <v>1259</v>
      </c>
      <c r="L835">
        <v>0</v>
      </c>
      <c r="M835" t="s">
        <v>1260</v>
      </c>
      <c r="O835" t="s">
        <v>1261</v>
      </c>
      <c r="P835" t="s">
        <v>1262</v>
      </c>
      <c r="Q835" t="s">
        <v>1263</v>
      </c>
      <c r="R835" t="s">
        <v>75</v>
      </c>
      <c r="S835" t="s">
        <v>1264</v>
      </c>
      <c r="T835">
        <v>35</v>
      </c>
      <c r="U835">
        <v>9</v>
      </c>
      <c r="V835" t="s">
        <v>1265</v>
      </c>
      <c r="AE835" t="s">
        <v>1266</v>
      </c>
      <c r="AF835">
        <v>0</v>
      </c>
      <c r="AG835" t="s">
        <v>1267</v>
      </c>
      <c r="AH835">
        <v>0</v>
      </c>
      <c r="AK835">
        <v>0</v>
      </c>
    </row>
    <row r="836" spans="1:37" x14ac:dyDescent="0.25">
      <c r="A836" t="s">
        <v>79</v>
      </c>
      <c r="B836">
        <v>4</v>
      </c>
      <c r="C836">
        <v>1</v>
      </c>
      <c r="D836">
        <v>2</v>
      </c>
      <c r="E836">
        <v>8</v>
      </c>
      <c r="G836">
        <v>412</v>
      </c>
      <c r="H836" t="s">
        <v>1194</v>
      </c>
      <c r="I836" t="s">
        <v>126</v>
      </c>
      <c r="J836" t="s">
        <v>1268</v>
      </c>
      <c r="L836">
        <v>0</v>
      </c>
      <c r="M836" t="s">
        <v>1269</v>
      </c>
      <c r="O836" t="s">
        <v>226</v>
      </c>
      <c r="P836" t="s">
        <v>227</v>
      </c>
      <c r="Q836" t="s">
        <v>1270</v>
      </c>
      <c r="R836" t="s">
        <v>229</v>
      </c>
      <c r="S836" t="s">
        <v>230</v>
      </c>
      <c r="T836">
        <v>35</v>
      </c>
      <c r="U836">
        <v>0</v>
      </c>
      <c r="V836" t="s">
        <v>1271</v>
      </c>
      <c r="AE836" t="s">
        <v>1272</v>
      </c>
      <c r="AF836">
        <v>0</v>
      </c>
      <c r="AG836" t="s">
        <v>1273</v>
      </c>
      <c r="AH836">
        <v>0</v>
      </c>
      <c r="AK836">
        <v>0</v>
      </c>
    </row>
    <row r="837" spans="1:37" x14ac:dyDescent="0.25">
      <c r="A837" t="s">
        <v>79</v>
      </c>
      <c r="B837">
        <v>4</v>
      </c>
      <c r="C837">
        <v>1</v>
      </c>
      <c r="D837">
        <v>2</v>
      </c>
      <c r="E837">
        <v>9</v>
      </c>
      <c r="G837">
        <v>412</v>
      </c>
      <c r="H837" t="s">
        <v>1194</v>
      </c>
      <c r="I837" t="s">
        <v>74</v>
      </c>
      <c r="J837" t="s">
        <v>1274</v>
      </c>
      <c r="L837">
        <v>0</v>
      </c>
      <c r="M837" t="s">
        <v>1275</v>
      </c>
      <c r="O837" t="s">
        <v>236</v>
      </c>
      <c r="P837" t="s">
        <v>237</v>
      </c>
      <c r="Q837" t="s">
        <v>1276</v>
      </c>
      <c r="R837" t="s">
        <v>229</v>
      </c>
      <c r="S837" t="s">
        <v>239</v>
      </c>
      <c r="T837">
        <v>35</v>
      </c>
      <c r="U837">
        <v>23</v>
      </c>
      <c r="V837" t="s">
        <v>1277</v>
      </c>
      <c r="AE837" t="s">
        <v>1278</v>
      </c>
      <c r="AF837">
        <v>0</v>
      </c>
      <c r="AG837" t="s">
        <v>1279</v>
      </c>
      <c r="AH837">
        <v>0</v>
      </c>
      <c r="AK837">
        <v>0</v>
      </c>
    </row>
    <row r="838" spans="1:37" x14ac:dyDescent="0.25">
      <c r="A838" t="s">
        <v>79</v>
      </c>
      <c r="B838">
        <v>4</v>
      </c>
      <c r="C838">
        <v>1</v>
      </c>
      <c r="D838">
        <v>2</v>
      </c>
      <c r="E838">
        <v>10</v>
      </c>
      <c r="G838">
        <v>412</v>
      </c>
      <c r="H838" t="s">
        <v>1194</v>
      </c>
      <c r="I838" t="s">
        <v>129</v>
      </c>
      <c r="J838" t="s">
        <v>1280</v>
      </c>
      <c r="L838">
        <v>0</v>
      </c>
      <c r="M838" t="s">
        <v>1281</v>
      </c>
      <c r="O838" t="s">
        <v>245</v>
      </c>
      <c r="P838" t="s">
        <v>246</v>
      </c>
      <c r="Q838" t="s">
        <v>1282</v>
      </c>
      <c r="R838" t="s">
        <v>248</v>
      </c>
      <c r="S838" t="s">
        <v>249</v>
      </c>
      <c r="T838">
        <v>35</v>
      </c>
      <c r="U838">
        <v>0</v>
      </c>
      <c r="V838" t="s">
        <v>1283</v>
      </c>
      <c r="AE838" t="s">
        <v>1284</v>
      </c>
      <c r="AF838">
        <v>0</v>
      </c>
      <c r="AG838" t="s">
        <v>1285</v>
      </c>
      <c r="AH838">
        <v>0</v>
      </c>
      <c r="AK838">
        <v>0</v>
      </c>
    </row>
    <row r="839" spans="1:37" x14ac:dyDescent="0.25">
      <c r="A839" t="s">
        <v>79</v>
      </c>
      <c r="B839">
        <v>4</v>
      </c>
      <c r="C839">
        <v>1</v>
      </c>
      <c r="D839">
        <v>2</v>
      </c>
      <c r="E839">
        <v>11</v>
      </c>
      <c r="G839">
        <v>412</v>
      </c>
      <c r="H839" t="s">
        <v>1194</v>
      </c>
      <c r="I839" t="s">
        <v>131</v>
      </c>
      <c r="J839" t="s">
        <v>1286</v>
      </c>
      <c r="L839">
        <v>0</v>
      </c>
      <c r="M839" t="s">
        <v>1287</v>
      </c>
      <c r="O839" t="s">
        <v>255</v>
      </c>
      <c r="P839" t="s">
        <v>256</v>
      </c>
      <c r="Q839" t="s">
        <v>1288</v>
      </c>
      <c r="R839" t="s">
        <v>258</v>
      </c>
      <c r="S839" t="s">
        <v>259</v>
      </c>
      <c r="T839">
        <v>35</v>
      </c>
      <c r="U839">
        <v>0</v>
      </c>
      <c r="V839" t="s">
        <v>313</v>
      </c>
      <c r="AE839" t="s">
        <v>1289</v>
      </c>
      <c r="AF839">
        <v>0</v>
      </c>
      <c r="AG839" t="s">
        <v>1290</v>
      </c>
      <c r="AH839">
        <v>0</v>
      </c>
      <c r="AK839">
        <v>0</v>
      </c>
    </row>
    <row r="840" spans="1:37" x14ac:dyDescent="0.25">
      <c r="A840" t="s">
        <v>79</v>
      </c>
      <c r="B840">
        <v>4</v>
      </c>
      <c r="C840">
        <v>1</v>
      </c>
      <c r="D840">
        <v>2</v>
      </c>
      <c r="E840">
        <v>12</v>
      </c>
      <c r="G840">
        <v>412</v>
      </c>
      <c r="H840" t="s">
        <v>1194</v>
      </c>
      <c r="I840" t="s">
        <v>133</v>
      </c>
      <c r="J840" t="s">
        <v>1291</v>
      </c>
      <c r="L840">
        <v>0</v>
      </c>
      <c r="M840" t="s">
        <v>125</v>
      </c>
      <c r="O840" t="s">
        <v>125</v>
      </c>
      <c r="P840" t="s">
        <v>125</v>
      </c>
      <c r="Q840" t="s">
        <v>125</v>
      </c>
      <c r="R840" t="s">
        <v>125</v>
      </c>
      <c r="S840" t="s">
        <v>125</v>
      </c>
      <c r="T840">
        <v>35</v>
      </c>
      <c r="V840" t="s">
        <v>125</v>
      </c>
      <c r="AE840" t="s">
        <v>125</v>
      </c>
      <c r="AF840">
        <v>0</v>
      </c>
      <c r="AG840" t="s">
        <v>125</v>
      </c>
      <c r="AH840">
        <v>0</v>
      </c>
      <c r="AK840">
        <v>0</v>
      </c>
    </row>
    <row r="841" spans="1:37" x14ac:dyDescent="0.25">
      <c r="A841" t="s">
        <v>79</v>
      </c>
      <c r="B841">
        <v>4</v>
      </c>
      <c r="C841">
        <v>1</v>
      </c>
      <c r="D841">
        <v>2</v>
      </c>
      <c r="E841">
        <v>13</v>
      </c>
      <c r="G841">
        <v>412</v>
      </c>
      <c r="H841" t="s">
        <v>1194</v>
      </c>
      <c r="I841" t="s">
        <v>135</v>
      </c>
      <c r="J841" t="s">
        <v>1292</v>
      </c>
      <c r="L841">
        <v>0</v>
      </c>
      <c r="M841" t="s">
        <v>125</v>
      </c>
      <c r="O841" t="s">
        <v>125</v>
      </c>
      <c r="P841" t="s">
        <v>125</v>
      </c>
      <c r="Q841" t="s">
        <v>125</v>
      </c>
      <c r="R841" t="s">
        <v>125</v>
      </c>
      <c r="S841" t="s">
        <v>125</v>
      </c>
      <c r="T841">
        <v>35</v>
      </c>
      <c r="V841" t="s">
        <v>125</v>
      </c>
      <c r="AE841" t="s">
        <v>125</v>
      </c>
      <c r="AF841">
        <v>0</v>
      </c>
      <c r="AG841" t="s">
        <v>125</v>
      </c>
      <c r="AH841">
        <v>0</v>
      </c>
      <c r="AK841">
        <v>0</v>
      </c>
    </row>
    <row r="842" spans="1:37" x14ac:dyDescent="0.25">
      <c r="A842" t="s">
        <v>79</v>
      </c>
      <c r="B842">
        <v>4</v>
      </c>
      <c r="C842">
        <v>1</v>
      </c>
      <c r="D842">
        <v>2</v>
      </c>
      <c r="E842">
        <v>14</v>
      </c>
      <c r="G842">
        <v>412</v>
      </c>
      <c r="H842" t="s">
        <v>1194</v>
      </c>
      <c r="I842" t="s">
        <v>137</v>
      </c>
      <c r="J842" t="s">
        <v>1293</v>
      </c>
      <c r="L842">
        <v>0</v>
      </c>
      <c r="M842" t="s">
        <v>125</v>
      </c>
      <c r="O842" t="s">
        <v>125</v>
      </c>
      <c r="P842" t="s">
        <v>125</v>
      </c>
      <c r="Q842" t="s">
        <v>125</v>
      </c>
      <c r="R842" t="s">
        <v>125</v>
      </c>
      <c r="S842" t="s">
        <v>125</v>
      </c>
      <c r="T842">
        <v>35</v>
      </c>
      <c r="V842" t="s">
        <v>125</v>
      </c>
      <c r="AE842" t="s">
        <v>125</v>
      </c>
      <c r="AF842">
        <v>0</v>
      </c>
      <c r="AG842" t="s">
        <v>125</v>
      </c>
      <c r="AH842">
        <v>0</v>
      </c>
      <c r="AK842">
        <v>0</v>
      </c>
    </row>
    <row r="843" spans="1:37" x14ac:dyDescent="0.25">
      <c r="A843" t="s">
        <v>79</v>
      </c>
      <c r="B843">
        <v>4</v>
      </c>
      <c r="C843">
        <v>1</v>
      </c>
      <c r="D843">
        <v>2</v>
      </c>
      <c r="E843">
        <v>15</v>
      </c>
      <c r="G843">
        <v>412</v>
      </c>
      <c r="H843" t="s">
        <v>1194</v>
      </c>
      <c r="I843" t="s">
        <v>139</v>
      </c>
      <c r="J843" t="s">
        <v>1294</v>
      </c>
      <c r="L843">
        <v>0</v>
      </c>
      <c r="M843" t="s">
        <v>125</v>
      </c>
      <c r="O843" t="s">
        <v>125</v>
      </c>
      <c r="P843" t="s">
        <v>125</v>
      </c>
      <c r="Q843" t="s">
        <v>125</v>
      </c>
      <c r="R843" t="s">
        <v>125</v>
      </c>
      <c r="S843" t="s">
        <v>125</v>
      </c>
      <c r="T843">
        <v>35</v>
      </c>
      <c r="V843" t="s">
        <v>125</v>
      </c>
      <c r="AE843" t="s">
        <v>125</v>
      </c>
      <c r="AF843">
        <v>0</v>
      </c>
      <c r="AG843" t="s">
        <v>125</v>
      </c>
      <c r="AH843">
        <v>0</v>
      </c>
      <c r="AK843">
        <v>0</v>
      </c>
    </row>
    <row r="844" spans="1:37" x14ac:dyDescent="0.25">
      <c r="L844">
        <v>0</v>
      </c>
    </row>
    <row r="845" spans="1:37" x14ac:dyDescent="0.25">
      <c r="A845" t="s">
        <v>70</v>
      </c>
      <c r="B845">
        <v>4</v>
      </c>
      <c r="C845">
        <v>1</v>
      </c>
      <c r="D845">
        <v>3</v>
      </c>
      <c r="G845">
        <v>41</v>
      </c>
      <c r="M845" t="s">
        <v>1295</v>
      </c>
      <c r="O845" t="s">
        <v>1296</v>
      </c>
      <c r="P845" t="s">
        <v>1297</v>
      </c>
      <c r="Q845" t="s">
        <v>1298</v>
      </c>
      <c r="R845" t="s">
        <v>268</v>
      </c>
      <c r="S845" t="s">
        <v>1299</v>
      </c>
      <c r="V845" t="s">
        <v>1300</v>
      </c>
      <c r="X845" t="s">
        <v>1301</v>
      </c>
      <c r="Y845" t="s">
        <v>1302</v>
      </c>
      <c r="Z845" t="s">
        <v>1303</v>
      </c>
      <c r="AA845" t="s">
        <v>1304</v>
      </c>
      <c r="AB845" t="s">
        <v>250</v>
      </c>
      <c r="AC845" t="s">
        <v>1305</v>
      </c>
      <c r="AE845" t="s">
        <v>1306</v>
      </c>
      <c r="AF845">
        <v>0</v>
      </c>
      <c r="AG845" t="s">
        <v>1307</v>
      </c>
      <c r="AH845">
        <v>0</v>
      </c>
      <c r="AK845">
        <v>0</v>
      </c>
    </row>
    <row r="846" spans="1:37" x14ac:dyDescent="0.25">
      <c r="A846" t="s">
        <v>79</v>
      </c>
      <c r="B846">
        <v>4</v>
      </c>
      <c r="C846">
        <v>1</v>
      </c>
      <c r="D846">
        <v>3</v>
      </c>
      <c r="E846">
        <v>1</v>
      </c>
      <c r="G846">
        <v>413</v>
      </c>
      <c r="H846" t="s">
        <v>1296</v>
      </c>
      <c r="I846" t="s">
        <v>80</v>
      </c>
      <c r="J846" t="s">
        <v>1308</v>
      </c>
      <c r="L846">
        <v>0</v>
      </c>
      <c r="M846" t="s">
        <v>1309</v>
      </c>
      <c r="O846" t="s">
        <v>1310</v>
      </c>
      <c r="P846" t="s">
        <v>1311</v>
      </c>
      <c r="Q846" t="s">
        <v>1312</v>
      </c>
      <c r="R846" t="s">
        <v>268</v>
      </c>
      <c r="S846" t="s">
        <v>1313</v>
      </c>
      <c r="T846">
        <v>9</v>
      </c>
      <c r="U846">
        <v>10</v>
      </c>
      <c r="V846" t="s">
        <v>1314</v>
      </c>
      <c r="AE846" t="s">
        <v>1315</v>
      </c>
      <c r="AF846">
        <v>0</v>
      </c>
      <c r="AG846" t="s">
        <v>1316</v>
      </c>
      <c r="AH846">
        <v>0</v>
      </c>
      <c r="AK846">
        <v>0</v>
      </c>
    </row>
    <row r="847" spans="1:37" x14ac:dyDescent="0.25">
      <c r="A847" t="s">
        <v>79</v>
      </c>
      <c r="B847">
        <v>4</v>
      </c>
      <c r="C847">
        <v>1</v>
      </c>
      <c r="D847">
        <v>3</v>
      </c>
      <c r="E847">
        <v>2</v>
      </c>
      <c r="G847">
        <v>413</v>
      </c>
      <c r="H847" t="s">
        <v>1296</v>
      </c>
      <c r="I847" t="s">
        <v>88</v>
      </c>
      <c r="J847" t="s">
        <v>1317</v>
      </c>
      <c r="L847">
        <v>0</v>
      </c>
      <c r="M847" t="s">
        <v>1318</v>
      </c>
      <c r="O847" t="s">
        <v>1319</v>
      </c>
      <c r="P847" t="s">
        <v>1320</v>
      </c>
      <c r="Q847" t="s">
        <v>1321</v>
      </c>
      <c r="R847" t="s">
        <v>229</v>
      </c>
      <c r="S847" t="s">
        <v>1322</v>
      </c>
      <c r="T847">
        <v>9</v>
      </c>
      <c r="U847">
        <v>9</v>
      </c>
      <c r="V847" t="s">
        <v>1323</v>
      </c>
      <c r="AE847" t="s">
        <v>1324</v>
      </c>
      <c r="AF847">
        <v>0</v>
      </c>
      <c r="AG847" t="s">
        <v>1325</v>
      </c>
      <c r="AH847">
        <v>0</v>
      </c>
      <c r="AK847">
        <v>0</v>
      </c>
    </row>
    <row r="848" spans="1:37" x14ac:dyDescent="0.25">
      <c r="A848" t="s">
        <v>79</v>
      </c>
      <c r="B848">
        <v>4</v>
      </c>
      <c r="C848">
        <v>1</v>
      </c>
      <c r="D848">
        <v>3</v>
      </c>
      <c r="E848">
        <v>3</v>
      </c>
      <c r="G848">
        <v>413</v>
      </c>
      <c r="H848" t="s">
        <v>1296</v>
      </c>
      <c r="I848" t="s">
        <v>95</v>
      </c>
      <c r="J848" t="s">
        <v>1326</v>
      </c>
      <c r="L848">
        <v>0</v>
      </c>
      <c r="M848" t="s">
        <v>1327</v>
      </c>
      <c r="O848" t="s">
        <v>1328</v>
      </c>
      <c r="P848" t="s">
        <v>1329</v>
      </c>
      <c r="Q848" t="s">
        <v>1330</v>
      </c>
      <c r="R848" t="s">
        <v>248</v>
      </c>
      <c r="S848" t="s">
        <v>1331</v>
      </c>
      <c r="T848">
        <v>9</v>
      </c>
      <c r="U848">
        <v>1</v>
      </c>
      <c r="V848" t="s">
        <v>250</v>
      </c>
      <c r="AE848" t="s">
        <v>1332</v>
      </c>
      <c r="AF848">
        <v>0</v>
      </c>
      <c r="AG848" t="s">
        <v>1333</v>
      </c>
      <c r="AH848">
        <v>0</v>
      </c>
      <c r="AK848">
        <v>0</v>
      </c>
    </row>
    <row r="849" spans="1:37" x14ac:dyDescent="0.25">
      <c r="A849" t="s">
        <v>79</v>
      </c>
      <c r="B849">
        <v>4</v>
      </c>
      <c r="C849">
        <v>1</v>
      </c>
      <c r="D849">
        <v>3</v>
      </c>
      <c r="E849">
        <v>4</v>
      </c>
      <c r="G849">
        <v>413</v>
      </c>
      <c r="H849" t="s">
        <v>1296</v>
      </c>
      <c r="I849" t="s">
        <v>102</v>
      </c>
      <c r="J849" t="s">
        <v>1334</v>
      </c>
      <c r="L849">
        <v>0</v>
      </c>
      <c r="M849" t="s">
        <v>1335</v>
      </c>
      <c r="O849" t="s">
        <v>1336</v>
      </c>
      <c r="P849" t="s">
        <v>1337</v>
      </c>
      <c r="Q849" t="s">
        <v>1338</v>
      </c>
      <c r="R849" t="s">
        <v>258</v>
      </c>
      <c r="S849" t="s">
        <v>1339</v>
      </c>
      <c r="T849">
        <v>9</v>
      </c>
      <c r="U849">
        <v>1</v>
      </c>
      <c r="V849" t="s">
        <v>1340</v>
      </c>
      <c r="AE849" t="s">
        <v>1341</v>
      </c>
      <c r="AF849">
        <v>0</v>
      </c>
      <c r="AG849" t="s">
        <v>1342</v>
      </c>
      <c r="AH849">
        <v>0</v>
      </c>
      <c r="AK849">
        <v>0</v>
      </c>
    </row>
    <row r="850" spans="1:37" x14ac:dyDescent="0.25">
      <c r="A850" t="s">
        <v>79</v>
      </c>
      <c r="B850">
        <v>4</v>
      </c>
      <c r="C850">
        <v>1</v>
      </c>
      <c r="D850">
        <v>3</v>
      </c>
      <c r="E850">
        <v>5</v>
      </c>
      <c r="G850">
        <v>413</v>
      </c>
      <c r="H850" t="s">
        <v>1296</v>
      </c>
      <c r="I850" t="s">
        <v>109</v>
      </c>
      <c r="J850" t="s">
        <v>1343</v>
      </c>
      <c r="L850">
        <v>0</v>
      </c>
      <c r="M850" t="s">
        <v>125</v>
      </c>
      <c r="O850" t="s">
        <v>125</v>
      </c>
      <c r="P850" t="s">
        <v>125</v>
      </c>
      <c r="Q850" t="s">
        <v>125</v>
      </c>
      <c r="R850" t="s">
        <v>125</v>
      </c>
      <c r="S850" t="s">
        <v>125</v>
      </c>
      <c r="T850">
        <v>9</v>
      </c>
      <c r="V850" t="s">
        <v>125</v>
      </c>
      <c r="AE850" t="s">
        <v>125</v>
      </c>
      <c r="AF850">
        <v>0</v>
      </c>
      <c r="AG850" t="s">
        <v>125</v>
      </c>
      <c r="AH850">
        <v>0</v>
      </c>
      <c r="AK850">
        <v>0</v>
      </c>
    </row>
    <row r="851" spans="1:37" x14ac:dyDescent="0.25">
      <c r="A851" t="s">
        <v>79</v>
      </c>
      <c r="B851">
        <v>4</v>
      </c>
      <c r="C851">
        <v>1</v>
      </c>
      <c r="D851">
        <v>3</v>
      </c>
      <c r="E851">
        <v>6</v>
      </c>
      <c r="G851">
        <v>413</v>
      </c>
      <c r="H851" t="s">
        <v>1296</v>
      </c>
      <c r="I851" t="s">
        <v>116</v>
      </c>
      <c r="J851" t="s">
        <v>1344</v>
      </c>
      <c r="L851">
        <v>0</v>
      </c>
      <c r="M851" t="s">
        <v>125</v>
      </c>
      <c r="O851" t="s">
        <v>125</v>
      </c>
      <c r="P851" t="s">
        <v>125</v>
      </c>
      <c r="Q851" t="s">
        <v>125</v>
      </c>
      <c r="R851" t="s">
        <v>125</v>
      </c>
      <c r="S851" t="s">
        <v>125</v>
      </c>
      <c r="T851">
        <v>9</v>
      </c>
      <c r="V851" t="s">
        <v>125</v>
      </c>
      <c r="AE851" t="s">
        <v>125</v>
      </c>
      <c r="AF851">
        <v>0</v>
      </c>
      <c r="AG851" t="s">
        <v>125</v>
      </c>
      <c r="AH851">
        <v>0</v>
      </c>
      <c r="AK851">
        <v>0</v>
      </c>
    </row>
    <row r="852" spans="1:37" x14ac:dyDescent="0.25">
      <c r="A852" t="s">
        <v>79</v>
      </c>
      <c r="B852">
        <v>4</v>
      </c>
      <c r="C852">
        <v>1</v>
      </c>
      <c r="D852">
        <v>3</v>
      </c>
      <c r="E852">
        <v>7</v>
      </c>
      <c r="G852">
        <v>413</v>
      </c>
      <c r="H852" t="s">
        <v>1296</v>
      </c>
      <c r="I852" t="s">
        <v>123</v>
      </c>
      <c r="J852" t="s">
        <v>1345</v>
      </c>
      <c r="L852">
        <v>0</v>
      </c>
      <c r="M852" t="s">
        <v>125</v>
      </c>
      <c r="O852" t="s">
        <v>125</v>
      </c>
      <c r="P852" t="s">
        <v>125</v>
      </c>
      <c r="Q852" t="s">
        <v>125</v>
      </c>
      <c r="R852" t="s">
        <v>125</v>
      </c>
      <c r="S852" t="s">
        <v>125</v>
      </c>
      <c r="T852">
        <v>9</v>
      </c>
      <c r="V852" t="s">
        <v>125</v>
      </c>
      <c r="AE852" t="s">
        <v>125</v>
      </c>
      <c r="AF852">
        <v>0</v>
      </c>
      <c r="AG852" t="s">
        <v>125</v>
      </c>
      <c r="AH852">
        <v>0</v>
      </c>
      <c r="AK852">
        <v>0</v>
      </c>
    </row>
    <row r="853" spans="1:37" x14ac:dyDescent="0.25">
      <c r="A853" t="s">
        <v>79</v>
      </c>
      <c r="B853">
        <v>4</v>
      </c>
      <c r="C853">
        <v>1</v>
      </c>
      <c r="D853">
        <v>3</v>
      </c>
      <c r="E853">
        <v>8</v>
      </c>
      <c r="G853">
        <v>413</v>
      </c>
      <c r="H853" t="s">
        <v>1296</v>
      </c>
      <c r="I853" t="s">
        <v>126</v>
      </c>
      <c r="J853" t="s">
        <v>1346</v>
      </c>
      <c r="L853">
        <v>0</v>
      </c>
      <c r="M853" t="s">
        <v>125</v>
      </c>
      <c r="O853" t="s">
        <v>125</v>
      </c>
      <c r="P853" t="s">
        <v>125</v>
      </c>
      <c r="Q853" t="s">
        <v>125</v>
      </c>
      <c r="R853" t="s">
        <v>125</v>
      </c>
      <c r="S853" t="s">
        <v>125</v>
      </c>
      <c r="T853">
        <v>9</v>
      </c>
      <c r="V853" t="s">
        <v>125</v>
      </c>
      <c r="AE853" t="s">
        <v>125</v>
      </c>
      <c r="AF853">
        <v>0</v>
      </c>
      <c r="AG853" t="s">
        <v>125</v>
      </c>
      <c r="AH853">
        <v>0</v>
      </c>
      <c r="AK853">
        <v>0</v>
      </c>
    </row>
    <row r="854" spans="1:37" x14ac:dyDescent="0.25">
      <c r="A854" t="s">
        <v>79</v>
      </c>
      <c r="B854">
        <v>4</v>
      </c>
      <c r="C854">
        <v>1</v>
      </c>
      <c r="D854">
        <v>3</v>
      </c>
      <c r="E854">
        <v>9</v>
      </c>
      <c r="G854">
        <v>413</v>
      </c>
      <c r="H854" t="s">
        <v>1296</v>
      </c>
      <c r="I854" t="s">
        <v>74</v>
      </c>
      <c r="J854" t="s">
        <v>1347</v>
      </c>
      <c r="L854">
        <v>0</v>
      </c>
      <c r="M854" t="s">
        <v>125</v>
      </c>
      <c r="O854" t="s">
        <v>125</v>
      </c>
      <c r="P854" t="s">
        <v>125</v>
      </c>
      <c r="Q854" t="s">
        <v>125</v>
      </c>
      <c r="R854" t="s">
        <v>125</v>
      </c>
      <c r="S854" t="s">
        <v>125</v>
      </c>
      <c r="T854">
        <v>9</v>
      </c>
      <c r="V854" t="s">
        <v>125</v>
      </c>
      <c r="AE854" t="s">
        <v>125</v>
      </c>
      <c r="AF854">
        <v>0</v>
      </c>
      <c r="AG854" t="s">
        <v>125</v>
      </c>
      <c r="AH854">
        <v>0</v>
      </c>
      <c r="AK854">
        <v>0</v>
      </c>
    </row>
    <row r="855" spans="1:37" x14ac:dyDescent="0.25">
      <c r="A855" t="s">
        <v>79</v>
      </c>
      <c r="B855">
        <v>4</v>
      </c>
      <c r="C855">
        <v>1</v>
      </c>
      <c r="D855">
        <v>3</v>
      </c>
      <c r="E855">
        <v>10</v>
      </c>
      <c r="G855">
        <v>413</v>
      </c>
      <c r="H855" t="s">
        <v>1296</v>
      </c>
      <c r="I855" t="s">
        <v>129</v>
      </c>
      <c r="J855" t="s">
        <v>1348</v>
      </c>
      <c r="L855">
        <v>0</v>
      </c>
      <c r="M855" t="s">
        <v>125</v>
      </c>
      <c r="O855" t="s">
        <v>125</v>
      </c>
      <c r="P855" t="s">
        <v>125</v>
      </c>
      <c r="Q855" t="s">
        <v>125</v>
      </c>
      <c r="R855" t="s">
        <v>125</v>
      </c>
      <c r="S855" t="s">
        <v>125</v>
      </c>
      <c r="T855">
        <v>9</v>
      </c>
      <c r="V855" t="s">
        <v>125</v>
      </c>
      <c r="AE855" t="s">
        <v>125</v>
      </c>
      <c r="AF855">
        <v>0</v>
      </c>
      <c r="AG855" t="s">
        <v>125</v>
      </c>
      <c r="AH855">
        <v>0</v>
      </c>
      <c r="AK855">
        <v>0</v>
      </c>
    </row>
    <row r="856" spans="1:37" x14ac:dyDescent="0.25">
      <c r="A856" t="s">
        <v>79</v>
      </c>
      <c r="B856">
        <v>4</v>
      </c>
      <c r="C856">
        <v>1</v>
      </c>
      <c r="D856">
        <v>3</v>
      </c>
      <c r="E856">
        <v>11</v>
      </c>
      <c r="G856">
        <v>413</v>
      </c>
      <c r="H856" t="s">
        <v>1296</v>
      </c>
      <c r="I856" t="s">
        <v>131</v>
      </c>
      <c r="J856" t="s">
        <v>1349</v>
      </c>
      <c r="L856">
        <v>0</v>
      </c>
      <c r="M856" t="s">
        <v>125</v>
      </c>
      <c r="O856" t="s">
        <v>125</v>
      </c>
      <c r="P856" t="s">
        <v>125</v>
      </c>
      <c r="Q856" t="s">
        <v>125</v>
      </c>
      <c r="R856" t="s">
        <v>125</v>
      </c>
      <c r="S856" t="s">
        <v>125</v>
      </c>
      <c r="T856">
        <v>9</v>
      </c>
      <c r="V856" t="s">
        <v>125</v>
      </c>
      <c r="AE856" t="s">
        <v>125</v>
      </c>
      <c r="AF856">
        <v>0</v>
      </c>
      <c r="AG856" t="s">
        <v>125</v>
      </c>
      <c r="AH856">
        <v>0</v>
      </c>
      <c r="AK856">
        <v>0</v>
      </c>
    </row>
    <row r="857" spans="1:37" x14ac:dyDescent="0.25">
      <c r="A857" t="s">
        <v>79</v>
      </c>
      <c r="B857">
        <v>4</v>
      </c>
      <c r="C857">
        <v>1</v>
      </c>
      <c r="D857">
        <v>3</v>
      </c>
      <c r="E857">
        <v>12</v>
      </c>
      <c r="G857">
        <v>413</v>
      </c>
      <c r="H857" t="s">
        <v>1296</v>
      </c>
      <c r="I857" t="s">
        <v>133</v>
      </c>
      <c r="J857" t="s">
        <v>1350</v>
      </c>
      <c r="L857">
        <v>0</v>
      </c>
      <c r="M857" t="s">
        <v>125</v>
      </c>
      <c r="O857" t="s">
        <v>125</v>
      </c>
      <c r="P857" t="s">
        <v>125</v>
      </c>
      <c r="Q857" t="s">
        <v>125</v>
      </c>
      <c r="R857" t="s">
        <v>125</v>
      </c>
      <c r="S857" t="s">
        <v>125</v>
      </c>
      <c r="T857">
        <v>9</v>
      </c>
      <c r="V857" t="s">
        <v>125</v>
      </c>
      <c r="AE857" t="s">
        <v>125</v>
      </c>
      <c r="AF857">
        <v>0</v>
      </c>
      <c r="AG857" t="s">
        <v>125</v>
      </c>
      <c r="AH857">
        <v>0</v>
      </c>
      <c r="AK857">
        <v>0</v>
      </c>
    </row>
    <row r="858" spans="1:37" x14ac:dyDescent="0.25">
      <c r="A858" t="s">
        <v>79</v>
      </c>
      <c r="B858">
        <v>4</v>
      </c>
      <c r="C858">
        <v>1</v>
      </c>
      <c r="D858">
        <v>3</v>
      </c>
      <c r="E858">
        <v>13</v>
      </c>
      <c r="G858">
        <v>413</v>
      </c>
      <c r="H858" t="s">
        <v>1296</v>
      </c>
      <c r="I858" t="s">
        <v>135</v>
      </c>
      <c r="J858" t="s">
        <v>1351</v>
      </c>
      <c r="L858">
        <v>0</v>
      </c>
      <c r="M858" t="s">
        <v>125</v>
      </c>
      <c r="O858" t="s">
        <v>125</v>
      </c>
      <c r="P858" t="s">
        <v>125</v>
      </c>
      <c r="Q858" t="s">
        <v>125</v>
      </c>
      <c r="R858" t="s">
        <v>125</v>
      </c>
      <c r="S858" t="s">
        <v>125</v>
      </c>
      <c r="T858">
        <v>9</v>
      </c>
      <c r="V858" t="s">
        <v>125</v>
      </c>
      <c r="AE858" t="s">
        <v>125</v>
      </c>
      <c r="AF858">
        <v>0</v>
      </c>
      <c r="AG858" t="s">
        <v>125</v>
      </c>
      <c r="AH858">
        <v>0</v>
      </c>
      <c r="AK858">
        <v>0</v>
      </c>
    </row>
    <row r="859" spans="1:37" x14ac:dyDescent="0.25">
      <c r="A859" t="s">
        <v>79</v>
      </c>
      <c r="B859">
        <v>4</v>
      </c>
      <c r="C859">
        <v>1</v>
      </c>
      <c r="D859">
        <v>3</v>
      </c>
      <c r="E859">
        <v>14</v>
      </c>
      <c r="G859">
        <v>413</v>
      </c>
      <c r="H859" t="s">
        <v>1296</v>
      </c>
      <c r="I859" t="s">
        <v>137</v>
      </c>
      <c r="J859" t="s">
        <v>1352</v>
      </c>
      <c r="L859">
        <v>0</v>
      </c>
      <c r="M859" t="s">
        <v>125</v>
      </c>
      <c r="O859" t="s">
        <v>125</v>
      </c>
      <c r="P859" t="s">
        <v>125</v>
      </c>
      <c r="Q859" t="s">
        <v>125</v>
      </c>
      <c r="R859" t="s">
        <v>125</v>
      </c>
      <c r="S859" t="s">
        <v>125</v>
      </c>
      <c r="T859">
        <v>9</v>
      </c>
      <c r="V859" t="s">
        <v>125</v>
      </c>
      <c r="AE859" t="s">
        <v>125</v>
      </c>
      <c r="AF859">
        <v>0</v>
      </c>
      <c r="AG859" t="s">
        <v>125</v>
      </c>
      <c r="AH859">
        <v>0</v>
      </c>
      <c r="AK859">
        <v>0</v>
      </c>
    </row>
    <row r="860" spans="1:37" x14ac:dyDescent="0.25">
      <c r="A860" t="s">
        <v>79</v>
      </c>
      <c r="B860">
        <v>4</v>
      </c>
      <c r="C860">
        <v>1</v>
      </c>
      <c r="D860">
        <v>3</v>
      </c>
      <c r="E860">
        <v>15</v>
      </c>
      <c r="G860">
        <v>413</v>
      </c>
      <c r="H860" t="s">
        <v>1296</v>
      </c>
      <c r="I860" t="s">
        <v>139</v>
      </c>
      <c r="J860" t="s">
        <v>1353</v>
      </c>
      <c r="L860">
        <v>0</v>
      </c>
      <c r="M860" t="s">
        <v>125</v>
      </c>
      <c r="O860" t="s">
        <v>125</v>
      </c>
      <c r="P860" t="s">
        <v>125</v>
      </c>
      <c r="Q860" t="s">
        <v>125</v>
      </c>
      <c r="R860" t="s">
        <v>125</v>
      </c>
      <c r="S860" t="s">
        <v>125</v>
      </c>
      <c r="T860">
        <v>9</v>
      </c>
      <c r="V860" t="s">
        <v>125</v>
      </c>
      <c r="AE860" t="s">
        <v>125</v>
      </c>
      <c r="AF860">
        <v>0</v>
      </c>
      <c r="AG860" t="s">
        <v>125</v>
      </c>
      <c r="AH860">
        <v>0</v>
      </c>
      <c r="AK860">
        <v>0</v>
      </c>
    </row>
    <row r="861" spans="1:37" x14ac:dyDescent="0.25">
      <c r="L861">
        <v>0</v>
      </c>
    </row>
    <row r="862" spans="1:37" x14ac:dyDescent="0.25">
      <c r="A862" t="s">
        <v>70</v>
      </c>
      <c r="B862">
        <v>4</v>
      </c>
      <c r="C862">
        <v>1</v>
      </c>
      <c r="D862">
        <v>4</v>
      </c>
      <c r="G862">
        <v>41</v>
      </c>
      <c r="L862">
        <v>0</v>
      </c>
      <c r="M862" t="s">
        <v>125</v>
      </c>
      <c r="P862" t="s">
        <v>125</v>
      </c>
      <c r="R862" t="s">
        <v>125</v>
      </c>
      <c r="S862" t="s">
        <v>63</v>
      </c>
      <c r="V862" t="s">
        <v>125</v>
      </c>
      <c r="X862" t="s">
        <v>125</v>
      </c>
      <c r="Y862" t="s">
        <v>125</v>
      </c>
      <c r="Z862" t="s">
        <v>125</v>
      </c>
      <c r="AA862" t="s">
        <v>125</v>
      </c>
      <c r="AB862" t="s">
        <v>125</v>
      </c>
      <c r="AC862" t="s">
        <v>125</v>
      </c>
      <c r="AE862" t="s">
        <v>125</v>
      </c>
      <c r="AF862">
        <v>0</v>
      </c>
      <c r="AG862" t="s">
        <v>125</v>
      </c>
      <c r="AH862">
        <v>0</v>
      </c>
      <c r="AK862">
        <v>0</v>
      </c>
    </row>
    <row r="863" spans="1:37" x14ac:dyDescent="0.25">
      <c r="A863" t="s">
        <v>79</v>
      </c>
      <c r="B863">
        <v>4</v>
      </c>
      <c r="C863">
        <v>1</v>
      </c>
      <c r="D863">
        <v>4</v>
      </c>
      <c r="E863">
        <v>1</v>
      </c>
      <c r="G863">
        <v>414</v>
      </c>
      <c r="H863" t="s">
        <v>63</v>
      </c>
      <c r="I863" t="s">
        <v>80</v>
      </c>
      <c r="J863" t="s">
        <v>141</v>
      </c>
      <c r="L863">
        <v>0</v>
      </c>
      <c r="M863" t="s">
        <v>125</v>
      </c>
      <c r="O863" t="s">
        <v>125</v>
      </c>
      <c r="P863" t="s">
        <v>125</v>
      </c>
      <c r="Q863" t="s">
        <v>125</v>
      </c>
      <c r="R863" t="s">
        <v>125</v>
      </c>
      <c r="S863" t="s">
        <v>125</v>
      </c>
      <c r="T863">
        <v>0</v>
      </c>
      <c r="V863" t="s">
        <v>125</v>
      </c>
      <c r="AE863" t="s">
        <v>125</v>
      </c>
      <c r="AF863">
        <v>0</v>
      </c>
      <c r="AG863" t="s">
        <v>125</v>
      </c>
      <c r="AH863">
        <v>0</v>
      </c>
      <c r="AK863">
        <v>0</v>
      </c>
    </row>
    <row r="864" spans="1:37" x14ac:dyDescent="0.25">
      <c r="A864" t="s">
        <v>79</v>
      </c>
      <c r="B864">
        <v>4</v>
      </c>
      <c r="C864">
        <v>1</v>
      </c>
      <c r="D864">
        <v>4</v>
      </c>
      <c r="E864">
        <v>2</v>
      </c>
      <c r="G864">
        <v>414</v>
      </c>
      <c r="H864" t="s">
        <v>63</v>
      </c>
      <c r="I864" t="s">
        <v>88</v>
      </c>
      <c r="J864" t="s">
        <v>142</v>
      </c>
      <c r="L864">
        <v>0</v>
      </c>
      <c r="M864" t="s">
        <v>125</v>
      </c>
      <c r="O864" t="s">
        <v>125</v>
      </c>
      <c r="P864" t="s">
        <v>125</v>
      </c>
      <c r="Q864" t="s">
        <v>125</v>
      </c>
      <c r="R864" t="s">
        <v>125</v>
      </c>
      <c r="S864" t="s">
        <v>125</v>
      </c>
      <c r="T864">
        <v>0</v>
      </c>
      <c r="V864" t="s">
        <v>125</v>
      </c>
      <c r="AE864" t="s">
        <v>125</v>
      </c>
      <c r="AF864">
        <v>0</v>
      </c>
      <c r="AG864" t="s">
        <v>125</v>
      </c>
      <c r="AH864">
        <v>0</v>
      </c>
      <c r="AK864">
        <v>0</v>
      </c>
    </row>
    <row r="865" spans="1:37" x14ac:dyDescent="0.25">
      <c r="A865" t="s">
        <v>79</v>
      </c>
      <c r="B865">
        <v>4</v>
      </c>
      <c r="C865">
        <v>1</v>
      </c>
      <c r="D865">
        <v>4</v>
      </c>
      <c r="E865">
        <v>3</v>
      </c>
      <c r="G865">
        <v>414</v>
      </c>
      <c r="H865" t="s">
        <v>63</v>
      </c>
      <c r="I865" t="s">
        <v>95</v>
      </c>
      <c r="J865" t="s">
        <v>143</v>
      </c>
      <c r="L865">
        <v>0</v>
      </c>
      <c r="M865" t="s">
        <v>125</v>
      </c>
      <c r="O865" t="s">
        <v>125</v>
      </c>
      <c r="P865" t="s">
        <v>125</v>
      </c>
      <c r="Q865" t="s">
        <v>125</v>
      </c>
      <c r="R865" t="s">
        <v>125</v>
      </c>
      <c r="S865" t="s">
        <v>125</v>
      </c>
      <c r="T865">
        <v>0</v>
      </c>
      <c r="V865" t="s">
        <v>125</v>
      </c>
      <c r="AE865" t="s">
        <v>125</v>
      </c>
      <c r="AF865">
        <v>0</v>
      </c>
      <c r="AG865" t="s">
        <v>125</v>
      </c>
      <c r="AH865">
        <v>0</v>
      </c>
      <c r="AK865">
        <v>0</v>
      </c>
    </row>
    <row r="866" spans="1:37" x14ac:dyDescent="0.25">
      <c r="A866" t="s">
        <v>79</v>
      </c>
      <c r="B866">
        <v>4</v>
      </c>
      <c r="C866">
        <v>1</v>
      </c>
      <c r="D866">
        <v>4</v>
      </c>
      <c r="E866">
        <v>4</v>
      </c>
      <c r="G866">
        <v>414</v>
      </c>
      <c r="H866" t="s">
        <v>63</v>
      </c>
      <c r="I866" t="s">
        <v>102</v>
      </c>
      <c r="J866" t="s">
        <v>144</v>
      </c>
      <c r="L866">
        <v>0</v>
      </c>
      <c r="M866" t="s">
        <v>125</v>
      </c>
      <c r="O866" t="s">
        <v>125</v>
      </c>
      <c r="P866" t="s">
        <v>125</v>
      </c>
      <c r="Q866" t="s">
        <v>125</v>
      </c>
      <c r="R866" t="s">
        <v>125</v>
      </c>
      <c r="S866" t="s">
        <v>125</v>
      </c>
      <c r="T866">
        <v>0</v>
      </c>
      <c r="V866" t="s">
        <v>125</v>
      </c>
      <c r="AE866" t="s">
        <v>125</v>
      </c>
      <c r="AF866">
        <v>0</v>
      </c>
      <c r="AG866" t="s">
        <v>125</v>
      </c>
      <c r="AH866">
        <v>0</v>
      </c>
      <c r="AK866">
        <v>0</v>
      </c>
    </row>
    <row r="867" spans="1:37" x14ac:dyDescent="0.25">
      <c r="A867" t="s">
        <v>79</v>
      </c>
      <c r="B867">
        <v>4</v>
      </c>
      <c r="C867">
        <v>1</v>
      </c>
      <c r="D867">
        <v>4</v>
      </c>
      <c r="E867">
        <v>5</v>
      </c>
      <c r="G867">
        <v>414</v>
      </c>
      <c r="H867" t="s">
        <v>63</v>
      </c>
      <c r="I867" t="s">
        <v>109</v>
      </c>
      <c r="J867" t="s">
        <v>145</v>
      </c>
      <c r="L867">
        <v>0</v>
      </c>
      <c r="M867" t="s">
        <v>125</v>
      </c>
      <c r="O867" t="s">
        <v>125</v>
      </c>
      <c r="P867" t="s">
        <v>125</v>
      </c>
      <c r="Q867" t="s">
        <v>125</v>
      </c>
      <c r="R867" t="s">
        <v>125</v>
      </c>
      <c r="S867" t="s">
        <v>125</v>
      </c>
      <c r="T867">
        <v>0</v>
      </c>
      <c r="V867" t="s">
        <v>125</v>
      </c>
      <c r="AE867" t="s">
        <v>125</v>
      </c>
      <c r="AF867">
        <v>0</v>
      </c>
      <c r="AG867" t="s">
        <v>125</v>
      </c>
      <c r="AH867">
        <v>0</v>
      </c>
      <c r="AK867">
        <v>0</v>
      </c>
    </row>
    <row r="868" spans="1:37" x14ac:dyDescent="0.25">
      <c r="A868" t="s">
        <v>79</v>
      </c>
      <c r="B868">
        <v>4</v>
      </c>
      <c r="C868">
        <v>1</v>
      </c>
      <c r="D868">
        <v>4</v>
      </c>
      <c r="E868">
        <v>6</v>
      </c>
      <c r="G868">
        <v>414</v>
      </c>
      <c r="H868" t="s">
        <v>63</v>
      </c>
      <c r="I868" t="s">
        <v>116</v>
      </c>
      <c r="J868" t="s">
        <v>146</v>
      </c>
      <c r="L868">
        <v>0</v>
      </c>
      <c r="M868" t="s">
        <v>125</v>
      </c>
      <c r="O868" t="s">
        <v>125</v>
      </c>
      <c r="P868" t="s">
        <v>125</v>
      </c>
      <c r="Q868" t="s">
        <v>125</v>
      </c>
      <c r="R868" t="s">
        <v>125</v>
      </c>
      <c r="S868" t="s">
        <v>125</v>
      </c>
      <c r="T868">
        <v>0</v>
      </c>
      <c r="V868" t="s">
        <v>125</v>
      </c>
      <c r="AE868" t="s">
        <v>125</v>
      </c>
      <c r="AF868">
        <v>0</v>
      </c>
      <c r="AG868" t="s">
        <v>125</v>
      </c>
      <c r="AH868">
        <v>0</v>
      </c>
      <c r="AK868">
        <v>0</v>
      </c>
    </row>
    <row r="869" spans="1:37" x14ac:dyDescent="0.25">
      <c r="A869" t="s">
        <v>79</v>
      </c>
      <c r="B869">
        <v>4</v>
      </c>
      <c r="C869">
        <v>1</v>
      </c>
      <c r="D869">
        <v>4</v>
      </c>
      <c r="E869">
        <v>7</v>
      </c>
      <c r="G869">
        <v>414</v>
      </c>
      <c r="H869" t="s">
        <v>63</v>
      </c>
      <c r="I869" t="s">
        <v>123</v>
      </c>
      <c r="J869" t="s">
        <v>147</v>
      </c>
      <c r="L869">
        <v>0</v>
      </c>
      <c r="M869" t="s">
        <v>125</v>
      </c>
      <c r="O869" t="s">
        <v>125</v>
      </c>
      <c r="P869" t="s">
        <v>125</v>
      </c>
      <c r="Q869" t="s">
        <v>125</v>
      </c>
      <c r="R869" t="s">
        <v>125</v>
      </c>
      <c r="S869" t="s">
        <v>125</v>
      </c>
      <c r="T869">
        <v>0</v>
      </c>
      <c r="V869" t="s">
        <v>125</v>
      </c>
      <c r="AE869" t="s">
        <v>125</v>
      </c>
      <c r="AF869">
        <v>0</v>
      </c>
      <c r="AG869" t="s">
        <v>125</v>
      </c>
      <c r="AH869">
        <v>0</v>
      </c>
      <c r="AK869">
        <v>0</v>
      </c>
    </row>
    <row r="870" spans="1:37" x14ac:dyDescent="0.25">
      <c r="A870" t="s">
        <v>79</v>
      </c>
      <c r="B870">
        <v>4</v>
      </c>
      <c r="C870">
        <v>1</v>
      </c>
      <c r="D870">
        <v>4</v>
      </c>
      <c r="E870">
        <v>8</v>
      </c>
      <c r="G870">
        <v>414</v>
      </c>
      <c r="H870" t="s">
        <v>63</v>
      </c>
      <c r="I870" t="s">
        <v>126</v>
      </c>
      <c r="J870" t="s">
        <v>148</v>
      </c>
      <c r="L870">
        <v>0</v>
      </c>
      <c r="M870" t="s">
        <v>125</v>
      </c>
      <c r="O870" t="s">
        <v>125</v>
      </c>
      <c r="P870" t="s">
        <v>125</v>
      </c>
      <c r="Q870" t="s">
        <v>125</v>
      </c>
      <c r="R870" t="s">
        <v>125</v>
      </c>
      <c r="S870" t="s">
        <v>125</v>
      </c>
      <c r="T870">
        <v>0</v>
      </c>
      <c r="V870" t="s">
        <v>125</v>
      </c>
      <c r="AE870" t="s">
        <v>125</v>
      </c>
      <c r="AF870">
        <v>0</v>
      </c>
      <c r="AG870" t="s">
        <v>125</v>
      </c>
      <c r="AH870">
        <v>0</v>
      </c>
      <c r="AK870">
        <v>0</v>
      </c>
    </row>
    <row r="871" spans="1:37" x14ac:dyDescent="0.25">
      <c r="A871" t="s">
        <v>79</v>
      </c>
      <c r="B871">
        <v>4</v>
      </c>
      <c r="C871">
        <v>1</v>
      </c>
      <c r="D871">
        <v>4</v>
      </c>
      <c r="E871">
        <v>9</v>
      </c>
      <c r="G871">
        <v>414</v>
      </c>
      <c r="H871" t="s">
        <v>63</v>
      </c>
      <c r="I871" t="s">
        <v>74</v>
      </c>
      <c r="J871" t="s">
        <v>149</v>
      </c>
      <c r="L871">
        <v>0</v>
      </c>
      <c r="M871" t="s">
        <v>125</v>
      </c>
      <c r="O871" t="s">
        <v>125</v>
      </c>
      <c r="P871" t="s">
        <v>125</v>
      </c>
      <c r="Q871" t="s">
        <v>125</v>
      </c>
      <c r="R871" t="s">
        <v>125</v>
      </c>
      <c r="S871" t="s">
        <v>125</v>
      </c>
      <c r="T871">
        <v>0</v>
      </c>
      <c r="V871" t="s">
        <v>125</v>
      </c>
      <c r="AE871" t="s">
        <v>125</v>
      </c>
      <c r="AF871">
        <v>0</v>
      </c>
      <c r="AG871" t="s">
        <v>125</v>
      </c>
      <c r="AH871">
        <v>0</v>
      </c>
      <c r="AK871">
        <v>0</v>
      </c>
    </row>
    <row r="872" spans="1:37" x14ac:dyDescent="0.25">
      <c r="A872" t="s">
        <v>79</v>
      </c>
      <c r="B872">
        <v>4</v>
      </c>
      <c r="C872">
        <v>1</v>
      </c>
      <c r="D872">
        <v>4</v>
      </c>
      <c r="E872">
        <v>10</v>
      </c>
      <c r="G872">
        <v>414</v>
      </c>
      <c r="H872" t="s">
        <v>63</v>
      </c>
      <c r="I872" t="s">
        <v>129</v>
      </c>
      <c r="J872" t="s">
        <v>150</v>
      </c>
      <c r="L872">
        <v>0</v>
      </c>
      <c r="M872" t="s">
        <v>125</v>
      </c>
      <c r="O872" t="s">
        <v>125</v>
      </c>
      <c r="P872" t="s">
        <v>125</v>
      </c>
      <c r="Q872" t="s">
        <v>125</v>
      </c>
      <c r="R872" t="s">
        <v>125</v>
      </c>
      <c r="S872" t="s">
        <v>125</v>
      </c>
      <c r="T872">
        <v>0</v>
      </c>
      <c r="V872" t="s">
        <v>125</v>
      </c>
      <c r="AE872" t="s">
        <v>125</v>
      </c>
      <c r="AF872">
        <v>0</v>
      </c>
      <c r="AG872" t="s">
        <v>125</v>
      </c>
      <c r="AH872">
        <v>0</v>
      </c>
      <c r="AK872">
        <v>0</v>
      </c>
    </row>
    <row r="873" spans="1:37" x14ac:dyDescent="0.25">
      <c r="A873" t="s">
        <v>79</v>
      </c>
      <c r="B873">
        <v>4</v>
      </c>
      <c r="C873">
        <v>1</v>
      </c>
      <c r="D873">
        <v>4</v>
      </c>
      <c r="E873">
        <v>11</v>
      </c>
      <c r="G873">
        <v>414</v>
      </c>
      <c r="H873" t="s">
        <v>63</v>
      </c>
      <c r="I873" t="s">
        <v>131</v>
      </c>
      <c r="J873" t="s">
        <v>151</v>
      </c>
      <c r="L873">
        <v>0</v>
      </c>
      <c r="M873" t="s">
        <v>125</v>
      </c>
      <c r="O873" t="s">
        <v>125</v>
      </c>
      <c r="P873" t="s">
        <v>125</v>
      </c>
      <c r="Q873" t="s">
        <v>125</v>
      </c>
      <c r="R873" t="s">
        <v>125</v>
      </c>
      <c r="S873" t="s">
        <v>125</v>
      </c>
      <c r="T873">
        <v>0</v>
      </c>
      <c r="V873" t="s">
        <v>125</v>
      </c>
      <c r="AE873" t="s">
        <v>125</v>
      </c>
      <c r="AF873">
        <v>0</v>
      </c>
      <c r="AG873" t="s">
        <v>125</v>
      </c>
      <c r="AH873">
        <v>0</v>
      </c>
      <c r="AK873">
        <v>0</v>
      </c>
    </row>
    <row r="874" spans="1:37" x14ac:dyDescent="0.25">
      <c r="A874" t="s">
        <v>79</v>
      </c>
      <c r="B874">
        <v>4</v>
      </c>
      <c r="C874">
        <v>1</v>
      </c>
      <c r="D874">
        <v>4</v>
      </c>
      <c r="E874">
        <v>12</v>
      </c>
      <c r="G874">
        <v>414</v>
      </c>
      <c r="H874" t="s">
        <v>63</v>
      </c>
      <c r="I874" t="s">
        <v>133</v>
      </c>
      <c r="J874" t="s">
        <v>152</v>
      </c>
      <c r="L874">
        <v>0</v>
      </c>
      <c r="M874" t="s">
        <v>125</v>
      </c>
      <c r="O874" t="s">
        <v>125</v>
      </c>
      <c r="P874" t="s">
        <v>125</v>
      </c>
      <c r="Q874" t="s">
        <v>125</v>
      </c>
      <c r="R874" t="s">
        <v>125</v>
      </c>
      <c r="S874" t="s">
        <v>125</v>
      </c>
      <c r="T874">
        <v>0</v>
      </c>
      <c r="V874" t="s">
        <v>125</v>
      </c>
      <c r="AE874" t="s">
        <v>125</v>
      </c>
      <c r="AF874">
        <v>0</v>
      </c>
      <c r="AG874" t="s">
        <v>125</v>
      </c>
      <c r="AH874">
        <v>0</v>
      </c>
      <c r="AK874">
        <v>0</v>
      </c>
    </row>
    <row r="875" spans="1:37" x14ac:dyDescent="0.25">
      <c r="A875" t="s">
        <v>79</v>
      </c>
      <c r="B875">
        <v>4</v>
      </c>
      <c r="C875">
        <v>1</v>
      </c>
      <c r="D875">
        <v>4</v>
      </c>
      <c r="E875">
        <v>13</v>
      </c>
      <c r="G875">
        <v>414</v>
      </c>
      <c r="H875" t="s">
        <v>63</v>
      </c>
      <c r="I875" t="s">
        <v>135</v>
      </c>
      <c r="J875" t="s">
        <v>153</v>
      </c>
      <c r="L875">
        <v>0</v>
      </c>
      <c r="M875" t="s">
        <v>125</v>
      </c>
      <c r="O875" t="s">
        <v>125</v>
      </c>
      <c r="P875" t="s">
        <v>125</v>
      </c>
      <c r="Q875" t="s">
        <v>125</v>
      </c>
      <c r="R875" t="s">
        <v>125</v>
      </c>
      <c r="S875" t="s">
        <v>125</v>
      </c>
      <c r="T875">
        <v>0</v>
      </c>
      <c r="V875" t="s">
        <v>125</v>
      </c>
      <c r="AE875" t="s">
        <v>125</v>
      </c>
      <c r="AF875">
        <v>0</v>
      </c>
      <c r="AG875" t="s">
        <v>125</v>
      </c>
      <c r="AH875">
        <v>0</v>
      </c>
      <c r="AK875">
        <v>0</v>
      </c>
    </row>
    <row r="876" spans="1:37" x14ac:dyDescent="0.25">
      <c r="A876" t="s">
        <v>79</v>
      </c>
      <c r="B876">
        <v>4</v>
      </c>
      <c r="C876">
        <v>1</v>
      </c>
      <c r="D876">
        <v>4</v>
      </c>
      <c r="E876">
        <v>14</v>
      </c>
      <c r="G876">
        <v>414</v>
      </c>
      <c r="H876" t="s">
        <v>63</v>
      </c>
      <c r="I876" t="s">
        <v>137</v>
      </c>
      <c r="J876" t="s">
        <v>154</v>
      </c>
      <c r="L876">
        <v>0</v>
      </c>
      <c r="M876" t="s">
        <v>125</v>
      </c>
      <c r="O876" t="s">
        <v>125</v>
      </c>
      <c r="P876" t="s">
        <v>125</v>
      </c>
      <c r="Q876" t="s">
        <v>125</v>
      </c>
      <c r="R876" t="s">
        <v>125</v>
      </c>
      <c r="S876" t="s">
        <v>125</v>
      </c>
      <c r="T876">
        <v>0</v>
      </c>
      <c r="V876" t="s">
        <v>125</v>
      </c>
      <c r="AE876" t="s">
        <v>125</v>
      </c>
      <c r="AF876">
        <v>0</v>
      </c>
      <c r="AG876" t="s">
        <v>125</v>
      </c>
      <c r="AH876">
        <v>0</v>
      </c>
      <c r="AK876">
        <v>0</v>
      </c>
    </row>
    <row r="877" spans="1:37" x14ac:dyDescent="0.25">
      <c r="A877" t="s">
        <v>79</v>
      </c>
      <c r="B877">
        <v>4</v>
      </c>
      <c r="C877">
        <v>1</v>
      </c>
      <c r="D877">
        <v>4</v>
      </c>
      <c r="E877">
        <v>15</v>
      </c>
      <c r="G877">
        <v>414</v>
      </c>
      <c r="H877" t="s">
        <v>63</v>
      </c>
      <c r="I877" t="s">
        <v>139</v>
      </c>
      <c r="J877" t="s">
        <v>155</v>
      </c>
      <c r="L877">
        <v>0</v>
      </c>
      <c r="M877" t="s">
        <v>125</v>
      </c>
      <c r="O877" t="s">
        <v>125</v>
      </c>
      <c r="P877" t="s">
        <v>125</v>
      </c>
      <c r="Q877" t="s">
        <v>125</v>
      </c>
      <c r="R877" t="s">
        <v>125</v>
      </c>
      <c r="S877" t="s">
        <v>125</v>
      </c>
      <c r="T877">
        <v>0</v>
      </c>
      <c r="V877" t="s">
        <v>125</v>
      </c>
      <c r="AE877" t="s">
        <v>125</v>
      </c>
      <c r="AF877">
        <v>0</v>
      </c>
      <c r="AG877" t="s">
        <v>125</v>
      </c>
      <c r="AH877">
        <v>0</v>
      </c>
      <c r="AK877">
        <v>0</v>
      </c>
    </row>
    <row r="878" spans="1:37" x14ac:dyDescent="0.25">
      <c r="L878">
        <v>0</v>
      </c>
    </row>
    <row r="879" spans="1:37" x14ac:dyDescent="0.25">
      <c r="A879" t="s">
        <v>70</v>
      </c>
      <c r="B879">
        <v>4</v>
      </c>
      <c r="C879">
        <v>1</v>
      </c>
      <c r="D879">
        <v>5</v>
      </c>
      <c r="G879">
        <v>41</v>
      </c>
      <c r="L879">
        <v>0</v>
      </c>
      <c r="M879" t="s">
        <v>125</v>
      </c>
      <c r="P879" t="s">
        <v>125</v>
      </c>
      <c r="R879" t="s">
        <v>125</v>
      </c>
      <c r="S879" t="s">
        <v>63</v>
      </c>
      <c r="V879" t="s">
        <v>125</v>
      </c>
      <c r="X879" t="s">
        <v>125</v>
      </c>
      <c r="Y879" t="s">
        <v>125</v>
      </c>
      <c r="Z879" t="s">
        <v>125</v>
      </c>
      <c r="AA879" t="s">
        <v>125</v>
      </c>
      <c r="AB879" t="s">
        <v>125</v>
      </c>
      <c r="AC879" t="s">
        <v>125</v>
      </c>
      <c r="AE879" t="s">
        <v>125</v>
      </c>
      <c r="AF879">
        <v>0</v>
      </c>
      <c r="AG879" t="s">
        <v>125</v>
      </c>
      <c r="AH879">
        <v>0</v>
      </c>
      <c r="AK879">
        <v>0</v>
      </c>
    </row>
    <row r="880" spans="1:37" x14ac:dyDescent="0.25">
      <c r="A880" t="s">
        <v>79</v>
      </c>
      <c r="B880">
        <v>4</v>
      </c>
      <c r="C880">
        <v>1</v>
      </c>
      <c r="D880">
        <v>5</v>
      </c>
      <c r="E880">
        <v>1</v>
      </c>
      <c r="G880">
        <v>415</v>
      </c>
      <c r="H880" t="s">
        <v>63</v>
      </c>
      <c r="I880" t="s">
        <v>80</v>
      </c>
      <c r="J880" t="s">
        <v>141</v>
      </c>
      <c r="L880">
        <v>0</v>
      </c>
      <c r="M880" t="s">
        <v>125</v>
      </c>
      <c r="O880" t="s">
        <v>125</v>
      </c>
      <c r="P880" t="s">
        <v>125</v>
      </c>
      <c r="Q880" t="s">
        <v>125</v>
      </c>
      <c r="R880" t="s">
        <v>125</v>
      </c>
      <c r="S880" t="s">
        <v>125</v>
      </c>
      <c r="T880">
        <v>0</v>
      </c>
      <c r="V880" t="s">
        <v>125</v>
      </c>
      <c r="AE880" t="s">
        <v>125</v>
      </c>
      <c r="AF880">
        <v>0</v>
      </c>
      <c r="AG880" t="s">
        <v>125</v>
      </c>
      <c r="AH880">
        <v>0</v>
      </c>
      <c r="AK880">
        <v>0</v>
      </c>
    </row>
    <row r="881" spans="1:37" x14ac:dyDescent="0.25">
      <c r="A881" t="s">
        <v>79</v>
      </c>
      <c r="B881">
        <v>4</v>
      </c>
      <c r="C881">
        <v>1</v>
      </c>
      <c r="D881">
        <v>5</v>
      </c>
      <c r="E881">
        <v>2</v>
      </c>
      <c r="G881">
        <v>415</v>
      </c>
      <c r="H881" t="s">
        <v>63</v>
      </c>
      <c r="I881" t="s">
        <v>88</v>
      </c>
      <c r="J881" t="s">
        <v>142</v>
      </c>
      <c r="L881">
        <v>0</v>
      </c>
      <c r="M881" t="s">
        <v>125</v>
      </c>
      <c r="O881" t="s">
        <v>125</v>
      </c>
      <c r="P881" t="s">
        <v>125</v>
      </c>
      <c r="Q881" t="s">
        <v>125</v>
      </c>
      <c r="R881" t="s">
        <v>125</v>
      </c>
      <c r="S881" t="s">
        <v>125</v>
      </c>
      <c r="T881">
        <v>0</v>
      </c>
      <c r="V881" t="s">
        <v>125</v>
      </c>
      <c r="AE881" t="s">
        <v>125</v>
      </c>
      <c r="AF881">
        <v>0</v>
      </c>
      <c r="AG881" t="s">
        <v>125</v>
      </c>
      <c r="AH881">
        <v>0</v>
      </c>
      <c r="AK881">
        <v>0</v>
      </c>
    </row>
    <row r="882" spans="1:37" x14ac:dyDescent="0.25">
      <c r="A882" t="s">
        <v>79</v>
      </c>
      <c r="B882">
        <v>4</v>
      </c>
      <c r="C882">
        <v>1</v>
      </c>
      <c r="D882">
        <v>5</v>
      </c>
      <c r="E882">
        <v>3</v>
      </c>
      <c r="G882">
        <v>415</v>
      </c>
      <c r="H882" t="s">
        <v>63</v>
      </c>
      <c r="I882" t="s">
        <v>95</v>
      </c>
      <c r="J882" t="s">
        <v>143</v>
      </c>
      <c r="L882">
        <v>0</v>
      </c>
      <c r="M882" t="s">
        <v>125</v>
      </c>
      <c r="O882" t="s">
        <v>125</v>
      </c>
      <c r="P882" t="s">
        <v>125</v>
      </c>
      <c r="Q882" t="s">
        <v>125</v>
      </c>
      <c r="R882" t="s">
        <v>125</v>
      </c>
      <c r="S882" t="s">
        <v>125</v>
      </c>
      <c r="T882">
        <v>0</v>
      </c>
      <c r="V882" t="s">
        <v>125</v>
      </c>
      <c r="AE882" t="s">
        <v>125</v>
      </c>
      <c r="AF882">
        <v>0</v>
      </c>
      <c r="AG882" t="s">
        <v>125</v>
      </c>
      <c r="AH882">
        <v>0</v>
      </c>
      <c r="AK882">
        <v>0</v>
      </c>
    </row>
    <row r="883" spans="1:37" x14ac:dyDescent="0.25">
      <c r="A883" t="s">
        <v>79</v>
      </c>
      <c r="B883">
        <v>4</v>
      </c>
      <c r="C883">
        <v>1</v>
      </c>
      <c r="D883">
        <v>5</v>
      </c>
      <c r="E883">
        <v>4</v>
      </c>
      <c r="G883">
        <v>415</v>
      </c>
      <c r="H883" t="s">
        <v>63</v>
      </c>
      <c r="I883" t="s">
        <v>102</v>
      </c>
      <c r="J883" t="s">
        <v>144</v>
      </c>
      <c r="L883">
        <v>0</v>
      </c>
      <c r="M883" t="s">
        <v>125</v>
      </c>
      <c r="O883" t="s">
        <v>125</v>
      </c>
      <c r="P883" t="s">
        <v>125</v>
      </c>
      <c r="Q883" t="s">
        <v>125</v>
      </c>
      <c r="R883" t="s">
        <v>125</v>
      </c>
      <c r="S883" t="s">
        <v>125</v>
      </c>
      <c r="T883">
        <v>0</v>
      </c>
      <c r="V883" t="s">
        <v>125</v>
      </c>
      <c r="AE883" t="s">
        <v>125</v>
      </c>
      <c r="AF883">
        <v>0</v>
      </c>
      <c r="AG883" t="s">
        <v>125</v>
      </c>
      <c r="AH883">
        <v>0</v>
      </c>
      <c r="AK883">
        <v>0</v>
      </c>
    </row>
    <row r="884" spans="1:37" x14ac:dyDescent="0.25">
      <c r="A884" t="s">
        <v>79</v>
      </c>
      <c r="B884">
        <v>4</v>
      </c>
      <c r="C884">
        <v>1</v>
      </c>
      <c r="D884">
        <v>5</v>
      </c>
      <c r="E884">
        <v>5</v>
      </c>
      <c r="G884">
        <v>415</v>
      </c>
      <c r="H884" t="s">
        <v>63</v>
      </c>
      <c r="I884" t="s">
        <v>109</v>
      </c>
      <c r="J884" t="s">
        <v>145</v>
      </c>
      <c r="L884">
        <v>0</v>
      </c>
      <c r="M884" t="s">
        <v>125</v>
      </c>
      <c r="O884" t="s">
        <v>125</v>
      </c>
      <c r="P884" t="s">
        <v>125</v>
      </c>
      <c r="Q884" t="s">
        <v>125</v>
      </c>
      <c r="R884" t="s">
        <v>125</v>
      </c>
      <c r="S884" t="s">
        <v>125</v>
      </c>
      <c r="T884">
        <v>0</v>
      </c>
      <c r="V884" t="s">
        <v>125</v>
      </c>
      <c r="AE884" t="s">
        <v>125</v>
      </c>
      <c r="AF884">
        <v>0</v>
      </c>
      <c r="AG884" t="s">
        <v>125</v>
      </c>
      <c r="AH884">
        <v>0</v>
      </c>
      <c r="AK884">
        <v>0</v>
      </c>
    </row>
    <row r="885" spans="1:37" x14ac:dyDescent="0.25">
      <c r="A885" t="s">
        <v>79</v>
      </c>
      <c r="B885">
        <v>4</v>
      </c>
      <c r="C885">
        <v>1</v>
      </c>
      <c r="D885">
        <v>5</v>
      </c>
      <c r="E885">
        <v>6</v>
      </c>
      <c r="G885">
        <v>415</v>
      </c>
      <c r="H885" t="s">
        <v>63</v>
      </c>
      <c r="I885" t="s">
        <v>116</v>
      </c>
      <c r="J885" t="s">
        <v>146</v>
      </c>
      <c r="L885">
        <v>0</v>
      </c>
      <c r="M885" t="s">
        <v>125</v>
      </c>
      <c r="O885" t="s">
        <v>125</v>
      </c>
      <c r="P885" t="s">
        <v>125</v>
      </c>
      <c r="Q885" t="s">
        <v>125</v>
      </c>
      <c r="R885" t="s">
        <v>125</v>
      </c>
      <c r="S885" t="s">
        <v>125</v>
      </c>
      <c r="T885">
        <v>0</v>
      </c>
      <c r="V885" t="s">
        <v>125</v>
      </c>
      <c r="AE885" t="s">
        <v>125</v>
      </c>
      <c r="AF885">
        <v>0</v>
      </c>
      <c r="AG885" t="s">
        <v>125</v>
      </c>
      <c r="AH885">
        <v>0</v>
      </c>
      <c r="AK885">
        <v>0</v>
      </c>
    </row>
    <row r="886" spans="1:37" x14ac:dyDescent="0.25">
      <c r="A886" t="s">
        <v>79</v>
      </c>
      <c r="B886">
        <v>4</v>
      </c>
      <c r="C886">
        <v>1</v>
      </c>
      <c r="D886">
        <v>5</v>
      </c>
      <c r="E886">
        <v>7</v>
      </c>
      <c r="G886">
        <v>415</v>
      </c>
      <c r="H886" t="s">
        <v>63</v>
      </c>
      <c r="I886" t="s">
        <v>123</v>
      </c>
      <c r="J886" t="s">
        <v>147</v>
      </c>
      <c r="L886">
        <v>0</v>
      </c>
      <c r="M886" t="s">
        <v>125</v>
      </c>
      <c r="O886" t="s">
        <v>125</v>
      </c>
      <c r="P886" t="s">
        <v>125</v>
      </c>
      <c r="Q886" t="s">
        <v>125</v>
      </c>
      <c r="R886" t="s">
        <v>125</v>
      </c>
      <c r="S886" t="s">
        <v>125</v>
      </c>
      <c r="T886">
        <v>0</v>
      </c>
      <c r="V886" t="s">
        <v>125</v>
      </c>
      <c r="AE886" t="s">
        <v>125</v>
      </c>
      <c r="AF886">
        <v>0</v>
      </c>
      <c r="AG886" t="s">
        <v>125</v>
      </c>
      <c r="AH886">
        <v>0</v>
      </c>
      <c r="AK886">
        <v>0</v>
      </c>
    </row>
    <row r="887" spans="1:37" x14ac:dyDescent="0.25">
      <c r="A887" t="s">
        <v>79</v>
      </c>
      <c r="B887">
        <v>4</v>
      </c>
      <c r="C887">
        <v>1</v>
      </c>
      <c r="D887">
        <v>5</v>
      </c>
      <c r="E887">
        <v>8</v>
      </c>
      <c r="G887">
        <v>415</v>
      </c>
      <c r="H887" t="s">
        <v>63</v>
      </c>
      <c r="I887" t="s">
        <v>126</v>
      </c>
      <c r="J887" t="s">
        <v>148</v>
      </c>
      <c r="L887">
        <v>0</v>
      </c>
      <c r="M887" t="s">
        <v>125</v>
      </c>
      <c r="O887" t="s">
        <v>125</v>
      </c>
      <c r="P887" t="s">
        <v>125</v>
      </c>
      <c r="Q887" t="s">
        <v>125</v>
      </c>
      <c r="R887" t="s">
        <v>125</v>
      </c>
      <c r="S887" t="s">
        <v>125</v>
      </c>
      <c r="T887">
        <v>0</v>
      </c>
      <c r="V887" t="s">
        <v>125</v>
      </c>
      <c r="AE887" t="s">
        <v>125</v>
      </c>
      <c r="AF887">
        <v>0</v>
      </c>
      <c r="AG887" t="s">
        <v>125</v>
      </c>
      <c r="AH887">
        <v>0</v>
      </c>
      <c r="AK887">
        <v>0</v>
      </c>
    </row>
    <row r="888" spans="1:37" x14ac:dyDescent="0.25">
      <c r="A888" t="s">
        <v>79</v>
      </c>
      <c r="B888">
        <v>4</v>
      </c>
      <c r="C888">
        <v>1</v>
      </c>
      <c r="D888">
        <v>5</v>
      </c>
      <c r="E888">
        <v>9</v>
      </c>
      <c r="G888">
        <v>415</v>
      </c>
      <c r="H888" t="s">
        <v>63</v>
      </c>
      <c r="I888" t="s">
        <v>74</v>
      </c>
      <c r="J888" t="s">
        <v>149</v>
      </c>
      <c r="L888">
        <v>0</v>
      </c>
      <c r="M888" t="s">
        <v>125</v>
      </c>
      <c r="O888" t="s">
        <v>125</v>
      </c>
      <c r="P888" t="s">
        <v>125</v>
      </c>
      <c r="Q888" t="s">
        <v>125</v>
      </c>
      <c r="R888" t="s">
        <v>125</v>
      </c>
      <c r="S888" t="s">
        <v>125</v>
      </c>
      <c r="T888">
        <v>0</v>
      </c>
      <c r="V888" t="s">
        <v>125</v>
      </c>
      <c r="AE888" t="s">
        <v>125</v>
      </c>
      <c r="AF888">
        <v>0</v>
      </c>
      <c r="AG888" t="s">
        <v>125</v>
      </c>
      <c r="AH888">
        <v>0</v>
      </c>
      <c r="AK888">
        <v>0</v>
      </c>
    </row>
    <row r="889" spans="1:37" x14ac:dyDescent="0.25">
      <c r="A889" t="s">
        <v>79</v>
      </c>
      <c r="B889">
        <v>4</v>
      </c>
      <c r="C889">
        <v>1</v>
      </c>
      <c r="D889">
        <v>5</v>
      </c>
      <c r="E889">
        <v>10</v>
      </c>
      <c r="G889">
        <v>415</v>
      </c>
      <c r="H889" t="s">
        <v>63</v>
      </c>
      <c r="I889" t="s">
        <v>129</v>
      </c>
      <c r="J889" t="s">
        <v>150</v>
      </c>
      <c r="L889">
        <v>0</v>
      </c>
      <c r="M889" t="s">
        <v>125</v>
      </c>
      <c r="O889" t="s">
        <v>125</v>
      </c>
      <c r="P889" t="s">
        <v>125</v>
      </c>
      <c r="Q889" t="s">
        <v>125</v>
      </c>
      <c r="R889" t="s">
        <v>125</v>
      </c>
      <c r="S889" t="s">
        <v>125</v>
      </c>
      <c r="T889">
        <v>0</v>
      </c>
      <c r="V889" t="s">
        <v>125</v>
      </c>
      <c r="AE889" t="s">
        <v>125</v>
      </c>
      <c r="AF889">
        <v>0</v>
      </c>
      <c r="AG889" t="s">
        <v>125</v>
      </c>
      <c r="AH889">
        <v>0</v>
      </c>
      <c r="AK889">
        <v>0</v>
      </c>
    </row>
    <row r="890" spans="1:37" x14ac:dyDescent="0.25">
      <c r="A890" t="s">
        <v>79</v>
      </c>
      <c r="B890">
        <v>4</v>
      </c>
      <c r="C890">
        <v>1</v>
      </c>
      <c r="D890">
        <v>5</v>
      </c>
      <c r="E890">
        <v>11</v>
      </c>
      <c r="G890">
        <v>415</v>
      </c>
      <c r="H890" t="s">
        <v>63</v>
      </c>
      <c r="I890" t="s">
        <v>131</v>
      </c>
      <c r="J890" t="s">
        <v>151</v>
      </c>
      <c r="L890">
        <v>0</v>
      </c>
      <c r="M890" t="s">
        <v>125</v>
      </c>
      <c r="O890" t="s">
        <v>125</v>
      </c>
      <c r="P890" t="s">
        <v>125</v>
      </c>
      <c r="Q890" t="s">
        <v>125</v>
      </c>
      <c r="R890" t="s">
        <v>125</v>
      </c>
      <c r="S890" t="s">
        <v>125</v>
      </c>
      <c r="T890">
        <v>0</v>
      </c>
      <c r="V890" t="s">
        <v>125</v>
      </c>
      <c r="AE890" t="s">
        <v>125</v>
      </c>
      <c r="AF890">
        <v>0</v>
      </c>
      <c r="AG890" t="s">
        <v>125</v>
      </c>
      <c r="AH890">
        <v>0</v>
      </c>
      <c r="AK890">
        <v>0</v>
      </c>
    </row>
    <row r="891" spans="1:37" x14ac:dyDescent="0.25">
      <c r="A891" t="s">
        <v>79</v>
      </c>
      <c r="B891">
        <v>4</v>
      </c>
      <c r="C891">
        <v>1</v>
      </c>
      <c r="D891">
        <v>5</v>
      </c>
      <c r="E891">
        <v>12</v>
      </c>
      <c r="G891">
        <v>415</v>
      </c>
      <c r="H891" t="s">
        <v>63</v>
      </c>
      <c r="I891" t="s">
        <v>133</v>
      </c>
      <c r="J891" t="s">
        <v>152</v>
      </c>
      <c r="L891">
        <v>0</v>
      </c>
      <c r="M891" t="s">
        <v>125</v>
      </c>
      <c r="O891" t="s">
        <v>125</v>
      </c>
      <c r="P891" t="s">
        <v>125</v>
      </c>
      <c r="Q891" t="s">
        <v>125</v>
      </c>
      <c r="R891" t="s">
        <v>125</v>
      </c>
      <c r="S891" t="s">
        <v>125</v>
      </c>
      <c r="T891">
        <v>0</v>
      </c>
      <c r="V891" t="s">
        <v>125</v>
      </c>
      <c r="AE891" t="s">
        <v>125</v>
      </c>
      <c r="AF891">
        <v>0</v>
      </c>
      <c r="AG891" t="s">
        <v>125</v>
      </c>
      <c r="AH891">
        <v>0</v>
      </c>
      <c r="AK891">
        <v>0</v>
      </c>
    </row>
    <row r="892" spans="1:37" x14ac:dyDescent="0.25">
      <c r="A892" t="s">
        <v>79</v>
      </c>
      <c r="B892">
        <v>4</v>
      </c>
      <c r="C892">
        <v>1</v>
      </c>
      <c r="D892">
        <v>5</v>
      </c>
      <c r="E892">
        <v>13</v>
      </c>
      <c r="G892">
        <v>415</v>
      </c>
      <c r="H892" t="s">
        <v>63</v>
      </c>
      <c r="I892" t="s">
        <v>135</v>
      </c>
      <c r="J892" t="s">
        <v>153</v>
      </c>
      <c r="L892">
        <v>0</v>
      </c>
      <c r="M892" t="s">
        <v>125</v>
      </c>
      <c r="O892" t="s">
        <v>125</v>
      </c>
      <c r="P892" t="s">
        <v>125</v>
      </c>
      <c r="Q892" t="s">
        <v>125</v>
      </c>
      <c r="R892" t="s">
        <v>125</v>
      </c>
      <c r="S892" t="s">
        <v>125</v>
      </c>
      <c r="T892">
        <v>0</v>
      </c>
      <c r="V892" t="s">
        <v>125</v>
      </c>
      <c r="AE892" t="s">
        <v>125</v>
      </c>
      <c r="AF892">
        <v>0</v>
      </c>
      <c r="AG892" t="s">
        <v>125</v>
      </c>
      <c r="AH892">
        <v>0</v>
      </c>
      <c r="AK892">
        <v>0</v>
      </c>
    </row>
    <row r="893" spans="1:37" x14ac:dyDescent="0.25">
      <c r="A893" t="s">
        <v>79</v>
      </c>
      <c r="B893">
        <v>4</v>
      </c>
      <c r="C893">
        <v>1</v>
      </c>
      <c r="D893">
        <v>5</v>
      </c>
      <c r="E893">
        <v>14</v>
      </c>
      <c r="G893">
        <v>415</v>
      </c>
      <c r="H893" t="s">
        <v>63</v>
      </c>
      <c r="I893" t="s">
        <v>137</v>
      </c>
      <c r="J893" t="s">
        <v>154</v>
      </c>
      <c r="L893">
        <v>0</v>
      </c>
      <c r="M893" t="s">
        <v>125</v>
      </c>
      <c r="O893" t="s">
        <v>125</v>
      </c>
      <c r="P893" t="s">
        <v>125</v>
      </c>
      <c r="Q893" t="s">
        <v>125</v>
      </c>
      <c r="R893" t="s">
        <v>125</v>
      </c>
      <c r="S893" t="s">
        <v>125</v>
      </c>
      <c r="T893">
        <v>0</v>
      </c>
      <c r="V893" t="s">
        <v>125</v>
      </c>
      <c r="AE893" t="s">
        <v>125</v>
      </c>
      <c r="AF893">
        <v>0</v>
      </c>
      <c r="AG893" t="s">
        <v>125</v>
      </c>
      <c r="AH893">
        <v>0</v>
      </c>
      <c r="AK893">
        <v>0</v>
      </c>
    </row>
    <row r="894" spans="1:37" x14ac:dyDescent="0.25">
      <c r="A894" t="s">
        <v>79</v>
      </c>
      <c r="B894">
        <v>4</v>
      </c>
      <c r="C894">
        <v>1</v>
      </c>
      <c r="D894">
        <v>5</v>
      </c>
      <c r="E894">
        <v>15</v>
      </c>
      <c r="G894">
        <v>415</v>
      </c>
      <c r="H894" t="s">
        <v>63</v>
      </c>
      <c r="I894" t="s">
        <v>139</v>
      </c>
      <c r="J894" t="s">
        <v>155</v>
      </c>
      <c r="L894">
        <v>0</v>
      </c>
      <c r="M894" t="s">
        <v>125</v>
      </c>
      <c r="O894" t="s">
        <v>125</v>
      </c>
      <c r="P894" t="s">
        <v>125</v>
      </c>
      <c r="Q894" t="s">
        <v>125</v>
      </c>
      <c r="R894" t="s">
        <v>125</v>
      </c>
      <c r="S894" t="s">
        <v>125</v>
      </c>
      <c r="T894">
        <v>0</v>
      </c>
      <c r="V894" t="s">
        <v>125</v>
      </c>
      <c r="AE894" t="s">
        <v>125</v>
      </c>
      <c r="AF894">
        <v>0</v>
      </c>
      <c r="AG894" t="s">
        <v>125</v>
      </c>
      <c r="AH894">
        <v>0</v>
      </c>
      <c r="AK894">
        <v>0</v>
      </c>
    </row>
    <row r="895" spans="1:37" x14ac:dyDescent="0.25">
      <c r="L895">
        <v>0</v>
      </c>
    </row>
    <row r="896" spans="1:37" x14ac:dyDescent="0.25">
      <c r="L896">
        <v>0</v>
      </c>
    </row>
    <row r="897" spans="1:37" x14ac:dyDescent="0.25">
      <c r="A897" t="s">
        <v>66</v>
      </c>
      <c r="B897">
        <v>4</v>
      </c>
      <c r="C897">
        <v>2</v>
      </c>
      <c r="G897">
        <v>4</v>
      </c>
      <c r="H897" t="s">
        <v>1126</v>
      </c>
      <c r="I897" t="s">
        <v>1354</v>
      </c>
      <c r="L897">
        <v>0</v>
      </c>
      <c r="M897" t="s">
        <v>125</v>
      </c>
      <c r="N897" t="s">
        <v>125</v>
      </c>
      <c r="V897" t="s">
        <v>63</v>
      </c>
      <c r="Y897" t="s">
        <v>63</v>
      </c>
      <c r="AA897" t="s">
        <v>63</v>
      </c>
      <c r="AC897" t="s">
        <v>63</v>
      </c>
      <c r="AE897" t="s">
        <v>63</v>
      </c>
      <c r="AF897">
        <v>0</v>
      </c>
      <c r="AG897" t="s">
        <v>63</v>
      </c>
      <c r="AH897">
        <v>0</v>
      </c>
      <c r="AK897">
        <v>0</v>
      </c>
    </row>
    <row r="898" spans="1:37" x14ac:dyDescent="0.25">
      <c r="L898">
        <v>0</v>
      </c>
    </row>
    <row r="899" spans="1:37" x14ac:dyDescent="0.25">
      <c r="A899" t="s">
        <v>70</v>
      </c>
      <c r="B899">
        <v>4</v>
      </c>
      <c r="C899">
        <v>2</v>
      </c>
      <c r="D899">
        <v>1</v>
      </c>
      <c r="G899">
        <v>42</v>
      </c>
      <c r="L899">
        <v>0</v>
      </c>
      <c r="M899" t="s">
        <v>125</v>
      </c>
      <c r="P899" t="s">
        <v>125</v>
      </c>
      <c r="R899" t="s">
        <v>125</v>
      </c>
      <c r="S899" t="s">
        <v>63</v>
      </c>
      <c r="V899" t="s">
        <v>125</v>
      </c>
      <c r="X899" t="s">
        <v>125</v>
      </c>
      <c r="Y899" t="s">
        <v>125</v>
      </c>
      <c r="Z899" t="s">
        <v>125</v>
      </c>
      <c r="AA899" t="s">
        <v>125</v>
      </c>
      <c r="AB899" t="s">
        <v>125</v>
      </c>
      <c r="AC899" t="s">
        <v>125</v>
      </c>
      <c r="AE899" t="s">
        <v>125</v>
      </c>
      <c r="AF899">
        <v>0</v>
      </c>
      <c r="AG899" t="s">
        <v>125</v>
      </c>
      <c r="AH899">
        <v>0</v>
      </c>
      <c r="AK899">
        <v>0</v>
      </c>
    </row>
    <row r="900" spans="1:37" x14ac:dyDescent="0.25">
      <c r="A900" t="s">
        <v>79</v>
      </c>
      <c r="B900">
        <v>4</v>
      </c>
      <c r="C900">
        <v>2</v>
      </c>
      <c r="D900">
        <v>1</v>
      </c>
      <c r="E900">
        <v>1</v>
      </c>
      <c r="G900">
        <v>421</v>
      </c>
      <c r="H900" t="s">
        <v>63</v>
      </c>
      <c r="I900" t="s">
        <v>80</v>
      </c>
      <c r="J900" t="s">
        <v>141</v>
      </c>
      <c r="L900">
        <v>0</v>
      </c>
      <c r="M900" t="s">
        <v>125</v>
      </c>
      <c r="O900" t="s">
        <v>125</v>
      </c>
      <c r="P900" t="s">
        <v>125</v>
      </c>
      <c r="Q900" t="s">
        <v>125</v>
      </c>
      <c r="R900" t="s">
        <v>125</v>
      </c>
      <c r="S900" t="s">
        <v>125</v>
      </c>
      <c r="T900">
        <v>0</v>
      </c>
      <c r="V900" t="s">
        <v>125</v>
      </c>
      <c r="AE900" t="s">
        <v>125</v>
      </c>
      <c r="AF900">
        <v>0</v>
      </c>
      <c r="AG900" t="s">
        <v>125</v>
      </c>
      <c r="AH900">
        <v>0</v>
      </c>
      <c r="AK900">
        <v>0</v>
      </c>
    </row>
    <row r="901" spans="1:37" x14ac:dyDescent="0.25">
      <c r="A901" t="s">
        <v>79</v>
      </c>
      <c r="B901">
        <v>4</v>
      </c>
      <c r="C901">
        <v>2</v>
      </c>
      <c r="D901">
        <v>1</v>
      </c>
      <c r="E901">
        <v>2</v>
      </c>
      <c r="G901">
        <v>421</v>
      </c>
      <c r="H901" t="s">
        <v>63</v>
      </c>
      <c r="I901" t="s">
        <v>88</v>
      </c>
      <c r="J901" t="s">
        <v>142</v>
      </c>
      <c r="L901">
        <v>0</v>
      </c>
      <c r="M901" t="s">
        <v>125</v>
      </c>
      <c r="O901" t="s">
        <v>125</v>
      </c>
      <c r="P901" t="s">
        <v>125</v>
      </c>
      <c r="Q901" t="s">
        <v>125</v>
      </c>
      <c r="R901" t="s">
        <v>125</v>
      </c>
      <c r="S901" t="s">
        <v>125</v>
      </c>
      <c r="T901">
        <v>0</v>
      </c>
      <c r="V901" t="s">
        <v>125</v>
      </c>
      <c r="AE901" t="s">
        <v>125</v>
      </c>
      <c r="AF901">
        <v>0</v>
      </c>
      <c r="AG901" t="s">
        <v>125</v>
      </c>
      <c r="AH901">
        <v>0</v>
      </c>
      <c r="AK901">
        <v>0</v>
      </c>
    </row>
    <row r="902" spans="1:37" x14ac:dyDescent="0.25">
      <c r="A902" t="s">
        <v>79</v>
      </c>
      <c r="B902">
        <v>4</v>
      </c>
      <c r="C902">
        <v>2</v>
      </c>
      <c r="D902">
        <v>1</v>
      </c>
      <c r="E902">
        <v>3</v>
      </c>
      <c r="G902">
        <v>421</v>
      </c>
      <c r="H902" t="s">
        <v>63</v>
      </c>
      <c r="I902" t="s">
        <v>95</v>
      </c>
      <c r="J902" t="s">
        <v>143</v>
      </c>
      <c r="L902">
        <v>0</v>
      </c>
      <c r="M902" t="s">
        <v>125</v>
      </c>
      <c r="O902" t="s">
        <v>125</v>
      </c>
      <c r="P902" t="s">
        <v>125</v>
      </c>
      <c r="Q902" t="s">
        <v>125</v>
      </c>
      <c r="R902" t="s">
        <v>125</v>
      </c>
      <c r="S902" t="s">
        <v>125</v>
      </c>
      <c r="T902">
        <v>0</v>
      </c>
      <c r="V902" t="s">
        <v>125</v>
      </c>
      <c r="AE902" t="s">
        <v>125</v>
      </c>
      <c r="AF902">
        <v>0</v>
      </c>
      <c r="AG902" t="s">
        <v>125</v>
      </c>
      <c r="AH902">
        <v>0</v>
      </c>
      <c r="AK902">
        <v>0</v>
      </c>
    </row>
    <row r="903" spans="1:37" x14ac:dyDescent="0.25">
      <c r="A903" t="s">
        <v>79</v>
      </c>
      <c r="B903">
        <v>4</v>
      </c>
      <c r="C903">
        <v>2</v>
      </c>
      <c r="D903">
        <v>1</v>
      </c>
      <c r="E903">
        <v>4</v>
      </c>
      <c r="G903">
        <v>421</v>
      </c>
      <c r="H903" t="s">
        <v>63</v>
      </c>
      <c r="I903" t="s">
        <v>102</v>
      </c>
      <c r="J903" t="s">
        <v>144</v>
      </c>
      <c r="L903">
        <v>0</v>
      </c>
      <c r="M903" t="s">
        <v>125</v>
      </c>
      <c r="O903" t="s">
        <v>125</v>
      </c>
      <c r="P903" t="s">
        <v>125</v>
      </c>
      <c r="Q903" t="s">
        <v>125</v>
      </c>
      <c r="R903" t="s">
        <v>125</v>
      </c>
      <c r="S903" t="s">
        <v>125</v>
      </c>
      <c r="T903">
        <v>0</v>
      </c>
      <c r="V903" t="s">
        <v>125</v>
      </c>
      <c r="AE903" t="s">
        <v>125</v>
      </c>
      <c r="AF903">
        <v>0</v>
      </c>
      <c r="AG903" t="s">
        <v>125</v>
      </c>
      <c r="AH903">
        <v>0</v>
      </c>
      <c r="AK903">
        <v>0</v>
      </c>
    </row>
    <row r="904" spans="1:37" x14ac:dyDescent="0.25">
      <c r="A904" t="s">
        <v>79</v>
      </c>
      <c r="B904">
        <v>4</v>
      </c>
      <c r="C904">
        <v>2</v>
      </c>
      <c r="D904">
        <v>1</v>
      </c>
      <c r="E904">
        <v>5</v>
      </c>
      <c r="G904">
        <v>421</v>
      </c>
      <c r="H904" t="s">
        <v>63</v>
      </c>
      <c r="I904" t="s">
        <v>109</v>
      </c>
      <c r="J904" t="s">
        <v>145</v>
      </c>
      <c r="L904">
        <v>0</v>
      </c>
      <c r="M904" t="s">
        <v>125</v>
      </c>
      <c r="O904" t="s">
        <v>125</v>
      </c>
      <c r="P904" t="s">
        <v>125</v>
      </c>
      <c r="Q904" t="s">
        <v>125</v>
      </c>
      <c r="R904" t="s">
        <v>125</v>
      </c>
      <c r="S904" t="s">
        <v>125</v>
      </c>
      <c r="T904">
        <v>0</v>
      </c>
      <c r="V904" t="s">
        <v>125</v>
      </c>
      <c r="AE904" t="s">
        <v>125</v>
      </c>
      <c r="AF904">
        <v>0</v>
      </c>
      <c r="AG904" t="s">
        <v>125</v>
      </c>
      <c r="AH904">
        <v>0</v>
      </c>
      <c r="AK904">
        <v>0</v>
      </c>
    </row>
    <row r="905" spans="1:37" x14ac:dyDescent="0.25">
      <c r="A905" t="s">
        <v>79</v>
      </c>
      <c r="B905">
        <v>4</v>
      </c>
      <c r="C905">
        <v>2</v>
      </c>
      <c r="D905">
        <v>1</v>
      </c>
      <c r="E905">
        <v>6</v>
      </c>
      <c r="G905">
        <v>421</v>
      </c>
      <c r="H905" t="s">
        <v>63</v>
      </c>
      <c r="I905" t="s">
        <v>116</v>
      </c>
      <c r="J905" t="s">
        <v>146</v>
      </c>
      <c r="L905">
        <v>0</v>
      </c>
      <c r="M905" t="s">
        <v>125</v>
      </c>
      <c r="O905" t="s">
        <v>125</v>
      </c>
      <c r="P905" t="s">
        <v>125</v>
      </c>
      <c r="Q905" t="s">
        <v>125</v>
      </c>
      <c r="R905" t="s">
        <v>125</v>
      </c>
      <c r="S905" t="s">
        <v>125</v>
      </c>
      <c r="T905">
        <v>0</v>
      </c>
      <c r="V905" t="s">
        <v>125</v>
      </c>
      <c r="AE905" t="s">
        <v>125</v>
      </c>
      <c r="AF905">
        <v>0</v>
      </c>
      <c r="AG905" t="s">
        <v>125</v>
      </c>
      <c r="AH905">
        <v>0</v>
      </c>
      <c r="AK905">
        <v>0</v>
      </c>
    </row>
    <row r="906" spans="1:37" x14ac:dyDescent="0.25">
      <c r="A906" t="s">
        <v>79</v>
      </c>
      <c r="B906">
        <v>4</v>
      </c>
      <c r="C906">
        <v>2</v>
      </c>
      <c r="D906">
        <v>1</v>
      </c>
      <c r="E906">
        <v>7</v>
      </c>
      <c r="G906">
        <v>421</v>
      </c>
      <c r="H906" t="s">
        <v>63</v>
      </c>
      <c r="I906" t="s">
        <v>123</v>
      </c>
      <c r="J906" t="s">
        <v>147</v>
      </c>
      <c r="L906">
        <v>0</v>
      </c>
      <c r="M906" t="s">
        <v>125</v>
      </c>
      <c r="O906" t="s">
        <v>125</v>
      </c>
      <c r="P906" t="s">
        <v>125</v>
      </c>
      <c r="Q906" t="s">
        <v>125</v>
      </c>
      <c r="R906" t="s">
        <v>125</v>
      </c>
      <c r="S906" t="s">
        <v>125</v>
      </c>
      <c r="T906">
        <v>0</v>
      </c>
      <c r="V906" t="s">
        <v>125</v>
      </c>
      <c r="AE906" t="s">
        <v>125</v>
      </c>
      <c r="AF906">
        <v>0</v>
      </c>
      <c r="AG906" t="s">
        <v>125</v>
      </c>
      <c r="AH906">
        <v>0</v>
      </c>
      <c r="AK906">
        <v>0</v>
      </c>
    </row>
    <row r="907" spans="1:37" x14ac:dyDescent="0.25">
      <c r="A907" t="s">
        <v>79</v>
      </c>
      <c r="B907">
        <v>4</v>
      </c>
      <c r="C907">
        <v>2</v>
      </c>
      <c r="D907">
        <v>1</v>
      </c>
      <c r="E907">
        <v>8</v>
      </c>
      <c r="G907">
        <v>421</v>
      </c>
      <c r="H907" t="s">
        <v>63</v>
      </c>
      <c r="I907" t="s">
        <v>126</v>
      </c>
      <c r="J907" t="s">
        <v>148</v>
      </c>
      <c r="L907">
        <v>0</v>
      </c>
      <c r="M907" t="s">
        <v>125</v>
      </c>
      <c r="O907" t="s">
        <v>125</v>
      </c>
      <c r="P907" t="s">
        <v>125</v>
      </c>
      <c r="Q907" t="s">
        <v>125</v>
      </c>
      <c r="R907" t="s">
        <v>125</v>
      </c>
      <c r="S907" t="s">
        <v>125</v>
      </c>
      <c r="T907">
        <v>0</v>
      </c>
      <c r="V907" t="s">
        <v>125</v>
      </c>
      <c r="AE907" t="s">
        <v>125</v>
      </c>
      <c r="AF907">
        <v>0</v>
      </c>
      <c r="AG907" t="s">
        <v>125</v>
      </c>
      <c r="AH907">
        <v>0</v>
      </c>
      <c r="AK907">
        <v>0</v>
      </c>
    </row>
    <row r="908" spans="1:37" x14ac:dyDescent="0.25">
      <c r="A908" t="s">
        <v>79</v>
      </c>
      <c r="B908">
        <v>4</v>
      </c>
      <c r="C908">
        <v>2</v>
      </c>
      <c r="D908">
        <v>1</v>
      </c>
      <c r="E908">
        <v>9</v>
      </c>
      <c r="G908">
        <v>421</v>
      </c>
      <c r="H908" t="s">
        <v>63</v>
      </c>
      <c r="I908" t="s">
        <v>74</v>
      </c>
      <c r="J908" t="s">
        <v>149</v>
      </c>
      <c r="L908">
        <v>0</v>
      </c>
      <c r="M908" t="s">
        <v>125</v>
      </c>
      <c r="O908" t="s">
        <v>125</v>
      </c>
      <c r="P908" t="s">
        <v>125</v>
      </c>
      <c r="Q908" t="s">
        <v>125</v>
      </c>
      <c r="R908" t="s">
        <v>125</v>
      </c>
      <c r="S908" t="s">
        <v>125</v>
      </c>
      <c r="T908">
        <v>0</v>
      </c>
      <c r="V908" t="s">
        <v>125</v>
      </c>
      <c r="AE908" t="s">
        <v>125</v>
      </c>
      <c r="AF908">
        <v>0</v>
      </c>
      <c r="AG908" t="s">
        <v>125</v>
      </c>
      <c r="AH908">
        <v>0</v>
      </c>
      <c r="AK908">
        <v>0</v>
      </c>
    </row>
    <row r="909" spans="1:37" x14ac:dyDescent="0.25">
      <c r="A909" t="s">
        <v>79</v>
      </c>
      <c r="B909">
        <v>4</v>
      </c>
      <c r="C909">
        <v>2</v>
      </c>
      <c r="D909">
        <v>1</v>
      </c>
      <c r="E909">
        <v>10</v>
      </c>
      <c r="G909">
        <v>421</v>
      </c>
      <c r="H909" t="s">
        <v>63</v>
      </c>
      <c r="I909" t="s">
        <v>129</v>
      </c>
      <c r="J909" t="s">
        <v>150</v>
      </c>
      <c r="L909">
        <v>0</v>
      </c>
      <c r="M909" t="s">
        <v>125</v>
      </c>
      <c r="O909" t="s">
        <v>125</v>
      </c>
      <c r="P909" t="s">
        <v>125</v>
      </c>
      <c r="Q909" t="s">
        <v>125</v>
      </c>
      <c r="R909" t="s">
        <v>125</v>
      </c>
      <c r="S909" t="s">
        <v>125</v>
      </c>
      <c r="T909">
        <v>0</v>
      </c>
      <c r="V909" t="s">
        <v>125</v>
      </c>
      <c r="AE909" t="s">
        <v>125</v>
      </c>
      <c r="AF909">
        <v>0</v>
      </c>
      <c r="AG909" t="s">
        <v>125</v>
      </c>
      <c r="AH909">
        <v>0</v>
      </c>
      <c r="AK909">
        <v>0</v>
      </c>
    </row>
    <row r="910" spans="1:37" x14ac:dyDescent="0.25">
      <c r="A910" t="s">
        <v>79</v>
      </c>
      <c r="B910">
        <v>4</v>
      </c>
      <c r="C910">
        <v>2</v>
      </c>
      <c r="D910">
        <v>1</v>
      </c>
      <c r="E910">
        <v>11</v>
      </c>
      <c r="G910">
        <v>421</v>
      </c>
      <c r="H910" t="s">
        <v>63</v>
      </c>
      <c r="I910" t="s">
        <v>131</v>
      </c>
      <c r="J910" t="s">
        <v>151</v>
      </c>
      <c r="L910">
        <v>0</v>
      </c>
      <c r="M910" t="s">
        <v>125</v>
      </c>
      <c r="O910" t="s">
        <v>125</v>
      </c>
      <c r="P910" t="s">
        <v>125</v>
      </c>
      <c r="Q910" t="s">
        <v>125</v>
      </c>
      <c r="R910" t="s">
        <v>125</v>
      </c>
      <c r="S910" t="s">
        <v>125</v>
      </c>
      <c r="T910">
        <v>0</v>
      </c>
      <c r="V910" t="s">
        <v>125</v>
      </c>
      <c r="AE910" t="s">
        <v>125</v>
      </c>
      <c r="AF910">
        <v>0</v>
      </c>
      <c r="AG910" t="s">
        <v>125</v>
      </c>
      <c r="AH910">
        <v>0</v>
      </c>
      <c r="AK910">
        <v>0</v>
      </c>
    </row>
    <row r="911" spans="1:37" x14ac:dyDescent="0.25">
      <c r="A911" t="s">
        <v>79</v>
      </c>
      <c r="B911">
        <v>4</v>
      </c>
      <c r="C911">
        <v>2</v>
      </c>
      <c r="D911">
        <v>1</v>
      </c>
      <c r="E911">
        <v>12</v>
      </c>
      <c r="G911">
        <v>421</v>
      </c>
      <c r="H911" t="s">
        <v>63</v>
      </c>
      <c r="I911" t="s">
        <v>133</v>
      </c>
      <c r="J911" t="s">
        <v>152</v>
      </c>
      <c r="L911">
        <v>0</v>
      </c>
      <c r="M911" t="s">
        <v>125</v>
      </c>
      <c r="O911" t="s">
        <v>125</v>
      </c>
      <c r="P911" t="s">
        <v>125</v>
      </c>
      <c r="Q911" t="s">
        <v>125</v>
      </c>
      <c r="R911" t="s">
        <v>125</v>
      </c>
      <c r="S911" t="s">
        <v>125</v>
      </c>
      <c r="T911">
        <v>0</v>
      </c>
      <c r="V911" t="s">
        <v>125</v>
      </c>
      <c r="AE911" t="s">
        <v>125</v>
      </c>
      <c r="AF911">
        <v>0</v>
      </c>
      <c r="AG911" t="s">
        <v>125</v>
      </c>
      <c r="AH911">
        <v>0</v>
      </c>
      <c r="AK911">
        <v>0</v>
      </c>
    </row>
    <row r="912" spans="1:37" x14ac:dyDescent="0.25">
      <c r="A912" t="s">
        <v>79</v>
      </c>
      <c r="B912">
        <v>4</v>
      </c>
      <c r="C912">
        <v>2</v>
      </c>
      <c r="D912">
        <v>1</v>
      </c>
      <c r="E912">
        <v>13</v>
      </c>
      <c r="G912">
        <v>421</v>
      </c>
      <c r="H912" t="s">
        <v>63</v>
      </c>
      <c r="I912" t="s">
        <v>135</v>
      </c>
      <c r="J912" t="s">
        <v>153</v>
      </c>
      <c r="L912">
        <v>0</v>
      </c>
      <c r="M912" t="s">
        <v>125</v>
      </c>
      <c r="O912" t="s">
        <v>125</v>
      </c>
      <c r="P912" t="s">
        <v>125</v>
      </c>
      <c r="Q912" t="s">
        <v>125</v>
      </c>
      <c r="R912" t="s">
        <v>125</v>
      </c>
      <c r="S912" t="s">
        <v>125</v>
      </c>
      <c r="T912">
        <v>0</v>
      </c>
      <c r="V912" t="s">
        <v>125</v>
      </c>
      <c r="AE912" t="s">
        <v>125</v>
      </c>
      <c r="AF912">
        <v>0</v>
      </c>
      <c r="AG912" t="s">
        <v>125</v>
      </c>
      <c r="AH912">
        <v>0</v>
      </c>
      <c r="AK912">
        <v>0</v>
      </c>
    </row>
    <row r="913" spans="1:37" x14ac:dyDescent="0.25">
      <c r="A913" t="s">
        <v>79</v>
      </c>
      <c r="B913">
        <v>4</v>
      </c>
      <c r="C913">
        <v>2</v>
      </c>
      <c r="D913">
        <v>1</v>
      </c>
      <c r="E913">
        <v>14</v>
      </c>
      <c r="G913">
        <v>421</v>
      </c>
      <c r="H913" t="s">
        <v>63</v>
      </c>
      <c r="I913" t="s">
        <v>137</v>
      </c>
      <c r="J913" t="s">
        <v>154</v>
      </c>
      <c r="L913">
        <v>0</v>
      </c>
      <c r="M913" t="s">
        <v>125</v>
      </c>
      <c r="O913" t="s">
        <v>125</v>
      </c>
      <c r="P913" t="s">
        <v>125</v>
      </c>
      <c r="Q913" t="s">
        <v>125</v>
      </c>
      <c r="R913" t="s">
        <v>125</v>
      </c>
      <c r="S913" t="s">
        <v>125</v>
      </c>
      <c r="T913">
        <v>0</v>
      </c>
      <c r="V913" t="s">
        <v>125</v>
      </c>
      <c r="AE913" t="s">
        <v>125</v>
      </c>
      <c r="AF913">
        <v>0</v>
      </c>
      <c r="AG913" t="s">
        <v>125</v>
      </c>
      <c r="AH913">
        <v>0</v>
      </c>
      <c r="AK913">
        <v>0</v>
      </c>
    </row>
    <row r="914" spans="1:37" x14ac:dyDescent="0.25">
      <c r="A914" t="s">
        <v>79</v>
      </c>
      <c r="B914">
        <v>4</v>
      </c>
      <c r="C914">
        <v>2</v>
      </c>
      <c r="D914">
        <v>1</v>
      </c>
      <c r="E914">
        <v>15</v>
      </c>
      <c r="G914">
        <v>421</v>
      </c>
      <c r="H914" t="s">
        <v>63</v>
      </c>
      <c r="I914" t="s">
        <v>139</v>
      </c>
      <c r="J914" t="s">
        <v>155</v>
      </c>
      <c r="L914">
        <v>0</v>
      </c>
      <c r="M914" t="s">
        <v>125</v>
      </c>
      <c r="O914" t="s">
        <v>125</v>
      </c>
      <c r="P914" t="s">
        <v>125</v>
      </c>
      <c r="Q914" t="s">
        <v>125</v>
      </c>
      <c r="R914" t="s">
        <v>125</v>
      </c>
      <c r="S914" t="s">
        <v>125</v>
      </c>
      <c r="T914">
        <v>0</v>
      </c>
      <c r="V914" t="s">
        <v>125</v>
      </c>
      <c r="AE914" t="s">
        <v>125</v>
      </c>
      <c r="AF914">
        <v>0</v>
      </c>
      <c r="AG914" t="s">
        <v>125</v>
      </c>
      <c r="AH914">
        <v>0</v>
      </c>
      <c r="AK914">
        <v>0</v>
      </c>
    </row>
    <row r="915" spans="1:37" x14ac:dyDescent="0.25">
      <c r="L915">
        <v>0</v>
      </c>
    </row>
    <row r="916" spans="1:37" x14ac:dyDescent="0.25">
      <c r="A916" t="s">
        <v>70</v>
      </c>
      <c r="B916">
        <v>4</v>
      </c>
      <c r="C916">
        <v>2</v>
      </c>
      <c r="D916">
        <v>2</v>
      </c>
      <c r="G916">
        <v>42</v>
      </c>
      <c r="L916">
        <v>0</v>
      </c>
      <c r="M916" t="s">
        <v>125</v>
      </c>
      <c r="P916" t="s">
        <v>125</v>
      </c>
      <c r="R916" t="s">
        <v>125</v>
      </c>
      <c r="S916" t="s">
        <v>63</v>
      </c>
      <c r="V916" t="s">
        <v>125</v>
      </c>
      <c r="X916" t="s">
        <v>125</v>
      </c>
      <c r="Y916" t="s">
        <v>125</v>
      </c>
      <c r="Z916" t="s">
        <v>125</v>
      </c>
      <c r="AA916" t="s">
        <v>125</v>
      </c>
      <c r="AB916" t="s">
        <v>125</v>
      </c>
      <c r="AC916" t="s">
        <v>125</v>
      </c>
      <c r="AE916" t="s">
        <v>125</v>
      </c>
      <c r="AF916">
        <v>0</v>
      </c>
      <c r="AG916" t="s">
        <v>125</v>
      </c>
      <c r="AH916">
        <v>0</v>
      </c>
      <c r="AK916">
        <v>0</v>
      </c>
    </row>
    <row r="917" spans="1:37" x14ac:dyDescent="0.25">
      <c r="A917" t="s">
        <v>79</v>
      </c>
      <c r="B917">
        <v>4</v>
      </c>
      <c r="C917">
        <v>2</v>
      </c>
      <c r="D917">
        <v>2</v>
      </c>
      <c r="E917">
        <v>1</v>
      </c>
      <c r="G917">
        <v>422</v>
      </c>
      <c r="H917" t="s">
        <v>63</v>
      </c>
      <c r="I917" t="s">
        <v>80</v>
      </c>
      <c r="J917" t="s">
        <v>141</v>
      </c>
      <c r="L917">
        <v>0</v>
      </c>
      <c r="M917" t="s">
        <v>125</v>
      </c>
      <c r="O917" t="s">
        <v>125</v>
      </c>
      <c r="P917" t="s">
        <v>125</v>
      </c>
      <c r="Q917" t="s">
        <v>125</v>
      </c>
      <c r="R917" t="s">
        <v>125</v>
      </c>
      <c r="S917" t="s">
        <v>125</v>
      </c>
      <c r="T917">
        <v>0</v>
      </c>
      <c r="V917" t="s">
        <v>125</v>
      </c>
      <c r="AE917" t="s">
        <v>125</v>
      </c>
      <c r="AF917">
        <v>0</v>
      </c>
      <c r="AG917" t="s">
        <v>125</v>
      </c>
      <c r="AH917">
        <v>0</v>
      </c>
      <c r="AK917">
        <v>0</v>
      </c>
    </row>
    <row r="918" spans="1:37" x14ac:dyDescent="0.25">
      <c r="A918" t="s">
        <v>79</v>
      </c>
      <c r="B918">
        <v>4</v>
      </c>
      <c r="C918">
        <v>2</v>
      </c>
      <c r="D918">
        <v>2</v>
      </c>
      <c r="E918">
        <v>2</v>
      </c>
      <c r="G918">
        <v>422</v>
      </c>
      <c r="H918" t="s">
        <v>63</v>
      </c>
      <c r="I918" t="s">
        <v>88</v>
      </c>
      <c r="J918" t="s">
        <v>142</v>
      </c>
      <c r="L918">
        <v>0</v>
      </c>
      <c r="M918" t="s">
        <v>125</v>
      </c>
      <c r="O918" t="s">
        <v>125</v>
      </c>
      <c r="P918" t="s">
        <v>125</v>
      </c>
      <c r="Q918" t="s">
        <v>125</v>
      </c>
      <c r="R918" t="s">
        <v>125</v>
      </c>
      <c r="S918" t="s">
        <v>125</v>
      </c>
      <c r="T918">
        <v>0</v>
      </c>
      <c r="V918" t="s">
        <v>125</v>
      </c>
      <c r="AE918" t="s">
        <v>125</v>
      </c>
      <c r="AF918">
        <v>0</v>
      </c>
      <c r="AG918" t="s">
        <v>125</v>
      </c>
      <c r="AH918">
        <v>0</v>
      </c>
      <c r="AK918">
        <v>0</v>
      </c>
    </row>
    <row r="919" spans="1:37" x14ac:dyDescent="0.25">
      <c r="A919" t="s">
        <v>79</v>
      </c>
      <c r="B919">
        <v>4</v>
      </c>
      <c r="C919">
        <v>2</v>
      </c>
      <c r="D919">
        <v>2</v>
      </c>
      <c r="E919">
        <v>3</v>
      </c>
      <c r="G919">
        <v>422</v>
      </c>
      <c r="H919" t="s">
        <v>63</v>
      </c>
      <c r="I919" t="s">
        <v>95</v>
      </c>
      <c r="J919" t="s">
        <v>143</v>
      </c>
      <c r="L919">
        <v>0</v>
      </c>
      <c r="M919" t="s">
        <v>125</v>
      </c>
      <c r="O919" t="s">
        <v>125</v>
      </c>
      <c r="P919" t="s">
        <v>125</v>
      </c>
      <c r="Q919" t="s">
        <v>125</v>
      </c>
      <c r="R919" t="s">
        <v>125</v>
      </c>
      <c r="S919" t="s">
        <v>125</v>
      </c>
      <c r="T919">
        <v>0</v>
      </c>
      <c r="V919" t="s">
        <v>125</v>
      </c>
      <c r="AE919" t="s">
        <v>125</v>
      </c>
      <c r="AF919">
        <v>0</v>
      </c>
      <c r="AG919" t="s">
        <v>125</v>
      </c>
      <c r="AH919">
        <v>0</v>
      </c>
      <c r="AK919">
        <v>0</v>
      </c>
    </row>
    <row r="920" spans="1:37" x14ac:dyDescent="0.25">
      <c r="A920" t="s">
        <v>79</v>
      </c>
      <c r="B920">
        <v>4</v>
      </c>
      <c r="C920">
        <v>2</v>
      </c>
      <c r="D920">
        <v>2</v>
      </c>
      <c r="E920">
        <v>4</v>
      </c>
      <c r="G920">
        <v>422</v>
      </c>
      <c r="H920" t="s">
        <v>63</v>
      </c>
      <c r="I920" t="s">
        <v>102</v>
      </c>
      <c r="J920" t="s">
        <v>144</v>
      </c>
      <c r="L920">
        <v>0</v>
      </c>
      <c r="M920" t="s">
        <v>125</v>
      </c>
      <c r="O920" t="s">
        <v>125</v>
      </c>
      <c r="P920" t="s">
        <v>125</v>
      </c>
      <c r="Q920" t="s">
        <v>125</v>
      </c>
      <c r="R920" t="s">
        <v>125</v>
      </c>
      <c r="S920" t="s">
        <v>125</v>
      </c>
      <c r="T920">
        <v>0</v>
      </c>
      <c r="V920" t="s">
        <v>125</v>
      </c>
      <c r="AE920" t="s">
        <v>125</v>
      </c>
      <c r="AF920">
        <v>0</v>
      </c>
      <c r="AG920" t="s">
        <v>125</v>
      </c>
      <c r="AH920">
        <v>0</v>
      </c>
      <c r="AK920">
        <v>0</v>
      </c>
    </row>
    <row r="921" spans="1:37" x14ac:dyDescent="0.25">
      <c r="A921" t="s">
        <v>79</v>
      </c>
      <c r="B921">
        <v>4</v>
      </c>
      <c r="C921">
        <v>2</v>
      </c>
      <c r="D921">
        <v>2</v>
      </c>
      <c r="E921">
        <v>5</v>
      </c>
      <c r="G921">
        <v>422</v>
      </c>
      <c r="H921" t="s">
        <v>63</v>
      </c>
      <c r="I921" t="s">
        <v>109</v>
      </c>
      <c r="J921" t="s">
        <v>145</v>
      </c>
      <c r="L921">
        <v>0</v>
      </c>
      <c r="M921" t="s">
        <v>125</v>
      </c>
      <c r="O921" t="s">
        <v>125</v>
      </c>
      <c r="P921" t="s">
        <v>125</v>
      </c>
      <c r="Q921" t="s">
        <v>125</v>
      </c>
      <c r="R921" t="s">
        <v>125</v>
      </c>
      <c r="S921" t="s">
        <v>125</v>
      </c>
      <c r="T921">
        <v>0</v>
      </c>
      <c r="V921" t="s">
        <v>125</v>
      </c>
      <c r="AE921" t="s">
        <v>125</v>
      </c>
      <c r="AF921">
        <v>0</v>
      </c>
      <c r="AG921" t="s">
        <v>125</v>
      </c>
      <c r="AH921">
        <v>0</v>
      </c>
      <c r="AK921">
        <v>0</v>
      </c>
    </row>
    <row r="922" spans="1:37" x14ac:dyDescent="0.25">
      <c r="A922" t="s">
        <v>79</v>
      </c>
      <c r="B922">
        <v>4</v>
      </c>
      <c r="C922">
        <v>2</v>
      </c>
      <c r="D922">
        <v>2</v>
      </c>
      <c r="E922">
        <v>6</v>
      </c>
      <c r="G922">
        <v>422</v>
      </c>
      <c r="H922" t="s">
        <v>63</v>
      </c>
      <c r="I922" t="s">
        <v>116</v>
      </c>
      <c r="J922" t="s">
        <v>146</v>
      </c>
      <c r="L922">
        <v>0</v>
      </c>
      <c r="M922" t="s">
        <v>125</v>
      </c>
      <c r="O922" t="s">
        <v>125</v>
      </c>
      <c r="P922" t="s">
        <v>125</v>
      </c>
      <c r="Q922" t="s">
        <v>125</v>
      </c>
      <c r="R922" t="s">
        <v>125</v>
      </c>
      <c r="S922" t="s">
        <v>125</v>
      </c>
      <c r="T922">
        <v>0</v>
      </c>
      <c r="V922" t="s">
        <v>125</v>
      </c>
      <c r="AE922" t="s">
        <v>125</v>
      </c>
      <c r="AF922">
        <v>0</v>
      </c>
      <c r="AG922" t="s">
        <v>125</v>
      </c>
      <c r="AH922">
        <v>0</v>
      </c>
      <c r="AK922">
        <v>0</v>
      </c>
    </row>
    <row r="923" spans="1:37" x14ac:dyDescent="0.25">
      <c r="A923" t="s">
        <v>79</v>
      </c>
      <c r="B923">
        <v>4</v>
      </c>
      <c r="C923">
        <v>2</v>
      </c>
      <c r="D923">
        <v>2</v>
      </c>
      <c r="E923">
        <v>7</v>
      </c>
      <c r="G923">
        <v>422</v>
      </c>
      <c r="H923" t="s">
        <v>63</v>
      </c>
      <c r="I923" t="s">
        <v>123</v>
      </c>
      <c r="J923" t="s">
        <v>147</v>
      </c>
      <c r="L923">
        <v>0</v>
      </c>
      <c r="M923" t="s">
        <v>125</v>
      </c>
      <c r="O923" t="s">
        <v>125</v>
      </c>
      <c r="P923" t="s">
        <v>125</v>
      </c>
      <c r="Q923" t="s">
        <v>125</v>
      </c>
      <c r="R923" t="s">
        <v>125</v>
      </c>
      <c r="S923" t="s">
        <v>125</v>
      </c>
      <c r="T923">
        <v>0</v>
      </c>
      <c r="V923" t="s">
        <v>125</v>
      </c>
      <c r="AE923" t="s">
        <v>125</v>
      </c>
      <c r="AF923">
        <v>0</v>
      </c>
      <c r="AG923" t="s">
        <v>125</v>
      </c>
      <c r="AH923">
        <v>0</v>
      </c>
      <c r="AK923">
        <v>0</v>
      </c>
    </row>
    <row r="924" spans="1:37" x14ac:dyDescent="0.25">
      <c r="A924" t="s">
        <v>79</v>
      </c>
      <c r="B924">
        <v>4</v>
      </c>
      <c r="C924">
        <v>2</v>
      </c>
      <c r="D924">
        <v>2</v>
      </c>
      <c r="E924">
        <v>8</v>
      </c>
      <c r="G924">
        <v>422</v>
      </c>
      <c r="H924" t="s">
        <v>63</v>
      </c>
      <c r="I924" t="s">
        <v>126</v>
      </c>
      <c r="J924" t="s">
        <v>148</v>
      </c>
      <c r="L924">
        <v>0</v>
      </c>
      <c r="M924" t="s">
        <v>125</v>
      </c>
      <c r="O924" t="s">
        <v>125</v>
      </c>
      <c r="P924" t="s">
        <v>125</v>
      </c>
      <c r="Q924" t="s">
        <v>125</v>
      </c>
      <c r="R924" t="s">
        <v>125</v>
      </c>
      <c r="S924" t="s">
        <v>125</v>
      </c>
      <c r="T924">
        <v>0</v>
      </c>
      <c r="V924" t="s">
        <v>125</v>
      </c>
      <c r="AE924" t="s">
        <v>125</v>
      </c>
      <c r="AF924">
        <v>0</v>
      </c>
      <c r="AG924" t="s">
        <v>125</v>
      </c>
      <c r="AH924">
        <v>0</v>
      </c>
      <c r="AK924">
        <v>0</v>
      </c>
    </row>
    <row r="925" spans="1:37" x14ac:dyDescent="0.25">
      <c r="A925" t="s">
        <v>79</v>
      </c>
      <c r="B925">
        <v>4</v>
      </c>
      <c r="C925">
        <v>2</v>
      </c>
      <c r="D925">
        <v>2</v>
      </c>
      <c r="E925">
        <v>9</v>
      </c>
      <c r="G925">
        <v>422</v>
      </c>
      <c r="H925" t="s">
        <v>63</v>
      </c>
      <c r="I925" t="s">
        <v>74</v>
      </c>
      <c r="J925" t="s">
        <v>149</v>
      </c>
      <c r="L925">
        <v>0</v>
      </c>
      <c r="M925" t="s">
        <v>125</v>
      </c>
      <c r="O925" t="s">
        <v>125</v>
      </c>
      <c r="P925" t="s">
        <v>125</v>
      </c>
      <c r="Q925" t="s">
        <v>125</v>
      </c>
      <c r="R925" t="s">
        <v>125</v>
      </c>
      <c r="S925" t="s">
        <v>125</v>
      </c>
      <c r="T925">
        <v>0</v>
      </c>
      <c r="V925" t="s">
        <v>125</v>
      </c>
      <c r="AE925" t="s">
        <v>125</v>
      </c>
      <c r="AF925">
        <v>0</v>
      </c>
      <c r="AG925" t="s">
        <v>125</v>
      </c>
      <c r="AH925">
        <v>0</v>
      </c>
      <c r="AK925">
        <v>0</v>
      </c>
    </row>
    <row r="926" spans="1:37" x14ac:dyDescent="0.25">
      <c r="A926" t="s">
        <v>79</v>
      </c>
      <c r="B926">
        <v>4</v>
      </c>
      <c r="C926">
        <v>2</v>
      </c>
      <c r="D926">
        <v>2</v>
      </c>
      <c r="E926">
        <v>10</v>
      </c>
      <c r="G926">
        <v>422</v>
      </c>
      <c r="H926" t="s">
        <v>63</v>
      </c>
      <c r="I926" t="s">
        <v>129</v>
      </c>
      <c r="J926" t="s">
        <v>150</v>
      </c>
      <c r="L926">
        <v>0</v>
      </c>
      <c r="M926" t="s">
        <v>125</v>
      </c>
      <c r="O926" t="s">
        <v>125</v>
      </c>
      <c r="P926" t="s">
        <v>125</v>
      </c>
      <c r="Q926" t="s">
        <v>125</v>
      </c>
      <c r="R926" t="s">
        <v>125</v>
      </c>
      <c r="S926" t="s">
        <v>125</v>
      </c>
      <c r="T926">
        <v>0</v>
      </c>
      <c r="V926" t="s">
        <v>125</v>
      </c>
      <c r="AE926" t="s">
        <v>125</v>
      </c>
      <c r="AF926">
        <v>0</v>
      </c>
      <c r="AG926" t="s">
        <v>125</v>
      </c>
      <c r="AH926">
        <v>0</v>
      </c>
      <c r="AK926">
        <v>0</v>
      </c>
    </row>
    <row r="927" spans="1:37" x14ac:dyDescent="0.25">
      <c r="A927" t="s">
        <v>79</v>
      </c>
      <c r="B927">
        <v>4</v>
      </c>
      <c r="C927">
        <v>2</v>
      </c>
      <c r="D927">
        <v>2</v>
      </c>
      <c r="E927">
        <v>11</v>
      </c>
      <c r="G927">
        <v>422</v>
      </c>
      <c r="H927" t="s">
        <v>63</v>
      </c>
      <c r="I927" t="s">
        <v>131</v>
      </c>
      <c r="J927" t="s">
        <v>151</v>
      </c>
      <c r="L927">
        <v>0</v>
      </c>
      <c r="M927" t="s">
        <v>125</v>
      </c>
      <c r="O927" t="s">
        <v>125</v>
      </c>
      <c r="P927" t="s">
        <v>125</v>
      </c>
      <c r="Q927" t="s">
        <v>125</v>
      </c>
      <c r="R927" t="s">
        <v>125</v>
      </c>
      <c r="S927" t="s">
        <v>125</v>
      </c>
      <c r="T927">
        <v>0</v>
      </c>
      <c r="V927" t="s">
        <v>125</v>
      </c>
      <c r="AE927" t="s">
        <v>125</v>
      </c>
      <c r="AF927">
        <v>0</v>
      </c>
      <c r="AG927" t="s">
        <v>125</v>
      </c>
      <c r="AH927">
        <v>0</v>
      </c>
      <c r="AK927">
        <v>0</v>
      </c>
    </row>
    <row r="928" spans="1:37" x14ac:dyDescent="0.25">
      <c r="A928" t="s">
        <v>79</v>
      </c>
      <c r="B928">
        <v>4</v>
      </c>
      <c r="C928">
        <v>2</v>
      </c>
      <c r="D928">
        <v>2</v>
      </c>
      <c r="E928">
        <v>12</v>
      </c>
      <c r="G928">
        <v>422</v>
      </c>
      <c r="H928" t="s">
        <v>63</v>
      </c>
      <c r="I928" t="s">
        <v>133</v>
      </c>
      <c r="J928" t="s">
        <v>152</v>
      </c>
      <c r="L928">
        <v>0</v>
      </c>
      <c r="M928" t="s">
        <v>125</v>
      </c>
      <c r="O928" t="s">
        <v>125</v>
      </c>
      <c r="P928" t="s">
        <v>125</v>
      </c>
      <c r="Q928" t="s">
        <v>125</v>
      </c>
      <c r="R928" t="s">
        <v>125</v>
      </c>
      <c r="S928" t="s">
        <v>125</v>
      </c>
      <c r="T928">
        <v>0</v>
      </c>
      <c r="V928" t="s">
        <v>125</v>
      </c>
      <c r="AE928" t="s">
        <v>125</v>
      </c>
      <c r="AF928">
        <v>0</v>
      </c>
      <c r="AG928" t="s">
        <v>125</v>
      </c>
      <c r="AH928">
        <v>0</v>
      </c>
      <c r="AK928">
        <v>0</v>
      </c>
    </row>
    <row r="929" spans="1:37" x14ac:dyDescent="0.25">
      <c r="A929" t="s">
        <v>79</v>
      </c>
      <c r="B929">
        <v>4</v>
      </c>
      <c r="C929">
        <v>2</v>
      </c>
      <c r="D929">
        <v>2</v>
      </c>
      <c r="E929">
        <v>13</v>
      </c>
      <c r="G929">
        <v>422</v>
      </c>
      <c r="H929" t="s">
        <v>63</v>
      </c>
      <c r="I929" t="s">
        <v>135</v>
      </c>
      <c r="J929" t="s">
        <v>153</v>
      </c>
      <c r="L929">
        <v>0</v>
      </c>
      <c r="M929" t="s">
        <v>125</v>
      </c>
      <c r="O929" t="s">
        <v>125</v>
      </c>
      <c r="P929" t="s">
        <v>125</v>
      </c>
      <c r="Q929" t="s">
        <v>125</v>
      </c>
      <c r="R929" t="s">
        <v>125</v>
      </c>
      <c r="S929" t="s">
        <v>125</v>
      </c>
      <c r="T929">
        <v>0</v>
      </c>
      <c r="V929" t="s">
        <v>125</v>
      </c>
      <c r="AE929" t="s">
        <v>125</v>
      </c>
      <c r="AF929">
        <v>0</v>
      </c>
      <c r="AG929" t="s">
        <v>125</v>
      </c>
      <c r="AH929">
        <v>0</v>
      </c>
      <c r="AK929">
        <v>0</v>
      </c>
    </row>
    <row r="930" spans="1:37" x14ac:dyDescent="0.25">
      <c r="A930" t="s">
        <v>79</v>
      </c>
      <c r="B930">
        <v>4</v>
      </c>
      <c r="C930">
        <v>2</v>
      </c>
      <c r="D930">
        <v>2</v>
      </c>
      <c r="E930">
        <v>14</v>
      </c>
      <c r="G930">
        <v>422</v>
      </c>
      <c r="H930" t="s">
        <v>63</v>
      </c>
      <c r="I930" t="s">
        <v>137</v>
      </c>
      <c r="J930" t="s">
        <v>154</v>
      </c>
      <c r="L930">
        <v>0</v>
      </c>
      <c r="M930" t="s">
        <v>125</v>
      </c>
      <c r="O930" t="s">
        <v>125</v>
      </c>
      <c r="P930" t="s">
        <v>125</v>
      </c>
      <c r="Q930" t="s">
        <v>125</v>
      </c>
      <c r="R930" t="s">
        <v>125</v>
      </c>
      <c r="S930" t="s">
        <v>125</v>
      </c>
      <c r="T930">
        <v>0</v>
      </c>
      <c r="V930" t="s">
        <v>125</v>
      </c>
      <c r="AE930" t="s">
        <v>125</v>
      </c>
      <c r="AF930">
        <v>0</v>
      </c>
      <c r="AG930" t="s">
        <v>125</v>
      </c>
      <c r="AH930">
        <v>0</v>
      </c>
      <c r="AK930">
        <v>0</v>
      </c>
    </row>
    <row r="931" spans="1:37" x14ac:dyDescent="0.25">
      <c r="A931" t="s">
        <v>79</v>
      </c>
      <c r="B931">
        <v>4</v>
      </c>
      <c r="C931">
        <v>2</v>
      </c>
      <c r="D931">
        <v>2</v>
      </c>
      <c r="E931">
        <v>15</v>
      </c>
      <c r="G931">
        <v>422</v>
      </c>
      <c r="H931" t="s">
        <v>63</v>
      </c>
      <c r="I931" t="s">
        <v>139</v>
      </c>
      <c r="J931" t="s">
        <v>155</v>
      </c>
      <c r="L931">
        <v>0</v>
      </c>
      <c r="M931" t="s">
        <v>125</v>
      </c>
      <c r="O931" t="s">
        <v>125</v>
      </c>
      <c r="P931" t="s">
        <v>125</v>
      </c>
      <c r="Q931" t="s">
        <v>125</v>
      </c>
      <c r="R931" t="s">
        <v>125</v>
      </c>
      <c r="S931" t="s">
        <v>125</v>
      </c>
      <c r="T931">
        <v>0</v>
      </c>
      <c r="V931" t="s">
        <v>125</v>
      </c>
      <c r="AE931" t="s">
        <v>125</v>
      </c>
      <c r="AF931">
        <v>0</v>
      </c>
      <c r="AG931" t="s">
        <v>125</v>
      </c>
      <c r="AH931">
        <v>0</v>
      </c>
      <c r="AK931">
        <v>0</v>
      </c>
    </row>
    <row r="932" spans="1:37" x14ac:dyDescent="0.25">
      <c r="L932">
        <v>0</v>
      </c>
    </row>
    <row r="933" spans="1:37" x14ac:dyDescent="0.25">
      <c r="A933" t="s">
        <v>70</v>
      </c>
      <c r="B933">
        <v>4</v>
      </c>
      <c r="C933">
        <v>2</v>
      </c>
      <c r="D933">
        <v>3</v>
      </c>
      <c r="G933">
        <v>42</v>
      </c>
      <c r="L933">
        <v>0</v>
      </c>
      <c r="M933" t="s">
        <v>125</v>
      </c>
      <c r="P933" t="s">
        <v>125</v>
      </c>
      <c r="R933" t="s">
        <v>125</v>
      </c>
      <c r="S933" t="s">
        <v>63</v>
      </c>
      <c r="V933" t="s">
        <v>125</v>
      </c>
      <c r="X933" t="s">
        <v>125</v>
      </c>
      <c r="Y933" t="s">
        <v>125</v>
      </c>
      <c r="Z933" t="s">
        <v>125</v>
      </c>
      <c r="AA933" t="s">
        <v>125</v>
      </c>
      <c r="AB933" t="s">
        <v>125</v>
      </c>
      <c r="AC933" t="s">
        <v>125</v>
      </c>
      <c r="AE933" t="s">
        <v>125</v>
      </c>
      <c r="AF933">
        <v>0</v>
      </c>
      <c r="AG933" t="s">
        <v>125</v>
      </c>
      <c r="AH933">
        <v>0</v>
      </c>
      <c r="AK933">
        <v>0</v>
      </c>
    </row>
    <row r="934" spans="1:37" x14ac:dyDescent="0.25">
      <c r="A934" t="s">
        <v>79</v>
      </c>
      <c r="B934">
        <v>4</v>
      </c>
      <c r="C934">
        <v>2</v>
      </c>
      <c r="D934">
        <v>3</v>
      </c>
      <c r="E934">
        <v>1</v>
      </c>
      <c r="G934">
        <v>423</v>
      </c>
      <c r="H934" t="s">
        <v>63</v>
      </c>
      <c r="I934" t="s">
        <v>80</v>
      </c>
      <c r="J934" t="s">
        <v>141</v>
      </c>
      <c r="L934">
        <v>0</v>
      </c>
      <c r="M934" t="s">
        <v>125</v>
      </c>
      <c r="O934" t="s">
        <v>125</v>
      </c>
      <c r="P934" t="s">
        <v>125</v>
      </c>
      <c r="Q934" t="s">
        <v>125</v>
      </c>
      <c r="R934" t="s">
        <v>125</v>
      </c>
      <c r="S934" t="s">
        <v>125</v>
      </c>
      <c r="T934">
        <v>0</v>
      </c>
      <c r="V934" t="s">
        <v>125</v>
      </c>
      <c r="AE934" t="s">
        <v>125</v>
      </c>
      <c r="AF934">
        <v>0</v>
      </c>
      <c r="AG934" t="s">
        <v>125</v>
      </c>
      <c r="AH934">
        <v>0</v>
      </c>
      <c r="AK934">
        <v>0</v>
      </c>
    </row>
    <row r="935" spans="1:37" x14ac:dyDescent="0.25">
      <c r="A935" t="s">
        <v>79</v>
      </c>
      <c r="B935">
        <v>4</v>
      </c>
      <c r="C935">
        <v>2</v>
      </c>
      <c r="D935">
        <v>3</v>
      </c>
      <c r="E935">
        <v>2</v>
      </c>
      <c r="G935">
        <v>423</v>
      </c>
      <c r="H935" t="s">
        <v>63</v>
      </c>
      <c r="I935" t="s">
        <v>88</v>
      </c>
      <c r="J935" t="s">
        <v>142</v>
      </c>
      <c r="L935">
        <v>0</v>
      </c>
      <c r="M935" t="s">
        <v>125</v>
      </c>
      <c r="O935" t="s">
        <v>125</v>
      </c>
      <c r="P935" t="s">
        <v>125</v>
      </c>
      <c r="Q935" t="s">
        <v>125</v>
      </c>
      <c r="R935" t="s">
        <v>125</v>
      </c>
      <c r="S935" t="s">
        <v>125</v>
      </c>
      <c r="T935">
        <v>0</v>
      </c>
      <c r="V935" t="s">
        <v>125</v>
      </c>
      <c r="AE935" t="s">
        <v>125</v>
      </c>
      <c r="AF935">
        <v>0</v>
      </c>
      <c r="AG935" t="s">
        <v>125</v>
      </c>
      <c r="AH935">
        <v>0</v>
      </c>
      <c r="AK935">
        <v>0</v>
      </c>
    </row>
    <row r="936" spans="1:37" x14ac:dyDescent="0.25">
      <c r="A936" t="s">
        <v>79</v>
      </c>
      <c r="B936">
        <v>4</v>
      </c>
      <c r="C936">
        <v>2</v>
      </c>
      <c r="D936">
        <v>3</v>
      </c>
      <c r="E936">
        <v>3</v>
      </c>
      <c r="G936">
        <v>423</v>
      </c>
      <c r="H936" t="s">
        <v>63</v>
      </c>
      <c r="I936" t="s">
        <v>95</v>
      </c>
      <c r="J936" t="s">
        <v>143</v>
      </c>
      <c r="L936">
        <v>0</v>
      </c>
      <c r="M936" t="s">
        <v>125</v>
      </c>
      <c r="O936" t="s">
        <v>125</v>
      </c>
      <c r="P936" t="s">
        <v>125</v>
      </c>
      <c r="Q936" t="s">
        <v>125</v>
      </c>
      <c r="R936" t="s">
        <v>125</v>
      </c>
      <c r="S936" t="s">
        <v>125</v>
      </c>
      <c r="T936">
        <v>0</v>
      </c>
      <c r="V936" t="s">
        <v>125</v>
      </c>
      <c r="AE936" t="s">
        <v>125</v>
      </c>
      <c r="AF936">
        <v>0</v>
      </c>
      <c r="AG936" t="s">
        <v>125</v>
      </c>
      <c r="AH936">
        <v>0</v>
      </c>
      <c r="AK936">
        <v>0</v>
      </c>
    </row>
    <row r="937" spans="1:37" x14ac:dyDescent="0.25">
      <c r="A937" t="s">
        <v>79</v>
      </c>
      <c r="B937">
        <v>4</v>
      </c>
      <c r="C937">
        <v>2</v>
      </c>
      <c r="D937">
        <v>3</v>
      </c>
      <c r="E937">
        <v>4</v>
      </c>
      <c r="G937">
        <v>423</v>
      </c>
      <c r="H937" t="s">
        <v>63</v>
      </c>
      <c r="I937" t="s">
        <v>102</v>
      </c>
      <c r="J937" t="s">
        <v>144</v>
      </c>
      <c r="L937">
        <v>0</v>
      </c>
      <c r="M937" t="s">
        <v>125</v>
      </c>
      <c r="O937" t="s">
        <v>125</v>
      </c>
      <c r="P937" t="s">
        <v>125</v>
      </c>
      <c r="Q937" t="s">
        <v>125</v>
      </c>
      <c r="R937" t="s">
        <v>125</v>
      </c>
      <c r="S937" t="s">
        <v>125</v>
      </c>
      <c r="T937">
        <v>0</v>
      </c>
      <c r="V937" t="s">
        <v>125</v>
      </c>
      <c r="AE937" t="s">
        <v>125</v>
      </c>
      <c r="AF937">
        <v>0</v>
      </c>
      <c r="AG937" t="s">
        <v>125</v>
      </c>
      <c r="AH937">
        <v>0</v>
      </c>
      <c r="AK937">
        <v>0</v>
      </c>
    </row>
    <row r="938" spans="1:37" x14ac:dyDescent="0.25">
      <c r="A938" t="s">
        <v>79</v>
      </c>
      <c r="B938">
        <v>4</v>
      </c>
      <c r="C938">
        <v>2</v>
      </c>
      <c r="D938">
        <v>3</v>
      </c>
      <c r="E938">
        <v>5</v>
      </c>
      <c r="G938">
        <v>423</v>
      </c>
      <c r="H938" t="s">
        <v>63</v>
      </c>
      <c r="I938" t="s">
        <v>109</v>
      </c>
      <c r="J938" t="s">
        <v>145</v>
      </c>
      <c r="L938">
        <v>0</v>
      </c>
      <c r="M938" t="s">
        <v>125</v>
      </c>
      <c r="O938" t="s">
        <v>125</v>
      </c>
      <c r="P938" t="s">
        <v>125</v>
      </c>
      <c r="Q938" t="s">
        <v>125</v>
      </c>
      <c r="R938" t="s">
        <v>125</v>
      </c>
      <c r="S938" t="s">
        <v>125</v>
      </c>
      <c r="T938">
        <v>0</v>
      </c>
      <c r="V938" t="s">
        <v>125</v>
      </c>
      <c r="AE938" t="s">
        <v>125</v>
      </c>
      <c r="AF938">
        <v>0</v>
      </c>
      <c r="AG938" t="s">
        <v>125</v>
      </c>
      <c r="AH938">
        <v>0</v>
      </c>
      <c r="AK938">
        <v>0</v>
      </c>
    </row>
    <row r="939" spans="1:37" x14ac:dyDescent="0.25">
      <c r="A939" t="s">
        <v>79</v>
      </c>
      <c r="B939">
        <v>4</v>
      </c>
      <c r="C939">
        <v>2</v>
      </c>
      <c r="D939">
        <v>3</v>
      </c>
      <c r="E939">
        <v>6</v>
      </c>
      <c r="G939">
        <v>423</v>
      </c>
      <c r="H939" t="s">
        <v>63</v>
      </c>
      <c r="I939" t="s">
        <v>116</v>
      </c>
      <c r="J939" t="s">
        <v>146</v>
      </c>
      <c r="L939">
        <v>0</v>
      </c>
      <c r="M939" t="s">
        <v>125</v>
      </c>
      <c r="O939" t="s">
        <v>125</v>
      </c>
      <c r="P939" t="s">
        <v>125</v>
      </c>
      <c r="Q939" t="s">
        <v>125</v>
      </c>
      <c r="R939" t="s">
        <v>125</v>
      </c>
      <c r="S939" t="s">
        <v>125</v>
      </c>
      <c r="T939">
        <v>0</v>
      </c>
      <c r="V939" t="s">
        <v>125</v>
      </c>
      <c r="AE939" t="s">
        <v>125</v>
      </c>
      <c r="AF939">
        <v>0</v>
      </c>
      <c r="AG939" t="s">
        <v>125</v>
      </c>
      <c r="AH939">
        <v>0</v>
      </c>
      <c r="AK939">
        <v>0</v>
      </c>
    </row>
    <row r="940" spans="1:37" x14ac:dyDescent="0.25">
      <c r="A940" t="s">
        <v>79</v>
      </c>
      <c r="B940">
        <v>4</v>
      </c>
      <c r="C940">
        <v>2</v>
      </c>
      <c r="D940">
        <v>3</v>
      </c>
      <c r="E940">
        <v>7</v>
      </c>
      <c r="G940">
        <v>423</v>
      </c>
      <c r="H940" t="s">
        <v>63</v>
      </c>
      <c r="I940" t="s">
        <v>123</v>
      </c>
      <c r="J940" t="s">
        <v>147</v>
      </c>
      <c r="L940">
        <v>0</v>
      </c>
      <c r="M940" t="s">
        <v>125</v>
      </c>
      <c r="O940" t="s">
        <v>125</v>
      </c>
      <c r="P940" t="s">
        <v>125</v>
      </c>
      <c r="Q940" t="s">
        <v>125</v>
      </c>
      <c r="R940" t="s">
        <v>125</v>
      </c>
      <c r="S940" t="s">
        <v>125</v>
      </c>
      <c r="T940">
        <v>0</v>
      </c>
      <c r="V940" t="s">
        <v>125</v>
      </c>
      <c r="AE940" t="s">
        <v>125</v>
      </c>
      <c r="AF940">
        <v>0</v>
      </c>
      <c r="AG940" t="s">
        <v>125</v>
      </c>
      <c r="AH940">
        <v>0</v>
      </c>
      <c r="AK940">
        <v>0</v>
      </c>
    </row>
    <row r="941" spans="1:37" x14ac:dyDescent="0.25">
      <c r="A941" t="s">
        <v>79</v>
      </c>
      <c r="B941">
        <v>4</v>
      </c>
      <c r="C941">
        <v>2</v>
      </c>
      <c r="D941">
        <v>3</v>
      </c>
      <c r="E941">
        <v>8</v>
      </c>
      <c r="G941">
        <v>423</v>
      </c>
      <c r="H941" t="s">
        <v>63</v>
      </c>
      <c r="I941" t="s">
        <v>126</v>
      </c>
      <c r="J941" t="s">
        <v>148</v>
      </c>
      <c r="L941">
        <v>0</v>
      </c>
      <c r="M941" t="s">
        <v>125</v>
      </c>
      <c r="O941" t="s">
        <v>125</v>
      </c>
      <c r="P941" t="s">
        <v>125</v>
      </c>
      <c r="Q941" t="s">
        <v>125</v>
      </c>
      <c r="R941" t="s">
        <v>125</v>
      </c>
      <c r="S941" t="s">
        <v>125</v>
      </c>
      <c r="T941">
        <v>0</v>
      </c>
      <c r="V941" t="s">
        <v>125</v>
      </c>
      <c r="AE941" t="s">
        <v>125</v>
      </c>
      <c r="AF941">
        <v>0</v>
      </c>
      <c r="AG941" t="s">
        <v>125</v>
      </c>
      <c r="AH941">
        <v>0</v>
      </c>
      <c r="AK941">
        <v>0</v>
      </c>
    </row>
    <row r="942" spans="1:37" x14ac:dyDescent="0.25">
      <c r="A942" t="s">
        <v>79</v>
      </c>
      <c r="B942">
        <v>4</v>
      </c>
      <c r="C942">
        <v>2</v>
      </c>
      <c r="D942">
        <v>3</v>
      </c>
      <c r="E942">
        <v>9</v>
      </c>
      <c r="G942">
        <v>423</v>
      </c>
      <c r="H942" t="s">
        <v>63</v>
      </c>
      <c r="I942" t="s">
        <v>74</v>
      </c>
      <c r="J942" t="s">
        <v>149</v>
      </c>
      <c r="L942">
        <v>0</v>
      </c>
      <c r="M942" t="s">
        <v>125</v>
      </c>
      <c r="O942" t="s">
        <v>125</v>
      </c>
      <c r="P942" t="s">
        <v>125</v>
      </c>
      <c r="Q942" t="s">
        <v>125</v>
      </c>
      <c r="R942" t="s">
        <v>125</v>
      </c>
      <c r="S942" t="s">
        <v>125</v>
      </c>
      <c r="T942">
        <v>0</v>
      </c>
      <c r="V942" t="s">
        <v>125</v>
      </c>
      <c r="AE942" t="s">
        <v>125</v>
      </c>
      <c r="AF942">
        <v>0</v>
      </c>
      <c r="AG942" t="s">
        <v>125</v>
      </c>
      <c r="AH942">
        <v>0</v>
      </c>
      <c r="AK942">
        <v>0</v>
      </c>
    </row>
    <row r="943" spans="1:37" x14ac:dyDescent="0.25">
      <c r="A943" t="s">
        <v>79</v>
      </c>
      <c r="B943">
        <v>4</v>
      </c>
      <c r="C943">
        <v>2</v>
      </c>
      <c r="D943">
        <v>3</v>
      </c>
      <c r="E943">
        <v>10</v>
      </c>
      <c r="G943">
        <v>423</v>
      </c>
      <c r="H943" t="s">
        <v>63</v>
      </c>
      <c r="I943" t="s">
        <v>129</v>
      </c>
      <c r="J943" t="s">
        <v>150</v>
      </c>
      <c r="L943">
        <v>0</v>
      </c>
      <c r="M943" t="s">
        <v>125</v>
      </c>
      <c r="O943" t="s">
        <v>125</v>
      </c>
      <c r="P943" t="s">
        <v>125</v>
      </c>
      <c r="Q943" t="s">
        <v>125</v>
      </c>
      <c r="R943" t="s">
        <v>125</v>
      </c>
      <c r="S943" t="s">
        <v>125</v>
      </c>
      <c r="T943">
        <v>0</v>
      </c>
      <c r="V943" t="s">
        <v>125</v>
      </c>
      <c r="AE943" t="s">
        <v>125</v>
      </c>
      <c r="AF943">
        <v>0</v>
      </c>
      <c r="AG943" t="s">
        <v>125</v>
      </c>
      <c r="AH943">
        <v>0</v>
      </c>
      <c r="AK943">
        <v>0</v>
      </c>
    </row>
    <row r="944" spans="1:37" x14ac:dyDescent="0.25">
      <c r="A944" t="s">
        <v>79</v>
      </c>
      <c r="B944">
        <v>4</v>
      </c>
      <c r="C944">
        <v>2</v>
      </c>
      <c r="D944">
        <v>3</v>
      </c>
      <c r="E944">
        <v>11</v>
      </c>
      <c r="G944">
        <v>423</v>
      </c>
      <c r="H944" t="s">
        <v>63</v>
      </c>
      <c r="I944" t="s">
        <v>131</v>
      </c>
      <c r="J944" t="s">
        <v>151</v>
      </c>
      <c r="L944">
        <v>0</v>
      </c>
      <c r="M944" t="s">
        <v>125</v>
      </c>
      <c r="O944" t="s">
        <v>125</v>
      </c>
      <c r="P944" t="s">
        <v>125</v>
      </c>
      <c r="Q944" t="s">
        <v>125</v>
      </c>
      <c r="R944" t="s">
        <v>125</v>
      </c>
      <c r="S944" t="s">
        <v>125</v>
      </c>
      <c r="T944">
        <v>0</v>
      </c>
      <c r="V944" t="s">
        <v>125</v>
      </c>
      <c r="AE944" t="s">
        <v>125</v>
      </c>
      <c r="AF944">
        <v>0</v>
      </c>
      <c r="AG944" t="s">
        <v>125</v>
      </c>
      <c r="AH944">
        <v>0</v>
      </c>
      <c r="AK944">
        <v>0</v>
      </c>
    </row>
    <row r="945" spans="1:37" x14ac:dyDescent="0.25">
      <c r="A945" t="s">
        <v>79</v>
      </c>
      <c r="B945">
        <v>4</v>
      </c>
      <c r="C945">
        <v>2</v>
      </c>
      <c r="D945">
        <v>3</v>
      </c>
      <c r="E945">
        <v>12</v>
      </c>
      <c r="G945">
        <v>423</v>
      </c>
      <c r="H945" t="s">
        <v>63</v>
      </c>
      <c r="I945" t="s">
        <v>133</v>
      </c>
      <c r="J945" t="s">
        <v>152</v>
      </c>
      <c r="L945">
        <v>0</v>
      </c>
      <c r="M945" t="s">
        <v>125</v>
      </c>
      <c r="O945" t="s">
        <v>125</v>
      </c>
      <c r="P945" t="s">
        <v>125</v>
      </c>
      <c r="Q945" t="s">
        <v>125</v>
      </c>
      <c r="R945" t="s">
        <v>125</v>
      </c>
      <c r="S945" t="s">
        <v>125</v>
      </c>
      <c r="T945">
        <v>0</v>
      </c>
      <c r="V945" t="s">
        <v>125</v>
      </c>
      <c r="AE945" t="s">
        <v>125</v>
      </c>
      <c r="AF945">
        <v>0</v>
      </c>
      <c r="AG945" t="s">
        <v>125</v>
      </c>
      <c r="AH945">
        <v>0</v>
      </c>
      <c r="AK945">
        <v>0</v>
      </c>
    </row>
    <row r="946" spans="1:37" x14ac:dyDescent="0.25">
      <c r="A946" t="s">
        <v>79</v>
      </c>
      <c r="B946">
        <v>4</v>
      </c>
      <c r="C946">
        <v>2</v>
      </c>
      <c r="D946">
        <v>3</v>
      </c>
      <c r="E946">
        <v>13</v>
      </c>
      <c r="G946">
        <v>423</v>
      </c>
      <c r="H946" t="s">
        <v>63</v>
      </c>
      <c r="I946" t="s">
        <v>135</v>
      </c>
      <c r="J946" t="s">
        <v>153</v>
      </c>
      <c r="L946">
        <v>0</v>
      </c>
      <c r="M946" t="s">
        <v>125</v>
      </c>
      <c r="O946" t="s">
        <v>125</v>
      </c>
      <c r="P946" t="s">
        <v>125</v>
      </c>
      <c r="Q946" t="s">
        <v>125</v>
      </c>
      <c r="R946" t="s">
        <v>125</v>
      </c>
      <c r="S946" t="s">
        <v>125</v>
      </c>
      <c r="T946">
        <v>0</v>
      </c>
      <c r="V946" t="s">
        <v>125</v>
      </c>
      <c r="AE946" t="s">
        <v>125</v>
      </c>
      <c r="AF946">
        <v>0</v>
      </c>
      <c r="AG946" t="s">
        <v>125</v>
      </c>
      <c r="AH946">
        <v>0</v>
      </c>
      <c r="AK946">
        <v>0</v>
      </c>
    </row>
    <row r="947" spans="1:37" x14ac:dyDescent="0.25">
      <c r="A947" t="s">
        <v>79</v>
      </c>
      <c r="B947">
        <v>4</v>
      </c>
      <c r="C947">
        <v>2</v>
      </c>
      <c r="D947">
        <v>3</v>
      </c>
      <c r="E947">
        <v>14</v>
      </c>
      <c r="G947">
        <v>423</v>
      </c>
      <c r="H947" t="s">
        <v>63</v>
      </c>
      <c r="I947" t="s">
        <v>137</v>
      </c>
      <c r="J947" t="s">
        <v>154</v>
      </c>
      <c r="L947">
        <v>0</v>
      </c>
      <c r="M947" t="s">
        <v>125</v>
      </c>
      <c r="O947" t="s">
        <v>125</v>
      </c>
      <c r="P947" t="s">
        <v>125</v>
      </c>
      <c r="Q947" t="s">
        <v>125</v>
      </c>
      <c r="R947" t="s">
        <v>125</v>
      </c>
      <c r="S947" t="s">
        <v>125</v>
      </c>
      <c r="T947">
        <v>0</v>
      </c>
      <c r="V947" t="s">
        <v>125</v>
      </c>
      <c r="AE947" t="s">
        <v>125</v>
      </c>
      <c r="AF947">
        <v>0</v>
      </c>
      <c r="AG947" t="s">
        <v>125</v>
      </c>
      <c r="AH947">
        <v>0</v>
      </c>
      <c r="AK947">
        <v>0</v>
      </c>
    </row>
    <row r="948" spans="1:37" x14ac:dyDescent="0.25">
      <c r="A948" t="s">
        <v>79</v>
      </c>
      <c r="B948">
        <v>4</v>
      </c>
      <c r="C948">
        <v>2</v>
      </c>
      <c r="D948">
        <v>3</v>
      </c>
      <c r="E948">
        <v>15</v>
      </c>
      <c r="G948">
        <v>423</v>
      </c>
      <c r="H948" t="s">
        <v>63</v>
      </c>
      <c r="I948" t="s">
        <v>139</v>
      </c>
      <c r="J948" t="s">
        <v>155</v>
      </c>
      <c r="L948">
        <v>0</v>
      </c>
      <c r="M948" t="s">
        <v>125</v>
      </c>
      <c r="O948" t="s">
        <v>125</v>
      </c>
      <c r="P948" t="s">
        <v>125</v>
      </c>
      <c r="Q948" t="s">
        <v>125</v>
      </c>
      <c r="R948" t="s">
        <v>125</v>
      </c>
      <c r="S948" t="s">
        <v>125</v>
      </c>
      <c r="T948">
        <v>0</v>
      </c>
      <c r="V948" t="s">
        <v>125</v>
      </c>
      <c r="AE948" t="s">
        <v>125</v>
      </c>
      <c r="AF948">
        <v>0</v>
      </c>
      <c r="AG948" t="s">
        <v>125</v>
      </c>
      <c r="AH948">
        <v>0</v>
      </c>
      <c r="AK948">
        <v>0</v>
      </c>
    </row>
    <row r="949" spans="1:37" x14ac:dyDescent="0.25">
      <c r="L949">
        <v>0</v>
      </c>
    </row>
    <row r="950" spans="1:37" x14ac:dyDescent="0.25">
      <c r="A950" t="s">
        <v>70</v>
      </c>
      <c r="B950">
        <v>4</v>
      </c>
      <c r="C950">
        <v>2</v>
      </c>
      <c r="D950">
        <v>4</v>
      </c>
      <c r="G950">
        <v>42</v>
      </c>
      <c r="L950">
        <v>0</v>
      </c>
      <c r="M950" t="s">
        <v>125</v>
      </c>
      <c r="P950" t="s">
        <v>125</v>
      </c>
      <c r="R950" t="s">
        <v>125</v>
      </c>
      <c r="S950" t="s">
        <v>63</v>
      </c>
      <c r="V950" t="s">
        <v>125</v>
      </c>
      <c r="X950" t="s">
        <v>125</v>
      </c>
      <c r="Y950" t="s">
        <v>125</v>
      </c>
      <c r="Z950" t="s">
        <v>125</v>
      </c>
      <c r="AA950" t="s">
        <v>125</v>
      </c>
      <c r="AB950" t="s">
        <v>125</v>
      </c>
      <c r="AC950" t="s">
        <v>125</v>
      </c>
      <c r="AE950" t="s">
        <v>125</v>
      </c>
      <c r="AF950">
        <v>0</v>
      </c>
      <c r="AG950" t="s">
        <v>125</v>
      </c>
      <c r="AH950">
        <v>0</v>
      </c>
      <c r="AK950">
        <v>0</v>
      </c>
    </row>
    <row r="951" spans="1:37" x14ac:dyDescent="0.25">
      <c r="A951" t="s">
        <v>79</v>
      </c>
      <c r="B951">
        <v>4</v>
      </c>
      <c r="C951">
        <v>2</v>
      </c>
      <c r="D951">
        <v>4</v>
      </c>
      <c r="E951">
        <v>1</v>
      </c>
      <c r="G951">
        <v>424</v>
      </c>
      <c r="H951" t="s">
        <v>63</v>
      </c>
      <c r="I951" t="s">
        <v>80</v>
      </c>
      <c r="J951" t="s">
        <v>141</v>
      </c>
      <c r="L951">
        <v>0</v>
      </c>
      <c r="M951" t="s">
        <v>125</v>
      </c>
      <c r="O951" t="s">
        <v>125</v>
      </c>
      <c r="P951" t="s">
        <v>125</v>
      </c>
      <c r="Q951" t="s">
        <v>125</v>
      </c>
      <c r="R951" t="s">
        <v>125</v>
      </c>
      <c r="S951" t="s">
        <v>125</v>
      </c>
      <c r="T951">
        <v>0</v>
      </c>
      <c r="V951" t="s">
        <v>125</v>
      </c>
      <c r="AE951" t="s">
        <v>125</v>
      </c>
      <c r="AF951">
        <v>0</v>
      </c>
      <c r="AG951" t="s">
        <v>125</v>
      </c>
      <c r="AH951">
        <v>0</v>
      </c>
      <c r="AK951">
        <v>0</v>
      </c>
    </row>
    <row r="952" spans="1:37" x14ac:dyDescent="0.25">
      <c r="A952" t="s">
        <v>79</v>
      </c>
      <c r="B952">
        <v>4</v>
      </c>
      <c r="C952">
        <v>2</v>
      </c>
      <c r="D952">
        <v>4</v>
      </c>
      <c r="E952">
        <v>2</v>
      </c>
      <c r="G952">
        <v>424</v>
      </c>
      <c r="H952" t="s">
        <v>63</v>
      </c>
      <c r="I952" t="s">
        <v>88</v>
      </c>
      <c r="J952" t="s">
        <v>142</v>
      </c>
      <c r="L952">
        <v>0</v>
      </c>
      <c r="M952" t="s">
        <v>125</v>
      </c>
      <c r="O952" t="s">
        <v>125</v>
      </c>
      <c r="P952" t="s">
        <v>125</v>
      </c>
      <c r="Q952" t="s">
        <v>125</v>
      </c>
      <c r="R952" t="s">
        <v>125</v>
      </c>
      <c r="S952" t="s">
        <v>125</v>
      </c>
      <c r="T952">
        <v>0</v>
      </c>
      <c r="V952" t="s">
        <v>125</v>
      </c>
      <c r="AE952" t="s">
        <v>125</v>
      </c>
      <c r="AF952">
        <v>0</v>
      </c>
      <c r="AG952" t="s">
        <v>125</v>
      </c>
      <c r="AH952">
        <v>0</v>
      </c>
      <c r="AK952">
        <v>0</v>
      </c>
    </row>
    <row r="953" spans="1:37" x14ac:dyDescent="0.25">
      <c r="A953" t="s">
        <v>79</v>
      </c>
      <c r="B953">
        <v>4</v>
      </c>
      <c r="C953">
        <v>2</v>
      </c>
      <c r="D953">
        <v>4</v>
      </c>
      <c r="E953">
        <v>3</v>
      </c>
      <c r="G953">
        <v>424</v>
      </c>
      <c r="H953" t="s">
        <v>63</v>
      </c>
      <c r="I953" t="s">
        <v>95</v>
      </c>
      <c r="J953" t="s">
        <v>143</v>
      </c>
      <c r="L953">
        <v>0</v>
      </c>
      <c r="M953" t="s">
        <v>125</v>
      </c>
      <c r="O953" t="s">
        <v>125</v>
      </c>
      <c r="P953" t="s">
        <v>125</v>
      </c>
      <c r="Q953" t="s">
        <v>125</v>
      </c>
      <c r="R953" t="s">
        <v>125</v>
      </c>
      <c r="S953" t="s">
        <v>125</v>
      </c>
      <c r="T953">
        <v>0</v>
      </c>
      <c r="V953" t="s">
        <v>125</v>
      </c>
      <c r="AE953" t="s">
        <v>125</v>
      </c>
      <c r="AF953">
        <v>0</v>
      </c>
      <c r="AG953" t="s">
        <v>125</v>
      </c>
      <c r="AH953">
        <v>0</v>
      </c>
      <c r="AK953">
        <v>0</v>
      </c>
    </row>
    <row r="954" spans="1:37" x14ac:dyDescent="0.25">
      <c r="A954" t="s">
        <v>79</v>
      </c>
      <c r="B954">
        <v>4</v>
      </c>
      <c r="C954">
        <v>2</v>
      </c>
      <c r="D954">
        <v>4</v>
      </c>
      <c r="E954">
        <v>4</v>
      </c>
      <c r="G954">
        <v>424</v>
      </c>
      <c r="H954" t="s">
        <v>63</v>
      </c>
      <c r="I954" t="s">
        <v>102</v>
      </c>
      <c r="J954" t="s">
        <v>144</v>
      </c>
      <c r="L954">
        <v>0</v>
      </c>
      <c r="M954" t="s">
        <v>125</v>
      </c>
      <c r="O954" t="s">
        <v>125</v>
      </c>
      <c r="P954" t="s">
        <v>125</v>
      </c>
      <c r="Q954" t="s">
        <v>125</v>
      </c>
      <c r="R954" t="s">
        <v>125</v>
      </c>
      <c r="S954" t="s">
        <v>125</v>
      </c>
      <c r="T954">
        <v>0</v>
      </c>
      <c r="V954" t="s">
        <v>125</v>
      </c>
      <c r="AE954" t="s">
        <v>125</v>
      </c>
      <c r="AF954">
        <v>0</v>
      </c>
      <c r="AG954" t="s">
        <v>125</v>
      </c>
      <c r="AH954">
        <v>0</v>
      </c>
      <c r="AK954">
        <v>0</v>
      </c>
    </row>
    <row r="955" spans="1:37" x14ac:dyDescent="0.25">
      <c r="A955" t="s">
        <v>79</v>
      </c>
      <c r="B955">
        <v>4</v>
      </c>
      <c r="C955">
        <v>2</v>
      </c>
      <c r="D955">
        <v>4</v>
      </c>
      <c r="E955">
        <v>5</v>
      </c>
      <c r="G955">
        <v>424</v>
      </c>
      <c r="H955" t="s">
        <v>63</v>
      </c>
      <c r="I955" t="s">
        <v>109</v>
      </c>
      <c r="J955" t="s">
        <v>145</v>
      </c>
      <c r="L955">
        <v>0</v>
      </c>
      <c r="M955" t="s">
        <v>125</v>
      </c>
      <c r="O955" t="s">
        <v>125</v>
      </c>
      <c r="P955" t="s">
        <v>125</v>
      </c>
      <c r="Q955" t="s">
        <v>125</v>
      </c>
      <c r="R955" t="s">
        <v>125</v>
      </c>
      <c r="S955" t="s">
        <v>125</v>
      </c>
      <c r="T955">
        <v>0</v>
      </c>
      <c r="V955" t="s">
        <v>125</v>
      </c>
      <c r="AE955" t="s">
        <v>125</v>
      </c>
      <c r="AF955">
        <v>0</v>
      </c>
      <c r="AG955" t="s">
        <v>125</v>
      </c>
      <c r="AH955">
        <v>0</v>
      </c>
      <c r="AK955">
        <v>0</v>
      </c>
    </row>
    <row r="956" spans="1:37" x14ac:dyDescent="0.25">
      <c r="A956" t="s">
        <v>79</v>
      </c>
      <c r="B956">
        <v>4</v>
      </c>
      <c r="C956">
        <v>2</v>
      </c>
      <c r="D956">
        <v>4</v>
      </c>
      <c r="E956">
        <v>6</v>
      </c>
      <c r="G956">
        <v>424</v>
      </c>
      <c r="H956" t="s">
        <v>63</v>
      </c>
      <c r="I956" t="s">
        <v>116</v>
      </c>
      <c r="J956" t="s">
        <v>146</v>
      </c>
      <c r="L956">
        <v>0</v>
      </c>
      <c r="M956" t="s">
        <v>125</v>
      </c>
      <c r="O956" t="s">
        <v>125</v>
      </c>
      <c r="P956" t="s">
        <v>125</v>
      </c>
      <c r="Q956" t="s">
        <v>125</v>
      </c>
      <c r="R956" t="s">
        <v>125</v>
      </c>
      <c r="S956" t="s">
        <v>125</v>
      </c>
      <c r="T956">
        <v>0</v>
      </c>
      <c r="V956" t="s">
        <v>125</v>
      </c>
      <c r="AE956" t="s">
        <v>125</v>
      </c>
      <c r="AF956">
        <v>0</v>
      </c>
      <c r="AG956" t="s">
        <v>125</v>
      </c>
      <c r="AH956">
        <v>0</v>
      </c>
      <c r="AK956">
        <v>0</v>
      </c>
    </row>
    <row r="957" spans="1:37" x14ac:dyDescent="0.25">
      <c r="A957" t="s">
        <v>79</v>
      </c>
      <c r="B957">
        <v>4</v>
      </c>
      <c r="C957">
        <v>2</v>
      </c>
      <c r="D957">
        <v>4</v>
      </c>
      <c r="E957">
        <v>7</v>
      </c>
      <c r="G957">
        <v>424</v>
      </c>
      <c r="H957" t="s">
        <v>63</v>
      </c>
      <c r="I957" t="s">
        <v>123</v>
      </c>
      <c r="J957" t="s">
        <v>147</v>
      </c>
      <c r="L957">
        <v>0</v>
      </c>
      <c r="M957" t="s">
        <v>125</v>
      </c>
      <c r="O957" t="s">
        <v>125</v>
      </c>
      <c r="P957" t="s">
        <v>125</v>
      </c>
      <c r="Q957" t="s">
        <v>125</v>
      </c>
      <c r="R957" t="s">
        <v>125</v>
      </c>
      <c r="S957" t="s">
        <v>125</v>
      </c>
      <c r="T957">
        <v>0</v>
      </c>
      <c r="V957" t="s">
        <v>125</v>
      </c>
      <c r="AE957" t="s">
        <v>125</v>
      </c>
      <c r="AF957">
        <v>0</v>
      </c>
      <c r="AG957" t="s">
        <v>125</v>
      </c>
      <c r="AH957">
        <v>0</v>
      </c>
      <c r="AK957">
        <v>0</v>
      </c>
    </row>
    <row r="958" spans="1:37" x14ac:dyDescent="0.25">
      <c r="A958" t="s">
        <v>79</v>
      </c>
      <c r="B958">
        <v>4</v>
      </c>
      <c r="C958">
        <v>2</v>
      </c>
      <c r="D958">
        <v>4</v>
      </c>
      <c r="E958">
        <v>8</v>
      </c>
      <c r="G958">
        <v>424</v>
      </c>
      <c r="H958" t="s">
        <v>63</v>
      </c>
      <c r="I958" t="s">
        <v>126</v>
      </c>
      <c r="J958" t="s">
        <v>148</v>
      </c>
      <c r="L958">
        <v>0</v>
      </c>
      <c r="M958" t="s">
        <v>125</v>
      </c>
      <c r="O958" t="s">
        <v>125</v>
      </c>
      <c r="P958" t="s">
        <v>125</v>
      </c>
      <c r="Q958" t="s">
        <v>125</v>
      </c>
      <c r="R958" t="s">
        <v>125</v>
      </c>
      <c r="S958" t="s">
        <v>125</v>
      </c>
      <c r="T958">
        <v>0</v>
      </c>
      <c r="V958" t="s">
        <v>125</v>
      </c>
      <c r="AE958" t="s">
        <v>125</v>
      </c>
      <c r="AF958">
        <v>0</v>
      </c>
      <c r="AG958" t="s">
        <v>125</v>
      </c>
      <c r="AH958">
        <v>0</v>
      </c>
      <c r="AK958">
        <v>0</v>
      </c>
    </row>
    <row r="959" spans="1:37" x14ac:dyDescent="0.25">
      <c r="A959" t="s">
        <v>79</v>
      </c>
      <c r="B959">
        <v>4</v>
      </c>
      <c r="C959">
        <v>2</v>
      </c>
      <c r="D959">
        <v>4</v>
      </c>
      <c r="E959">
        <v>9</v>
      </c>
      <c r="G959">
        <v>424</v>
      </c>
      <c r="H959" t="s">
        <v>63</v>
      </c>
      <c r="I959" t="s">
        <v>74</v>
      </c>
      <c r="J959" t="s">
        <v>149</v>
      </c>
      <c r="L959">
        <v>0</v>
      </c>
      <c r="M959" t="s">
        <v>125</v>
      </c>
      <c r="O959" t="s">
        <v>125</v>
      </c>
      <c r="P959" t="s">
        <v>125</v>
      </c>
      <c r="Q959" t="s">
        <v>125</v>
      </c>
      <c r="R959" t="s">
        <v>125</v>
      </c>
      <c r="S959" t="s">
        <v>125</v>
      </c>
      <c r="T959">
        <v>0</v>
      </c>
      <c r="V959" t="s">
        <v>125</v>
      </c>
      <c r="AE959" t="s">
        <v>125</v>
      </c>
      <c r="AF959">
        <v>0</v>
      </c>
      <c r="AG959" t="s">
        <v>125</v>
      </c>
      <c r="AH959">
        <v>0</v>
      </c>
      <c r="AK959">
        <v>0</v>
      </c>
    </row>
    <row r="960" spans="1:37" x14ac:dyDescent="0.25">
      <c r="A960" t="s">
        <v>79</v>
      </c>
      <c r="B960">
        <v>4</v>
      </c>
      <c r="C960">
        <v>2</v>
      </c>
      <c r="D960">
        <v>4</v>
      </c>
      <c r="E960">
        <v>10</v>
      </c>
      <c r="G960">
        <v>424</v>
      </c>
      <c r="H960" t="s">
        <v>63</v>
      </c>
      <c r="I960" t="s">
        <v>129</v>
      </c>
      <c r="J960" t="s">
        <v>150</v>
      </c>
      <c r="L960">
        <v>0</v>
      </c>
      <c r="M960" t="s">
        <v>125</v>
      </c>
      <c r="O960" t="s">
        <v>125</v>
      </c>
      <c r="P960" t="s">
        <v>125</v>
      </c>
      <c r="Q960" t="s">
        <v>125</v>
      </c>
      <c r="R960" t="s">
        <v>125</v>
      </c>
      <c r="S960" t="s">
        <v>125</v>
      </c>
      <c r="T960">
        <v>0</v>
      </c>
      <c r="V960" t="s">
        <v>125</v>
      </c>
      <c r="AE960" t="s">
        <v>125</v>
      </c>
      <c r="AF960">
        <v>0</v>
      </c>
      <c r="AG960" t="s">
        <v>125</v>
      </c>
      <c r="AH960">
        <v>0</v>
      </c>
      <c r="AK960">
        <v>0</v>
      </c>
    </row>
    <row r="961" spans="1:37" x14ac:dyDescent="0.25">
      <c r="A961" t="s">
        <v>79</v>
      </c>
      <c r="B961">
        <v>4</v>
      </c>
      <c r="C961">
        <v>2</v>
      </c>
      <c r="D961">
        <v>4</v>
      </c>
      <c r="E961">
        <v>11</v>
      </c>
      <c r="G961">
        <v>424</v>
      </c>
      <c r="H961" t="s">
        <v>63</v>
      </c>
      <c r="I961" t="s">
        <v>131</v>
      </c>
      <c r="J961" t="s">
        <v>151</v>
      </c>
      <c r="L961">
        <v>0</v>
      </c>
      <c r="M961" t="s">
        <v>125</v>
      </c>
      <c r="O961" t="s">
        <v>125</v>
      </c>
      <c r="P961" t="s">
        <v>125</v>
      </c>
      <c r="Q961" t="s">
        <v>125</v>
      </c>
      <c r="R961" t="s">
        <v>125</v>
      </c>
      <c r="S961" t="s">
        <v>125</v>
      </c>
      <c r="T961">
        <v>0</v>
      </c>
      <c r="V961" t="s">
        <v>125</v>
      </c>
      <c r="AE961" t="s">
        <v>125</v>
      </c>
      <c r="AF961">
        <v>0</v>
      </c>
      <c r="AG961" t="s">
        <v>125</v>
      </c>
      <c r="AH961">
        <v>0</v>
      </c>
      <c r="AK961">
        <v>0</v>
      </c>
    </row>
    <row r="962" spans="1:37" x14ac:dyDescent="0.25">
      <c r="A962" t="s">
        <v>79</v>
      </c>
      <c r="B962">
        <v>4</v>
      </c>
      <c r="C962">
        <v>2</v>
      </c>
      <c r="D962">
        <v>4</v>
      </c>
      <c r="E962">
        <v>12</v>
      </c>
      <c r="G962">
        <v>424</v>
      </c>
      <c r="H962" t="s">
        <v>63</v>
      </c>
      <c r="I962" t="s">
        <v>133</v>
      </c>
      <c r="J962" t="s">
        <v>152</v>
      </c>
      <c r="L962">
        <v>0</v>
      </c>
      <c r="M962" t="s">
        <v>125</v>
      </c>
      <c r="O962" t="s">
        <v>125</v>
      </c>
      <c r="P962" t="s">
        <v>125</v>
      </c>
      <c r="Q962" t="s">
        <v>125</v>
      </c>
      <c r="R962" t="s">
        <v>125</v>
      </c>
      <c r="S962" t="s">
        <v>125</v>
      </c>
      <c r="T962">
        <v>0</v>
      </c>
      <c r="V962" t="s">
        <v>125</v>
      </c>
      <c r="AE962" t="s">
        <v>125</v>
      </c>
      <c r="AF962">
        <v>0</v>
      </c>
      <c r="AG962" t="s">
        <v>125</v>
      </c>
      <c r="AH962">
        <v>0</v>
      </c>
      <c r="AK962">
        <v>0</v>
      </c>
    </row>
    <row r="963" spans="1:37" x14ac:dyDescent="0.25">
      <c r="A963" t="s">
        <v>79</v>
      </c>
      <c r="B963">
        <v>4</v>
      </c>
      <c r="C963">
        <v>2</v>
      </c>
      <c r="D963">
        <v>4</v>
      </c>
      <c r="E963">
        <v>13</v>
      </c>
      <c r="G963">
        <v>424</v>
      </c>
      <c r="H963" t="s">
        <v>63</v>
      </c>
      <c r="I963" t="s">
        <v>135</v>
      </c>
      <c r="J963" t="s">
        <v>153</v>
      </c>
      <c r="L963">
        <v>0</v>
      </c>
      <c r="M963" t="s">
        <v>125</v>
      </c>
      <c r="O963" t="s">
        <v>125</v>
      </c>
      <c r="P963" t="s">
        <v>125</v>
      </c>
      <c r="Q963" t="s">
        <v>125</v>
      </c>
      <c r="R963" t="s">
        <v>125</v>
      </c>
      <c r="S963" t="s">
        <v>125</v>
      </c>
      <c r="T963">
        <v>0</v>
      </c>
      <c r="V963" t="s">
        <v>125</v>
      </c>
      <c r="AE963" t="s">
        <v>125</v>
      </c>
      <c r="AF963">
        <v>0</v>
      </c>
      <c r="AG963" t="s">
        <v>125</v>
      </c>
      <c r="AH963">
        <v>0</v>
      </c>
      <c r="AK963">
        <v>0</v>
      </c>
    </row>
    <row r="964" spans="1:37" x14ac:dyDescent="0.25">
      <c r="A964" t="s">
        <v>79</v>
      </c>
      <c r="B964">
        <v>4</v>
      </c>
      <c r="C964">
        <v>2</v>
      </c>
      <c r="D964">
        <v>4</v>
      </c>
      <c r="E964">
        <v>14</v>
      </c>
      <c r="G964">
        <v>424</v>
      </c>
      <c r="H964" t="s">
        <v>63</v>
      </c>
      <c r="I964" t="s">
        <v>137</v>
      </c>
      <c r="J964" t="s">
        <v>154</v>
      </c>
      <c r="L964">
        <v>0</v>
      </c>
      <c r="M964" t="s">
        <v>125</v>
      </c>
      <c r="O964" t="s">
        <v>125</v>
      </c>
      <c r="P964" t="s">
        <v>125</v>
      </c>
      <c r="Q964" t="s">
        <v>125</v>
      </c>
      <c r="R964" t="s">
        <v>125</v>
      </c>
      <c r="S964" t="s">
        <v>125</v>
      </c>
      <c r="T964">
        <v>0</v>
      </c>
      <c r="V964" t="s">
        <v>125</v>
      </c>
      <c r="AE964" t="s">
        <v>125</v>
      </c>
      <c r="AF964">
        <v>0</v>
      </c>
      <c r="AG964" t="s">
        <v>125</v>
      </c>
      <c r="AH964">
        <v>0</v>
      </c>
      <c r="AK964">
        <v>0</v>
      </c>
    </row>
    <row r="965" spans="1:37" x14ac:dyDescent="0.25">
      <c r="A965" t="s">
        <v>79</v>
      </c>
      <c r="B965">
        <v>4</v>
      </c>
      <c r="C965">
        <v>2</v>
      </c>
      <c r="D965">
        <v>4</v>
      </c>
      <c r="E965">
        <v>15</v>
      </c>
      <c r="G965">
        <v>424</v>
      </c>
      <c r="H965" t="s">
        <v>63</v>
      </c>
      <c r="I965" t="s">
        <v>139</v>
      </c>
      <c r="J965" t="s">
        <v>155</v>
      </c>
      <c r="L965">
        <v>0</v>
      </c>
      <c r="M965" t="s">
        <v>125</v>
      </c>
      <c r="O965" t="s">
        <v>125</v>
      </c>
      <c r="P965" t="s">
        <v>125</v>
      </c>
      <c r="Q965" t="s">
        <v>125</v>
      </c>
      <c r="R965" t="s">
        <v>125</v>
      </c>
      <c r="S965" t="s">
        <v>125</v>
      </c>
      <c r="T965">
        <v>0</v>
      </c>
      <c r="V965" t="s">
        <v>125</v>
      </c>
      <c r="AE965" t="s">
        <v>125</v>
      </c>
      <c r="AF965">
        <v>0</v>
      </c>
      <c r="AG965" t="s">
        <v>125</v>
      </c>
      <c r="AH965">
        <v>0</v>
      </c>
      <c r="AK965">
        <v>0</v>
      </c>
    </row>
    <row r="966" spans="1:37" x14ac:dyDescent="0.25">
      <c r="L966">
        <v>0</v>
      </c>
    </row>
    <row r="967" spans="1:37" x14ac:dyDescent="0.25">
      <c r="A967" t="s">
        <v>70</v>
      </c>
      <c r="B967">
        <v>4</v>
      </c>
      <c r="C967">
        <v>2</v>
      </c>
      <c r="D967">
        <v>5</v>
      </c>
      <c r="G967">
        <v>42</v>
      </c>
      <c r="L967">
        <v>0</v>
      </c>
      <c r="M967" t="s">
        <v>125</v>
      </c>
      <c r="P967" t="s">
        <v>125</v>
      </c>
      <c r="R967" t="s">
        <v>125</v>
      </c>
      <c r="S967" t="s">
        <v>63</v>
      </c>
      <c r="V967" t="s">
        <v>125</v>
      </c>
      <c r="X967" t="s">
        <v>125</v>
      </c>
      <c r="Y967" t="s">
        <v>125</v>
      </c>
      <c r="Z967" t="s">
        <v>125</v>
      </c>
      <c r="AA967" t="s">
        <v>125</v>
      </c>
      <c r="AB967" t="s">
        <v>125</v>
      </c>
      <c r="AC967" t="s">
        <v>125</v>
      </c>
      <c r="AE967" t="s">
        <v>125</v>
      </c>
      <c r="AF967">
        <v>0</v>
      </c>
      <c r="AG967" t="s">
        <v>125</v>
      </c>
      <c r="AH967">
        <v>0</v>
      </c>
      <c r="AK967">
        <v>0</v>
      </c>
    </row>
    <row r="968" spans="1:37" x14ac:dyDescent="0.25">
      <c r="A968" t="s">
        <v>79</v>
      </c>
      <c r="B968">
        <v>4</v>
      </c>
      <c r="C968">
        <v>2</v>
      </c>
      <c r="D968">
        <v>5</v>
      </c>
      <c r="E968">
        <v>1</v>
      </c>
      <c r="G968">
        <v>425</v>
      </c>
      <c r="H968" t="s">
        <v>63</v>
      </c>
      <c r="I968" t="s">
        <v>80</v>
      </c>
      <c r="J968" t="s">
        <v>141</v>
      </c>
      <c r="L968">
        <v>0</v>
      </c>
      <c r="M968" t="s">
        <v>125</v>
      </c>
      <c r="O968" t="s">
        <v>125</v>
      </c>
      <c r="P968" t="s">
        <v>125</v>
      </c>
      <c r="Q968" t="s">
        <v>125</v>
      </c>
      <c r="R968" t="s">
        <v>125</v>
      </c>
      <c r="S968" t="s">
        <v>125</v>
      </c>
      <c r="T968">
        <v>0</v>
      </c>
      <c r="V968" t="s">
        <v>125</v>
      </c>
      <c r="AE968" t="s">
        <v>125</v>
      </c>
      <c r="AF968">
        <v>0</v>
      </c>
      <c r="AG968" t="s">
        <v>125</v>
      </c>
      <c r="AH968">
        <v>0</v>
      </c>
      <c r="AK968">
        <v>0</v>
      </c>
    </row>
    <row r="969" spans="1:37" x14ac:dyDescent="0.25">
      <c r="A969" t="s">
        <v>79</v>
      </c>
      <c r="B969">
        <v>4</v>
      </c>
      <c r="C969">
        <v>2</v>
      </c>
      <c r="D969">
        <v>5</v>
      </c>
      <c r="E969">
        <v>2</v>
      </c>
      <c r="G969">
        <v>425</v>
      </c>
      <c r="H969" t="s">
        <v>63</v>
      </c>
      <c r="I969" t="s">
        <v>88</v>
      </c>
      <c r="J969" t="s">
        <v>142</v>
      </c>
      <c r="L969">
        <v>0</v>
      </c>
      <c r="M969" t="s">
        <v>125</v>
      </c>
      <c r="O969" t="s">
        <v>125</v>
      </c>
      <c r="P969" t="s">
        <v>125</v>
      </c>
      <c r="Q969" t="s">
        <v>125</v>
      </c>
      <c r="R969" t="s">
        <v>125</v>
      </c>
      <c r="S969" t="s">
        <v>125</v>
      </c>
      <c r="T969">
        <v>0</v>
      </c>
      <c r="V969" t="s">
        <v>125</v>
      </c>
      <c r="AE969" t="s">
        <v>125</v>
      </c>
      <c r="AF969">
        <v>0</v>
      </c>
      <c r="AG969" t="s">
        <v>125</v>
      </c>
      <c r="AH969">
        <v>0</v>
      </c>
      <c r="AK969">
        <v>0</v>
      </c>
    </row>
    <row r="970" spans="1:37" x14ac:dyDescent="0.25">
      <c r="A970" t="s">
        <v>79</v>
      </c>
      <c r="B970">
        <v>4</v>
      </c>
      <c r="C970">
        <v>2</v>
      </c>
      <c r="D970">
        <v>5</v>
      </c>
      <c r="E970">
        <v>3</v>
      </c>
      <c r="G970">
        <v>425</v>
      </c>
      <c r="H970" t="s">
        <v>63</v>
      </c>
      <c r="I970" t="s">
        <v>95</v>
      </c>
      <c r="J970" t="s">
        <v>143</v>
      </c>
      <c r="L970">
        <v>0</v>
      </c>
      <c r="M970" t="s">
        <v>125</v>
      </c>
      <c r="O970" t="s">
        <v>125</v>
      </c>
      <c r="P970" t="s">
        <v>125</v>
      </c>
      <c r="Q970" t="s">
        <v>125</v>
      </c>
      <c r="R970" t="s">
        <v>125</v>
      </c>
      <c r="S970" t="s">
        <v>125</v>
      </c>
      <c r="T970">
        <v>0</v>
      </c>
      <c r="V970" t="s">
        <v>125</v>
      </c>
      <c r="AE970" t="s">
        <v>125</v>
      </c>
      <c r="AF970">
        <v>0</v>
      </c>
      <c r="AG970" t="s">
        <v>125</v>
      </c>
      <c r="AH970">
        <v>0</v>
      </c>
      <c r="AK970">
        <v>0</v>
      </c>
    </row>
    <row r="971" spans="1:37" x14ac:dyDescent="0.25">
      <c r="A971" t="s">
        <v>79</v>
      </c>
      <c r="B971">
        <v>4</v>
      </c>
      <c r="C971">
        <v>2</v>
      </c>
      <c r="D971">
        <v>5</v>
      </c>
      <c r="E971">
        <v>4</v>
      </c>
      <c r="G971">
        <v>425</v>
      </c>
      <c r="H971" t="s">
        <v>63</v>
      </c>
      <c r="I971" t="s">
        <v>102</v>
      </c>
      <c r="J971" t="s">
        <v>144</v>
      </c>
      <c r="L971">
        <v>0</v>
      </c>
      <c r="M971" t="s">
        <v>125</v>
      </c>
      <c r="O971" t="s">
        <v>125</v>
      </c>
      <c r="P971" t="s">
        <v>125</v>
      </c>
      <c r="Q971" t="s">
        <v>125</v>
      </c>
      <c r="R971" t="s">
        <v>125</v>
      </c>
      <c r="S971" t="s">
        <v>125</v>
      </c>
      <c r="T971">
        <v>0</v>
      </c>
      <c r="V971" t="s">
        <v>125</v>
      </c>
      <c r="AE971" t="s">
        <v>125</v>
      </c>
      <c r="AF971">
        <v>0</v>
      </c>
      <c r="AG971" t="s">
        <v>125</v>
      </c>
      <c r="AH971">
        <v>0</v>
      </c>
      <c r="AK971">
        <v>0</v>
      </c>
    </row>
    <row r="972" spans="1:37" x14ac:dyDescent="0.25">
      <c r="A972" t="s">
        <v>79</v>
      </c>
      <c r="B972">
        <v>4</v>
      </c>
      <c r="C972">
        <v>2</v>
      </c>
      <c r="D972">
        <v>5</v>
      </c>
      <c r="E972">
        <v>5</v>
      </c>
      <c r="G972">
        <v>425</v>
      </c>
      <c r="H972" t="s">
        <v>63</v>
      </c>
      <c r="I972" t="s">
        <v>109</v>
      </c>
      <c r="J972" t="s">
        <v>145</v>
      </c>
      <c r="L972">
        <v>0</v>
      </c>
      <c r="M972" t="s">
        <v>125</v>
      </c>
      <c r="O972" t="s">
        <v>125</v>
      </c>
      <c r="P972" t="s">
        <v>125</v>
      </c>
      <c r="Q972" t="s">
        <v>125</v>
      </c>
      <c r="R972" t="s">
        <v>125</v>
      </c>
      <c r="S972" t="s">
        <v>125</v>
      </c>
      <c r="T972">
        <v>0</v>
      </c>
      <c r="V972" t="s">
        <v>125</v>
      </c>
      <c r="AE972" t="s">
        <v>125</v>
      </c>
      <c r="AF972">
        <v>0</v>
      </c>
      <c r="AG972" t="s">
        <v>125</v>
      </c>
      <c r="AH972">
        <v>0</v>
      </c>
      <c r="AK972">
        <v>0</v>
      </c>
    </row>
    <row r="973" spans="1:37" x14ac:dyDescent="0.25">
      <c r="A973" t="s">
        <v>79</v>
      </c>
      <c r="B973">
        <v>4</v>
      </c>
      <c r="C973">
        <v>2</v>
      </c>
      <c r="D973">
        <v>5</v>
      </c>
      <c r="E973">
        <v>6</v>
      </c>
      <c r="G973">
        <v>425</v>
      </c>
      <c r="H973" t="s">
        <v>63</v>
      </c>
      <c r="I973" t="s">
        <v>116</v>
      </c>
      <c r="J973" t="s">
        <v>146</v>
      </c>
      <c r="L973">
        <v>0</v>
      </c>
      <c r="M973" t="s">
        <v>125</v>
      </c>
      <c r="O973" t="s">
        <v>125</v>
      </c>
      <c r="P973" t="s">
        <v>125</v>
      </c>
      <c r="Q973" t="s">
        <v>125</v>
      </c>
      <c r="R973" t="s">
        <v>125</v>
      </c>
      <c r="S973" t="s">
        <v>125</v>
      </c>
      <c r="T973">
        <v>0</v>
      </c>
      <c r="V973" t="s">
        <v>125</v>
      </c>
      <c r="AE973" t="s">
        <v>125</v>
      </c>
      <c r="AF973">
        <v>0</v>
      </c>
      <c r="AG973" t="s">
        <v>125</v>
      </c>
      <c r="AH973">
        <v>0</v>
      </c>
      <c r="AK973">
        <v>0</v>
      </c>
    </row>
    <row r="974" spans="1:37" x14ac:dyDescent="0.25">
      <c r="A974" t="s">
        <v>79</v>
      </c>
      <c r="B974">
        <v>4</v>
      </c>
      <c r="C974">
        <v>2</v>
      </c>
      <c r="D974">
        <v>5</v>
      </c>
      <c r="E974">
        <v>7</v>
      </c>
      <c r="G974">
        <v>425</v>
      </c>
      <c r="H974" t="s">
        <v>63</v>
      </c>
      <c r="I974" t="s">
        <v>123</v>
      </c>
      <c r="J974" t="s">
        <v>147</v>
      </c>
      <c r="L974">
        <v>0</v>
      </c>
      <c r="M974" t="s">
        <v>125</v>
      </c>
      <c r="O974" t="s">
        <v>125</v>
      </c>
      <c r="P974" t="s">
        <v>125</v>
      </c>
      <c r="Q974" t="s">
        <v>125</v>
      </c>
      <c r="R974" t="s">
        <v>125</v>
      </c>
      <c r="S974" t="s">
        <v>125</v>
      </c>
      <c r="T974">
        <v>0</v>
      </c>
      <c r="V974" t="s">
        <v>125</v>
      </c>
      <c r="AE974" t="s">
        <v>125</v>
      </c>
      <c r="AF974">
        <v>0</v>
      </c>
      <c r="AG974" t="s">
        <v>125</v>
      </c>
      <c r="AH974">
        <v>0</v>
      </c>
      <c r="AK974">
        <v>0</v>
      </c>
    </row>
    <row r="975" spans="1:37" x14ac:dyDescent="0.25">
      <c r="A975" t="s">
        <v>79</v>
      </c>
      <c r="B975">
        <v>4</v>
      </c>
      <c r="C975">
        <v>2</v>
      </c>
      <c r="D975">
        <v>5</v>
      </c>
      <c r="E975">
        <v>8</v>
      </c>
      <c r="G975">
        <v>425</v>
      </c>
      <c r="H975" t="s">
        <v>63</v>
      </c>
      <c r="I975" t="s">
        <v>126</v>
      </c>
      <c r="J975" t="s">
        <v>148</v>
      </c>
      <c r="L975">
        <v>0</v>
      </c>
      <c r="M975" t="s">
        <v>125</v>
      </c>
      <c r="O975" t="s">
        <v>125</v>
      </c>
      <c r="P975" t="s">
        <v>125</v>
      </c>
      <c r="Q975" t="s">
        <v>125</v>
      </c>
      <c r="R975" t="s">
        <v>125</v>
      </c>
      <c r="S975" t="s">
        <v>125</v>
      </c>
      <c r="T975">
        <v>0</v>
      </c>
      <c r="V975" t="s">
        <v>125</v>
      </c>
      <c r="AE975" t="s">
        <v>125</v>
      </c>
      <c r="AF975">
        <v>0</v>
      </c>
      <c r="AG975" t="s">
        <v>125</v>
      </c>
      <c r="AH975">
        <v>0</v>
      </c>
      <c r="AK975">
        <v>0</v>
      </c>
    </row>
    <row r="976" spans="1:37" x14ac:dyDescent="0.25">
      <c r="A976" t="s">
        <v>79</v>
      </c>
      <c r="B976">
        <v>4</v>
      </c>
      <c r="C976">
        <v>2</v>
      </c>
      <c r="D976">
        <v>5</v>
      </c>
      <c r="E976">
        <v>9</v>
      </c>
      <c r="G976">
        <v>425</v>
      </c>
      <c r="H976" t="s">
        <v>63</v>
      </c>
      <c r="I976" t="s">
        <v>74</v>
      </c>
      <c r="J976" t="s">
        <v>149</v>
      </c>
      <c r="L976">
        <v>0</v>
      </c>
      <c r="M976" t="s">
        <v>125</v>
      </c>
      <c r="O976" t="s">
        <v>125</v>
      </c>
      <c r="P976" t="s">
        <v>125</v>
      </c>
      <c r="Q976" t="s">
        <v>125</v>
      </c>
      <c r="R976" t="s">
        <v>125</v>
      </c>
      <c r="S976" t="s">
        <v>125</v>
      </c>
      <c r="T976">
        <v>0</v>
      </c>
      <c r="V976" t="s">
        <v>125</v>
      </c>
      <c r="AE976" t="s">
        <v>125</v>
      </c>
      <c r="AF976">
        <v>0</v>
      </c>
      <c r="AG976" t="s">
        <v>125</v>
      </c>
      <c r="AH976">
        <v>0</v>
      </c>
      <c r="AK976">
        <v>0</v>
      </c>
    </row>
    <row r="977" spans="1:37" x14ac:dyDescent="0.25">
      <c r="A977" t="s">
        <v>79</v>
      </c>
      <c r="B977">
        <v>4</v>
      </c>
      <c r="C977">
        <v>2</v>
      </c>
      <c r="D977">
        <v>5</v>
      </c>
      <c r="E977">
        <v>10</v>
      </c>
      <c r="G977">
        <v>425</v>
      </c>
      <c r="H977" t="s">
        <v>63</v>
      </c>
      <c r="I977" t="s">
        <v>129</v>
      </c>
      <c r="J977" t="s">
        <v>150</v>
      </c>
      <c r="L977">
        <v>0</v>
      </c>
      <c r="M977" t="s">
        <v>125</v>
      </c>
      <c r="O977" t="s">
        <v>125</v>
      </c>
      <c r="P977" t="s">
        <v>125</v>
      </c>
      <c r="Q977" t="s">
        <v>125</v>
      </c>
      <c r="R977" t="s">
        <v>125</v>
      </c>
      <c r="S977" t="s">
        <v>125</v>
      </c>
      <c r="T977">
        <v>0</v>
      </c>
      <c r="V977" t="s">
        <v>125</v>
      </c>
      <c r="AE977" t="s">
        <v>125</v>
      </c>
      <c r="AF977">
        <v>0</v>
      </c>
      <c r="AG977" t="s">
        <v>125</v>
      </c>
      <c r="AH977">
        <v>0</v>
      </c>
      <c r="AK977">
        <v>0</v>
      </c>
    </row>
    <row r="978" spans="1:37" x14ac:dyDescent="0.25">
      <c r="A978" t="s">
        <v>79</v>
      </c>
      <c r="B978">
        <v>4</v>
      </c>
      <c r="C978">
        <v>2</v>
      </c>
      <c r="D978">
        <v>5</v>
      </c>
      <c r="E978">
        <v>11</v>
      </c>
      <c r="G978">
        <v>425</v>
      </c>
      <c r="H978" t="s">
        <v>63</v>
      </c>
      <c r="I978" t="s">
        <v>131</v>
      </c>
      <c r="J978" t="s">
        <v>151</v>
      </c>
      <c r="L978">
        <v>0</v>
      </c>
      <c r="M978" t="s">
        <v>125</v>
      </c>
      <c r="O978" t="s">
        <v>125</v>
      </c>
      <c r="P978" t="s">
        <v>125</v>
      </c>
      <c r="Q978" t="s">
        <v>125</v>
      </c>
      <c r="R978" t="s">
        <v>125</v>
      </c>
      <c r="S978" t="s">
        <v>125</v>
      </c>
      <c r="T978">
        <v>0</v>
      </c>
      <c r="V978" t="s">
        <v>125</v>
      </c>
      <c r="AE978" t="s">
        <v>125</v>
      </c>
      <c r="AF978">
        <v>0</v>
      </c>
      <c r="AG978" t="s">
        <v>125</v>
      </c>
      <c r="AH978">
        <v>0</v>
      </c>
      <c r="AK978">
        <v>0</v>
      </c>
    </row>
    <row r="979" spans="1:37" x14ac:dyDescent="0.25">
      <c r="A979" t="s">
        <v>79</v>
      </c>
      <c r="B979">
        <v>4</v>
      </c>
      <c r="C979">
        <v>2</v>
      </c>
      <c r="D979">
        <v>5</v>
      </c>
      <c r="E979">
        <v>12</v>
      </c>
      <c r="G979">
        <v>425</v>
      </c>
      <c r="H979" t="s">
        <v>63</v>
      </c>
      <c r="I979" t="s">
        <v>133</v>
      </c>
      <c r="J979" t="s">
        <v>152</v>
      </c>
      <c r="L979">
        <v>0</v>
      </c>
      <c r="M979" t="s">
        <v>125</v>
      </c>
      <c r="O979" t="s">
        <v>125</v>
      </c>
      <c r="P979" t="s">
        <v>125</v>
      </c>
      <c r="Q979" t="s">
        <v>125</v>
      </c>
      <c r="R979" t="s">
        <v>125</v>
      </c>
      <c r="S979" t="s">
        <v>125</v>
      </c>
      <c r="T979">
        <v>0</v>
      </c>
      <c r="V979" t="s">
        <v>125</v>
      </c>
      <c r="AE979" t="s">
        <v>125</v>
      </c>
      <c r="AF979">
        <v>0</v>
      </c>
      <c r="AG979" t="s">
        <v>125</v>
      </c>
      <c r="AH979">
        <v>0</v>
      </c>
      <c r="AK979">
        <v>0</v>
      </c>
    </row>
    <row r="980" spans="1:37" x14ac:dyDescent="0.25">
      <c r="A980" t="s">
        <v>79</v>
      </c>
      <c r="B980">
        <v>4</v>
      </c>
      <c r="C980">
        <v>2</v>
      </c>
      <c r="D980">
        <v>5</v>
      </c>
      <c r="E980">
        <v>13</v>
      </c>
      <c r="G980">
        <v>425</v>
      </c>
      <c r="H980" t="s">
        <v>63</v>
      </c>
      <c r="I980" t="s">
        <v>135</v>
      </c>
      <c r="J980" t="s">
        <v>153</v>
      </c>
      <c r="L980">
        <v>0</v>
      </c>
      <c r="M980" t="s">
        <v>125</v>
      </c>
      <c r="O980" t="s">
        <v>125</v>
      </c>
      <c r="P980" t="s">
        <v>125</v>
      </c>
      <c r="Q980" t="s">
        <v>125</v>
      </c>
      <c r="R980" t="s">
        <v>125</v>
      </c>
      <c r="S980" t="s">
        <v>125</v>
      </c>
      <c r="T980">
        <v>0</v>
      </c>
      <c r="V980" t="s">
        <v>125</v>
      </c>
      <c r="AE980" t="s">
        <v>125</v>
      </c>
      <c r="AF980">
        <v>0</v>
      </c>
      <c r="AG980" t="s">
        <v>125</v>
      </c>
      <c r="AH980">
        <v>0</v>
      </c>
      <c r="AK980">
        <v>0</v>
      </c>
    </row>
    <row r="981" spans="1:37" x14ac:dyDescent="0.25">
      <c r="A981" t="s">
        <v>79</v>
      </c>
      <c r="B981">
        <v>4</v>
      </c>
      <c r="C981">
        <v>2</v>
      </c>
      <c r="D981">
        <v>5</v>
      </c>
      <c r="E981">
        <v>14</v>
      </c>
      <c r="G981">
        <v>425</v>
      </c>
      <c r="H981" t="s">
        <v>63</v>
      </c>
      <c r="I981" t="s">
        <v>137</v>
      </c>
      <c r="J981" t="s">
        <v>154</v>
      </c>
      <c r="L981">
        <v>0</v>
      </c>
      <c r="M981" t="s">
        <v>125</v>
      </c>
      <c r="O981" t="s">
        <v>125</v>
      </c>
      <c r="P981" t="s">
        <v>125</v>
      </c>
      <c r="Q981" t="s">
        <v>125</v>
      </c>
      <c r="R981" t="s">
        <v>125</v>
      </c>
      <c r="S981" t="s">
        <v>125</v>
      </c>
      <c r="T981">
        <v>0</v>
      </c>
      <c r="V981" t="s">
        <v>125</v>
      </c>
      <c r="AE981" t="s">
        <v>125</v>
      </c>
      <c r="AF981">
        <v>0</v>
      </c>
      <c r="AG981" t="s">
        <v>125</v>
      </c>
      <c r="AH981">
        <v>0</v>
      </c>
      <c r="AK981">
        <v>0</v>
      </c>
    </row>
    <row r="982" spans="1:37" x14ac:dyDescent="0.25">
      <c r="A982" t="s">
        <v>79</v>
      </c>
      <c r="B982">
        <v>4</v>
      </c>
      <c r="C982">
        <v>2</v>
      </c>
      <c r="D982">
        <v>5</v>
      </c>
      <c r="E982">
        <v>15</v>
      </c>
      <c r="G982">
        <v>425</v>
      </c>
      <c r="H982" t="s">
        <v>63</v>
      </c>
      <c r="I982" t="s">
        <v>139</v>
      </c>
      <c r="J982" t="s">
        <v>155</v>
      </c>
      <c r="L982">
        <v>0</v>
      </c>
      <c r="M982" t="s">
        <v>125</v>
      </c>
      <c r="O982" t="s">
        <v>125</v>
      </c>
      <c r="P982" t="s">
        <v>125</v>
      </c>
      <c r="Q982" t="s">
        <v>125</v>
      </c>
      <c r="R982" t="s">
        <v>125</v>
      </c>
      <c r="S982" t="s">
        <v>125</v>
      </c>
      <c r="T982">
        <v>0</v>
      </c>
      <c r="V982" t="s">
        <v>125</v>
      </c>
      <c r="AE982" t="s">
        <v>125</v>
      </c>
      <c r="AF982">
        <v>0</v>
      </c>
      <c r="AG982" t="s">
        <v>125</v>
      </c>
      <c r="AH982">
        <v>0</v>
      </c>
      <c r="AK982">
        <v>0</v>
      </c>
    </row>
    <row r="983" spans="1:37" x14ac:dyDescent="0.25">
      <c r="L983">
        <v>0</v>
      </c>
    </row>
    <row r="984" spans="1:37" x14ac:dyDescent="0.25">
      <c r="L984">
        <v>0</v>
      </c>
    </row>
    <row r="985" spans="1:37" x14ac:dyDescent="0.25">
      <c r="A985" t="s">
        <v>66</v>
      </c>
      <c r="B985">
        <v>4</v>
      </c>
      <c r="C985">
        <v>3</v>
      </c>
      <c r="G985">
        <v>4</v>
      </c>
      <c r="H985" t="s">
        <v>1126</v>
      </c>
      <c r="I985" t="s">
        <v>1355</v>
      </c>
      <c r="L985">
        <v>0</v>
      </c>
      <c r="M985" t="s">
        <v>125</v>
      </c>
      <c r="N985" t="s">
        <v>125</v>
      </c>
      <c r="V985" t="s">
        <v>63</v>
      </c>
      <c r="Y985" t="s">
        <v>63</v>
      </c>
      <c r="AA985" t="s">
        <v>63</v>
      </c>
      <c r="AC985" t="s">
        <v>63</v>
      </c>
      <c r="AE985" t="s">
        <v>63</v>
      </c>
      <c r="AF985">
        <v>0</v>
      </c>
      <c r="AG985" t="s">
        <v>63</v>
      </c>
      <c r="AH985">
        <v>0</v>
      </c>
      <c r="AK985">
        <v>0</v>
      </c>
    </row>
    <row r="986" spans="1:37" x14ac:dyDescent="0.25">
      <c r="L986">
        <v>0</v>
      </c>
    </row>
    <row r="987" spans="1:37" x14ac:dyDescent="0.25">
      <c r="A987" t="s">
        <v>70</v>
      </c>
      <c r="B987">
        <v>4</v>
      </c>
      <c r="C987">
        <v>3</v>
      </c>
      <c r="D987">
        <v>1</v>
      </c>
      <c r="G987">
        <v>43</v>
      </c>
      <c r="L987">
        <v>0</v>
      </c>
      <c r="M987" t="s">
        <v>125</v>
      </c>
      <c r="P987" t="s">
        <v>125</v>
      </c>
      <c r="R987" t="s">
        <v>125</v>
      </c>
      <c r="S987" t="s">
        <v>63</v>
      </c>
      <c r="V987" t="s">
        <v>125</v>
      </c>
      <c r="X987" t="s">
        <v>125</v>
      </c>
      <c r="Y987" t="s">
        <v>125</v>
      </c>
      <c r="Z987" t="s">
        <v>125</v>
      </c>
      <c r="AA987" t="s">
        <v>125</v>
      </c>
      <c r="AB987" t="s">
        <v>125</v>
      </c>
      <c r="AC987" t="s">
        <v>125</v>
      </c>
      <c r="AE987" t="s">
        <v>125</v>
      </c>
      <c r="AF987">
        <v>0</v>
      </c>
      <c r="AG987" t="s">
        <v>125</v>
      </c>
      <c r="AH987">
        <v>0</v>
      </c>
      <c r="AK987">
        <v>0</v>
      </c>
    </row>
    <row r="988" spans="1:37" x14ac:dyDescent="0.25">
      <c r="A988" t="s">
        <v>79</v>
      </c>
      <c r="B988">
        <v>4</v>
      </c>
      <c r="C988">
        <v>3</v>
      </c>
      <c r="D988">
        <v>1</v>
      </c>
      <c r="E988">
        <v>1</v>
      </c>
      <c r="G988">
        <v>431</v>
      </c>
      <c r="H988" t="s">
        <v>63</v>
      </c>
      <c r="I988" t="s">
        <v>80</v>
      </c>
      <c r="J988" t="s">
        <v>141</v>
      </c>
      <c r="L988">
        <v>0</v>
      </c>
      <c r="M988" t="s">
        <v>125</v>
      </c>
      <c r="O988" t="s">
        <v>125</v>
      </c>
      <c r="P988" t="s">
        <v>125</v>
      </c>
      <c r="Q988" t="s">
        <v>125</v>
      </c>
      <c r="R988" t="s">
        <v>125</v>
      </c>
      <c r="S988" t="s">
        <v>125</v>
      </c>
      <c r="T988">
        <v>0</v>
      </c>
      <c r="V988" t="s">
        <v>125</v>
      </c>
      <c r="AE988" t="s">
        <v>125</v>
      </c>
      <c r="AF988">
        <v>0</v>
      </c>
      <c r="AG988" t="s">
        <v>125</v>
      </c>
      <c r="AH988">
        <v>0</v>
      </c>
      <c r="AK988">
        <v>0</v>
      </c>
    </row>
    <row r="989" spans="1:37" x14ac:dyDescent="0.25">
      <c r="A989" t="s">
        <v>79</v>
      </c>
      <c r="B989">
        <v>4</v>
      </c>
      <c r="C989">
        <v>3</v>
      </c>
      <c r="D989">
        <v>1</v>
      </c>
      <c r="E989">
        <v>2</v>
      </c>
      <c r="G989">
        <v>431</v>
      </c>
      <c r="H989" t="s">
        <v>63</v>
      </c>
      <c r="I989" t="s">
        <v>88</v>
      </c>
      <c r="J989" t="s">
        <v>142</v>
      </c>
      <c r="L989">
        <v>0</v>
      </c>
      <c r="M989" t="s">
        <v>125</v>
      </c>
      <c r="O989" t="s">
        <v>125</v>
      </c>
      <c r="P989" t="s">
        <v>125</v>
      </c>
      <c r="Q989" t="s">
        <v>125</v>
      </c>
      <c r="R989" t="s">
        <v>125</v>
      </c>
      <c r="S989" t="s">
        <v>125</v>
      </c>
      <c r="T989">
        <v>0</v>
      </c>
      <c r="V989" t="s">
        <v>125</v>
      </c>
      <c r="AE989" t="s">
        <v>125</v>
      </c>
      <c r="AF989">
        <v>0</v>
      </c>
      <c r="AG989" t="s">
        <v>125</v>
      </c>
      <c r="AH989">
        <v>0</v>
      </c>
      <c r="AK989">
        <v>0</v>
      </c>
    </row>
    <row r="990" spans="1:37" x14ac:dyDescent="0.25">
      <c r="A990" t="s">
        <v>79</v>
      </c>
      <c r="B990">
        <v>4</v>
      </c>
      <c r="C990">
        <v>3</v>
      </c>
      <c r="D990">
        <v>1</v>
      </c>
      <c r="E990">
        <v>3</v>
      </c>
      <c r="G990">
        <v>431</v>
      </c>
      <c r="H990" t="s">
        <v>63</v>
      </c>
      <c r="I990" t="s">
        <v>95</v>
      </c>
      <c r="J990" t="s">
        <v>143</v>
      </c>
      <c r="L990">
        <v>0</v>
      </c>
      <c r="M990" t="s">
        <v>125</v>
      </c>
      <c r="O990" t="s">
        <v>125</v>
      </c>
      <c r="P990" t="s">
        <v>125</v>
      </c>
      <c r="Q990" t="s">
        <v>125</v>
      </c>
      <c r="R990" t="s">
        <v>125</v>
      </c>
      <c r="S990" t="s">
        <v>125</v>
      </c>
      <c r="T990">
        <v>0</v>
      </c>
      <c r="V990" t="s">
        <v>125</v>
      </c>
      <c r="AE990" t="s">
        <v>125</v>
      </c>
      <c r="AF990">
        <v>0</v>
      </c>
      <c r="AG990" t="s">
        <v>125</v>
      </c>
      <c r="AH990">
        <v>0</v>
      </c>
      <c r="AK990">
        <v>0</v>
      </c>
    </row>
    <row r="991" spans="1:37" x14ac:dyDescent="0.25">
      <c r="A991" t="s">
        <v>79</v>
      </c>
      <c r="B991">
        <v>4</v>
      </c>
      <c r="C991">
        <v>3</v>
      </c>
      <c r="D991">
        <v>1</v>
      </c>
      <c r="E991">
        <v>4</v>
      </c>
      <c r="G991">
        <v>431</v>
      </c>
      <c r="H991" t="s">
        <v>63</v>
      </c>
      <c r="I991" t="s">
        <v>102</v>
      </c>
      <c r="J991" t="s">
        <v>144</v>
      </c>
      <c r="L991">
        <v>0</v>
      </c>
      <c r="M991" t="s">
        <v>125</v>
      </c>
      <c r="O991" t="s">
        <v>125</v>
      </c>
      <c r="P991" t="s">
        <v>125</v>
      </c>
      <c r="Q991" t="s">
        <v>125</v>
      </c>
      <c r="R991" t="s">
        <v>125</v>
      </c>
      <c r="S991" t="s">
        <v>125</v>
      </c>
      <c r="T991">
        <v>0</v>
      </c>
      <c r="V991" t="s">
        <v>125</v>
      </c>
      <c r="AE991" t="s">
        <v>125</v>
      </c>
      <c r="AF991">
        <v>0</v>
      </c>
      <c r="AG991" t="s">
        <v>125</v>
      </c>
      <c r="AH991">
        <v>0</v>
      </c>
      <c r="AK991">
        <v>0</v>
      </c>
    </row>
    <row r="992" spans="1:37" x14ac:dyDescent="0.25">
      <c r="A992" t="s">
        <v>79</v>
      </c>
      <c r="B992">
        <v>4</v>
      </c>
      <c r="C992">
        <v>3</v>
      </c>
      <c r="D992">
        <v>1</v>
      </c>
      <c r="E992">
        <v>5</v>
      </c>
      <c r="G992">
        <v>431</v>
      </c>
      <c r="H992" t="s">
        <v>63</v>
      </c>
      <c r="I992" t="s">
        <v>109</v>
      </c>
      <c r="J992" t="s">
        <v>145</v>
      </c>
      <c r="L992">
        <v>0</v>
      </c>
      <c r="M992" t="s">
        <v>125</v>
      </c>
      <c r="O992" t="s">
        <v>125</v>
      </c>
      <c r="P992" t="s">
        <v>125</v>
      </c>
      <c r="Q992" t="s">
        <v>125</v>
      </c>
      <c r="R992" t="s">
        <v>125</v>
      </c>
      <c r="S992" t="s">
        <v>125</v>
      </c>
      <c r="T992">
        <v>0</v>
      </c>
      <c r="V992" t="s">
        <v>125</v>
      </c>
      <c r="AE992" t="s">
        <v>125</v>
      </c>
      <c r="AF992">
        <v>0</v>
      </c>
      <c r="AG992" t="s">
        <v>125</v>
      </c>
      <c r="AH992">
        <v>0</v>
      </c>
      <c r="AK992">
        <v>0</v>
      </c>
    </row>
    <row r="993" spans="1:37" x14ac:dyDescent="0.25">
      <c r="A993" t="s">
        <v>79</v>
      </c>
      <c r="B993">
        <v>4</v>
      </c>
      <c r="C993">
        <v>3</v>
      </c>
      <c r="D993">
        <v>1</v>
      </c>
      <c r="E993">
        <v>6</v>
      </c>
      <c r="G993">
        <v>431</v>
      </c>
      <c r="H993" t="s">
        <v>63</v>
      </c>
      <c r="I993" t="s">
        <v>116</v>
      </c>
      <c r="J993" t="s">
        <v>146</v>
      </c>
      <c r="L993">
        <v>0</v>
      </c>
      <c r="M993" t="s">
        <v>125</v>
      </c>
      <c r="O993" t="s">
        <v>125</v>
      </c>
      <c r="P993" t="s">
        <v>125</v>
      </c>
      <c r="Q993" t="s">
        <v>125</v>
      </c>
      <c r="R993" t="s">
        <v>125</v>
      </c>
      <c r="S993" t="s">
        <v>125</v>
      </c>
      <c r="T993">
        <v>0</v>
      </c>
      <c r="V993" t="s">
        <v>125</v>
      </c>
      <c r="AE993" t="s">
        <v>125</v>
      </c>
      <c r="AF993">
        <v>0</v>
      </c>
      <c r="AG993" t="s">
        <v>125</v>
      </c>
      <c r="AH993">
        <v>0</v>
      </c>
      <c r="AK993">
        <v>0</v>
      </c>
    </row>
    <row r="994" spans="1:37" x14ac:dyDescent="0.25">
      <c r="A994" t="s">
        <v>79</v>
      </c>
      <c r="B994">
        <v>4</v>
      </c>
      <c r="C994">
        <v>3</v>
      </c>
      <c r="D994">
        <v>1</v>
      </c>
      <c r="E994">
        <v>7</v>
      </c>
      <c r="G994">
        <v>431</v>
      </c>
      <c r="H994" t="s">
        <v>63</v>
      </c>
      <c r="I994" t="s">
        <v>123</v>
      </c>
      <c r="J994" t="s">
        <v>147</v>
      </c>
      <c r="L994">
        <v>0</v>
      </c>
      <c r="M994" t="s">
        <v>125</v>
      </c>
      <c r="O994" t="s">
        <v>125</v>
      </c>
      <c r="P994" t="s">
        <v>125</v>
      </c>
      <c r="Q994" t="s">
        <v>125</v>
      </c>
      <c r="R994" t="s">
        <v>125</v>
      </c>
      <c r="S994" t="s">
        <v>125</v>
      </c>
      <c r="T994">
        <v>0</v>
      </c>
      <c r="V994" t="s">
        <v>125</v>
      </c>
      <c r="AE994" t="s">
        <v>125</v>
      </c>
      <c r="AF994">
        <v>0</v>
      </c>
      <c r="AG994" t="s">
        <v>125</v>
      </c>
      <c r="AH994">
        <v>0</v>
      </c>
      <c r="AK994">
        <v>0</v>
      </c>
    </row>
    <row r="995" spans="1:37" x14ac:dyDescent="0.25">
      <c r="A995" t="s">
        <v>79</v>
      </c>
      <c r="B995">
        <v>4</v>
      </c>
      <c r="C995">
        <v>3</v>
      </c>
      <c r="D995">
        <v>1</v>
      </c>
      <c r="E995">
        <v>8</v>
      </c>
      <c r="G995">
        <v>431</v>
      </c>
      <c r="H995" t="s">
        <v>63</v>
      </c>
      <c r="I995" t="s">
        <v>126</v>
      </c>
      <c r="J995" t="s">
        <v>148</v>
      </c>
      <c r="L995">
        <v>0</v>
      </c>
      <c r="M995" t="s">
        <v>125</v>
      </c>
      <c r="O995" t="s">
        <v>125</v>
      </c>
      <c r="P995" t="s">
        <v>125</v>
      </c>
      <c r="Q995" t="s">
        <v>125</v>
      </c>
      <c r="R995" t="s">
        <v>125</v>
      </c>
      <c r="S995" t="s">
        <v>125</v>
      </c>
      <c r="T995">
        <v>0</v>
      </c>
      <c r="V995" t="s">
        <v>125</v>
      </c>
      <c r="AE995" t="s">
        <v>125</v>
      </c>
      <c r="AF995">
        <v>0</v>
      </c>
      <c r="AG995" t="s">
        <v>125</v>
      </c>
      <c r="AH995">
        <v>0</v>
      </c>
      <c r="AK995">
        <v>0</v>
      </c>
    </row>
    <row r="996" spans="1:37" x14ac:dyDescent="0.25">
      <c r="A996" t="s">
        <v>79</v>
      </c>
      <c r="B996">
        <v>4</v>
      </c>
      <c r="C996">
        <v>3</v>
      </c>
      <c r="D996">
        <v>1</v>
      </c>
      <c r="E996">
        <v>9</v>
      </c>
      <c r="G996">
        <v>431</v>
      </c>
      <c r="H996" t="s">
        <v>63</v>
      </c>
      <c r="I996" t="s">
        <v>74</v>
      </c>
      <c r="J996" t="s">
        <v>149</v>
      </c>
      <c r="L996">
        <v>0</v>
      </c>
      <c r="M996" t="s">
        <v>125</v>
      </c>
      <c r="O996" t="s">
        <v>125</v>
      </c>
      <c r="P996" t="s">
        <v>125</v>
      </c>
      <c r="Q996" t="s">
        <v>125</v>
      </c>
      <c r="R996" t="s">
        <v>125</v>
      </c>
      <c r="S996" t="s">
        <v>125</v>
      </c>
      <c r="T996">
        <v>0</v>
      </c>
      <c r="V996" t="s">
        <v>125</v>
      </c>
      <c r="AE996" t="s">
        <v>125</v>
      </c>
      <c r="AF996">
        <v>0</v>
      </c>
      <c r="AG996" t="s">
        <v>125</v>
      </c>
      <c r="AH996">
        <v>0</v>
      </c>
      <c r="AK996">
        <v>0</v>
      </c>
    </row>
    <row r="997" spans="1:37" x14ac:dyDescent="0.25">
      <c r="A997" t="s">
        <v>79</v>
      </c>
      <c r="B997">
        <v>4</v>
      </c>
      <c r="C997">
        <v>3</v>
      </c>
      <c r="D997">
        <v>1</v>
      </c>
      <c r="E997">
        <v>10</v>
      </c>
      <c r="G997">
        <v>431</v>
      </c>
      <c r="H997" t="s">
        <v>63</v>
      </c>
      <c r="I997" t="s">
        <v>129</v>
      </c>
      <c r="J997" t="s">
        <v>150</v>
      </c>
      <c r="L997">
        <v>0</v>
      </c>
      <c r="M997" t="s">
        <v>125</v>
      </c>
      <c r="O997" t="s">
        <v>125</v>
      </c>
      <c r="P997" t="s">
        <v>125</v>
      </c>
      <c r="Q997" t="s">
        <v>125</v>
      </c>
      <c r="R997" t="s">
        <v>125</v>
      </c>
      <c r="S997" t="s">
        <v>125</v>
      </c>
      <c r="T997">
        <v>0</v>
      </c>
      <c r="V997" t="s">
        <v>125</v>
      </c>
      <c r="AE997" t="s">
        <v>125</v>
      </c>
      <c r="AF997">
        <v>0</v>
      </c>
      <c r="AG997" t="s">
        <v>125</v>
      </c>
      <c r="AH997">
        <v>0</v>
      </c>
      <c r="AK997">
        <v>0</v>
      </c>
    </row>
    <row r="998" spans="1:37" x14ac:dyDescent="0.25">
      <c r="A998" t="s">
        <v>79</v>
      </c>
      <c r="B998">
        <v>4</v>
      </c>
      <c r="C998">
        <v>3</v>
      </c>
      <c r="D998">
        <v>1</v>
      </c>
      <c r="E998">
        <v>11</v>
      </c>
      <c r="G998">
        <v>431</v>
      </c>
      <c r="H998" t="s">
        <v>63</v>
      </c>
      <c r="I998" t="s">
        <v>131</v>
      </c>
      <c r="J998" t="s">
        <v>151</v>
      </c>
      <c r="L998">
        <v>0</v>
      </c>
      <c r="M998" t="s">
        <v>125</v>
      </c>
      <c r="O998" t="s">
        <v>125</v>
      </c>
      <c r="P998" t="s">
        <v>125</v>
      </c>
      <c r="Q998" t="s">
        <v>125</v>
      </c>
      <c r="R998" t="s">
        <v>125</v>
      </c>
      <c r="S998" t="s">
        <v>125</v>
      </c>
      <c r="T998">
        <v>0</v>
      </c>
      <c r="V998" t="s">
        <v>125</v>
      </c>
      <c r="AE998" t="s">
        <v>125</v>
      </c>
      <c r="AF998">
        <v>0</v>
      </c>
      <c r="AG998" t="s">
        <v>125</v>
      </c>
      <c r="AH998">
        <v>0</v>
      </c>
      <c r="AK998">
        <v>0</v>
      </c>
    </row>
    <row r="999" spans="1:37" x14ac:dyDescent="0.25">
      <c r="A999" t="s">
        <v>79</v>
      </c>
      <c r="B999">
        <v>4</v>
      </c>
      <c r="C999">
        <v>3</v>
      </c>
      <c r="D999">
        <v>1</v>
      </c>
      <c r="E999">
        <v>12</v>
      </c>
      <c r="G999">
        <v>431</v>
      </c>
      <c r="H999" t="s">
        <v>63</v>
      </c>
      <c r="I999" t="s">
        <v>133</v>
      </c>
      <c r="J999" t="s">
        <v>152</v>
      </c>
      <c r="L999">
        <v>0</v>
      </c>
      <c r="M999" t="s">
        <v>125</v>
      </c>
      <c r="O999" t="s">
        <v>125</v>
      </c>
      <c r="P999" t="s">
        <v>125</v>
      </c>
      <c r="Q999" t="s">
        <v>125</v>
      </c>
      <c r="R999" t="s">
        <v>125</v>
      </c>
      <c r="S999" t="s">
        <v>125</v>
      </c>
      <c r="T999">
        <v>0</v>
      </c>
      <c r="V999" t="s">
        <v>125</v>
      </c>
      <c r="AE999" t="s">
        <v>125</v>
      </c>
      <c r="AF999">
        <v>0</v>
      </c>
      <c r="AG999" t="s">
        <v>125</v>
      </c>
      <c r="AH999">
        <v>0</v>
      </c>
      <c r="AK999">
        <v>0</v>
      </c>
    </row>
    <row r="1000" spans="1:37" x14ac:dyDescent="0.25">
      <c r="A1000" t="s">
        <v>79</v>
      </c>
      <c r="B1000">
        <v>4</v>
      </c>
      <c r="C1000">
        <v>3</v>
      </c>
      <c r="D1000">
        <v>1</v>
      </c>
      <c r="E1000">
        <v>13</v>
      </c>
      <c r="G1000">
        <v>431</v>
      </c>
      <c r="H1000" t="s">
        <v>63</v>
      </c>
      <c r="I1000" t="s">
        <v>135</v>
      </c>
      <c r="J1000" t="s">
        <v>153</v>
      </c>
      <c r="L1000">
        <v>0</v>
      </c>
      <c r="M1000" t="s">
        <v>125</v>
      </c>
      <c r="O1000" t="s">
        <v>125</v>
      </c>
      <c r="P1000" t="s">
        <v>125</v>
      </c>
      <c r="Q1000" t="s">
        <v>125</v>
      </c>
      <c r="R1000" t="s">
        <v>125</v>
      </c>
      <c r="S1000" t="s">
        <v>125</v>
      </c>
      <c r="T1000">
        <v>0</v>
      </c>
      <c r="V1000" t="s">
        <v>125</v>
      </c>
      <c r="AE1000" t="s">
        <v>125</v>
      </c>
      <c r="AF1000">
        <v>0</v>
      </c>
      <c r="AG1000" t="s">
        <v>125</v>
      </c>
      <c r="AH1000">
        <v>0</v>
      </c>
      <c r="AK1000">
        <v>0</v>
      </c>
    </row>
    <row r="1001" spans="1:37" x14ac:dyDescent="0.25">
      <c r="A1001" t="s">
        <v>79</v>
      </c>
      <c r="B1001">
        <v>4</v>
      </c>
      <c r="C1001">
        <v>3</v>
      </c>
      <c r="D1001">
        <v>1</v>
      </c>
      <c r="E1001">
        <v>14</v>
      </c>
      <c r="G1001">
        <v>431</v>
      </c>
      <c r="H1001" t="s">
        <v>63</v>
      </c>
      <c r="I1001" t="s">
        <v>137</v>
      </c>
      <c r="J1001" t="s">
        <v>154</v>
      </c>
      <c r="L1001">
        <v>0</v>
      </c>
      <c r="M1001" t="s">
        <v>125</v>
      </c>
      <c r="O1001" t="s">
        <v>125</v>
      </c>
      <c r="P1001" t="s">
        <v>125</v>
      </c>
      <c r="Q1001" t="s">
        <v>125</v>
      </c>
      <c r="R1001" t="s">
        <v>125</v>
      </c>
      <c r="S1001" t="s">
        <v>125</v>
      </c>
      <c r="T1001">
        <v>0</v>
      </c>
      <c r="V1001" t="s">
        <v>125</v>
      </c>
      <c r="AE1001" t="s">
        <v>125</v>
      </c>
      <c r="AF1001">
        <v>0</v>
      </c>
      <c r="AG1001" t="s">
        <v>125</v>
      </c>
      <c r="AH1001">
        <v>0</v>
      </c>
      <c r="AK1001">
        <v>0</v>
      </c>
    </row>
    <row r="1002" spans="1:37" x14ac:dyDescent="0.25">
      <c r="A1002" t="s">
        <v>79</v>
      </c>
      <c r="B1002">
        <v>4</v>
      </c>
      <c r="C1002">
        <v>3</v>
      </c>
      <c r="D1002">
        <v>1</v>
      </c>
      <c r="E1002">
        <v>15</v>
      </c>
      <c r="G1002">
        <v>431</v>
      </c>
      <c r="H1002" t="s">
        <v>63</v>
      </c>
      <c r="I1002" t="s">
        <v>139</v>
      </c>
      <c r="J1002" t="s">
        <v>155</v>
      </c>
      <c r="L1002">
        <v>0</v>
      </c>
      <c r="M1002" t="s">
        <v>125</v>
      </c>
      <c r="O1002" t="s">
        <v>125</v>
      </c>
      <c r="P1002" t="s">
        <v>125</v>
      </c>
      <c r="Q1002" t="s">
        <v>125</v>
      </c>
      <c r="R1002" t="s">
        <v>125</v>
      </c>
      <c r="S1002" t="s">
        <v>125</v>
      </c>
      <c r="T1002">
        <v>0</v>
      </c>
      <c r="V1002" t="s">
        <v>125</v>
      </c>
      <c r="AE1002" t="s">
        <v>125</v>
      </c>
      <c r="AF1002">
        <v>0</v>
      </c>
      <c r="AG1002" t="s">
        <v>125</v>
      </c>
      <c r="AH1002">
        <v>0</v>
      </c>
      <c r="AK1002">
        <v>0</v>
      </c>
    </row>
    <row r="1003" spans="1:37" x14ac:dyDescent="0.25">
      <c r="L1003">
        <v>0</v>
      </c>
    </row>
    <row r="1004" spans="1:37" x14ac:dyDescent="0.25">
      <c r="A1004" t="s">
        <v>70</v>
      </c>
      <c r="B1004">
        <v>4</v>
      </c>
      <c r="C1004">
        <v>3</v>
      </c>
      <c r="D1004">
        <v>2</v>
      </c>
      <c r="G1004">
        <v>43</v>
      </c>
      <c r="L1004">
        <v>0</v>
      </c>
      <c r="M1004" t="s">
        <v>125</v>
      </c>
      <c r="P1004" t="s">
        <v>125</v>
      </c>
      <c r="R1004" t="s">
        <v>125</v>
      </c>
      <c r="S1004" t="s">
        <v>63</v>
      </c>
      <c r="V1004" t="s">
        <v>125</v>
      </c>
      <c r="X1004" t="s">
        <v>125</v>
      </c>
      <c r="Y1004" t="s">
        <v>125</v>
      </c>
      <c r="Z1004" t="s">
        <v>125</v>
      </c>
      <c r="AA1004" t="s">
        <v>125</v>
      </c>
      <c r="AB1004" t="s">
        <v>125</v>
      </c>
      <c r="AC1004" t="s">
        <v>125</v>
      </c>
      <c r="AE1004" t="s">
        <v>125</v>
      </c>
      <c r="AF1004">
        <v>0</v>
      </c>
      <c r="AG1004" t="s">
        <v>125</v>
      </c>
      <c r="AH1004">
        <v>0</v>
      </c>
      <c r="AK1004">
        <v>0</v>
      </c>
    </row>
    <row r="1005" spans="1:37" x14ac:dyDescent="0.25">
      <c r="A1005" t="s">
        <v>79</v>
      </c>
      <c r="B1005">
        <v>4</v>
      </c>
      <c r="C1005">
        <v>3</v>
      </c>
      <c r="D1005">
        <v>2</v>
      </c>
      <c r="E1005">
        <v>1</v>
      </c>
      <c r="G1005">
        <v>432</v>
      </c>
      <c r="H1005" t="s">
        <v>63</v>
      </c>
      <c r="I1005" t="s">
        <v>80</v>
      </c>
      <c r="J1005" t="s">
        <v>141</v>
      </c>
      <c r="L1005">
        <v>0</v>
      </c>
      <c r="M1005" t="s">
        <v>125</v>
      </c>
      <c r="O1005" t="s">
        <v>125</v>
      </c>
      <c r="P1005" t="s">
        <v>125</v>
      </c>
      <c r="Q1005" t="s">
        <v>125</v>
      </c>
      <c r="R1005" t="s">
        <v>125</v>
      </c>
      <c r="S1005" t="s">
        <v>125</v>
      </c>
      <c r="T1005">
        <v>0</v>
      </c>
      <c r="V1005" t="s">
        <v>125</v>
      </c>
      <c r="AE1005" t="s">
        <v>125</v>
      </c>
      <c r="AF1005">
        <v>0</v>
      </c>
      <c r="AG1005" t="s">
        <v>125</v>
      </c>
      <c r="AH1005">
        <v>0</v>
      </c>
      <c r="AK1005">
        <v>0</v>
      </c>
    </row>
    <row r="1006" spans="1:37" x14ac:dyDescent="0.25">
      <c r="A1006" t="s">
        <v>79</v>
      </c>
      <c r="B1006">
        <v>4</v>
      </c>
      <c r="C1006">
        <v>3</v>
      </c>
      <c r="D1006">
        <v>2</v>
      </c>
      <c r="E1006">
        <v>2</v>
      </c>
      <c r="G1006">
        <v>432</v>
      </c>
      <c r="H1006" t="s">
        <v>63</v>
      </c>
      <c r="I1006" t="s">
        <v>88</v>
      </c>
      <c r="J1006" t="s">
        <v>142</v>
      </c>
      <c r="L1006">
        <v>0</v>
      </c>
      <c r="M1006" t="s">
        <v>125</v>
      </c>
      <c r="O1006" t="s">
        <v>125</v>
      </c>
      <c r="P1006" t="s">
        <v>125</v>
      </c>
      <c r="Q1006" t="s">
        <v>125</v>
      </c>
      <c r="R1006" t="s">
        <v>125</v>
      </c>
      <c r="S1006" t="s">
        <v>125</v>
      </c>
      <c r="T1006">
        <v>0</v>
      </c>
      <c r="V1006" t="s">
        <v>125</v>
      </c>
      <c r="AE1006" t="s">
        <v>125</v>
      </c>
      <c r="AF1006">
        <v>0</v>
      </c>
      <c r="AG1006" t="s">
        <v>125</v>
      </c>
      <c r="AH1006">
        <v>0</v>
      </c>
      <c r="AK1006">
        <v>0</v>
      </c>
    </row>
    <row r="1007" spans="1:37" x14ac:dyDescent="0.25">
      <c r="A1007" t="s">
        <v>79</v>
      </c>
      <c r="B1007">
        <v>4</v>
      </c>
      <c r="C1007">
        <v>3</v>
      </c>
      <c r="D1007">
        <v>2</v>
      </c>
      <c r="E1007">
        <v>3</v>
      </c>
      <c r="G1007">
        <v>432</v>
      </c>
      <c r="H1007" t="s">
        <v>63</v>
      </c>
      <c r="I1007" t="s">
        <v>95</v>
      </c>
      <c r="J1007" t="s">
        <v>143</v>
      </c>
      <c r="L1007">
        <v>0</v>
      </c>
      <c r="M1007" t="s">
        <v>125</v>
      </c>
      <c r="O1007" t="s">
        <v>125</v>
      </c>
      <c r="P1007" t="s">
        <v>125</v>
      </c>
      <c r="Q1007" t="s">
        <v>125</v>
      </c>
      <c r="R1007" t="s">
        <v>125</v>
      </c>
      <c r="S1007" t="s">
        <v>125</v>
      </c>
      <c r="T1007">
        <v>0</v>
      </c>
      <c r="V1007" t="s">
        <v>125</v>
      </c>
      <c r="AE1007" t="s">
        <v>125</v>
      </c>
      <c r="AF1007">
        <v>0</v>
      </c>
      <c r="AG1007" t="s">
        <v>125</v>
      </c>
      <c r="AH1007">
        <v>0</v>
      </c>
      <c r="AK1007">
        <v>0</v>
      </c>
    </row>
    <row r="1008" spans="1:37" x14ac:dyDescent="0.25">
      <c r="A1008" t="s">
        <v>79</v>
      </c>
      <c r="B1008">
        <v>4</v>
      </c>
      <c r="C1008">
        <v>3</v>
      </c>
      <c r="D1008">
        <v>2</v>
      </c>
      <c r="E1008">
        <v>4</v>
      </c>
      <c r="G1008">
        <v>432</v>
      </c>
      <c r="H1008" t="s">
        <v>63</v>
      </c>
      <c r="I1008" t="s">
        <v>102</v>
      </c>
      <c r="J1008" t="s">
        <v>144</v>
      </c>
      <c r="L1008">
        <v>0</v>
      </c>
      <c r="M1008" t="s">
        <v>125</v>
      </c>
      <c r="O1008" t="s">
        <v>125</v>
      </c>
      <c r="P1008" t="s">
        <v>125</v>
      </c>
      <c r="Q1008" t="s">
        <v>125</v>
      </c>
      <c r="R1008" t="s">
        <v>125</v>
      </c>
      <c r="S1008" t="s">
        <v>125</v>
      </c>
      <c r="T1008">
        <v>0</v>
      </c>
      <c r="V1008" t="s">
        <v>125</v>
      </c>
      <c r="AE1008" t="s">
        <v>125</v>
      </c>
      <c r="AF1008">
        <v>0</v>
      </c>
      <c r="AG1008" t="s">
        <v>125</v>
      </c>
      <c r="AH1008">
        <v>0</v>
      </c>
      <c r="AK1008">
        <v>0</v>
      </c>
    </row>
    <row r="1009" spans="1:37" x14ac:dyDescent="0.25">
      <c r="A1009" t="s">
        <v>79</v>
      </c>
      <c r="B1009">
        <v>4</v>
      </c>
      <c r="C1009">
        <v>3</v>
      </c>
      <c r="D1009">
        <v>2</v>
      </c>
      <c r="E1009">
        <v>5</v>
      </c>
      <c r="G1009">
        <v>432</v>
      </c>
      <c r="H1009" t="s">
        <v>63</v>
      </c>
      <c r="I1009" t="s">
        <v>109</v>
      </c>
      <c r="J1009" t="s">
        <v>145</v>
      </c>
      <c r="L1009">
        <v>0</v>
      </c>
      <c r="M1009" t="s">
        <v>125</v>
      </c>
      <c r="O1009" t="s">
        <v>125</v>
      </c>
      <c r="P1009" t="s">
        <v>125</v>
      </c>
      <c r="Q1009" t="s">
        <v>125</v>
      </c>
      <c r="R1009" t="s">
        <v>125</v>
      </c>
      <c r="S1009" t="s">
        <v>125</v>
      </c>
      <c r="T1009">
        <v>0</v>
      </c>
      <c r="V1009" t="s">
        <v>125</v>
      </c>
      <c r="AE1009" t="s">
        <v>125</v>
      </c>
      <c r="AF1009">
        <v>0</v>
      </c>
      <c r="AG1009" t="s">
        <v>125</v>
      </c>
      <c r="AH1009">
        <v>0</v>
      </c>
      <c r="AK1009">
        <v>0</v>
      </c>
    </row>
    <row r="1010" spans="1:37" x14ac:dyDescent="0.25">
      <c r="A1010" t="s">
        <v>79</v>
      </c>
      <c r="B1010">
        <v>4</v>
      </c>
      <c r="C1010">
        <v>3</v>
      </c>
      <c r="D1010">
        <v>2</v>
      </c>
      <c r="E1010">
        <v>6</v>
      </c>
      <c r="G1010">
        <v>432</v>
      </c>
      <c r="H1010" t="s">
        <v>63</v>
      </c>
      <c r="I1010" t="s">
        <v>116</v>
      </c>
      <c r="J1010" t="s">
        <v>146</v>
      </c>
      <c r="L1010">
        <v>0</v>
      </c>
      <c r="M1010" t="s">
        <v>125</v>
      </c>
      <c r="O1010" t="s">
        <v>125</v>
      </c>
      <c r="P1010" t="s">
        <v>125</v>
      </c>
      <c r="Q1010" t="s">
        <v>125</v>
      </c>
      <c r="R1010" t="s">
        <v>125</v>
      </c>
      <c r="S1010" t="s">
        <v>125</v>
      </c>
      <c r="T1010">
        <v>0</v>
      </c>
      <c r="V1010" t="s">
        <v>125</v>
      </c>
      <c r="AE1010" t="s">
        <v>125</v>
      </c>
      <c r="AF1010">
        <v>0</v>
      </c>
      <c r="AG1010" t="s">
        <v>125</v>
      </c>
      <c r="AH1010">
        <v>0</v>
      </c>
      <c r="AK1010">
        <v>0</v>
      </c>
    </row>
    <row r="1011" spans="1:37" x14ac:dyDescent="0.25">
      <c r="A1011" t="s">
        <v>79</v>
      </c>
      <c r="B1011">
        <v>4</v>
      </c>
      <c r="C1011">
        <v>3</v>
      </c>
      <c r="D1011">
        <v>2</v>
      </c>
      <c r="E1011">
        <v>7</v>
      </c>
      <c r="G1011">
        <v>432</v>
      </c>
      <c r="H1011" t="s">
        <v>63</v>
      </c>
      <c r="I1011" t="s">
        <v>123</v>
      </c>
      <c r="J1011" t="s">
        <v>147</v>
      </c>
      <c r="L1011">
        <v>0</v>
      </c>
      <c r="M1011" t="s">
        <v>125</v>
      </c>
      <c r="O1011" t="s">
        <v>125</v>
      </c>
      <c r="P1011" t="s">
        <v>125</v>
      </c>
      <c r="Q1011" t="s">
        <v>125</v>
      </c>
      <c r="R1011" t="s">
        <v>125</v>
      </c>
      <c r="S1011" t="s">
        <v>125</v>
      </c>
      <c r="T1011">
        <v>0</v>
      </c>
      <c r="V1011" t="s">
        <v>125</v>
      </c>
      <c r="AE1011" t="s">
        <v>125</v>
      </c>
      <c r="AF1011">
        <v>0</v>
      </c>
      <c r="AG1011" t="s">
        <v>125</v>
      </c>
      <c r="AH1011">
        <v>0</v>
      </c>
      <c r="AK1011">
        <v>0</v>
      </c>
    </row>
    <row r="1012" spans="1:37" x14ac:dyDescent="0.25">
      <c r="A1012" t="s">
        <v>79</v>
      </c>
      <c r="B1012">
        <v>4</v>
      </c>
      <c r="C1012">
        <v>3</v>
      </c>
      <c r="D1012">
        <v>2</v>
      </c>
      <c r="E1012">
        <v>8</v>
      </c>
      <c r="G1012">
        <v>432</v>
      </c>
      <c r="H1012" t="s">
        <v>63</v>
      </c>
      <c r="I1012" t="s">
        <v>126</v>
      </c>
      <c r="J1012" t="s">
        <v>148</v>
      </c>
      <c r="L1012">
        <v>0</v>
      </c>
      <c r="M1012" t="s">
        <v>125</v>
      </c>
      <c r="O1012" t="s">
        <v>125</v>
      </c>
      <c r="P1012" t="s">
        <v>125</v>
      </c>
      <c r="Q1012" t="s">
        <v>125</v>
      </c>
      <c r="R1012" t="s">
        <v>125</v>
      </c>
      <c r="S1012" t="s">
        <v>125</v>
      </c>
      <c r="T1012">
        <v>0</v>
      </c>
      <c r="V1012" t="s">
        <v>125</v>
      </c>
      <c r="AE1012" t="s">
        <v>125</v>
      </c>
      <c r="AF1012">
        <v>0</v>
      </c>
      <c r="AG1012" t="s">
        <v>125</v>
      </c>
      <c r="AH1012">
        <v>0</v>
      </c>
      <c r="AK1012">
        <v>0</v>
      </c>
    </row>
    <row r="1013" spans="1:37" x14ac:dyDescent="0.25">
      <c r="A1013" t="s">
        <v>79</v>
      </c>
      <c r="B1013">
        <v>4</v>
      </c>
      <c r="C1013">
        <v>3</v>
      </c>
      <c r="D1013">
        <v>2</v>
      </c>
      <c r="E1013">
        <v>9</v>
      </c>
      <c r="G1013">
        <v>432</v>
      </c>
      <c r="H1013" t="s">
        <v>63</v>
      </c>
      <c r="I1013" t="s">
        <v>74</v>
      </c>
      <c r="J1013" t="s">
        <v>149</v>
      </c>
      <c r="L1013">
        <v>0</v>
      </c>
      <c r="M1013" t="s">
        <v>125</v>
      </c>
      <c r="O1013" t="s">
        <v>125</v>
      </c>
      <c r="P1013" t="s">
        <v>125</v>
      </c>
      <c r="Q1013" t="s">
        <v>125</v>
      </c>
      <c r="R1013" t="s">
        <v>125</v>
      </c>
      <c r="S1013" t="s">
        <v>125</v>
      </c>
      <c r="T1013">
        <v>0</v>
      </c>
      <c r="V1013" t="s">
        <v>125</v>
      </c>
      <c r="AE1013" t="s">
        <v>125</v>
      </c>
      <c r="AF1013">
        <v>0</v>
      </c>
      <c r="AG1013" t="s">
        <v>125</v>
      </c>
      <c r="AH1013">
        <v>0</v>
      </c>
      <c r="AK1013">
        <v>0</v>
      </c>
    </row>
    <row r="1014" spans="1:37" x14ac:dyDescent="0.25">
      <c r="A1014" t="s">
        <v>79</v>
      </c>
      <c r="B1014">
        <v>4</v>
      </c>
      <c r="C1014">
        <v>3</v>
      </c>
      <c r="D1014">
        <v>2</v>
      </c>
      <c r="E1014">
        <v>10</v>
      </c>
      <c r="G1014">
        <v>432</v>
      </c>
      <c r="H1014" t="s">
        <v>63</v>
      </c>
      <c r="I1014" t="s">
        <v>129</v>
      </c>
      <c r="J1014" t="s">
        <v>150</v>
      </c>
      <c r="L1014">
        <v>0</v>
      </c>
      <c r="M1014" t="s">
        <v>125</v>
      </c>
      <c r="O1014" t="s">
        <v>125</v>
      </c>
      <c r="P1014" t="s">
        <v>125</v>
      </c>
      <c r="Q1014" t="s">
        <v>125</v>
      </c>
      <c r="R1014" t="s">
        <v>125</v>
      </c>
      <c r="S1014" t="s">
        <v>125</v>
      </c>
      <c r="T1014">
        <v>0</v>
      </c>
      <c r="V1014" t="s">
        <v>125</v>
      </c>
      <c r="AE1014" t="s">
        <v>125</v>
      </c>
      <c r="AF1014">
        <v>0</v>
      </c>
      <c r="AG1014" t="s">
        <v>125</v>
      </c>
      <c r="AH1014">
        <v>0</v>
      </c>
      <c r="AK1014">
        <v>0</v>
      </c>
    </row>
    <row r="1015" spans="1:37" x14ac:dyDescent="0.25">
      <c r="A1015" t="s">
        <v>79</v>
      </c>
      <c r="B1015">
        <v>4</v>
      </c>
      <c r="C1015">
        <v>3</v>
      </c>
      <c r="D1015">
        <v>2</v>
      </c>
      <c r="E1015">
        <v>11</v>
      </c>
      <c r="G1015">
        <v>432</v>
      </c>
      <c r="H1015" t="s">
        <v>63</v>
      </c>
      <c r="I1015" t="s">
        <v>131</v>
      </c>
      <c r="J1015" t="s">
        <v>151</v>
      </c>
      <c r="L1015">
        <v>0</v>
      </c>
      <c r="M1015" t="s">
        <v>125</v>
      </c>
      <c r="O1015" t="s">
        <v>125</v>
      </c>
      <c r="P1015" t="s">
        <v>125</v>
      </c>
      <c r="Q1015" t="s">
        <v>125</v>
      </c>
      <c r="R1015" t="s">
        <v>125</v>
      </c>
      <c r="S1015" t="s">
        <v>125</v>
      </c>
      <c r="T1015">
        <v>0</v>
      </c>
      <c r="V1015" t="s">
        <v>125</v>
      </c>
      <c r="AE1015" t="s">
        <v>125</v>
      </c>
      <c r="AF1015">
        <v>0</v>
      </c>
      <c r="AG1015" t="s">
        <v>125</v>
      </c>
      <c r="AH1015">
        <v>0</v>
      </c>
      <c r="AK1015">
        <v>0</v>
      </c>
    </row>
    <row r="1016" spans="1:37" x14ac:dyDescent="0.25">
      <c r="A1016" t="s">
        <v>79</v>
      </c>
      <c r="B1016">
        <v>4</v>
      </c>
      <c r="C1016">
        <v>3</v>
      </c>
      <c r="D1016">
        <v>2</v>
      </c>
      <c r="E1016">
        <v>12</v>
      </c>
      <c r="G1016">
        <v>432</v>
      </c>
      <c r="H1016" t="s">
        <v>63</v>
      </c>
      <c r="I1016" t="s">
        <v>133</v>
      </c>
      <c r="J1016" t="s">
        <v>152</v>
      </c>
      <c r="L1016">
        <v>0</v>
      </c>
      <c r="M1016" t="s">
        <v>125</v>
      </c>
      <c r="O1016" t="s">
        <v>125</v>
      </c>
      <c r="P1016" t="s">
        <v>125</v>
      </c>
      <c r="Q1016" t="s">
        <v>125</v>
      </c>
      <c r="R1016" t="s">
        <v>125</v>
      </c>
      <c r="S1016" t="s">
        <v>125</v>
      </c>
      <c r="T1016">
        <v>0</v>
      </c>
      <c r="V1016" t="s">
        <v>125</v>
      </c>
      <c r="AE1016" t="s">
        <v>125</v>
      </c>
      <c r="AF1016">
        <v>0</v>
      </c>
      <c r="AG1016" t="s">
        <v>125</v>
      </c>
      <c r="AH1016">
        <v>0</v>
      </c>
      <c r="AK1016">
        <v>0</v>
      </c>
    </row>
    <row r="1017" spans="1:37" x14ac:dyDescent="0.25">
      <c r="A1017" t="s">
        <v>79</v>
      </c>
      <c r="B1017">
        <v>4</v>
      </c>
      <c r="C1017">
        <v>3</v>
      </c>
      <c r="D1017">
        <v>2</v>
      </c>
      <c r="E1017">
        <v>13</v>
      </c>
      <c r="G1017">
        <v>432</v>
      </c>
      <c r="H1017" t="s">
        <v>63</v>
      </c>
      <c r="I1017" t="s">
        <v>135</v>
      </c>
      <c r="J1017" t="s">
        <v>153</v>
      </c>
      <c r="L1017">
        <v>0</v>
      </c>
      <c r="M1017" t="s">
        <v>125</v>
      </c>
      <c r="O1017" t="s">
        <v>125</v>
      </c>
      <c r="P1017" t="s">
        <v>125</v>
      </c>
      <c r="Q1017" t="s">
        <v>125</v>
      </c>
      <c r="R1017" t="s">
        <v>125</v>
      </c>
      <c r="S1017" t="s">
        <v>125</v>
      </c>
      <c r="T1017">
        <v>0</v>
      </c>
      <c r="V1017" t="s">
        <v>125</v>
      </c>
      <c r="AE1017" t="s">
        <v>125</v>
      </c>
      <c r="AF1017">
        <v>0</v>
      </c>
      <c r="AG1017" t="s">
        <v>125</v>
      </c>
      <c r="AH1017">
        <v>0</v>
      </c>
      <c r="AK1017">
        <v>0</v>
      </c>
    </row>
    <row r="1018" spans="1:37" x14ac:dyDescent="0.25">
      <c r="A1018" t="s">
        <v>79</v>
      </c>
      <c r="B1018">
        <v>4</v>
      </c>
      <c r="C1018">
        <v>3</v>
      </c>
      <c r="D1018">
        <v>2</v>
      </c>
      <c r="E1018">
        <v>14</v>
      </c>
      <c r="G1018">
        <v>432</v>
      </c>
      <c r="H1018" t="s">
        <v>63</v>
      </c>
      <c r="I1018" t="s">
        <v>137</v>
      </c>
      <c r="J1018" t="s">
        <v>154</v>
      </c>
      <c r="L1018">
        <v>0</v>
      </c>
      <c r="M1018" t="s">
        <v>125</v>
      </c>
      <c r="O1018" t="s">
        <v>125</v>
      </c>
      <c r="P1018" t="s">
        <v>125</v>
      </c>
      <c r="Q1018" t="s">
        <v>125</v>
      </c>
      <c r="R1018" t="s">
        <v>125</v>
      </c>
      <c r="S1018" t="s">
        <v>125</v>
      </c>
      <c r="T1018">
        <v>0</v>
      </c>
      <c r="V1018" t="s">
        <v>125</v>
      </c>
      <c r="AE1018" t="s">
        <v>125</v>
      </c>
      <c r="AF1018">
        <v>0</v>
      </c>
      <c r="AG1018" t="s">
        <v>125</v>
      </c>
      <c r="AH1018">
        <v>0</v>
      </c>
      <c r="AK1018">
        <v>0</v>
      </c>
    </row>
    <row r="1019" spans="1:37" x14ac:dyDescent="0.25">
      <c r="A1019" t="s">
        <v>79</v>
      </c>
      <c r="B1019">
        <v>4</v>
      </c>
      <c r="C1019">
        <v>3</v>
      </c>
      <c r="D1019">
        <v>2</v>
      </c>
      <c r="E1019">
        <v>15</v>
      </c>
      <c r="G1019">
        <v>432</v>
      </c>
      <c r="H1019" t="s">
        <v>63</v>
      </c>
      <c r="I1019" t="s">
        <v>139</v>
      </c>
      <c r="J1019" t="s">
        <v>155</v>
      </c>
      <c r="L1019">
        <v>0</v>
      </c>
      <c r="M1019" t="s">
        <v>125</v>
      </c>
      <c r="O1019" t="s">
        <v>125</v>
      </c>
      <c r="P1019" t="s">
        <v>125</v>
      </c>
      <c r="Q1019" t="s">
        <v>125</v>
      </c>
      <c r="R1019" t="s">
        <v>125</v>
      </c>
      <c r="S1019" t="s">
        <v>125</v>
      </c>
      <c r="T1019">
        <v>0</v>
      </c>
      <c r="V1019" t="s">
        <v>125</v>
      </c>
      <c r="AE1019" t="s">
        <v>125</v>
      </c>
      <c r="AF1019">
        <v>0</v>
      </c>
      <c r="AG1019" t="s">
        <v>125</v>
      </c>
      <c r="AH1019">
        <v>0</v>
      </c>
      <c r="AK1019">
        <v>0</v>
      </c>
    </row>
    <row r="1020" spans="1:37" x14ac:dyDescent="0.25">
      <c r="L1020">
        <v>0</v>
      </c>
    </row>
    <row r="1021" spans="1:37" x14ac:dyDescent="0.25">
      <c r="A1021" t="s">
        <v>70</v>
      </c>
      <c r="B1021">
        <v>4</v>
      </c>
      <c r="C1021">
        <v>3</v>
      </c>
      <c r="D1021">
        <v>3</v>
      </c>
      <c r="G1021">
        <v>43</v>
      </c>
      <c r="L1021">
        <v>0</v>
      </c>
      <c r="M1021" t="s">
        <v>125</v>
      </c>
      <c r="P1021" t="s">
        <v>125</v>
      </c>
      <c r="R1021" t="s">
        <v>125</v>
      </c>
      <c r="S1021" t="s">
        <v>63</v>
      </c>
      <c r="V1021" t="s">
        <v>125</v>
      </c>
      <c r="X1021" t="s">
        <v>125</v>
      </c>
      <c r="Y1021" t="s">
        <v>125</v>
      </c>
      <c r="Z1021" t="s">
        <v>125</v>
      </c>
      <c r="AA1021" t="s">
        <v>125</v>
      </c>
      <c r="AB1021" t="s">
        <v>125</v>
      </c>
      <c r="AC1021" t="s">
        <v>125</v>
      </c>
      <c r="AE1021" t="s">
        <v>125</v>
      </c>
      <c r="AF1021">
        <v>0</v>
      </c>
      <c r="AG1021" t="s">
        <v>125</v>
      </c>
      <c r="AH1021">
        <v>0</v>
      </c>
      <c r="AK1021">
        <v>0</v>
      </c>
    </row>
    <row r="1022" spans="1:37" x14ac:dyDescent="0.25">
      <c r="A1022" t="s">
        <v>79</v>
      </c>
      <c r="B1022">
        <v>4</v>
      </c>
      <c r="C1022">
        <v>3</v>
      </c>
      <c r="D1022">
        <v>3</v>
      </c>
      <c r="E1022">
        <v>1</v>
      </c>
      <c r="G1022">
        <v>433</v>
      </c>
      <c r="H1022" t="s">
        <v>63</v>
      </c>
      <c r="I1022" t="s">
        <v>80</v>
      </c>
      <c r="J1022" t="s">
        <v>141</v>
      </c>
      <c r="L1022">
        <v>0</v>
      </c>
      <c r="M1022" t="s">
        <v>125</v>
      </c>
      <c r="O1022" t="s">
        <v>125</v>
      </c>
      <c r="P1022" t="s">
        <v>125</v>
      </c>
      <c r="Q1022" t="s">
        <v>125</v>
      </c>
      <c r="R1022" t="s">
        <v>125</v>
      </c>
      <c r="S1022" t="s">
        <v>125</v>
      </c>
      <c r="T1022">
        <v>0</v>
      </c>
      <c r="V1022" t="s">
        <v>125</v>
      </c>
      <c r="AE1022" t="s">
        <v>125</v>
      </c>
      <c r="AF1022">
        <v>0</v>
      </c>
      <c r="AG1022" t="s">
        <v>125</v>
      </c>
      <c r="AH1022">
        <v>0</v>
      </c>
      <c r="AK1022">
        <v>0</v>
      </c>
    </row>
    <row r="1023" spans="1:37" x14ac:dyDescent="0.25">
      <c r="A1023" t="s">
        <v>79</v>
      </c>
      <c r="B1023">
        <v>4</v>
      </c>
      <c r="C1023">
        <v>3</v>
      </c>
      <c r="D1023">
        <v>3</v>
      </c>
      <c r="E1023">
        <v>2</v>
      </c>
      <c r="G1023">
        <v>433</v>
      </c>
      <c r="H1023" t="s">
        <v>63</v>
      </c>
      <c r="I1023" t="s">
        <v>88</v>
      </c>
      <c r="J1023" t="s">
        <v>142</v>
      </c>
      <c r="L1023">
        <v>0</v>
      </c>
      <c r="M1023" t="s">
        <v>125</v>
      </c>
      <c r="O1023" t="s">
        <v>125</v>
      </c>
      <c r="P1023" t="s">
        <v>125</v>
      </c>
      <c r="Q1023" t="s">
        <v>125</v>
      </c>
      <c r="R1023" t="s">
        <v>125</v>
      </c>
      <c r="S1023" t="s">
        <v>125</v>
      </c>
      <c r="T1023">
        <v>0</v>
      </c>
      <c r="V1023" t="s">
        <v>125</v>
      </c>
      <c r="AE1023" t="s">
        <v>125</v>
      </c>
      <c r="AF1023">
        <v>0</v>
      </c>
      <c r="AG1023" t="s">
        <v>125</v>
      </c>
      <c r="AH1023">
        <v>0</v>
      </c>
      <c r="AK1023">
        <v>0</v>
      </c>
    </row>
    <row r="1024" spans="1:37" x14ac:dyDescent="0.25">
      <c r="A1024" t="s">
        <v>79</v>
      </c>
      <c r="B1024">
        <v>4</v>
      </c>
      <c r="C1024">
        <v>3</v>
      </c>
      <c r="D1024">
        <v>3</v>
      </c>
      <c r="E1024">
        <v>3</v>
      </c>
      <c r="G1024">
        <v>433</v>
      </c>
      <c r="H1024" t="s">
        <v>63</v>
      </c>
      <c r="I1024" t="s">
        <v>95</v>
      </c>
      <c r="J1024" t="s">
        <v>143</v>
      </c>
      <c r="L1024">
        <v>0</v>
      </c>
      <c r="M1024" t="s">
        <v>125</v>
      </c>
      <c r="O1024" t="s">
        <v>125</v>
      </c>
      <c r="P1024" t="s">
        <v>125</v>
      </c>
      <c r="Q1024" t="s">
        <v>125</v>
      </c>
      <c r="R1024" t="s">
        <v>125</v>
      </c>
      <c r="S1024" t="s">
        <v>125</v>
      </c>
      <c r="T1024">
        <v>0</v>
      </c>
      <c r="V1024" t="s">
        <v>125</v>
      </c>
      <c r="AE1024" t="s">
        <v>125</v>
      </c>
      <c r="AF1024">
        <v>0</v>
      </c>
      <c r="AG1024" t="s">
        <v>125</v>
      </c>
      <c r="AH1024">
        <v>0</v>
      </c>
      <c r="AK1024">
        <v>0</v>
      </c>
    </row>
    <row r="1025" spans="1:37" x14ac:dyDescent="0.25">
      <c r="A1025" t="s">
        <v>79</v>
      </c>
      <c r="B1025">
        <v>4</v>
      </c>
      <c r="C1025">
        <v>3</v>
      </c>
      <c r="D1025">
        <v>3</v>
      </c>
      <c r="E1025">
        <v>4</v>
      </c>
      <c r="G1025">
        <v>433</v>
      </c>
      <c r="H1025" t="s">
        <v>63</v>
      </c>
      <c r="I1025" t="s">
        <v>102</v>
      </c>
      <c r="J1025" t="s">
        <v>144</v>
      </c>
      <c r="L1025">
        <v>0</v>
      </c>
      <c r="M1025" t="s">
        <v>125</v>
      </c>
      <c r="O1025" t="s">
        <v>125</v>
      </c>
      <c r="P1025" t="s">
        <v>125</v>
      </c>
      <c r="Q1025" t="s">
        <v>125</v>
      </c>
      <c r="R1025" t="s">
        <v>125</v>
      </c>
      <c r="S1025" t="s">
        <v>125</v>
      </c>
      <c r="T1025">
        <v>0</v>
      </c>
      <c r="V1025" t="s">
        <v>125</v>
      </c>
      <c r="AE1025" t="s">
        <v>125</v>
      </c>
      <c r="AF1025">
        <v>0</v>
      </c>
      <c r="AG1025" t="s">
        <v>125</v>
      </c>
      <c r="AH1025">
        <v>0</v>
      </c>
      <c r="AK1025">
        <v>0</v>
      </c>
    </row>
    <row r="1026" spans="1:37" x14ac:dyDescent="0.25">
      <c r="A1026" t="s">
        <v>79</v>
      </c>
      <c r="B1026">
        <v>4</v>
      </c>
      <c r="C1026">
        <v>3</v>
      </c>
      <c r="D1026">
        <v>3</v>
      </c>
      <c r="E1026">
        <v>5</v>
      </c>
      <c r="G1026">
        <v>433</v>
      </c>
      <c r="H1026" t="s">
        <v>63</v>
      </c>
      <c r="I1026" t="s">
        <v>109</v>
      </c>
      <c r="J1026" t="s">
        <v>145</v>
      </c>
      <c r="L1026">
        <v>0</v>
      </c>
      <c r="M1026" t="s">
        <v>125</v>
      </c>
      <c r="O1026" t="s">
        <v>125</v>
      </c>
      <c r="P1026" t="s">
        <v>125</v>
      </c>
      <c r="Q1026" t="s">
        <v>125</v>
      </c>
      <c r="R1026" t="s">
        <v>125</v>
      </c>
      <c r="S1026" t="s">
        <v>125</v>
      </c>
      <c r="T1026">
        <v>0</v>
      </c>
      <c r="V1026" t="s">
        <v>125</v>
      </c>
      <c r="AE1026" t="s">
        <v>125</v>
      </c>
      <c r="AF1026">
        <v>0</v>
      </c>
      <c r="AG1026" t="s">
        <v>125</v>
      </c>
      <c r="AH1026">
        <v>0</v>
      </c>
      <c r="AK1026">
        <v>0</v>
      </c>
    </row>
    <row r="1027" spans="1:37" x14ac:dyDescent="0.25">
      <c r="A1027" t="s">
        <v>79</v>
      </c>
      <c r="B1027">
        <v>4</v>
      </c>
      <c r="C1027">
        <v>3</v>
      </c>
      <c r="D1027">
        <v>3</v>
      </c>
      <c r="E1027">
        <v>6</v>
      </c>
      <c r="G1027">
        <v>433</v>
      </c>
      <c r="H1027" t="s">
        <v>63</v>
      </c>
      <c r="I1027" t="s">
        <v>116</v>
      </c>
      <c r="J1027" t="s">
        <v>146</v>
      </c>
      <c r="L1027">
        <v>0</v>
      </c>
      <c r="M1027" t="s">
        <v>125</v>
      </c>
      <c r="O1027" t="s">
        <v>125</v>
      </c>
      <c r="P1027" t="s">
        <v>125</v>
      </c>
      <c r="Q1027" t="s">
        <v>125</v>
      </c>
      <c r="R1027" t="s">
        <v>125</v>
      </c>
      <c r="S1027" t="s">
        <v>125</v>
      </c>
      <c r="T1027">
        <v>0</v>
      </c>
      <c r="V1027" t="s">
        <v>125</v>
      </c>
      <c r="AE1027" t="s">
        <v>125</v>
      </c>
      <c r="AF1027">
        <v>0</v>
      </c>
      <c r="AG1027" t="s">
        <v>125</v>
      </c>
      <c r="AH1027">
        <v>0</v>
      </c>
      <c r="AK1027">
        <v>0</v>
      </c>
    </row>
    <row r="1028" spans="1:37" x14ac:dyDescent="0.25">
      <c r="A1028" t="s">
        <v>79</v>
      </c>
      <c r="B1028">
        <v>4</v>
      </c>
      <c r="C1028">
        <v>3</v>
      </c>
      <c r="D1028">
        <v>3</v>
      </c>
      <c r="E1028">
        <v>7</v>
      </c>
      <c r="G1028">
        <v>433</v>
      </c>
      <c r="H1028" t="s">
        <v>63</v>
      </c>
      <c r="I1028" t="s">
        <v>123</v>
      </c>
      <c r="J1028" t="s">
        <v>147</v>
      </c>
      <c r="L1028">
        <v>0</v>
      </c>
      <c r="M1028" t="s">
        <v>125</v>
      </c>
      <c r="O1028" t="s">
        <v>125</v>
      </c>
      <c r="P1028" t="s">
        <v>125</v>
      </c>
      <c r="Q1028" t="s">
        <v>125</v>
      </c>
      <c r="R1028" t="s">
        <v>125</v>
      </c>
      <c r="S1028" t="s">
        <v>125</v>
      </c>
      <c r="T1028">
        <v>0</v>
      </c>
      <c r="V1028" t="s">
        <v>125</v>
      </c>
      <c r="AE1028" t="s">
        <v>125</v>
      </c>
      <c r="AF1028">
        <v>0</v>
      </c>
      <c r="AG1028" t="s">
        <v>125</v>
      </c>
      <c r="AH1028">
        <v>0</v>
      </c>
      <c r="AK1028">
        <v>0</v>
      </c>
    </row>
    <row r="1029" spans="1:37" x14ac:dyDescent="0.25">
      <c r="A1029" t="s">
        <v>79</v>
      </c>
      <c r="B1029">
        <v>4</v>
      </c>
      <c r="C1029">
        <v>3</v>
      </c>
      <c r="D1029">
        <v>3</v>
      </c>
      <c r="E1029">
        <v>8</v>
      </c>
      <c r="G1029">
        <v>433</v>
      </c>
      <c r="H1029" t="s">
        <v>63</v>
      </c>
      <c r="I1029" t="s">
        <v>126</v>
      </c>
      <c r="J1029" t="s">
        <v>148</v>
      </c>
      <c r="L1029">
        <v>0</v>
      </c>
      <c r="M1029" t="s">
        <v>125</v>
      </c>
      <c r="O1029" t="s">
        <v>125</v>
      </c>
      <c r="P1029" t="s">
        <v>125</v>
      </c>
      <c r="Q1029" t="s">
        <v>125</v>
      </c>
      <c r="R1029" t="s">
        <v>125</v>
      </c>
      <c r="S1029" t="s">
        <v>125</v>
      </c>
      <c r="T1029">
        <v>0</v>
      </c>
      <c r="V1029" t="s">
        <v>125</v>
      </c>
      <c r="AE1029" t="s">
        <v>125</v>
      </c>
      <c r="AF1029">
        <v>0</v>
      </c>
      <c r="AG1029" t="s">
        <v>125</v>
      </c>
      <c r="AH1029">
        <v>0</v>
      </c>
      <c r="AK1029">
        <v>0</v>
      </c>
    </row>
    <row r="1030" spans="1:37" x14ac:dyDescent="0.25">
      <c r="A1030" t="s">
        <v>79</v>
      </c>
      <c r="B1030">
        <v>4</v>
      </c>
      <c r="C1030">
        <v>3</v>
      </c>
      <c r="D1030">
        <v>3</v>
      </c>
      <c r="E1030">
        <v>9</v>
      </c>
      <c r="G1030">
        <v>433</v>
      </c>
      <c r="H1030" t="s">
        <v>63</v>
      </c>
      <c r="I1030" t="s">
        <v>74</v>
      </c>
      <c r="J1030" t="s">
        <v>149</v>
      </c>
      <c r="L1030">
        <v>0</v>
      </c>
      <c r="M1030" t="s">
        <v>125</v>
      </c>
      <c r="O1030" t="s">
        <v>125</v>
      </c>
      <c r="P1030" t="s">
        <v>125</v>
      </c>
      <c r="Q1030" t="s">
        <v>125</v>
      </c>
      <c r="R1030" t="s">
        <v>125</v>
      </c>
      <c r="S1030" t="s">
        <v>125</v>
      </c>
      <c r="T1030">
        <v>0</v>
      </c>
      <c r="V1030" t="s">
        <v>125</v>
      </c>
      <c r="AE1030" t="s">
        <v>125</v>
      </c>
      <c r="AF1030">
        <v>0</v>
      </c>
      <c r="AG1030" t="s">
        <v>125</v>
      </c>
      <c r="AH1030">
        <v>0</v>
      </c>
      <c r="AK1030">
        <v>0</v>
      </c>
    </row>
    <row r="1031" spans="1:37" x14ac:dyDescent="0.25">
      <c r="A1031" t="s">
        <v>79</v>
      </c>
      <c r="B1031">
        <v>4</v>
      </c>
      <c r="C1031">
        <v>3</v>
      </c>
      <c r="D1031">
        <v>3</v>
      </c>
      <c r="E1031">
        <v>10</v>
      </c>
      <c r="G1031">
        <v>433</v>
      </c>
      <c r="H1031" t="s">
        <v>63</v>
      </c>
      <c r="I1031" t="s">
        <v>129</v>
      </c>
      <c r="J1031" t="s">
        <v>150</v>
      </c>
      <c r="L1031">
        <v>0</v>
      </c>
      <c r="M1031" t="s">
        <v>125</v>
      </c>
      <c r="O1031" t="s">
        <v>125</v>
      </c>
      <c r="P1031" t="s">
        <v>125</v>
      </c>
      <c r="Q1031" t="s">
        <v>125</v>
      </c>
      <c r="R1031" t="s">
        <v>125</v>
      </c>
      <c r="S1031" t="s">
        <v>125</v>
      </c>
      <c r="T1031">
        <v>0</v>
      </c>
      <c r="V1031" t="s">
        <v>125</v>
      </c>
      <c r="AE1031" t="s">
        <v>125</v>
      </c>
      <c r="AF1031">
        <v>0</v>
      </c>
      <c r="AG1031" t="s">
        <v>125</v>
      </c>
      <c r="AH1031">
        <v>0</v>
      </c>
      <c r="AK1031">
        <v>0</v>
      </c>
    </row>
    <row r="1032" spans="1:37" x14ac:dyDescent="0.25">
      <c r="A1032" t="s">
        <v>79</v>
      </c>
      <c r="B1032">
        <v>4</v>
      </c>
      <c r="C1032">
        <v>3</v>
      </c>
      <c r="D1032">
        <v>3</v>
      </c>
      <c r="E1032">
        <v>11</v>
      </c>
      <c r="G1032">
        <v>433</v>
      </c>
      <c r="H1032" t="s">
        <v>63</v>
      </c>
      <c r="I1032" t="s">
        <v>131</v>
      </c>
      <c r="J1032" t="s">
        <v>151</v>
      </c>
      <c r="L1032">
        <v>0</v>
      </c>
      <c r="M1032" t="s">
        <v>125</v>
      </c>
      <c r="O1032" t="s">
        <v>125</v>
      </c>
      <c r="P1032" t="s">
        <v>125</v>
      </c>
      <c r="Q1032" t="s">
        <v>125</v>
      </c>
      <c r="R1032" t="s">
        <v>125</v>
      </c>
      <c r="S1032" t="s">
        <v>125</v>
      </c>
      <c r="T1032">
        <v>0</v>
      </c>
      <c r="V1032" t="s">
        <v>125</v>
      </c>
      <c r="AE1032" t="s">
        <v>125</v>
      </c>
      <c r="AF1032">
        <v>0</v>
      </c>
      <c r="AG1032" t="s">
        <v>125</v>
      </c>
      <c r="AH1032">
        <v>0</v>
      </c>
      <c r="AK1032">
        <v>0</v>
      </c>
    </row>
    <row r="1033" spans="1:37" x14ac:dyDescent="0.25">
      <c r="A1033" t="s">
        <v>79</v>
      </c>
      <c r="B1033">
        <v>4</v>
      </c>
      <c r="C1033">
        <v>3</v>
      </c>
      <c r="D1033">
        <v>3</v>
      </c>
      <c r="E1033">
        <v>12</v>
      </c>
      <c r="G1033">
        <v>433</v>
      </c>
      <c r="H1033" t="s">
        <v>63</v>
      </c>
      <c r="I1033" t="s">
        <v>133</v>
      </c>
      <c r="J1033" t="s">
        <v>152</v>
      </c>
      <c r="L1033">
        <v>0</v>
      </c>
      <c r="M1033" t="s">
        <v>125</v>
      </c>
      <c r="O1033" t="s">
        <v>125</v>
      </c>
      <c r="P1033" t="s">
        <v>125</v>
      </c>
      <c r="Q1033" t="s">
        <v>125</v>
      </c>
      <c r="R1033" t="s">
        <v>125</v>
      </c>
      <c r="S1033" t="s">
        <v>125</v>
      </c>
      <c r="T1033">
        <v>0</v>
      </c>
      <c r="V1033" t="s">
        <v>125</v>
      </c>
      <c r="AE1033" t="s">
        <v>125</v>
      </c>
      <c r="AF1033">
        <v>0</v>
      </c>
      <c r="AG1033" t="s">
        <v>125</v>
      </c>
      <c r="AH1033">
        <v>0</v>
      </c>
      <c r="AK1033">
        <v>0</v>
      </c>
    </row>
    <row r="1034" spans="1:37" x14ac:dyDescent="0.25">
      <c r="A1034" t="s">
        <v>79</v>
      </c>
      <c r="B1034">
        <v>4</v>
      </c>
      <c r="C1034">
        <v>3</v>
      </c>
      <c r="D1034">
        <v>3</v>
      </c>
      <c r="E1034">
        <v>13</v>
      </c>
      <c r="G1034">
        <v>433</v>
      </c>
      <c r="H1034" t="s">
        <v>63</v>
      </c>
      <c r="I1034" t="s">
        <v>135</v>
      </c>
      <c r="J1034" t="s">
        <v>153</v>
      </c>
      <c r="L1034">
        <v>0</v>
      </c>
      <c r="M1034" t="s">
        <v>125</v>
      </c>
      <c r="O1034" t="s">
        <v>125</v>
      </c>
      <c r="P1034" t="s">
        <v>125</v>
      </c>
      <c r="Q1034" t="s">
        <v>125</v>
      </c>
      <c r="R1034" t="s">
        <v>125</v>
      </c>
      <c r="S1034" t="s">
        <v>125</v>
      </c>
      <c r="T1034">
        <v>0</v>
      </c>
      <c r="V1034" t="s">
        <v>125</v>
      </c>
      <c r="AE1034" t="s">
        <v>125</v>
      </c>
      <c r="AF1034">
        <v>0</v>
      </c>
      <c r="AG1034" t="s">
        <v>125</v>
      </c>
      <c r="AH1034">
        <v>0</v>
      </c>
      <c r="AK1034">
        <v>0</v>
      </c>
    </row>
    <row r="1035" spans="1:37" x14ac:dyDescent="0.25">
      <c r="A1035" t="s">
        <v>79</v>
      </c>
      <c r="B1035">
        <v>4</v>
      </c>
      <c r="C1035">
        <v>3</v>
      </c>
      <c r="D1035">
        <v>3</v>
      </c>
      <c r="E1035">
        <v>14</v>
      </c>
      <c r="G1035">
        <v>433</v>
      </c>
      <c r="H1035" t="s">
        <v>63</v>
      </c>
      <c r="I1035" t="s">
        <v>137</v>
      </c>
      <c r="J1035" t="s">
        <v>154</v>
      </c>
      <c r="L1035">
        <v>0</v>
      </c>
      <c r="M1035" t="s">
        <v>125</v>
      </c>
      <c r="O1035" t="s">
        <v>125</v>
      </c>
      <c r="P1035" t="s">
        <v>125</v>
      </c>
      <c r="Q1035" t="s">
        <v>125</v>
      </c>
      <c r="R1035" t="s">
        <v>125</v>
      </c>
      <c r="S1035" t="s">
        <v>125</v>
      </c>
      <c r="T1035">
        <v>0</v>
      </c>
      <c r="V1035" t="s">
        <v>125</v>
      </c>
      <c r="AE1035" t="s">
        <v>125</v>
      </c>
      <c r="AF1035">
        <v>0</v>
      </c>
      <c r="AG1035" t="s">
        <v>125</v>
      </c>
      <c r="AH1035">
        <v>0</v>
      </c>
      <c r="AK1035">
        <v>0</v>
      </c>
    </row>
    <row r="1036" spans="1:37" x14ac:dyDescent="0.25">
      <c r="A1036" t="s">
        <v>79</v>
      </c>
      <c r="B1036">
        <v>4</v>
      </c>
      <c r="C1036">
        <v>3</v>
      </c>
      <c r="D1036">
        <v>3</v>
      </c>
      <c r="E1036">
        <v>15</v>
      </c>
      <c r="G1036">
        <v>433</v>
      </c>
      <c r="H1036" t="s">
        <v>63</v>
      </c>
      <c r="I1036" t="s">
        <v>139</v>
      </c>
      <c r="J1036" t="s">
        <v>155</v>
      </c>
      <c r="L1036">
        <v>0</v>
      </c>
      <c r="M1036" t="s">
        <v>125</v>
      </c>
      <c r="O1036" t="s">
        <v>125</v>
      </c>
      <c r="P1036" t="s">
        <v>125</v>
      </c>
      <c r="Q1036" t="s">
        <v>125</v>
      </c>
      <c r="R1036" t="s">
        <v>125</v>
      </c>
      <c r="S1036" t="s">
        <v>125</v>
      </c>
      <c r="T1036">
        <v>0</v>
      </c>
      <c r="V1036" t="s">
        <v>125</v>
      </c>
      <c r="AE1036" t="s">
        <v>125</v>
      </c>
      <c r="AF1036">
        <v>0</v>
      </c>
      <c r="AG1036" t="s">
        <v>125</v>
      </c>
      <c r="AH1036">
        <v>0</v>
      </c>
      <c r="AK1036">
        <v>0</v>
      </c>
    </row>
    <row r="1037" spans="1:37" x14ac:dyDescent="0.25">
      <c r="L1037">
        <v>0</v>
      </c>
    </row>
    <row r="1038" spans="1:37" x14ac:dyDescent="0.25">
      <c r="A1038" t="s">
        <v>70</v>
      </c>
      <c r="B1038">
        <v>4</v>
      </c>
      <c r="C1038">
        <v>3</v>
      </c>
      <c r="D1038">
        <v>4</v>
      </c>
      <c r="G1038">
        <v>43</v>
      </c>
      <c r="L1038">
        <v>0</v>
      </c>
      <c r="M1038" t="s">
        <v>125</v>
      </c>
      <c r="P1038" t="s">
        <v>125</v>
      </c>
      <c r="R1038" t="s">
        <v>125</v>
      </c>
      <c r="S1038" t="s">
        <v>63</v>
      </c>
      <c r="V1038" t="s">
        <v>125</v>
      </c>
      <c r="X1038" t="s">
        <v>125</v>
      </c>
      <c r="Y1038" t="s">
        <v>125</v>
      </c>
      <c r="Z1038" t="s">
        <v>125</v>
      </c>
      <c r="AA1038" t="s">
        <v>125</v>
      </c>
      <c r="AB1038" t="s">
        <v>125</v>
      </c>
      <c r="AC1038" t="s">
        <v>125</v>
      </c>
      <c r="AE1038" t="s">
        <v>125</v>
      </c>
      <c r="AF1038">
        <v>0</v>
      </c>
      <c r="AG1038" t="s">
        <v>125</v>
      </c>
      <c r="AH1038">
        <v>0</v>
      </c>
      <c r="AK1038">
        <v>0</v>
      </c>
    </row>
    <row r="1039" spans="1:37" x14ac:dyDescent="0.25">
      <c r="A1039" t="s">
        <v>79</v>
      </c>
      <c r="B1039">
        <v>4</v>
      </c>
      <c r="C1039">
        <v>3</v>
      </c>
      <c r="D1039">
        <v>4</v>
      </c>
      <c r="E1039">
        <v>1</v>
      </c>
      <c r="G1039">
        <v>434</v>
      </c>
      <c r="H1039" t="s">
        <v>63</v>
      </c>
      <c r="I1039" t="s">
        <v>80</v>
      </c>
      <c r="J1039" t="s">
        <v>141</v>
      </c>
      <c r="L1039">
        <v>0</v>
      </c>
      <c r="M1039" t="s">
        <v>125</v>
      </c>
      <c r="O1039" t="s">
        <v>125</v>
      </c>
      <c r="P1039" t="s">
        <v>125</v>
      </c>
      <c r="Q1039" t="s">
        <v>125</v>
      </c>
      <c r="R1039" t="s">
        <v>125</v>
      </c>
      <c r="S1039" t="s">
        <v>125</v>
      </c>
      <c r="T1039">
        <v>0</v>
      </c>
      <c r="V1039" t="s">
        <v>125</v>
      </c>
      <c r="AE1039" t="s">
        <v>125</v>
      </c>
      <c r="AF1039">
        <v>0</v>
      </c>
      <c r="AG1039" t="s">
        <v>125</v>
      </c>
      <c r="AH1039">
        <v>0</v>
      </c>
      <c r="AK1039">
        <v>0</v>
      </c>
    </row>
    <row r="1040" spans="1:37" x14ac:dyDescent="0.25">
      <c r="A1040" t="s">
        <v>79</v>
      </c>
      <c r="B1040">
        <v>4</v>
      </c>
      <c r="C1040">
        <v>3</v>
      </c>
      <c r="D1040">
        <v>4</v>
      </c>
      <c r="E1040">
        <v>2</v>
      </c>
      <c r="G1040">
        <v>434</v>
      </c>
      <c r="H1040" t="s">
        <v>63</v>
      </c>
      <c r="I1040" t="s">
        <v>88</v>
      </c>
      <c r="J1040" t="s">
        <v>142</v>
      </c>
      <c r="L1040">
        <v>0</v>
      </c>
      <c r="M1040" t="s">
        <v>125</v>
      </c>
      <c r="O1040" t="s">
        <v>125</v>
      </c>
      <c r="P1040" t="s">
        <v>125</v>
      </c>
      <c r="Q1040" t="s">
        <v>125</v>
      </c>
      <c r="R1040" t="s">
        <v>125</v>
      </c>
      <c r="S1040" t="s">
        <v>125</v>
      </c>
      <c r="T1040">
        <v>0</v>
      </c>
      <c r="V1040" t="s">
        <v>125</v>
      </c>
      <c r="AE1040" t="s">
        <v>125</v>
      </c>
      <c r="AF1040">
        <v>0</v>
      </c>
      <c r="AG1040" t="s">
        <v>125</v>
      </c>
      <c r="AH1040">
        <v>0</v>
      </c>
      <c r="AK1040">
        <v>0</v>
      </c>
    </row>
    <row r="1041" spans="1:37" x14ac:dyDescent="0.25">
      <c r="A1041" t="s">
        <v>79</v>
      </c>
      <c r="B1041">
        <v>4</v>
      </c>
      <c r="C1041">
        <v>3</v>
      </c>
      <c r="D1041">
        <v>4</v>
      </c>
      <c r="E1041">
        <v>3</v>
      </c>
      <c r="G1041">
        <v>434</v>
      </c>
      <c r="H1041" t="s">
        <v>63</v>
      </c>
      <c r="I1041" t="s">
        <v>95</v>
      </c>
      <c r="J1041" t="s">
        <v>143</v>
      </c>
      <c r="L1041">
        <v>0</v>
      </c>
      <c r="M1041" t="s">
        <v>125</v>
      </c>
      <c r="O1041" t="s">
        <v>125</v>
      </c>
      <c r="P1041" t="s">
        <v>125</v>
      </c>
      <c r="Q1041" t="s">
        <v>125</v>
      </c>
      <c r="R1041" t="s">
        <v>125</v>
      </c>
      <c r="S1041" t="s">
        <v>125</v>
      </c>
      <c r="T1041">
        <v>0</v>
      </c>
      <c r="V1041" t="s">
        <v>125</v>
      </c>
      <c r="AE1041" t="s">
        <v>125</v>
      </c>
      <c r="AF1041">
        <v>0</v>
      </c>
      <c r="AG1041" t="s">
        <v>125</v>
      </c>
      <c r="AH1041">
        <v>0</v>
      </c>
      <c r="AK1041">
        <v>0</v>
      </c>
    </row>
    <row r="1042" spans="1:37" x14ac:dyDescent="0.25">
      <c r="A1042" t="s">
        <v>79</v>
      </c>
      <c r="B1042">
        <v>4</v>
      </c>
      <c r="C1042">
        <v>3</v>
      </c>
      <c r="D1042">
        <v>4</v>
      </c>
      <c r="E1042">
        <v>4</v>
      </c>
      <c r="G1042">
        <v>434</v>
      </c>
      <c r="H1042" t="s">
        <v>63</v>
      </c>
      <c r="I1042" t="s">
        <v>102</v>
      </c>
      <c r="J1042" t="s">
        <v>144</v>
      </c>
      <c r="L1042">
        <v>0</v>
      </c>
      <c r="M1042" t="s">
        <v>125</v>
      </c>
      <c r="O1042" t="s">
        <v>125</v>
      </c>
      <c r="P1042" t="s">
        <v>125</v>
      </c>
      <c r="Q1042" t="s">
        <v>125</v>
      </c>
      <c r="R1042" t="s">
        <v>125</v>
      </c>
      <c r="S1042" t="s">
        <v>125</v>
      </c>
      <c r="T1042">
        <v>0</v>
      </c>
      <c r="V1042" t="s">
        <v>125</v>
      </c>
      <c r="AE1042" t="s">
        <v>125</v>
      </c>
      <c r="AF1042">
        <v>0</v>
      </c>
      <c r="AG1042" t="s">
        <v>125</v>
      </c>
      <c r="AH1042">
        <v>0</v>
      </c>
      <c r="AK1042">
        <v>0</v>
      </c>
    </row>
    <row r="1043" spans="1:37" x14ac:dyDescent="0.25">
      <c r="A1043" t="s">
        <v>79</v>
      </c>
      <c r="B1043">
        <v>4</v>
      </c>
      <c r="C1043">
        <v>3</v>
      </c>
      <c r="D1043">
        <v>4</v>
      </c>
      <c r="E1043">
        <v>5</v>
      </c>
      <c r="G1043">
        <v>434</v>
      </c>
      <c r="H1043" t="s">
        <v>63</v>
      </c>
      <c r="I1043" t="s">
        <v>109</v>
      </c>
      <c r="J1043" t="s">
        <v>145</v>
      </c>
      <c r="L1043">
        <v>0</v>
      </c>
      <c r="M1043" t="s">
        <v>125</v>
      </c>
      <c r="O1043" t="s">
        <v>125</v>
      </c>
      <c r="P1043" t="s">
        <v>125</v>
      </c>
      <c r="Q1043" t="s">
        <v>125</v>
      </c>
      <c r="R1043" t="s">
        <v>125</v>
      </c>
      <c r="S1043" t="s">
        <v>125</v>
      </c>
      <c r="T1043">
        <v>0</v>
      </c>
      <c r="V1043" t="s">
        <v>125</v>
      </c>
      <c r="AE1043" t="s">
        <v>125</v>
      </c>
      <c r="AF1043">
        <v>0</v>
      </c>
      <c r="AG1043" t="s">
        <v>125</v>
      </c>
      <c r="AH1043">
        <v>0</v>
      </c>
      <c r="AK1043">
        <v>0</v>
      </c>
    </row>
    <row r="1044" spans="1:37" x14ac:dyDescent="0.25">
      <c r="A1044" t="s">
        <v>79</v>
      </c>
      <c r="B1044">
        <v>4</v>
      </c>
      <c r="C1044">
        <v>3</v>
      </c>
      <c r="D1044">
        <v>4</v>
      </c>
      <c r="E1044">
        <v>6</v>
      </c>
      <c r="G1044">
        <v>434</v>
      </c>
      <c r="H1044" t="s">
        <v>63</v>
      </c>
      <c r="I1044" t="s">
        <v>116</v>
      </c>
      <c r="J1044" t="s">
        <v>146</v>
      </c>
      <c r="L1044">
        <v>0</v>
      </c>
      <c r="M1044" t="s">
        <v>125</v>
      </c>
      <c r="O1044" t="s">
        <v>125</v>
      </c>
      <c r="P1044" t="s">
        <v>125</v>
      </c>
      <c r="Q1044" t="s">
        <v>125</v>
      </c>
      <c r="R1044" t="s">
        <v>125</v>
      </c>
      <c r="S1044" t="s">
        <v>125</v>
      </c>
      <c r="T1044">
        <v>0</v>
      </c>
      <c r="V1044" t="s">
        <v>125</v>
      </c>
      <c r="AE1044" t="s">
        <v>125</v>
      </c>
      <c r="AF1044">
        <v>0</v>
      </c>
      <c r="AG1044" t="s">
        <v>125</v>
      </c>
      <c r="AH1044">
        <v>0</v>
      </c>
      <c r="AK1044">
        <v>0</v>
      </c>
    </row>
    <row r="1045" spans="1:37" x14ac:dyDescent="0.25">
      <c r="A1045" t="s">
        <v>79</v>
      </c>
      <c r="B1045">
        <v>4</v>
      </c>
      <c r="C1045">
        <v>3</v>
      </c>
      <c r="D1045">
        <v>4</v>
      </c>
      <c r="E1045">
        <v>7</v>
      </c>
      <c r="G1045">
        <v>434</v>
      </c>
      <c r="H1045" t="s">
        <v>63</v>
      </c>
      <c r="I1045" t="s">
        <v>123</v>
      </c>
      <c r="J1045" t="s">
        <v>147</v>
      </c>
      <c r="L1045">
        <v>0</v>
      </c>
      <c r="M1045" t="s">
        <v>125</v>
      </c>
      <c r="O1045" t="s">
        <v>125</v>
      </c>
      <c r="P1045" t="s">
        <v>125</v>
      </c>
      <c r="Q1045" t="s">
        <v>125</v>
      </c>
      <c r="R1045" t="s">
        <v>125</v>
      </c>
      <c r="S1045" t="s">
        <v>125</v>
      </c>
      <c r="T1045">
        <v>0</v>
      </c>
      <c r="V1045" t="s">
        <v>125</v>
      </c>
      <c r="AE1045" t="s">
        <v>125</v>
      </c>
      <c r="AF1045">
        <v>0</v>
      </c>
      <c r="AG1045" t="s">
        <v>125</v>
      </c>
      <c r="AH1045">
        <v>0</v>
      </c>
      <c r="AK1045">
        <v>0</v>
      </c>
    </row>
    <row r="1046" spans="1:37" x14ac:dyDescent="0.25">
      <c r="A1046" t="s">
        <v>79</v>
      </c>
      <c r="B1046">
        <v>4</v>
      </c>
      <c r="C1046">
        <v>3</v>
      </c>
      <c r="D1046">
        <v>4</v>
      </c>
      <c r="E1046">
        <v>8</v>
      </c>
      <c r="G1046">
        <v>434</v>
      </c>
      <c r="H1046" t="s">
        <v>63</v>
      </c>
      <c r="I1046" t="s">
        <v>126</v>
      </c>
      <c r="J1046" t="s">
        <v>148</v>
      </c>
      <c r="L1046">
        <v>0</v>
      </c>
      <c r="M1046" t="s">
        <v>125</v>
      </c>
      <c r="O1046" t="s">
        <v>125</v>
      </c>
      <c r="P1046" t="s">
        <v>125</v>
      </c>
      <c r="Q1046" t="s">
        <v>125</v>
      </c>
      <c r="R1046" t="s">
        <v>125</v>
      </c>
      <c r="S1046" t="s">
        <v>125</v>
      </c>
      <c r="T1046">
        <v>0</v>
      </c>
      <c r="V1046" t="s">
        <v>125</v>
      </c>
      <c r="AE1046" t="s">
        <v>125</v>
      </c>
      <c r="AF1046">
        <v>0</v>
      </c>
      <c r="AG1046" t="s">
        <v>125</v>
      </c>
      <c r="AH1046">
        <v>0</v>
      </c>
      <c r="AK1046">
        <v>0</v>
      </c>
    </row>
    <row r="1047" spans="1:37" x14ac:dyDescent="0.25">
      <c r="A1047" t="s">
        <v>79</v>
      </c>
      <c r="B1047">
        <v>4</v>
      </c>
      <c r="C1047">
        <v>3</v>
      </c>
      <c r="D1047">
        <v>4</v>
      </c>
      <c r="E1047">
        <v>9</v>
      </c>
      <c r="G1047">
        <v>434</v>
      </c>
      <c r="H1047" t="s">
        <v>63</v>
      </c>
      <c r="I1047" t="s">
        <v>74</v>
      </c>
      <c r="J1047" t="s">
        <v>149</v>
      </c>
      <c r="L1047">
        <v>0</v>
      </c>
      <c r="M1047" t="s">
        <v>125</v>
      </c>
      <c r="O1047" t="s">
        <v>125</v>
      </c>
      <c r="P1047" t="s">
        <v>125</v>
      </c>
      <c r="Q1047" t="s">
        <v>125</v>
      </c>
      <c r="R1047" t="s">
        <v>125</v>
      </c>
      <c r="S1047" t="s">
        <v>125</v>
      </c>
      <c r="T1047">
        <v>0</v>
      </c>
      <c r="V1047" t="s">
        <v>125</v>
      </c>
      <c r="AE1047" t="s">
        <v>125</v>
      </c>
      <c r="AF1047">
        <v>0</v>
      </c>
      <c r="AG1047" t="s">
        <v>125</v>
      </c>
      <c r="AH1047">
        <v>0</v>
      </c>
      <c r="AK1047">
        <v>0</v>
      </c>
    </row>
    <row r="1048" spans="1:37" x14ac:dyDescent="0.25">
      <c r="A1048" t="s">
        <v>79</v>
      </c>
      <c r="B1048">
        <v>4</v>
      </c>
      <c r="C1048">
        <v>3</v>
      </c>
      <c r="D1048">
        <v>4</v>
      </c>
      <c r="E1048">
        <v>10</v>
      </c>
      <c r="G1048">
        <v>434</v>
      </c>
      <c r="H1048" t="s">
        <v>63</v>
      </c>
      <c r="I1048" t="s">
        <v>129</v>
      </c>
      <c r="J1048" t="s">
        <v>150</v>
      </c>
      <c r="L1048">
        <v>0</v>
      </c>
      <c r="M1048" t="s">
        <v>125</v>
      </c>
      <c r="O1048" t="s">
        <v>125</v>
      </c>
      <c r="P1048" t="s">
        <v>125</v>
      </c>
      <c r="Q1048" t="s">
        <v>125</v>
      </c>
      <c r="R1048" t="s">
        <v>125</v>
      </c>
      <c r="S1048" t="s">
        <v>125</v>
      </c>
      <c r="T1048">
        <v>0</v>
      </c>
      <c r="V1048" t="s">
        <v>125</v>
      </c>
      <c r="AE1048" t="s">
        <v>125</v>
      </c>
      <c r="AF1048">
        <v>0</v>
      </c>
      <c r="AG1048" t="s">
        <v>125</v>
      </c>
      <c r="AH1048">
        <v>0</v>
      </c>
      <c r="AK1048">
        <v>0</v>
      </c>
    </row>
    <row r="1049" spans="1:37" x14ac:dyDescent="0.25">
      <c r="A1049" t="s">
        <v>79</v>
      </c>
      <c r="B1049">
        <v>4</v>
      </c>
      <c r="C1049">
        <v>3</v>
      </c>
      <c r="D1049">
        <v>4</v>
      </c>
      <c r="E1049">
        <v>11</v>
      </c>
      <c r="G1049">
        <v>434</v>
      </c>
      <c r="H1049" t="s">
        <v>63</v>
      </c>
      <c r="I1049" t="s">
        <v>131</v>
      </c>
      <c r="J1049" t="s">
        <v>151</v>
      </c>
      <c r="L1049">
        <v>0</v>
      </c>
      <c r="M1049" t="s">
        <v>125</v>
      </c>
      <c r="O1049" t="s">
        <v>125</v>
      </c>
      <c r="P1049" t="s">
        <v>125</v>
      </c>
      <c r="Q1049" t="s">
        <v>125</v>
      </c>
      <c r="R1049" t="s">
        <v>125</v>
      </c>
      <c r="S1049" t="s">
        <v>125</v>
      </c>
      <c r="T1049">
        <v>0</v>
      </c>
      <c r="V1049" t="s">
        <v>125</v>
      </c>
      <c r="AE1049" t="s">
        <v>125</v>
      </c>
      <c r="AF1049">
        <v>0</v>
      </c>
      <c r="AG1049" t="s">
        <v>125</v>
      </c>
      <c r="AH1049">
        <v>0</v>
      </c>
      <c r="AK1049">
        <v>0</v>
      </c>
    </row>
    <row r="1050" spans="1:37" x14ac:dyDescent="0.25">
      <c r="A1050" t="s">
        <v>79</v>
      </c>
      <c r="B1050">
        <v>4</v>
      </c>
      <c r="C1050">
        <v>3</v>
      </c>
      <c r="D1050">
        <v>4</v>
      </c>
      <c r="E1050">
        <v>12</v>
      </c>
      <c r="G1050">
        <v>434</v>
      </c>
      <c r="H1050" t="s">
        <v>63</v>
      </c>
      <c r="I1050" t="s">
        <v>133</v>
      </c>
      <c r="J1050" t="s">
        <v>152</v>
      </c>
      <c r="L1050">
        <v>0</v>
      </c>
      <c r="M1050" t="s">
        <v>125</v>
      </c>
      <c r="O1050" t="s">
        <v>125</v>
      </c>
      <c r="P1050" t="s">
        <v>125</v>
      </c>
      <c r="Q1050" t="s">
        <v>125</v>
      </c>
      <c r="R1050" t="s">
        <v>125</v>
      </c>
      <c r="S1050" t="s">
        <v>125</v>
      </c>
      <c r="T1050">
        <v>0</v>
      </c>
      <c r="V1050" t="s">
        <v>125</v>
      </c>
      <c r="AE1050" t="s">
        <v>125</v>
      </c>
      <c r="AF1050">
        <v>0</v>
      </c>
      <c r="AG1050" t="s">
        <v>125</v>
      </c>
      <c r="AH1050">
        <v>0</v>
      </c>
      <c r="AK1050">
        <v>0</v>
      </c>
    </row>
    <row r="1051" spans="1:37" x14ac:dyDescent="0.25">
      <c r="A1051" t="s">
        <v>79</v>
      </c>
      <c r="B1051">
        <v>4</v>
      </c>
      <c r="C1051">
        <v>3</v>
      </c>
      <c r="D1051">
        <v>4</v>
      </c>
      <c r="E1051">
        <v>13</v>
      </c>
      <c r="G1051">
        <v>434</v>
      </c>
      <c r="H1051" t="s">
        <v>63</v>
      </c>
      <c r="I1051" t="s">
        <v>135</v>
      </c>
      <c r="J1051" t="s">
        <v>153</v>
      </c>
      <c r="L1051">
        <v>0</v>
      </c>
      <c r="M1051" t="s">
        <v>125</v>
      </c>
      <c r="O1051" t="s">
        <v>125</v>
      </c>
      <c r="P1051" t="s">
        <v>125</v>
      </c>
      <c r="Q1051" t="s">
        <v>125</v>
      </c>
      <c r="R1051" t="s">
        <v>125</v>
      </c>
      <c r="S1051" t="s">
        <v>125</v>
      </c>
      <c r="T1051">
        <v>0</v>
      </c>
      <c r="V1051" t="s">
        <v>125</v>
      </c>
      <c r="AE1051" t="s">
        <v>125</v>
      </c>
      <c r="AF1051">
        <v>0</v>
      </c>
      <c r="AG1051" t="s">
        <v>125</v>
      </c>
      <c r="AH1051">
        <v>0</v>
      </c>
      <c r="AK1051">
        <v>0</v>
      </c>
    </row>
    <row r="1052" spans="1:37" x14ac:dyDescent="0.25">
      <c r="A1052" t="s">
        <v>79</v>
      </c>
      <c r="B1052">
        <v>4</v>
      </c>
      <c r="C1052">
        <v>3</v>
      </c>
      <c r="D1052">
        <v>4</v>
      </c>
      <c r="E1052">
        <v>14</v>
      </c>
      <c r="G1052">
        <v>434</v>
      </c>
      <c r="H1052" t="s">
        <v>63</v>
      </c>
      <c r="I1052" t="s">
        <v>137</v>
      </c>
      <c r="J1052" t="s">
        <v>154</v>
      </c>
      <c r="L1052">
        <v>0</v>
      </c>
      <c r="M1052" t="s">
        <v>125</v>
      </c>
      <c r="O1052" t="s">
        <v>125</v>
      </c>
      <c r="P1052" t="s">
        <v>125</v>
      </c>
      <c r="Q1052" t="s">
        <v>125</v>
      </c>
      <c r="R1052" t="s">
        <v>125</v>
      </c>
      <c r="S1052" t="s">
        <v>125</v>
      </c>
      <c r="T1052">
        <v>0</v>
      </c>
      <c r="V1052" t="s">
        <v>125</v>
      </c>
      <c r="AE1052" t="s">
        <v>125</v>
      </c>
      <c r="AF1052">
        <v>0</v>
      </c>
      <c r="AG1052" t="s">
        <v>125</v>
      </c>
      <c r="AH1052">
        <v>0</v>
      </c>
      <c r="AK1052">
        <v>0</v>
      </c>
    </row>
    <row r="1053" spans="1:37" x14ac:dyDescent="0.25">
      <c r="A1053" t="s">
        <v>79</v>
      </c>
      <c r="B1053">
        <v>4</v>
      </c>
      <c r="C1053">
        <v>3</v>
      </c>
      <c r="D1053">
        <v>4</v>
      </c>
      <c r="E1053">
        <v>15</v>
      </c>
      <c r="G1053">
        <v>434</v>
      </c>
      <c r="H1053" t="s">
        <v>63</v>
      </c>
      <c r="I1053" t="s">
        <v>139</v>
      </c>
      <c r="J1053" t="s">
        <v>155</v>
      </c>
      <c r="L1053">
        <v>0</v>
      </c>
      <c r="M1053" t="s">
        <v>125</v>
      </c>
      <c r="O1053" t="s">
        <v>125</v>
      </c>
      <c r="P1053" t="s">
        <v>125</v>
      </c>
      <c r="Q1053" t="s">
        <v>125</v>
      </c>
      <c r="R1053" t="s">
        <v>125</v>
      </c>
      <c r="S1053" t="s">
        <v>125</v>
      </c>
      <c r="T1053">
        <v>0</v>
      </c>
      <c r="V1053" t="s">
        <v>125</v>
      </c>
      <c r="AE1053" t="s">
        <v>125</v>
      </c>
      <c r="AF1053">
        <v>0</v>
      </c>
      <c r="AG1053" t="s">
        <v>125</v>
      </c>
      <c r="AH1053">
        <v>0</v>
      </c>
      <c r="AK1053">
        <v>0</v>
      </c>
    </row>
    <row r="1054" spans="1:37" x14ac:dyDescent="0.25">
      <c r="L1054">
        <v>0</v>
      </c>
    </row>
    <row r="1055" spans="1:37" x14ac:dyDescent="0.25">
      <c r="A1055" t="s">
        <v>70</v>
      </c>
      <c r="B1055">
        <v>4</v>
      </c>
      <c r="C1055">
        <v>3</v>
      </c>
      <c r="D1055">
        <v>5</v>
      </c>
      <c r="G1055">
        <v>43</v>
      </c>
      <c r="L1055">
        <v>0</v>
      </c>
      <c r="M1055" t="s">
        <v>125</v>
      </c>
      <c r="P1055" t="s">
        <v>125</v>
      </c>
      <c r="R1055" t="s">
        <v>125</v>
      </c>
      <c r="S1055" t="s">
        <v>63</v>
      </c>
      <c r="V1055" t="s">
        <v>125</v>
      </c>
      <c r="X1055" t="s">
        <v>125</v>
      </c>
      <c r="Y1055" t="s">
        <v>125</v>
      </c>
      <c r="Z1055" t="s">
        <v>125</v>
      </c>
      <c r="AA1055" t="s">
        <v>125</v>
      </c>
      <c r="AB1055" t="s">
        <v>125</v>
      </c>
      <c r="AC1055" t="s">
        <v>125</v>
      </c>
      <c r="AE1055" t="s">
        <v>125</v>
      </c>
      <c r="AF1055">
        <v>0</v>
      </c>
      <c r="AG1055" t="s">
        <v>125</v>
      </c>
      <c r="AH1055">
        <v>0</v>
      </c>
      <c r="AK1055">
        <v>0</v>
      </c>
    </row>
    <row r="1056" spans="1:37" x14ac:dyDescent="0.25">
      <c r="A1056" t="s">
        <v>79</v>
      </c>
      <c r="B1056">
        <v>4</v>
      </c>
      <c r="C1056">
        <v>3</v>
      </c>
      <c r="D1056">
        <v>5</v>
      </c>
      <c r="E1056">
        <v>1</v>
      </c>
      <c r="G1056">
        <v>435</v>
      </c>
      <c r="H1056" t="s">
        <v>63</v>
      </c>
      <c r="I1056" t="s">
        <v>80</v>
      </c>
      <c r="J1056" t="s">
        <v>141</v>
      </c>
      <c r="L1056">
        <v>0</v>
      </c>
      <c r="M1056" t="s">
        <v>125</v>
      </c>
      <c r="O1056" t="s">
        <v>125</v>
      </c>
      <c r="P1056" t="s">
        <v>125</v>
      </c>
      <c r="Q1056" t="s">
        <v>125</v>
      </c>
      <c r="R1056" t="s">
        <v>125</v>
      </c>
      <c r="S1056" t="s">
        <v>125</v>
      </c>
      <c r="T1056">
        <v>0</v>
      </c>
      <c r="V1056" t="s">
        <v>125</v>
      </c>
      <c r="AE1056" t="s">
        <v>125</v>
      </c>
      <c r="AF1056">
        <v>0</v>
      </c>
      <c r="AG1056" t="s">
        <v>125</v>
      </c>
      <c r="AH1056">
        <v>0</v>
      </c>
      <c r="AK1056">
        <v>0</v>
      </c>
    </row>
    <row r="1057" spans="1:37" x14ac:dyDescent="0.25">
      <c r="A1057" t="s">
        <v>79</v>
      </c>
      <c r="B1057">
        <v>4</v>
      </c>
      <c r="C1057">
        <v>3</v>
      </c>
      <c r="D1057">
        <v>5</v>
      </c>
      <c r="E1057">
        <v>2</v>
      </c>
      <c r="G1057">
        <v>435</v>
      </c>
      <c r="H1057" t="s">
        <v>63</v>
      </c>
      <c r="I1057" t="s">
        <v>88</v>
      </c>
      <c r="J1057" t="s">
        <v>142</v>
      </c>
      <c r="L1057">
        <v>0</v>
      </c>
      <c r="M1057" t="s">
        <v>125</v>
      </c>
      <c r="O1057" t="s">
        <v>125</v>
      </c>
      <c r="P1057" t="s">
        <v>125</v>
      </c>
      <c r="Q1057" t="s">
        <v>125</v>
      </c>
      <c r="R1057" t="s">
        <v>125</v>
      </c>
      <c r="S1057" t="s">
        <v>125</v>
      </c>
      <c r="T1057">
        <v>0</v>
      </c>
      <c r="V1057" t="s">
        <v>125</v>
      </c>
      <c r="AE1057" t="s">
        <v>125</v>
      </c>
      <c r="AF1057">
        <v>0</v>
      </c>
      <c r="AG1057" t="s">
        <v>125</v>
      </c>
      <c r="AH1057">
        <v>0</v>
      </c>
      <c r="AK1057">
        <v>0</v>
      </c>
    </row>
    <row r="1058" spans="1:37" x14ac:dyDescent="0.25">
      <c r="A1058" t="s">
        <v>79</v>
      </c>
      <c r="B1058">
        <v>4</v>
      </c>
      <c r="C1058">
        <v>3</v>
      </c>
      <c r="D1058">
        <v>5</v>
      </c>
      <c r="E1058">
        <v>3</v>
      </c>
      <c r="G1058">
        <v>435</v>
      </c>
      <c r="H1058" t="s">
        <v>63</v>
      </c>
      <c r="I1058" t="s">
        <v>95</v>
      </c>
      <c r="J1058" t="s">
        <v>143</v>
      </c>
      <c r="L1058">
        <v>0</v>
      </c>
      <c r="M1058" t="s">
        <v>125</v>
      </c>
      <c r="O1058" t="s">
        <v>125</v>
      </c>
      <c r="P1058" t="s">
        <v>125</v>
      </c>
      <c r="Q1058" t="s">
        <v>125</v>
      </c>
      <c r="R1058" t="s">
        <v>125</v>
      </c>
      <c r="S1058" t="s">
        <v>125</v>
      </c>
      <c r="T1058">
        <v>0</v>
      </c>
      <c r="V1058" t="s">
        <v>125</v>
      </c>
      <c r="AE1058" t="s">
        <v>125</v>
      </c>
      <c r="AF1058">
        <v>0</v>
      </c>
      <c r="AG1058" t="s">
        <v>125</v>
      </c>
      <c r="AH1058">
        <v>0</v>
      </c>
      <c r="AK1058">
        <v>0</v>
      </c>
    </row>
    <row r="1059" spans="1:37" x14ac:dyDescent="0.25">
      <c r="A1059" t="s">
        <v>79</v>
      </c>
      <c r="B1059">
        <v>4</v>
      </c>
      <c r="C1059">
        <v>3</v>
      </c>
      <c r="D1059">
        <v>5</v>
      </c>
      <c r="E1059">
        <v>4</v>
      </c>
      <c r="G1059">
        <v>435</v>
      </c>
      <c r="H1059" t="s">
        <v>63</v>
      </c>
      <c r="I1059" t="s">
        <v>102</v>
      </c>
      <c r="J1059" t="s">
        <v>144</v>
      </c>
      <c r="L1059">
        <v>0</v>
      </c>
      <c r="M1059" t="s">
        <v>125</v>
      </c>
      <c r="O1059" t="s">
        <v>125</v>
      </c>
      <c r="P1059" t="s">
        <v>125</v>
      </c>
      <c r="Q1059" t="s">
        <v>125</v>
      </c>
      <c r="R1059" t="s">
        <v>125</v>
      </c>
      <c r="S1059" t="s">
        <v>125</v>
      </c>
      <c r="T1059">
        <v>0</v>
      </c>
      <c r="V1059" t="s">
        <v>125</v>
      </c>
      <c r="AE1059" t="s">
        <v>125</v>
      </c>
      <c r="AF1059">
        <v>0</v>
      </c>
      <c r="AG1059" t="s">
        <v>125</v>
      </c>
      <c r="AH1059">
        <v>0</v>
      </c>
      <c r="AK1059">
        <v>0</v>
      </c>
    </row>
    <row r="1060" spans="1:37" x14ac:dyDescent="0.25">
      <c r="A1060" t="s">
        <v>79</v>
      </c>
      <c r="B1060">
        <v>4</v>
      </c>
      <c r="C1060">
        <v>3</v>
      </c>
      <c r="D1060">
        <v>5</v>
      </c>
      <c r="E1060">
        <v>5</v>
      </c>
      <c r="G1060">
        <v>435</v>
      </c>
      <c r="H1060" t="s">
        <v>63</v>
      </c>
      <c r="I1060" t="s">
        <v>109</v>
      </c>
      <c r="J1060" t="s">
        <v>145</v>
      </c>
      <c r="L1060">
        <v>0</v>
      </c>
      <c r="M1060" t="s">
        <v>125</v>
      </c>
      <c r="O1060" t="s">
        <v>125</v>
      </c>
      <c r="P1060" t="s">
        <v>125</v>
      </c>
      <c r="Q1060" t="s">
        <v>125</v>
      </c>
      <c r="R1060" t="s">
        <v>125</v>
      </c>
      <c r="S1060" t="s">
        <v>125</v>
      </c>
      <c r="T1060">
        <v>0</v>
      </c>
      <c r="V1060" t="s">
        <v>125</v>
      </c>
      <c r="AE1060" t="s">
        <v>125</v>
      </c>
      <c r="AF1060">
        <v>0</v>
      </c>
      <c r="AG1060" t="s">
        <v>125</v>
      </c>
      <c r="AH1060">
        <v>0</v>
      </c>
      <c r="AK1060">
        <v>0</v>
      </c>
    </row>
    <row r="1061" spans="1:37" x14ac:dyDescent="0.25">
      <c r="A1061" t="s">
        <v>79</v>
      </c>
      <c r="B1061">
        <v>4</v>
      </c>
      <c r="C1061">
        <v>3</v>
      </c>
      <c r="D1061">
        <v>5</v>
      </c>
      <c r="E1061">
        <v>6</v>
      </c>
      <c r="G1061">
        <v>435</v>
      </c>
      <c r="H1061" t="s">
        <v>63</v>
      </c>
      <c r="I1061" t="s">
        <v>116</v>
      </c>
      <c r="J1061" t="s">
        <v>146</v>
      </c>
      <c r="L1061">
        <v>0</v>
      </c>
      <c r="M1061" t="s">
        <v>125</v>
      </c>
      <c r="O1061" t="s">
        <v>125</v>
      </c>
      <c r="P1061" t="s">
        <v>125</v>
      </c>
      <c r="Q1061" t="s">
        <v>125</v>
      </c>
      <c r="R1061" t="s">
        <v>125</v>
      </c>
      <c r="S1061" t="s">
        <v>125</v>
      </c>
      <c r="T1061">
        <v>0</v>
      </c>
      <c r="V1061" t="s">
        <v>125</v>
      </c>
      <c r="AE1061" t="s">
        <v>125</v>
      </c>
      <c r="AF1061">
        <v>0</v>
      </c>
      <c r="AG1061" t="s">
        <v>125</v>
      </c>
      <c r="AH1061">
        <v>0</v>
      </c>
      <c r="AK1061">
        <v>0</v>
      </c>
    </row>
    <row r="1062" spans="1:37" x14ac:dyDescent="0.25">
      <c r="A1062" t="s">
        <v>79</v>
      </c>
      <c r="B1062">
        <v>4</v>
      </c>
      <c r="C1062">
        <v>3</v>
      </c>
      <c r="D1062">
        <v>5</v>
      </c>
      <c r="E1062">
        <v>7</v>
      </c>
      <c r="G1062">
        <v>435</v>
      </c>
      <c r="H1062" t="s">
        <v>63</v>
      </c>
      <c r="I1062" t="s">
        <v>123</v>
      </c>
      <c r="J1062" t="s">
        <v>147</v>
      </c>
      <c r="L1062">
        <v>0</v>
      </c>
      <c r="M1062" t="s">
        <v>125</v>
      </c>
      <c r="O1062" t="s">
        <v>125</v>
      </c>
      <c r="P1062" t="s">
        <v>125</v>
      </c>
      <c r="Q1062" t="s">
        <v>125</v>
      </c>
      <c r="R1062" t="s">
        <v>125</v>
      </c>
      <c r="S1062" t="s">
        <v>125</v>
      </c>
      <c r="T1062">
        <v>0</v>
      </c>
      <c r="V1062" t="s">
        <v>125</v>
      </c>
      <c r="AE1062" t="s">
        <v>125</v>
      </c>
      <c r="AF1062">
        <v>0</v>
      </c>
      <c r="AG1062" t="s">
        <v>125</v>
      </c>
      <c r="AH1062">
        <v>0</v>
      </c>
      <c r="AK1062">
        <v>0</v>
      </c>
    </row>
    <row r="1063" spans="1:37" x14ac:dyDescent="0.25">
      <c r="A1063" t="s">
        <v>79</v>
      </c>
      <c r="B1063">
        <v>4</v>
      </c>
      <c r="C1063">
        <v>3</v>
      </c>
      <c r="D1063">
        <v>5</v>
      </c>
      <c r="E1063">
        <v>8</v>
      </c>
      <c r="G1063">
        <v>435</v>
      </c>
      <c r="H1063" t="s">
        <v>63</v>
      </c>
      <c r="I1063" t="s">
        <v>126</v>
      </c>
      <c r="J1063" t="s">
        <v>148</v>
      </c>
      <c r="L1063">
        <v>0</v>
      </c>
      <c r="M1063" t="s">
        <v>125</v>
      </c>
      <c r="O1063" t="s">
        <v>125</v>
      </c>
      <c r="P1063" t="s">
        <v>125</v>
      </c>
      <c r="Q1063" t="s">
        <v>125</v>
      </c>
      <c r="R1063" t="s">
        <v>125</v>
      </c>
      <c r="S1063" t="s">
        <v>125</v>
      </c>
      <c r="T1063">
        <v>0</v>
      </c>
      <c r="V1063" t="s">
        <v>125</v>
      </c>
      <c r="AE1063" t="s">
        <v>125</v>
      </c>
      <c r="AF1063">
        <v>0</v>
      </c>
      <c r="AG1063" t="s">
        <v>125</v>
      </c>
      <c r="AH1063">
        <v>0</v>
      </c>
      <c r="AK1063">
        <v>0</v>
      </c>
    </row>
    <row r="1064" spans="1:37" x14ac:dyDescent="0.25">
      <c r="A1064" t="s">
        <v>79</v>
      </c>
      <c r="B1064">
        <v>4</v>
      </c>
      <c r="C1064">
        <v>3</v>
      </c>
      <c r="D1064">
        <v>5</v>
      </c>
      <c r="E1064">
        <v>9</v>
      </c>
      <c r="G1064">
        <v>435</v>
      </c>
      <c r="H1064" t="s">
        <v>63</v>
      </c>
      <c r="I1064" t="s">
        <v>74</v>
      </c>
      <c r="J1064" t="s">
        <v>149</v>
      </c>
      <c r="L1064">
        <v>0</v>
      </c>
      <c r="M1064" t="s">
        <v>125</v>
      </c>
      <c r="O1064" t="s">
        <v>125</v>
      </c>
      <c r="P1064" t="s">
        <v>125</v>
      </c>
      <c r="Q1064" t="s">
        <v>125</v>
      </c>
      <c r="R1064" t="s">
        <v>125</v>
      </c>
      <c r="S1064" t="s">
        <v>125</v>
      </c>
      <c r="T1064">
        <v>0</v>
      </c>
      <c r="V1064" t="s">
        <v>125</v>
      </c>
      <c r="AE1064" t="s">
        <v>125</v>
      </c>
      <c r="AF1064">
        <v>0</v>
      </c>
      <c r="AG1064" t="s">
        <v>125</v>
      </c>
      <c r="AH1064">
        <v>0</v>
      </c>
      <c r="AK1064">
        <v>0</v>
      </c>
    </row>
    <row r="1065" spans="1:37" x14ac:dyDescent="0.25">
      <c r="A1065" t="s">
        <v>79</v>
      </c>
      <c r="B1065">
        <v>4</v>
      </c>
      <c r="C1065">
        <v>3</v>
      </c>
      <c r="D1065">
        <v>5</v>
      </c>
      <c r="E1065">
        <v>10</v>
      </c>
      <c r="G1065">
        <v>435</v>
      </c>
      <c r="H1065" t="s">
        <v>63</v>
      </c>
      <c r="I1065" t="s">
        <v>129</v>
      </c>
      <c r="J1065" t="s">
        <v>150</v>
      </c>
      <c r="L1065">
        <v>0</v>
      </c>
      <c r="M1065" t="s">
        <v>125</v>
      </c>
      <c r="O1065" t="s">
        <v>125</v>
      </c>
      <c r="P1065" t="s">
        <v>125</v>
      </c>
      <c r="Q1065" t="s">
        <v>125</v>
      </c>
      <c r="R1065" t="s">
        <v>125</v>
      </c>
      <c r="S1065" t="s">
        <v>125</v>
      </c>
      <c r="T1065">
        <v>0</v>
      </c>
      <c r="V1065" t="s">
        <v>125</v>
      </c>
      <c r="AE1065" t="s">
        <v>125</v>
      </c>
      <c r="AF1065">
        <v>0</v>
      </c>
      <c r="AG1065" t="s">
        <v>125</v>
      </c>
      <c r="AH1065">
        <v>0</v>
      </c>
      <c r="AK1065">
        <v>0</v>
      </c>
    </row>
    <row r="1066" spans="1:37" x14ac:dyDescent="0.25">
      <c r="A1066" t="s">
        <v>79</v>
      </c>
      <c r="B1066">
        <v>4</v>
      </c>
      <c r="C1066">
        <v>3</v>
      </c>
      <c r="D1066">
        <v>5</v>
      </c>
      <c r="E1066">
        <v>11</v>
      </c>
      <c r="G1066">
        <v>435</v>
      </c>
      <c r="H1066" t="s">
        <v>63</v>
      </c>
      <c r="I1066" t="s">
        <v>131</v>
      </c>
      <c r="J1066" t="s">
        <v>151</v>
      </c>
      <c r="L1066">
        <v>0</v>
      </c>
      <c r="M1066" t="s">
        <v>125</v>
      </c>
      <c r="O1066" t="s">
        <v>125</v>
      </c>
      <c r="P1066" t="s">
        <v>125</v>
      </c>
      <c r="Q1066" t="s">
        <v>125</v>
      </c>
      <c r="R1066" t="s">
        <v>125</v>
      </c>
      <c r="S1066" t="s">
        <v>125</v>
      </c>
      <c r="T1066">
        <v>0</v>
      </c>
      <c r="V1066" t="s">
        <v>125</v>
      </c>
      <c r="AE1066" t="s">
        <v>125</v>
      </c>
      <c r="AF1066">
        <v>0</v>
      </c>
      <c r="AG1066" t="s">
        <v>125</v>
      </c>
      <c r="AH1066">
        <v>0</v>
      </c>
      <c r="AK1066">
        <v>0</v>
      </c>
    </row>
    <row r="1067" spans="1:37" x14ac:dyDescent="0.25">
      <c r="A1067" t="s">
        <v>79</v>
      </c>
      <c r="B1067">
        <v>4</v>
      </c>
      <c r="C1067">
        <v>3</v>
      </c>
      <c r="D1067">
        <v>5</v>
      </c>
      <c r="E1067">
        <v>12</v>
      </c>
      <c r="G1067">
        <v>435</v>
      </c>
      <c r="H1067" t="s">
        <v>63</v>
      </c>
      <c r="I1067" t="s">
        <v>133</v>
      </c>
      <c r="J1067" t="s">
        <v>152</v>
      </c>
      <c r="L1067">
        <v>0</v>
      </c>
      <c r="M1067" t="s">
        <v>125</v>
      </c>
      <c r="O1067" t="s">
        <v>125</v>
      </c>
      <c r="P1067" t="s">
        <v>125</v>
      </c>
      <c r="Q1067" t="s">
        <v>125</v>
      </c>
      <c r="R1067" t="s">
        <v>125</v>
      </c>
      <c r="S1067" t="s">
        <v>125</v>
      </c>
      <c r="T1067">
        <v>0</v>
      </c>
      <c r="V1067" t="s">
        <v>125</v>
      </c>
      <c r="AE1067" t="s">
        <v>125</v>
      </c>
      <c r="AF1067">
        <v>0</v>
      </c>
      <c r="AG1067" t="s">
        <v>125</v>
      </c>
      <c r="AH1067">
        <v>0</v>
      </c>
      <c r="AK1067">
        <v>0</v>
      </c>
    </row>
    <row r="1068" spans="1:37" x14ac:dyDescent="0.25">
      <c r="A1068" t="s">
        <v>79</v>
      </c>
      <c r="B1068">
        <v>4</v>
      </c>
      <c r="C1068">
        <v>3</v>
      </c>
      <c r="D1068">
        <v>5</v>
      </c>
      <c r="E1068">
        <v>13</v>
      </c>
      <c r="G1068">
        <v>435</v>
      </c>
      <c r="H1068" t="s">
        <v>63</v>
      </c>
      <c r="I1068" t="s">
        <v>135</v>
      </c>
      <c r="J1068" t="s">
        <v>153</v>
      </c>
      <c r="L1068">
        <v>0</v>
      </c>
      <c r="M1068" t="s">
        <v>125</v>
      </c>
      <c r="O1068" t="s">
        <v>125</v>
      </c>
      <c r="P1068" t="s">
        <v>125</v>
      </c>
      <c r="Q1068" t="s">
        <v>125</v>
      </c>
      <c r="R1068" t="s">
        <v>125</v>
      </c>
      <c r="S1068" t="s">
        <v>125</v>
      </c>
      <c r="T1068">
        <v>0</v>
      </c>
      <c r="V1068" t="s">
        <v>125</v>
      </c>
      <c r="AE1068" t="s">
        <v>125</v>
      </c>
      <c r="AF1068">
        <v>0</v>
      </c>
      <c r="AG1068" t="s">
        <v>125</v>
      </c>
      <c r="AH1068">
        <v>0</v>
      </c>
      <c r="AK1068">
        <v>0</v>
      </c>
    </row>
    <row r="1069" spans="1:37" x14ac:dyDescent="0.25">
      <c r="A1069" t="s">
        <v>79</v>
      </c>
      <c r="B1069">
        <v>4</v>
      </c>
      <c r="C1069">
        <v>3</v>
      </c>
      <c r="D1069">
        <v>5</v>
      </c>
      <c r="E1069">
        <v>14</v>
      </c>
      <c r="G1069">
        <v>435</v>
      </c>
      <c r="H1069" t="s">
        <v>63</v>
      </c>
      <c r="I1069" t="s">
        <v>137</v>
      </c>
      <c r="J1069" t="s">
        <v>154</v>
      </c>
      <c r="L1069">
        <v>0</v>
      </c>
      <c r="M1069" t="s">
        <v>125</v>
      </c>
      <c r="O1069" t="s">
        <v>125</v>
      </c>
      <c r="P1069" t="s">
        <v>125</v>
      </c>
      <c r="Q1069" t="s">
        <v>125</v>
      </c>
      <c r="R1069" t="s">
        <v>125</v>
      </c>
      <c r="S1069" t="s">
        <v>125</v>
      </c>
      <c r="T1069">
        <v>0</v>
      </c>
      <c r="V1069" t="s">
        <v>125</v>
      </c>
      <c r="AE1069" t="s">
        <v>125</v>
      </c>
      <c r="AF1069">
        <v>0</v>
      </c>
      <c r="AG1069" t="s">
        <v>125</v>
      </c>
      <c r="AH1069">
        <v>0</v>
      </c>
      <c r="AK1069">
        <v>0</v>
      </c>
    </row>
    <row r="1070" spans="1:37" x14ac:dyDescent="0.25">
      <c r="A1070" t="s">
        <v>79</v>
      </c>
      <c r="B1070">
        <v>4</v>
      </c>
      <c r="C1070">
        <v>3</v>
      </c>
      <c r="D1070">
        <v>5</v>
      </c>
      <c r="E1070">
        <v>15</v>
      </c>
      <c r="G1070">
        <v>435</v>
      </c>
      <c r="H1070" t="s">
        <v>63</v>
      </c>
      <c r="I1070" t="s">
        <v>139</v>
      </c>
      <c r="J1070" t="s">
        <v>155</v>
      </c>
      <c r="L1070">
        <v>0</v>
      </c>
      <c r="M1070" t="s">
        <v>125</v>
      </c>
      <c r="O1070" t="s">
        <v>125</v>
      </c>
      <c r="P1070" t="s">
        <v>125</v>
      </c>
      <c r="Q1070" t="s">
        <v>125</v>
      </c>
      <c r="R1070" t="s">
        <v>125</v>
      </c>
      <c r="S1070" t="s">
        <v>125</v>
      </c>
      <c r="T1070">
        <v>0</v>
      </c>
      <c r="V1070" t="s">
        <v>125</v>
      </c>
      <c r="AE1070" t="s">
        <v>125</v>
      </c>
      <c r="AF1070">
        <v>0</v>
      </c>
      <c r="AG1070" t="s">
        <v>125</v>
      </c>
      <c r="AH1070">
        <v>0</v>
      </c>
      <c r="AK1070">
        <v>0</v>
      </c>
    </row>
    <row r="1071" spans="1:37" x14ac:dyDescent="0.25">
      <c r="L1071">
        <v>0</v>
      </c>
    </row>
    <row r="1072" spans="1:37" x14ac:dyDescent="0.25">
      <c r="L1072">
        <v>0</v>
      </c>
    </row>
    <row r="1073" spans="1:37" x14ac:dyDescent="0.25">
      <c r="A1073" t="s">
        <v>56</v>
      </c>
      <c r="F1073">
        <v>5</v>
      </c>
      <c r="L1073">
        <v>5</v>
      </c>
      <c r="M1073" t="s">
        <v>102</v>
      </c>
      <c r="N1073" t="s">
        <v>1356</v>
      </c>
      <c r="P1073" t="s">
        <v>1357</v>
      </c>
      <c r="V1073" t="s">
        <v>1358</v>
      </c>
      <c r="Y1073" t="s">
        <v>1359</v>
      </c>
      <c r="AA1073" t="s">
        <v>1360</v>
      </c>
      <c r="AC1073" t="s">
        <v>1361</v>
      </c>
      <c r="AE1073" t="s">
        <v>1362</v>
      </c>
      <c r="AF1073">
        <v>0</v>
      </c>
      <c r="AG1073" t="s">
        <v>1363</v>
      </c>
      <c r="AH1073">
        <v>0</v>
      </c>
      <c r="AK1073">
        <v>0</v>
      </c>
    </row>
    <row r="1074" spans="1:37" x14ac:dyDescent="0.25">
      <c r="L1074">
        <v>0</v>
      </c>
    </row>
    <row r="1075" spans="1:37" x14ac:dyDescent="0.25">
      <c r="A1075" t="s">
        <v>66</v>
      </c>
      <c r="B1075">
        <v>5</v>
      </c>
      <c r="C1075">
        <v>1</v>
      </c>
      <c r="G1075">
        <v>5</v>
      </c>
      <c r="H1075" t="s">
        <v>1356</v>
      </c>
      <c r="I1075" t="s">
        <v>1364</v>
      </c>
      <c r="M1075" t="s">
        <v>1365</v>
      </c>
      <c r="N1075" t="s">
        <v>1364</v>
      </c>
      <c r="P1075" t="s">
        <v>1366</v>
      </c>
      <c r="V1075" t="s">
        <v>1367</v>
      </c>
      <c r="Y1075" t="s">
        <v>1368</v>
      </c>
      <c r="AA1075" t="s">
        <v>1369</v>
      </c>
      <c r="AC1075" t="s">
        <v>1370</v>
      </c>
      <c r="AE1075" t="s">
        <v>1371</v>
      </c>
      <c r="AF1075">
        <v>0</v>
      </c>
      <c r="AG1075" t="s">
        <v>1372</v>
      </c>
      <c r="AH1075">
        <v>0</v>
      </c>
      <c r="AK1075">
        <v>0</v>
      </c>
    </row>
    <row r="1076" spans="1:37" x14ac:dyDescent="0.25">
      <c r="L1076">
        <v>0</v>
      </c>
    </row>
    <row r="1077" spans="1:37" x14ac:dyDescent="0.25">
      <c r="A1077" t="s">
        <v>70</v>
      </c>
      <c r="B1077">
        <v>5</v>
      </c>
      <c r="C1077">
        <v>1</v>
      </c>
      <c r="D1077">
        <v>1</v>
      </c>
      <c r="G1077">
        <v>51</v>
      </c>
      <c r="M1077" t="s">
        <v>1373</v>
      </c>
      <c r="O1077" t="s">
        <v>1374</v>
      </c>
      <c r="P1077" t="s">
        <v>1375</v>
      </c>
      <c r="Q1077" t="s">
        <v>1376</v>
      </c>
      <c r="R1077" t="s">
        <v>192</v>
      </c>
      <c r="S1077" t="s">
        <v>1377</v>
      </c>
      <c r="V1077" t="s">
        <v>1378</v>
      </c>
      <c r="X1077" t="s">
        <v>1379</v>
      </c>
      <c r="Y1077" t="s">
        <v>1380</v>
      </c>
      <c r="Z1077" t="s">
        <v>1381</v>
      </c>
      <c r="AA1077" t="s">
        <v>1382</v>
      </c>
      <c r="AB1077" t="s">
        <v>1383</v>
      </c>
      <c r="AC1077" t="s">
        <v>1384</v>
      </c>
      <c r="AE1077" t="s">
        <v>1385</v>
      </c>
      <c r="AF1077">
        <v>0</v>
      </c>
      <c r="AG1077" t="s">
        <v>1386</v>
      </c>
      <c r="AH1077">
        <v>0</v>
      </c>
      <c r="AK1077">
        <v>0</v>
      </c>
    </row>
    <row r="1078" spans="1:37" x14ac:dyDescent="0.25">
      <c r="A1078" t="s">
        <v>79</v>
      </c>
      <c r="B1078">
        <v>5</v>
      </c>
      <c r="C1078">
        <v>1</v>
      </c>
      <c r="D1078">
        <v>1</v>
      </c>
      <c r="E1078">
        <v>1</v>
      </c>
      <c r="G1078">
        <v>511</v>
      </c>
      <c r="H1078" t="s">
        <v>1374</v>
      </c>
      <c r="I1078" t="s">
        <v>80</v>
      </c>
      <c r="J1078" t="s">
        <v>1387</v>
      </c>
      <c r="L1078">
        <v>0</v>
      </c>
      <c r="M1078" t="s">
        <v>1388</v>
      </c>
      <c r="O1078" t="s">
        <v>1389</v>
      </c>
      <c r="P1078" t="s">
        <v>1390</v>
      </c>
      <c r="Q1078" t="s">
        <v>1391</v>
      </c>
      <c r="R1078" t="s">
        <v>268</v>
      </c>
      <c r="S1078" t="s">
        <v>1392</v>
      </c>
      <c r="T1078">
        <v>300</v>
      </c>
      <c r="U1078">
        <v>83</v>
      </c>
      <c r="V1078" t="s">
        <v>1393</v>
      </c>
      <c r="AE1078" t="s">
        <v>1394</v>
      </c>
      <c r="AF1078">
        <v>0</v>
      </c>
      <c r="AG1078" t="s">
        <v>1395</v>
      </c>
      <c r="AH1078">
        <v>0</v>
      </c>
      <c r="AK1078">
        <v>0</v>
      </c>
    </row>
    <row r="1079" spans="1:37" x14ac:dyDescent="0.25">
      <c r="A1079" t="s">
        <v>79</v>
      </c>
      <c r="B1079">
        <v>5</v>
      </c>
      <c r="C1079">
        <v>1</v>
      </c>
      <c r="D1079">
        <v>1</v>
      </c>
      <c r="E1079">
        <v>2</v>
      </c>
      <c r="G1079">
        <v>511</v>
      </c>
      <c r="H1079" t="s">
        <v>1374</v>
      </c>
      <c r="I1079" t="s">
        <v>88</v>
      </c>
      <c r="J1079" t="s">
        <v>1396</v>
      </c>
      <c r="L1079">
        <v>0</v>
      </c>
      <c r="M1079" t="s">
        <v>1397</v>
      </c>
      <c r="O1079" t="s">
        <v>294</v>
      </c>
      <c r="P1079" t="s">
        <v>295</v>
      </c>
      <c r="Q1079" t="s">
        <v>1398</v>
      </c>
      <c r="R1079" t="s">
        <v>229</v>
      </c>
      <c r="S1079" t="s">
        <v>297</v>
      </c>
      <c r="T1079">
        <v>300</v>
      </c>
      <c r="U1079">
        <v>92</v>
      </c>
      <c r="V1079" t="s">
        <v>1399</v>
      </c>
      <c r="AE1079" t="s">
        <v>1400</v>
      </c>
      <c r="AF1079">
        <v>0</v>
      </c>
      <c r="AG1079" t="s">
        <v>1401</v>
      </c>
      <c r="AH1079">
        <v>0</v>
      </c>
      <c r="AK1079">
        <v>0</v>
      </c>
    </row>
    <row r="1080" spans="1:37" x14ac:dyDescent="0.25">
      <c r="A1080" t="s">
        <v>79</v>
      </c>
      <c r="B1080">
        <v>5</v>
      </c>
      <c r="C1080">
        <v>1</v>
      </c>
      <c r="D1080">
        <v>1</v>
      </c>
      <c r="E1080">
        <v>3</v>
      </c>
      <c r="G1080">
        <v>511</v>
      </c>
      <c r="H1080" t="s">
        <v>1374</v>
      </c>
      <c r="I1080" t="s">
        <v>95</v>
      </c>
      <c r="J1080" t="s">
        <v>1402</v>
      </c>
      <c r="L1080">
        <v>0</v>
      </c>
      <c r="M1080" t="s">
        <v>1403</v>
      </c>
      <c r="O1080" t="s">
        <v>1404</v>
      </c>
      <c r="P1080" t="s">
        <v>1405</v>
      </c>
      <c r="Q1080" t="s">
        <v>1406</v>
      </c>
      <c r="R1080" t="s">
        <v>248</v>
      </c>
      <c r="S1080" t="s">
        <v>1407</v>
      </c>
      <c r="T1080">
        <v>300</v>
      </c>
      <c r="U1080">
        <v>9</v>
      </c>
      <c r="V1080" t="s">
        <v>1408</v>
      </c>
      <c r="AE1080" t="s">
        <v>1409</v>
      </c>
      <c r="AF1080">
        <v>0</v>
      </c>
      <c r="AG1080" t="s">
        <v>1410</v>
      </c>
      <c r="AH1080">
        <v>0</v>
      </c>
      <c r="AK1080">
        <v>0</v>
      </c>
    </row>
    <row r="1081" spans="1:37" x14ac:dyDescent="0.25">
      <c r="A1081" t="s">
        <v>79</v>
      </c>
      <c r="B1081">
        <v>5</v>
      </c>
      <c r="C1081">
        <v>1</v>
      </c>
      <c r="D1081">
        <v>1</v>
      </c>
      <c r="E1081">
        <v>4</v>
      </c>
      <c r="G1081">
        <v>511</v>
      </c>
      <c r="H1081" t="s">
        <v>1374</v>
      </c>
      <c r="I1081" t="s">
        <v>102</v>
      </c>
      <c r="J1081" t="s">
        <v>1411</v>
      </c>
      <c r="L1081">
        <v>0</v>
      </c>
      <c r="M1081" t="s">
        <v>1412</v>
      </c>
      <c r="O1081" t="s">
        <v>1413</v>
      </c>
      <c r="P1081" t="s">
        <v>1414</v>
      </c>
      <c r="Q1081" t="s">
        <v>1415</v>
      </c>
      <c r="R1081" t="s">
        <v>258</v>
      </c>
      <c r="S1081" t="s">
        <v>1416</v>
      </c>
      <c r="T1081">
        <v>300</v>
      </c>
      <c r="U1081">
        <v>22</v>
      </c>
      <c r="V1081" t="s">
        <v>1417</v>
      </c>
      <c r="AE1081" t="s">
        <v>1418</v>
      </c>
      <c r="AF1081">
        <v>0</v>
      </c>
      <c r="AG1081" t="s">
        <v>1419</v>
      </c>
      <c r="AH1081">
        <v>0</v>
      </c>
      <c r="AK1081">
        <v>0</v>
      </c>
    </row>
    <row r="1082" spans="1:37" x14ac:dyDescent="0.25">
      <c r="A1082" t="s">
        <v>79</v>
      </c>
      <c r="B1082">
        <v>5</v>
      </c>
      <c r="C1082">
        <v>1</v>
      </c>
      <c r="D1082">
        <v>1</v>
      </c>
      <c r="E1082">
        <v>5</v>
      </c>
      <c r="G1082">
        <v>511</v>
      </c>
      <c r="H1082" t="s">
        <v>1374</v>
      </c>
      <c r="I1082" t="s">
        <v>109</v>
      </c>
      <c r="J1082" t="s">
        <v>1420</v>
      </c>
      <c r="L1082">
        <v>0</v>
      </c>
      <c r="M1082" t="s">
        <v>1421</v>
      </c>
      <c r="O1082" t="s">
        <v>1422</v>
      </c>
      <c r="P1082" t="s">
        <v>1423</v>
      </c>
      <c r="Q1082" t="s">
        <v>1424</v>
      </c>
      <c r="R1082" t="s">
        <v>229</v>
      </c>
      <c r="S1082" t="s">
        <v>1425</v>
      </c>
      <c r="T1082">
        <v>300</v>
      </c>
      <c r="U1082">
        <v>31</v>
      </c>
      <c r="V1082" t="s">
        <v>1426</v>
      </c>
      <c r="AE1082" t="s">
        <v>1427</v>
      </c>
      <c r="AF1082">
        <v>0</v>
      </c>
      <c r="AG1082" t="s">
        <v>1428</v>
      </c>
      <c r="AH1082">
        <v>0</v>
      </c>
      <c r="AK1082">
        <v>0</v>
      </c>
    </row>
    <row r="1083" spans="1:37" x14ac:dyDescent="0.25">
      <c r="A1083" t="s">
        <v>79</v>
      </c>
      <c r="B1083">
        <v>5</v>
      </c>
      <c r="C1083">
        <v>1</v>
      </c>
      <c r="D1083">
        <v>1</v>
      </c>
      <c r="E1083">
        <v>6</v>
      </c>
      <c r="G1083">
        <v>511</v>
      </c>
      <c r="H1083" t="s">
        <v>1374</v>
      </c>
      <c r="I1083" t="s">
        <v>116</v>
      </c>
      <c r="J1083" t="s">
        <v>1429</v>
      </c>
      <c r="L1083">
        <v>0</v>
      </c>
      <c r="M1083" t="s">
        <v>1430</v>
      </c>
      <c r="O1083" t="s">
        <v>1431</v>
      </c>
      <c r="P1083" t="s">
        <v>73</v>
      </c>
      <c r="Q1083" t="s">
        <v>1432</v>
      </c>
      <c r="R1083" t="s">
        <v>229</v>
      </c>
      <c r="S1083" t="s">
        <v>1433</v>
      </c>
      <c r="T1083">
        <v>300</v>
      </c>
      <c r="U1083">
        <v>6</v>
      </c>
      <c r="V1083" t="s">
        <v>1434</v>
      </c>
      <c r="AE1083" t="s">
        <v>1435</v>
      </c>
      <c r="AF1083">
        <v>0</v>
      </c>
      <c r="AG1083" t="s">
        <v>1436</v>
      </c>
      <c r="AH1083">
        <v>0</v>
      </c>
      <c r="AK1083">
        <v>0</v>
      </c>
    </row>
    <row r="1084" spans="1:37" x14ac:dyDescent="0.25">
      <c r="A1084" t="s">
        <v>79</v>
      </c>
      <c r="B1084">
        <v>5</v>
      </c>
      <c r="C1084">
        <v>1</v>
      </c>
      <c r="D1084">
        <v>1</v>
      </c>
      <c r="E1084">
        <v>7</v>
      </c>
      <c r="G1084">
        <v>511</v>
      </c>
      <c r="H1084" t="s">
        <v>1374</v>
      </c>
      <c r="I1084" t="s">
        <v>123</v>
      </c>
      <c r="J1084" t="s">
        <v>1437</v>
      </c>
      <c r="L1084">
        <v>0</v>
      </c>
      <c r="M1084" t="s">
        <v>1438</v>
      </c>
      <c r="O1084" t="s">
        <v>1439</v>
      </c>
      <c r="P1084" t="s">
        <v>1440</v>
      </c>
      <c r="Q1084" t="s">
        <v>1441</v>
      </c>
      <c r="R1084" t="s">
        <v>210</v>
      </c>
      <c r="S1084" t="s">
        <v>1442</v>
      </c>
      <c r="T1084">
        <v>300</v>
      </c>
      <c r="U1084">
        <v>1009</v>
      </c>
      <c r="V1084" t="s">
        <v>1443</v>
      </c>
      <c r="AE1084" t="s">
        <v>1444</v>
      </c>
      <c r="AF1084">
        <v>0</v>
      </c>
      <c r="AG1084" t="s">
        <v>1445</v>
      </c>
      <c r="AH1084">
        <v>0</v>
      </c>
      <c r="AK1084">
        <v>0</v>
      </c>
    </row>
    <row r="1085" spans="1:37" x14ac:dyDescent="0.25">
      <c r="A1085" t="s">
        <v>79</v>
      </c>
      <c r="B1085">
        <v>5</v>
      </c>
      <c r="C1085">
        <v>1</v>
      </c>
      <c r="D1085">
        <v>1</v>
      </c>
      <c r="E1085">
        <v>8</v>
      </c>
      <c r="G1085">
        <v>511</v>
      </c>
      <c r="H1085" t="s">
        <v>1374</v>
      </c>
      <c r="I1085" t="s">
        <v>126</v>
      </c>
      <c r="J1085" t="s">
        <v>1446</v>
      </c>
      <c r="L1085">
        <v>0</v>
      </c>
      <c r="M1085" t="s">
        <v>1447</v>
      </c>
      <c r="O1085" t="s">
        <v>1448</v>
      </c>
      <c r="P1085" t="s">
        <v>1449</v>
      </c>
      <c r="Q1085" t="s">
        <v>1450</v>
      </c>
      <c r="R1085" t="s">
        <v>210</v>
      </c>
      <c r="S1085" t="s">
        <v>1451</v>
      </c>
      <c r="T1085">
        <v>300</v>
      </c>
      <c r="U1085">
        <v>147</v>
      </c>
      <c r="V1085" t="s">
        <v>1452</v>
      </c>
      <c r="AE1085" t="s">
        <v>1453</v>
      </c>
      <c r="AF1085">
        <v>0</v>
      </c>
      <c r="AG1085" t="s">
        <v>1454</v>
      </c>
      <c r="AH1085">
        <v>0</v>
      </c>
      <c r="AK1085">
        <v>0</v>
      </c>
    </row>
    <row r="1086" spans="1:37" x14ac:dyDescent="0.25">
      <c r="A1086" t="s">
        <v>79</v>
      </c>
      <c r="B1086">
        <v>5</v>
      </c>
      <c r="C1086">
        <v>1</v>
      </c>
      <c r="D1086">
        <v>1</v>
      </c>
      <c r="E1086">
        <v>9</v>
      </c>
      <c r="G1086">
        <v>511</v>
      </c>
      <c r="H1086" t="s">
        <v>1374</v>
      </c>
      <c r="I1086" t="s">
        <v>74</v>
      </c>
      <c r="J1086" t="s">
        <v>1455</v>
      </c>
      <c r="L1086">
        <v>0</v>
      </c>
      <c r="M1086" t="s">
        <v>1456</v>
      </c>
      <c r="O1086" t="s">
        <v>1457</v>
      </c>
      <c r="P1086" t="s">
        <v>1458</v>
      </c>
      <c r="Q1086" t="s">
        <v>1459</v>
      </c>
      <c r="R1086" t="s">
        <v>1460</v>
      </c>
      <c r="S1086" t="s">
        <v>1461</v>
      </c>
      <c r="T1086">
        <v>300</v>
      </c>
      <c r="U1086">
        <v>23</v>
      </c>
      <c r="V1086" t="s">
        <v>1462</v>
      </c>
      <c r="AE1086" t="s">
        <v>1463</v>
      </c>
      <c r="AF1086">
        <v>0</v>
      </c>
      <c r="AG1086" t="s">
        <v>1464</v>
      </c>
      <c r="AH1086">
        <v>0</v>
      </c>
      <c r="AK1086">
        <v>0</v>
      </c>
    </row>
    <row r="1087" spans="1:37" x14ac:dyDescent="0.25">
      <c r="A1087" t="s">
        <v>79</v>
      </c>
      <c r="B1087">
        <v>5</v>
      </c>
      <c r="C1087">
        <v>1</v>
      </c>
      <c r="D1087">
        <v>1</v>
      </c>
      <c r="E1087">
        <v>10</v>
      </c>
      <c r="G1087">
        <v>511</v>
      </c>
      <c r="H1087" t="s">
        <v>1374</v>
      </c>
      <c r="I1087" t="s">
        <v>129</v>
      </c>
      <c r="J1087" t="s">
        <v>1465</v>
      </c>
      <c r="L1087">
        <v>0</v>
      </c>
      <c r="M1087" t="s">
        <v>1466</v>
      </c>
      <c r="O1087" t="s">
        <v>1467</v>
      </c>
      <c r="P1087" t="s">
        <v>1468</v>
      </c>
      <c r="Q1087" t="s">
        <v>1469</v>
      </c>
      <c r="R1087" t="s">
        <v>268</v>
      </c>
      <c r="S1087" t="s">
        <v>1470</v>
      </c>
      <c r="T1087">
        <v>300</v>
      </c>
      <c r="U1087">
        <v>77</v>
      </c>
      <c r="V1087" t="s">
        <v>1471</v>
      </c>
      <c r="AE1087" t="s">
        <v>1472</v>
      </c>
      <c r="AF1087">
        <v>0</v>
      </c>
      <c r="AG1087" t="s">
        <v>1473</v>
      </c>
      <c r="AH1087">
        <v>0</v>
      </c>
      <c r="AK1087">
        <v>0</v>
      </c>
    </row>
    <row r="1088" spans="1:37" x14ac:dyDescent="0.25">
      <c r="A1088" t="s">
        <v>79</v>
      </c>
      <c r="B1088">
        <v>5</v>
      </c>
      <c r="C1088">
        <v>1</v>
      </c>
      <c r="D1088">
        <v>1</v>
      </c>
      <c r="E1088">
        <v>11</v>
      </c>
      <c r="G1088">
        <v>511</v>
      </c>
      <c r="H1088" t="s">
        <v>1374</v>
      </c>
      <c r="I1088" t="s">
        <v>131</v>
      </c>
      <c r="J1088" t="s">
        <v>1474</v>
      </c>
      <c r="L1088">
        <v>0</v>
      </c>
      <c r="M1088" t="s">
        <v>125</v>
      </c>
      <c r="O1088" t="s">
        <v>125</v>
      </c>
      <c r="P1088" t="s">
        <v>125</v>
      </c>
      <c r="Q1088" t="s">
        <v>125</v>
      </c>
      <c r="R1088" t="s">
        <v>125</v>
      </c>
      <c r="S1088" t="s">
        <v>125</v>
      </c>
      <c r="T1088">
        <v>300</v>
      </c>
      <c r="V1088" t="s">
        <v>125</v>
      </c>
      <c r="AE1088" t="s">
        <v>125</v>
      </c>
      <c r="AF1088">
        <v>0</v>
      </c>
      <c r="AG1088" t="s">
        <v>125</v>
      </c>
      <c r="AH1088">
        <v>0</v>
      </c>
      <c r="AK1088">
        <v>0</v>
      </c>
    </row>
    <row r="1089" spans="1:37" x14ac:dyDescent="0.25">
      <c r="A1089" t="s">
        <v>79</v>
      </c>
      <c r="B1089">
        <v>5</v>
      </c>
      <c r="C1089">
        <v>1</v>
      </c>
      <c r="D1089">
        <v>1</v>
      </c>
      <c r="E1089">
        <v>12</v>
      </c>
      <c r="G1089">
        <v>511</v>
      </c>
      <c r="H1089" t="s">
        <v>1374</v>
      </c>
      <c r="I1089" t="s">
        <v>133</v>
      </c>
      <c r="J1089" t="s">
        <v>1475</v>
      </c>
      <c r="L1089">
        <v>0</v>
      </c>
      <c r="M1089" t="s">
        <v>125</v>
      </c>
      <c r="O1089" t="s">
        <v>125</v>
      </c>
      <c r="P1089" t="s">
        <v>125</v>
      </c>
      <c r="Q1089" t="s">
        <v>125</v>
      </c>
      <c r="R1089" t="s">
        <v>125</v>
      </c>
      <c r="S1089" t="s">
        <v>125</v>
      </c>
      <c r="T1089">
        <v>300</v>
      </c>
      <c r="V1089" t="s">
        <v>125</v>
      </c>
      <c r="AE1089" t="s">
        <v>125</v>
      </c>
      <c r="AF1089">
        <v>0</v>
      </c>
      <c r="AG1089" t="s">
        <v>125</v>
      </c>
      <c r="AH1089">
        <v>0</v>
      </c>
      <c r="AK1089">
        <v>0</v>
      </c>
    </row>
    <row r="1090" spans="1:37" x14ac:dyDescent="0.25">
      <c r="A1090" t="s">
        <v>79</v>
      </c>
      <c r="B1090">
        <v>5</v>
      </c>
      <c r="C1090">
        <v>1</v>
      </c>
      <c r="D1090">
        <v>1</v>
      </c>
      <c r="E1090">
        <v>13</v>
      </c>
      <c r="G1090">
        <v>511</v>
      </c>
      <c r="H1090" t="s">
        <v>1374</v>
      </c>
      <c r="I1090" t="s">
        <v>135</v>
      </c>
      <c r="J1090" t="s">
        <v>1476</v>
      </c>
      <c r="L1090">
        <v>0</v>
      </c>
      <c r="M1090" t="s">
        <v>125</v>
      </c>
      <c r="O1090" t="s">
        <v>125</v>
      </c>
      <c r="P1090" t="s">
        <v>125</v>
      </c>
      <c r="Q1090" t="s">
        <v>125</v>
      </c>
      <c r="R1090" t="s">
        <v>125</v>
      </c>
      <c r="S1090" t="s">
        <v>125</v>
      </c>
      <c r="T1090">
        <v>300</v>
      </c>
      <c r="V1090" t="s">
        <v>125</v>
      </c>
      <c r="AE1090" t="s">
        <v>125</v>
      </c>
      <c r="AF1090">
        <v>0</v>
      </c>
      <c r="AG1090" t="s">
        <v>125</v>
      </c>
      <c r="AH1090">
        <v>0</v>
      </c>
      <c r="AK1090">
        <v>0</v>
      </c>
    </row>
    <row r="1091" spans="1:37" x14ac:dyDescent="0.25">
      <c r="A1091" t="s">
        <v>79</v>
      </c>
      <c r="B1091">
        <v>5</v>
      </c>
      <c r="C1091">
        <v>1</v>
      </c>
      <c r="D1091">
        <v>1</v>
      </c>
      <c r="E1091">
        <v>14</v>
      </c>
      <c r="G1091">
        <v>511</v>
      </c>
      <c r="H1091" t="s">
        <v>1374</v>
      </c>
      <c r="I1091" t="s">
        <v>137</v>
      </c>
      <c r="J1091" t="s">
        <v>1477</v>
      </c>
      <c r="L1091">
        <v>0</v>
      </c>
      <c r="M1091" t="s">
        <v>125</v>
      </c>
      <c r="O1091" t="s">
        <v>125</v>
      </c>
      <c r="P1091" t="s">
        <v>125</v>
      </c>
      <c r="Q1091" t="s">
        <v>125</v>
      </c>
      <c r="R1091" t="s">
        <v>125</v>
      </c>
      <c r="S1091" t="s">
        <v>125</v>
      </c>
      <c r="T1091">
        <v>300</v>
      </c>
      <c r="V1091" t="s">
        <v>125</v>
      </c>
      <c r="AE1091" t="s">
        <v>125</v>
      </c>
      <c r="AF1091">
        <v>0</v>
      </c>
      <c r="AG1091" t="s">
        <v>125</v>
      </c>
      <c r="AH1091">
        <v>0</v>
      </c>
      <c r="AK1091">
        <v>0</v>
      </c>
    </row>
    <row r="1092" spans="1:37" x14ac:dyDescent="0.25">
      <c r="A1092" t="s">
        <v>79</v>
      </c>
      <c r="B1092">
        <v>5</v>
      </c>
      <c r="C1092">
        <v>1</v>
      </c>
      <c r="D1092">
        <v>1</v>
      </c>
      <c r="E1092">
        <v>15</v>
      </c>
      <c r="G1092">
        <v>511</v>
      </c>
      <c r="H1092" t="s">
        <v>1374</v>
      </c>
      <c r="I1092" t="s">
        <v>139</v>
      </c>
      <c r="J1092" t="s">
        <v>1478</v>
      </c>
      <c r="L1092">
        <v>0</v>
      </c>
      <c r="M1092" t="s">
        <v>125</v>
      </c>
      <c r="O1092" t="s">
        <v>125</v>
      </c>
      <c r="P1092" t="s">
        <v>125</v>
      </c>
      <c r="Q1092" t="s">
        <v>125</v>
      </c>
      <c r="R1092" t="s">
        <v>125</v>
      </c>
      <c r="S1092" t="s">
        <v>125</v>
      </c>
      <c r="T1092">
        <v>300</v>
      </c>
      <c r="V1092" t="s">
        <v>125</v>
      </c>
      <c r="AE1092" t="s">
        <v>125</v>
      </c>
      <c r="AF1092">
        <v>0</v>
      </c>
      <c r="AG1092" t="s">
        <v>125</v>
      </c>
      <c r="AH1092">
        <v>0</v>
      </c>
      <c r="AK1092">
        <v>0</v>
      </c>
    </row>
    <row r="1093" spans="1:37" x14ac:dyDescent="0.25">
      <c r="L1093">
        <v>0</v>
      </c>
    </row>
    <row r="1094" spans="1:37" x14ac:dyDescent="0.25">
      <c r="A1094" t="s">
        <v>70</v>
      </c>
      <c r="B1094">
        <v>5</v>
      </c>
      <c r="C1094">
        <v>1</v>
      </c>
      <c r="D1094">
        <v>2</v>
      </c>
      <c r="G1094">
        <v>51</v>
      </c>
      <c r="M1094" t="s">
        <v>1479</v>
      </c>
      <c r="O1094" t="s">
        <v>1480</v>
      </c>
      <c r="P1094" t="s">
        <v>1481</v>
      </c>
      <c r="Q1094" t="s">
        <v>1482</v>
      </c>
      <c r="R1094" t="s">
        <v>382</v>
      </c>
      <c r="S1094" t="s">
        <v>1483</v>
      </c>
      <c r="V1094" t="s">
        <v>1484</v>
      </c>
      <c r="X1094" t="s">
        <v>1485</v>
      </c>
      <c r="Y1094" t="s">
        <v>1486</v>
      </c>
      <c r="Z1094" t="s">
        <v>1487</v>
      </c>
      <c r="AA1094" t="s">
        <v>1488</v>
      </c>
      <c r="AB1094" t="s">
        <v>1489</v>
      </c>
      <c r="AC1094" t="s">
        <v>1490</v>
      </c>
      <c r="AE1094" t="s">
        <v>1491</v>
      </c>
      <c r="AF1094">
        <v>0</v>
      </c>
      <c r="AG1094" t="s">
        <v>1492</v>
      </c>
      <c r="AH1094">
        <v>0</v>
      </c>
      <c r="AK1094">
        <v>0</v>
      </c>
    </row>
    <row r="1095" spans="1:37" x14ac:dyDescent="0.25">
      <c r="A1095" t="s">
        <v>79</v>
      </c>
      <c r="B1095">
        <v>5</v>
      </c>
      <c r="C1095">
        <v>1</v>
      </c>
      <c r="D1095">
        <v>2</v>
      </c>
      <c r="E1095">
        <v>1</v>
      </c>
      <c r="G1095">
        <v>512</v>
      </c>
      <c r="H1095" t="s">
        <v>1480</v>
      </c>
      <c r="I1095" t="s">
        <v>80</v>
      </c>
      <c r="J1095" t="s">
        <v>1493</v>
      </c>
      <c r="L1095">
        <v>0</v>
      </c>
      <c r="M1095" t="s">
        <v>1494</v>
      </c>
      <c r="O1095" t="s">
        <v>294</v>
      </c>
      <c r="P1095" t="s">
        <v>295</v>
      </c>
      <c r="Q1095" t="s">
        <v>1495</v>
      </c>
      <c r="R1095" t="s">
        <v>229</v>
      </c>
      <c r="S1095" t="s">
        <v>297</v>
      </c>
      <c r="T1095">
        <v>30</v>
      </c>
      <c r="U1095">
        <v>17</v>
      </c>
      <c r="V1095" t="s">
        <v>1496</v>
      </c>
      <c r="AE1095" t="s">
        <v>1497</v>
      </c>
      <c r="AF1095">
        <v>0</v>
      </c>
      <c r="AG1095" t="s">
        <v>1498</v>
      </c>
      <c r="AH1095">
        <v>0</v>
      </c>
      <c r="AK1095">
        <v>0</v>
      </c>
    </row>
    <row r="1096" spans="1:37" x14ac:dyDescent="0.25">
      <c r="A1096" t="s">
        <v>79</v>
      </c>
      <c r="B1096">
        <v>5</v>
      </c>
      <c r="C1096">
        <v>1</v>
      </c>
      <c r="D1096">
        <v>2</v>
      </c>
      <c r="E1096">
        <v>2</v>
      </c>
      <c r="G1096">
        <v>512</v>
      </c>
      <c r="H1096" t="s">
        <v>1480</v>
      </c>
      <c r="I1096" t="s">
        <v>88</v>
      </c>
      <c r="J1096" t="s">
        <v>1499</v>
      </c>
      <c r="L1096">
        <v>0</v>
      </c>
      <c r="M1096" t="s">
        <v>1500</v>
      </c>
      <c r="O1096" t="s">
        <v>1501</v>
      </c>
      <c r="P1096" t="s">
        <v>1502</v>
      </c>
      <c r="Q1096" t="s">
        <v>1503</v>
      </c>
      <c r="R1096" t="s">
        <v>258</v>
      </c>
      <c r="S1096" t="s">
        <v>1504</v>
      </c>
      <c r="T1096">
        <v>30</v>
      </c>
      <c r="U1096">
        <v>10</v>
      </c>
      <c r="V1096" t="s">
        <v>1505</v>
      </c>
      <c r="AE1096" t="s">
        <v>1506</v>
      </c>
      <c r="AF1096">
        <v>0</v>
      </c>
      <c r="AG1096" t="s">
        <v>1507</v>
      </c>
      <c r="AH1096">
        <v>0</v>
      </c>
      <c r="AK1096">
        <v>0</v>
      </c>
    </row>
    <row r="1097" spans="1:37" x14ac:dyDescent="0.25">
      <c r="A1097" t="s">
        <v>79</v>
      </c>
      <c r="B1097">
        <v>5</v>
      </c>
      <c r="C1097">
        <v>1</v>
      </c>
      <c r="D1097">
        <v>2</v>
      </c>
      <c r="E1097">
        <v>3</v>
      </c>
      <c r="G1097">
        <v>512</v>
      </c>
      <c r="H1097" t="s">
        <v>1480</v>
      </c>
      <c r="I1097" t="s">
        <v>95</v>
      </c>
      <c r="J1097" t="s">
        <v>1508</v>
      </c>
      <c r="L1097">
        <v>0</v>
      </c>
      <c r="M1097" t="s">
        <v>1509</v>
      </c>
      <c r="O1097" t="s">
        <v>1510</v>
      </c>
      <c r="P1097" t="s">
        <v>1511</v>
      </c>
      <c r="Q1097" t="s">
        <v>1512</v>
      </c>
      <c r="R1097" t="s">
        <v>248</v>
      </c>
      <c r="S1097" t="s">
        <v>1513</v>
      </c>
      <c r="T1097">
        <v>30</v>
      </c>
      <c r="U1097">
        <v>8</v>
      </c>
      <c r="V1097" t="s">
        <v>1514</v>
      </c>
      <c r="AE1097" t="s">
        <v>1515</v>
      </c>
      <c r="AF1097">
        <v>0</v>
      </c>
      <c r="AG1097" t="s">
        <v>1516</v>
      </c>
      <c r="AH1097">
        <v>0</v>
      </c>
      <c r="AK1097">
        <v>0</v>
      </c>
    </row>
    <row r="1098" spans="1:37" x14ac:dyDescent="0.25">
      <c r="A1098" t="s">
        <v>79</v>
      </c>
      <c r="B1098">
        <v>5</v>
      </c>
      <c r="C1098">
        <v>1</v>
      </c>
      <c r="D1098">
        <v>2</v>
      </c>
      <c r="E1098">
        <v>4</v>
      </c>
      <c r="G1098">
        <v>512</v>
      </c>
      <c r="H1098" t="s">
        <v>1480</v>
      </c>
      <c r="I1098" t="s">
        <v>102</v>
      </c>
      <c r="J1098" t="s">
        <v>1517</v>
      </c>
      <c r="L1098">
        <v>0</v>
      </c>
      <c r="M1098" t="s">
        <v>125</v>
      </c>
      <c r="O1098" t="s">
        <v>125</v>
      </c>
      <c r="P1098" t="s">
        <v>125</v>
      </c>
      <c r="Q1098" t="s">
        <v>125</v>
      </c>
      <c r="R1098" t="s">
        <v>125</v>
      </c>
      <c r="S1098" t="s">
        <v>125</v>
      </c>
      <c r="T1098">
        <v>30</v>
      </c>
      <c r="V1098" t="s">
        <v>125</v>
      </c>
      <c r="AE1098" t="s">
        <v>125</v>
      </c>
      <c r="AF1098">
        <v>0</v>
      </c>
      <c r="AG1098" t="s">
        <v>125</v>
      </c>
      <c r="AH1098">
        <v>0</v>
      </c>
      <c r="AK1098">
        <v>0</v>
      </c>
    </row>
    <row r="1099" spans="1:37" x14ac:dyDescent="0.25">
      <c r="A1099" t="s">
        <v>79</v>
      </c>
      <c r="B1099">
        <v>5</v>
      </c>
      <c r="C1099">
        <v>1</v>
      </c>
      <c r="D1099">
        <v>2</v>
      </c>
      <c r="E1099">
        <v>5</v>
      </c>
      <c r="G1099">
        <v>512</v>
      </c>
      <c r="H1099" t="s">
        <v>1480</v>
      </c>
      <c r="I1099" t="s">
        <v>109</v>
      </c>
      <c r="J1099" t="s">
        <v>1518</v>
      </c>
      <c r="L1099">
        <v>0</v>
      </c>
      <c r="M1099" t="s">
        <v>125</v>
      </c>
      <c r="O1099" t="s">
        <v>125</v>
      </c>
      <c r="P1099" t="s">
        <v>125</v>
      </c>
      <c r="Q1099" t="s">
        <v>125</v>
      </c>
      <c r="R1099" t="s">
        <v>125</v>
      </c>
      <c r="S1099" t="s">
        <v>125</v>
      </c>
      <c r="T1099">
        <v>30</v>
      </c>
      <c r="V1099" t="s">
        <v>125</v>
      </c>
      <c r="AE1099" t="s">
        <v>125</v>
      </c>
      <c r="AF1099">
        <v>0</v>
      </c>
      <c r="AG1099" t="s">
        <v>125</v>
      </c>
      <c r="AH1099">
        <v>0</v>
      </c>
      <c r="AK1099">
        <v>0</v>
      </c>
    </row>
    <row r="1100" spans="1:37" x14ac:dyDescent="0.25">
      <c r="A1100" t="s">
        <v>79</v>
      </c>
      <c r="B1100">
        <v>5</v>
      </c>
      <c r="C1100">
        <v>1</v>
      </c>
      <c r="D1100">
        <v>2</v>
      </c>
      <c r="E1100">
        <v>6</v>
      </c>
      <c r="G1100">
        <v>512</v>
      </c>
      <c r="H1100" t="s">
        <v>1480</v>
      </c>
      <c r="I1100" t="s">
        <v>116</v>
      </c>
      <c r="J1100" t="s">
        <v>1519</v>
      </c>
      <c r="L1100">
        <v>0</v>
      </c>
      <c r="M1100" t="s">
        <v>125</v>
      </c>
      <c r="O1100" t="s">
        <v>125</v>
      </c>
      <c r="P1100" t="s">
        <v>125</v>
      </c>
      <c r="Q1100" t="s">
        <v>125</v>
      </c>
      <c r="R1100" t="s">
        <v>125</v>
      </c>
      <c r="S1100" t="s">
        <v>125</v>
      </c>
      <c r="T1100">
        <v>30</v>
      </c>
      <c r="V1100" t="s">
        <v>125</v>
      </c>
      <c r="AE1100" t="s">
        <v>125</v>
      </c>
      <c r="AF1100">
        <v>0</v>
      </c>
      <c r="AG1100" t="s">
        <v>125</v>
      </c>
      <c r="AH1100">
        <v>0</v>
      </c>
      <c r="AK1100">
        <v>0</v>
      </c>
    </row>
    <row r="1101" spans="1:37" x14ac:dyDescent="0.25">
      <c r="A1101" t="s">
        <v>79</v>
      </c>
      <c r="B1101">
        <v>5</v>
      </c>
      <c r="C1101">
        <v>1</v>
      </c>
      <c r="D1101">
        <v>2</v>
      </c>
      <c r="E1101">
        <v>7</v>
      </c>
      <c r="G1101">
        <v>512</v>
      </c>
      <c r="H1101" t="s">
        <v>1480</v>
      </c>
      <c r="I1101" t="s">
        <v>123</v>
      </c>
      <c r="J1101" t="s">
        <v>1520</v>
      </c>
      <c r="L1101">
        <v>0</v>
      </c>
      <c r="M1101" t="s">
        <v>125</v>
      </c>
      <c r="O1101" t="s">
        <v>125</v>
      </c>
      <c r="P1101" t="s">
        <v>125</v>
      </c>
      <c r="Q1101" t="s">
        <v>125</v>
      </c>
      <c r="R1101" t="s">
        <v>125</v>
      </c>
      <c r="S1101" t="s">
        <v>125</v>
      </c>
      <c r="T1101">
        <v>30</v>
      </c>
      <c r="V1101" t="s">
        <v>125</v>
      </c>
      <c r="AE1101" t="s">
        <v>125</v>
      </c>
      <c r="AF1101">
        <v>0</v>
      </c>
      <c r="AG1101" t="s">
        <v>125</v>
      </c>
      <c r="AH1101">
        <v>0</v>
      </c>
      <c r="AK1101">
        <v>0</v>
      </c>
    </row>
    <row r="1102" spans="1:37" x14ac:dyDescent="0.25">
      <c r="A1102" t="s">
        <v>79</v>
      </c>
      <c r="B1102">
        <v>5</v>
      </c>
      <c r="C1102">
        <v>1</v>
      </c>
      <c r="D1102">
        <v>2</v>
      </c>
      <c r="E1102">
        <v>8</v>
      </c>
      <c r="G1102">
        <v>512</v>
      </c>
      <c r="H1102" t="s">
        <v>1480</v>
      </c>
      <c r="I1102" t="s">
        <v>126</v>
      </c>
      <c r="J1102" t="s">
        <v>1521</v>
      </c>
      <c r="L1102">
        <v>0</v>
      </c>
      <c r="M1102" t="s">
        <v>125</v>
      </c>
      <c r="O1102" t="s">
        <v>125</v>
      </c>
      <c r="P1102" t="s">
        <v>125</v>
      </c>
      <c r="Q1102" t="s">
        <v>125</v>
      </c>
      <c r="R1102" t="s">
        <v>125</v>
      </c>
      <c r="S1102" t="s">
        <v>125</v>
      </c>
      <c r="T1102">
        <v>30</v>
      </c>
      <c r="V1102" t="s">
        <v>125</v>
      </c>
      <c r="AE1102" t="s">
        <v>125</v>
      </c>
      <c r="AF1102">
        <v>0</v>
      </c>
      <c r="AG1102" t="s">
        <v>125</v>
      </c>
      <c r="AH1102">
        <v>0</v>
      </c>
      <c r="AK1102">
        <v>0</v>
      </c>
    </row>
    <row r="1103" spans="1:37" x14ac:dyDescent="0.25">
      <c r="A1103" t="s">
        <v>79</v>
      </c>
      <c r="B1103">
        <v>5</v>
      </c>
      <c r="C1103">
        <v>1</v>
      </c>
      <c r="D1103">
        <v>2</v>
      </c>
      <c r="E1103">
        <v>9</v>
      </c>
      <c r="G1103">
        <v>512</v>
      </c>
      <c r="H1103" t="s">
        <v>1480</v>
      </c>
      <c r="I1103" t="s">
        <v>74</v>
      </c>
      <c r="J1103" t="s">
        <v>1522</v>
      </c>
      <c r="L1103">
        <v>0</v>
      </c>
      <c r="M1103" t="s">
        <v>125</v>
      </c>
      <c r="O1103" t="s">
        <v>125</v>
      </c>
      <c r="P1103" t="s">
        <v>125</v>
      </c>
      <c r="Q1103" t="s">
        <v>125</v>
      </c>
      <c r="R1103" t="s">
        <v>125</v>
      </c>
      <c r="S1103" t="s">
        <v>125</v>
      </c>
      <c r="T1103">
        <v>30</v>
      </c>
      <c r="V1103" t="s">
        <v>125</v>
      </c>
      <c r="AE1103" t="s">
        <v>125</v>
      </c>
      <c r="AF1103">
        <v>0</v>
      </c>
      <c r="AG1103" t="s">
        <v>125</v>
      </c>
      <c r="AH1103">
        <v>0</v>
      </c>
      <c r="AK1103">
        <v>0</v>
      </c>
    </row>
    <row r="1104" spans="1:37" x14ac:dyDescent="0.25">
      <c r="A1104" t="s">
        <v>79</v>
      </c>
      <c r="B1104">
        <v>5</v>
      </c>
      <c r="C1104">
        <v>1</v>
      </c>
      <c r="D1104">
        <v>2</v>
      </c>
      <c r="E1104">
        <v>10</v>
      </c>
      <c r="G1104">
        <v>512</v>
      </c>
      <c r="H1104" t="s">
        <v>1480</v>
      </c>
      <c r="I1104" t="s">
        <v>129</v>
      </c>
      <c r="J1104" t="s">
        <v>1523</v>
      </c>
      <c r="L1104">
        <v>0</v>
      </c>
      <c r="M1104" t="s">
        <v>125</v>
      </c>
      <c r="O1104" t="s">
        <v>125</v>
      </c>
      <c r="P1104" t="s">
        <v>125</v>
      </c>
      <c r="Q1104" t="s">
        <v>125</v>
      </c>
      <c r="R1104" t="s">
        <v>125</v>
      </c>
      <c r="S1104" t="s">
        <v>125</v>
      </c>
      <c r="T1104">
        <v>30</v>
      </c>
      <c r="V1104" t="s">
        <v>125</v>
      </c>
      <c r="AE1104" t="s">
        <v>125</v>
      </c>
      <c r="AF1104">
        <v>0</v>
      </c>
      <c r="AG1104" t="s">
        <v>125</v>
      </c>
      <c r="AH1104">
        <v>0</v>
      </c>
      <c r="AK1104">
        <v>0</v>
      </c>
    </row>
    <row r="1105" spans="1:37" x14ac:dyDescent="0.25">
      <c r="A1105" t="s">
        <v>79</v>
      </c>
      <c r="B1105">
        <v>5</v>
      </c>
      <c r="C1105">
        <v>1</v>
      </c>
      <c r="D1105">
        <v>2</v>
      </c>
      <c r="E1105">
        <v>11</v>
      </c>
      <c r="G1105">
        <v>512</v>
      </c>
      <c r="H1105" t="s">
        <v>1480</v>
      </c>
      <c r="I1105" t="s">
        <v>131</v>
      </c>
      <c r="J1105" t="s">
        <v>1524</v>
      </c>
      <c r="L1105">
        <v>0</v>
      </c>
      <c r="M1105" t="s">
        <v>125</v>
      </c>
      <c r="O1105" t="s">
        <v>125</v>
      </c>
      <c r="P1105" t="s">
        <v>125</v>
      </c>
      <c r="Q1105" t="s">
        <v>125</v>
      </c>
      <c r="R1105" t="s">
        <v>125</v>
      </c>
      <c r="S1105" t="s">
        <v>125</v>
      </c>
      <c r="T1105">
        <v>30</v>
      </c>
      <c r="V1105" t="s">
        <v>125</v>
      </c>
      <c r="AE1105" t="s">
        <v>125</v>
      </c>
      <c r="AF1105">
        <v>0</v>
      </c>
      <c r="AG1105" t="s">
        <v>125</v>
      </c>
      <c r="AH1105">
        <v>0</v>
      </c>
      <c r="AK1105">
        <v>0</v>
      </c>
    </row>
    <row r="1106" spans="1:37" x14ac:dyDescent="0.25">
      <c r="A1106" t="s">
        <v>79</v>
      </c>
      <c r="B1106">
        <v>5</v>
      </c>
      <c r="C1106">
        <v>1</v>
      </c>
      <c r="D1106">
        <v>2</v>
      </c>
      <c r="E1106">
        <v>12</v>
      </c>
      <c r="G1106">
        <v>512</v>
      </c>
      <c r="H1106" t="s">
        <v>1480</v>
      </c>
      <c r="I1106" t="s">
        <v>133</v>
      </c>
      <c r="J1106" t="s">
        <v>1525</v>
      </c>
      <c r="L1106">
        <v>0</v>
      </c>
      <c r="M1106" t="s">
        <v>125</v>
      </c>
      <c r="O1106" t="s">
        <v>125</v>
      </c>
      <c r="P1106" t="s">
        <v>125</v>
      </c>
      <c r="Q1106" t="s">
        <v>125</v>
      </c>
      <c r="R1106" t="s">
        <v>125</v>
      </c>
      <c r="S1106" t="s">
        <v>125</v>
      </c>
      <c r="T1106">
        <v>30</v>
      </c>
      <c r="V1106" t="s">
        <v>125</v>
      </c>
      <c r="AE1106" t="s">
        <v>125</v>
      </c>
      <c r="AF1106">
        <v>0</v>
      </c>
      <c r="AG1106" t="s">
        <v>125</v>
      </c>
      <c r="AH1106">
        <v>0</v>
      </c>
      <c r="AK1106">
        <v>0</v>
      </c>
    </row>
    <row r="1107" spans="1:37" x14ac:dyDescent="0.25">
      <c r="A1107" t="s">
        <v>79</v>
      </c>
      <c r="B1107">
        <v>5</v>
      </c>
      <c r="C1107">
        <v>1</v>
      </c>
      <c r="D1107">
        <v>2</v>
      </c>
      <c r="E1107">
        <v>13</v>
      </c>
      <c r="G1107">
        <v>512</v>
      </c>
      <c r="H1107" t="s">
        <v>1480</v>
      </c>
      <c r="I1107" t="s">
        <v>135</v>
      </c>
      <c r="J1107" t="s">
        <v>1526</v>
      </c>
      <c r="L1107">
        <v>0</v>
      </c>
      <c r="M1107" t="s">
        <v>125</v>
      </c>
      <c r="O1107" t="s">
        <v>125</v>
      </c>
      <c r="P1107" t="s">
        <v>125</v>
      </c>
      <c r="Q1107" t="s">
        <v>125</v>
      </c>
      <c r="R1107" t="s">
        <v>125</v>
      </c>
      <c r="S1107" t="s">
        <v>125</v>
      </c>
      <c r="T1107">
        <v>30</v>
      </c>
      <c r="V1107" t="s">
        <v>125</v>
      </c>
      <c r="AE1107" t="s">
        <v>125</v>
      </c>
      <c r="AF1107">
        <v>0</v>
      </c>
      <c r="AG1107" t="s">
        <v>125</v>
      </c>
      <c r="AH1107">
        <v>0</v>
      </c>
      <c r="AK1107">
        <v>0</v>
      </c>
    </row>
    <row r="1108" spans="1:37" x14ac:dyDescent="0.25">
      <c r="A1108" t="s">
        <v>79</v>
      </c>
      <c r="B1108">
        <v>5</v>
      </c>
      <c r="C1108">
        <v>1</v>
      </c>
      <c r="D1108">
        <v>2</v>
      </c>
      <c r="E1108">
        <v>14</v>
      </c>
      <c r="G1108">
        <v>512</v>
      </c>
      <c r="H1108" t="s">
        <v>1480</v>
      </c>
      <c r="I1108" t="s">
        <v>137</v>
      </c>
      <c r="J1108" t="s">
        <v>1527</v>
      </c>
      <c r="L1108">
        <v>0</v>
      </c>
      <c r="M1108" t="s">
        <v>125</v>
      </c>
      <c r="O1108" t="s">
        <v>125</v>
      </c>
      <c r="P1108" t="s">
        <v>125</v>
      </c>
      <c r="Q1108" t="s">
        <v>125</v>
      </c>
      <c r="R1108" t="s">
        <v>125</v>
      </c>
      <c r="S1108" t="s">
        <v>125</v>
      </c>
      <c r="T1108">
        <v>30</v>
      </c>
      <c r="V1108" t="s">
        <v>125</v>
      </c>
      <c r="AE1108" t="s">
        <v>125</v>
      </c>
      <c r="AF1108">
        <v>0</v>
      </c>
      <c r="AG1108" t="s">
        <v>125</v>
      </c>
      <c r="AH1108">
        <v>0</v>
      </c>
      <c r="AK1108">
        <v>0</v>
      </c>
    </row>
    <row r="1109" spans="1:37" x14ac:dyDescent="0.25">
      <c r="A1109" t="s">
        <v>79</v>
      </c>
      <c r="B1109">
        <v>5</v>
      </c>
      <c r="C1109">
        <v>1</v>
      </c>
      <c r="D1109">
        <v>2</v>
      </c>
      <c r="E1109">
        <v>15</v>
      </c>
      <c r="G1109">
        <v>512</v>
      </c>
      <c r="H1109" t="s">
        <v>1480</v>
      </c>
      <c r="I1109" t="s">
        <v>139</v>
      </c>
      <c r="J1109" t="s">
        <v>1528</v>
      </c>
      <c r="L1109">
        <v>0</v>
      </c>
      <c r="M1109" t="s">
        <v>125</v>
      </c>
      <c r="O1109" t="s">
        <v>125</v>
      </c>
      <c r="P1109" t="s">
        <v>125</v>
      </c>
      <c r="Q1109" t="s">
        <v>125</v>
      </c>
      <c r="R1109" t="s">
        <v>125</v>
      </c>
      <c r="S1109" t="s">
        <v>125</v>
      </c>
      <c r="T1109">
        <v>30</v>
      </c>
      <c r="V1109" t="s">
        <v>125</v>
      </c>
      <c r="AE1109" t="s">
        <v>125</v>
      </c>
      <c r="AF1109">
        <v>0</v>
      </c>
      <c r="AG1109" t="s">
        <v>125</v>
      </c>
      <c r="AH1109">
        <v>0</v>
      </c>
      <c r="AK1109">
        <v>0</v>
      </c>
    </row>
    <row r="1110" spans="1:37" x14ac:dyDescent="0.25">
      <c r="L1110">
        <v>0</v>
      </c>
    </row>
    <row r="1111" spans="1:37" x14ac:dyDescent="0.25">
      <c r="A1111" t="s">
        <v>70</v>
      </c>
      <c r="B1111">
        <v>5</v>
      </c>
      <c r="C1111">
        <v>1</v>
      </c>
      <c r="D1111">
        <v>3</v>
      </c>
      <c r="G1111">
        <v>51</v>
      </c>
      <c r="L1111">
        <v>0</v>
      </c>
      <c r="M1111" t="s">
        <v>125</v>
      </c>
      <c r="P1111" t="s">
        <v>125</v>
      </c>
      <c r="R1111" t="s">
        <v>125</v>
      </c>
      <c r="S1111" t="s">
        <v>63</v>
      </c>
      <c r="V1111" t="s">
        <v>125</v>
      </c>
      <c r="X1111" t="s">
        <v>125</v>
      </c>
      <c r="Y1111" t="s">
        <v>125</v>
      </c>
      <c r="Z1111" t="s">
        <v>125</v>
      </c>
      <c r="AA1111" t="s">
        <v>125</v>
      </c>
      <c r="AB1111" t="s">
        <v>125</v>
      </c>
      <c r="AC1111" t="s">
        <v>125</v>
      </c>
      <c r="AE1111" t="s">
        <v>125</v>
      </c>
      <c r="AF1111">
        <v>0</v>
      </c>
      <c r="AG1111" t="s">
        <v>125</v>
      </c>
      <c r="AH1111">
        <v>0</v>
      </c>
      <c r="AK1111">
        <v>0</v>
      </c>
    </row>
    <row r="1112" spans="1:37" x14ac:dyDescent="0.25">
      <c r="A1112" t="s">
        <v>79</v>
      </c>
      <c r="B1112">
        <v>5</v>
      </c>
      <c r="C1112">
        <v>1</v>
      </c>
      <c r="D1112">
        <v>3</v>
      </c>
      <c r="E1112">
        <v>1</v>
      </c>
      <c r="G1112">
        <v>513</v>
      </c>
      <c r="H1112" t="s">
        <v>63</v>
      </c>
      <c r="I1112" t="s">
        <v>80</v>
      </c>
      <c r="J1112" t="s">
        <v>141</v>
      </c>
      <c r="L1112">
        <v>0</v>
      </c>
      <c r="M1112" t="s">
        <v>125</v>
      </c>
      <c r="O1112" t="s">
        <v>125</v>
      </c>
      <c r="P1112" t="s">
        <v>125</v>
      </c>
      <c r="Q1112" t="s">
        <v>125</v>
      </c>
      <c r="R1112" t="s">
        <v>125</v>
      </c>
      <c r="S1112" t="s">
        <v>125</v>
      </c>
      <c r="T1112">
        <v>0</v>
      </c>
      <c r="V1112" t="s">
        <v>125</v>
      </c>
      <c r="AE1112" t="s">
        <v>125</v>
      </c>
      <c r="AF1112">
        <v>0</v>
      </c>
      <c r="AG1112" t="s">
        <v>125</v>
      </c>
      <c r="AH1112">
        <v>0</v>
      </c>
      <c r="AK1112">
        <v>0</v>
      </c>
    </row>
    <row r="1113" spans="1:37" x14ac:dyDescent="0.25">
      <c r="A1113" t="s">
        <v>79</v>
      </c>
      <c r="B1113">
        <v>5</v>
      </c>
      <c r="C1113">
        <v>1</v>
      </c>
      <c r="D1113">
        <v>3</v>
      </c>
      <c r="E1113">
        <v>2</v>
      </c>
      <c r="G1113">
        <v>513</v>
      </c>
      <c r="H1113" t="s">
        <v>63</v>
      </c>
      <c r="I1113" t="s">
        <v>88</v>
      </c>
      <c r="J1113" t="s">
        <v>142</v>
      </c>
      <c r="L1113">
        <v>0</v>
      </c>
      <c r="M1113" t="s">
        <v>125</v>
      </c>
      <c r="O1113" t="s">
        <v>125</v>
      </c>
      <c r="P1113" t="s">
        <v>125</v>
      </c>
      <c r="Q1113" t="s">
        <v>125</v>
      </c>
      <c r="R1113" t="s">
        <v>125</v>
      </c>
      <c r="S1113" t="s">
        <v>125</v>
      </c>
      <c r="T1113">
        <v>0</v>
      </c>
      <c r="V1113" t="s">
        <v>125</v>
      </c>
      <c r="AE1113" t="s">
        <v>125</v>
      </c>
      <c r="AF1113">
        <v>0</v>
      </c>
      <c r="AG1113" t="s">
        <v>125</v>
      </c>
      <c r="AH1113">
        <v>0</v>
      </c>
      <c r="AK1113">
        <v>0</v>
      </c>
    </row>
    <row r="1114" spans="1:37" x14ac:dyDescent="0.25">
      <c r="A1114" t="s">
        <v>79</v>
      </c>
      <c r="B1114">
        <v>5</v>
      </c>
      <c r="C1114">
        <v>1</v>
      </c>
      <c r="D1114">
        <v>3</v>
      </c>
      <c r="E1114">
        <v>3</v>
      </c>
      <c r="G1114">
        <v>513</v>
      </c>
      <c r="H1114" t="s">
        <v>63</v>
      </c>
      <c r="I1114" t="s">
        <v>95</v>
      </c>
      <c r="J1114" t="s">
        <v>143</v>
      </c>
      <c r="L1114">
        <v>0</v>
      </c>
      <c r="M1114" t="s">
        <v>125</v>
      </c>
      <c r="O1114" t="s">
        <v>125</v>
      </c>
      <c r="P1114" t="s">
        <v>125</v>
      </c>
      <c r="Q1114" t="s">
        <v>125</v>
      </c>
      <c r="R1114" t="s">
        <v>125</v>
      </c>
      <c r="S1114" t="s">
        <v>125</v>
      </c>
      <c r="T1114">
        <v>0</v>
      </c>
      <c r="V1114" t="s">
        <v>125</v>
      </c>
      <c r="AE1114" t="s">
        <v>125</v>
      </c>
      <c r="AF1114">
        <v>0</v>
      </c>
      <c r="AG1114" t="s">
        <v>125</v>
      </c>
      <c r="AH1114">
        <v>0</v>
      </c>
      <c r="AK1114">
        <v>0</v>
      </c>
    </row>
    <row r="1115" spans="1:37" x14ac:dyDescent="0.25">
      <c r="A1115" t="s">
        <v>79</v>
      </c>
      <c r="B1115">
        <v>5</v>
      </c>
      <c r="C1115">
        <v>1</v>
      </c>
      <c r="D1115">
        <v>3</v>
      </c>
      <c r="E1115">
        <v>4</v>
      </c>
      <c r="G1115">
        <v>513</v>
      </c>
      <c r="H1115" t="s">
        <v>63</v>
      </c>
      <c r="I1115" t="s">
        <v>102</v>
      </c>
      <c r="J1115" t="s">
        <v>144</v>
      </c>
      <c r="L1115">
        <v>0</v>
      </c>
      <c r="M1115" t="s">
        <v>125</v>
      </c>
      <c r="O1115" t="s">
        <v>125</v>
      </c>
      <c r="P1115" t="s">
        <v>125</v>
      </c>
      <c r="Q1115" t="s">
        <v>125</v>
      </c>
      <c r="R1115" t="s">
        <v>125</v>
      </c>
      <c r="S1115" t="s">
        <v>125</v>
      </c>
      <c r="T1115">
        <v>0</v>
      </c>
      <c r="V1115" t="s">
        <v>125</v>
      </c>
      <c r="AE1115" t="s">
        <v>125</v>
      </c>
      <c r="AF1115">
        <v>0</v>
      </c>
      <c r="AG1115" t="s">
        <v>125</v>
      </c>
      <c r="AH1115">
        <v>0</v>
      </c>
      <c r="AK1115">
        <v>0</v>
      </c>
    </row>
    <row r="1116" spans="1:37" x14ac:dyDescent="0.25">
      <c r="A1116" t="s">
        <v>79</v>
      </c>
      <c r="B1116">
        <v>5</v>
      </c>
      <c r="C1116">
        <v>1</v>
      </c>
      <c r="D1116">
        <v>3</v>
      </c>
      <c r="E1116">
        <v>5</v>
      </c>
      <c r="G1116">
        <v>513</v>
      </c>
      <c r="H1116" t="s">
        <v>63</v>
      </c>
      <c r="I1116" t="s">
        <v>109</v>
      </c>
      <c r="J1116" t="s">
        <v>145</v>
      </c>
      <c r="L1116">
        <v>0</v>
      </c>
      <c r="M1116" t="s">
        <v>125</v>
      </c>
      <c r="O1116" t="s">
        <v>125</v>
      </c>
      <c r="P1116" t="s">
        <v>125</v>
      </c>
      <c r="Q1116" t="s">
        <v>125</v>
      </c>
      <c r="R1116" t="s">
        <v>125</v>
      </c>
      <c r="S1116" t="s">
        <v>125</v>
      </c>
      <c r="T1116">
        <v>0</v>
      </c>
      <c r="V1116" t="s">
        <v>125</v>
      </c>
      <c r="AE1116" t="s">
        <v>125</v>
      </c>
      <c r="AF1116">
        <v>0</v>
      </c>
      <c r="AG1116" t="s">
        <v>125</v>
      </c>
      <c r="AH1116">
        <v>0</v>
      </c>
      <c r="AK1116">
        <v>0</v>
      </c>
    </row>
    <row r="1117" spans="1:37" x14ac:dyDescent="0.25">
      <c r="A1117" t="s">
        <v>79</v>
      </c>
      <c r="B1117">
        <v>5</v>
      </c>
      <c r="C1117">
        <v>1</v>
      </c>
      <c r="D1117">
        <v>3</v>
      </c>
      <c r="E1117">
        <v>6</v>
      </c>
      <c r="G1117">
        <v>513</v>
      </c>
      <c r="H1117" t="s">
        <v>63</v>
      </c>
      <c r="I1117" t="s">
        <v>116</v>
      </c>
      <c r="J1117" t="s">
        <v>146</v>
      </c>
      <c r="L1117">
        <v>0</v>
      </c>
      <c r="M1117" t="s">
        <v>125</v>
      </c>
      <c r="O1117" t="s">
        <v>125</v>
      </c>
      <c r="P1117" t="s">
        <v>125</v>
      </c>
      <c r="Q1117" t="s">
        <v>125</v>
      </c>
      <c r="R1117" t="s">
        <v>125</v>
      </c>
      <c r="S1117" t="s">
        <v>125</v>
      </c>
      <c r="T1117">
        <v>0</v>
      </c>
      <c r="V1117" t="s">
        <v>125</v>
      </c>
      <c r="AE1117" t="s">
        <v>125</v>
      </c>
      <c r="AF1117">
        <v>0</v>
      </c>
      <c r="AG1117" t="s">
        <v>125</v>
      </c>
      <c r="AH1117">
        <v>0</v>
      </c>
      <c r="AK1117">
        <v>0</v>
      </c>
    </row>
    <row r="1118" spans="1:37" x14ac:dyDescent="0.25">
      <c r="A1118" t="s">
        <v>79</v>
      </c>
      <c r="B1118">
        <v>5</v>
      </c>
      <c r="C1118">
        <v>1</v>
      </c>
      <c r="D1118">
        <v>3</v>
      </c>
      <c r="E1118">
        <v>7</v>
      </c>
      <c r="G1118">
        <v>513</v>
      </c>
      <c r="H1118" t="s">
        <v>63</v>
      </c>
      <c r="I1118" t="s">
        <v>123</v>
      </c>
      <c r="J1118" t="s">
        <v>147</v>
      </c>
      <c r="L1118">
        <v>0</v>
      </c>
      <c r="M1118" t="s">
        <v>125</v>
      </c>
      <c r="O1118" t="s">
        <v>125</v>
      </c>
      <c r="P1118" t="s">
        <v>125</v>
      </c>
      <c r="Q1118" t="s">
        <v>125</v>
      </c>
      <c r="R1118" t="s">
        <v>125</v>
      </c>
      <c r="S1118" t="s">
        <v>125</v>
      </c>
      <c r="T1118">
        <v>0</v>
      </c>
      <c r="V1118" t="s">
        <v>125</v>
      </c>
      <c r="AE1118" t="s">
        <v>125</v>
      </c>
      <c r="AF1118">
        <v>0</v>
      </c>
      <c r="AG1118" t="s">
        <v>125</v>
      </c>
      <c r="AH1118">
        <v>0</v>
      </c>
      <c r="AK1118">
        <v>0</v>
      </c>
    </row>
    <row r="1119" spans="1:37" x14ac:dyDescent="0.25">
      <c r="A1119" t="s">
        <v>79</v>
      </c>
      <c r="B1119">
        <v>5</v>
      </c>
      <c r="C1119">
        <v>1</v>
      </c>
      <c r="D1119">
        <v>3</v>
      </c>
      <c r="E1119">
        <v>8</v>
      </c>
      <c r="G1119">
        <v>513</v>
      </c>
      <c r="H1119" t="s">
        <v>63</v>
      </c>
      <c r="I1119" t="s">
        <v>126</v>
      </c>
      <c r="J1119" t="s">
        <v>148</v>
      </c>
      <c r="L1119">
        <v>0</v>
      </c>
      <c r="M1119" t="s">
        <v>125</v>
      </c>
      <c r="O1119" t="s">
        <v>125</v>
      </c>
      <c r="P1119" t="s">
        <v>125</v>
      </c>
      <c r="Q1119" t="s">
        <v>125</v>
      </c>
      <c r="R1119" t="s">
        <v>125</v>
      </c>
      <c r="S1119" t="s">
        <v>125</v>
      </c>
      <c r="T1119">
        <v>0</v>
      </c>
      <c r="V1119" t="s">
        <v>125</v>
      </c>
      <c r="AE1119" t="s">
        <v>125</v>
      </c>
      <c r="AF1119">
        <v>0</v>
      </c>
      <c r="AG1119" t="s">
        <v>125</v>
      </c>
      <c r="AH1119">
        <v>0</v>
      </c>
      <c r="AK1119">
        <v>0</v>
      </c>
    </row>
    <row r="1120" spans="1:37" x14ac:dyDescent="0.25">
      <c r="A1120" t="s">
        <v>79</v>
      </c>
      <c r="B1120">
        <v>5</v>
      </c>
      <c r="C1120">
        <v>1</v>
      </c>
      <c r="D1120">
        <v>3</v>
      </c>
      <c r="E1120">
        <v>9</v>
      </c>
      <c r="G1120">
        <v>513</v>
      </c>
      <c r="H1120" t="s">
        <v>63</v>
      </c>
      <c r="I1120" t="s">
        <v>74</v>
      </c>
      <c r="J1120" t="s">
        <v>149</v>
      </c>
      <c r="L1120">
        <v>0</v>
      </c>
      <c r="M1120" t="s">
        <v>125</v>
      </c>
      <c r="O1120" t="s">
        <v>125</v>
      </c>
      <c r="P1120" t="s">
        <v>125</v>
      </c>
      <c r="Q1120" t="s">
        <v>125</v>
      </c>
      <c r="R1120" t="s">
        <v>125</v>
      </c>
      <c r="S1120" t="s">
        <v>125</v>
      </c>
      <c r="T1120">
        <v>0</v>
      </c>
      <c r="V1120" t="s">
        <v>125</v>
      </c>
      <c r="AE1120" t="s">
        <v>125</v>
      </c>
      <c r="AF1120">
        <v>0</v>
      </c>
      <c r="AG1120" t="s">
        <v>125</v>
      </c>
      <c r="AH1120">
        <v>0</v>
      </c>
      <c r="AK1120">
        <v>0</v>
      </c>
    </row>
    <row r="1121" spans="1:37" x14ac:dyDescent="0.25">
      <c r="A1121" t="s">
        <v>79</v>
      </c>
      <c r="B1121">
        <v>5</v>
      </c>
      <c r="C1121">
        <v>1</v>
      </c>
      <c r="D1121">
        <v>3</v>
      </c>
      <c r="E1121">
        <v>10</v>
      </c>
      <c r="G1121">
        <v>513</v>
      </c>
      <c r="H1121" t="s">
        <v>63</v>
      </c>
      <c r="I1121" t="s">
        <v>129</v>
      </c>
      <c r="J1121" t="s">
        <v>150</v>
      </c>
      <c r="L1121">
        <v>0</v>
      </c>
      <c r="M1121" t="s">
        <v>125</v>
      </c>
      <c r="O1121" t="s">
        <v>125</v>
      </c>
      <c r="P1121" t="s">
        <v>125</v>
      </c>
      <c r="Q1121" t="s">
        <v>125</v>
      </c>
      <c r="R1121" t="s">
        <v>125</v>
      </c>
      <c r="S1121" t="s">
        <v>125</v>
      </c>
      <c r="T1121">
        <v>0</v>
      </c>
      <c r="V1121" t="s">
        <v>125</v>
      </c>
      <c r="AE1121" t="s">
        <v>125</v>
      </c>
      <c r="AF1121">
        <v>0</v>
      </c>
      <c r="AG1121" t="s">
        <v>125</v>
      </c>
      <c r="AH1121">
        <v>0</v>
      </c>
      <c r="AK1121">
        <v>0</v>
      </c>
    </row>
    <row r="1122" spans="1:37" x14ac:dyDescent="0.25">
      <c r="A1122" t="s">
        <v>79</v>
      </c>
      <c r="B1122">
        <v>5</v>
      </c>
      <c r="C1122">
        <v>1</v>
      </c>
      <c r="D1122">
        <v>3</v>
      </c>
      <c r="E1122">
        <v>11</v>
      </c>
      <c r="G1122">
        <v>513</v>
      </c>
      <c r="H1122" t="s">
        <v>63</v>
      </c>
      <c r="I1122" t="s">
        <v>131</v>
      </c>
      <c r="J1122" t="s">
        <v>151</v>
      </c>
      <c r="L1122">
        <v>0</v>
      </c>
      <c r="M1122" t="s">
        <v>125</v>
      </c>
      <c r="O1122" t="s">
        <v>125</v>
      </c>
      <c r="P1122" t="s">
        <v>125</v>
      </c>
      <c r="Q1122" t="s">
        <v>125</v>
      </c>
      <c r="R1122" t="s">
        <v>125</v>
      </c>
      <c r="S1122" t="s">
        <v>125</v>
      </c>
      <c r="T1122">
        <v>0</v>
      </c>
      <c r="V1122" t="s">
        <v>125</v>
      </c>
      <c r="AE1122" t="s">
        <v>125</v>
      </c>
      <c r="AF1122">
        <v>0</v>
      </c>
      <c r="AG1122" t="s">
        <v>125</v>
      </c>
      <c r="AH1122">
        <v>0</v>
      </c>
      <c r="AK1122">
        <v>0</v>
      </c>
    </row>
    <row r="1123" spans="1:37" x14ac:dyDescent="0.25">
      <c r="A1123" t="s">
        <v>79</v>
      </c>
      <c r="B1123">
        <v>5</v>
      </c>
      <c r="C1123">
        <v>1</v>
      </c>
      <c r="D1123">
        <v>3</v>
      </c>
      <c r="E1123">
        <v>12</v>
      </c>
      <c r="G1123">
        <v>513</v>
      </c>
      <c r="H1123" t="s">
        <v>63</v>
      </c>
      <c r="I1123" t="s">
        <v>133</v>
      </c>
      <c r="J1123" t="s">
        <v>152</v>
      </c>
      <c r="L1123">
        <v>0</v>
      </c>
      <c r="M1123" t="s">
        <v>125</v>
      </c>
      <c r="O1123" t="s">
        <v>125</v>
      </c>
      <c r="P1123" t="s">
        <v>125</v>
      </c>
      <c r="Q1123" t="s">
        <v>125</v>
      </c>
      <c r="R1123" t="s">
        <v>125</v>
      </c>
      <c r="S1123" t="s">
        <v>125</v>
      </c>
      <c r="T1123">
        <v>0</v>
      </c>
      <c r="V1123" t="s">
        <v>125</v>
      </c>
      <c r="AE1123" t="s">
        <v>125</v>
      </c>
      <c r="AF1123">
        <v>0</v>
      </c>
      <c r="AG1123" t="s">
        <v>125</v>
      </c>
      <c r="AH1123">
        <v>0</v>
      </c>
      <c r="AK1123">
        <v>0</v>
      </c>
    </row>
    <row r="1124" spans="1:37" x14ac:dyDescent="0.25">
      <c r="A1124" t="s">
        <v>79</v>
      </c>
      <c r="B1124">
        <v>5</v>
      </c>
      <c r="C1124">
        <v>1</v>
      </c>
      <c r="D1124">
        <v>3</v>
      </c>
      <c r="E1124">
        <v>13</v>
      </c>
      <c r="G1124">
        <v>513</v>
      </c>
      <c r="H1124" t="s">
        <v>63</v>
      </c>
      <c r="I1124" t="s">
        <v>135</v>
      </c>
      <c r="J1124" t="s">
        <v>153</v>
      </c>
      <c r="L1124">
        <v>0</v>
      </c>
      <c r="M1124" t="s">
        <v>125</v>
      </c>
      <c r="O1124" t="s">
        <v>125</v>
      </c>
      <c r="P1124" t="s">
        <v>125</v>
      </c>
      <c r="Q1124" t="s">
        <v>125</v>
      </c>
      <c r="R1124" t="s">
        <v>125</v>
      </c>
      <c r="S1124" t="s">
        <v>125</v>
      </c>
      <c r="T1124">
        <v>0</v>
      </c>
      <c r="V1124" t="s">
        <v>125</v>
      </c>
      <c r="AE1124" t="s">
        <v>125</v>
      </c>
      <c r="AF1124">
        <v>0</v>
      </c>
      <c r="AG1124" t="s">
        <v>125</v>
      </c>
      <c r="AH1124">
        <v>0</v>
      </c>
      <c r="AK1124">
        <v>0</v>
      </c>
    </row>
    <row r="1125" spans="1:37" x14ac:dyDescent="0.25">
      <c r="A1125" t="s">
        <v>79</v>
      </c>
      <c r="B1125">
        <v>5</v>
      </c>
      <c r="C1125">
        <v>1</v>
      </c>
      <c r="D1125">
        <v>3</v>
      </c>
      <c r="E1125">
        <v>14</v>
      </c>
      <c r="G1125">
        <v>513</v>
      </c>
      <c r="H1125" t="s">
        <v>63</v>
      </c>
      <c r="I1125" t="s">
        <v>137</v>
      </c>
      <c r="J1125" t="s">
        <v>154</v>
      </c>
      <c r="L1125">
        <v>0</v>
      </c>
      <c r="M1125" t="s">
        <v>125</v>
      </c>
      <c r="O1125" t="s">
        <v>125</v>
      </c>
      <c r="P1125" t="s">
        <v>125</v>
      </c>
      <c r="Q1125" t="s">
        <v>125</v>
      </c>
      <c r="R1125" t="s">
        <v>125</v>
      </c>
      <c r="S1125" t="s">
        <v>125</v>
      </c>
      <c r="T1125">
        <v>0</v>
      </c>
      <c r="V1125" t="s">
        <v>125</v>
      </c>
      <c r="AE1125" t="s">
        <v>125</v>
      </c>
      <c r="AF1125">
        <v>0</v>
      </c>
      <c r="AG1125" t="s">
        <v>125</v>
      </c>
      <c r="AH1125">
        <v>0</v>
      </c>
      <c r="AK1125">
        <v>0</v>
      </c>
    </row>
    <row r="1126" spans="1:37" x14ac:dyDescent="0.25">
      <c r="A1126" t="s">
        <v>79</v>
      </c>
      <c r="B1126">
        <v>5</v>
      </c>
      <c r="C1126">
        <v>1</v>
      </c>
      <c r="D1126">
        <v>3</v>
      </c>
      <c r="E1126">
        <v>15</v>
      </c>
      <c r="G1126">
        <v>513</v>
      </c>
      <c r="H1126" t="s">
        <v>63</v>
      </c>
      <c r="I1126" t="s">
        <v>139</v>
      </c>
      <c r="J1126" t="s">
        <v>155</v>
      </c>
      <c r="L1126">
        <v>0</v>
      </c>
      <c r="M1126" t="s">
        <v>125</v>
      </c>
      <c r="O1126" t="s">
        <v>125</v>
      </c>
      <c r="P1126" t="s">
        <v>125</v>
      </c>
      <c r="Q1126" t="s">
        <v>125</v>
      </c>
      <c r="R1126" t="s">
        <v>125</v>
      </c>
      <c r="S1126" t="s">
        <v>125</v>
      </c>
      <c r="T1126">
        <v>0</v>
      </c>
      <c r="V1126" t="s">
        <v>125</v>
      </c>
      <c r="AE1126" t="s">
        <v>125</v>
      </c>
      <c r="AF1126">
        <v>0</v>
      </c>
      <c r="AG1126" t="s">
        <v>125</v>
      </c>
      <c r="AH1126">
        <v>0</v>
      </c>
      <c r="AK1126">
        <v>0</v>
      </c>
    </row>
    <row r="1127" spans="1:37" x14ac:dyDescent="0.25">
      <c r="L1127">
        <v>0</v>
      </c>
    </row>
    <row r="1128" spans="1:37" x14ac:dyDescent="0.25">
      <c r="A1128" t="s">
        <v>70</v>
      </c>
      <c r="B1128">
        <v>5</v>
      </c>
      <c r="C1128">
        <v>1</v>
      </c>
      <c r="D1128">
        <v>4</v>
      </c>
      <c r="G1128">
        <v>51</v>
      </c>
      <c r="L1128">
        <v>0</v>
      </c>
      <c r="M1128" t="s">
        <v>125</v>
      </c>
      <c r="P1128" t="s">
        <v>125</v>
      </c>
      <c r="R1128" t="s">
        <v>125</v>
      </c>
      <c r="S1128" t="s">
        <v>63</v>
      </c>
      <c r="V1128" t="s">
        <v>125</v>
      </c>
      <c r="X1128" t="s">
        <v>125</v>
      </c>
      <c r="Y1128" t="s">
        <v>125</v>
      </c>
      <c r="Z1128" t="s">
        <v>125</v>
      </c>
      <c r="AA1128" t="s">
        <v>125</v>
      </c>
      <c r="AB1128" t="s">
        <v>125</v>
      </c>
      <c r="AC1128" t="s">
        <v>125</v>
      </c>
      <c r="AE1128" t="s">
        <v>125</v>
      </c>
      <c r="AF1128">
        <v>0</v>
      </c>
      <c r="AG1128" t="s">
        <v>125</v>
      </c>
      <c r="AH1128">
        <v>0</v>
      </c>
      <c r="AK1128">
        <v>0</v>
      </c>
    </row>
    <row r="1129" spans="1:37" x14ac:dyDescent="0.25">
      <c r="A1129" t="s">
        <v>79</v>
      </c>
      <c r="B1129">
        <v>5</v>
      </c>
      <c r="C1129">
        <v>1</v>
      </c>
      <c r="D1129">
        <v>4</v>
      </c>
      <c r="E1129">
        <v>1</v>
      </c>
      <c r="G1129">
        <v>514</v>
      </c>
      <c r="H1129" t="s">
        <v>63</v>
      </c>
      <c r="I1129" t="s">
        <v>80</v>
      </c>
      <c r="J1129" t="s">
        <v>141</v>
      </c>
      <c r="L1129">
        <v>0</v>
      </c>
      <c r="M1129" t="s">
        <v>125</v>
      </c>
      <c r="O1129" t="s">
        <v>125</v>
      </c>
      <c r="P1129" t="s">
        <v>125</v>
      </c>
      <c r="Q1129" t="s">
        <v>125</v>
      </c>
      <c r="R1129" t="s">
        <v>125</v>
      </c>
      <c r="S1129" t="s">
        <v>125</v>
      </c>
      <c r="T1129">
        <v>0</v>
      </c>
      <c r="V1129" t="s">
        <v>125</v>
      </c>
      <c r="AE1129" t="s">
        <v>125</v>
      </c>
      <c r="AF1129">
        <v>0</v>
      </c>
      <c r="AG1129" t="s">
        <v>125</v>
      </c>
      <c r="AH1129">
        <v>0</v>
      </c>
      <c r="AK1129">
        <v>0</v>
      </c>
    </row>
    <row r="1130" spans="1:37" x14ac:dyDescent="0.25">
      <c r="A1130" t="s">
        <v>79</v>
      </c>
      <c r="B1130">
        <v>5</v>
      </c>
      <c r="C1130">
        <v>1</v>
      </c>
      <c r="D1130">
        <v>4</v>
      </c>
      <c r="E1130">
        <v>2</v>
      </c>
      <c r="G1130">
        <v>514</v>
      </c>
      <c r="H1130" t="s">
        <v>63</v>
      </c>
      <c r="I1130" t="s">
        <v>88</v>
      </c>
      <c r="J1130" t="s">
        <v>142</v>
      </c>
      <c r="L1130">
        <v>0</v>
      </c>
      <c r="M1130" t="s">
        <v>125</v>
      </c>
      <c r="O1130" t="s">
        <v>125</v>
      </c>
      <c r="P1130" t="s">
        <v>125</v>
      </c>
      <c r="Q1130" t="s">
        <v>125</v>
      </c>
      <c r="R1130" t="s">
        <v>125</v>
      </c>
      <c r="S1130" t="s">
        <v>125</v>
      </c>
      <c r="T1130">
        <v>0</v>
      </c>
      <c r="V1130" t="s">
        <v>125</v>
      </c>
      <c r="AE1130" t="s">
        <v>125</v>
      </c>
      <c r="AF1130">
        <v>0</v>
      </c>
      <c r="AG1130" t="s">
        <v>125</v>
      </c>
      <c r="AH1130">
        <v>0</v>
      </c>
      <c r="AK1130">
        <v>0</v>
      </c>
    </row>
    <row r="1131" spans="1:37" x14ac:dyDescent="0.25">
      <c r="A1131" t="s">
        <v>79</v>
      </c>
      <c r="B1131">
        <v>5</v>
      </c>
      <c r="C1131">
        <v>1</v>
      </c>
      <c r="D1131">
        <v>4</v>
      </c>
      <c r="E1131">
        <v>3</v>
      </c>
      <c r="G1131">
        <v>514</v>
      </c>
      <c r="H1131" t="s">
        <v>63</v>
      </c>
      <c r="I1131" t="s">
        <v>95</v>
      </c>
      <c r="J1131" t="s">
        <v>143</v>
      </c>
      <c r="L1131">
        <v>0</v>
      </c>
      <c r="M1131" t="s">
        <v>125</v>
      </c>
      <c r="O1131" t="s">
        <v>125</v>
      </c>
      <c r="P1131" t="s">
        <v>125</v>
      </c>
      <c r="Q1131" t="s">
        <v>125</v>
      </c>
      <c r="R1131" t="s">
        <v>125</v>
      </c>
      <c r="S1131" t="s">
        <v>125</v>
      </c>
      <c r="T1131">
        <v>0</v>
      </c>
      <c r="V1131" t="s">
        <v>125</v>
      </c>
      <c r="AE1131" t="s">
        <v>125</v>
      </c>
      <c r="AF1131">
        <v>0</v>
      </c>
      <c r="AG1131" t="s">
        <v>125</v>
      </c>
      <c r="AH1131">
        <v>0</v>
      </c>
      <c r="AK1131">
        <v>0</v>
      </c>
    </row>
    <row r="1132" spans="1:37" x14ac:dyDescent="0.25">
      <c r="A1132" t="s">
        <v>79</v>
      </c>
      <c r="B1132">
        <v>5</v>
      </c>
      <c r="C1132">
        <v>1</v>
      </c>
      <c r="D1132">
        <v>4</v>
      </c>
      <c r="E1132">
        <v>4</v>
      </c>
      <c r="G1132">
        <v>514</v>
      </c>
      <c r="H1132" t="s">
        <v>63</v>
      </c>
      <c r="I1132" t="s">
        <v>102</v>
      </c>
      <c r="J1132" t="s">
        <v>144</v>
      </c>
      <c r="L1132">
        <v>0</v>
      </c>
      <c r="M1132" t="s">
        <v>125</v>
      </c>
      <c r="O1132" t="s">
        <v>125</v>
      </c>
      <c r="P1132" t="s">
        <v>125</v>
      </c>
      <c r="Q1132" t="s">
        <v>125</v>
      </c>
      <c r="R1132" t="s">
        <v>125</v>
      </c>
      <c r="S1132" t="s">
        <v>125</v>
      </c>
      <c r="T1132">
        <v>0</v>
      </c>
      <c r="V1132" t="s">
        <v>125</v>
      </c>
      <c r="AE1132" t="s">
        <v>125</v>
      </c>
      <c r="AF1132">
        <v>0</v>
      </c>
      <c r="AG1132" t="s">
        <v>125</v>
      </c>
      <c r="AH1132">
        <v>0</v>
      </c>
      <c r="AK1132">
        <v>0</v>
      </c>
    </row>
    <row r="1133" spans="1:37" x14ac:dyDescent="0.25">
      <c r="A1133" t="s">
        <v>79</v>
      </c>
      <c r="B1133">
        <v>5</v>
      </c>
      <c r="C1133">
        <v>1</v>
      </c>
      <c r="D1133">
        <v>4</v>
      </c>
      <c r="E1133">
        <v>5</v>
      </c>
      <c r="G1133">
        <v>514</v>
      </c>
      <c r="H1133" t="s">
        <v>63</v>
      </c>
      <c r="I1133" t="s">
        <v>109</v>
      </c>
      <c r="J1133" t="s">
        <v>145</v>
      </c>
      <c r="L1133">
        <v>0</v>
      </c>
      <c r="M1133" t="s">
        <v>125</v>
      </c>
      <c r="O1133" t="s">
        <v>125</v>
      </c>
      <c r="P1133" t="s">
        <v>125</v>
      </c>
      <c r="Q1133" t="s">
        <v>125</v>
      </c>
      <c r="R1133" t="s">
        <v>125</v>
      </c>
      <c r="S1133" t="s">
        <v>125</v>
      </c>
      <c r="T1133">
        <v>0</v>
      </c>
      <c r="V1133" t="s">
        <v>125</v>
      </c>
      <c r="AE1133" t="s">
        <v>125</v>
      </c>
      <c r="AF1133">
        <v>0</v>
      </c>
      <c r="AG1133" t="s">
        <v>125</v>
      </c>
      <c r="AH1133">
        <v>0</v>
      </c>
      <c r="AK1133">
        <v>0</v>
      </c>
    </row>
    <row r="1134" spans="1:37" x14ac:dyDescent="0.25">
      <c r="A1134" t="s">
        <v>79</v>
      </c>
      <c r="B1134">
        <v>5</v>
      </c>
      <c r="C1134">
        <v>1</v>
      </c>
      <c r="D1134">
        <v>4</v>
      </c>
      <c r="E1134">
        <v>6</v>
      </c>
      <c r="G1134">
        <v>514</v>
      </c>
      <c r="H1134" t="s">
        <v>63</v>
      </c>
      <c r="I1134" t="s">
        <v>116</v>
      </c>
      <c r="J1134" t="s">
        <v>146</v>
      </c>
      <c r="L1134">
        <v>0</v>
      </c>
      <c r="M1134" t="s">
        <v>125</v>
      </c>
      <c r="O1134" t="s">
        <v>125</v>
      </c>
      <c r="P1134" t="s">
        <v>125</v>
      </c>
      <c r="Q1134" t="s">
        <v>125</v>
      </c>
      <c r="R1134" t="s">
        <v>125</v>
      </c>
      <c r="S1134" t="s">
        <v>125</v>
      </c>
      <c r="T1134">
        <v>0</v>
      </c>
      <c r="V1134" t="s">
        <v>125</v>
      </c>
      <c r="AE1134" t="s">
        <v>125</v>
      </c>
      <c r="AF1134">
        <v>0</v>
      </c>
      <c r="AG1134" t="s">
        <v>125</v>
      </c>
      <c r="AH1134">
        <v>0</v>
      </c>
      <c r="AK1134">
        <v>0</v>
      </c>
    </row>
    <row r="1135" spans="1:37" x14ac:dyDescent="0.25">
      <c r="A1135" t="s">
        <v>79</v>
      </c>
      <c r="B1135">
        <v>5</v>
      </c>
      <c r="C1135">
        <v>1</v>
      </c>
      <c r="D1135">
        <v>4</v>
      </c>
      <c r="E1135">
        <v>7</v>
      </c>
      <c r="G1135">
        <v>514</v>
      </c>
      <c r="H1135" t="s">
        <v>63</v>
      </c>
      <c r="I1135" t="s">
        <v>123</v>
      </c>
      <c r="J1135" t="s">
        <v>147</v>
      </c>
      <c r="L1135">
        <v>0</v>
      </c>
      <c r="M1135" t="s">
        <v>125</v>
      </c>
      <c r="O1135" t="s">
        <v>125</v>
      </c>
      <c r="P1135" t="s">
        <v>125</v>
      </c>
      <c r="Q1135" t="s">
        <v>125</v>
      </c>
      <c r="R1135" t="s">
        <v>125</v>
      </c>
      <c r="S1135" t="s">
        <v>125</v>
      </c>
      <c r="T1135">
        <v>0</v>
      </c>
      <c r="V1135" t="s">
        <v>125</v>
      </c>
      <c r="AE1135" t="s">
        <v>125</v>
      </c>
      <c r="AF1135">
        <v>0</v>
      </c>
      <c r="AG1135" t="s">
        <v>125</v>
      </c>
      <c r="AH1135">
        <v>0</v>
      </c>
      <c r="AK1135">
        <v>0</v>
      </c>
    </row>
    <row r="1136" spans="1:37" x14ac:dyDescent="0.25">
      <c r="A1136" t="s">
        <v>79</v>
      </c>
      <c r="B1136">
        <v>5</v>
      </c>
      <c r="C1136">
        <v>1</v>
      </c>
      <c r="D1136">
        <v>4</v>
      </c>
      <c r="E1136">
        <v>8</v>
      </c>
      <c r="G1136">
        <v>514</v>
      </c>
      <c r="H1136" t="s">
        <v>63</v>
      </c>
      <c r="I1136" t="s">
        <v>126</v>
      </c>
      <c r="J1136" t="s">
        <v>148</v>
      </c>
      <c r="L1136">
        <v>0</v>
      </c>
      <c r="M1136" t="s">
        <v>125</v>
      </c>
      <c r="O1136" t="s">
        <v>125</v>
      </c>
      <c r="P1136" t="s">
        <v>125</v>
      </c>
      <c r="Q1136" t="s">
        <v>125</v>
      </c>
      <c r="R1136" t="s">
        <v>125</v>
      </c>
      <c r="S1136" t="s">
        <v>125</v>
      </c>
      <c r="T1136">
        <v>0</v>
      </c>
      <c r="V1136" t="s">
        <v>125</v>
      </c>
      <c r="AE1136" t="s">
        <v>125</v>
      </c>
      <c r="AF1136">
        <v>0</v>
      </c>
      <c r="AG1136" t="s">
        <v>125</v>
      </c>
      <c r="AH1136">
        <v>0</v>
      </c>
      <c r="AK1136">
        <v>0</v>
      </c>
    </row>
    <row r="1137" spans="1:37" x14ac:dyDescent="0.25">
      <c r="A1137" t="s">
        <v>79</v>
      </c>
      <c r="B1137">
        <v>5</v>
      </c>
      <c r="C1137">
        <v>1</v>
      </c>
      <c r="D1137">
        <v>4</v>
      </c>
      <c r="E1137">
        <v>9</v>
      </c>
      <c r="G1137">
        <v>514</v>
      </c>
      <c r="H1137" t="s">
        <v>63</v>
      </c>
      <c r="I1137" t="s">
        <v>74</v>
      </c>
      <c r="J1137" t="s">
        <v>149</v>
      </c>
      <c r="L1137">
        <v>0</v>
      </c>
      <c r="M1137" t="s">
        <v>125</v>
      </c>
      <c r="O1137" t="s">
        <v>125</v>
      </c>
      <c r="P1137" t="s">
        <v>125</v>
      </c>
      <c r="Q1137" t="s">
        <v>125</v>
      </c>
      <c r="R1137" t="s">
        <v>125</v>
      </c>
      <c r="S1137" t="s">
        <v>125</v>
      </c>
      <c r="T1137">
        <v>0</v>
      </c>
      <c r="V1137" t="s">
        <v>125</v>
      </c>
      <c r="AE1137" t="s">
        <v>125</v>
      </c>
      <c r="AF1137">
        <v>0</v>
      </c>
      <c r="AG1137" t="s">
        <v>125</v>
      </c>
      <c r="AH1137">
        <v>0</v>
      </c>
      <c r="AK1137">
        <v>0</v>
      </c>
    </row>
    <row r="1138" spans="1:37" x14ac:dyDescent="0.25">
      <c r="A1138" t="s">
        <v>79</v>
      </c>
      <c r="B1138">
        <v>5</v>
      </c>
      <c r="C1138">
        <v>1</v>
      </c>
      <c r="D1138">
        <v>4</v>
      </c>
      <c r="E1138">
        <v>10</v>
      </c>
      <c r="G1138">
        <v>514</v>
      </c>
      <c r="H1138" t="s">
        <v>63</v>
      </c>
      <c r="I1138" t="s">
        <v>129</v>
      </c>
      <c r="J1138" t="s">
        <v>150</v>
      </c>
      <c r="L1138">
        <v>0</v>
      </c>
      <c r="M1138" t="s">
        <v>125</v>
      </c>
      <c r="O1138" t="s">
        <v>125</v>
      </c>
      <c r="P1138" t="s">
        <v>125</v>
      </c>
      <c r="Q1138" t="s">
        <v>125</v>
      </c>
      <c r="R1138" t="s">
        <v>125</v>
      </c>
      <c r="S1138" t="s">
        <v>125</v>
      </c>
      <c r="T1138">
        <v>0</v>
      </c>
      <c r="V1138" t="s">
        <v>125</v>
      </c>
      <c r="AE1138" t="s">
        <v>125</v>
      </c>
      <c r="AF1138">
        <v>0</v>
      </c>
      <c r="AG1138" t="s">
        <v>125</v>
      </c>
      <c r="AH1138">
        <v>0</v>
      </c>
      <c r="AK1138">
        <v>0</v>
      </c>
    </row>
    <row r="1139" spans="1:37" x14ac:dyDescent="0.25">
      <c r="A1139" t="s">
        <v>79</v>
      </c>
      <c r="B1139">
        <v>5</v>
      </c>
      <c r="C1139">
        <v>1</v>
      </c>
      <c r="D1139">
        <v>4</v>
      </c>
      <c r="E1139">
        <v>11</v>
      </c>
      <c r="G1139">
        <v>514</v>
      </c>
      <c r="H1139" t="s">
        <v>63</v>
      </c>
      <c r="I1139" t="s">
        <v>131</v>
      </c>
      <c r="J1139" t="s">
        <v>151</v>
      </c>
      <c r="L1139">
        <v>0</v>
      </c>
      <c r="M1139" t="s">
        <v>125</v>
      </c>
      <c r="O1139" t="s">
        <v>125</v>
      </c>
      <c r="P1139" t="s">
        <v>125</v>
      </c>
      <c r="Q1139" t="s">
        <v>125</v>
      </c>
      <c r="R1139" t="s">
        <v>125</v>
      </c>
      <c r="S1139" t="s">
        <v>125</v>
      </c>
      <c r="T1139">
        <v>0</v>
      </c>
      <c r="V1139" t="s">
        <v>125</v>
      </c>
      <c r="AE1139" t="s">
        <v>125</v>
      </c>
      <c r="AF1139">
        <v>0</v>
      </c>
      <c r="AG1139" t="s">
        <v>125</v>
      </c>
      <c r="AH1139">
        <v>0</v>
      </c>
      <c r="AK1139">
        <v>0</v>
      </c>
    </row>
    <row r="1140" spans="1:37" x14ac:dyDescent="0.25">
      <c r="A1140" t="s">
        <v>79</v>
      </c>
      <c r="B1140">
        <v>5</v>
      </c>
      <c r="C1140">
        <v>1</v>
      </c>
      <c r="D1140">
        <v>4</v>
      </c>
      <c r="E1140">
        <v>12</v>
      </c>
      <c r="G1140">
        <v>514</v>
      </c>
      <c r="H1140" t="s">
        <v>63</v>
      </c>
      <c r="I1140" t="s">
        <v>133</v>
      </c>
      <c r="J1140" t="s">
        <v>152</v>
      </c>
      <c r="L1140">
        <v>0</v>
      </c>
      <c r="M1140" t="s">
        <v>125</v>
      </c>
      <c r="O1140" t="s">
        <v>125</v>
      </c>
      <c r="P1140" t="s">
        <v>125</v>
      </c>
      <c r="Q1140" t="s">
        <v>125</v>
      </c>
      <c r="R1140" t="s">
        <v>125</v>
      </c>
      <c r="S1140" t="s">
        <v>125</v>
      </c>
      <c r="T1140">
        <v>0</v>
      </c>
      <c r="V1140" t="s">
        <v>125</v>
      </c>
      <c r="AE1140" t="s">
        <v>125</v>
      </c>
      <c r="AF1140">
        <v>0</v>
      </c>
      <c r="AG1140" t="s">
        <v>125</v>
      </c>
      <c r="AH1140">
        <v>0</v>
      </c>
      <c r="AK1140">
        <v>0</v>
      </c>
    </row>
    <row r="1141" spans="1:37" x14ac:dyDescent="0.25">
      <c r="A1141" t="s">
        <v>79</v>
      </c>
      <c r="B1141">
        <v>5</v>
      </c>
      <c r="C1141">
        <v>1</v>
      </c>
      <c r="D1141">
        <v>4</v>
      </c>
      <c r="E1141">
        <v>13</v>
      </c>
      <c r="G1141">
        <v>514</v>
      </c>
      <c r="H1141" t="s">
        <v>63</v>
      </c>
      <c r="I1141" t="s">
        <v>135</v>
      </c>
      <c r="J1141" t="s">
        <v>153</v>
      </c>
      <c r="L1141">
        <v>0</v>
      </c>
      <c r="M1141" t="s">
        <v>125</v>
      </c>
      <c r="O1141" t="s">
        <v>125</v>
      </c>
      <c r="P1141" t="s">
        <v>125</v>
      </c>
      <c r="Q1141" t="s">
        <v>125</v>
      </c>
      <c r="R1141" t="s">
        <v>125</v>
      </c>
      <c r="S1141" t="s">
        <v>125</v>
      </c>
      <c r="T1141">
        <v>0</v>
      </c>
      <c r="V1141" t="s">
        <v>125</v>
      </c>
      <c r="AE1141" t="s">
        <v>125</v>
      </c>
      <c r="AF1141">
        <v>0</v>
      </c>
      <c r="AG1141" t="s">
        <v>125</v>
      </c>
      <c r="AH1141">
        <v>0</v>
      </c>
      <c r="AK1141">
        <v>0</v>
      </c>
    </row>
    <row r="1142" spans="1:37" x14ac:dyDescent="0.25">
      <c r="A1142" t="s">
        <v>79</v>
      </c>
      <c r="B1142">
        <v>5</v>
      </c>
      <c r="C1142">
        <v>1</v>
      </c>
      <c r="D1142">
        <v>4</v>
      </c>
      <c r="E1142">
        <v>14</v>
      </c>
      <c r="G1142">
        <v>514</v>
      </c>
      <c r="H1142" t="s">
        <v>63</v>
      </c>
      <c r="I1142" t="s">
        <v>137</v>
      </c>
      <c r="J1142" t="s">
        <v>154</v>
      </c>
      <c r="L1142">
        <v>0</v>
      </c>
      <c r="M1142" t="s">
        <v>125</v>
      </c>
      <c r="O1142" t="s">
        <v>125</v>
      </c>
      <c r="P1142" t="s">
        <v>125</v>
      </c>
      <c r="Q1142" t="s">
        <v>125</v>
      </c>
      <c r="R1142" t="s">
        <v>125</v>
      </c>
      <c r="S1142" t="s">
        <v>125</v>
      </c>
      <c r="T1142">
        <v>0</v>
      </c>
      <c r="V1142" t="s">
        <v>125</v>
      </c>
      <c r="AE1142" t="s">
        <v>125</v>
      </c>
      <c r="AF1142">
        <v>0</v>
      </c>
      <c r="AG1142" t="s">
        <v>125</v>
      </c>
      <c r="AH1142">
        <v>0</v>
      </c>
      <c r="AK1142">
        <v>0</v>
      </c>
    </row>
    <row r="1143" spans="1:37" x14ac:dyDescent="0.25">
      <c r="A1143" t="s">
        <v>79</v>
      </c>
      <c r="B1143">
        <v>5</v>
      </c>
      <c r="C1143">
        <v>1</v>
      </c>
      <c r="D1143">
        <v>4</v>
      </c>
      <c r="E1143">
        <v>15</v>
      </c>
      <c r="G1143">
        <v>514</v>
      </c>
      <c r="H1143" t="s">
        <v>63</v>
      </c>
      <c r="I1143" t="s">
        <v>139</v>
      </c>
      <c r="J1143" t="s">
        <v>155</v>
      </c>
      <c r="L1143">
        <v>0</v>
      </c>
      <c r="M1143" t="s">
        <v>125</v>
      </c>
      <c r="O1143" t="s">
        <v>125</v>
      </c>
      <c r="P1143" t="s">
        <v>125</v>
      </c>
      <c r="Q1143" t="s">
        <v>125</v>
      </c>
      <c r="R1143" t="s">
        <v>125</v>
      </c>
      <c r="S1143" t="s">
        <v>125</v>
      </c>
      <c r="T1143">
        <v>0</v>
      </c>
      <c r="V1143" t="s">
        <v>125</v>
      </c>
      <c r="AE1143" t="s">
        <v>125</v>
      </c>
      <c r="AF1143">
        <v>0</v>
      </c>
      <c r="AG1143" t="s">
        <v>125</v>
      </c>
      <c r="AH1143">
        <v>0</v>
      </c>
      <c r="AK1143">
        <v>0</v>
      </c>
    </row>
    <row r="1144" spans="1:37" x14ac:dyDescent="0.25">
      <c r="L1144">
        <v>0</v>
      </c>
    </row>
    <row r="1145" spans="1:37" x14ac:dyDescent="0.25">
      <c r="A1145" t="s">
        <v>70</v>
      </c>
      <c r="B1145">
        <v>5</v>
      </c>
      <c r="C1145">
        <v>1</v>
      </c>
      <c r="D1145">
        <v>5</v>
      </c>
      <c r="G1145">
        <v>51</v>
      </c>
      <c r="L1145">
        <v>0</v>
      </c>
      <c r="M1145" t="s">
        <v>125</v>
      </c>
      <c r="P1145" t="s">
        <v>125</v>
      </c>
      <c r="R1145" t="s">
        <v>125</v>
      </c>
      <c r="S1145" t="s">
        <v>63</v>
      </c>
      <c r="V1145" t="s">
        <v>125</v>
      </c>
      <c r="X1145" t="s">
        <v>125</v>
      </c>
      <c r="Y1145" t="s">
        <v>125</v>
      </c>
      <c r="Z1145" t="s">
        <v>125</v>
      </c>
      <c r="AA1145" t="s">
        <v>125</v>
      </c>
      <c r="AB1145" t="s">
        <v>125</v>
      </c>
      <c r="AC1145" t="s">
        <v>125</v>
      </c>
      <c r="AE1145" t="s">
        <v>125</v>
      </c>
      <c r="AF1145">
        <v>0</v>
      </c>
      <c r="AG1145" t="s">
        <v>125</v>
      </c>
      <c r="AH1145">
        <v>0</v>
      </c>
      <c r="AK1145">
        <v>0</v>
      </c>
    </row>
    <row r="1146" spans="1:37" x14ac:dyDescent="0.25">
      <c r="A1146" t="s">
        <v>79</v>
      </c>
      <c r="B1146">
        <v>5</v>
      </c>
      <c r="C1146">
        <v>1</v>
      </c>
      <c r="D1146">
        <v>5</v>
      </c>
      <c r="E1146">
        <v>1</v>
      </c>
      <c r="G1146">
        <v>515</v>
      </c>
      <c r="H1146" t="s">
        <v>63</v>
      </c>
      <c r="I1146" t="s">
        <v>80</v>
      </c>
      <c r="J1146" t="s">
        <v>141</v>
      </c>
      <c r="L1146">
        <v>0</v>
      </c>
      <c r="M1146" t="s">
        <v>125</v>
      </c>
      <c r="O1146" t="s">
        <v>125</v>
      </c>
      <c r="P1146" t="s">
        <v>125</v>
      </c>
      <c r="Q1146" t="s">
        <v>125</v>
      </c>
      <c r="R1146" t="s">
        <v>125</v>
      </c>
      <c r="S1146" t="s">
        <v>125</v>
      </c>
      <c r="T1146">
        <v>0</v>
      </c>
      <c r="V1146" t="s">
        <v>125</v>
      </c>
      <c r="AE1146" t="s">
        <v>125</v>
      </c>
      <c r="AF1146">
        <v>0</v>
      </c>
      <c r="AG1146" t="s">
        <v>125</v>
      </c>
      <c r="AH1146">
        <v>0</v>
      </c>
      <c r="AK1146">
        <v>0</v>
      </c>
    </row>
    <row r="1147" spans="1:37" x14ac:dyDescent="0.25">
      <c r="A1147" t="s">
        <v>79</v>
      </c>
      <c r="B1147">
        <v>5</v>
      </c>
      <c r="C1147">
        <v>1</v>
      </c>
      <c r="D1147">
        <v>5</v>
      </c>
      <c r="E1147">
        <v>2</v>
      </c>
      <c r="G1147">
        <v>515</v>
      </c>
      <c r="H1147" t="s">
        <v>63</v>
      </c>
      <c r="I1147" t="s">
        <v>88</v>
      </c>
      <c r="J1147" t="s">
        <v>142</v>
      </c>
      <c r="L1147">
        <v>0</v>
      </c>
      <c r="M1147" t="s">
        <v>125</v>
      </c>
      <c r="O1147" t="s">
        <v>125</v>
      </c>
      <c r="P1147" t="s">
        <v>125</v>
      </c>
      <c r="Q1147" t="s">
        <v>125</v>
      </c>
      <c r="R1147" t="s">
        <v>125</v>
      </c>
      <c r="S1147" t="s">
        <v>125</v>
      </c>
      <c r="T1147">
        <v>0</v>
      </c>
      <c r="V1147" t="s">
        <v>125</v>
      </c>
      <c r="AE1147" t="s">
        <v>125</v>
      </c>
      <c r="AF1147">
        <v>0</v>
      </c>
      <c r="AG1147" t="s">
        <v>125</v>
      </c>
      <c r="AH1147">
        <v>0</v>
      </c>
      <c r="AK1147">
        <v>0</v>
      </c>
    </row>
    <row r="1148" spans="1:37" x14ac:dyDescent="0.25">
      <c r="A1148" t="s">
        <v>79</v>
      </c>
      <c r="B1148">
        <v>5</v>
      </c>
      <c r="C1148">
        <v>1</v>
      </c>
      <c r="D1148">
        <v>5</v>
      </c>
      <c r="E1148">
        <v>3</v>
      </c>
      <c r="G1148">
        <v>515</v>
      </c>
      <c r="H1148" t="s">
        <v>63</v>
      </c>
      <c r="I1148" t="s">
        <v>95</v>
      </c>
      <c r="J1148" t="s">
        <v>143</v>
      </c>
      <c r="L1148">
        <v>0</v>
      </c>
      <c r="M1148" t="s">
        <v>125</v>
      </c>
      <c r="O1148" t="s">
        <v>125</v>
      </c>
      <c r="P1148" t="s">
        <v>125</v>
      </c>
      <c r="Q1148" t="s">
        <v>125</v>
      </c>
      <c r="R1148" t="s">
        <v>125</v>
      </c>
      <c r="S1148" t="s">
        <v>125</v>
      </c>
      <c r="T1148">
        <v>0</v>
      </c>
      <c r="V1148" t="s">
        <v>125</v>
      </c>
      <c r="AE1148" t="s">
        <v>125</v>
      </c>
      <c r="AF1148">
        <v>0</v>
      </c>
      <c r="AG1148" t="s">
        <v>125</v>
      </c>
      <c r="AH1148">
        <v>0</v>
      </c>
      <c r="AK1148">
        <v>0</v>
      </c>
    </row>
    <row r="1149" spans="1:37" x14ac:dyDescent="0.25">
      <c r="A1149" t="s">
        <v>79</v>
      </c>
      <c r="B1149">
        <v>5</v>
      </c>
      <c r="C1149">
        <v>1</v>
      </c>
      <c r="D1149">
        <v>5</v>
      </c>
      <c r="E1149">
        <v>4</v>
      </c>
      <c r="G1149">
        <v>515</v>
      </c>
      <c r="H1149" t="s">
        <v>63</v>
      </c>
      <c r="I1149" t="s">
        <v>102</v>
      </c>
      <c r="J1149" t="s">
        <v>144</v>
      </c>
      <c r="L1149">
        <v>0</v>
      </c>
      <c r="M1149" t="s">
        <v>125</v>
      </c>
      <c r="O1149" t="s">
        <v>125</v>
      </c>
      <c r="P1149" t="s">
        <v>125</v>
      </c>
      <c r="Q1149" t="s">
        <v>125</v>
      </c>
      <c r="R1149" t="s">
        <v>125</v>
      </c>
      <c r="S1149" t="s">
        <v>125</v>
      </c>
      <c r="T1149">
        <v>0</v>
      </c>
      <c r="V1149" t="s">
        <v>125</v>
      </c>
      <c r="AE1149" t="s">
        <v>125</v>
      </c>
      <c r="AF1149">
        <v>0</v>
      </c>
      <c r="AG1149" t="s">
        <v>125</v>
      </c>
      <c r="AH1149">
        <v>0</v>
      </c>
      <c r="AK1149">
        <v>0</v>
      </c>
    </row>
    <row r="1150" spans="1:37" x14ac:dyDescent="0.25">
      <c r="A1150" t="s">
        <v>79</v>
      </c>
      <c r="B1150">
        <v>5</v>
      </c>
      <c r="C1150">
        <v>1</v>
      </c>
      <c r="D1150">
        <v>5</v>
      </c>
      <c r="E1150">
        <v>5</v>
      </c>
      <c r="G1150">
        <v>515</v>
      </c>
      <c r="H1150" t="s">
        <v>63</v>
      </c>
      <c r="I1150" t="s">
        <v>109</v>
      </c>
      <c r="J1150" t="s">
        <v>145</v>
      </c>
      <c r="L1150">
        <v>0</v>
      </c>
      <c r="M1150" t="s">
        <v>125</v>
      </c>
      <c r="O1150" t="s">
        <v>125</v>
      </c>
      <c r="P1150" t="s">
        <v>125</v>
      </c>
      <c r="Q1150" t="s">
        <v>125</v>
      </c>
      <c r="R1150" t="s">
        <v>125</v>
      </c>
      <c r="S1150" t="s">
        <v>125</v>
      </c>
      <c r="T1150">
        <v>0</v>
      </c>
      <c r="V1150" t="s">
        <v>125</v>
      </c>
      <c r="AE1150" t="s">
        <v>125</v>
      </c>
      <c r="AF1150">
        <v>0</v>
      </c>
      <c r="AG1150" t="s">
        <v>125</v>
      </c>
      <c r="AH1150">
        <v>0</v>
      </c>
      <c r="AK1150">
        <v>0</v>
      </c>
    </row>
    <row r="1151" spans="1:37" x14ac:dyDescent="0.25">
      <c r="A1151" t="s">
        <v>79</v>
      </c>
      <c r="B1151">
        <v>5</v>
      </c>
      <c r="C1151">
        <v>1</v>
      </c>
      <c r="D1151">
        <v>5</v>
      </c>
      <c r="E1151">
        <v>6</v>
      </c>
      <c r="G1151">
        <v>515</v>
      </c>
      <c r="H1151" t="s">
        <v>63</v>
      </c>
      <c r="I1151" t="s">
        <v>116</v>
      </c>
      <c r="J1151" t="s">
        <v>146</v>
      </c>
      <c r="L1151">
        <v>0</v>
      </c>
      <c r="M1151" t="s">
        <v>125</v>
      </c>
      <c r="O1151" t="s">
        <v>125</v>
      </c>
      <c r="P1151" t="s">
        <v>125</v>
      </c>
      <c r="Q1151" t="s">
        <v>125</v>
      </c>
      <c r="R1151" t="s">
        <v>125</v>
      </c>
      <c r="S1151" t="s">
        <v>125</v>
      </c>
      <c r="T1151">
        <v>0</v>
      </c>
      <c r="V1151" t="s">
        <v>125</v>
      </c>
      <c r="AE1151" t="s">
        <v>125</v>
      </c>
      <c r="AF1151">
        <v>0</v>
      </c>
      <c r="AG1151" t="s">
        <v>125</v>
      </c>
      <c r="AH1151">
        <v>0</v>
      </c>
      <c r="AK1151">
        <v>0</v>
      </c>
    </row>
    <row r="1152" spans="1:37" x14ac:dyDescent="0.25">
      <c r="A1152" t="s">
        <v>79</v>
      </c>
      <c r="B1152">
        <v>5</v>
      </c>
      <c r="C1152">
        <v>1</v>
      </c>
      <c r="D1152">
        <v>5</v>
      </c>
      <c r="E1152">
        <v>7</v>
      </c>
      <c r="G1152">
        <v>515</v>
      </c>
      <c r="H1152" t="s">
        <v>63</v>
      </c>
      <c r="I1152" t="s">
        <v>123</v>
      </c>
      <c r="J1152" t="s">
        <v>147</v>
      </c>
      <c r="L1152">
        <v>0</v>
      </c>
      <c r="M1152" t="s">
        <v>125</v>
      </c>
      <c r="O1152" t="s">
        <v>125</v>
      </c>
      <c r="P1152" t="s">
        <v>125</v>
      </c>
      <c r="Q1152" t="s">
        <v>125</v>
      </c>
      <c r="R1152" t="s">
        <v>125</v>
      </c>
      <c r="S1152" t="s">
        <v>125</v>
      </c>
      <c r="T1152">
        <v>0</v>
      </c>
      <c r="V1152" t="s">
        <v>125</v>
      </c>
      <c r="AE1152" t="s">
        <v>125</v>
      </c>
      <c r="AF1152">
        <v>0</v>
      </c>
      <c r="AG1152" t="s">
        <v>125</v>
      </c>
      <c r="AH1152">
        <v>0</v>
      </c>
      <c r="AK1152">
        <v>0</v>
      </c>
    </row>
    <row r="1153" spans="1:37" x14ac:dyDescent="0.25">
      <c r="A1153" t="s">
        <v>79</v>
      </c>
      <c r="B1153">
        <v>5</v>
      </c>
      <c r="C1153">
        <v>1</v>
      </c>
      <c r="D1153">
        <v>5</v>
      </c>
      <c r="E1153">
        <v>8</v>
      </c>
      <c r="G1153">
        <v>515</v>
      </c>
      <c r="H1153" t="s">
        <v>63</v>
      </c>
      <c r="I1153" t="s">
        <v>126</v>
      </c>
      <c r="J1153" t="s">
        <v>148</v>
      </c>
      <c r="L1153">
        <v>0</v>
      </c>
      <c r="M1153" t="s">
        <v>125</v>
      </c>
      <c r="O1153" t="s">
        <v>125</v>
      </c>
      <c r="P1153" t="s">
        <v>125</v>
      </c>
      <c r="Q1153" t="s">
        <v>125</v>
      </c>
      <c r="R1153" t="s">
        <v>125</v>
      </c>
      <c r="S1153" t="s">
        <v>125</v>
      </c>
      <c r="T1153">
        <v>0</v>
      </c>
      <c r="V1153" t="s">
        <v>125</v>
      </c>
      <c r="AE1153" t="s">
        <v>125</v>
      </c>
      <c r="AF1153">
        <v>0</v>
      </c>
      <c r="AG1153" t="s">
        <v>125</v>
      </c>
      <c r="AH1153">
        <v>0</v>
      </c>
      <c r="AK1153">
        <v>0</v>
      </c>
    </row>
    <row r="1154" spans="1:37" x14ac:dyDescent="0.25">
      <c r="A1154" t="s">
        <v>79</v>
      </c>
      <c r="B1154">
        <v>5</v>
      </c>
      <c r="C1154">
        <v>1</v>
      </c>
      <c r="D1154">
        <v>5</v>
      </c>
      <c r="E1154">
        <v>9</v>
      </c>
      <c r="G1154">
        <v>515</v>
      </c>
      <c r="H1154" t="s">
        <v>63</v>
      </c>
      <c r="I1154" t="s">
        <v>74</v>
      </c>
      <c r="J1154" t="s">
        <v>149</v>
      </c>
      <c r="L1154">
        <v>0</v>
      </c>
      <c r="M1154" t="s">
        <v>125</v>
      </c>
      <c r="O1154" t="s">
        <v>125</v>
      </c>
      <c r="P1154" t="s">
        <v>125</v>
      </c>
      <c r="Q1154" t="s">
        <v>125</v>
      </c>
      <c r="R1154" t="s">
        <v>125</v>
      </c>
      <c r="S1154" t="s">
        <v>125</v>
      </c>
      <c r="T1154">
        <v>0</v>
      </c>
      <c r="V1154" t="s">
        <v>125</v>
      </c>
      <c r="AE1154" t="s">
        <v>125</v>
      </c>
      <c r="AF1154">
        <v>0</v>
      </c>
      <c r="AG1154" t="s">
        <v>125</v>
      </c>
      <c r="AH1154">
        <v>0</v>
      </c>
      <c r="AK1154">
        <v>0</v>
      </c>
    </row>
    <row r="1155" spans="1:37" x14ac:dyDescent="0.25">
      <c r="A1155" t="s">
        <v>79</v>
      </c>
      <c r="B1155">
        <v>5</v>
      </c>
      <c r="C1155">
        <v>1</v>
      </c>
      <c r="D1155">
        <v>5</v>
      </c>
      <c r="E1155">
        <v>10</v>
      </c>
      <c r="G1155">
        <v>515</v>
      </c>
      <c r="H1155" t="s">
        <v>63</v>
      </c>
      <c r="I1155" t="s">
        <v>129</v>
      </c>
      <c r="J1155" t="s">
        <v>150</v>
      </c>
      <c r="L1155">
        <v>0</v>
      </c>
      <c r="M1155" t="s">
        <v>125</v>
      </c>
      <c r="O1155" t="s">
        <v>125</v>
      </c>
      <c r="P1155" t="s">
        <v>125</v>
      </c>
      <c r="Q1155" t="s">
        <v>125</v>
      </c>
      <c r="R1155" t="s">
        <v>125</v>
      </c>
      <c r="S1155" t="s">
        <v>125</v>
      </c>
      <c r="T1155">
        <v>0</v>
      </c>
      <c r="V1155" t="s">
        <v>125</v>
      </c>
      <c r="AE1155" t="s">
        <v>125</v>
      </c>
      <c r="AF1155">
        <v>0</v>
      </c>
      <c r="AG1155" t="s">
        <v>125</v>
      </c>
      <c r="AH1155">
        <v>0</v>
      </c>
      <c r="AK1155">
        <v>0</v>
      </c>
    </row>
    <row r="1156" spans="1:37" x14ac:dyDescent="0.25">
      <c r="A1156" t="s">
        <v>79</v>
      </c>
      <c r="B1156">
        <v>5</v>
      </c>
      <c r="C1156">
        <v>1</v>
      </c>
      <c r="D1156">
        <v>5</v>
      </c>
      <c r="E1156">
        <v>11</v>
      </c>
      <c r="G1156">
        <v>515</v>
      </c>
      <c r="H1156" t="s">
        <v>63</v>
      </c>
      <c r="I1156" t="s">
        <v>131</v>
      </c>
      <c r="J1156" t="s">
        <v>151</v>
      </c>
      <c r="L1156">
        <v>0</v>
      </c>
      <c r="M1156" t="s">
        <v>125</v>
      </c>
      <c r="O1156" t="s">
        <v>125</v>
      </c>
      <c r="P1156" t="s">
        <v>125</v>
      </c>
      <c r="Q1156" t="s">
        <v>125</v>
      </c>
      <c r="R1156" t="s">
        <v>125</v>
      </c>
      <c r="S1156" t="s">
        <v>125</v>
      </c>
      <c r="T1156">
        <v>0</v>
      </c>
      <c r="V1156" t="s">
        <v>125</v>
      </c>
      <c r="AE1156" t="s">
        <v>125</v>
      </c>
      <c r="AF1156">
        <v>0</v>
      </c>
      <c r="AG1156" t="s">
        <v>125</v>
      </c>
      <c r="AH1156">
        <v>0</v>
      </c>
      <c r="AK1156">
        <v>0</v>
      </c>
    </row>
    <row r="1157" spans="1:37" x14ac:dyDescent="0.25">
      <c r="A1157" t="s">
        <v>79</v>
      </c>
      <c r="B1157">
        <v>5</v>
      </c>
      <c r="C1157">
        <v>1</v>
      </c>
      <c r="D1157">
        <v>5</v>
      </c>
      <c r="E1157">
        <v>12</v>
      </c>
      <c r="G1157">
        <v>515</v>
      </c>
      <c r="H1157" t="s">
        <v>63</v>
      </c>
      <c r="I1157" t="s">
        <v>133</v>
      </c>
      <c r="J1157" t="s">
        <v>152</v>
      </c>
      <c r="L1157">
        <v>0</v>
      </c>
      <c r="M1157" t="s">
        <v>125</v>
      </c>
      <c r="O1157" t="s">
        <v>125</v>
      </c>
      <c r="P1157" t="s">
        <v>125</v>
      </c>
      <c r="Q1157" t="s">
        <v>125</v>
      </c>
      <c r="R1157" t="s">
        <v>125</v>
      </c>
      <c r="S1157" t="s">
        <v>125</v>
      </c>
      <c r="T1157">
        <v>0</v>
      </c>
      <c r="V1157" t="s">
        <v>125</v>
      </c>
      <c r="AE1157" t="s">
        <v>125</v>
      </c>
      <c r="AF1157">
        <v>0</v>
      </c>
      <c r="AG1157" t="s">
        <v>125</v>
      </c>
      <c r="AH1157">
        <v>0</v>
      </c>
      <c r="AK1157">
        <v>0</v>
      </c>
    </row>
    <row r="1158" spans="1:37" x14ac:dyDescent="0.25">
      <c r="A1158" t="s">
        <v>79</v>
      </c>
      <c r="B1158">
        <v>5</v>
      </c>
      <c r="C1158">
        <v>1</v>
      </c>
      <c r="D1158">
        <v>5</v>
      </c>
      <c r="E1158">
        <v>13</v>
      </c>
      <c r="G1158">
        <v>515</v>
      </c>
      <c r="H1158" t="s">
        <v>63</v>
      </c>
      <c r="I1158" t="s">
        <v>135</v>
      </c>
      <c r="J1158" t="s">
        <v>153</v>
      </c>
      <c r="L1158">
        <v>0</v>
      </c>
      <c r="M1158" t="s">
        <v>125</v>
      </c>
      <c r="O1158" t="s">
        <v>125</v>
      </c>
      <c r="P1158" t="s">
        <v>125</v>
      </c>
      <c r="Q1158" t="s">
        <v>125</v>
      </c>
      <c r="R1158" t="s">
        <v>125</v>
      </c>
      <c r="S1158" t="s">
        <v>125</v>
      </c>
      <c r="T1158">
        <v>0</v>
      </c>
      <c r="V1158" t="s">
        <v>125</v>
      </c>
      <c r="AE1158" t="s">
        <v>125</v>
      </c>
      <c r="AF1158">
        <v>0</v>
      </c>
      <c r="AG1158" t="s">
        <v>125</v>
      </c>
      <c r="AH1158">
        <v>0</v>
      </c>
      <c r="AK1158">
        <v>0</v>
      </c>
    </row>
    <row r="1159" spans="1:37" x14ac:dyDescent="0.25">
      <c r="A1159" t="s">
        <v>79</v>
      </c>
      <c r="B1159">
        <v>5</v>
      </c>
      <c r="C1159">
        <v>1</v>
      </c>
      <c r="D1159">
        <v>5</v>
      </c>
      <c r="E1159">
        <v>14</v>
      </c>
      <c r="G1159">
        <v>515</v>
      </c>
      <c r="H1159" t="s">
        <v>63</v>
      </c>
      <c r="I1159" t="s">
        <v>137</v>
      </c>
      <c r="J1159" t="s">
        <v>154</v>
      </c>
      <c r="L1159">
        <v>0</v>
      </c>
      <c r="M1159" t="s">
        <v>125</v>
      </c>
      <c r="O1159" t="s">
        <v>125</v>
      </c>
      <c r="P1159" t="s">
        <v>125</v>
      </c>
      <c r="Q1159" t="s">
        <v>125</v>
      </c>
      <c r="R1159" t="s">
        <v>125</v>
      </c>
      <c r="S1159" t="s">
        <v>125</v>
      </c>
      <c r="T1159">
        <v>0</v>
      </c>
      <c r="V1159" t="s">
        <v>125</v>
      </c>
      <c r="AE1159" t="s">
        <v>125</v>
      </c>
      <c r="AF1159">
        <v>0</v>
      </c>
      <c r="AG1159" t="s">
        <v>125</v>
      </c>
      <c r="AH1159">
        <v>0</v>
      </c>
      <c r="AK1159">
        <v>0</v>
      </c>
    </row>
    <row r="1160" spans="1:37" x14ac:dyDescent="0.25">
      <c r="A1160" t="s">
        <v>79</v>
      </c>
      <c r="B1160">
        <v>5</v>
      </c>
      <c r="C1160">
        <v>1</v>
      </c>
      <c r="D1160">
        <v>5</v>
      </c>
      <c r="E1160">
        <v>15</v>
      </c>
      <c r="G1160">
        <v>515</v>
      </c>
      <c r="H1160" t="s">
        <v>63</v>
      </c>
      <c r="I1160" t="s">
        <v>139</v>
      </c>
      <c r="J1160" t="s">
        <v>155</v>
      </c>
      <c r="L1160">
        <v>0</v>
      </c>
      <c r="M1160" t="s">
        <v>125</v>
      </c>
      <c r="O1160" t="s">
        <v>125</v>
      </c>
      <c r="P1160" t="s">
        <v>125</v>
      </c>
      <c r="Q1160" t="s">
        <v>125</v>
      </c>
      <c r="R1160" t="s">
        <v>125</v>
      </c>
      <c r="S1160" t="s">
        <v>125</v>
      </c>
      <c r="T1160">
        <v>0</v>
      </c>
      <c r="V1160" t="s">
        <v>125</v>
      </c>
      <c r="AE1160" t="s">
        <v>125</v>
      </c>
      <c r="AF1160">
        <v>0</v>
      </c>
      <c r="AG1160" t="s">
        <v>125</v>
      </c>
      <c r="AH1160">
        <v>0</v>
      </c>
      <c r="AK1160">
        <v>0</v>
      </c>
    </row>
    <row r="1161" spans="1:37" x14ac:dyDescent="0.25">
      <c r="L1161">
        <v>0</v>
      </c>
    </row>
    <row r="1162" spans="1:37" x14ac:dyDescent="0.25">
      <c r="L1162">
        <v>0</v>
      </c>
    </row>
    <row r="1163" spans="1:37" x14ac:dyDescent="0.25">
      <c r="A1163" t="s">
        <v>66</v>
      </c>
      <c r="B1163">
        <v>5</v>
      </c>
      <c r="C1163">
        <v>2</v>
      </c>
      <c r="G1163">
        <v>5</v>
      </c>
      <c r="H1163" t="s">
        <v>1356</v>
      </c>
      <c r="I1163" t="s">
        <v>1529</v>
      </c>
      <c r="M1163" t="s">
        <v>1530</v>
      </c>
      <c r="N1163" t="s">
        <v>1529</v>
      </c>
      <c r="P1163" t="s">
        <v>1531</v>
      </c>
      <c r="V1163" t="s">
        <v>1532</v>
      </c>
      <c r="Y1163" t="s">
        <v>1533</v>
      </c>
      <c r="AA1163" t="s">
        <v>1534</v>
      </c>
      <c r="AC1163" t="s">
        <v>1535</v>
      </c>
      <c r="AE1163" t="s">
        <v>1536</v>
      </c>
      <c r="AF1163">
        <v>0</v>
      </c>
      <c r="AG1163" t="s">
        <v>1537</v>
      </c>
      <c r="AH1163">
        <v>0</v>
      </c>
      <c r="AK1163">
        <v>0</v>
      </c>
    </row>
    <row r="1164" spans="1:37" x14ac:dyDescent="0.25">
      <c r="L1164">
        <v>0</v>
      </c>
    </row>
    <row r="1165" spans="1:37" x14ac:dyDescent="0.25">
      <c r="A1165" t="s">
        <v>70</v>
      </c>
      <c r="B1165">
        <v>5</v>
      </c>
      <c r="C1165">
        <v>2</v>
      </c>
      <c r="D1165">
        <v>1</v>
      </c>
      <c r="G1165">
        <v>52</v>
      </c>
      <c r="M1165" t="s">
        <v>1538</v>
      </c>
      <c r="O1165" t="s">
        <v>1539</v>
      </c>
      <c r="P1165" t="s">
        <v>1540</v>
      </c>
      <c r="Q1165" t="s">
        <v>1541</v>
      </c>
      <c r="R1165" t="s">
        <v>268</v>
      </c>
      <c r="S1165" t="s">
        <v>1542</v>
      </c>
      <c r="V1165" t="s">
        <v>1543</v>
      </c>
      <c r="X1165" t="s">
        <v>1544</v>
      </c>
      <c r="Y1165" t="s">
        <v>1545</v>
      </c>
      <c r="Z1165" t="s">
        <v>1546</v>
      </c>
      <c r="AA1165" t="s">
        <v>1547</v>
      </c>
      <c r="AB1165" t="s">
        <v>63</v>
      </c>
      <c r="AC1165" t="s">
        <v>63</v>
      </c>
      <c r="AE1165" t="s">
        <v>1548</v>
      </c>
      <c r="AF1165">
        <v>0</v>
      </c>
      <c r="AG1165" t="s">
        <v>1549</v>
      </c>
      <c r="AH1165">
        <v>0</v>
      </c>
      <c r="AK1165">
        <v>0</v>
      </c>
    </row>
    <row r="1166" spans="1:37" x14ac:dyDescent="0.25">
      <c r="A1166" t="s">
        <v>79</v>
      </c>
      <c r="B1166">
        <v>5</v>
      </c>
      <c r="C1166">
        <v>2</v>
      </c>
      <c r="D1166">
        <v>1</v>
      </c>
      <c r="E1166">
        <v>1</v>
      </c>
      <c r="G1166">
        <v>521</v>
      </c>
      <c r="H1166" t="s">
        <v>1539</v>
      </c>
      <c r="I1166" t="s">
        <v>80</v>
      </c>
      <c r="J1166" t="s">
        <v>1550</v>
      </c>
      <c r="L1166">
        <v>0</v>
      </c>
      <c r="M1166" t="s">
        <v>1551</v>
      </c>
      <c r="O1166" t="s">
        <v>1319</v>
      </c>
      <c r="P1166" t="s">
        <v>1320</v>
      </c>
      <c r="Q1166" t="s">
        <v>1552</v>
      </c>
      <c r="R1166" t="s">
        <v>229</v>
      </c>
      <c r="S1166" t="s">
        <v>1322</v>
      </c>
      <c r="T1166">
        <v>10</v>
      </c>
      <c r="U1166">
        <v>12</v>
      </c>
      <c r="V1166" t="s">
        <v>1553</v>
      </c>
      <c r="AE1166" t="s">
        <v>1554</v>
      </c>
      <c r="AF1166">
        <v>0</v>
      </c>
      <c r="AG1166" t="s">
        <v>1555</v>
      </c>
      <c r="AH1166">
        <v>0</v>
      </c>
      <c r="AK1166">
        <v>0</v>
      </c>
    </row>
    <row r="1167" spans="1:37" x14ac:dyDescent="0.25">
      <c r="A1167" t="s">
        <v>79</v>
      </c>
      <c r="B1167">
        <v>5</v>
      </c>
      <c r="C1167">
        <v>2</v>
      </c>
      <c r="D1167">
        <v>1</v>
      </c>
      <c r="E1167">
        <v>2</v>
      </c>
      <c r="G1167">
        <v>521</v>
      </c>
      <c r="H1167" t="s">
        <v>1539</v>
      </c>
      <c r="I1167" t="s">
        <v>88</v>
      </c>
      <c r="J1167" t="s">
        <v>1556</v>
      </c>
      <c r="L1167">
        <v>0</v>
      </c>
      <c r="M1167" t="s">
        <v>1557</v>
      </c>
      <c r="O1167" t="s">
        <v>294</v>
      </c>
      <c r="P1167" t="s">
        <v>295</v>
      </c>
      <c r="Q1167" t="s">
        <v>1558</v>
      </c>
      <c r="R1167" t="s">
        <v>229</v>
      </c>
      <c r="S1167" t="s">
        <v>297</v>
      </c>
      <c r="T1167">
        <v>10</v>
      </c>
      <c r="U1167">
        <v>30</v>
      </c>
      <c r="V1167" t="s">
        <v>1559</v>
      </c>
      <c r="AE1167" t="s">
        <v>1560</v>
      </c>
      <c r="AF1167">
        <v>0</v>
      </c>
      <c r="AG1167" t="s">
        <v>1561</v>
      </c>
      <c r="AH1167">
        <v>0</v>
      </c>
      <c r="AK1167">
        <v>0</v>
      </c>
    </row>
    <row r="1168" spans="1:37" x14ac:dyDescent="0.25">
      <c r="A1168" t="s">
        <v>79</v>
      </c>
      <c r="B1168">
        <v>5</v>
      </c>
      <c r="C1168">
        <v>2</v>
      </c>
      <c r="D1168">
        <v>1</v>
      </c>
      <c r="E1168">
        <v>3</v>
      </c>
      <c r="G1168">
        <v>521</v>
      </c>
      <c r="H1168" t="s">
        <v>1539</v>
      </c>
      <c r="I1168" t="s">
        <v>95</v>
      </c>
      <c r="J1168" t="s">
        <v>1562</v>
      </c>
      <c r="L1168">
        <v>0</v>
      </c>
      <c r="M1168" t="s">
        <v>125</v>
      </c>
      <c r="O1168" t="s">
        <v>125</v>
      </c>
      <c r="P1168" t="s">
        <v>125</v>
      </c>
      <c r="Q1168" t="s">
        <v>125</v>
      </c>
      <c r="R1168" t="s">
        <v>125</v>
      </c>
      <c r="S1168" t="s">
        <v>125</v>
      </c>
      <c r="T1168">
        <v>10</v>
      </c>
      <c r="V1168" t="s">
        <v>125</v>
      </c>
      <c r="AE1168" t="s">
        <v>125</v>
      </c>
      <c r="AF1168">
        <v>0</v>
      </c>
      <c r="AG1168" t="s">
        <v>125</v>
      </c>
      <c r="AH1168">
        <v>0</v>
      </c>
      <c r="AK1168">
        <v>0</v>
      </c>
    </row>
    <row r="1169" spans="1:37" x14ac:dyDescent="0.25">
      <c r="A1169" t="s">
        <v>79</v>
      </c>
      <c r="B1169">
        <v>5</v>
      </c>
      <c r="C1169">
        <v>2</v>
      </c>
      <c r="D1169">
        <v>1</v>
      </c>
      <c r="E1169">
        <v>4</v>
      </c>
      <c r="G1169">
        <v>521</v>
      </c>
      <c r="H1169" t="s">
        <v>1539</v>
      </c>
      <c r="I1169" t="s">
        <v>102</v>
      </c>
      <c r="J1169" t="s">
        <v>1563</v>
      </c>
      <c r="L1169">
        <v>0</v>
      </c>
      <c r="M1169" t="s">
        <v>125</v>
      </c>
      <c r="O1169" t="s">
        <v>125</v>
      </c>
      <c r="P1169" t="s">
        <v>125</v>
      </c>
      <c r="Q1169" t="s">
        <v>125</v>
      </c>
      <c r="R1169" t="s">
        <v>125</v>
      </c>
      <c r="S1169" t="s">
        <v>125</v>
      </c>
      <c r="T1169">
        <v>10</v>
      </c>
      <c r="V1169" t="s">
        <v>125</v>
      </c>
      <c r="AE1169" t="s">
        <v>125</v>
      </c>
      <c r="AF1169">
        <v>0</v>
      </c>
      <c r="AG1169" t="s">
        <v>125</v>
      </c>
      <c r="AH1169">
        <v>0</v>
      </c>
      <c r="AK1169">
        <v>0</v>
      </c>
    </row>
    <row r="1170" spans="1:37" x14ac:dyDescent="0.25">
      <c r="A1170" t="s">
        <v>79</v>
      </c>
      <c r="B1170">
        <v>5</v>
      </c>
      <c r="C1170">
        <v>2</v>
      </c>
      <c r="D1170">
        <v>1</v>
      </c>
      <c r="E1170">
        <v>5</v>
      </c>
      <c r="G1170">
        <v>521</v>
      </c>
      <c r="H1170" t="s">
        <v>1539</v>
      </c>
      <c r="I1170" t="s">
        <v>109</v>
      </c>
      <c r="J1170" t="s">
        <v>1564</v>
      </c>
      <c r="L1170">
        <v>0</v>
      </c>
      <c r="M1170" t="s">
        <v>125</v>
      </c>
      <c r="O1170" t="s">
        <v>125</v>
      </c>
      <c r="P1170" t="s">
        <v>125</v>
      </c>
      <c r="Q1170" t="s">
        <v>125</v>
      </c>
      <c r="R1170" t="s">
        <v>125</v>
      </c>
      <c r="S1170" t="s">
        <v>125</v>
      </c>
      <c r="T1170">
        <v>10</v>
      </c>
      <c r="V1170" t="s">
        <v>125</v>
      </c>
      <c r="AE1170" t="s">
        <v>125</v>
      </c>
      <c r="AF1170">
        <v>0</v>
      </c>
      <c r="AG1170" t="s">
        <v>125</v>
      </c>
      <c r="AH1170">
        <v>0</v>
      </c>
      <c r="AK1170">
        <v>0</v>
      </c>
    </row>
    <row r="1171" spans="1:37" x14ac:dyDescent="0.25">
      <c r="A1171" t="s">
        <v>79</v>
      </c>
      <c r="B1171">
        <v>5</v>
      </c>
      <c r="C1171">
        <v>2</v>
      </c>
      <c r="D1171">
        <v>1</v>
      </c>
      <c r="E1171">
        <v>6</v>
      </c>
      <c r="G1171">
        <v>521</v>
      </c>
      <c r="H1171" t="s">
        <v>1539</v>
      </c>
      <c r="I1171" t="s">
        <v>116</v>
      </c>
      <c r="J1171" t="s">
        <v>1565</v>
      </c>
      <c r="L1171">
        <v>0</v>
      </c>
      <c r="M1171" t="s">
        <v>125</v>
      </c>
      <c r="O1171" t="s">
        <v>125</v>
      </c>
      <c r="P1171" t="s">
        <v>125</v>
      </c>
      <c r="Q1171" t="s">
        <v>125</v>
      </c>
      <c r="R1171" t="s">
        <v>125</v>
      </c>
      <c r="S1171" t="s">
        <v>125</v>
      </c>
      <c r="T1171">
        <v>10</v>
      </c>
      <c r="V1171" t="s">
        <v>125</v>
      </c>
      <c r="AE1171" t="s">
        <v>125</v>
      </c>
      <c r="AF1171">
        <v>0</v>
      </c>
      <c r="AG1171" t="s">
        <v>125</v>
      </c>
      <c r="AH1171">
        <v>0</v>
      </c>
      <c r="AK1171">
        <v>0</v>
      </c>
    </row>
    <row r="1172" spans="1:37" x14ac:dyDescent="0.25">
      <c r="A1172" t="s">
        <v>79</v>
      </c>
      <c r="B1172">
        <v>5</v>
      </c>
      <c r="C1172">
        <v>2</v>
      </c>
      <c r="D1172">
        <v>1</v>
      </c>
      <c r="E1172">
        <v>7</v>
      </c>
      <c r="G1172">
        <v>521</v>
      </c>
      <c r="H1172" t="s">
        <v>1539</v>
      </c>
      <c r="I1172" t="s">
        <v>123</v>
      </c>
      <c r="J1172" t="s">
        <v>1566</v>
      </c>
      <c r="L1172">
        <v>0</v>
      </c>
      <c r="M1172" t="s">
        <v>125</v>
      </c>
      <c r="O1172" t="s">
        <v>125</v>
      </c>
      <c r="P1172" t="s">
        <v>125</v>
      </c>
      <c r="Q1172" t="s">
        <v>125</v>
      </c>
      <c r="R1172" t="s">
        <v>125</v>
      </c>
      <c r="S1172" t="s">
        <v>125</v>
      </c>
      <c r="T1172">
        <v>10</v>
      </c>
      <c r="V1172" t="s">
        <v>125</v>
      </c>
      <c r="AE1172" t="s">
        <v>125</v>
      </c>
      <c r="AF1172">
        <v>0</v>
      </c>
      <c r="AG1172" t="s">
        <v>125</v>
      </c>
      <c r="AH1172">
        <v>0</v>
      </c>
      <c r="AK1172">
        <v>0</v>
      </c>
    </row>
    <row r="1173" spans="1:37" x14ac:dyDescent="0.25">
      <c r="A1173" t="s">
        <v>79</v>
      </c>
      <c r="B1173">
        <v>5</v>
      </c>
      <c r="C1173">
        <v>2</v>
      </c>
      <c r="D1173">
        <v>1</v>
      </c>
      <c r="E1173">
        <v>8</v>
      </c>
      <c r="G1173">
        <v>521</v>
      </c>
      <c r="H1173" t="s">
        <v>1539</v>
      </c>
      <c r="I1173" t="s">
        <v>126</v>
      </c>
      <c r="J1173" t="s">
        <v>1567</v>
      </c>
      <c r="L1173">
        <v>0</v>
      </c>
      <c r="M1173" t="s">
        <v>125</v>
      </c>
      <c r="O1173" t="s">
        <v>125</v>
      </c>
      <c r="P1173" t="s">
        <v>125</v>
      </c>
      <c r="Q1173" t="s">
        <v>125</v>
      </c>
      <c r="R1173" t="s">
        <v>125</v>
      </c>
      <c r="S1173" t="s">
        <v>125</v>
      </c>
      <c r="T1173">
        <v>10</v>
      </c>
      <c r="V1173" t="s">
        <v>125</v>
      </c>
      <c r="AE1173" t="s">
        <v>125</v>
      </c>
      <c r="AF1173">
        <v>0</v>
      </c>
      <c r="AG1173" t="s">
        <v>125</v>
      </c>
      <c r="AH1173">
        <v>0</v>
      </c>
      <c r="AK1173">
        <v>0</v>
      </c>
    </row>
    <row r="1174" spans="1:37" x14ac:dyDescent="0.25">
      <c r="A1174" t="s">
        <v>79</v>
      </c>
      <c r="B1174">
        <v>5</v>
      </c>
      <c r="C1174">
        <v>2</v>
      </c>
      <c r="D1174">
        <v>1</v>
      </c>
      <c r="E1174">
        <v>9</v>
      </c>
      <c r="G1174">
        <v>521</v>
      </c>
      <c r="H1174" t="s">
        <v>1539</v>
      </c>
      <c r="I1174" t="s">
        <v>74</v>
      </c>
      <c r="J1174" t="s">
        <v>1568</v>
      </c>
      <c r="L1174">
        <v>0</v>
      </c>
      <c r="M1174" t="s">
        <v>125</v>
      </c>
      <c r="O1174" t="s">
        <v>125</v>
      </c>
      <c r="P1174" t="s">
        <v>125</v>
      </c>
      <c r="Q1174" t="s">
        <v>125</v>
      </c>
      <c r="R1174" t="s">
        <v>125</v>
      </c>
      <c r="S1174" t="s">
        <v>125</v>
      </c>
      <c r="T1174">
        <v>10</v>
      </c>
      <c r="V1174" t="s">
        <v>125</v>
      </c>
      <c r="AE1174" t="s">
        <v>125</v>
      </c>
      <c r="AF1174">
        <v>0</v>
      </c>
      <c r="AG1174" t="s">
        <v>125</v>
      </c>
      <c r="AH1174">
        <v>0</v>
      </c>
      <c r="AK1174">
        <v>0</v>
      </c>
    </row>
    <row r="1175" spans="1:37" x14ac:dyDescent="0.25">
      <c r="A1175" t="s">
        <v>79</v>
      </c>
      <c r="B1175">
        <v>5</v>
      </c>
      <c r="C1175">
        <v>2</v>
      </c>
      <c r="D1175">
        <v>1</v>
      </c>
      <c r="E1175">
        <v>10</v>
      </c>
      <c r="G1175">
        <v>521</v>
      </c>
      <c r="H1175" t="s">
        <v>1539</v>
      </c>
      <c r="I1175" t="s">
        <v>129</v>
      </c>
      <c r="J1175" t="s">
        <v>1569</v>
      </c>
      <c r="L1175">
        <v>0</v>
      </c>
      <c r="M1175" t="s">
        <v>125</v>
      </c>
      <c r="O1175" t="s">
        <v>125</v>
      </c>
      <c r="P1175" t="s">
        <v>125</v>
      </c>
      <c r="Q1175" t="s">
        <v>125</v>
      </c>
      <c r="R1175" t="s">
        <v>125</v>
      </c>
      <c r="S1175" t="s">
        <v>125</v>
      </c>
      <c r="T1175">
        <v>10</v>
      </c>
      <c r="V1175" t="s">
        <v>125</v>
      </c>
      <c r="AE1175" t="s">
        <v>125</v>
      </c>
      <c r="AF1175">
        <v>0</v>
      </c>
      <c r="AG1175" t="s">
        <v>125</v>
      </c>
      <c r="AH1175">
        <v>0</v>
      </c>
      <c r="AK1175">
        <v>0</v>
      </c>
    </row>
    <row r="1176" spans="1:37" x14ac:dyDescent="0.25">
      <c r="A1176" t="s">
        <v>79</v>
      </c>
      <c r="B1176">
        <v>5</v>
      </c>
      <c r="C1176">
        <v>2</v>
      </c>
      <c r="D1176">
        <v>1</v>
      </c>
      <c r="E1176">
        <v>11</v>
      </c>
      <c r="G1176">
        <v>521</v>
      </c>
      <c r="H1176" t="s">
        <v>1539</v>
      </c>
      <c r="I1176" t="s">
        <v>131</v>
      </c>
      <c r="J1176" t="s">
        <v>1570</v>
      </c>
      <c r="L1176">
        <v>0</v>
      </c>
      <c r="M1176" t="s">
        <v>125</v>
      </c>
      <c r="O1176" t="s">
        <v>125</v>
      </c>
      <c r="P1176" t="s">
        <v>125</v>
      </c>
      <c r="Q1176" t="s">
        <v>125</v>
      </c>
      <c r="R1176" t="s">
        <v>125</v>
      </c>
      <c r="S1176" t="s">
        <v>125</v>
      </c>
      <c r="T1176">
        <v>10</v>
      </c>
      <c r="V1176" t="s">
        <v>125</v>
      </c>
      <c r="AE1176" t="s">
        <v>125</v>
      </c>
      <c r="AF1176">
        <v>0</v>
      </c>
      <c r="AG1176" t="s">
        <v>125</v>
      </c>
      <c r="AH1176">
        <v>0</v>
      </c>
      <c r="AK1176">
        <v>0</v>
      </c>
    </row>
    <row r="1177" spans="1:37" x14ac:dyDescent="0.25">
      <c r="A1177" t="s">
        <v>79</v>
      </c>
      <c r="B1177">
        <v>5</v>
      </c>
      <c r="C1177">
        <v>2</v>
      </c>
      <c r="D1177">
        <v>1</v>
      </c>
      <c r="E1177">
        <v>12</v>
      </c>
      <c r="G1177">
        <v>521</v>
      </c>
      <c r="H1177" t="s">
        <v>1539</v>
      </c>
      <c r="I1177" t="s">
        <v>133</v>
      </c>
      <c r="J1177" t="s">
        <v>1571</v>
      </c>
      <c r="L1177">
        <v>0</v>
      </c>
      <c r="M1177" t="s">
        <v>125</v>
      </c>
      <c r="O1177" t="s">
        <v>125</v>
      </c>
      <c r="P1177" t="s">
        <v>125</v>
      </c>
      <c r="Q1177" t="s">
        <v>125</v>
      </c>
      <c r="R1177" t="s">
        <v>125</v>
      </c>
      <c r="S1177" t="s">
        <v>125</v>
      </c>
      <c r="T1177">
        <v>10</v>
      </c>
      <c r="V1177" t="s">
        <v>125</v>
      </c>
      <c r="AE1177" t="s">
        <v>125</v>
      </c>
      <c r="AF1177">
        <v>0</v>
      </c>
      <c r="AG1177" t="s">
        <v>125</v>
      </c>
      <c r="AH1177">
        <v>0</v>
      </c>
      <c r="AK1177">
        <v>0</v>
      </c>
    </row>
    <row r="1178" spans="1:37" x14ac:dyDescent="0.25">
      <c r="A1178" t="s">
        <v>79</v>
      </c>
      <c r="B1178">
        <v>5</v>
      </c>
      <c r="C1178">
        <v>2</v>
      </c>
      <c r="D1178">
        <v>1</v>
      </c>
      <c r="E1178">
        <v>13</v>
      </c>
      <c r="G1178">
        <v>521</v>
      </c>
      <c r="H1178" t="s">
        <v>1539</v>
      </c>
      <c r="I1178" t="s">
        <v>135</v>
      </c>
      <c r="J1178" t="s">
        <v>1572</v>
      </c>
      <c r="L1178">
        <v>0</v>
      </c>
      <c r="M1178" t="s">
        <v>125</v>
      </c>
      <c r="O1178" t="s">
        <v>125</v>
      </c>
      <c r="P1178" t="s">
        <v>125</v>
      </c>
      <c r="Q1178" t="s">
        <v>125</v>
      </c>
      <c r="R1178" t="s">
        <v>125</v>
      </c>
      <c r="S1178" t="s">
        <v>125</v>
      </c>
      <c r="T1178">
        <v>10</v>
      </c>
      <c r="V1178" t="s">
        <v>125</v>
      </c>
      <c r="AE1178" t="s">
        <v>125</v>
      </c>
      <c r="AF1178">
        <v>0</v>
      </c>
      <c r="AG1178" t="s">
        <v>125</v>
      </c>
      <c r="AH1178">
        <v>0</v>
      </c>
      <c r="AK1178">
        <v>0</v>
      </c>
    </row>
    <row r="1179" spans="1:37" x14ac:dyDescent="0.25">
      <c r="A1179" t="s">
        <v>79</v>
      </c>
      <c r="B1179">
        <v>5</v>
      </c>
      <c r="C1179">
        <v>2</v>
      </c>
      <c r="D1179">
        <v>1</v>
      </c>
      <c r="E1179">
        <v>14</v>
      </c>
      <c r="G1179">
        <v>521</v>
      </c>
      <c r="H1179" t="s">
        <v>1539</v>
      </c>
      <c r="I1179" t="s">
        <v>137</v>
      </c>
      <c r="J1179" t="s">
        <v>1573</v>
      </c>
      <c r="L1179">
        <v>0</v>
      </c>
      <c r="M1179" t="s">
        <v>125</v>
      </c>
      <c r="O1179" t="s">
        <v>125</v>
      </c>
      <c r="P1179" t="s">
        <v>125</v>
      </c>
      <c r="Q1179" t="s">
        <v>125</v>
      </c>
      <c r="R1179" t="s">
        <v>125</v>
      </c>
      <c r="S1179" t="s">
        <v>125</v>
      </c>
      <c r="T1179">
        <v>10</v>
      </c>
      <c r="V1179" t="s">
        <v>125</v>
      </c>
      <c r="AE1179" t="s">
        <v>125</v>
      </c>
      <c r="AF1179">
        <v>0</v>
      </c>
      <c r="AG1179" t="s">
        <v>125</v>
      </c>
      <c r="AH1179">
        <v>0</v>
      </c>
      <c r="AK1179">
        <v>0</v>
      </c>
    </row>
    <row r="1180" spans="1:37" x14ac:dyDescent="0.25">
      <c r="A1180" t="s">
        <v>79</v>
      </c>
      <c r="B1180">
        <v>5</v>
      </c>
      <c r="C1180">
        <v>2</v>
      </c>
      <c r="D1180">
        <v>1</v>
      </c>
      <c r="E1180">
        <v>15</v>
      </c>
      <c r="G1180">
        <v>521</v>
      </c>
      <c r="H1180" t="s">
        <v>1539</v>
      </c>
      <c r="I1180" t="s">
        <v>139</v>
      </c>
      <c r="J1180" t="s">
        <v>1574</v>
      </c>
      <c r="L1180">
        <v>0</v>
      </c>
      <c r="M1180" t="s">
        <v>125</v>
      </c>
      <c r="O1180" t="s">
        <v>125</v>
      </c>
      <c r="P1180" t="s">
        <v>125</v>
      </c>
      <c r="Q1180" t="s">
        <v>125</v>
      </c>
      <c r="R1180" t="s">
        <v>125</v>
      </c>
      <c r="S1180" t="s">
        <v>125</v>
      </c>
      <c r="T1180">
        <v>10</v>
      </c>
      <c r="V1180" t="s">
        <v>125</v>
      </c>
      <c r="AE1180" t="s">
        <v>125</v>
      </c>
      <c r="AF1180">
        <v>0</v>
      </c>
      <c r="AG1180" t="s">
        <v>125</v>
      </c>
      <c r="AH1180">
        <v>0</v>
      </c>
      <c r="AK1180">
        <v>0</v>
      </c>
    </row>
    <row r="1181" spans="1:37" x14ac:dyDescent="0.25">
      <c r="L1181">
        <v>0</v>
      </c>
    </row>
    <row r="1182" spans="1:37" x14ac:dyDescent="0.25">
      <c r="A1182" t="s">
        <v>70</v>
      </c>
      <c r="B1182">
        <v>5</v>
      </c>
      <c r="C1182">
        <v>2</v>
      </c>
      <c r="D1182">
        <v>2</v>
      </c>
      <c r="G1182">
        <v>52</v>
      </c>
      <c r="M1182" t="s">
        <v>1575</v>
      </c>
      <c r="O1182" t="s">
        <v>1576</v>
      </c>
      <c r="P1182" t="s">
        <v>1577</v>
      </c>
      <c r="Q1182" t="s">
        <v>1578</v>
      </c>
      <c r="R1182" t="s">
        <v>179</v>
      </c>
      <c r="S1182" t="s">
        <v>1579</v>
      </c>
      <c r="V1182" t="s">
        <v>1580</v>
      </c>
      <c r="X1182" t="s">
        <v>1581</v>
      </c>
      <c r="Y1182" t="s">
        <v>1582</v>
      </c>
      <c r="Z1182" t="s">
        <v>1583</v>
      </c>
      <c r="AA1182" t="s">
        <v>1584</v>
      </c>
      <c r="AB1182" t="s">
        <v>1585</v>
      </c>
      <c r="AC1182" t="s">
        <v>1586</v>
      </c>
      <c r="AE1182" t="s">
        <v>1587</v>
      </c>
      <c r="AF1182">
        <v>0</v>
      </c>
      <c r="AG1182" t="s">
        <v>1588</v>
      </c>
      <c r="AH1182">
        <v>0</v>
      </c>
      <c r="AK1182">
        <v>0</v>
      </c>
    </row>
    <row r="1183" spans="1:37" x14ac:dyDescent="0.25">
      <c r="A1183" t="s">
        <v>79</v>
      </c>
      <c r="B1183">
        <v>5</v>
      </c>
      <c r="C1183">
        <v>2</v>
      </c>
      <c r="D1183">
        <v>2</v>
      </c>
      <c r="E1183">
        <v>1</v>
      </c>
      <c r="G1183">
        <v>522</v>
      </c>
      <c r="H1183" t="s">
        <v>1576</v>
      </c>
      <c r="I1183" t="s">
        <v>80</v>
      </c>
      <c r="J1183" t="s">
        <v>1589</v>
      </c>
      <c r="L1183">
        <v>0</v>
      </c>
      <c r="M1183" t="s">
        <v>1590</v>
      </c>
      <c r="O1183" t="s">
        <v>1319</v>
      </c>
      <c r="P1183" t="s">
        <v>1320</v>
      </c>
      <c r="Q1183" t="s">
        <v>1591</v>
      </c>
      <c r="R1183" t="s">
        <v>229</v>
      </c>
      <c r="S1183" t="s">
        <v>1322</v>
      </c>
      <c r="T1183">
        <v>11</v>
      </c>
      <c r="U1183">
        <v>3</v>
      </c>
      <c r="V1183" t="s">
        <v>1592</v>
      </c>
      <c r="AE1183" t="s">
        <v>1593</v>
      </c>
      <c r="AF1183">
        <v>0</v>
      </c>
      <c r="AG1183" t="s">
        <v>1594</v>
      </c>
      <c r="AH1183">
        <v>0</v>
      </c>
      <c r="AK1183">
        <v>0</v>
      </c>
    </row>
    <row r="1184" spans="1:37" x14ac:dyDescent="0.25">
      <c r="A1184" t="s">
        <v>79</v>
      </c>
      <c r="B1184">
        <v>5</v>
      </c>
      <c r="C1184">
        <v>2</v>
      </c>
      <c r="D1184">
        <v>2</v>
      </c>
      <c r="E1184">
        <v>2</v>
      </c>
      <c r="G1184">
        <v>522</v>
      </c>
      <c r="H1184" t="s">
        <v>1576</v>
      </c>
      <c r="I1184" t="s">
        <v>88</v>
      </c>
      <c r="J1184" t="s">
        <v>1595</v>
      </c>
      <c r="L1184">
        <v>0</v>
      </c>
      <c r="M1184" t="s">
        <v>1596</v>
      </c>
      <c r="O1184" t="s">
        <v>294</v>
      </c>
      <c r="P1184" t="s">
        <v>295</v>
      </c>
      <c r="Q1184" t="s">
        <v>1597</v>
      </c>
      <c r="R1184" t="s">
        <v>229</v>
      </c>
      <c r="S1184" t="s">
        <v>297</v>
      </c>
      <c r="T1184">
        <v>11</v>
      </c>
      <c r="U1184">
        <v>1</v>
      </c>
      <c r="V1184" t="s">
        <v>1471</v>
      </c>
      <c r="AE1184" t="s">
        <v>1598</v>
      </c>
      <c r="AF1184">
        <v>0</v>
      </c>
      <c r="AG1184" t="s">
        <v>1599</v>
      </c>
      <c r="AH1184">
        <v>0</v>
      </c>
      <c r="AK1184">
        <v>0</v>
      </c>
    </row>
    <row r="1185" spans="1:37" x14ac:dyDescent="0.25">
      <c r="A1185" t="s">
        <v>79</v>
      </c>
      <c r="B1185">
        <v>5</v>
      </c>
      <c r="C1185">
        <v>2</v>
      </c>
      <c r="D1185">
        <v>2</v>
      </c>
      <c r="E1185">
        <v>3</v>
      </c>
      <c r="G1185">
        <v>522</v>
      </c>
      <c r="H1185" t="s">
        <v>1576</v>
      </c>
      <c r="I1185" t="s">
        <v>95</v>
      </c>
      <c r="J1185" t="s">
        <v>1600</v>
      </c>
      <c r="L1185">
        <v>0</v>
      </c>
      <c r="M1185" t="s">
        <v>1601</v>
      </c>
      <c r="O1185" t="s">
        <v>1602</v>
      </c>
      <c r="P1185" t="s">
        <v>1603</v>
      </c>
      <c r="Q1185" t="s">
        <v>1604</v>
      </c>
      <c r="R1185" t="s">
        <v>268</v>
      </c>
      <c r="S1185" t="s">
        <v>1605</v>
      </c>
      <c r="T1185">
        <v>11</v>
      </c>
      <c r="U1185">
        <v>1</v>
      </c>
      <c r="V1185" t="s">
        <v>1606</v>
      </c>
      <c r="AE1185" t="s">
        <v>1607</v>
      </c>
      <c r="AF1185">
        <v>0</v>
      </c>
      <c r="AG1185" t="s">
        <v>1608</v>
      </c>
      <c r="AH1185">
        <v>0</v>
      </c>
      <c r="AK1185">
        <v>0</v>
      </c>
    </row>
    <row r="1186" spans="1:37" x14ac:dyDescent="0.25">
      <c r="A1186" t="s">
        <v>79</v>
      </c>
      <c r="B1186">
        <v>5</v>
      </c>
      <c r="C1186">
        <v>2</v>
      </c>
      <c r="D1186">
        <v>2</v>
      </c>
      <c r="E1186">
        <v>4</v>
      </c>
      <c r="G1186">
        <v>522</v>
      </c>
      <c r="H1186" t="s">
        <v>1576</v>
      </c>
      <c r="I1186" t="s">
        <v>102</v>
      </c>
      <c r="J1186" t="s">
        <v>1609</v>
      </c>
      <c r="L1186">
        <v>0</v>
      </c>
      <c r="M1186" t="s">
        <v>125</v>
      </c>
      <c r="O1186" t="s">
        <v>125</v>
      </c>
      <c r="P1186" t="s">
        <v>125</v>
      </c>
      <c r="Q1186" t="s">
        <v>125</v>
      </c>
      <c r="R1186" t="s">
        <v>125</v>
      </c>
      <c r="S1186" t="s">
        <v>125</v>
      </c>
      <c r="T1186">
        <v>11</v>
      </c>
      <c r="V1186" t="s">
        <v>125</v>
      </c>
      <c r="AE1186" t="s">
        <v>125</v>
      </c>
      <c r="AF1186">
        <v>0</v>
      </c>
      <c r="AG1186" t="s">
        <v>125</v>
      </c>
      <c r="AH1186">
        <v>0</v>
      </c>
      <c r="AK1186">
        <v>0</v>
      </c>
    </row>
    <row r="1187" spans="1:37" x14ac:dyDescent="0.25">
      <c r="A1187" t="s">
        <v>79</v>
      </c>
      <c r="B1187">
        <v>5</v>
      </c>
      <c r="C1187">
        <v>2</v>
      </c>
      <c r="D1187">
        <v>2</v>
      </c>
      <c r="E1187">
        <v>5</v>
      </c>
      <c r="G1187">
        <v>522</v>
      </c>
      <c r="H1187" t="s">
        <v>1576</v>
      </c>
      <c r="I1187" t="s">
        <v>109</v>
      </c>
      <c r="J1187" t="s">
        <v>1610</v>
      </c>
      <c r="L1187">
        <v>0</v>
      </c>
      <c r="M1187" t="s">
        <v>125</v>
      </c>
      <c r="O1187" t="s">
        <v>125</v>
      </c>
      <c r="P1187" t="s">
        <v>125</v>
      </c>
      <c r="Q1187" t="s">
        <v>125</v>
      </c>
      <c r="R1187" t="s">
        <v>125</v>
      </c>
      <c r="S1187" t="s">
        <v>125</v>
      </c>
      <c r="T1187">
        <v>11</v>
      </c>
      <c r="V1187" t="s">
        <v>125</v>
      </c>
      <c r="AE1187" t="s">
        <v>125</v>
      </c>
      <c r="AF1187">
        <v>0</v>
      </c>
      <c r="AG1187" t="s">
        <v>125</v>
      </c>
      <c r="AH1187">
        <v>0</v>
      </c>
      <c r="AK1187">
        <v>0</v>
      </c>
    </row>
    <row r="1188" spans="1:37" x14ac:dyDescent="0.25">
      <c r="A1188" t="s">
        <v>79</v>
      </c>
      <c r="B1188">
        <v>5</v>
      </c>
      <c r="C1188">
        <v>2</v>
      </c>
      <c r="D1188">
        <v>2</v>
      </c>
      <c r="E1188">
        <v>6</v>
      </c>
      <c r="G1188">
        <v>522</v>
      </c>
      <c r="H1188" t="s">
        <v>1576</v>
      </c>
      <c r="I1188" t="s">
        <v>116</v>
      </c>
      <c r="J1188" t="s">
        <v>1611</v>
      </c>
      <c r="L1188">
        <v>0</v>
      </c>
      <c r="M1188" t="s">
        <v>125</v>
      </c>
      <c r="O1188" t="s">
        <v>125</v>
      </c>
      <c r="P1188" t="s">
        <v>125</v>
      </c>
      <c r="Q1188" t="s">
        <v>125</v>
      </c>
      <c r="R1188" t="s">
        <v>125</v>
      </c>
      <c r="S1188" t="s">
        <v>125</v>
      </c>
      <c r="T1188">
        <v>11</v>
      </c>
      <c r="V1188" t="s">
        <v>125</v>
      </c>
      <c r="AE1188" t="s">
        <v>125</v>
      </c>
      <c r="AF1188">
        <v>0</v>
      </c>
      <c r="AG1188" t="s">
        <v>125</v>
      </c>
      <c r="AH1188">
        <v>0</v>
      </c>
      <c r="AK1188">
        <v>0</v>
      </c>
    </row>
    <row r="1189" spans="1:37" x14ac:dyDescent="0.25">
      <c r="A1189" t="s">
        <v>79</v>
      </c>
      <c r="B1189">
        <v>5</v>
      </c>
      <c r="C1189">
        <v>2</v>
      </c>
      <c r="D1189">
        <v>2</v>
      </c>
      <c r="E1189">
        <v>7</v>
      </c>
      <c r="G1189">
        <v>522</v>
      </c>
      <c r="H1189" t="s">
        <v>1576</v>
      </c>
      <c r="I1189" t="s">
        <v>123</v>
      </c>
      <c r="J1189" t="s">
        <v>1612</v>
      </c>
      <c r="L1189">
        <v>0</v>
      </c>
      <c r="M1189" t="s">
        <v>125</v>
      </c>
      <c r="O1189" t="s">
        <v>125</v>
      </c>
      <c r="P1189" t="s">
        <v>125</v>
      </c>
      <c r="Q1189" t="s">
        <v>125</v>
      </c>
      <c r="R1189" t="s">
        <v>125</v>
      </c>
      <c r="S1189" t="s">
        <v>125</v>
      </c>
      <c r="T1189">
        <v>11</v>
      </c>
      <c r="V1189" t="s">
        <v>125</v>
      </c>
      <c r="AE1189" t="s">
        <v>125</v>
      </c>
      <c r="AF1189">
        <v>0</v>
      </c>
      <c r="AG1189" t="s">
        <v>125</v>
      </c>
      <c r="AH1189">
        <v>0</v>
      </c>
      <c r="AK1189">
        <v>0</v>
      </c>
    </row>
    <row r="1190" spans="1:37" x14ac:dyDescent="0.25">
      <c r="A1190" t="s">
        <v>79</v>
      </c>
      <c r="B1190">
        <v>5</v>
      </c>
      <c r="C1190">
        <v>2</v>
      </c>
      <c r="D1190">
        <v>2</v>
      </c>
      <c r="E1190">
        <v>8</v>
      </c>
      <c r="G1190">
        <v>522</v>
      </c>
      <c r="H1190" t="s">
        <v>1576</v>
      </c>
      <c r="I1190" t="s">
        <v>126</v>
      </c>
      <c r="J1190" t="s">
        <v>1613</v>
      </c>
      <c r="L1190">
        <v>0</v>
      </c>
      <c r="M1190" t="s">
        <v>125</v>
      </c>
      <c r="O1190" t="s">
        <v>125</v>
      </c>
      <c r="P1190" t="s">
        <v>125</v>
      </c>
      <c r="Q1190" t="s">
        <v>125</v>
      </c>
      <c r="R1190" t="s">
        <v>125</v>
      </c>
      <c r="S1190" t="s">
        <v>125</v>
      </c>
      <c r="T1190">
        <v>11</v>
      </c>
      <c r="V1190" t="s">
        <v>125</v>
      </c>
      <c r="AE1190" t="s">
        <v>125</v>
      </c>
      <c r="AF1190">
        <v>0</v>
      </c>
      <c r="AG1190" t="s">
        <v>125</v>
      </c>
      <c r="AH1190">
        <v>0</v>
      </c>
      <c r="AK1190">
        <v>0</v>
      </c>
    </row>
    <row r="1191" spans="1:37" x14ac:dyDescent="0.25">
      <c r="A1191" t="s">
        <v>79</v>
      </c>
      <c r="B1191">
        <v>5</v>
      </c>
      <c r="C1191">
        <v>2</v>
      </c>
      <c r="D1191">
        <v>2</v>
      </c>
      <c r="E1191">
        <v>9</v>
      </c>
      <c r="G1191">
        <v>522</v>
      </c>
      <c r="H1191" t="s">
        <v>1576</v>
      </c>
      <c r="I1191" t="s">
        <v>74</v>
      </c>
      <c r="J1191" t="s">
        <v>1614</v>
      </c>
      <c r="L1191">
        <v>0</v>
      </c>
      <c r="M1191" t="s">
        <v>125</v>
      </c>
      <c r="O1191" t="s">
        <v>125</v>
      </c>
      <c r="P1191" t="s">
        <v>125</v>
      </c>
      <c r="Q1191" t="s">
        <v>125</v>
      </c>
      <c r="R1191" t="s">
        <v>125</v>
      </c>
      <c r="S1191" t="s">
        <v>125</v>
      </c>
      <c r="T1191">
        <v>11</v>
      </c>
      <c r="V1191" t="s">
        <v>125</v>
      </c>
      <c r="AE1191" t="s">
        <v>125</v>
      </c>
      <c r="AF1191">
        <v>0</v>
      </c>
      <c r="AG1191" t="s">
        <v>125</v>
      </c>
      <c r="AH1191">
        <v>0</v>
      </c>
      <c r="AK1191">
        <v>0</v>
      </c>
    </row>
    <row r="1192" spans="1:37" x14ac:dyDescent="0.25">
      <c r="A1192" t="s">
        <v>79</v>
      </c>
      <c r="B1192">
        <v>5</v>
      </c>
      <c r="C1192">
        <v>2</v>
      </c>
      <c r="D1192">
        <v>2</v>
      </c>
      <c r="E1192">
        <v>10</v>
      </c>
      <c r="G1192">
        <v>522</v>
      </c>
      <c r="H1192" t="s">
        <v>1576</v>
      </c>
      <c r="I1192" t="s">
        <v>129</v>
      </c>
      <c r="J1192" t="s">
        <v>1615</v>
      </c>
      <c r="L1192">
        <v>0</v>
      </c>
      <c r="M1192" t="s">
        <v>125</v>
      </c>
      <c r="O1192" t="s">
        <v>125</v>
      </c>
      <c r="P1192" t="s">
        <v>125</v>
      </c>
      <c r="Q1192" t="s">
        <v>125</v>
      </c>
      <c r="R1192" t="s">
        <v>125</v>
      </c>
      <c r="S1192" t="s">
        <v>125</v>
      </c>
      <c r="T1192">
        <v>11</v>
      </c>
      <c r="V1192" t="s">
        <v>125</v>
      </c>
      <c r="AE1192" t="s">
        <v>125</v>
      </c>
      <c r="AF1192">
        <v>0</v>
      </c>
      <c r="AG1192" t="s">
        <v>125</v>
      </c>
      <c r="AH1192">
        <v>0</v>
      </c>
      <c r="AK1192">
        <v>0</v>
      </c>
    </row>
    <row r="1193" spans="1:37" x14ac:dyDescent="0.25">
      <c r="A1193" t="s">
        <v>79</v>
      </c>
      <c r="B1193">
        <v>5</v>
      </c>
      <c r="C1193">
        <v>2</v>
      </c>
      <c r="D1193">
        <v>2</v>
      </c>
      <c r="E1193">
        <v>11</v>
      </c>
      <c r="G1193">
        <v>522</v>
      </c>
      <c r="H1193" t="s">
        <v>1576</v>
      </c>
      <c r="I1193" t="s">
        <v>131</v>
      </c>
      <c r="J1193" t="s">
        <v>1616</v>
      </c>
      <c r="L1193">
        <v>0</v>
      </c>
      <c r="M1193" t="s">
        <v>125</v>
      </c>
      <c r="O1193" t="s">
        <v>125</v>
      </c>
      <c r="P1193" t="s">
        <v>125</v>
      </c>
      <c r="Q1193" t="s">
        <v>125</v>
      </c>
      <c r="R1193" t="s">
        <v>125</v>
      </c>
      <c r="S1193" t="s">
        <v>125</v>
      </c>
      <c r="T1193">
        <v>11</v>
      </c>
      <c r="V1193" t="s">
        <v>125</v>
      </c>
      <c r="AE1193" t="s">
        <v>125</v>
      </c>
      <c r="AF1193">
        <v>0</v>
      </c>
      <c r="AG1193" t="s">
        <v>125</v>
      </c>
      <c r="AH1193">
        <v>0</v>
      </c>
      <c r="AK1193">
        <v>0</v>
      </c>
    </row>
    <row r="1194" spans="1:37" x14ac:dyDescent="0.25">
      <c r="A1194" t="s">
        <v>79</v>
      </c>
      <c r="B1194">
        <v>5</v>
      </c>
      <c r="C1194">
        <v>2</v>
      </c>
      <c r="D1194">
        <v>2</v>
      </c>
      <c r="E1194">
        <v>12</v>
      </c>
      <c r="G1194">
        <v>522</v>
      </c>
      <c r="H1194" t="s">
        <v>1576</v>
      </c>
      <c r="I1194" t="s">
        <v>133</v>
      </c>
      <c r="J1194" t="s">
        <v>1617</v>
      </c>
      <c r="L1194">
        <v>0</v>
      </c>
      <c r="M1194" t="s">
        <v>125</v>
      </c>
      <c r="O1194" t="s">
        <v>125</v>
      </c>
      <c r="P1194" t="s">
        <v>125</v>
      </c>
      <c r="Q1194" t="s">
        <v>125</v>
      </c>
      <c r="R1194" t="s">
        <v>125</v>
      </c>
      <c r="S1194" t="s">
        <v>125</v>
      </c>
      <c r="T1194">
        <v>11</v>
      </c>
      <c r="V1194" t="s">
        <v>125</v>
      </c>
      <c r="AE1194" t="s">
        <v>125</v>
      </c>
      <c r="AF1194">
        <v>0</v>
      </c>
      <c r="AG1194" t="s">
        <v>125</v>
      </c>
      <c r="AH1194">
        <v>0</v>
      </c>
      <c r="AK1194">
        <v>0</v>
      </c>
    </row>
    <row r="1195" spans="1:37" x14ac:dyDescent="0.25">
      <c r="A1195" t="s">
        <v>79</v>
      </c>
      <c r="B1195">
        <v>5</v>
      </c>
      <c r="C1195">
        <v>2</v>
      </c>
      <c r="D1195">
        <v>2</v>
      </c>
      <c r="E1195">
        <v>13</v>
      </c>
      <c r="G1195">
        <v>522</v>
      </c>
      <c r="H1195" t="s">
        <v>1576</v>
      </c>
      <c r="I1195" t="s">
        <v>135</v>
      </c>
      <c r="J1195" t="s">
        <v>1618</v>
      </c>
      <c r="L1195">
        <v>0</v>
      </c>
      <c r="M1195" t="s">
        <v>125</v>
      </c>
      <c r="O1195" t="s">
        <v>125</v>
      </c>
      <c r="P1195" t="s">
        <v>125</v>
      </c>
      <c r="Q1195" t="s">
        <v>125</v>
      </c>
      <c r="R1195" t="s">
        <v>125</v>
      </c>
      <c r="S1195" t="s">
        <v>125</v>
      </c>
      <c r="T1195">
        <v>11</v>
      </c>
      <c r="V1195" t="s">
        <v>125</v>
      </c>
      <c r="AE1195" t="s">
        <v>125</v>
      </c>
      <c r="AF1195">
        <v>0</v>
      </c>
      <c r="AG1195" t="s">
        <v>125</v>
      </c>
      <c r="AH1195">
        <v>0</v>
      </c>
      <c r="AK1195">
        <v>0</v>
      </c>
    </row>
    <row r="1196" spans="1:37" x14ac:dyDescent="0.25">
      <c r="A1196" t="s">
        <v>79</v>
      </c>
      <c r="B1196">
        <v>5</v>
      </c>
      <c r="C1196">
        <v>2</v>
      </c>
      <c r="D1196">
        <v>2</v>
      </c>
      <c r="E1196">
        <v>14</v>
      </c>
      <c r="G1196">
        <v>522</v>
      </c>
      <c r="H1196" t="s">
        <v>1576</v>
      </c>
      <c r="I1196" t="s">
        <v>137</v>
      </c>
      <c r="J1196" t="s">
        <v>1619</v>
      </c>
      <c r="L1196">
        <v>0</v>
      </c>
      <c r="M1196" t="s">
        <v>125</v>
      </c>
      <c r="O1196" t="s">
        <v>125</v>
      </c>
      <c r="P1196" t="s">
        <v>125</v>
      </c>
      <c r="Q1196" t="s">
        <v>125</v>
      </c>
      <c r="R1196" t="s">
        <v>125</v>
      </c>
      <c r="S1196" t="s">
        <v>125</v>
      </c>
      <c r="T1196">
        <v>11</v>
      </c>
      <c r="V1196" t="s">
        <v>125</v>
      </c>
      <c r="AE1196" t="s">
        <v>125</v>
      </c>
      <c r="AF1196">
        <v>0</v>
      </c>
      <c r="AG1196" t="s">
        <v>125</v>
      </c>
      <c r="AH1196">
        <v>0</v>
      </c>
      <c r="AK1196">
        <v>0</v>
      </c>
    </row>
    <row r="1197" spans="1:37" x14ac:dyDescent="0.25">
      <c r="A1197" t="s">
        <v>79</v>
      </c>
      <c r="B1197">
        <v>5</v>
      </c>
      <c r="C1197">
        <v>2</v>
      </c>
      <c r="D1197">
        <v>2</v>
      </c>
      <c r="E1197">
        <v>15</v>
      </c>
      <c r="G1197">
        <v>522</v>
      </c>
      <c r="H1197" t="s">
        <v>1576</v>
      </c>
      <c r="I1197" t="s">
        <v>139</v>
      </c>
      <c r="J1197" t="s">
        <v>1620</v>
      </c>
      <c r="L1197">
        <v>0</v>
      </c>
      <c r="M1197" t="s">
        <v>125</v>
      </c>
      <c r="O1197" t="s">
        <v>125</v>
      </c>
      <c r="P1197" t="s">
        <v>125</v>
      </c>
      <c r="Q1197" t="s">
        <v>125</v>
      </c>
      <c r="R1197" t="s">
        <v>125</v>
      </c>
      <c r="S1197" t="s">
        <v>125</v>
      </c>
      <c r="T1197">
        <v>11</v>
      </c>
      <c r="V1197" t="s">
        <v>125</v>
      </c>
      <c r="AE1197" t="s">
        <v>125</v>
      </c>
      <c r="AF1197">
        <v>0</v>
      </c>
      <c r="AG1197" t="s">
        <v>125</v>
      </c>
      <c r="AH1197">
        <v>0</v>
      </c>
      <c r="AK1197">
        <v>0</v>
      </c>
    </row>
    <row r="1198" spans="1:37" x14ac:dyDescent="0.25">
      <c r="L1198">
        <v>0</v>
      </c>
    </row>
    <row r="1199" spans="1:37" x14ac:dyDescent="0.25">
      <c r="A1199" t="s">
        <v>70</v>
      </c>
      <c r="B1199">
        <v>5</v>
      </c>
      <c r="C1199">
        <v>2</v>
      </c>
      <c r="D1199">
        <v>3</v>
      </c>
      <c r="G1199">
        <v>52</v>
      </c>
      <c r="M1199" t="s">
        <v>1621</v>
      </c>
      <c r="O1199" t="s">
        <v>1622</v>
      </c>
      <c r="P1199" t="s">
        <v>1623</v>
      </c>
      <c r="Q1199" t="s">
        <v>1624</v>
      </c>
      <c r="R1199" t="s">
        <v>179</v>
      </c>
      <c r="S1199" t="s">
        <v>1625</v>
      </c>
      <c r="V1199" t="s">
        <v>1626</v>
      </c>
      <c r="X1199" t="s">
        <v>1627</v>
      </c>
      <c r="Y1199" t="s">
        <v>1628</v>
      </c>
      <c r="Z1199" t="s">
        <v>1629</v>
      </c>
      <c r="AA1199" t="s">
        <v>1630</v>
      </c>
      <c r="AB1199" t="s">
        <v>63</v>
      </c>
      <c r="AC1199" t="s">
        <v>63</v>
      </c>
      <c r="AE1199" t="s">
        <v>1631</v>
      </c>
      <c r="AF1199">
        <v>0</v>
      </c>
      <c r="AG1199" t="s">
        <v>1632</v>
      </c>
      <c r="AH1199">
        <v>0</v>
      </c>
      <c r="AK1199">
        <v>0</v>
      </c>
    </row>
    <row r="1200" spans="1:37" x14ac:dyDescent="0.25">
      <c r="A1200" t="s">
        <v>79</v>
      </c>
      <c r="B1200">
        <v>5</v>
      </c>
      <c r="C1200">
        <v>2</v>
      </c>
      <c r="D1200">
        <v>3</v>
      </c>
      <c r="E1200">
        <v>1</v>
      </c>
      <c r="G1200">
        <v>523</v>
      </c>
      <c r="H1200" t="s">
        <v>1622</v>
      </c>
      <c r="I1200" t="s">
        <v>80</v>
      </c>
      <c r="J1200" t="s">
        <v>1633</v>
      </c>
      <c r="L1200">
        <v>0</v>
      </c>
      <c r="M1200" t="s">
        <v>1634</v>
      </c>
      <c r="O1200" t="s">
        <v>1218</v>
      </c>
      <c r="P1200" t="s">
        <v>1219</v>
      </c>
      <c r="Q1200" t="s">
        <v>1635</v>
      </c>
      <c r="R1200" t="s">
        <v>1221</v>
      </c>
      <c r="S1200" t="s">
        <v>1222</v>
      </c>
      <c r="T1200">
        <v>52</v>
      </c>
      <c r="U1200">
        <v>1</v>
      </c>
      <c r="V1200" t="s">
        <v>322</v>
      </c>
      <c r="AE1200" t="s">
        <v>1255</v>
      </c>
      <c r="AF1200">
        <v>0</v>
      </c>
      <c r="AG1200" t="s">
        <v>1636</v>
      </c>
      <c r="AH1200">
        <v>0</v>
      </c>
      <c r="AK1200">
        <v>0</v>
      </c>
    </row>
    <row r="1201" spans="1:37" x14ac:dyDescent="0.25">
      <c r="A1201" t="s">
        <v>79</v>
      </c>
      <c r="B1201">
        <v>5</v>
      </c>
      <c r="C1201">
        <v>2</v>
      </c>
      <c r="D1201">
        <v>3</v>
      </c>
      <c r="E1201">
        <v>2</v>
      </c>
      <c r="G1201">
        <v>523</v>
      </c>
      <c r="H1201" t="s">
        <v>1622</v>
      </c>
      <c r="I1201" t="s">
        <v>88</v>
      </c>
      <c r="J1201" t="s">
        <v>1637</v>
      </c>
      <c r="L1201">
        <v>0</v>
      </c>
      <c r="M1201" t="s">
        <v>1638</v>
      </c>
      <c r="O1201" t="s">
        <v>1227</v>
      </c>
      <c r="P1201" t="s">
        <v>1228</v>
      </c>
      <c r="Q1201" t="s">
        <v>1639</v>
      </c>
      <c r="R1201" t="s">
        <v>192</v>
      </c>
      <c r="S1201" t="s">
        <v>1229</v>
      </c>
      <c r="T1201">
        <v>52</v>
      </c>
      <c r="U1201">
        <v>32</v>
      </c>
      <c r="V1201" t="s">
        <v>1640</v>
      </c>
      <c r="AE1201" t="s">
        <v>1641</v>
      </c>
      <c r="AF1201">
        <v>0</v>
      </c>
      <c r="AG1201" t="s">
        <v>1642</v>
      </c>
      <c r="AH1201">
        <v>0</v>
      </c>
      <c r="AK1201">
        <v>0</v>
      </c>
    </row>
    <row r="1202" spans="1:37" x14ac:dyDescent="0.25">
      <c r="A1202" t="s">
        <v>79</v>
      </c>
      <c r="B1202">
        <v>5</v>
      </c>
      <c r="C1202">
        <v>2</v>
      </c>
      <c r="D1202">
        <v>3</v>
      </c>
      <c r="E1202">
        <v>3</v>
      </c>
      <c r="G1202">
        <v>523</v>
      </c>
      <c r="H1202" t="s">
        <v>1622</v>
      </c>
      <c r="I1202" t="s">
        <v>95</v>
      </c>
      <c r="J1202" t="s">
        <v>1643</v>
      </c>
      <c r="L1202">
        <v>0</v>
      </c>
      <c r="M1202" t="s">
        <v>1644</v>
      </c>
      <c r="O1202" t="s">
        <v>1645</v>
      </c>
      <c r="P1202" t="s">
        <v>1646</v>
      </c>
      <c r="Q1202" t="s">
        <v>1647</v>
      </c>
      <c r="R1202" t="s">
        <v>192</v>
      </c>
      <c r="S1202" t="s">
        <v>1648</v>
      </c>
      <c r="T1202">
        <v>52</v>
      </c>
      <c r="U1202">
        <v>48</v>
      </c>
      <c r="V1202" t="s">
        <v>777</v>
      </c>
      <c r="AE1202" t="s">
        <v>1649</v>
      </c>
      <c r="AF1202">
        <v>0</v>
      </c>
      <c r="AG1202" t="s">
        <v>1650</v>
      </c>
      <c r="AH1202">
        <v>0</v>
      </c>
      <c r="AK1202">
        <v>0</v>
      </c>
    </row>
    <row r="1203" spans="1:37" x14ac:dyDescent="0.25">
      <c r="A1203" t="s">
        <v>79</v>
      </c>
      <c r="B1203">
        <v>5</v>
      </c>
      <c r="C1203">
        <v>2</v>
      </c>
      <c r="D1203">
        <v>3</v>
      </c>
      <c r="E1203">
        <v>4</v>
      </c>
      <c r="G1203">
        <v>523</v>
      </c>
      <c r="H1203" t="s">
        <v>1622</v>
      </c>
      <c r="I1203" t="s">
        <v>102</v>
      </c>
      <c r="J1203" t="s">
        <v>1651</v>
      </c>
      <c r="L1203">
        <v>0</v>
      </c>
      <c r="M1203" t="s">
        <v>1652</v>
      </c>
      <c r="O1203" t="s">
        <v>1653</v>
      </c>
      <c r="P1203" t="s">
        <v>1654</v>
      </c>
      <c r="Q1203" t="s">
        <v>1655</v>
      </c>
      <c r="R1203" t="s">
        <v>210</v>
      </c>
      <c r="S1203" t="s">
        <v>1656</v>
      </c>
      <c r="T1203">
        <v>52</v>
      </c>
      <c r="U1203">
        <v>1</v>
      </c>
      <c r="V1203" t="s">
        <v>1155</v>
      </c>
      <c r="AE1203" t="s">
        <v>1657</v>
      </c>
      <c r="AF1203">
        <v>0</v>
      </c>
      <c r="AG1203" t="s">
        <v>1658</v>
      </c>
      <c r="AH1203">
        <v>0</v>
      </c>
      <c r="AK1203">
        <v>0</v>
      </c>
    </row>
    <row r="1204" spans="1:37" x14ac:dyDescent="0.25">
      <c r="A1204" t="s">
        <v>79</v>
      </c>
      <c r="B1204">
        <v>5</v>
      </c>
      <c r="C1204">
        <v>2</v>
      </c>
      <c r="D1204">
        <v>3</v>
      </c>
      <c r="E1204">
        <v>5</v>
      </c>
      <c r="G1204">
        <v>523</v>
      </c>
      <c r="H1204" t="s">
        <v>1622</v>
      </c>
      <c r="I1204" t="s">
        <v>109</v>
      </c>
      <c r="J1204" t="s">
        <v>1659</v>
      </c>
      <c r="L1204">
        <v>0</v>
      </c>
      <c r="M1204" t="s">
        <v>1660</v>
      </c>
      <c r="O1204" t="s">
        <v>1661</v>
      </c>
      <c r="P1204" t="s">
        <v>1662</v>
      </c>
      <c r="Q1204" t="s">
        <v>1663</v>
      </c>
      <c r="R1204" t="s">
        <v>192</v>
      </c>
      <c r="S1204" t="s">
        <v>1664</v>
      </c>
      <c r="T1204">
        <v>52</v>
      </c>
      <c r="U1204">
        <v>55</v>
      </c>
      <c r="V1204" t="s">
        <v>1665</v>
      </c>
      <c r="AE1204" t="s">
        <v>1666</v>
      </c>
      <c r="AF1204">
        <v>0</v>
      </c>
      <c r="AG1204" t="s">
        <v>1667</v>
      </c>
      <c r="AH1204">
        <v>0</v>
      </c>
      <c r="AK1204">
        <v>0</v>
      </c>
    </row>
    <row r="1205" spans="1:37" x14ac:dyDescent="0.25">
      <c r="A1205" t="s">
        <v>79</v>
      </c>
      <c r="B1205">
        <v>5</v>
      </c>
      <c r="C1205">
        <v>2</v>
      </c>
      <c r="D1205">
        <v>3</v>
      </c>
      <c r="E1205">
        <v>6</v>
      </c>
      <c r="G1205">
        <v>523</v>
      </c>
      <c r="H1205" t="s">
        <v>1622</v>
      </c>
      <c r="I1205" t="s">
        <v>116</v>
      </c>
      <c r="J1205" t="s">
        <v>1668</v>
      </c>
      <c r="L1205">
        <v>0</v>
      </c>
      <c r="M1205" t="s">
        <v>1669</v>
      </c>
      <c r="O1205" t="s">
        <v>1670</v>
      </c>
      <c r="P1205" t="s">
        <v>1671</v>
      </c>
      <c r="Q1205" t="s">
        <v>1672</v>
      </c>
      <c r="R1205" t="s">
        <v>210</v>
      </c>
      <c r="S1205" t="s">
        <v>1673</v>
      </c>
      <c r="T1205">
        <v>52</v>
      </c>
      <c r="U1205">
        <v>2</v>
      </c>
      <c r="V1205" t="s">
        <v>1674</v>
      </c>
      <c r="AE1205" t="s">
        <v>1675</v>
      </c>
      <c r="AF1205">
        <v>0</v>
      </c>
      <c r="AG1205" t="s">
        <v>1676</v>
      </c>
      <c r="AH1205">
        <v>0</v>
      </c>
      <c r="AK1205">
        <v>0</v>
      </c>
    </row>
    <row r="1206" spans="1:37" x14ac:dyDescent="0.25">
      <c r="A1206" t="s">
        <v>79</v>
      </c>
      <c r="B1206">
        <v>5</v>
      </c>
      <c r="C1206">
        <v>2</v>
      </c>
      <c r="D1206">
        <v>3</v>
      </c>
      <c r="E1206">
        <v>7</v>
      </c>
      <c r="G1206">
        <v>523</v>
      </c>
      <c r="H1206" t="s">
        <v>1622</v>
      </c>
      <c r="I1206" t="s">
        <v>123</v>
      </c>
      <c r="J1206" t="s">
        <v>1677</v>
      </c>
      <c r="L1206">
        <v>0</v>
      </c>
      <c r="M1206" t="s">
        <v>1678</v>
      </c>
      <c r="O1206" t="s">
        <v>226</v>
      </c>
      <c r="P1206" t="s">
        <v>227</v>
      </c>
      <c r="Q1206" t="s">
        <v>1679</v>
      </c>
      <c r="R1206" t="s">
        <v>229</v>
      </c>
      <c r="S1206" t="s">
        <v>230</v>
      </c>
      <c r="T1206">
        <v>52</v>
      </c>
      <c r="U1206">
        <v>31</v>
      </c>
      <c r="V1206" t="s">
        <v>1680</v>
      </c>
      <c r="AE1206" t="s">
        <v>1681</v>
      </c>
      <c r="AF1206">
        <v>0</v>
      </c>
      <c r="AG1206" t="s">
        <v>1682</v>
      </c>
      <c r="AH1206">
        <v>0</v>
      </c>
      <c r="AK1206">
        <v>0</v>
      </c>
    </row>
    <row r="1207" spans="1:37" x14ac:dyDescent="0.25">
      <c r="A1207" t="s">
        <v>79</v>
      </c>
      <c r="B1207">
        <v>5</v>
      </c>
      <c r="C1207">
        <v>2</v>
      </c>
      <c r="D1207">
        <v>3</v>
      </c>
      <c r="E1207">
        <v>8</v>
      </c>
      <c r="G1207">
        <v>523</v>
      </c>
      <c r="H1207" t="s">
        <v>1622</v>
      </c>
      <c r="I1207" t="s">
        <v>126</v>
      </c>
      <c r="J1207" t="s">
        <v>1683</v>
      </c>
      <c r="L1207">
        <v>0</v>
      </c>
      <c r="M1207" t="s">
        <v>1684</v>
      </c>
      <c r="O1207" t="s">
        <v>236</v>
      </c>
      <c r="P1207" t="s">
        <v>237</v>
      </c>
      <c r="Q1207" t="s">
        <v>1685</v>
      </c>
      <c r="R1207" t="s">
        <v>229</v>
      </c>
      <c r="S1207" t="s">
        <v>239</v>
      </c>
      <c r="T1207">
        <v>52</v>
      </c>
      <c r="U1207">
        <v>73</v>
      </c>
      <c r="V1207" t="s">
        <v>1686</v>
      </c>
      <c r="AE1207" t="s">
        <v>1687</v>
      </c>
      <c r="AF1207">
        <v>0</v>
      </c>
      <c r="AG1207" t="s">
        <v>1688</v>
      </c>
      <c r="AH1207">
        <v>0</v>
      </c>
      <c r="AK1207">
        <v>0</v>
      </c>
    </row>
    <row r="1208" spans="1:37" x14ac:dyDescent="0.25">
      <c r="A1208" t="s">
        <v>79</v>
      </c>
      <c r="B1208">
        <v>5</v>
      </c>
      <c r="C1208">
        <v>2</v>
      </c>
      <c r="D1208">
        <v>3</v>
      </c>
      <c r="E1208">
        <v>9</v>
      </c>
      <c r="G1208">
        <v>523</v>
      </c>
      <c r="H1208" t="s">
        <v>1622</v>
      </c>
      <c r="I1208" t="s">
        <v>74</v>
      </c>
      <c r="J1208" t="s">
        <v>1689</v>
      </c>
      <c r="L1208">
        <v>0</v>
      </c>
      <c r="M1208" t="s">
        <v>1690</v>
      </c>
      <c r="O1208" t="s">
        <v>245</v>
      </c>
      <c r="P1208" t="s">
        <v>246</v>
      </c>
      <c r="Q1208" t="s">
        <v>1691</v>
      </c>
      <c r="R1208" t="s">
        <v>248</v>
      </c>
      <c r="S1208" t="s">
        <v>249</v>
      </c>
      <c r="T1208">
        <v>52</v>
      </c>
      <c r="U1208">
        <v>1</v>
      </c>
      <c r="V1208" t="s">
        <v>1692</v>
      </c>
      <c r="AE1208" t="s">
        <v>1693</v>
      </c>
      <c r="AF1208">
        <v>0</v>
      </c>
      <c r="AG1208" t="s">
        <v>1694</v>
      </c>
      <c r="AH1208">
        <v>0</v>
      </c>
      <c r="AK1208">
        <v>0</v>
      </c>
    </row>
    <row r="1209" spans="1:37" x14ac:dyDescent="0.25">
      <c r="A1209" t="s">
        <v>79</v>
      </c>
      <c r="B1209">
        <v>5</v>
      </c>
      <c r="C1209">
        <v>2</v>
      </c>
      <c r="D1209">
        <v>3</v>
      </c>
      <c r="E1209">
        <v>10</v>
      </c>
      <c r="G1209">
        <v>523</v>
      </c>
      <c r="H1209" t="s">
        <v>1622</v>
      </c>
      <c r="I1209" t="s">
        <v>129</v>
      </c>
      <c r="J1209" t="s">
        <v>1695</v>
      </c>
      <c r="L1209">
        <v>0</v>
      </c>
      <c r="M1209" t="s">
        <v>1696</v>
      </c>
      <c r="O1209" t="s">
        <v>255</v>
      </c>
      <c r="P1209" t="s">
        <v>256</v>
      </c>
      <c r="Q1209" t="s">
        <v>1697</v>
      </c>
      <c r="R1209" t="s">
        <v>258</v>
      </c>
      <c r="S1209" t="s">
        <v>259</v>
      </c>
      <c r="T1209">
        <v>52</v>
      </c>
      <c r="U1209">
        <v>1</v>
      </c>
      <c r="V1209" t="s">
        <v>1698</v>
      </c>
      <c r="AE1209" t="s">
        <v>1699</v>
      </c>
      <c r="AF1209">
        <v>0</v>
      </c>
      <c r="AG1209" t="s">
        <v>1700</v>
      </c>
      <c r="AH1209">
        <v>0</v>
      </c>
      <c r="AK1209">
        <v>0</v>
      </c>
    </row>
    <row r="1210" spans="1:37" x14ac:dyDescent="0.25">
      <c r="A1210" t="s">
        <v>79</v>
      </c>
      <c r="B1210">
        <v>5</v>
      </c>
      <c r="C1210">
        <v>2</v>
      </c>
      <c r="D1210">
        <v>3</v>
      </c>
      <c r="E1210">
        <v>11</v>
      </c>
      <c r="G1210">
        <v>523</v>
      </c>
      <c r="H1210" t="s">
        <v>1622</v>
      </c>
      <c r="I1210" t="s">
        <v>131</v>
      </c>
      <c r="J1210" t="s">
        <v>1701</v>
      </c>
      <c r="L1210">
        <v>0</v>
      </c>
      <c r="M1210" t="s">
        <v>125</v>
      </c>
      <c r="O1210" t="s">
        <v>125</v>
      </c>
      <c r="P1210" t="s">
        <v>125</v>
      </c>
      <c r="Q1210" t="s">
        <v>125</v>
      </c>
      <c r="R1210" t="s">
        <v>125</v>
      </c>
      <c r="S1210" t="s">
        <v>125</v>
      </c>
      <c r="T1210">
        <v>52</v>
      </c>
      <c r="V1210" t="s">
        <v>125</v>
      </c>
      <c r="AE1210" t="s">
        <v>125</v>
      </c>
      <c r="AF1210">
        <v>0</v>
      </c>
      <c r="AG1210" t="s">
        <v>125</v>
      </c>
      <c r="AH1210">
        <v>0</v>
      </c>
      <c r="AK1210">
        <v>0</v>
      </c>
    </row>
    <row r="1211" spans="1:37" x14ac:dyDescent="0.25">
      <c r="A1211" t="s">
        <v>79</v>
      </c>
      <c r="B1211">
        <v>5</v>
      </c>
      <c r="C1211">
        <v>2</v>
      </c>
      <c r="D1211">
        <v>3</v>
      </c>
      <c r="E1211">
        <v>12</v>
      </c>
      <c r="G1211">
        <v>523</v>
      </c>
      <c r="H1211" t="s">
        <v>1622</v>
      </c>
      <c r="I1211" t="s">
        <v>133</v>
      </c>
      <c r="J1211" t="s">
        <v>1702</v>
      </c>
      <c r="L1211">
        <v>0</v>
      </c>
      <c r="M1211" t="s">
        <v>125</v>
      </c>
      <c r="O1211" t="s">
        <v>125</v>
      </c>
      <c r="P1211" t="s">
        <v>125</v>
      </c>
      <c r="Q1211" t="s">
        <v>125</v>
      </c>
      <c r="R1211" t="s">
        <v>125</v>
      </c>
      <c r="S1211" t="s">
        <v>125</v>
      </c>
      <c r="T1211">
        <v>52</v>
      </c>
      <c r="V1211" t="s">
        <v>125</v>
      </c>
      <c r="AE1211" t="s">
        <v>125</v>
      </c>
      <c r="AF1211">
        <v>0</v>
      </c>
      <c r="AG1211" t="s">
        <v>125</v>
      </c>
      <c r="AH1211">
        <v>0</v>
      </c>
      <c r="AK1211">
        <v>0</v>
      </c>
    </row>
    <row r="1212" spans="1:37" x14ac:dyDescent="0.25">
      <c r="A1212" t="s">
        <v>79</v>
      </c>
      <c r="B1212">
        <v>5</v>
      </c>
      <c r="C1212">
        <v>2</v>
      </c>
      <c r="D1212">
        <v>3</v>
      </c>
      <c r="E1212">
        <v>13</v>
      </c>
      <c r="G1212">
        <v>523</v>
      </c>
      <c r="H1212" t="s">
        <v>1622</v>
      </c>
      <c r="I1212" t="s">
        <v>135</v>
      </c>
      <c r="J1212" t="s">
        <v>1703</v>
      </c>
      <c r="L1212">
        <v>0</v>
      </c>
      <c r="M1212" t="s">
        <v>125</v>
      </c>
      <c r="O1212" t="s">
        <v>125</v>
      </c>
      <c r="P1212" t="s">
        <v>125</v>
      </c>
      <c r="Q1212" t="s">
        <v>125</v>
      </c>
      <c r="R1212" t="s">
        <v>125</v>
      </c>
      <c r="S1212" t="s">
        <v>125</v>
      </c>
      <c r="T1212">
        <v>52</v>
      </c>
      <c r="V1212" t="s">
        <v>125</v>
      </c>
      <c r="AE1212" t="s">
        <v>125</v>
      </c>
      <c r="AF1212">
        <v>0</v>
      </c>
      <c r="AG1212" t="s">
        <v>125</v>
      </c>
      <c r="AH1212">
        <v>0</v>
      </c>
      <c r="AK1212">
        <v>0</v>
      </c>
    </row>
    <row r="1213" spans="1:37" x14ac:dyDescent="0.25">
      <c r="A1213" t="s">
        <v>79</v>
      </c>
      <c r="B1213">
        <v>5</v>
      </c>
      <c r="C1213">
        <v>2</v>
      </c>
      <c r="D1213">
        <v>3</v>
      </c>
      <c r="E1213">
        <v>14</v>
      </c>
      <c r="G1213">
        <v>523</v>
      </c>
      <c r="H1213" t="s">
        <v>1622</v>
      </c>
      <c r="I1213" t="s">
        <v>137</v>
      </c>
      <c r="J1213" t="s">
        <v>1704</v>
      </c>
      <c r="L1213">
        <v>0</v>
      </c>
      <c r="M1213" t="s">
        <v>125</v>
      </c>
      <c r="O1213" t="s">
        <v>125</v>
      </c>
      <c r="P1213" t="s">
        <v>125</v>
      </c>
      <c r="Q1213" t="s">
        <v>125</v>
      </c>
      <c r="R1213" t="s">
        <v>125</v>
      </c>
      <c r="S1213" t="s">
        <v>125</v>
      </c>
      <c r="T1213">
        <v>52</v>
      </c>
      <c r="V1213" t="s">
        <v>125</v>
      </c>
      <c r="AE1213" t="s">
        <v>125</v>
      </c>
      <c r="AF1213">
        <v>0</v>
      </c>
      <c r="AG1213" t="s">
        <v>125</v>
      </c>
      <c r="AH1213">
        <v>0</v>
      </c>
      <c r="AK1213">
        <v>0</v>
      </c>
    </row>
    <row r="1214" spans="1:37" x14ac:dyDescent="0.25">
      <c r="A1214" t="s">
        <v>79</v>
      </c>
      <c r="B1214">
        <v>5</v>
      </c>
      <c r="C1214">
        <v>2</v>
      </c>
      <c r="D1214">
        <v>3</v>
      </c>
      <c r="E1214">
        <v>15</v>
      </c>
      <c r="G1214">
        <v>523</v>
      </c>
      <c r="H1214" t="s">
        <v>1622</v>
      </c>
      <c r="I1214" t="s">
        <v>139</v>
      </c>
      <c r="J1214" t="s">
        <v>1705</v>
      </c>
      <c r="L1214">
        <v>0</v>
      </c>
      <c r="M1214" t="s">
        <v>125</v>
      </c>
      <c r="O1214" t="s">
        <v>125</v>
      </c>
      <c r="P1214" t="s">
        <v>125</v>
      </c>
      <c r="Q1214" t="s">
        <v>125</v>
      </c>
      <c r="R1214" t="s">
        <v>125</v>
      </c>
      <c r="S1214" t="s">
        <v>125</v>
      </c>
      <c r="T1214">
        <v>52</v>
      </c>
      <c r="V1214" t="s">
        <v>125</v>
      </c>
      <c r="AE1214" t="s">
        <v>125</v>
      </c>
      <c r="AF1214">
        <v>0</v>
      </c>
      <c r="AG1214" t="s">
        <v>125</v>
      </c>
      <c r="AH1214">
        <v>0</v>
      </c>
      <c r="AK1214">
        <v>0</v>
      </c>
    </row>
    <row r="1215" spans="1:37" x14ac:dyDescent="0.25">
      <c r="L1215">
        <v>0</v>
      </c>
    </row>
    <row r="1216" spans="1:37" x14ac:dyDescent="0.25">
      <c r="A1216" t="s">
        <v>70</v>
      </c>
      <c r="B1216">
        <v>5</v>
      </c>
      <c r="C1216">
        <v>2</v>
      </c>
      <c r="D1216">
        <v>4</v>
      </c>
      <c r="G1216">
        <v>52</v>
      </c>
      <c r="M1216" t="s">
        <v>1706</v>
      </c>
      <c r="O1216" t="s">
        <v>1707</v>
      </c>
      <c r="P1216" t="s">
        <v>1708</v>
      </c>
      <c r="Q1216" t="s">
        <v>1709</v>
      </c>
      <c r="R1216" t="s">
        <v>210</v>
      </c>
      <c r="S1216" t="s">
        <v>1710</v>
      </c>
      <c r="V1216" t="s">
        <v>1711</v>
      </c>
      <c r="X1216" t="s">
        <v>1712</v>
      </c>
      <c r="Y1216" t="s">
        <v>1713</v>
      </c>
      <c r="Z1216" t="s">
        <v>1714</v>
      </c>
      <c r="AA1216" t="s">
        <v>1715</v>
      </c>
      <c r="AB1216" t="s">
        <v>63</v>
      </c>
      <c r="AC1216" t="s">
        <v>63</v>
      </c>
      <c r="AE1216" t="s">
        <v>1716</v>
      </c>
      <c r="AF1216">
        <v>0</v>
      </c>
      <c r="AG1216" t="s">
        <v>1717</v>
      </c>
      <c r="AH1216">
        <v>0</v>
      </c>
      <c r="AK1216">
        <v>0</v>
      </c>
    </row>
    <row r="1217" spans="1:37" x14ac:dyDescent="0.25">
      <c r="A1217" t="s">
        <v>79</v>
      </c>
      <c r="B1217">
        <v>5</v>
      </c>
      <c r="C1217">
        <v>2</v>
      </c>
      <c r="D1217">
        <v>4</v>
      </c>
      <c r="E1217">
        <v>1</v>
      </c>
      <c r="G1217">
        <v>524</v>
      </c>
      <c r="H1217" t="s">
        <v>1707</v>
      </c>
      <c r="I1217" t="s">
        <v>80</v>
      </c>
      <c r="J1217" t="s">
        <v>1718</v>
      </c>
      <c r="L1217">
        <v>0</v>
      </c>
      <c r="M1217" t="s">
        <v>1719</v>
      </c>
      <c r="O1217" t="s">
        <v>1151</v>
      </c>
      <c r="P1217" t="s">
        <v>1152</v>
      </c>
      <c r="Q1217" t="s">
        <v>1720</v>
      </c>
      <c r="R1217" t="s">
        <v>382</v>
      </c>
      <c r="S1217" t="s">
        <v>1154</v>
      </c>
      <c r="T1217">
        <v>622</v>
      </c>
      <c r="U1217">
        <v>450</v>
      </c>
      <c r="V1217" t="s">
        <v>1721</v>
      </c>
      <c r="AE1217" t="s">
        <v>1722</v>
      </c>
      <c r="AF1217">
        <v>0</v>
      </c>
      <c r="AG1217" t="s">
        <v>1723</v>
      </c>
      <c r="AH1217">
        <v>0</v>
      </c>
      <c r="AK1217">
        <v>0</v>
      </c>
    </row>
    <row r="1218" spans="1:37" x14ac:dyDescent="0.25">
      <c r="A1218" t="s">
        <v>79</v>
      </c>
      <c r="B1218">
        <v>5</v>
      </c>
      <c r="C1218">
        <v>2</v>
      </c>
      <c r="D1218">
        <v>4</v>
      </c>
      <c r="E1218">
        <v>2</v>
      </c>
      <c r="G1218">
        <v>524</v>
      </c>
      <c r="H1218" t="s">
        <v>1707</v>
      </c>
      <c r="I1218" t="s">
        <v>88</v>
      </c>
      <c r="J1218" t="s">
        <v>1724</v>
      </c>
      <c r="L1218">
        <v>0</v>
      </c>
      <c r="M1218" t="s">
        <v>1725</v>
      </c>
      <c r="O1218" t="s">
        <v>1160</v>
      </c>
      <c r="P1218" t="s">
        <v>1161</v>
      </c>
      <c r="Q1218" t="s">
        <v>1162</v>
      </c>
      <c r="R1218" t="s">
        <v>210</v>
      </c>
      <c r="S1218" t="s">
        <v>1163</v>
      </c>
      <c r="T1218">
        <v>622</v>
      </c>
      <c r="U1218">
        <v>16</v>
      </c>
      <c r="V1218" t="s">
        <v>212</v>
      </c>
      <c r="AE1218" t="s">
        <v>1164</v>
      </c>
      <c r="AF1218">
        <v>0</v>
      </c>
      <c r="AG1218" t="s">
        <v>1726</v>
      </c>
      <c r="AH1218">
        <v>0</v>
      </c>
      <c r="AK1218">
        <v>0</v>
      </c>
    </row>
    <row r="1219" spans="1:37" x14ac:dyDescent="0.25">
      <c r="A1219" t="s">
        <v>79</v>
      </c>
      <c r="B1219">
        <v>5</v>
      </c>
      <c r="C1219">
        <v>2</v>
      </c>
      <c r="D1219">
        <v>4</v>
      </c>
      <c r="E1219">
        <v>3</v>
      </c>
      <c r="G1219">
        <v>524</v>
      </c>
      <c r="H1219" t="s">
        <v>1707</v>
      </c>
      <c r="I1219" t="s">
        <v>95</v>
      </c>
      <c r="J1219" t="s">
        <v>1727</v>
      </c>
      <c r="L1219">
        <v>0</v>
      </c>
      <c r="M1219" t="s">
        <v>1728</v>
      </c>
      <c r="O1219" t="s">
        <v>1729</v>
      </c>
      <c r="P1219" t="s">
        <v>1730</v>
      </c>
      <c r="Q1219" t="s">
        <v>1731</v>
      </c>
      <c r="R1219" t="s">
        <v>229</v>
      </c>
      <c r="S1219" t="s">
        <v>1732</v>
      </c>
      <c r="T1219">
        <v>622</v>
      </c>
      <c r="U1219">
        <v>23</v>
      </c>
      <c r="V1219" t="s">
        <v>1733</v>
      </c>
      <c r="AE1219" t="s">
        <v>1734</v>
      </c>
      <c r="AF1219">
        <v>0</v>
      </c>
      <c r="AG1219" t="s">
        <v>1735</v>
      </c>
      <c r="AH1219">
        <v>0</v>
      </c>
      <c r="AK1219">
        <v>0</v>
      </c>
    </row>
    <row r="1220" spans="1:37" x14ac:dyDescent="0.25">
      <c r="A1220" t="s">
        <v>79</v>
      </c>
      <c r="B1220">
        <v>5</v>
      </c>
      <c r="C1220">
        <v>2</v>
      </c>
      <c r="D1220">
        <v>4</v>
      </c>
      <c r="E1220">
        <v>4</v>
      </c>
      <c r="G1220">
        <v>524</v>
      </c>
      <c r="H1220" t="s">
        <v>1707</v>
      </c>
      <c r="I1220" t="s">
        <v>102</v>
      </c>
      <c r="J1220" t="s">
        <v>1736</v>
      </c>
      <c r="L1220">
        <v>0</v>
      </c>
      <c r="M1220" t="s">
        <v>1737</v>
      </c>
      <c r="O1220" t="s">
        <v>1168</v>
      </c>
      <c r="P1220" t="s">
        <v>1169</v>
      </c>
      <c r="Q1220" t="s">
        <v>1738</v>
      </c>
      <c r="R1220" t="s">
        <v>229</v>
      </c>
      <c r="S1220" t="s">
        <v>1171</v>
      </c>
      <c r="T1220">
        <v>622</v>
      </c>
      <c r="U1220">
        <v>72</v>
      </c>
      <c r="V1220" t="s">
        <v>1739</v>
      </c>
      <c r="AE1220" t="s">
        <v>1740</v>
      </c>
      <c r="AF1220">
        <v>0</v>
      </c>
      <c r="AG1220" t="s">
        <v>1741</v>
      </c>
      <c r="AH1220">
        <v>0</v>
      </c>
      <c r="AK1220">
        <v>0</v>
      </c>
    </row>
    <row r="1221" spans="1:37" x14ac:dyDescent="0.25">
      <c r="A1221" t="s">
        <v>79</v>
      </c>
      <c r="B1221">
        <v>5</v>
      </c>
      <c r="C1221">
        <v>2</v>
      </c>
      <c r="D1221">
        <v>4</v>
      </c>
      <c r="E1221">
        <v>5</v>
      </c>
      <c r="G1221">
        <v>524</v>
      </c>
      <c r="H1221" t="s">
        <v>1707</v>
      </c>
      <c r="I1221" t="s">
        <v>109</v>
      </c>
      <c r="J1221" t="s">
        <v>1742</v>
      </c>
      <c r="L1221">
        <v>0</v>
      </c>
      <c r="M1221" t="s">
        <v>1743</v>
      </c>
      <c r="O1221" t="s">
        <v>1177</v>
      </c>
      <c r="P1221" t="s">
        <v>1178</v>
      </c>
      <c r="Q1221" t="s">
        <v>57</v>
      </c>
      <c r="R1221" t="s">
        <v>210</v>
      </c>
      <c r="S1221" t="s">
        <v>1179</v>
      </c>
      <c r="T1221">
        <v>622</v>
      </c>
      <c r="U1221">
        <v>622</v>
      </c>
      <c r="V1221" t="s">
        <v>1179</v>
      </c>
      <c r="AE1221" t="s">
        <v>1180</v>
      </c>
      <c r="AF1221">
        <v>0</v>
      </c>
      <c r="AG1221" t="s">
        <v>1744</v>
      </c>
      <c r="AH1221">
        <v>0</v>
      </c>
      <c r="AK1221">
        <v>0</v>
      </c>
    </row>
    <row r="1222" spans="1:37" x14ac:dyDescent="0.25">
      <c r="A1222" t="s">
        <v>79</v>
      </c>
      <c r="B1222">
        <v>5</v>
      </c>
      <c r="C1222">
        <v>2</v>
      </c>
      <c r="D1222">
        <v>4</v>
      </c>
      <c r="E1222">
        <v>6</v>
      </c>
      <c r="G1222">
        <v>524</v>
      </c>
      <c r="H1222" t="s">
        <v>1707</v>
      </c>
      <c r="I1222" t="s">
        <v>116</v>
      </c>
      <c r="J1222" t="s">
        <v>1745</v>
      </c>
      <c r="L1222">
        <v>0</v>
      </c>
      <c r="M1222" t="s">
        <v>125</v>
      </c>
      <c r="O1222" t="s">
        <v>125</v>
      </c>
      <c r="P1222" t="s">
        <v>125</v>
      </c>
      <c r="Q1222" t="s">
        <v>125</v>
      </c>
      <c r="R1222" t="s">
        <v>125</v>
      </c>
      <c r="S1222" t="s">
        <v>125</v>
      </c>
      <c r="T1222">
        <v>622</v>
      </c>
      <c r="V1222" t="s">
        <v>125</v>
      </c>
      <c r="AE1222" t="s">
        <v>125</v>
      </c>
      <c r="AF1222">
        <v>0</v>
      </c>
      <c r="AG1222" t="s">
        <v>125</v>
      </c>
      <c r="AH1222">
        <v>0</v>
      </c>
      <c r="AK1222">
        <v>0</v>
      </c>
    </row>
    <row r="1223" spans="1:37" x14ac:dyDescent="0.25">
      <c r="A1223" t="s">
        <v>79</v>
      </c>
      <c r="B1223">
        <v>5</v>
      </c>
      <c r="C1223">
        <v>2</v>
      </c>
      <c r="D1223">
        <v>4</v>
      </c>
      <c r="E1223">
        <v>7</v>
      </c>
      <c r="G1223">
        <v>524</v>
      </c>
      <c r="H1223" t="s">
        <v>1707</v>
      </c>
      <c r="I1223" t="s">
        <v>123</v>
      </c>
      <c r="J1223" t="s">
        <v>1746</v>
      </c>
      <c r="L1223">
        <v>0</v>
      </c>
      <c r="M1223" t="s">
        <v>125</v>
      </c>
      <c r="O1223" t="s">
        <v>125</v>
      </c>
      <c r="P1223" t="s">
        <v>125</v>
      </c>
      <c r="Q1223" t="s">
        <v>125</v>
      </c>
      <c r="R1223" t="s">
        <v>125</v>
      </c>
      <c r="S1223" t="s">
        <v>125</v>
      </c>
      <c r="T1223">
        <v>622</v>
      </c>
      <c r="V1223" t="s">
        <v>125</v>
      </c>
      <c r="AE1223" t="s">
        <v>125</v>
      </c>
      <c r="AF1223">
        <v>0</v>
      </c>
      <c r="AG1223" t="s">
        <v>125</v>
      </c>
      <c r="AH1223">
        <v>0</v>
      </c>
      <c r="AK1223">
        <v>0</v>
      </c>
    </row>
    <row r="1224" spans="1:37" x14ac:dyDescent="0.25">
      <c r="A1224" t="s">
        <v>79</v>
      </c>
      <c r="B1224">
        <v>5</v>
      </c>
      <c r="C1224">
        <v>2</v>
      </c>
      <c r="D1224">
        <v>4</v>
      </c>
      <c r="E1224">
        <v>8</v>
      </c>
      <c r="G1224">
        <v>524</v>
      </c>
      <c r="H1224" t="s">
        <v>1707</v>
      </c>
      <c r="I1224" t="s">
        <v>126</v>
      </c>
      <c r="J1224" t="s">
        <v>1747</v>
      </c>
      <c r="L1224">
        <v>0</v>
      </c>
      <c r="M1224" t="s">
        <v>125</v>
      </c>
      <c r="O1224" t="s">
        <v>125</v>
      </c>
      <c r="P1224" t="s">
        <v>125</v>
      </c>
      <c r="Q1224" t="s">
        <v>125</v>
      </c>
      <c r="R1224" t="s">
        <v>125</v>
      </c>
      <c r="S1224" t="s">
        <v>125</v>
      </c>
      <c r="T1224">
        <v>622</v>
      </c>
      <c r="V1224" t="s">
        <v>125</v>
      </c>
      <c r="AE1224" t="s">
        <v>125</v>
      </c>
      <c r="AF1224">
        <v>0</v>
      </c>
      <c r="AG1224" t="s">
        <v>125</v>
      </c>
      <c r="AH1224">
        <v>0</v>
      </c>
      <c r="AK1224">
        <v>0</v>
      </c>
    </row>
    <row r="1225" spans="1:37" x14ac:dyDescent="0.25">
      <c r="A1225" t="s">
        <v>79</v>
      </c>
      <c r="B1225">
        <v>5</v>
      </c>
      <c r="C1225">
        <v>2</v>
      </c>
      <c r="D1225">
        <v>4</v>
      </c>
      <c r="E1225">
        <v>9</v>
      </c>
      <c r="G1225">
        <v>524</v>
      </c>
      <c r="H1225" t="s">
        <v>1707</v>
      </c>
      <c r="I1225" t="s">
        <v>74</v>
      </c>
      <c r="J1225" t="s">
        <v>1748</v>
      </c>
      <c r="L1225">
        <v>0</v>
      </c>
      <c r="M1225" t="s">
        <v>125</v>
      </c>
      <c r="O1225" t="s">
        <v>125</v>
      </c>
      <c r="P1225" t="s">
        <v>125</v>
      </c>
      <c r="Q1225" t="s">
        <v>125</v>
      </c>
      <c r="R1225" t="s">
        <v>125</v>
      </c>
      <c r="S1225" t="s">
        <v>125</v>
      </c>
      <c r="T1225">
        <v>622</v>
      </c>
      <c r="V1225" t="s">
        <v>125</v>
      </c>
      <c r="AE1225" t="s">
        <v>125</v>
      </c>
      <c r="AF1225">
        <v>0</v>
      </c>
      <c r="AG1225" t="s">
        <v>125</v>
      </c>
      <c r="AH1225">
        <v>0</v>
      </c>
      <c r="AK1225">
        <v>0</v>
      </c>
    </row>
    <row r="1226" spans="1:37" x14ac:dyDescent="0.25">
      <c r="A1226" t="s">
        <v>79</v>
      </c>
      <c r="B1226">
        <v>5</v>
      </c>
      <c r="C1226">
        <v>2</v>
      </c>
      <c r="D1226">
        <v>4</v>
      </c>
      <c r="E1226">
        <v>10</v>
      </c>
      <c r="G1226">
        <v>524</v>
      </c>
      <c r="H1226" t="s">
        <v>1707</v>
      </c>
      <c r="I1226" t="s">
        <v>129</v>
      </c>
      <c r="J1226" t="s">
        <v>1749</v>
      </c>
      <c r="L1226">
        <v>0</v>
      </c>
      <c r="M1226" t="s">
        <v>125</v>
      </c>
      <c r="O1226" t="s">
        <v>125</v>
      </c>
      <c r="P1226" t="s">
        <v>125</v>
      </c>
      <c r="Q1226" t="s">
        <v>125</v>
      </c>
      <c r="R1226" t="s">
        <v>125</v>
      </c>
      <c r="S1226" t="s">
        <v>125</v>
      </c>
      <c r="T1226">
        <v>622</v>
      </c>
      <c r="V1226" t="s">
        <v>125</v>
      </c>
      <c r="AE1226" t="s">
        <v>125</v>
      </c>
      <c r="AF1226">
        <v>0</v>
      </c>
      <c r="AG1226" t="s">
        <v>125</v>
      </c>
      <c r="AH1226">
        <v>0</v>
      </c>
      <c r="AK1226">
        <v>0</v>
      </c>
    </row>
    <row r="1227" spans="1:37" x14ac:dyDescent="0.25">
      <c r="A1227" t="s">
        <v>79</v>
      </c>
      <c r="B1227">
        <v>5</v>
      </c>
      <c r="C1227">
        <v>2</v>
      </c>
      <c r="D1227">
        <v>4</v>
      </c>
      <c r="E1227">
        <v>11</v>
      </c>
      <c r="G1227">
        <v>524</v>
      </c>
      <c r="H1227" t="s">
        <v>1707</v>
      </c>
      <c r="I1227" t="s">
        <v>131</v>
      </c>
      <c r="J1227" t="s">
        <v>1750</v>
      </c>
      <c r="L1227">
        <v>0</v>
      </c>
      <c r="M1227" t="s">
        <v>125</v>
      </c>
      <c r="O1227" t="s">
        <v>125</v>
      </c>
      <c r="P1227" t="s">
        <v>125</v>
      </c>
      <c r="Q1227" t="s">
        <v>125</v>
      </c>
      <c r="R1227" t="s">
        <v>125</v>
      </c>
      <c r="S1227" t="s">
        <v>125</v>
      </c>
      <c r="T1227">
        <v>622</v>
      </c>
      <c r="V1227" t="s">
        <v>125</v>
      </c>
      <c r="AE1227" t="s">
        <v>125</v>
      </c>
      <c r="AF1227">
        <v>0</v>
      </c>
      <c r="AG1227" t="s">
        <v>125</v>
      </c>
      <c r="AH1227">
        <v>0</v>
      </c>
      <c r="AK1227">
        <v>0</v>
      </c>
    </row>
    <row r="1228" spans="1:37" x14ac:dyDescent="0.25">
      <c r="A1228" t="s">
        <v>79</v>
      </c>
      <c r="B1228">
        <v>5</v>
      </c>
      <c r="C1228">
        <v>2</v>
      </c>
      <c r="D1228">
        <v>4</v>
      </c>
      <c r="E1228">
        <v>12</v>
      </c>
      <c r="G1228">
        <v>524</v>
      </c>
      <c r="H1228" t="s">
        <v>1707</v>
      </c>
      <c r="I1228" t="s">
        <v>133</v>
      </c>
      <c r="J1228" t="s">
        <v>1751</v>
      </c>
      <c r="L1228">
        <v>0</v>
      </c>
      <c r="M1228" t="s">
        <v>125</v>
      </c>
      <c r="O1228" t="s">
        <v>125</v>
      </c>
      <c r="P1228" t="s">
        <v>125</v>
      </c>
      <c r="Q1228" t="s">
        <v>125</v>
      </c>
      <c r="R1228" t="s">
        <v>125</v>
      </c>
      <c r="S1228" t="s">
        <v>125</v>
      </c>
      <c r="T1228">
        <v>622</v>
      </c>
      <c r="V1228" t="s">
        <v>125</v>
      </c>
      <c r="AE1228" t="s">
        <v>125</v>
      </c>
      <c r="AF1228">
        <v>0</v>
      </c>
      <c r="AG1228" t="s">
        <v>125</v>
      </c>
      <c r="AH1228">
        <v>0</v>
      </c>
      <c r="AK1228">
        <v>0</v>
      </c>
    </row>
    <row r="1229" spans="1:37" x14ac:dyDescent="0.25">
      <c r="A1229" t="s">
        <v>79</v>
      </c>
      <c r="B1229">
        <v>5</v>
      </c>
      <c r="C1229">
        <v>2</v>
      </c>
      <c r="D1229">
        <v>4</v>
      </c>
      <c r="E1229">
        <v>13</v>
      </c>
      <c r="G1229">
        <v>524</v>
      </c>
      <c r="H1229" t="s">
        <v>1707</v>
      </c>
      <c r="I1229" t="s">
        <v>135</v>
      </c>
      <c r="J1229" t="s">
        <v>1752</v>
      </c>
      <c r="L1229">
        <v>0</v>
      </c>
      <c r="M1229" t="s">
        <v>125</v>
      </c>
      <c r="O1229" t="s">
        <v>125</v>
      </c>
      <c r="P1229" t="s">
        <v>125</v>
      </c>
      <c r="Q1229" t="s">
        <v>125</v>
      </c>
      <c r="R1229" t="s">
        <v>125</v>
      </c>
      <c r="S1229" t="s">
        <v>125</v>
      </c>
      <c r="T1229">
        <v>622</v>
      </c>
      <c r="V1229" t="s">
        <v>125</v>
      </c>
      <c r="AE1229" t="s">
        <v>125</v>
      </c>
      <c r="AF1229">
        <v>0</v>
      </c>
      <c r="AG1229" t="s">
        <v>125</v>
      </c>
      <c r="AH1229">
        <v>0</v>
      </c>
      <c r="AK1229">
        <v>0</v>
      </c>
    </row>
    <row r="1230" spans="1:37" x14ac:dyDescent="0.25">
      <c r="A1230" t="s">
        <v>79</v>
      </c>
      <c r="B1230">
        <v>5</v>
      </c>
      <c r="C1230">
        <v>2</v>
      </c>
      <c r="D1230">
        <v>4</v>
      </c>
      <c r="E1230">
        <v>14</v>
      </c>
      <c r="G1230">
        <v>524</v>
      </c>
      <c r="H1230" t="s">
        <v>1707</v>
      </c>
      <c r="I1230" t="s">
        <v>137</v>
      </c>
      <c r="J1230" t="s">
        <v>1753</v>
      </c>
      <c r="L1230">
        <v>0</v>
      </c>
      <c r="M1230" t="s">
        <v>125</v>
      </c>
      <c r="O1230" t="s">
        <v>125</v>
      </c>
      <c r="P1230" t="s">
        <v>125</v>
      </c>
      <c r="Q1230" t="s">
        <v>125</v>
      </c>
      <c r="R1230" t="s">
        <v>125</v>
      </c>
      <c r="S1230" t="s">
        <v>125</v>
      </c>
      <c r="T1230">
        <v>622</v>
      </c>
      <c r="V1230" t="s">
        <v>125</v>
      </c>
      <c r="AE1230" t="s">
        <v>125</v>
      </c>
      <c r="AF1230">
        <v>0</v>
      </c>
      <c r="AG1230" t="s">
        <v>125</v>
      </c>
      <c r="AH1230">
        <v>0</v>
      </c>
      <c r="AK1230">
        <v>0</v>
      </c>
    </row>
    <row r="1231" spans="1:37" x14ac:dyDescent="0.25">
      <c r="A1231" t="s">
        <v>79</v>
      </c>
      <c r="B1231">
        <v>5</v>
      </c>
      <c r="C1231">
        <v>2</v>
      </c>
      <c r="D1231">
        <v>4</v>
      </c>
      <c r="E1231">
        <v>15</v>
      </c>
      <c r="G1231">
        <v>524</v>
      </c>
      <c r="H1231" t="s">
        <v>1707</v>
      </c>
      <c r="I1231" t="s">
        <v>139</v>
      </c>
      <c r="J1231" t="s">
        <v>1754</v>
      </c>
      <c r="L1231">
        <v>0</v>
      </c>
      <c r="M1231" t="s">
        <v>125</v>
      </c>
      <c r="O1231" t="s">
        <v>125</v>
      </c>
      <c r="P1231" t="s">
        <v>125</v>
      </c>
      <c r="Q1231" t="s">
        <v>125</v>
      </c>
      <c r="R1231" t="s">
        <v>125</v>
      </c>
      <c r="S1231" t="s">
        <v>125</v>
      </c>
      <c r="T1231">
        <v>622</v>
      </c>
      <c r="V1231" t="s">
        <v>125</v>
      </c>
      <c r="AE1231" t="s">
        <v>125</v>
      </c>
      <c r="AF1231">
        <v>0</v>
      </c>
      <c r="AG1231" t="s">
        <v>125</v>
      </c>
      <c r="AH1231">
        <v>0</v>
      </c>
      <c r="AK1231">
        <v>0</v>
      </c>
    </row>
    <row r="1232" spans="1:37" x14ac:dyDescent="0.25">
      <c r="L1232">
        <v>0</v>
      </c>
    </row>
    <row r="1233" spans="1:37" x14ac:dyDescent="0.25">
      <c r="A1233" t="s">
        <v>70</v>
      </c>
      <c r="B1233">
        <v>5</v>
      </c>
      <c r="C1233">
        <v>2</v>
      </c>
      <c r="D1233">
        <v>5</v>
      </c>
      <c r="G1233">
        <v>52</v>
      </c>
      <c r="M1233" t="s">
        <v>1755</v>
      </c>
      <c r="O1233" t="s">
        <v>1756</v>
      </c>
      <c r="P1233" t="s">
        <v>1757</v>
      </c>
      <c r="Q1233" t="s">
        <v>1758</v>
      </c>
      <c r="R1233" t="s">
        <v>268</v>
      </c>
      <c r="S1233" t="s">
        <v>1759</v>
      </c>
      <c r="V1233" t="s">
        <v>1760</v>
      </c>
      <c r="X1233" t="s">
        <v>1761</v>
      </c>
      <c r="Y1233" t="s">
        <v>1762</v>
      </c>
      <c r="Z1233" t="s">
        <v>1763</v>
      </c>
      <c r="AA1233" t="s">
        <v>1764</v>
      </c>
      <c r="AB1233" t="s">
        <v>298</v>
      </c>
      <c r="AC1233" t="s">
        <v>1765</v>
      </c>
      <c r="AE1233" t="s">
        <v>1766</v>
      </c>
      <c r="AF1233">
        <v>0</v>
      </c>
      <c r="AG1233" t="s">
        <v>1767</v>
      </c>
      <c r="AH1233">
        <v>0</v>
      </c>
      <c r="AK1233">
        <v>0</v>
      </c>
    </row>
    <row r="1234" spans="1:37" x14ac:dyDescent="0.25">
      <c r="A1234" t="s">
        <v>79</v>
      </c>
      <c r="B1234">
        <v>5</v>
      </c>
      <c r="C1234">
        <v>2</v>
      </c>
      <c r="D1234">
        <v>5</v>
      </c>
      <c r="E1234">
        <v>1</v>
      </c>
      <c r="G1234">
        <v>525</v>
      </c>
      <c r="H1234" t="s">
        <v>1756</v>
      </c>
      <c r="I1234" t="s">
        <v>80</v>
      </c>
      <c r="J1234" t="s">
        <v>1768</v>
      </c>
      <c r="L1234">
        <v>0</v>
      </c>
      <c r="M1234" t="s">
        <v>1769</v>
      </c>
      <c r="O1234" t="s">
        <v>1310</v>
      </c>
      <c r="P1234" t="s">
        <v>1311</v>
      </c>
      <c r="Q1234" t="s">
        <v>1770</v>
      </c>
      <c r="R1234" t="s">
        <v>268</v>
      </c>
      <c r="S1234" t="s">
        <v>1313</v>
      </c>
      <c r="T1234">
        <v>8</v>
      </c>
      <c r="U1234">
        <v>9</v>
      </c>
      <c r="V1234" t="s">
        <v>1771</v>
      </c>
      <c r="AE1234" t="s">
        <v>1772</v>
      </c>
      <c r="AF1234">
        <v>0</v>
      </c>
      <c r="AG1234" t="s">
        <v>1773</v>
      </c>
      <c r="AH1234">
        <v>0</v>
      </c>
      <c r="AK1234">
        <v>0</v>
      </c>
    </row>
    <row r="1235" spans="1:37" x14ac:dyDescent="0.25">
      <c r="A1235" t="s">
        <v>79</v>
      </c>
      <c r="B1235">
        <v>5</v>
      </c>
      <c r="C1235">
        <v>2</v>
      </c>
      <c r="D1235">
        <v>5</v>
      </c>
      <c r="E1235">
        <v>2</v>
      </c>
      <c r="G1235">
        <v>525</v>
      </c>
      <c r="H1235" t="s">
        <v>1756</v>
      </c>
      <c r="I1235" t="s">
        <v>88</v>
      </c>
      <c r="J1235" t="s">
        <v>1774</v>
      </c>
      <c r="L1235">
        <v>0</v>
      </c>
      <c r="M1235" t="s">
        <v>1775</v>
      </c>
      <c r="O1235" t="s">
        <v>1319</v>
      </c>
      <c r="P1235" t="s">
        <v>1320</v>
      </c>
      <c r="Q1235" t="s">
        <v>1776</v>
      </c>
      <c r="R1235" t="s">
        <v>229</v>
      </c>
      <c r="S1235" t="s">
        <v>1322</v>
      </c>
      <c r="T1235">
        <v>8</v>
      </c>
      <c r="U1235">
        <v>3</v>
      </c>
      <c r="V1235" t="s">
        <v>1777</v>
      </c>
      <c r="AE1235" t="s">
        <v>1778</v>
      </c>
      <c r="AF1235">
        <v>0</v>
      </c>
      <c r="AG1235" t="s">
        <v>1779</v>
      </c>
      <c r="AH1235">
        <v>0</v>
      </c>
      <c r="AK1235">
        <v>0</v>
      </c>
    </row>
    <row r="1236" spans="1:37" x14ac:dyDescent="0.25">
      <c r="A1236" t="s">
        <v>79</v>
      </c>
      <c r="B1236">
        <v>5</v>
      </c>
      <c r="C1236">
        <v>2</v>
      </c>
      <c r="D1236">
        <v>5</v>
      </c>
      <c r="E1236">
        <v>3</v>
      </c>
      <c r="G1236">
        <v>525</v>
      </c>
      <c r="H1236" t="s">
        <v>1756</v>
      </c>
      <c r="I1236" t="s">
        <v>95</v>
      </c>
      <c r="J1236" t="s">
        <v>1780</v>
      </c>
      <c r="L1236">
        <v>0</v>
      </c>
      <c r="M1236" t="s">
        <v>1781</v>
      </c>
      <c r="O1236" t="s">
        <v>294</v>
      </c>
      <c r="P1236" t="s">
        <v>295</v>
      </c>
      <c r="Q1236" t="s">
        <v>1782</v>
      </c>
      <c r="R1236" t="s">
        <v>229</v>
      </c>
      <c r="S1236" t="s">
        <v>297</v>
      </c>
      <c r="T1236">
        <v>8</v>
      </c>
      <c r="U1236">
        <v>4</v>
      </c>
      <c r="V1236" t="s">
        <v>1783</v>
      </c>
      <c r="AE1236" t="s">
        <v>1784</v>
      </c>
      <c r="AF1236">
        <v>0</v>
      </c>
      <c r="AG1236" t="s">
        <v>1785</v>
      </c>
      <c r="AH1236">
        <v>0</v>
      </c>
      <c r="AK1236">
        <v>0</v>
      </c>
    </row>
    <row r="1237" spans="1:37" x14ac:dyDescent="0.25">
      <c r="A1237" t="s">
        <v>79</v>
      </c>
      <c r="B1237">
        <v>5</v>
      </c>
      <c r="C1237">
        <v>2</v>
      </c>
      <c r="D1237">
        <v>5</v>
      </c>
      <c r="E1237">
        <v>4</v>
      </c>
      <c r="G1237">
        <v>525</v>
      </c>
      <c r="H1237" t="s">
        <v>1756</v>
      </c>
      <c r="I1237" t="s">
        <v>102</v>
      </c>
      <c r="J1237" t="s">
        <v>1786</v>
      </c>
      <c r="L1237">
        <v>0</v>
      </c>
      <c r="M1237" t="s">
        <v>1787</v>
      </c>
      <c r="O1237" t="s">
        <v>1328</v>
      </c>
      <c r="P1237" t="s">
        <v>1329</v>
      </c>
      <c r="Q1237" t="s">
        <v>1788</v>
      </c>
      <c r="R1237" t="s">
        <v>248</v>
      </c>
      <c r="S1237" t="s">
        <v>1331</v>
      </c>
      <c r="T1237">
        <v>8</v>
      </c>
      <c r="U1237">
        <v>1</v>
      </c>
      <c r="V1237" t="s">
        <v>1789</v>
      </c>
      <c r="AE1237" t="s">
        <v>1790</v>
      </c>
      <c r="AF1237">
        <v>0</v>
      </c>
      <c r="AG1237" t="s">
        <v>1791</v>
      </c>
      <c r="AH1237">
        <v>0</v>
      </c>
      <c r="AK1237">
        <v>0</v>
      </c>
    </row>
    <row r="1238" spans="1:37" x14ac:dyDescent="0.25">
      <c r="A1238" t="s">
        <v>79</v>
      </c>
      <c r="B1238">
        <v>5</v>
      </c>
      <c r="C1238">
        <v>2</v>
      </c>
      <c r="D1238">
        <v>5</v>
      </c>
      <c r="E1238">
        <v>5</v>
      </c>
      <c r="G1238">
        <v>525</v>
      </c>
      <c r="H1238" t="s">
        <v>1756</v>
      </c>
      <c r="I1238" t="s">
        <v>109</v>
      </c>
      <c r="J1238" t="s">
        <v>1792</v>
      </c>
      <c r="L1238">
        <v>0</v>
      </c>
      <c r="M1238" t="s">
        <v>1793</v>
      </c>
      <c r="O1238" t="s">
        <v>1336</v>
      </c>
      <c r="P1238" t="s">
        <v>1337</v>
      </c>
      <c r="Q1238" t="s">
        <v>1794</v>
      </c>
      <c r="R1238" t="s">
        <v>258</v>
      </c>
      <c r="S1238" t="s">
        <v>1339</v>
      </c>
      <c r="T1238">
        <v>8</v>
      </c>
      <c r="U1238">
        <v>1</v>
      </c>
      <c r="V1238" t="s">
        <v>1283</v>
      </c>
      <c r="AE1238" t="s">
        <v>1284</v>
      </c>
      <c r="AF1238">
        <v>0</v>
      </c>
      <c r="AG1238" t="s">
        <v>1795</v>
      </c>
      <c r="AH1238">
        <v>0</v>
      </c>
      <c r="AK1238">
        <v>0</v>
      </c>
    </row>
    <row r="1239" spans="1:37" x14ac:dyDescent="0.25">
      <c r="A1239" t="s">
        <v>79</v>
      </c>
      <c r="B1239">
        <v>5</v>
      </c>
      <c r="C1239">
        <v>2</v>
      </c>
      <c r="D1239">
        <v>5</v>
      </c>
      <c r="E1239">
        <v>6</v>
      </c>
      <c r="G1239">
        <v>525</v>
      </c>
      <c r="H1239" t="s">
        <v>1756</v>
      </c>
      <c r="I1239" t="s">
        <v>116</v>
      </c>
      <c r="J1239" t="s">
        <v>1796</v>
      </c>
      <c r="L1239">
        <v>0</v>
      </c>
      <c r="M1239" t="s">
        <v>125</v>
      </c>
      <c r="O1239" t="s">
        <v>125</v>
      </c>
      <c r="P1239" t="s">
        <v>125</v>
      </c>
      <c r="Q1239" t="s">
        <v>125</v>
      </c>
      <c r="R1239" t="s">
        <v>125</v>
      </c>
      <c r="S1239" t="s">
        <v>125</v>
      </c>
      <c r="T1239">
        <v>8</v>
      </c>
      <c r="V1239" t="s">
        <v>125</v>
      </c>
      <c r="AE1239" t="s">
        <v>125</v>
      </c>
      <c r="AF1239">
        <v>0</v>
      </c>
      <c r="AG1239" t="s">
        <v>125</v>
      </c>
      <c r="AH1239">
        <v>0</v>
      </c>
      <c r="AK1239">
        <v>0</v>
      </c>
    </row>
    <row r="1240" spans="1:37" x14ac:dyDescent="0.25">
      <c r="A1240" t="s">
        <v>79</v>
      </c>
      <c r="B1240">
        <v>5</v>
      </c>
      <c r="C1240">
        <v>2</v>
      </c>
      <c r="D1240">
        <v>5</v>
      </c>
      <c r="E1240">
        <v>7</v>
      </c>
      <c r="G1240">
        <v>525</v>
      </c>
      <c r="H1240" t="s">
        <v>1756</v>
      </c>
      <c r="I1240" t="s">
        <v>123</v>
      </c>
      <c r="J1240" t="s">
        <v>1797</v>
      </c>
      <c r="L1240">
        <v>0</v>
      </c>
      <c r="M1240" t="s">
        <v>125</v>
      </c>
      <c r="O1240" t="s">
        <v>125</v>
      </c>
      <c r="P1240" t="s">
        <v>125</v>
      </c>
      <c r="Q1240" t="s">
        <v>125</v>
      </c>
      <c r="R1240" t="s">
        <v>125</v>
      </c>
      <c r="S1240" t="s">
        <v>125</v>
      </c>
      <c r="T1240">
        <v>8</v>
      </c>
      <c r="V1240" t="s">
        <v>125</v>
      </c>
      <c r="AE1240" t="s">
        <v>125</v>
      </c>
      <c r="AF1240">
        <v>0</v>
      </c>
      <c r="AG1240" t="s">
        <v>125</v>
      </c>
      <c r="AH1240">
        <v>0</v>
      </c>
      <c r="AK1240">
        <v>0</v>
      </c>
    </row>
    <row r="1241" spans="1:37" x14ac:dyDescent="0.25">
      <c r="A1241" t="s">
        <v>79</v>
      </c>
      <c r="B1241">
        <v>5</v>
      </c>
      <c r="C1241">
        <v>2</v>
      </c>
      <c r="D1241">
        <v>5</v>
      </c>
      <c r="E1241">
        <v>8</v>
      </c>
      <c r="G1241">
        <v>525</v>
      </c>
      <c r="H1241" t="s">
        <v>1756</v>
      </c>
      <c r="I1241" t="s">
        <v>126</v>
      </c>
      <c r="J1241" t="s">
        <v>1798</v>
      </c>
      <c r="L1241">
        <v>0</v>
      </c>
      <c r="M1241" t="s">
        <v>125</v>
      </c>
      <c r="O1241" t="s">
        <v>125</v>
      </c>
      <c r="P1241" t="s">
        <v>125</v>
      </c>
      <c r="Q1241" t="s">
        <v>125</v>
      </c>
      <c r="R1241" t="s">
        <v>125</v>
      </c>
      <c r="S1241" t="s">
        <v>125</v>
      </c>
      <c r="T1241">
        <v>8</v>
      </c>
      <c r="V1241" t="s">
        <v>125</v>
      </c>
      <c r="AE1241" t="s">
        <v>125</v>
      </c>
      <c r="AF1241">
        <v>0</v>
      </c>
      <c r="AG1241" t="s">
        <v>125</v>
      </c>
      <c r="AH1241">
        <v>0</v>
      </c>
      <c r="AK1241">
        <v>0</v>
      </c>
    </row>
    <row r="1242" spans="1:37" x14ac:dyDescent="0.25">
      <c r="A1242" t="s">
        <v>79</v>
      </c>
      <c r="B1242">
        <v>5</v>
      </c>
      <c r="C1242">
        <v>2</v>
      </c>
      <c r="D1242">
        <v>5</v>
      </c>
      <c r="E1242">
        <v>9</v>
      </c>
      <c r="G1242">
        <v>525</v>
      </c>
      <c r="H1242" t="s">
        <v>1756</v>
      </c>
      <c r="I1242" t="s">
        <v>74</v>
      </c>
      <c r="J1242" t="s">
        <v>1799</v>
      </c>
      <c r="L1242">
        <v>0</v>
      </c>
      <c r="M1242" t="s">
        <v>125</v>
      </c>
      <c r="O1242" t="s">
        <v>125</v>
      </c>
      <c r="P1242" t="s">
        <v>125</v>
      </c>
      <c r="Q1242" t="s">
        <v>125</v>
      </c>
      <c r="R1242" t="s">
        <v>125</v>
      </c>
      <c r="S1242" t="s">
        <v>125</v>
      </c>
      <c r="T1242">
        <v>8</v>
      </c>
      <c r="V1242" t="s">
        <v>125</v>
      </c>
      <c r="AE1242" t="s">
        <v>125</v>
      </c>
      <c r="AF1242">
        <v>0</v>
      </c>
      <c r="AG1242" t="s">
        <v>125</v>
      </c>
      <c r="AH1242">
        <v>0</v>
      </c>
      <c r="AK1242">
        <v>0</v>
      </c>
    </row>
    <row r="1243" spans="1:37" x14ac:dyDescent="0.25">
      <c r="A1243" t="s">
        <v>79</v>
      </c>
      <c r="B1243">
        <v>5</v>
      </c>
      <c r="C1243">
        <v>2</v>
      </c>
      <c r="D1243">
        <v>5</v>
      </c>
      <c r="E1243">
        <v>10</v>
      </c>
      <c r="G1243">
        <v>525</v>
      </c>
      <c r="H1243" t="s">
        <v>1756</v>
      </c>
      <c r="I1243" t="s">
        <v>129</v>
      </c>
      <c r="J1243" t="s">
        <v>1800</v>
      </c>
      <c r="L1243">
        <v>0</v>
      </c>
      <c r="M1243" t="s">
        <v>125</v>
      </c>
      <c r="O1243" t="s">
        <v>125</v>
      </c>
      <c r="P1243" t="s">
        <v>125</v>
      </c>
      <c r="Q1243" t="s">
        <v>125</v>
      </c>
      <c r="R1243" t="s">
        <v>125</v>
      </c>
      <c r="S1243" t="s">
        <v>125</v>
      </c>
      <c r="T1243">
        <v>8</v>
      </c>
      <c r="V1243" t="s">
        <v>125</v>
      </c>
      <c r="AE1243" t="s">
        <v>125</v>
      </c>
      <c r="AF1243">
        <v>0</v>
      </c>
      <c r="AG1243" t="s">
        <v>125</v>
      </c>
      <c r="AH1243">
        <v>0</v>
      </c>
      <c r="AK1243">
        <v>0</v>
      </c>
    </row>
    <row r="1244" spans="1:37" x14ac:dyDescent="0.25">
      <c r="A1244" t="s">
        <v>79</v>
      </c>
      <c r="B1244">
        <v>5</v>
      </c>
      <c r="C1244">
        <v>2</v>
      </c>
      <c r="D1244">
        <v>5</v>
      </c>
      <c r="E1244">
        <v>11</v>
      </c>
      <c r="G1244">
        <v>525</v>
      </c>
      <c r="H1244" t="s">
        <v>1756</v>
      </c>
      <c r="I1244" t="s">
        <v>131</v>
      </c>
      <c r="J1244" t="s">
        <v>1801</v>
      </c>
      <c r="L1244">
        <v>0</v>
      </c>
      <c r="M1244" t="s">
        <v>125</v>
      </c>
      <c r="O1244" t="s">
        <v>125</v>
      </c>
      <c r="P1244" t="s">
        <v>125</v>
      </c>
      <c r="Q1244" t="s">
        <v>125</v>
      </c>
      <c r="R1244" t="s">
        <v>125</v>
      </c>
      <c r="S1244" t="s">
        <v>125</v>
      </c>
      <c r="T1244">
        <v>8</v>
      </c>
      <c r="V1244" t="s">
        <v>125</v>
      </c>
      <c r="AE1244" t="s">
        <v>125</v>
      </c>
      <c r="AF1244">
        <v>0</v>
      </c>
      <c r="AG1244" t="s">
        <v>125</v>
      </c>
      <c r="AH1244">
        <v>0</v>
      </c>
      <c r="AK1244">
        <v>0</v>
      </c>
    </row>
    <row r="1245" spans="1:37" x14ac:dyDescent="0.25">
      <c r="A1245" t="s">
        <v>79</v>
      </c>
      <c r="B1245">
        <v>5</v>
      </c>
      <c r="C1245">
        <v>2</v>
      </c>
      <c r="D1245">
        <v>5</v>
      </c>
      <c r="E1245">
        <v>12</v>
      </c>
      <c r="G1245">
        <v>525</v>
      </c>
      <c r="H1245" t="s">
        <v>1756</v>
      </c>
      <c r="I1245" t="s">
        <v>133</v>
      </c>
      <c r="J1245" t="s">
        <v>1802</v>
      </c>
      <c r="L1245">
        <v>0</v>
      </c>
      <c r="M1245" t="s">
        <v>125</v>
      </c>
      <c r="O1245" t="s">
        <v>125</v>
      </c>
      <c r="P1245" t="s">
        <v>125</v>
      </c>
      <c r="Q1245" t="s">
        <v>125</v>
      </c>
      <c r="R1245" t="s">
        <v>125</v>
      </c>
      <c r="S1245" t="s">
        <v>125</v>
      </c>
      <c r="T1245">
        <v>8</v>
      </c>
      <c r="V1245" t="s">
        <v>125</v>
      </c>
      <c r="AE1245" t="s">
        <v>125</v>
      </c>
      <c r="AF1245">
        <v>0</v>
      </c>
      <c r="AG1245" t="s">
        <v>125</v>
      </c>
      <c r="AH1245">
        <v>0</v>
      </c>
      <c r="AK1245">
        <v>0</v>
      </c>
    </row>
    <row r="1246" spans="1:37" x14ac:dyDescent="0.25">
      <c r="A1246" t="s">
        <v>79</v>
      </c>
      <c r="B1246">
        <v>5</v>
      </c>
      <c r="C1246">
        <v>2</v>
      </c>
      <c r="D1246">
        <v>5</v>
      </c>
      <c r="E1246">
        <v>13</v>
      </c>
      <c r="G1246">
        <v>525</v>
      </c>
      <c r="H1246" t="s">
        <v>1756</v>
      </c>
      <c r="I1246" t="s">
        <v>135</v>
      </c>
      <c r="J1246" t="s">
        <v>1803</v>
      </c>
      <c r="L1246">
        <v>0</v>
      </c>
      <c r="M1246" t="s">
        <v>125</v>
      </c>
      <c r="O1246" t="s">
        <v>125</v>
      </c>
      <c r="P1246" t="s">
        <v>125</v>
      </c>
      <c r="Q1246" t="s">
        <v>125</v>
      </c>
      <c r="R1246" t="s">
        <v>125</v>
      </c>
      <c r="S1246" t="s">
        <v>125</v>
      </c>
      <c r="T1246">
        <v>8</v>
      </c>
      <c r="V1246" t="s">
        <v>125</v>
      </c>
      <c r="AE1246" t="s">
        <v>125</v>
      </c>
      <c r="AF1246">
        <v>0</v>
      </c>
      <c r="AG1246" t="s">
        <v>125</v>
      </c>
      <c r="AH1246">
        <v>0</v>
      </c>
      <c r="AK1246">
        <v>0</v>
      </c>
    </row>
    <row r="1247" spans="1:37" x14ac:dyDescent="0.25">
      <c r="A1247" t="s">
        <v>79</v>
      </c>
      <c r="B1247">
        <v>5</v>
      </c>
      <c r="C1247">
        <v>2</v>
      </c>
      <c r="D1247">
        <v>5</v>
      </c>
      <c r="E1247">
        <v>14</v>
      </c>
      <c r="G1247">
        <v>525</v>
      </c>
      <c r="H1247" t="s">
        <v>1756</v>
      </c>
      <c r="I1247" t="s">
        <v>137</v>
      </c>
      <c r="J1247" t="s">
        <v>1804</v>
      </c>
      <c r="L1247">
        <v>0</v>
      </c>
      <c r="M1247" t="s">
        <v>125</v>
      </c>
      <c r="O1247" t="s">
        <v>125</v>
      </c>
      <c r="P1247" t="s">
        <v>125</v>
      </c>
      <c r="Q1247" t="s">
        <v>125</v>
      </c>
      <c r="R1247" t="s">
        <v>125</v>
      </c>
      <c r="S1247" t="s">
        <v>125</v>
      </c>
      <c r="T1247">
        <v>8</v>
      </c>
      <c r="V1247" t="s">
        <v>125</v>
      </c>
      <c r="AE1247" t="s">
        <v>125</v>
      </c>
      <c r="AF1247">
        <v>0</v>
      </c>
      <c r="AG1247" t="s">
        <v>125</v>
      </c>
      <c r="AH1247">
        <v>0</v>
      </c>
      <c r="AK1247">
        <v>0</v>
      </c>
    </row>
    <row r="1248" spans="1:37" x14ac:dyDescent="0.25">
      <c r="A1248" t="s">
        <v>79</v>
      </c>
      <c r="B1248">
        <v>5</v>
      </c>
      <c r="C1248">
        <v>2</v>
      </c>
      <c r="D1248">
        <v>5</v>
      </c>
      <c r="E1248">
        <v>15</v>
      </c>
      <c r="G1248">
        <v>525</v>
      </c>
      <c r="H1248" t="s">
        <v>1756</v>
      </c>
      <c r="I1248" t="s">
        <v>139</v>
      </c>
      <c r="J1248" t="s">
        <v>1805</v>
      </c>
      <c r="L1248">
        <v>0</v>
      </c>
      <c r="M1248" t="s">
        <v>125</v>
      </c>
      <c r="O1248" t="s">
        <v>125</v>
      </c>
      <c r="P1248" t="s">
        <v>125</v>
      </c>
      <c r="Q1248" t="s">
        <v>125</v>
      </c>
      <c r="R1248" t="s">
        <v>125</v>
      </c>
      <c r="S1248" t="s">
        <v>125</v>
      </c>
      <c r="T1248">
        <v>8</v>
      </c>
      <c r="V1248" t="s">
        <v>125</v>
      </c>
      <c r="AE1248" t="s">
        <v>125</v>
      </c>
      <c r="AF1248">
        <v>0</v>
      </c>
      <c r="AG1248" t="s">
        <v>125</v>
      </c>
      <c r="AH1248">
        <v>0</v>
      </c>
      <c r="AK1248">
        <v>0</v>
      </c>
    </row>
    <row r="1249" spans="1:37" x14ac:dyDescent="0.25">
      <c r="L1249">
        <v>0</v>
      </c>
    </row>
    <row r="1250" spans="1:37" x14ac:dyDescent="0.25">
      <c r="L1250">
        <v>0</v>
      </c>
    </row>
    <row r="1251" spans="1:37" x14ac:dyDescent="0.25">
      <c r="A1251" t="s">
        <v>66</v>
      </c>
      <c r="B1251">
        <v>5</v>
      </c>
      <c r="C1251">
        <v>3</v>
      </c>
      <c r="G1251">
        <v>5</v>
      </c>
      <c r="H1251" t="s">
        <v>1356</v>
      </c>
      <c r="I1251" t="s">
        <v>1806</v>
      </c>
      <c r="M1251" t="s">
        <v>1807</v>
      </c>
      <c r="N1251" t="s">
        <v>1806</v>
      </c>
      <c r="P1251" t="s">
        <v>1808</v>
      </c>
      <c r="V1251" t="s">
        <v>1809</v>
      </c>
      <c r="Y1251" t="s">
        <v>1810</v>
      </c>
      <c r="AA1251" t="s">
        <v>1811</v>
      </c>
      <c r="AC1251" t="s">
        <v>1812</v>
      </c>
      <c r="AE1251" t="s">
        <v>1813</v>
      </c>
      <c r="AF1251">
        <v>0</v>
      </c>
      <c r="AG1251" t="s">
        <v>1814</v>
      </c>
      <c r="AH1251">
        <v>0</v>
      </c>
      <c r="AK1251">
        <v>0</v>
      </c>
    </row>
    <row r="1252" spans="1:37" x14ac:dyDescent="0.25">
      <c r="L1252">
        <v>0</v>
      </c>
    </row>
    <row r="1253" spans="1:37" x14ac:dyDescent="0.25">
      <c r="A1253" t="s">
        <v>70</v>
      </c>
      <c r="B1253">
        <v>5</v>
      </c>
      <c r="C1253">
        <v>3</v>
      </c>
      <c r="D1253">
        <v>1</v>
      </c>
      <c r="G1253">
        <v>53</v>
      </c>
      <c r="M1253" t="s">
        <v>1815</v>
      </c>
      <c r="O1253" t="s">
        <v>1816</v>
      </c>
      <c r="P1253" t="s">
        <v>1817</v>
      </c>
      <c r="Q1253" t="s">
        <v>1818</v>
      </c>
      <c r="R1253" t="s">
        <v>268</v>
      </c>
      <c r="S1253" t="s">
        <v>1819</v>
      </c>
      <c r="V1253" t="s">
        <v>1820</v>
      </c>
      <c r="X1253" t="s">
        <v>1821</v>
      </c>
      <c r="Y1253" t="s">
        <v>1822</v>
      </c>
      <c r="Z1253" t="s">
        <v>1823</v>
      </c>
      <c r="AA1253" t="s">
        <v>1824</v>
      </c>
      <c r="AB1253" t="s">
        <v>63</v>
      </c>
      <c r="AC1253" t="s">
        <v>63</v>
      </c>
      <c r="AE1253" t="s">
        <v>1825</v>
      </c>
      <c r="AF1253">
        <v>0</v>
      </c>
      <c r="AG1253" t="s">
        <v>1826</v>
      </c>
      <c r="AH1253">
        <v>0</v>
      </c>
      <c r="AK1253">
        <v>0</v>
      </c>
    </row>
    <row r="1254" spans="1:37" x14ac:dyDescent="0.25">
      <c r="A1254" t="s">
        <v>79</v>
      </c>
      <c r="B1254">
        <v>5</v>
      </c>
      <c r="C1254">
        <v>3</v>
      </c>
      <c r="D1254">
        <v>1</v>
      </c>
      <c r="E1254">
        <v>1</v>
      </c>
      <c r="G1254">
        <v>531</v>
      </c>
      <c r="H1254" t="s">
        <v>1816</v>
      </c>
      <c r="I1254" t="s">
        <v>80</v>
      </c>
      <c r="J1254" t="s">
        <v>1827</v>
      </c>
      <c r="L1254">
        <v>0</v>
      </c>
      <c r="M1254" t="s">
        <v>1828</v>
      </c>
      <c r="O1254" t="s">
        <v>1319</v>
      </c>
      <c r="P1254" t="s">
        <v>1320</v>
      </c>
      <c r="Q1254" t="s">
        <v>1829</v>
      </c>
      <c r="R1254" t="s">
        <v>229</v>
      </c>
      <c r="S1254" t="s">
        <v>1322</v>
      </c>
      <c r="T1254">
        <v>19</v>
      </c>
      <c r="U1254">
        <v>28</v>
      </c>
      <c r="V1254" t="s">
        <v>1830</v>
      </c>
      <c r="AE1254" t="s">
        <v>1831</v>
      </c>
      <c r="AF1254">
        <v>0</v>
      </c>
      <c r="AG1254" t="s">
        <v>1832</v>
      </c>
      <c r="AH1254">
        <v>0</v>
      </c>
      <c r="AK1254">
        <v>0</v>
      </c>
    </row>
    <row r="1255" spans="1:37" x14ac:dyDescent="0.25">
      <c r="A1255" t="s">
        <v>79</v>
      </c>
      <c r="B1255">
        <v>5</v>
      </c>
      <c r="C1255">
        <v>3</v>
      </c>
      <c r="D1255">
        <v>1</v>
      </c>
      <c r="E1255">
        <v>2</v>
      </c>
      <c r="G1255">
        <v>531</v>
      </c>
      <c r="H1255" t="s">
        <v>1816</v>
      </c>
      <c r="I1255" t="s">
        <v>88</v>
      </c>
      <c r="J1255" t="s">
        <v>1833</v>
      </c>
      <c r="L1255">
        <v>0</v>
      </c>
      <c r="M1255" t="s">
        <v>1834</v>
      </c>
      <c r="O1255" t="s">
        <v>294</v>
      </c>
      <c r="P1255" t="s">
        <v>295</v>
      </c>
      <c r="Q1255" t="s">
        <v>1835</v>
      </c>
      <c r="R1255" t="s">
        <v>229</v>
      </c>
      <c r="S1255" t="s">
        <v>297</v>
      </c>
      <c r="T1255">
        <v>19</v>
      </c>
      <c r="U1255">
        <v>80</v>
      </c>
      <c r="V1255" t="s">
        <v>1836</v>
      </c>
      <c r="AE1255" t="s">
        <v>1837</v>
      </c>
      <c r="AF1255">
        <v>0</v>
      </c>
      <c r="AG1255" t="s">
        <v>1838</v>
      </c>
      <c r="AH1255">
        <v>0</v>
      </c>
      <c r="AK1255">
        <v>0</v>
      </c>
    </row>
    <row r="1256" spans="1:37" x14ac:dyDescent="0.25">
      <c r="A1256" t="s">
        <v>79</v>
      </c>
      <c r="B1256">
        <v>5</v>
      </c>
      <c r="C1256">
        <v>3</v>
      </c>
      <c r="D1256">
        <v>1</v>
      </c>
      <c r="E1256">
        <v>3</v>
      </c>
      <c r="G1256">
        <v>531</v>
      </c>
      <c r="H1256" t="s">
        <v>1816</v>
      </c>
      <c r="I1256" t="s">
        <v>95</v>
      </c>
      <c r="J1256" t="s">
        <v>1839</v>
      </c>
      <c r="L1256">
        <v>0</v>
      </c>
      <c r="M1256" t="s">
        <v>125</v>
      </c>
      <c r="O1256" t="s">
        <v>125</v>
      </c>
      <c r="P1256" t="s">
        <v>125</v>
      </c>
      <c r="Q1256" t="s">
        <v>125</v>
      </c>
      <c r="R1256" t="s">
        <v>125</v>
      </c>
      <c r="S1256" t="s">
        <v>125</v>
      </c>
      <c r="T1256">
        <v>19</v>
      </c>
      <c r="V1256" t="s">
        <v>125</v>
      </c>
      <c r="AE1256" t="s">
        <v>125</v>
      </c>
      <c r="AF1256">
        <v>0</v>
      </c>
      <c r="AG1256" t="s">
        <v>125</v>
      </c>
      <c r="AH1256">
        <v>0</v>
      </c>
      <c r="AK1256">
        <v>0</v>
      </c>
    </row>
    <row r="1257" spans="1:37" x14ac:dyDescent="0.25">
      <c r="A1257" t="s">
        <v>79</v>
      </c>
      <c r="B1257">
        <v>5</v>
      </c>
      <c r="C1257">
        <v>3</v>
      </c>
      <c r="D1257">
        <v>1</v>
      </c>
      <c r="E1257">
        <v>4</v>
      </c>
      <c r="G1257">
        <v>531</v>
      </c>
      <c r="H1257" t="s">
        <v>1816</v>
      </c>
      <c r="I1257" t="s">
        <v>102</v>
      </c>
      <c r="J1257" t="s">
        <v>1840</v>
      </c>
      <c r="L1257">
        <v>0</v>
      </c>
      <c r="M1257" t="s">
        <v>125</v>
      </c>
      <c r="O1257" t="s">
        <v>125</v>
      </c>
      <c r="P1257" t="s">
        <v>125</v>
      </c>
      <c r="Q1257" t="s">
        <v>125</v>
      </c>
      <c r="R1257" t="s">
        <v>125</v>
      </c>
      <c r="S1257" t="s">
        <v>125</v>
      </c>
      <c r="T1257">
        <v>19</v>
      </c>
      <c r="V1257" t="s">
        <v>125</v>
      </c>
      <c r="AE1257" t="s">
        <v>125</v>
      </c>
      <c r="AF1257">
        <v>0</v>
      </c>
      <c r="AG1257" t="s">
        <v>125</v>
      </c>
      <c r="AH1257">
        <v>0</v>
      </c>
      <c r="AK1257">
        <v>0</v>
      </c>
    </row>
    <row r="1258" spans="1:37" x14ac:dyDescent="0.25">
      <c r="A1258" t="s">
        <v>79</v>
      </c>
      <c r="B1258">
        <v>5</v>
      </c>
      <c r="C1258">
        <v>3</v>
      </c>
      <c r="D1258">
        <v>1</v>
      </c>
      <c r="E1258">
        <v>5</v>
      </c>
      <c r="G1258">
        <v>531</v>
      </c>
      <c r="H1258" t="s">
        <v>1816</v>
      </c>
      <c r="I1258" t="s">
        <v>109</v>
      </c>
      <c r="J1258" t="s">
        <v>1841</v>
      </c>
      <c r="L1258">
        <v>0</v>
      </c>
      <c r="M1258" t="s">
        <v>125</v>
      </c>
      <c r="O1258" t="s">
        <v>125</v>
      </c>
      <c r="P1258" t="s">
        <v>125</v>
      </c>
      <c r="Q1258" t="s">
        <v>125</v>
      </c>
      <c r="R1258" t="s">
        <v>125</v>
      </c>
      <c r="S1258" t="s">
        <v>125</v>
      </c>
      <c r="T1258">
        <v>19</v>
      </c>
      <c r="V1258" t="s">
        <v>125</v>
      </c>
      <c r="AE1258" t="s">
        <v>125</v>
      </c>
      <c r="AF1258">
        <v>0</v>
      </c>
      <c r="AG1258" t="s">
        <v>125</v>
      </c>
      <c r="AH1258">
        <v>0</v>
      </c>
      <c r="AK1258">
        <v>0</v>
      </c>
    </row>
    <row r="1259" spans="1:37" x14ac:dyDescent="0.25">
      <c r="A1259" t="s">
        <v>79</v>
      </c>
      <c r="B1259">
        <v>5</v>
      </c>
      <c r="C1259">
        <v>3</v>
      </c>
      <c r="D1259">
        <v>1</v>
      </c>
      <c r="E1259">
        <v>6</v>
      </c>
      <c r="G1259">
        <v>531</v>
      </c>
      <c r="H1259" t="s">
        <v>1816</v>
      </c>
      <c r="I1259" t="s">
        <v>116</v>
      </c>
      <c r="J1259" t="s">
        <v>1842</v>
      </c>
      <c r="L1259">
        <v>0</v>
      </c>
      <c r="M1259" t="s">
        <v>125</v>
      </c>
      <c r="O1259" t="s">
        <v>125</v>
      </c>
      <c r="P1259" t="s">
        <v>125</v>
      </c>
      <c r="Q1259" t="s">
        <v>125</v>
      </c>
      <c r="R1259" t="s">
        <v>125</v>
      </c>
      <c r="S1259" t="s">
        <v>125</v>
      </c>
      <c r="T1259">
        <v>19</v>
      </c>
      <c r="V1259" t="s">
        <v>125</v>
      </c>
      <c r="AE1259" t="s">
        <v>125</v>
      </c>
      <c r="AF1259">
        <v>0</v>
      </c>
      <c r="AG1259" t="s">
        <v>125</v>
      </c>
      <c r="AH1259">
        <v>0</v>
      </c>
      <c r="AK1259">
        <v>0</v>
      </c>
    </row>
    <row r="1260" spans="1:37" x14ac:dyDescent="0.25">
      <c r="A1260" t="s">
        <v>79</v>
      </c>
      <c r="B1260">
        <v>5</v>
      </c>
      <c r="C1260">
        <v>3</v>
      </c>
      <c r="D1260">
        <v>1</v>
      </c>
      <c r="E1260">
        <v>7</v>
      </c>
      <c r="G1260">
        <v>531</v>
      </c>
      <c r="H1260" t="s">
        <v>1816</v>
      </c>
      <c r="I1260" t="s">
        <v>123</v>
      </c>
      <c r="J1260" t="s">
        <v>1843</v>
      </c>
      <c r="L1260">
        <v>0</v>
      </c>
      <c r="M1260" t="s">
        <v>125</v>
      </c>
      <c r="O1260" t="s">
        <v>125</v>
      </c>
      <c r="P1260" t="s">
        <v>125</v>
      </c>
      <c r="Q1260" t="s">
        <v>125</v>
      </c>
      <c r="R1260" t="s">
        <v>125</v>
      </c>
      <c r="S1260" t="s">
        <v>125</v>
      </c>
      <c r="T1260">
        <v>19</v>
      </c>
      <c r="V1260" t="s">
        <v>125</v>
      </c>
      <c r="AE1260" t="s">
        <v>125</v>
      </c>
      <c r="AF1260">
        <v>0</v>
      </c>
      <c r="AG1260" t="s">
        <v>125</v>
      </c>
      <c r="AH1260">
        <v>0</v>
      </c>
      <c r="AK1260">
        <v>0</v>
      </c>
    </row>
    <row r="1261" spans="1:37" x14ac:dyDescent="0.25">
      <c r="A1261" t="s">
        <v>79</v>
      </c>
      <c r="B1261">
        <v>5</v>
      </c>
      <c r="C1261">
        <v>3</v>
      </c>
      <c r="D1261">
        <v>1</v>
      </c>
      <c r="E1261">
        <v>8</v>
      </c>
      <c r="G1261">
        <v>531</v>
      </c>
      <c r="H1261" t="s">
        <v>1816</v>
      </c>
      <c r="I1261" t="s">
        <v>126</v>
      </c>
      <c r="J1261" t="s">
        <v>1844</v>
      </c>
      <c r="L1261">
        <v>0</v>
      </c>
      <c r="M1261" t="s">
        <v>125</v>
      </c>
      <c r="O1261" t="s">
        <v>125</v>
      </c>
      <c r="P1261" t="s">
        <v>125</v>
      </c>
      <c r="Q1261" t="s">
        <v>125</v>
      </c>
      <c r="R1261" t="s">
        <v>125</v>
      </c>
      <c r="S1261" t="s">
        <v>125</v>
      </c>
      <c r="T1261">
        <v>19</v>
      </c>
      <c r="V1261" t="s">
        <v>125</v>
      </c>
      <c r="AE1261" t="s">
        <v>125</v>
      </c>
      <c r="AF1261">
        <v>0</v>
      </c>
      <c r="AG1261" t="s">
        <v>125</v>
      </c>
      <c r="AH1261">
        <v>0</v>
      </c>
      <c r="AK1261">
        <v>0</v>
      </c>
    </row>
    <row r="1262" spans="1:37" x14ac:dyDescent="0.25">
      <c r="A1262" t="s">
        <v>79</v>
      </c>
      <c r="B1262">
        <v>5</v>
      </c>
      <c r="C1262">
        <v>3</v>
      </c>
      <c r="D1262">
        <v>1</v>
      </c>
      <c r="E1262">
        <v>9</v>
      </c>
      <c r="G1262">
        <v>531</v>
      </c>
      <c r="H1262" t="s">
        <v>1816</v>
      </c>
      <c r="I1262" t="s">
        <v>74</v>
      </c>
      <c r="J1262" t="s">
        <v>1845</v>
      </c>
      <c r="L1262">
        <v>0</v>
      </c>
      <c r="M1262" t="s">
        <v>125</v>
      </c>
      <c r="O1262" t="s">
        <v>125</v>
      </c>
      <c r="P1262" t="s">
        <v>125</v>
      </c>
      <c r="Q1262" t="s">
        <v>125</v>
      </c>
      <c r="R1262" t="s">
        <v>125</v>
      </c>
      <c r="S1262" t="s">
        <v>125</v>
      </c>
      <c r="T1262">
        <v>19</v>
      </c>
      <c r="V1262" t="s">
        <v>125</v>
      </c>
      <c r="AE1262" t="s">
        <v>125</v>
      </c>
      <c r="AF1262">
        <v>0</v>
      </c>
      <c r="AG1262" t="s">
        <v>125</v>
      </c>
      <c r="AH1262">
        <v>0</v>
      </c>
      <c r="AK1262">
        <v>0</v>
      </c>
    </row>
    <row r="1263" spans="1:37" x14ac:dyDescent="0.25">
      <c r="A1263" t="s">
        <v>79</v>
      </c>
      <c r="B1263">
        <v>5</v>
      </c>
      <c r="C1263">
        <v>3</v>
      </c>
      <c r="D1263">
        <v>1</v>
      </c>
      <c r="E1263">
        <v>10</v>
      </c>
      <c r="G1263">
        <v>531</v>
      </c>
      <c r="H1263" t="s">
        <v>1816</v>
      </c>
      <c r="I1263" t="s">
        <v>129</v>
      </c>
      <c r="J1263" t="s">
        <v>1846</v>
      </c>
      <c r="L1263">
        <v>0</v>
      </c>
      <c r="M1263" t="s">
        <v>125</v>
      </c>
      <c r="O1263" t="s">
        <v>125</v>
      </c>
      <c r="P1263" t="s">
        <v>125</v>
      </c>
      <c r="Q1263" t="s">
        <v>125</v>
      </c>
      <c r="R1263" t="s">
        <v>125</v>
      </c>
      <c r="S1263" t="s">
        <v>125</v>
      </c>
      <c r="T1263">
        <v>19</v>
      </c>
      <c r="V1263" t="s">
        <v>125</v>
      </c>
      <c r="AE1263" t="s">
        <v>125</v>
      </c>
      <c r="AF1263">
        <v>0</v>
      </c>
      <c r="AG1263" t="s">
        <v>125</v>
      </c>
      <c r="AH1263">
        <v>0</v>
      </c>
      <c r="AK1263">
        <v>0</v>
      </c>
    </row>
    <row r="1264" spans="1:37" x14ac:dyDescent="0.25">
      <c r="A1264" t="s">
        <v>79</v>
      </c>
      <c r="B1264">
        <v>5</v>
      </c>
      <c r="C1264">
        <v>3</v>
      </c>
      <c r="D1264">
        <v>1</v>
      </c>
      <c r="E1264">
        <v>11</v>
      </c>
      <c r="G1264">
        <v>531</v>
      </c>
      <c r="H1264" t="s">
        <v>1816</v>
      </c>
      <c r="I1264" t="s">
        <v>131</v>
      </c>
      <c r="J1264" t="s">
        <v>1847</v>
      </c>
      <c r="L1264">
        <v>0</v>
      </c>
      <c r="M1264" t="s">
        <v>125</v>
      </c>
      <c r="O1264" t="s">
        <v>125</v>
      </c>
      <c r="P1264" t="s">
        <v>125</v>
      </c>
      <c r="Q1264" t="s">
        <v>125</v>
      </c>
      <c r="R1264" t="s">
        <v>125</v>
      </c>
      <c r="S1264" t="s">
        <v>125</v>
      </c>
      <c r="T1264">
        <v>19</v>
      </c>
      <c r="V1264" t="s">
        <v>125</v>
      </c>
      <c r="AE1264" t="s">
        <v>125</v>
      </c>
      <c r="AF1264">
        <v>0</v>
      </c>
      <c r="AG1264" t="s">
        <v>125</v>
      </c>
      <c r="AH1264">
        <v>0</v>
      </c>
      <c r="AK1264">
        <v>0</v>
      </c>
    </row>
    <row r="1265" spans="1:37" x14ac:dyDescent="0.25">
      <c r="A1265" t="s">
        <v>79</v>
      </c>
      <c r="B1265">
        <v>5</v>
      </c>
      <c r="C1265">
        <v>3</v>
      </c>
      <c r="D1265">
        <v>1</v>
      </c>
      <c r="E1265">
        <v>12</v>
      </c>
      <c r="G1265">
        <v>531</v>
      </c>
      <c r="H1265" t="s">
        <v>1816</v>
      </c>
      <c r="I1265" t="s">
        <v>133</v>
      </c>
      <c r="J1265" t="s">
        <v>1848</v>
      </c>
      <c r="L1265">
        <v>0</v>
      </c>
      <c r="M1265" t="s">
        <v>125</v>
      </c>
      <c r="O1265" t="s">
        <v>125</v>
      </c>
      <c r="P1265" t="s">
        <v>125</v>
      </c>
      <c r="Q1265" t="s">
        <v>125</v>
      </c>
      <c r="R1265" t="s">
        <v>125</v>
      </c>
      <c r="S1265" t="s">
        <v>125</v>
      </c>
      <c r="T1265">
        <v>19</v>
      </c>
      <c r="V1265" t="s">
        <v>125</v>
      </c>
      <c r="AE1265" t="s">
        <v>125</v>
      </c>
      <c r="AF1265">
        <v>0</v>
      </c>
      <c r="AG1265" t="s">
        <v>125</v>
      </c>
      <c r="AH1265">
        <v>0</v>
      </c>
      <c r="AK1265">
        <v>0</v>
      </c>
    </row>
    <row r="1266" spans="1:37" x14ac:dyDescent="0.25">
      <c r="A1266" t="s">
        <v>79</v>
      </c>
      <c r="B1266">
        <v>5</v>
      </c>
      <c r="C1266">
        <v>3</v>
      </c>
      <c r="D1266">
        <v>1</v>
      </c>
      <c r="E1266">
        <v>13</v>
      </c>
      <c r="G1266">
        <v>531</v>
      </c>
      <c r="H1266" t="s">
        <v>1816</v>
      </c>
      <c r="I1266" t="s">
        <v>135</v>
      </c>
      <c r="J1266" t="s">
        <v>1849</v>
      </c>
      <c r="L1266">
        <v>0</v>
      </c>
      <c r="M1266" t="s">
        <v>125</v>
      </c>
      <c r="O1266" t="s">
        <v>125</v>
      </c>
      <c r="P1266" t="s">
        <v>125</v>
      </c>
      <c r="Q1266" t="s">
        <v>125</v>
      </c>
      <c r="R1266" t="s">
        <v>125</v>
      </c>
      <c r="S1266" t="s">
        <v>125</v>
      </c>
      <c r="T1266">
        <v>19</v>
      </c>
      <c r="V1266" t="s">
        <v>125</v>
      </c>
      <c r="AE1266" t="s">
        <v>125</v>
      </c>
      <c r="AF1266">
        <v>0</v>
      </c>
      <c r="AG1266" t="s">
        <v>125</v>
      </c>
      <c r="AH1266">
        <v>0</v>
      </c>
      <c r="AK1266">
        <v>0</v>
      </c>
    </row>
    <row r="1267" spans="1:37" x14ac:dyDescent="0.25">
      <c r="A1267" t="s">
        <v>79</v>
      </c>
      <c r="B1267">
        <v>5</v>
      </c>
      <c r="C1267">
        <v>3</v>
      </c>
      <c r="D1267">
        <v>1</v>
      </c>
      <c r="E1267">
        <v>14</v>
      </c>
      <c r="G1267">
        <v>531</v>
      </c>
      <c r="H1267" t="s">
        <v>1816</v>
      </c>
      <c r="I1267" t="s">
        <v>137</v>
      </c>
      <c r="J1267" t="s">
        <v>1850</v>
      </c>
      <c r="L1267">
        <v>0</v>
      </c>
      <c r="M1267" t="s">
        <v>125</v>
      </c>
      <c r="O1267" t="s">
        <v>125</v>
      </c>
      <c r="P1267" t="s">
        <v>125</v>
      </c>
      <c r="Q1267" t="s">
        <v>125</v>
      </c>
      <c r="R1267" t="s">
        <v>125</v>
      </c>
      <c r="S1267" t="s">
        <v>125</v>
      </c>
      <c r="T1267">
        <v>19</v>
      </c>
      <c r="V1267" t="s">
        <v>125</v>
      </c>
      <c r="AE1267" t="s">
        <v>125</v>
      </c>
      <c r="AF1267">
        <v>0</v>
      </c>
      <c r="AG1267" t="s">
        <v>125</v>
      </c>
      <c r="AH1267">
        <v>0</v>
      </c>
      <c r="AK1267">
        <v>0</v>
      </c>
    </row>
    <row r="1268" spans="1:37" x14ac:dyDescent="0.25">
      <c r="A1268" t="s">
        <v>79</v>
      </c>
      <c r="B1268">
        <v>5</v>
      </c>
      <c r="C1268">
        <v>3</v>
      </c>
      <c r="D1268">
        <v>1</v>
      </c>
      <c r="E1268">
        <v>15</v>
      </c>
      <c r="G1268">
        <v>531</v>
      </c>
      <c r="H1268" t="s">
        <v>1816</v>
      </c>
      <c r="I1268" t="s">
        <v>139</v>
      </c>
      <c r="J1268" t="s">
        <v>1851</v>
      </c>
      <c r="L1268">
        <v>0</v>
      </c>
      <c r="M1268" t="s">
        <v>125</v>
      </c>
      <c r="O1268" t="s">
        <v>125</v>
      </c>
      <c r="P1268" t="s">
        <v>125</v>
      </c>
      <c r="Q1268" t="s">
        <v>125</v>
      </c>
      <c r="R1268" t="s">
        <v>125</v>
      </c>
      <c r="S1268" t="s">
        <v>125</v>
      </c>
      <c r="T1268">
        <v>19</v>
      </c>
      <c r="V1268" t="s">
        <v>125</v>
      </c>
      <c r="AE1268" t="s">
        <v>125</v>
      </c>
      <c r="AF1268">
        <v>0</v>
      </c>
      <c r="AG1268" t="s">
        <v>125</v>
      </c>
      <c r="AH1268">
        <v>0</v>
      </c>
      <c r="AK1268">
        <v>0</v>
      </c>
    </row>
    <row r="1269" spans="1:37" x14ac:dyDescent="0.25">
      <c r="L1269">
        <v>0</v>
      </c>
    </row>
    <row r="1270" spans="1:37" x14ac:dyDescent="0.25">
      <c r="A1270" t="s">
        <v>70</v>
      </c>
      <c r="B1270">
        <v>5</v>
      </c>
      <c r="C1270">
        <v>3</v>
      </c>
      <c r="D1270">
        <v>2</v>
      </c>
      <c r="G1270">
        <v>53</v>
      </c>
      <c r="M1270" t="s">
        <v>1852</v>
      </c>
      <c r="O1270" t="s">
        <v>1576</v>
      </c>
      <c r="P1270" t="s">
        <v>1577</v>
      </c>
      <c r="Q1270" t="s">
        <v>1853</v>
      </c>
      <c r="R1270" t="s">
        <v>179</v>
      </c>
      <c r="S1270" t="s">
        <v>1579</v>
      </c>
      <c r="V1270" t="s">
        <v>1854</v>
      </c>
      <c r="X1270" t="s">
        <v>1581</v>
      </c>
      <c r="Y1270" t="s">
        <v>1855</v>
      </c>
      <c r="Z1270" t="s">
        <v>1583</v>
      </c>
      <c r="AA1270" t="s">
        <v>1856</v>
      </c>
      <c r="AB1270" t="s">
        <v>1585</v>
      </c>
      <c r="AC1270" t="s">
        <v>1857</v>
      </c>
      <c r="AE1270" t="s">
        <v>1858</v>
      </c>
      <c r="AF1270">
        <v>0</v>
      </c>
      <c r="AG1270" t="s">
        <v>1859</v>
      </c>
      <c r="AH1270">
        <v>0</v>
      </c>
      <c r="AK1270">
        <v>0</v>
      </c>
    </row>
    <row r="1271" spans="1:37" x14ac:dyDescent="0.25">
      <c r="A1271" t="s">
        <v>79</v>
      </c>
      <c r="B1271">
        <v>5</v>
      </c>
      <c r="C1271">
        <v>3</v>
      </c>
      <c r="D1271">
        <v>2</v>
      </c>
      <c r="E1271">
        <v>1</v>
      </c>
      <c r="G1271">
        <v>532</v>
      </c>
      <c r="H1271" t="s">
        <v>1576</v>
      </c>
      <c r="I1271" t="s">
        <v>80</v>
      </c>
      <c r="J1271" t="s">
        <v>1589</v>
      </c>
      <c r="L1271">
        <v>0</v>
      </c>
      <c r="M1271" t="s">
        <v>1860</v>
      </c>
      <c r="O1271" t="s">
        <v>1319</v>
      </c>
      <c r="P1271" t="s">
        <v>1320</v>
      </c>
      <c r="Q1271" t="s">
        <v>1591</v>
      </c>
      <c r="R1271" t="s">
        <v>229</v>
      </c>
      <c r="S1271" t="s">
        <v>1322</v>
      </c>
      <c r="T1271">
        <v>26</v>
      </c>
      <c r="U1271">
        <v>8</v>
      </c>
      <c r="V1271" t="s">
        <v>1592</v>
      </c>
      <c r="AE1271" t="s">
        <v>1593</v>
      </c>
      <c r="AF1271">
        <v>0</v>
      </c>
      <c r="AG1271" t="s">
        <v>1861</v>
      </c>
      <c r="AH1271">
        <v>0</v>
      </c>
      <c r="AK1271">
        <v>0</v>
      </c>
    </row>
    <row r="1272" spans="1:37" x14ac:dyDescent="0.25">
      <c r="A1272" t="s">
        <v>79</v>
      </c>
      <c r="B1272">
        <v>5</v>
      </c>
      <c r="C1272">
        <v>3</v>
      </c>
      <c r="D1272">
        <v>2</v>
      </c>
      <c r="E1272">
        <v>2</v>
      </c>
      <c r="G1272">
        <v>532</v>
      </c>
      <c r="H1272" t="s">
        <v>1576</v>
      </c>
      <c r="I1272" t="s">
        <v>88</v>
      </c>
      <c r="J1272" t="s">
        <v>1595</v>
      </c>
      <c r="L1272">
        <v>0</v>
      </c>
      <c r="M1272" t="s">
        <v>1862</v>
      </c>
      <c r="O1272" t="s">
        <v>294</v>
      </c>
      <c r="P1272" t="s">
        <v>295</v>
      </c>
      <c r="Q1272" t="s">
        <v>1597</v>
      </c>
      <c r="R1272" t="s">
        <v>229</v>
      </c>
      <c r="S1272" t="s">
        <v>297</v>
      </c>
      <c r="T1272">
        <v>26</v>
      </c>
      <c r="U1272">
        <v>2</v>
      </c>
      <c r="V1272" t="s">
        <v>1471</v>
      </c>
      <c r="AE1272" t="s">
        <v>1598</v>
      </c>
      <c r="AF1272">
        <v>0</v>
      </c>
      <c r="AG1272" t="s">
        <v>1863</v>
      </c>
      <c r="AH1272">
        <v>0</v>
      </c>
      <c r="AK1272">
        <v>0</v>
      </c>
    </row>
    <row r="1273" spans="1:37" x14ac:dyDescent="0.25">
      <c r="A1273" t="s">
        <v>79</v>
      </c>
      <c r="B1273">
        <v>5</v>
      </c>
      <c r="C1273">
        <v>3</v>
      </c>
      <c r="D1273">
        <v>2</v>
      </c>
      <c r="E1273">
        <v>3</v>
      </c>
      <c r="G1273">
        <v>532</v>
      </c>
      <c r="H1273" t="s">
        <v>1576</v>
      </c>
      <c r="I1273" t="s">
        <v>95</v>
      </c>
      <c r="J1273" t="s">
        <v>1600</v>
      </c>
      <c r="L1273">
        <v>0</v>
      </c>
      <c r="M1273" t="s">
        <v>1864</v>
      </c>
      <c r="O1273" t="s">
        <v>1602</v>
      </c>
      <c r="P1273" t="s">
        <v>1603</v>
      </c>
      <c r="Q1273" t="s">
        <v>1604</v>
      </c>
      <c r="R1273" t="s">
        <v>268</v>
      </c>
      <c r="S1273" t="s">
        <v>1605</v>
      </c>
      <c r="T1273">
        <v>26</v>
      </c>
      <c r="U1273">
        <v>1</v>
      </c>
      <c r="V1273" t="s">
        <v>1606</v>
      </c>
      <c r="AE1273" t="s">
        <v>1607</v>
      </c>
      <c r="AF1273">
        <v>0</v>
      </c>
      <c r="AG1273" t="s">
        <v>1865</v>
      </c>
      <c r="AH1273">
        <v>0</v>
      </c>
      <c r="AK1273">
        <v>0</v>
      </c>
    </row>
    <row r="1274" spans="1:37" x14ac:dyDescent="0.25">
      <c r="A1274" t="s">
        <v>79</v>
      </c>
      <c r="B1274">
        <v>5</v>
      </c>
      <c r="C1274">
        <v>3</v>
      </c>
      <c r="D1274">
        <v>2</v>
      </c>
      <c r="E1274">
        <v>4</v>
      </c>
      <c r="G1274">
        <v>532</v>
      </c>
      <c r="H1274" t="s">
        <v>1576</v>
      </c>
      <c r="I1274" t="s">
        <v>102</v>
      </c>
      <c r="J1274" t="s">
        <v>1609</v>
      </c>
      <c r="L1274">
        <v>0</v>
      </c>
      <c r="M1274" t="s">
        <v>125</v>
      </c>
      <c r="O1274" t="s">
        <v>125</v>
      </c>
      <c r="P1274" t="s">
        <v>125</v>
      </c>
      <c r="Q1274" t="s">
        <v>125</v>
      </c>
      <c r="R1274" t="s">
        <v>125</v>
      </c>
      <c r="S1274" t="s">
        <v>125</v>
      </c>
      <c r="T1274">
        <v>26</v>
      </c>
      <c r="V1274" t="s">
        <v>125</v>
      </c>
      <c r="AE1274" t="s">
        <v>125</v>
      </c>
      <c r="AF1274">
        <v>0</v>
      </c>
      <c r="AG1274" t="s">
        <v>125</v>
      </c>
      <c r="AH1274">
        <v>0</v>
      </c>
      <c r="AK1274">
        <v>0</v>
      </c>
    </row>
    <row r="1275" spans="1:37" x14ac:dyDescent="0.25">
      <c r="A1275" t="s">
        <v>79</v>
      </c>
      <c r="B1275">
        <v>5</v>
      </c>
      <c r="C1275">
        <v>3</v>
      </c>
      <c r="D1275">
        <v>2</v>
      </c>
      <c r="E1275">
        <v>5</v>
      </c>
      <c r="G1275">
        <v>532</v>
      </c>
      <c r="H1275" t="s">
        <v>1576</v>
      </c>
      <c r="I1275" t="s">
        <v>109</v>
      </c>
      <c r="J1275" t="s">
        <v>1610</v>
      </c>
      <c r="L1275">
        <v>0</v>
      </c>
      <c r="M1275" t="s">
        <v>125</v>
      </c>
      <c r="O1275" t="s">
        <v>125</v>
      </c>
      <c r="P1275" t="s">
        <v>125</v>
      </c>
      <c r="Q1275" t="s">
        <v>125</v>
      </c>
      <c r="R1275" t="s">
        <v>125</v>
      </c>
      <c r="S1275" t="s">
        <v>125</v>
      </c>
      <c r="T1275">
        <v>26</v>
      </c>
      <c r="V1275" t="s">
        <v>125</v>
      </c>
      <c r="AE1275" t="s">
        <v>125</v>
      </c>
      <c r="AF1275">
        <v>0</v>
      </c>
      <c r="AG1275" t="s">
        <v>125</v>
      </c>
      <c r="AH1275">
        <v>0</v>
      </c>
      <c r="AK1275">
        <v>0</v>
      </c>
    </row>
    <row r="1276" spans="1:37" x14ac:dyDescent="0.25">
      <c r="A1276" t="s">
        <v>79</v>
      </c>
      <c r="B1276">
        <v>5</v>
      </c>
      <c r="C1276">
        <v>3</v>
      </c>
      <c r="D1276">
        <v>2</v>
      </c>
      <c r="E1276">
        <v>6</v>
      </c>
      <c r="G1276">
        <v>532</v>
      </c>
      <c r="H1276" t="s">
        <v>1576</v>
      </c>
      <c r="I1276" t="s">
        <v>116</v>
      </c>
      <c r="J1276" t="s">
        <v>1611</v>
      </c>
      <c r="L1276">
        <v>0</v>
      </c>
      <c r="M1276" t="s">
        <v>125</v>
      </c>
      <c r="O1276" t="s">
        <v>125</v>
      </c>
      <c r="P1276" t="s">
        <v>125</v>
      </c>
      <c r="Q1276" t="s">
        <v>125</v>
      </c>
      <c r="R1276" t="s">
        <v>125</v>
      </c>
      <c r="S1276" t="s">
        <v>125</v>
      </c>
      <c r="T1276">
        <v>26</v>
      </c>
      <c r="V1276" t="s">
        <v>125</v>
      </c>
      <c r="AE1276" t="s">
        <v>125</v>
      </c>
      <c r="AF1276">
        <v>0</v>
      </c>
      <c r="AG1276" t="s">
        <v>125</v>
      </c>
      <c r="AH1276">
        <v>0</v>
      </c>
      <c r="AK1276">
        <v>0</v>
      </c>
    </row>
    <row r="1277" spans="1:37" x14ac:dyDescent="0.25">
      <c r="A1277" t="s">
        <v>79</v>
      </c>
      <c r="B1277">
        <v>5</v>
      </c>
      <c r="C1277">
        <v>3</v>
      </c>
      <c r="D1277">
        <v>2</v>
      </c>
      <c r="E1277">
        <v>7</v>
      </c>
      <c r="G1277">
        <v>532</v>
      </c>
      <c r="H1277" t="s">
        <v>1576</v>
      </c>
      <c r="I1277" t="s">
        <v>123</v>
      </c>
      <c r="J1277" t="s">
        <v>1612</v>
      </c>
      <c r="L1277">
        <v>0</v>
      </c>
      <c r="M1277" t="s">
        <v>125</v>
      </c>
      <c r="O1277" t="s">
        <v>125</v>
      </c>
      <c r="P1277" t="s">
        <v>125</v>
      </c>
      <c r="Q1277" t="s">
        <v>125</v>
      </c>
      <c r="R1277" t="s">
        <v>125</v>
      </c>
      <c r="S1277" t="s">
        <v>125</v>
      </c>
      <c r="T1277">
        <v>26</v>
      </c>
      <c r="V1277" t="s">
        <v>125</v>
      </c>
      <c r="AE1277" t="s">
        <v>125</v>
      </c>
      <c r="AF1277">
        <v>0</v>
      </c>
      <c r="AG1277" t="s">
        <v>125</v>
      </c>
      <c r="AH1277">
        <v>0</v>
      </c>
      <c r="AK1277">
        <v>0</v>
      </c>
    </row>
    <row r="1278" spans="1:37" x14ac:dyDescent="0.25">
      <c r="A1278" t="s">
        <v>79</v>
      </c>
      <c r="B1278">
        <v>5</v>
      </c>
      <c r="C1278">
        <v>3</v>
      </c>
      <c r="D1278">
        <v>2</v>
      </c>
      <c r="E1278">
        <v>8</v>
      </c>
      <c r="G1278">
        <v>532</v>
      </c>
      <c r="H1278" t="s">
        <v>1576</v>
      </c>
      <c r="I1278" t="s">
        <v>126</v>
      </c>
      <c r="J1278" t="s">
        <v>1613</v>
      </c>
      <c r="L1278">
        <v>0</v>
      </c>
      <c r="M1278" t="s">
        <v>125</v>
      </c>
      <c r="O1278" t="s">
        <v>125</v>
      </c>
      <c r="P1278" t="s">
        <v>125</v>
      </c>
      <c r="Q1278" t="s">
        <v>125</v>
      </c>
      <c r="R1278" t="s">
        <v>125</v>
      </c>
      <c r="S1278" t="s">
        <v>125</v>
      </c>
      <c r="T1278">
        <v>26</v>
      </c>
      <c r="V1278" t="s">
        <v>125</v>
      </c>
      <c r="AE1278" t="s">
        <v>125</v>
      </c>
      <c r="AF1278">
        <v>0</v>
      </c>
      <c r="AG1278" t="s">
        <v>125</v>
      </c>
      <c r="AH1278">
        <v>0</v>
      </c>
      <c r="AK1278">
        <v>0</v>
      </c>
    </row>
    <row r="1279" spans="1:37" x14ac:dyDescent="0.25">
      <c r="A1279" t="s">
        <v>79</v>
      </c>
      <c r="B1279">
        <v>5</v>
      </c>
      <c r="C1279">
        <v>3</v>
      </c>
      <c r="D1279">
        <v>2</v>
      </c>
      <c r="E1279">
        <v>9</v>
      </c>
      <c r="G1279">
        <v>532</v>
      </c>
      <c r="H1279" t="s">
        <v>1576</v>
      </c>
      <c r="I1279" t="s">
        <v>74</v>
      </c>
      <c r="J1279" t="s">
        <v>1614</v>
      </c>
      <c r="L1279">
        <v>0</v>
      </c>
      <c r="M1279" t="s">
        <v>125</v>
      </c>
      <c r="O1279" t="s">
        <v>125</v>
      </c>
      <c r="P1279" t="s">
        <v>125</v>
      </c>
      <c r="Q1279" t="s">
        <v>125</v>
      </c>
      <c r="R1279" t="s">
        <v>125</v>
      </c>
      <c r="S1279" t="s">
        <v>125</v>
      </c>
      <c r="T1279">
        <v>26</v>
      </c>
      <c r="V1279" t="s">
        <v>125</v>
      </c>
      <c r="AE1279" t="s">
        <v>125</v>
      </c>
      <c r="AF1279">
        <v>0</v>
      </c>
      <c r="AG1279" t="s">
        <v>125</v>
      </c>
      <c r="AH1279">
        <v>0</v>
      </c>
      <c r="AK1279">
        <v>0</v>
      </c>
    </row>
    <row r="1280" spans="1:37" x14ac:dyDescent="0.25">
      <c r="A1280" t="s">
        <v>79</v>
      </c>
      <c r="B1280">
        <v>5</v>
      </c>
      <c r="C1280">
        <v>3</v>
      </c>
      <c r="D1280">
        <v>2</v>
      </c>
      <c r="E1280">
        <v>10</v>
      </c>
      <c r="G1280">
        <v>532</v>
      </c>
      <c r="H1280" t="s">
        <v>1576</v>
      </c>
      <c r="I1280" t="s">
        <v>129</v>
      </c>
      <c r="J1280" t="s">
        <v>1615</v>
      </c>
      <c r="L1280">
        <v>0</v>
      </c>
      <c r="M1280" t="s">
        <v>125</v>
      </c>
      <c r="O1280" t="s">
        <v>125</v>
      </c>
      <c r="P1280" t="s">
        <v>125</v>
      </c>
      <c r="Q1280" t="s">
        <v>125</v>
      </c>
      <c r="R1280" t="s">
        <v>125</v>
      </c>
      <c r="S1280" t="s">
        <v>125</v>
      </c>
      <c r="T1280">
        <v>26</v>
      </c>
      <c r="V1280" t="s">
        <v>125</v>
      </c>
      <c r="AE1280" t="s">
        <v>125</v>
      </c>
      <c r="AF1280">
        <v>0</v>
      </c>
      <c r="AG1280" t="s">
        <v>125</v>
      </c>
      <c r="AH1280">
        <v>0</v>
      </c>
      <c r="AK1280">
        <v>0</v>
      </c>
    </row>
    <row r="1281" spans="1:37" x14ac:dyDescent="0.25">
      <c r="A1281" t="s">
        <v>79</v>
      </c>
      <c r="B1281">
        <v>5</v>
      </c>
      <c r="C1281">
        <v>3</v>
      </c>
      <c r="D1281">
        <v>2</v>
      </c>
      <c r="E1281">
        <v>11</v>
      </c>
      <c r="G1281">
        <v>532</v>
      </c>
      <c r="H1281" t="s">
        <v>1576</v>
      </c>
      <c r="I1281" t="s">
        <v>131</v>
      </c>
      <c r="J1281" t="s">
        <v>1616</v>
      </c>
      <c r="L1281">
        <v>0</v>
      </c>
      <c r="M1281" t="s">
        <v>125</v>
      </c>
      <c r="O1281" t="s">
        <v>125</v>
      </c>
      <c r="P1281" t="s">
        <v>125</v>
      </c>
      <c r="Q1281" t="s">
        <v>125</v>
      </c>
      <c r="R1281" t="s">
        <v>125</v>
      </c>
      <c r="S1281" t="s">
        <v>125</v>
      </c>
      <c r="T1281">
        <v>26</v>
      </c>
      <c r="V1281" t="s">
        <v>125</v>
      </c>
      <c r="AE1281" t="s">
        <v>125</v>
      </c>
      <c r="AF1281">
        <v>0</v>
      </c>
      <c r="AG1281" t="s">
        <v>125</v>
      </c>
      <c r="AH1281">
        <v>0</v>
      </c>
      <c r="AK1281">
        <v>0</v>
      </c>
    </row>
    <row r="1282" spans="1:37" x14ac:dyDescent="0.25">
      <c r="A1282" t="s">
        <v>79</v>
      </c>
      <c r="B1282">
        <v>5</v>
      </c>
      <c r="C1282">
        <v>3</v>
      </c>
      <c r="D1282">
        <v>2</v>
      </c>
      <c r="E1282">
        <v>12</v>
      </c>
      <c r="G1282">
        <v>532</v>
      </c>
      <c r="H1282" t="s">
        <v>1576</v>
      </c>
      <c r="I1282" t="s">
        <v>133</v>
      </c>
      <c r="J1282" t="s">
        <v>1617</v>
      </c>
      <c r="L1282">
        <v>0</v>
      </c>
      <c r="M1282" t="s">
        <v>125</v>
      </c>
      <c r="O1282" t="s">
        <v>125</v>
      </c>
      <c r="P1282" t="s">
        <v>125</v>
      </c>
      <c r="Q1282" t="s">
        <v>125</v>
      </c>
      <c r="R1282" t="s">
        <v>125</v>
      </c>
      <c r="S1282" t="s">
        <v>125</v>
      </c>
      <c r="T1282">
        <v>26</v>
      </c>
      <c r="V1282" t="s">
        <v>125</v>
      </c>
      <c r="AE1282" t="s">
        <v>125</v>
      </c>
      <c r="AF1282">
        <v>0</v>
      </c>
      <c r="AG1282" t="s">
        <v>125</v>
      </c>
      <c r="AH1282">
        <v>0</v>
      </c>
      <c r="AK1282">
        <v>0</v>
      </c>
    </row>
    <row r="1283" spans="1:37" x14ac:dyDescent="0.25">
      <c r="A1283" t="s">
        <v>79</v>
      </c>
      <c r="B1283">
        <v>5</v>
      </c>
      <c r="C1283">
        <v>3</v>
      </c>
      <c r="D1283">
        <v>2</v>
      </c>
      <c r="E1283">
        <v>13</v>
      </c>
      <c r="G1283">
        <v>532</v>
      </c>
      <c r="H1283" t="s">
        <v>1576</v>
      </c>
      <c r="I1283" t="s">
        <v>135</v>
      </c>
      <c r="J1283" t="s">
        <v>1618</v>
      </c>
      <c r="L1283">
        <v>0</v>
      </c>
      <c r="M1283" t="s">
        <v>125</v>
      </c>
      <c r="O1283" t="s">
        <v>125</v>
      </c>
      <c r="P1283" t="s">
        <v>125</v>
      </c>
      <c r="Q1283" t="s">
        <v>125</v>
      </c>
      <c r="R1283" t="s">
        <v>125</v>
      </c>
      <c r="S1283" t="s">
        <v>125</v>
      </c>
      <c r="T1283">
        <v>26</v>
      </c>
      <c r="V1283" t="s">
        <v>125</v>
      </c>
      <c r="AE1283" t="s">
        <v>125</v>
      </c>
      <c r="AF1283">
        <v>0</v>
      </c>
      <c r="AG1283" t="s">
        <v>125</v>
      </c>
      <c r="AH1283">
        <v>0</v>
      </c>
      <c r="AK1283">
        <v>0</v>
      </c>
    </row>
    <row r="1284" spans="1:37" x14ac:dyDescent="0.25">
      <c r="A1284" t="s">
        <v>79</v>
      </c>
      <c r="B1284">
        <v>5</v>
      </c>
      <c r="C1284">
        <v>3</v>
      </c>
      <c r="D1284">
        <v>2</v>
      </c>
      <c r="E1284">
        <v>14</v>
      </c>
      <c r="G1284">
        <v>532</v>
      </c>
      <c r="H1284" t="s">
        <v>1576</v>
      </c>
      <c r="I1284" t="s">
        <v>137</v>
      </c>
      <c r="J1284" t="s">
        <v>1619</v>
      </c>
      <c r="L1284">
        <v>0</v>
      </c>
      <c r="M1284" t="s">
        <v>125</v>
      </c>
      <c r="O1284" t="s">
        <v>125</v>
      </c>
      <c r="P1284" t="s">
        <v>125</v>
      </c>
      <c r="Q1284" t="s">
        <v>125</v>
      </c>
      <c r="R1284" t="s">
        <v>125</v>
      </c>
      <c r="S1284" t="s">
        <v>125</v>
      </c>
      <c r="T1284">
        <v>26</v>
      </c>
      <c r="V1284" t="s">
        <v>125</v>
      </c>
      <c r="AE1284" t="s">
        <v>125</v>
      </c>
      <c r="AF1284">
        <v>0</v>
      </c>
      <c r="AG1284" t="s">
        <v>125</v>
      </c>
      <c r="AH1284">
        <v>0</v>
      </c>
      <c r="AK1284">
        <v>0</v>
      </c>
    </row>
    <row r="1285" spans="1:37" x14ac:dyDescent="0.25">
      <c r="A1285" t="s">
        <v>79</v>
      </c>
      <c r="B1285">
        <v>5</v>
      </c>
      <c r="C1285">
        <v>3</v>
      </c>
      <c r="D1285">
        <v>2</v>
      </c>
      <c r="E1285">
        <v>15</v>
      </c>
      <c r="G1285">
        <v>532</v>
      </c>
      <c r="H1285" t="s">
        <v>1576</v>
      </c>
      <c r="I1285" t="s">
        <v>139</v>
      </c>
      <c r="J1285" t="s">
        <v>1620</v>
      </c>
      <c r="L1285">
        <v>0</v>
      </c>
      <c r="M1285" t="s">
        <v>125</v>
      </c>
      <c r="O1285" t="s">
        <v>125</v>
      </c>
      <c r="P1285" t="s">
        <v>125</v>
      </c>
      <c r="Q1285" t="s">
        <v>125</v>
      </c>
      <c r="R1285" t="s">
        <v>125</v>
      </c>
      <c r="S1285" t="s">
        <v>125</v>
      </c>
      <c r="T1285">
        <v>26</v>
      </c>
      <c r="V1285" t="s">
        <v>125</v>
      </c>
      <c r="AE1285" t="s">
        <v>125</v>
      </c>
      <c r="AF1285">
        <v>0</v>
      </c>
      <c r="AG1285" t="s">
        <v>125</v>
      </c>
      <c r="AH1285">
        <v>0</v>
      </c>
      <c r="AK1285">
        <v>0</v>
      </c>
    </row>
    <row r="1286" spans="1:37" x14ac:dyDescent="0.25">
      <c r="L1286">
        <v>0</v>
      </c>
    </row>
    <row r="1287" spans="1:37" x14ac:dyDescent="0.25">
      <c r="A1287" t="s">
        <v>70</v>
      </c>
      <c r="B1287">
        <v>5</v>
      </c>
      <c r="C1287">
        <v>3</v>
      </c>
      <c r="D1287">
        <v>3</v>
      </c>
      <c r="G1287">
        <v>53</v>
      </c>
      <c r="M1287" t="s">
        <v>1866</v>
      </c>
      <c r="O1287" t="s">
        <v>1867</v>
      </c>
      <c r="P1287" t="s">
        <v>1868</v>
      </c>
      <c r="Q1287" t="s">
        <v>1869</v>
      </c>
      <c r="R1287" t="s">
        <v>179</v>
      </c>
      <c r="S1287" t="s">
        <v>1870</v>
      </c>
      <c r="V1287" t="s">
        <v>1871</v>
      </c>
      <c r="X1287" t="s">
        <v>1872</v>
      </c>
      <c r="Y1287" t="s">
        <v>1873</v>
      </c>
      <c r="Z1287" t="s">
        <v>1874</v>
      </c>
      <c r="AA1287" t="s">
        <v>1875</v>
      </c>
      <c r="AB1287" t="s">
        <v>63</v>
      </c>
      <c r="AC1287" t="s">
        <v>63</v>
      </c>
      <c r="AE1287" t="s">
        <v>1876</v>
      </c>
      <c r="AF1287">
        <v>0</v>
      </c>
      <c r="AG1287" t="s">
        <v>1877</v>
      </c>
      <c r="AH1287">
        <v>0</v>
      </c>
      <c r="AK1287">
        <v>0</v>
      </c>
    </row>
    <row r="1288" spans="1:37" x14ac:dyDescent="0.25">
      <c r="A1288" t="s">
        <v>79</v>
      </c>
      <c r="B1288">
        <v>5</v>
      </c>
      <c r="C1288">
        <v>3</v>
      </c>
      <c r="D1288">
        <v>3</v>
      </c>
      <c r="E1288">
        <v>1</v>
      </c>
      <c r="G1288">
        <v>533</v>
      </c>
      <c r="H1288" t="s">
        <v>1867</v>
      </c>
      <c r="I1288" t="s">
        <v>80</v>
      </c>
      <c r="J1288" t="s">
        <v>1878</v>
      </c>
      <c r="L1288">
        <v>0</v>
      </c>
      <c r="M1288" t="s">
        <v>1879</v>
      </c>
      <c r="O1288" t="s">
        <v>1880</v>
      </c>
      <c r="P1288" t="s">
        <v>1881</v>
      </c>
      <c r="Q1288" t="s">
        <v>1882</v>
      </c>
      <c r="R1288" t="s">
        <v>179</v>
      </c>
      <c r="S1288" t="s">
        <v>1883</v>
      </c>
      <c r="T1288">
        <v>174</v>
      </c>
      <c r="U1288">
        <v>55</v>
      </c>
      <c r="V1288" t="s">
        <v>1884</v>
      </c>
      <c r="AE1288" t="s">
        <v>1885</v>
      </c>
      <c r="AF1288">
        <v>0</v>
      </c>
      <c r="AG1288" t="s">
        <v>1886</v>
      </c>
      <c r="AH1288">
        <v>0</v>
      </c>
      <c r="AK1288">
        <v>0</v>
      </c>
    </row>
    <row r="1289" spans="1:37" x14ac:dyDescent="0.25">
      <c r="A1289" t="s">
        <v>79</v>
      </c>
      <c r="B1289">
        <v>5</v>
      </c>
      <c r="C1289">
        <v>3</v>
      </c>
      <c r="D1289">
        <v>3</v>
      </c>
      <c r="E1289">
        <v>2</v>
      </c>
      <c r="G1289">
        <v>533</v>
      </c>
      <c r="H1289" t="s">
        <v>1867</v>
      </c>
      <c r="I1289" t="s">
        <v>88</v>
      </c>
      <c r="J1289" t="s">
        <v>1887</v>
      </c>
      <c r="L1289">
        <v>0</v>
      </c>
      <c r="M1289" t="s">
        <v>1888</v>
      </c>
      <c r="O1289" t="s">
        <v>1218</v>
      </c>
      <c r="P1289" t="s">
        <v>1219</v>
      </c>
      <c r="Q1289" t="s">
        <v>1889</v>
      </c>
      <c r="R1289" t="s">
        <v>1221</v>
      </c>
      <c r="S1289" t="s">
        <v>1222</v>
      </c>
      <c r="T1289">
        <v>174</v>
      </c>
      <c r="U1289">
        <v>2</v>
      </c>
      <c r="V1289" t="s">
        <v>1890</v>
      </c>
      <c r="AE1289" t="s">
        <v>455</v>
      </c>
      <c r="AF1289">
        <v>0</v>
      </c>
      <c r="AG1289" t="s">
        <v>1891</v>
      </c>
      <c r="AH1289">
        <v>0</v>
      </c>
      <c r="AK1289">
        <v>0</v>
      </c>
    </row>
    <row r="1290" spans="1:37" x14ac:dyDescent="0.25">
      <c r="A1290" t="s">
        <v>79</v>
      </c>
      <c r="B1290">
        <v>5</v>
      </c>
      <c r="C1290">
        <v>3</v>
      </c>
      <c r="D1290">
        <v>3</v>
      </c>
      <c r="E1290">
        <v>3</v>
      </c>
      <c r="G1290">
        <v>533</v>
      </c>
      <c r="H1290" t="s">
        <v>1867</v>
      </c>
      <c r="I1290" t="s">
        <v>95</v>
      </c>
      <c r="J1290" t="s">
        <v>1892</v>
      </c>
      <c r="L1290">
        <v>0</v>
      </c>
      <c r="M1290" t="s">
        <v>1893</v>
      </c>
      <c r="O1290" t="s">
        <v>1227</v>
      </c>
      <c r="P1290" t="s">
        <v>1228</v>
      </c>
      <c r="Q1290" t="s">
        <v>1894</v>
      </c>
      <c r="R1290" t="s">
        <v>192</v>
      </c>
      <c r="S1290" t="s">
        <v>1229</v>
      </c>
      <c r="T1290">
        <v>174</v>
      </c>
      <c r="U1290">
        <v>212</v>
      </c>
      <c r="V1290" t="s">
        <v>1895</v>
      </c>
      <c r="AE1290" t="s">
        <v>1896</v>
      </c>
      <c r="AF1290">
        <v>0</v>
      </c>
      <c r="AG1290" t="s">
        <v>1897</v>
      </c>
      <c r="AH1290">
        <v>0</v>
      </c>
      <c r="AK1290">
        <v>0</v>
      </c>
    </row>
    <row r="1291" spans="1:37" x14ac:dyDescent="0.25">
      <c r="A1291" t="s">
        <v>79</v>
      </c>
      <c r="B1291">
        <v>5</v>
      </c>
      <c r="C1291">
        <v>3</v>
      </c>
      <c r="D1291">
        <v>3</v>
      </c>
      <c r="E1291">
        <v>4</v>
      </c>
      <c r="G1291">
        <v>533</v>
      </c>
      <c r="H1291" t="s">
        <v>1867</v>
      </c>
      <c r="I1291" t="s">
        <v>102</v>
      </c>
      <c r="J1291" t="s">
        <v>1898</v>
      </c>
      <c r="L1291">
        <v>0</v>
      </c>
      <c r="M1291" t="s">
        <v>1899</v>
      </c>
      <c r="O1291" t="s">
        <v>1645</v>
      </c>
      <c r="P1291" t="s">
        <v>1646</v>
      </c>
      <c r="Q1291" t="s">
        <v>1900</v>
      </c>
      <c r="R1291" t="s">
        <v>192</v>
      </c>
      <c r="S1291" t="s">
        <v>1648</v>
      </c>
      <c r="T1291">
        <v>174</v>
      </c>
      <c r="U1291">
        <v>126</v>
      </c>
      <c r="V1291" t="s">
        <v>1901</v>
      </c>
      <c r="AE1291" t="s">
        <v>1902</v>
      </c>
      <c r="AF1291">
        <v>0</v>
      </c>
      <c r="AG1291" t="s">
        <v>1903</v>
      </c>
      <c r="AH1291">
        <v>0</v>
      </c>
      <c r="AK1291">
        <v>0</v>
      </c>
    </row>
    <row r="1292" spans="1:37" x14ac:dyDescent="0.25">
      <c r="A1292" t="s">
        <v>79</v>
      </c>
      <c r="B1292">
        <v>5</v>
      </c>
      <c r="C1292">
        <v>3</v>
      </c>
      <c r="D1292">
        <v>3</v>
      </c>
      <c r="E1292">
        <v>5</v>
      </c>
      <c r="G1292">
        <v>533</v>
      </c>
      <c r="H1292" t="s">
        <v>1867</v>
      </c>
      <c r="I1292" t="s">
        <v>109</v>
      </c>
      <c r="J1292" t="s">
        <v>1904</v>
      </c>
      <c r="L1292">
        <v>0</v>
      </c>
      <c r="M1292" t="s">
        <v>1905</v>
      </c>
      <c r="O1292" t="s">
        <v>1906</v>
      </c>
      <c r="P1292" t="s">
        <v>1907</v>
      </c>
      <c r="Q1292" t="s">
        <v>1908</v>
      </c>
      <c r="R1292" t="s">
        <v>210</v>
      </c>
      <c r="S1292" t="s">
        <v>1909</v>
      </c>
      <c r="T1292">
        <v>174</v>
      </c>
      <c r="U1292">
        <v>3</v>
      </c>
      <c r="V1292" t="s">
        <v>1910</v>
      </c>
      <c r="AE1292" t="s">
        <v>1911</v>
      </c>
      <c r="AF1292">
        <v>0</v>
      </c>
      <c r="AG1292" t="s">
        <v>1912</v>
      </c>
      <c r="AH1292">
        <v>0</v>
      </c>
      <c r="AK1292">
        <v>0</v>
      </c>
    </row>
    <row r="1293" spans="1:37" x14ac:dyDescent="0.25">
      <c r="A1293" t="s">
        <v>79</v>
      </c>
      <c r="B1293">
        <v>5</v>
      </c>
      <c r="C1293">
        <v>3</v>
      </c>
      <c r="D1293">
        <v>3</v>
      </c>
      <c r="E1293">
        <v>6</v>
      </c>
      <c r="G1293">
        <v>533</v>
      </c>
      <c r="H1293" t="s">
        <v>1867</v>
      </c>
      <c r="I1293" t="s">
        <v>116</v>
      </c>
      <c r="J1293" t="s">
        <v>1913</v>
      </c>
      <c r="L1293">
        <v>0</v>
      </c>
      <c r="M1293" t="s">
        <v>1914</v>
      </c>
      <c r="O1293" t="s">
        <v>1915</v>
      </c>
      <c r="P1293" t="s">
        <v>1916</v>
      </c>
      <c r="Q1293" t="s">
        <v>1917</v>
      </c>
      <c r="R1293" t="s">
        <v>210</v>
      </c>
      <c r="S1293" t="s">
        <v>1918</v>
      </c>
      <c r="T1293">
        <v>174</v>
      </c>
      <c r="U1293">
        <v>1</v>
      </c>
      <c r="V1293" t="s">
        <v>1890</v>
      </c>
      <c r="AE1293" t="s">
        <v>1919</v>
      </c>
      <c r="AF1293">
        <v>0</v>
      </c>
      <c r="AG1293" t="s">
        <v>1920</v>
      </c>
      <c r="AH1293">
        <v>0</v>
      </c>
      <c r="AK1293">
        <v>0</v>
      </c>
    </row>
    <row r="1294" spans="1:37" x14ac:dyDescent="0.25">
      <c r="A1294" t="s">
        <v>79</v>
      </c>
      <c r="B1294">
        <v>5</v>
      </c>
      <c r="C1294">
        <v>3</v>
      </c>
      <c r="D1294">
        <v>3</v>
      </c>
      <c r="E1294">
        <v>7</v>
      </c>
      <c r="G1294">
        <v>533</v>
      </c>
      <c r="H1294" t="s">
        <v>1867</v>
      </c>
      <c r="I1294" t="s">
        <v>123</v>
      </c>
      <c r="J1294" t="s">
        <v>1921</v>
      </c>
      <c r="L1294">
        <v>0</v>
      </c>
      <c r="M1294" t="s">
        <v>1922</v>
      </c>
      <c r="O1294" t="s">
        <v>1670</v>
      </c>
      <c r="P1294" t="s">
        <v>1671</v>
      </c>
      <c r="Q1294" t="s">
        <v>1889</v>
      </c>
      <c r="R1294" t="s">
        <v>210</v>
      </c>
      <c r="S1294" t="s">
        <v>1673</v>
      </c>
      <c r="T1294">
        <v>174</v>
      </c>
      <c r="U1294">
        <v>2</v>
      </c>
      <c r="V1294" t="s">
        <v>1155</v>
      </c>
      <c r="AE1294" t="s">
        <v>1923</v>
      </c>
      <c r="AF1294">
        <v>0</v>
      </c>
      <c r="AG1294" t="s">
        <v>1924</v>
      </c>
      <c r="AH1294">
        <v>0</v>
      </c>
      <c r="AK1294">
        <v>0</v>
      </c>
    </row>
    <row r="1295" spans="1:37" x14ac:dyDescent="0.25">
      <c r="A1295" t="s">
        <v>79</v>
      </c>
      <c r="B1295">
        <v>5</v>
      </c>
      <c r="C1295">
        <v>3</v>
      </c>
      <c r="D1295">
        <v>3</v>
      </c>
      <c r="E1295">
        <v>8</v>
      </c>
      <c r="G1295">
        <v>533</v>
      </c>
      <c r="H1295" t="s">
        <v>1867</v>
      </c>
      <c r="I1295" t="s">
        <v>126</v>
      </c>
      <c r="J1295" t="s">
        <v>1925</v>
      </c>
      <c r="L1295">
        <v>0</v>
      </c>
      <c r="M1295" t="s">
        <v>1926</v>
      </c>
      <c r="O1295" t="s">
        <v>226</v>
      </c>
      <c r="P1295" t="s">
        <v>227</v>
      </c>
      <c r="Q1295" t="s">
        <v>1927</v>
      </c>
      <c r="R1295" t="s">
        <v>229</v>
      </c>
      <c r="S1295" t="s">
        <v>230</v>
      </c>
      <c r="T1295">
        <v>174</v>
      </c>
      <c r="U1295">
        <v>126</v>
      </c>
      <c r="V1295" t="s">
        <v>1928</v>
      </c>
      <c r="AE1295" t="s">
        <v>1929</v>
      </c>
      <c r="AF1295">
        <v>0</v>
      </c>
      <c r="AG1295" t="s">
        <v>1930</v>
      </c>
      <c r="AH1295">
        <v>0</v>
      </c>
      <c r="AK1295">
        <v>0</v>
      </c>
    </row>
    <row r="1296" spans="1:37" x14ac:dyDescent="0.25">
      <c r="A1296" t="s">
        <v>79</v>
      </c>
      <c r="B1296">
        <v>5</v>
      </c>
      <c r="C1296">
        <v>3</v>
      </c>
      <c r="D1296">
        <v>3</v>
      </c>
      <c r="E1296">
        <v>9</v>
      </c>
      <c r="G1296">
        <v>533</v>
      </c>
      <c r="H1296" t="s">
        <v>1867</v>
      </c>
      <c r="I1296" t="s">
        <v>74</v>
      </c>
      <c r="J1296" t="s">
        <v>1931</v>
      </c>
      <c r="L1296">
        <v>0</v>
      </c>
      <c r="M1296" t="s">
        <v>1932</v>
      </c>
      <c r="O1296" t="s">
        <v>236</v>
      </c>
      <c r="P1296" t="s">
        <v>237</v>
      </c>
      <c r="Q1296" t="s">
        <v>1933</v>
      </c>
      <c r="R1296" t="s">
        <v>229</v>
      </c>
      <c r="S1296" t="s">
        <v>239</v>
      </c>
      <c r="T1296">
        <v>174</v>
      </c>
      <c r="U1296">
        <v>304</v>
      </c>
      <c r="V1296" t="s">
        <v>1934</v>
      </c>
      <c r="AE1296" t="s">
        <v>1935</v>
      </c>
      <c r="AF1296">
        <v>0</v>
      </c>
      <c r="AG1296" t="s">
        <v>1936</v>
      </c>
      <c r="AH1296">
        <v>0</v>
      </c>
      <c r="AK1296">
        <v>0</v>
      </c>
    </row>
    <row r="1297" spans="1:37" x14ac:dyDescent="0.25">
      <c r="A1297" t="s">
        <v>79</v>
      </c>
      <c r="B1297">
        <v>5</v>
      </c>
      <c r="C1297">
        <v>3</v>
      </c>
      <c r="D1297">
        <v>3</v>
      </c>
      <c r="E1297">
        <v>10</v>
      </c>
      <c r="G1297">
        <v>533</v>
      </c>
      <c r="H1297" t="s">
        <v>1867</v>
      </c>
      <c r="I1297" t="s">
        <v>129</v>
      </c>
      <c r="J1297" t="s">
        <v>1937</v>
      </c>
      <c r="L1297">
        <v>0</v>
      </c>
      <c r="M1297" t="s">
        <v>1938</v>
      </c>
      <c r="O1297" t="s">
        <v>245</v>
      </c>
      <c r="P1297" t="s">
        <v>246</v>
      </c>
      <c r="Q1297" t="s">
        <v>1697</v>
      </c>
      <c r="R1297" t="s">
        <v>248</v>
      </c>
      <c r="S1297" t="s">
        <v>249</v>
      </c>
      <c r="T1297">
        <v>174</v>
      </c>
      <c r="U1297">
        <v>2</v>
      </c>
      <c r="V1297" t="s">
        <v>283</v>
      </c>
      <c r="AE1297" t="s">
        <v>1939</v>
      </c>
      <c r="AF1297">
        <v>0</v>
      </c>
      <c r="AG1297" t="s">
        <v>1940</v>
      </c>
      <c r="AH1297">
        <v>0</v>
      </c>
      <c r="AK1297">
        <v>0</v>
      </c>
    </row>
    <row r="1298" spans="1:37" x14ac:dyDescent="0.25">
      <c r="A1298" t="s">
        <v>79</v>
      </c>
      <c r="B1298">
        <v>5</v>
      </c>
      <c r="C1298">
        <v>3</v>
      </c>
      <c r="D1298">
        <v>3</v>
      </c>
      <c r="E1298">
        <v>11</v>
      </c>
      <c r="G1298">
        <v>533</v>
      </c>
      <c r="H1298" t="s">
        <v>1867</v>
      </c>
      <c r="I1298" t="s">
        <v>131</v>
      </c>
      <c r="J1298" t="s">
        <v>1941</v>
      </c>
      <c r="L1298">
        <v>0</v>
      </c>
      <c r="M1298" t="s">
        <v>1942</v>
      </c>
      <c r="O1298" t="s">
        <v>255</v>
      </c>
      <c r="P1298" t="s">
        <v>256</v>
      </c>
      <c r="Q1298" t="s">
        <v>1943</v>
      </c>
      <c r="R1298" t="s">
        <v>258</v>
      </c>
      <c r="S1298" t="s">
        <v>259</v>
      </c>
      <c r="T1298">
        <v>174</v>
      </c>
      <c r="U1298">
        <v>5</v>
      </c>
      <c r="V1298" t="s">
        <v>639</v>
      </c>
      <c r="AE1298" t="s">
        <v>1944</v>
      </c>
      <c r="AF1298">
        <v>0</v>
      </c>
      <c r="AG1298" t="s">
        <v>1945</v>
      </c>
      <c r="AH1298">
        <v>0</v>
      </c>
      <c r="AK1298">
        <v>0</v>
      </c>
    </row>
    <row r="1299" spans="1:37" x14ac:dyDescent="0.25">
      <c r="A1299" t="s">
        <v>79</v>
      </c>
      <c r="B1299">
        <v>5</v>
      </c>
      <c r="C1299">
        <v>3</v>
      </c>
      <c r="D1299">
        <v>3</v>
      </c>
      <c r="E1299">
        <v>12</v>
      </c>
      <c r="G1299">
        <v>533</v>
      </c>
      <c r="H1299" t="s">
        <v>1867</v>
      </c>
      <c r="I1299" t="s">
        <v>133</v>
      </c>
      <c r="J1299" t="s">
        <v>1946</v>
      </c>
      <c r="L1299">
        <v>0</v>
      </c>
      <c r="M1299" t="s">
        <v>125</v>
      </c>
      <c r="O1299" t="s">
        <v>125</v>
      </c>
      <c r="P1299" t="s">
        <v>125</v>
      </c>
      <c r="Q1299" t="s">
        <v>125</v>
      </c>
      <c r="R1299" t="s">
        <v>125</v>
      </c>
      <c r="S1299" t="s">
        <v>125</v>
      </c>
      <c r="T1299">
        <v>174</v>
      </c>
      <c r="V1299" t="s">
        <v>125</v>
      </c>
      <c r="AE1299" t="s">
        <v>125</v>
      </c>
      <c r="AF1299">
        <v>0</v>
      </c>
      <c r="AG1299" t="s">
        <v>125</v>
      </c>
      <c r="AH1299">
        <v>0</v>
      </c>
      <c r="AK1299">
        <v>0</v>
      </c>
    </row>
    <row r="1300" spans="1:37" x14ac:dyDescent="0.25">
      <c r="A1300" t="s">
        <v>79</v>
      </c>
      <c r="B1300">
        <v>5</v>
      </c>
      <c r="C1300">
        <v>3</v>
      </c>
      <c r="D1300">
        <v>3</v>
      </c>
      <c r="E1300">
        <v>13</v>
      </c>
      <c r="G1300">
        <v>533</v>
      </c>
      <c r="H1300" t="s">
        <v>1867</v>
      </c>
      <c r="I1300" t="s">
        <v>135</v>
      </c>
      <c r="J1300" t="s">
        <v>1947</v>
      </c>
      <c r="L1300">
        <v>0</v>
      </c>
      <c r="M1300" t="s">
        <v>125</v>
      </c>
      <c r="O1300" t="s">
        <v>125</v>
      </c>
      <c r="P1300" t="s">
        <v>125</v>
      </c>
      <c r="Q1300" t="s">
        <v>125</v>
      </c>
      <c r="R1300" t="s">
        <v>125</v>
      </c>
      <c r="S1300" t="s">
        <v>125</v>
      </c>
      <c r="T1300">
        <v>174</v>
      </c>
      <c r="V1300" t="s">
        <v>125</v>
      </c>
      <c r="AE1300" t="s">
        <v>125</v>
      </c>
      <c r="AF1300">
        <v>0</v>
      </c>
      <c r="AG1300" t="s">
        <v>125</v>
      </c>
      <c r="AH1300">
        <v>0</v>
      </c>
      <c r="AK1300">
        <v>0</v>
      </c>
    </row>
    <row r="1301" spans="1:37" x14ac:dyDescent="0.25">
      <c r="A1301" t="s">
        <v>79</v>
      </c>
      <c r="B1301">
        <v>5</v>
      </c>
      <c r="C1301">
        <v>3</v>
      </c>
      <c r="D1301">
        <v>3</v>
      </c>
      <c r="E1301">
        <v>14</v>
      </c>
      <c r="G1301">
        <v>533</v>
      </c>
      <c r="H1301" t="s">
        <v>1867</v>
      </c>
      <c r="I1301" t="s">
        <v>137</v>
      </c>
      <c r="J1301" t="s">
        <v>1948</v>
      </c>
      <c r="L1301">
        <v>0</v>
      </c>
      <c r="M1301" t="s">
        <v>125</v>
      </c>
      <c r="O1301" t="s">
        <v>125</v>
      </c>
      <c r="P1301" t="s">
        <v>125</v>
      </c>
      <c r="Q1301" t="s">
        <v>125</v>
      </c>
      <c r="R1301" t="s">
        <v>125</v>
      </c>
      <c r="S1301" t="s">
        <v>125</v>
      </c>
      <c r="T1301">
        <v>174</v>
      </c>
      <c r="V1301" t="s">
        <v>125</v>
      </c>
      <c r="AE1301" t="s">
        <v>125</v>
      </c>
      <c r="AF1301">
        <v>0</v>
      </c>
      <c r="AG1301" t="s">
        <v>125</v>
      </c>
      <c r="AH1301">
        <v>0</v>
      </c>
      <c r="AK1301">
        <v>0</v>
      </c>
    </row>
    <row r="1302" spans="1:37" x14ac:dyDescent="0.25">
      <c r="A1302" t="s">
        <v>79</v>
      </c>
      <c r="B1302">
        <v>5</v>
      </c>
      <c r="C1302">
        <v>3</v>
      </c>
      <c r="D1302">
        <v>3</v>
      </c>
      <c r="E1302">
        <v>15</v>
      </c>
      <c r="G1302">
        <v>533</v>
      </c>
      <c r="H1302" t="s">
        <v>1867</v>
      </c>
      <c r="I1302" t="s">
        <v>139</v>
      </c>
      <c r="J1302" t="s">
        <v>1949</v>
      </c>
      <c r="L1302">
        <v>0</v>
      </c>
      <c r="M1302" t="s">
        <v>125</v>
      </c>
      <c r="O1302" t="s">
        <v>125</v>
      </c>
      <c r="P1302" t="s">
        <v>125</v>
      </c>
      <c r="Q1302" t="s">
        <v>125</v>
      </c>
      <c r="R1302" t="s">
        <v>125</v>
      </c>
      <c r="S1302" t="s">
        <v>125</v>
      </c>
      <c r="T1302">
        <v>174</v>
      </c>
      <c r="V1302" t="s">
        <v>125</v>
      </c>
      <c r="AE1302" t="s">
        <v>125</v>
      </c>
      <c r="AF1302">
        <v>0</v>
      </c>
      <c r="AG1302" t="s">
        <v>125</v>
      </c>
      <c r="AH1302">
        <v>0</v>
      </c>
      <c r="AK1302">
        <v>0</v>
      </c>
    </row>
    <row r="1303" spans="1:37" x14ac:dyDescent="0.25">
      <c r="L1303">
        <v>0</v>
      </c>
    </row>
    <row r="1304" spans="1:37" x14ac:dyDescent="0.25">
      <c r="A1304" t="s">
        <v>70</v>
      </c>
      <c r="B1304">
        <v>5</v>
      </c>
      <c r="C1304">
        <v>3</v>
      </c>
      <c r="D1304">
        <v>4</v>
      </c>
      <c r="G1304">
        <v>53</v>
      </c>
      <c r="M1304" t="s">
        <v>1950</v>
      </c>
      <c r="O1304" t="s">
        <v>1707</v>
      </c>
      <c r="P1304" t="s">
        <v>1708</v>
      </c>
      <c r="Q1304" t="s">
        <v>1951</v>
      </c>
      <c r="R1304" t="s">
        <v>210</v>
      </c>
      <c r="S1304" t="s">
        <v>1710</v>
      </c>
      <c r="V1304" t="s">
        <v>1952</v>
      </c>
      <c r="X1304" t="s">
        <v>1712</v>
      </c>
      <c r="Y1304" t="s">
        <v>1953</v>
      </c>
      <c r="Z1304" t="s">
        <v>1714</v>
      </c>
      <c r="AA1304" t="s">
        <v>1954</v>
      </c>
      <c r="AB1304" t="s">
        <v>63</v>
      </c>
      <c r="AC1304" t="s">
        <v>63</v>
      </c>
      <c r="AE1304" t="s">
        <v>1955</v>
      </c>
      <c r="AF1304">
        <v>0</v>
      </c>
      <c r="AG1304" t="s">
        <v>1956</v>
      </c>
      <c r="AH1304">
        <v>0</v>
      </c>
      <c r="AK1304">
        <v>0</v>
      </c>
    </row>
    <row r="1305" spans="1:37" x14ac:dyDescent="0.25">
      <c r="A1305" t="s">
        <v>79</v>
      </c>
      <c r="B1305">
        <v>5</v>
      </c>
      <c r="C1305">
        <v>3</v>
      </c>
      <c r="D1305">
        <v>4</v>
      </c>
      <c r="E1305">
        <v>1</v>
      </c>
      <c r="G1305">
        <v>534</v>
      </c>
      <c r="H1305" t="s">
        <v>1707</v>
      </c>
      <c r="I1305" t="s">
        <v>80</v>
      </c>
      <c r="J1305" t="s">
        <v>1718</v>
      </c>
      <c r="L1305">
        <v>0</v>
      </c>
      <c r="M1305" t="s">
        <v>1957</v>
      </c>
      <c r="O1305" t="s">
        <v>1151</v>
      </c>
      <c r="P1305" t="s">
        <v>1152</v>
      </c>
      <c r="Q1305" t="s">
        <v>1720</v>
      </c>
      <c r="R1305" t="s">
        <v>382</v>
      </c>
      <c r="S1305" t="s">
        <v>1154</v>
      </c>
      <c r="T1305">
        <v>1233</v>
      </c>
      <c r="U1305">
        <v>893</v>
      </c>
      <c r="V1305" t="s">
        <v>1721</v>
      </c>
      <c r="AE1305" t="s">
        <v>1722</v>
      </c>
      <c r="AF1305">
        <v>0</v>
      </c>
      <c r="AG1305" t="s">
        <v>1958</v>
      </c>
      <c r="AH1305">
        <v>0</v>
      </c>
      <c r="AK1305">
        <v>0</v>
      </c>
    </row>
    <row r="1306" spans="1:37" x14ac:dyDescent="0.25">
      <c r="A1306" t="s">
        <v>79</v>
      </c>
      <c r="B1306">
        <v>5</v>
      </c>
      <c r="C1306">
        <v>3</v>
      </c>
      <c r="D1306">
        <v>4</v>
      </c>
      <c r="E1306">
        <v>2</v>
      </c>
      <c r="G1306">
        <v>534</v>
      </c>
      <c r="H1306" t="s">
        <v>1707</v>
      </c>
      <c r="I1306" t="s">
        <v>88</v>
      </c>
      <c r="J1306" t="s">
        <v>1724</v>
      </c>
      <c r="L1306">
        <v>0</v>
      </c>
      <c r="M1306" t="s">
        <v>1959</v>
      </c>
      <c r="O1306" t="s">
        <v>1160</v>
      </c>
      <c r="P1306" t="s">
        <v>1161</v>
      </c>
      <c r="Q1306" t="s">
        <v>1162</v>
      </c>
      <c r="R1306" t="s">
        <v>210</v>
      </c>
      <c r="S1306" t="s">
        <v>1163</v>
      </c>
      <c r="T1306">
        <v>1233</v>
      </c>
      <c r="U1306">
        <v>31</v>
      </c>
      <c r="V1306" t="s">
        <v>212</v>
      </c>
      <c r="AE1306" t="s">
        <v>1164</v>
      </c>
      <c r="AF1306">
        <v>0</v>
      </c>
      <c r="AG1306" t="s">
        <v>1960</v>
      </c>
      <c r="AH1306">
        <v>0</v>
      </c>
      <c r="AK1306">
        <v>0</v>
      </c>
    </row>
    <row r="1307" spans="1:37" x14ac:dyDescent="0.25">
      <c r="A1307" t="s">
        <v>79</v>
      </c>
      <c r="B1307">
        <v>5</v>
      </c>
      <c r="C1307">
        <v>3</v>
      </c>
      <c r="D1307">
        <v>4</v>
      </c>
      <c r="E1307">
        <v>3</v>
      </c>
      <c r="G1307">
        <v>534</v>
      </c>
      <c r="H1307" t="s">
        <v>1707</v>
      </c>
      <c r="I1307" t="s">
        <v>95</v>
      </c>
      <c r="J1307" t="s">
        <v>1727</v>
      </c>
      <c r="L1307">
        <v>0</v>
      </c>
      <c r="M1307" t="s">
        <v>1961</v>
      </c>
      <c r="O1307" t="s">
        <v>1729</v>
      </c>
      <c r="P1307" t="s">
        <v>1730</v>
      </c>
      <c r="Q1307" t="s">
        <v>1731</v>
      </c>
      <c r="R1307" t="s">
        <v>229</v>
      </c>
      <c r="S1307" t="s">
        <v>1732</v>
      </c>
      <c r="T1307">
        <v>1233</v>
      </c>
      <c r="U1307">
        <v>46</v>
      </c>
      <c r="V1307" t="s">
        <v>1733</v>
      </c>
      <c r="AE1307" t="s">
        <v>1734</v>
      </c>
      <c r="AF1307">
        <v>0</v>
      </c>
      <c r="AG1307" t="s">
        <v>1962</v>
      </c>
      <c r="AH1307">
        <v>0</v>
      </c>
      <c r="AK1307">
        <v>0</v>
      </c>
    </row>
    <row r="1308" spans="1:37" x14ac:dyDescent="0.25">
      <c r="A1308" t="s">
        <v>79</v>
      </c>
      <c r="B1308">
        <v>5</v>
      </c>
      <c r="C1308">
        <v>3</v>
      </c>
      <c r="D1308">
        <v>4</v>
      </c>
      <c r="E1308">
        <v>4</v>
      </c>
      <c r="G1308">
        <v>534</v>
      </c>
      <c r="H1308" t="s">
        <v>1707</v>
      </c>
      <c r="I1308" t="s">
        <v>102</v>
      </c>
      <c r="J1308" t="s">
        <v>1736</v>
      </c>
      <c r="L1308">
        <v>0</v>
      </c>
      <c r="M1308" t="s">
        <v>1963</v>
      </c>
      <c r="O1308" t="s">
        <v>1168</v>
      </c>
      <c r="P1308" t="s">
        <v>1169</v>
      </c>
      <c r="Q1308" t="s">
        <v>1738</v>
      </c>
      <c r="R1308" t="s">
        <v>229</v>
      </c>
      <c r="S1308" t="s">
        <v>1171</v>
      </c>
      <c r="T1308">
        <v>1233</v>
      </c>
      <c r="U1308">
        <v>142</v>
      </c>
      <c r="V1308" t="s">
        <v>1739</v>
      </c>
      <c r="AE1308" t="s">
        <v>1740</v>
      </c>
      <c r="AF1308">
        <v>0</v>
      </c>
      <c r="AG1308" t="s">
        <v>1964</v>
      </c>
      <c r="AH1308">
        <v>0</v>
      </c>
      <c r="AK1308">
        <v>0</v>
      </c>
    </row>
    <row r="1309" spans="1:37" x14ac:dyDescent="0.25">
      <c r="A1309" t="s">
        <v>79</v>
      </c>
      <c r="B1309">
        <v>5</v>
      </c>
      <c r="C1309">
        <v>3</v>
      </c>
      <c r="D1309">
        <v>4</v>
      </c>
      <c r="E1309">
        <v>5</v>
      </c>
      <c r="G1309">
        <v>534</v>
      </c>
      <c r="H1309" t="s">
        <v>1707</v>
      </c>
      <c r="I1309" t="s">
        <v>109</v>
      </c>
      <c r="J1309" t="s">
        <v>1742</v>
      </c>
      <c r="L1309">
        <v>0</v>
      </c>
      <c r="M1309" t="s">
        <v>1965</v>
      </c>
      <c r="O1309" t="s">
        <v>1177</v>
      </c>
      <c r="P1309" t="s">
        <v>1178</v>
      </c>
      <c r="Q1309" t="s">
        <v>57</v>
      </c>
      <c r="R1309" t="s">
        <v>210</v>
      </c>
      <c r="S1309" t="s">
        <v>1179</v>
      </c>
      <c r="T1309">
        <v>1233</v>
      </c>
      <c r="U1309">
        <v>1233</v>
      </c>
      <c r="V1309" t="s">
        <v>1179</v>
      </c>
      <c r="AE1309" t="s">
        <v>1180</v>
      </c>
      <c r="AF1309">
        <v>0</v>
      </c>
      <c r="AG1309" t="s">
        <v>1966</v>
      </c>
      <c r="AH1309">
        <v>0</v>
      </c>
      <c r="AK1309">
        <v>0</v>
      </c>
    </row>
    <row r="1310" spans="1:37" x14ac:dyDescent="0.25">
      <c r="A1310" t="s">
        <v>79</v>
      </c>
      <c r="B1310">
        <v>5</v>
      </c>
      <c r="C1310">
        <v>3</v>
      </c>
      <c r="D1310">
        <v>4</v>
      </c>
      <c r="E1310">
        <v>6</v>
      </c>
      <c r="G1310">
        <v>534</v>
      </c>
      <c r="H1310" t="s">
        <v>1707</v>
      </c>
      <c r="I1310" t="s">
        <v>116</v>
      </c>
      <c r="J1310" t="s">
        <v>1745</v>
      </c>
      <c r="L1310">
        <v>0</v>
      </c>
      <c r="M1310" t="s">
        <v>125</v>
      </c>
      <c r="O1310" t="s">
        <v>125</v>
      </c>
      <c r="P1310" t="s">
        <v>125</v>
      </c>
      <c r="Q1310" t="s">
        <v>125</v>
      </c>
      <c r="R1310" t="s">
        <v>125</v>
      </c>
      <c r="S1310" t="s">
        <v>125</v>
      </c>
      <c r="T1310">
        <v>1233</v>
      </c>
      <c r="V1310" t="s">
        <v>125</v>
      </c>
      <c r="AE1310" t="s">
        <v>125</v>
      </c>
      <c r="AF1310">
        <v>0</v>
      </c>
      <c r="AG1310" t="s">
        <v>125</v>
      </c>
      <c r="AH1310">
        <v>0</v>
      </c>
      <c r="AK1310">
        <v>0</v>
      </c>
    </row>
    <row r="1311" spans="1:37" x14ac:dyDescent="0.25">
      <c r="A1311" t="s">
        <v>79</v>
      </c>
      <c r="B1311">
        <v>5</v>
      </c>
      <c r="C1311">
        <v>3</v>
      </c>
      <c r="D1311">
        <v>4</v>
      </c>
      <c r="E1311">
        <v>7</v>
      </c>
      <c r="G1311">
        <v>534</v>
      </c>
      <c r="H1311" t="s">
        <v>1707</v>
      </c>
      <c r="I1311" t="s">
        <v>123</v>
      </c>
      <c r="J1311" t="s">
        <v>1746</v>
      </c>
      <c r="L1311">
        <v>0</v>
      </c>
      <c r="M1311" t="s">
        <v>125</v>
      </c>
      <c r="O1311" t="s">
        <v>125</v>
      </c>
      <c r="P1311" t="s">
        <v>125</v>
      </c>
      <c r="Q1311" t="s">
        <v>125</v>
      </c>
      <c r="R1311" t="s">
        <v>125</v>
      </c>
      <c r="S1311" t="s">
        <v>125</v>
      </c>
      <c r="T1311">
        <v>1233</v>
      </c>
      <c r="V1311" t="s">
        <v>125</v>
      </c>
      <c r="AE1311" t="s">
        <v>125</v>
      </c>
      <c r="AF1311">
        <v>0</v>
      </c>
      <c r="AG1311" t="s">
        <v>125</v>
      </c>
      <c r="AH1311">
        <v>0</v>
      </c>
      <c r="AK1311">
        <v>0</v>
      </c>
    </row>
    <row r="1312" spans="1:37" x14ac:dyDescent="0.25">
      <c r="A1312" t="s">
        <v>79</v>
      </c>
      <c r="B1312">
        <v>5</v>
      </c>
      <c r="C1312">
        <v>3</v>
      </c>
      <c r="D1312">
        <v>4</v>
      </c>
      <c r="E1312">
        <v>8</v>
      </c>
      <c r="G1312">
        <v>534</v>
      </c>
      <c r="H1312" t="s">
        <v>1707</v>
      </c>
      <c r="I1312" t="s">
        <v>126</v>
      </c>
      <c r="J1312" t="s">
        <v>1747</v>
      </c>
      <c r="L1312">
        <v>0</v>
      </c>
      <c r="M1312" t="s">
        <v>125</v>
      </c>
      <c r="O1312" t="s">
        <v>125</v>
      </c>
      <c r="P1312" t="s">
        <v>125</v>
      </c>
      <c r="Q1312" t="s">
        <v>125</v>
      </c>
      <c r="R1312" t="s">
        <v>125</v>
      </c>
      <c r="S1312" t="s">
        <v>125</v>
      </c>
      <c r="T1312">
        <v>1233</v>
      </c>
      <c r="V1312" t="s">
        <v>125</v>
      </c>
      <c r="AE1312" t="s">
        <v>125</v>
      </c>
      <c r="AF1312">
        <v>0</v>
      </c>
      <c r="AG1312" t="s">
        <v>125</v>
      </c>
      <c r="AH1312">
        <v>0</v>
      </c>
      <c r="AK1312">
        <v>0</v>
      </c>
    </row>
    <row r="1313" spans="1:37" x14ac:dyDescent="0.25">
      <c r="A1313" t="s">
        <v>79</v>
      </c>
      <c r="B1313">
        <v>5</v>
      </c>
      <c r="C1313">
        <v>3</v>
      </c>
      <c r="D1313">
        <v>4</v>
      </c>
      <c r="E1313">
        <v>9</v>
      </c>
      <c r="G1313">
        <v>534</v>
      </c>
      <c r="H1313" t="s">
        <v>1707</v>
      </c>
      <c r="I1313" t="s">
        <v>74</v>
      </c>
      <c r="J1313" t="s">
        <v>1748</v>
      </c>
      <c r="L1313">
        <v>0</v>
      </c>
      <c r="M1313" t="s">
        <v>125</v>
      </c>
      <c r="O1313" t="s">
        <v>125</v>
      </c>
      <c r="P1313" t="s">
        <v>125</v>
      </c>
      <c r="Q1313" t="s">
        <v>125</v>
      </c>
      <c r="R1313" t="s">
        <v>125</v>
      </c>
      <c r="S1313" t="s">
        <v>125</v>
      </c>
      <c r="T1313">
        <v>1233</v>
      </c>
      <c r="V1313" t="s">
        <v>125</v>
      </c>
      <c r="AE1313" t="s">
        <v>125</v>
      </c>
      <c r="AF1313">
        <v>0</v>
      </c>
      <c r="AG1313" t="s">
        <v>125</v>
      </c>
      <c r="AH1313">
        <v>0</v>
      </c>
      <c r="AK1313">
        <v>0</v>
      </c>
    </row>
    <row r="1314" spans="1:37" x14ac:dyDescent="0.25">
      <c r="A1314" t="s">
        <v>79</v>
      </c>
      <c r="B1314">
        <v>5</v>
      </c>
      <c r="C1314">
        <v>3</v>
      </c>
      <c r="D1314">
        <v>4</v>
      </c>
      <c r="E1314">
        <v>10</v>
      </c>
      <c r="G1314">
        <v>534</v>
      </c>
      <c r="H1314" t="s">
        <v>1707</v>
      </c>
      <c r="I1314" t="s">
        <v>129</v>
      </c>
      <c r="J1314" t="s">
        <v>1749</v>
      </c>
      <c r="L1314">
        <v>0</v>
      </c>
      <c r="M1314" t="s">
        <v>125</v>
      </c>
      <c r="O1314" t="s">
        <v>125</v>
      </c>
      <c r="P1314" t="s">
        <v>125</v>
      </c>
      <c r="Q1314" t="s">
        <v>125</v>
      </c>
      <c r="R1314" t="s">
        <v>125</v>
      </c>
      <c r="S1314" t="s">
        <v>125</v>
      </c>
      <c r="T1314">
        <v>1233</v>
      </c>
      <c r="V1314" t="s">
        <v>125</v>
      </c>
      <c r="AE1314" t="s">
        <v>125</v>
      </c>
      <c r="AF1314">
        <v>0</v>
      </c>
      <c r="AG1314" t="s">
        <v>125</v>
      </c>
      <c r="AH1314">
        <v>0</v>
      </c>
      <c r="AK1314">
        <v>0</v>
      </c>
    </row>
    <row r="1315" spans="1:37" x14ac:dyDescent="0.25">
      <c r="A1315" t="s">
        <v>79</v>
      </c>
      <c r="B1315">
        <v>5</v>
      </c>
      <c r="C1315">
        <v>3</v>
      </c>
      <c r="D1315">
        <v>4</v>
      </c>
      <c r="E1315">
        <v>11</v>
      </c>
      <c r="G1315">
        <v>534</v>
      </c>
      <c r="H1315" t="s">
        <v>1707</v>
      </c>
      <c r="I1315" t="s">
        <v>131</v>
      </c>
      <c r="J1315" t="s">
        <v>1750</v>
      </c>
      <c r="L1315">
        <v>0</v>
      </c>
      <c r="M1315" t="s">
        <v>125</v>
      </c>
      <c r="O1315" t="s">
        <v>125</v>
      </c>
      <c r="P1315" t="s">
        <v>125</v>
      </c>
      <c r="Q1315" t="s">
        <v>125</v>
      </c>
      <c r="R1315" t="s">
        <v>125</v>
      </c>
      <c r="S1315" t="s">
        <v>125</v>
      </c>
      <c r="T1315">
        <v>1233</v>
      </c>
      <c r="V1315" t="s">
        <v>125</v>
      </c>
      <c r="AE1315" t="s">
        <v>125</v>
      </c>
      <c r="AF1315">
        <v>0</v>
      </c>
      <c r="AG1315" t="s">
        <v>125</v>
      </c>
      <c r="AH1315">
        <v>0</v>
      </c>
      <c r="AK1315">
        <v>0</v>
      </c>
    </row>
    <row r="1316" spans="1:37" x14ac:dyDescent="0.25">
      <c r="A1316" t="s">
        <v>79</v>
      </c>
      <c r="B1316">
        <v>5</v>
      </c>
      <c r="C1316">
        <v>3</v>
      </c>
      <c r="D1316">
        <v>4</v>
      </c>
      <c r="E1316">
        <v>12</v>
      </c>
      <c r="G1316">
        <v>534</v>
      </c>
      <c r="H1316" t="s">
        <v>1707</v>
      </c>
      <c r="I1316" t="s">
        <v>133</v>
      </c>
      <c r="J1316" t="s">
        <v>1751</v>
      </c>
      <c r="L1316">
        <v>0</v>
      </c>
      <c r="M1316" t="s">
        <v>125</v>
      </c>
      <c r="O1316" t="s">
        <v>125</v>
      </c>
      <c r="P1316" t="s">
        <v>125</v>
      </c>
      <c r="Q1316" t="s">
        <v>125</v>
      </c>
      <c r="R1316" t="s">
        <v>125</v>
      </c>
      <c r="S1316" t="s">
        <v>125</v>
      </c>
      <c r="T1316">
        <v>1233</v>
      </c>
      <c r="V1316" t="s">
        <v>125</v>
      </c>
      <c r="AE1316" t="s">
        <v>125</v>
      </c>
      <c r="AF1316">
        <v>0</v>
      </c>
      <c r="AG1316" t="s">
        <v>125</v>
      </c>
      <c r="AH1316">
        <v>0</v>
      </c>
      <c r="AK1316">
        <v>0</v>
      </c>
    </row>
    <row r="1317" spans="1:37" x14ac:dyDescent="0.25">
      <c r="A1317" t="s">
        <v>79</v>
      </c>
      <c r="B1317">
        <v>5</v>
      </c>
      <c r="C1317">
        <v>3</v>
      </c>
      <c r="D1317">
        <v>4</v>
      </c>
      <c r="E1317">
        <v>13</v>
      </c>
      <c r="G1317">
        <v>534</v>
      </c>
      <c r="H1317" t="s">
        <v>1707</v>
      </c>
      <c r="I1317" t="s">
        <v>135</v>
      </c>
      <c r="J1317" t="s">
        <v>1752</v>
      </c>
      <c r="L1317">
        <v>0</v>
      </c>
      <c r="M1317" t="s">
        <v>125</v>
      </c>
      <c r="O1317" t="s">
        <v>125</v>
      </c>
      <c r="P1317" t="s">
        <v>125</v>
      </c>
      <c r="Q1317" t="s">
        <v>125</v>
      </c>
      <c r="R1317" t="s">
        <v>125</v>
      </c>
      <c r="S1317" t="s">
        <v>125</v>
      </c>
      <c r="T1317">
        <v>1233</v>
      </c>
      <c r="V1317" t="s">
        <v>125</v>
      </c>
      <c r="AE1317" t="s">
        <v>125</v>
      </c>
      <c r="AF1317">
        <v>0</v>
      </c>
      <c r="AG1317" t="s">
        <v>125</v>
      </c>
      <c r="AH1317">
        <v>0</v>
      </c>
      <c r="AK1317">
        <v>0</v>
      </c>
    </row>
    <row r="1318" spans="1:37" x14ac:dyDescent="0.25">
      <c r="A1318" t="s">
        <v>79</v>
      </c>
      <c r="B1318">
        <v>5</v>
      </c>
      <c r="C1318">
        <v>3</v>
      </c>
      <c r="D1318">
        <v>4</v>
      </c>
      <c r="E1318">
        <v>14</v>
      </c>
      <c r="G1318">
        <v>534</v>
      </c>
      <c r="H1318" t="s">
        <v>1707</v>
      </c>
      <c r="I1318" t="s">
        <v>137</v>
      </c>
      <c r="J1318" t="s">
        <v>1753</v>
      </c>
      <c r="L1318">
        <v>0</v>
      </c>
      <c r="M1318" t="s">
        <v>125</v>
      </c>
      <c r="O1318" t="s">
        <v>125</v>
      </c>
      <c r="P1318" t="s">
        <v>125</v>
      </c>
      <c r="Q1318" t="s">
        <v>125</v>
      </c>
      <c r="R1318" t="s">
        <v>125</v>
      </c>
      <c r="S1318" t="s">
        <v>125</v>
      </c>
      <c r="T1318">
        <v>1233</v>
      </c>
      <c r="V1318" t="s">
        <v>125</v>
      </c>
      <c r="AE1318" t="s">
        <v>125</v>
      </c>
      <c r="AF1318">
        <v>0</v>
      </c>
      <c r="AG1318" t="s">
        <v>125</v>
      </c>
      <c r="AH1318">
        <v>0</v>
      </c>
      <c r="AK1318">
        <v>0</v>
      </c>
    </row>
    <row r="1319" spans="1:37" x14ac:dyDescent="0.25">
      <c r="A1319" t="s">
        <v>79</v>
      </c>
      <c r="B1319">
        <v>5</v>
      </c>
      <c r="C1319">
        <v>3</v>
      </c>
      <c r="D1319">
        <v>4</v>
      </c>
      <c r="E1319">
        <v>15</v>
      </c>
      <c r="G1319">
        <v>534</v>
      </c>
      <c r="H1319" t="s">
        <v>1707</v>
      </c>
      <c r="I1319" t="s">
        <v>139</v>
      </c>
      <c r="J1319" t="s">
        <v>1754</v>
      </c>
      <c r="L1319">
        <v>0</v>
      </c>
      <c r="M1319" t="s">
        <v>125</v>
      </c>
      <c r="O1319" t="s">
        <v>125</v>
      </c>
      <c r="P1319" t="s">
        <v>125</v>
      </c>
      <c r="Q1319" t="s">
        <v>125</v>
      </c>
      <c r="R1319" t="s">
        <v>125</v>
      </c>
      <c r="S1319" t="s">
        <v>125</v>
      </c>
      <c r="T1319">
        <v>1233</v>
      </c>
      <c r="V1319" t="s">
        <v>125</v>
      </c>
      <c r="AE1319" t="s">
        <v>125</v>
      </c>
      <c r="AF1319">
        <v>0</v>
      </c>
      <c r="AG1319" t="s">
        <v>125</v>
      </c>
      <c r="AH1319">
        <v>0</v>
      </c>
      <c r="AK1319">
        <v>0</v>
      </c>
    </row>
    <row r="1320" spans="1:37" x14ac:dyDescent="0.25">
      <c r="L1320">
        <v>0</v>
      </c>
    </row>
    <row r="1321" spans="1:37" x14ac:dyDescent="0.25">
      <c r="A1321" t="s">
        <v>70</v>
      </c>
      <c r="B1321">
        <v>5</v>
      </c>
      <c r="C1321">
        <v>3</v>
      </c>
      <c r="D1321">
        <v>5</v>
      </c>
      <c r="G1321">
        <v>53</v>
      </c>
      <c r="M1321" t="s">
        <v>1967</v>
      </c>
      <c r="O1321" t="s">
        <v>1756</v>
      </c>
      <c r="P1321" t="s">
        <v>1757</v>
      </c>
      <c r="Q1321" t="s">
        <v>1968</v>
      </c>
      <c r="R1321" t="s">
        <v>268</v>
      </c>
      <c r="S1321" t="s">
        <v>1759</v>
      </c>
      <c r="V1321" t="s">
        <v>1969</v>
      </c>
      <c r="X1321" t="s">
        <v>1761</v>
      </c>
      <c r="Y1321" t="s">
        <v>1970</v>
      </c>
      <c r="Z1321" t="s">
        <v>1763</v>
      </c>
      <c r="AA1321" t="s">
        <v>1971</v>
      </c>
      <c r="AB1321" t="s">
        <v>298</v>
      </c>
      <c r="AC1321" t="s">
        <v>1972</v>
      </c>
      <c r="AE1321" t="s">
        <v>1973</v>
      </c>
      <c r="AF1321">
        <v>0</v>
      </c>
      <c r="AG1321" t="s">
        <v>1974</v>
      </c>
      <c r="AH1321">
        <v>0</v>
      </c>
      <c r="AK1321">
        <v>0</v>
      </c>
    </row>
    <row r="1322" spans="1:37" x14ac:dyDescent="0.25">
      <c r="A1322" t="s">
        <v>79</v>
      </c>
      <c r="B1322">
        <v>5</v>
      </c>
      <c r="C1322">
        <v>3</v>
      </c>
      <c r="D1322">
        <v>5</v>
      </c>
      <c r="E1322">
        <v>1</v>
      </c>
      <c r="G1322">
        <v>535</v>
      </c>
      <c r="H1322" t="s">
        <v>1756</v>
      </c>
      <c r="I1322" t="s">
        <v>80</v>
      </c>
      <c r="J1322" t="s">
        <v>1768</v>
      </c>
      <c r="L1322">
        <v>0</v>
      </c>
      <c r="M1322" t="s">
        <v>1975</v>
      </c>
      <c r="O1322" t="s">
        <v>1310</v>
      </c>
      <c r="P1322" t="s">
        <v>1311</v>
      </c>
      <c r="Q1322" t="s">
        <v>1770</v>
      </c>
      <c r="R1322" t="s">
        <v>268</v>
      </c>
      <c r="S1322" t="s">
        <v>1313</v>
      </c>
      <c r="T1322">
        <v>15</v>
      </c>
      <c r="U1322">
        <v>18</v>
      </c>
      <c r="V1322" t="s">
        <v>1771</v>
      </c>
      <c r="AE1322" t="s">
        <v>1772</v>
      </c>
      <c r="AF1322">
        <v>0</v>
      </c>
      <c r="AG1322" t="s">
        <v>1976</v>
      </c>
      <c r="AH1322">
        <v>0</v>
      </c>
      <c r="AK1322">
        <v>0</v>
      </c>
    </row>
    <row r="1323" spans="1:37" x14ac:dyDescent="0.25">
      <c r="A1323" t="s">
        <v>79</v>
      </c>
      <c r="B1323">
        <v>5</v>
      </c>
      <c r="C1323">
        <v>3</v>
      </c>
      <c r="D1323">
        <v>5</v>
      </c>
      <c r="E1323">
        <v>2</v>
      </c>
      <c r="G1323">
        <v>535</v>
      </c>
      <c r="H1323" t="s">
        <v>1756</v>
      </c>
      <c r="I1323" t="s">
        <v>88</v>
      </c>
      <c r="J1323" t="s">
        <v>1774</v>
      </c>
      <c r="L1323">
        <v>0</v>
      </c>
      <c r="M1323" t="s">
        <v>1977</v>
      </c>
      <c r="O1323" t="s">
        <v>1319</v>
      </c>
      <c r="P1323" t="s">
        <v>1320</v>
      </c>
      <c r="Q1323" t="s">
        <v>1776</v>
      </c>
      <c r="R1323" t="s">
        <v>229</v>
      </c>
      <c r="S1323" t="s">
        <v>1322</v>
      </c>
      <c r="T1323">
        <v>15</v>
      </c>
      <c r="U1323">
        <v>6</v>
      </c>
      <c r="V1323" t="s">
        <v>1777</v>
      </c>
      <c r="AE1323" t="s">
        <v>1778</v>
      </c>
      <c r="AF1323">
        <v>0</v>
      </c>
      <c r="AG1323" t="s">
        <v>1978</v>
      </c>
      <c r="AH1323">
        <v>0</v>
      </c>
      <c r="AK1323">
        <v>0</v>
      </c>
    </row>
    <row r="1324" spans="1:37" x14ac:dyDescent="0.25">
      <c r="A1324" t="s">
        <v>79</v>
      </c>
      <c r="B1324">
        <v>5</v>
      </c>
      <c r="C1324">
        <v>3</v>
      </c>
      <c r="D1324">
        <v>5</v>
      </c>
      <c r="E1324">
        <v>3</v>
      </c>
      <c r="G1324">
        <v>535</v>
      </c>
      <c r="H1324" t="s">
        <v>1756</v>
      </c>
      <c r="I1324" t="s">
        <v>95</v>
      </c>
      <c r="J1324" t="s">
        <v>1780</v>
      </c>
      <c r="L1324">
        <v>0</v>
      </c>
      <c r="M1324" t="s">
        <v>1979</v>
      </c>
      <c r="O1324" t="s">
        <v>294</v>
      </c>
      <c r="P1324" t="s">
        <v>295</v>
      </c>
      <c r="Q1324" t="s">
        <v>1782</v>
      </c>
      <c r="R1324" t="s">
        <v>229</v>
      </c>
      <c r="S1324" t="s">
        <v>297</v>
      </c>
      <c r="T1324">
        <v>15</v>
      </c>
      <c r="U1324">
        <v>8</v>
      </c>
      <c r="V1324" t="s">
        <v>1783</v>
      </c>
      <c r="AE1324" t="s">
        <v>1784</v>
      </c>
      <c r="AF1324">
        <v>0</v>
      </c>
      <c r="AG1324" t="s">
        <v>1980</v>
      </c>
      <c r="AH1324">
        <v>0</v>
      </c>
      <c r="AK1324">
        <v>0</v>
      </c>
    </row>
    <row r="1325" spans="1:37" x14ac:dyDescent="0.25">
      <c r="A1325" t="s">
        <v>79</v>
      </c>
      <c r="B1325">
        <v>5</v>
      </c>
      <c r="C1325">
        <v>3</v>
      </c>
      <c r="D1325">
        <v>5</v>
      </c>
      <c r="E1325">
        <v>4</v>
      </c>
      <c r="G1325">
        <v>535</v>
      </c>
      <c r="H1325" t="s">
        <v>1756</v>
      </c>
      <c r="I1325" t="s">
        <v>102</v>
      </c>
      <c r="J1325" t="s">
        <v>1786</v>
      </c>
      <c r="L1325">
        <v>0</v>
      </c>
      <c r="M1325" t="s">
        <v>1981</v>
      </c>
      <c r="O1325" t="s">
        <v>1328</v>
      </c>
      <c r="P1325" t="s">
        <v>1329</v>
      </c>
      <c r="Q1325" t="s">
        <v>1788</v>
      </c>
      <c r="R1325" t="s">
        <v>248</v>
      </c>
      <c r="S1325" t="s">
        <v>1331</v>
      </c>
      <c r="T1325">
        <v>15</v>
      </c>
      <c r="U1325">
        <v>1</v>
      </c>
      <c r="V1325" t="s">
        <v>1789</v>
      </c>
      <c r="AE1325" t="s">
        <v>1790</v>
      </c>
      <c r="AF1325">
        <v>0</v>
      </c>
      <c r="AG1325" t="s">
        <v>1982</v>
      </c>
      <c r="AH1325">
        <v>0</v>
      </c>
      <c r="AK1325">
        <v>0</v>
      </c>
    </row>
    <row r="1326" spans="1:37" x14ac:dyDescent="0.25">
      <c r="A1326" t="s">
        <v>79</v>
      </c>
      <c r="B1326">
        <v>5</v>
      </c>
      <c r="C1326">
        <v>3</v>
      </c>
      <c r="D1326">
        <v>5</v>
      </c>
      <c r="E1326">
        <v>5</v>
      </c>
      <c r="G1326">
        <v>535</v>
      </c>
      <c r="H1326" t="s">
        <v>1756</v>
      </c>
      <c r="I1326" t="s">
        <v>109</v>
      </c>
      <c r="J1326" t="s">
        <v>1792</v>
      </c>
      <c r="L1326">
        <v>0</v>
      </c>
      <c r="M1326" t="s">
        <v>1983</v>
      </c>
      <c r="O1326" t="s">
        <v>1336</v>
      </c>
      <c r="P1326" t="s">
        <v>1337</v>
      </c>
      <c r="Q1326" t="s">
        <v>1794</v>
      </c>
      <c r="R1326" t="s">
        <v>258</v>
      </c>
      <c r="S1326" t="s">
        <v>1339</v>
      </c>
      <c r="T1326">
        <v>15</v>
      </c>
      <c r="U1326">
        <v>1</v>
      </c>
      <c r="V1326" t="s">
        <v>1283</v>
      </c>
      <c r="AE1326" t="s">
        <v>1284</v>
      </c>
      <c r="AF1326">
        <v>0</v>
      </c>
      <c r="AG1326" t="s">
        <v>1984</v>
      </c>
      <c r="AH1326">
        <v>0</v>
      </c>
      <c r="AK1326">
        <v>0</v>
      </c>
    </row>
    <row r="1327" spans="1:37" x14ac:dyDescent="0.25">
      <c r="A1327" t="s">
        <v>79</v>
      </c>
      <c r="B1327">
        <v>5</v>
      </c>
      <c r="C1327">
        <v>3</v>
      </c>
      <c r="D1327">
        <v>5</v>
      </c>
      <c r="E1327">
        <v>6</v>
      </c>
      <c r="G1327">
        <v>535</v>
      </c>
      <c r="H1327" t="s">
        <v>1756</v>
      </c>
      <c r="I1327" t="s">
        <v>116</v>
      </c>
      <c r="J1327" t="s">
        <v>1796</v>
      </c>
      <c r="L1327">
        <v>0</v>
      </c>
      <c r="M1327" t="s">
        <v>125</v>
      </c>
      <c r="O1327" t="s">
        <v>125</v>
      </c>
      <c r="P1327" t="s">
        <v>125</v>
      </c>
      <c r="Q1327" t="s">
        <v>125</v>
      </c>
      <c r="R1327" t="s">
        <v>125</v>
      </c>
      <c r="S1327" t="s">
        <v>125</v>
      </c>
      <c r="T1327">
        <v>15</v>
      </c>
      <c r="V1327" t="s">
        <v>125</v>
      </c>
      <c r="AE1327" t="s">
        <v>125</v>
      </c>
      <c r="AF1327">
        <v>0</v>
      </c>
      <c r="AG1327" t="s">
        <v>125</v>
      </c>
      <c r="AH1327">
        <v>0</v>
      </c>
      <c r="AK1327">
        <v>0</v>
      </c>
    </row>
    <row r="1328" spans="1:37" x14ac:dyDescent="0.25">
      <c r="A1328" t="s">
        <v>79</v>
      </c>
      <c r="B1328">
        <v>5</v>
      </c>
      <c r="C1328">
        <v>3</v>
      </c>
      <c r="D1328">
        <v>5</v>
      </c>
      <c r="E1328">
        <v>7</v>
      </c>
      <c r="G1328">
        <v>535</v>
      </c>
      <c r="H1328" t="s">
        <v>1756</v>
      </c>
      <c r="I1328" t="s">
        <v>123</v>
      </c>
      <c r="J1328" t="s">
        <v>1797</v>
      </c>
      <c r="L1328">
        <v>0</v>
      </c>
      <c r="M1328" t="s">
        <v>125</v>
      </c>
      <c r="O1328" t="s">
        <v>125</v>
      </c>
      <c r="P1328" t="s">
        <v>125</v>
      </c>
      <c r="Q1328" t="s">
        <v>125</v>
      </c>
      <c r="R1328" t="s">
        <v>125</v>
      </c>
      <c r="S1328" t="s">
        <v>125</v>
      </c>
      <c r="T1328">
        <v>15</v>
      </c>
      <c r="V1328" t="s">
        <v>125</v>
      </c>
      <c r="AE1328" t="s">
        <v>125</v>
      </c>
      <c r="AF1328">
        <v>0</v>
      </c>
      <c r="AG1328" t="s">
        <v>125</v>
      </c>
      <c r="AH1328">
        <v>0</v>
      </c>
      <c r="AK1328">
        <v>0</v>
      </c>
    </row>
    <row r="1329" spans="1:37" x14ac:dyDescent="0.25">
      <c r="A1329" t="s">
        <v>79</v>
      </c>
      <c r="B1329">
        <v>5</v>
      </c>
      <c r="C1329">
        <v>3</v>
      </c>
      <c r="D1329">
        <v>5</v>
      </c>
      <c r="E1329">
        <v>8</v>
      </c>
      <c r="G1329">
        <v>535</v>
      </c>
      <c r="H1329" t="s">
        <v>1756</v>
      </c>
      <c r="I1329" t="s">
        <v>126</v>
      </c>
      <c r="J1329" t="s">
        <v>1798</v>
      </c>
      <c r="L1329">
        <v>0</v>
      </c>
      <c r="M1329" t="s">
        <v>125</v>
      </c>
      <c r="O1329" t="s">
        <v>125</v>
      </c>
      <c r="P1329" t="s">
        <v>125</v>
      </c>
      <c r="Q1329" t="s">
        <v>125</v>
      </c>
      <c r="R1329" t="s">
        <v>125</v>
      </c>
      <c r="S1329" t="s">
        <v>125</v>
      </c>
      <c r="T1329">
        <v>15</v>
      </c>
      <c r="V1329" t="s">
        <v>125</v>
      </c>
      <c r="AE1329" t="s">
        <v>125</v>
      </c>
      <c r="AF1329">
        <v>0</v>
      </c>
      <c r="AG1329" t="s">
        <v>125</v>
      </c>
      <c r="AH1329">
        <v>0</v>
      </c>
      <c r="AK1329">
        <v>0</v>
      </c>
    </row>
    <row r="1330" spans="1:37" x14ac:dyDescent="0.25">
      <c r="A1330" t="s">
        <v>79</v>
      </c>
      <c r="B1330">
        <v>5</v>
      </c>
      <c r="C1330">
        <v>3</v>
      </c>
      <c r="D1330">
        <v>5</v>
      </c>
      <c r="E1330">
        <v>9</v>
      </c>
      <c r="G1330">
        <v>535</v>
      </c>
      <c r="H1330" t="s">
        <v>1756</v>
      </c>
      <c r="I1330" t="s">
        <v>74</v>
      </c>
      <c r="J1330" t="s">
        <v>1799</v>
      </c>
      <c r="L1330">
        <v>0</v>
      </c>
      <c r="M1330" t="s">
        <v>125</v>
      </c>
      <c r="O1330" t="s">
        <v>125</v>
      </c>
      <c r="P1330" t="s">
        <v>125</v>
      </c>
      <c r="Q1330" t="s">
        <v>125</v>
      </c>
      <c r="R1330" t="s">
        <v>125</v>
      </c>
      <c r="S1330" t="s">
        <v>125</v>
      </c>
      <c r="T1330">
        <v>15</v>
      </c>
      <c r="V1330" t="s">
        <v>125</v>
      </c>
      <c r="AE1330" t="s">
        <v>125</v>
      </c>
      <c r="AF1330">
        <v>0</v>
      </c>
      <c r="AG1330" t="s">
        <v>125</v>
      </c>
      <c r="AH1330">
        <v>0</v>
      </c>
      <c r="AK1330">
        <v>0</v>
      </c>
    </row>
    <row r="1331" spans="1:37" x14ac:dyDescent="0.25">
      <c r="A1331" t="s">
        <v>79</v>
      </c>
      <c r="B1331">
        <v>5</v>
      </c>
      <c r="C1331">
        <v>3</v>
      </c>
      <c r="D1331">
        <v>5</v>
      </c>
      <c r="E1331">
        <v>10</v>
      </c>
      <c r="G1331">
        <v>535</v>
      </c>
      <c r="H1331" t="s">
        <v>1756</v>
      </c>
      <c r="I1331" t="s">
        <v>129</v>
      </c>
      <c r="J1331" t="s">
        <v>1800</v>
      </c>
      <c r="L1331">
        <v>0</v>
      </c>
      <c r="M1331" t="s">
        <v>125</v>
      </c>
      <c r="O1331" t="s">
        <v>125</v>
      </c>
      <c r="P1331" t="s">
        <v>125</v>
      </c>
      <c r="Q1331" t="s">
        <v>125</v>
      </c>
      <c r="R1331" t="s">
        <v>125</v>
      </c>
      <c r="S1331" t="s">
        <v>125</v>
      </c>
      <c r="T1331">
        <v>15</v>
      </c>
      <c r="V1331" t="s">
        <v>125</v>
      </c>
      <c r="AE1331" t="s">
        <v>125</v>
      </c>
      <c r="AF1331">
        <v>0</v>
      </c>
      <c r="AG1331" t="s">
        <v>125</v>
      </c>
      <c r="AH1331">
        <v>0</v>
      </c>
      <c r="AK1331">
        <v>0</v>
      </c>
    </row>
    <row r="1332" spans="1:37" x14ac:dyDescent="0.25">
      <c r="A1332" t="s">
        <v>79</v>
      </c>
      <c r="B1332">
        <v>5</v>
      </c>
      <c r="C1332">
        <v>3</v>
      </c>
      <c r="D1332">
        <v>5</v>
      </c>
      <c r="E1332">
        <v>11</v>
      </c>
      <c r="G1332">
        <v>535</v>
      </c>
      <c r="H1332" t="s">
        <v>1756</v>
      </c>
      <c r="I1332" t="s">
        <v>131</v>
      </c>
      <c r="J1332" t="s">
        <v>1801</v>
      </c>
      <c r="L1332">
        <v>0</v>
      </c>
      <c r="M1332" t="s">
        <v>125</v>
      </c>
      <c r="O1332" t="s">
        <v>125</v>
      </c>
      <c r="P1332" t="s">
        <v>125</v>
      </c>
      <c r="Q1332" t="s">
        <v>125</v>
      </c>
      <c r="R1332" t="s">
        <v>125</v>
      </c>
      <c r="S1332" t="s">
        <v>125</v>
      </c>
      <c r="T1332">
        <v>15</v>
      </c>
      <c r="V1332" t="s">
        <v>125</v>
      </c>
      <c r="AE1332" t="s">
        <v>125</v>
      </c>
      <c r="AF1332">
        <v>0</v>
      </c>
      <c r="AG1332" t="s">
        <v>125</v>
      </c>
      <c r="AH1332">
        <v>0</v>
      </c>
      <c r="AK1332">
        <v>0</v>
      </c>
    </row>
    <row r="1333" spans="1:37" x14ac:dyDescent="0.25">
      <c r="A1333" t="s">
        <v>79</v>
      </c>
      <c r="B1333">
        <v>5</v>
      </c>
      <c r="C1333">
        <v>3</v>
      </c>
      <c r="D1333">
        <v>5</v>
      </c>
      <c r="E1333">
        <v>12</v>
      </c>
      <c r="G1333">
        <v>535</v>
      </c>
      <c r="H1333" t="s">
        <v>1756</v>
      </c>
      <c r="I1333" t="s">
        <v>133</v>
      </c>
      <c r="J1333" t="s">
        <v>1802</v>
      </c>
      <c r="L1333">
        <v>0</v>
      </c>
      <c r="M1333" t="s">
        <v>125</v>
      </c>
      <c r="O1333" t="s">
        <v>125</v>
      </c>
      <c r="P1333" t="s">
        <v>125</v>
      </c>
      <c r="Q1333" t="s">
        <v>125</v>
      </c>
      <c r="R1333" t="s">
        <v>125</v>
      </c>
      <c r="S1333" t="s">
        <v>125</v>
      </c>
      <c r="T1333">
        <v>15</v>
      </c>
      <c r="V1333" t="s">
        <v>125</v>
      </c>
      <c r="AE1333" t="s">
        <v>125</v>
      </c>
      <c r="AF1333">
        <v>0</v>
      </c>
      <c r="AG1333" t="s">
        <v>125</v>
      </c>
      <c r="AH1333">
        <v>0</v>
      </c>
      <c r="AK1333">
        <v>0</v>
      </c>
    </row>
    <row r="1334" spans="1:37" x14ac:dyDescent="0.25">
      <c r="A1334" t="s">
        <v>79</v>
      </c>
      <c r="B1334">
        <v>5</v>
      </c>
      <c r="C1334">
        <v>3</v>
      </c>
      <c r="D1334">
        <v>5</v>
      </c>
      <c r="E1334">
        <v>13</v>
      </c>
      <c r="G1334">
        <v>535</v>
      </c>
      <c r="H1334" t="s">
        <v>1756</v>
      </c>
      <c r="I1334" t="s">
        <v>135</v>
      </c>
      <c r="J1334" t="s">
        <v>1803</v>
      </c>
      <c r="L1334">
        <v>0</v>
      </c>
      <c r="M1334" t="s">
        <v>125</v>
      </c>
      <c r="O1334" t="s">
        <v>125</v>
      </c>
      <c r="P1334" t="s">
        <v>125</v>
      </c>
      <c r="Q1334" t="s">
        <v>125</v>
      </c>
      <c r="R1334" t="s">
        <v>125</v>
      </c>
      <c r="S1334" t="s">
        <v>125</v>
      </c>
      <c r="T1334">
        <v>15</v>
      </c>
      <c r="V1334" t="s">
        <v>125</v>
      </c>
      <c r="AE1334" t="s">
        <v>125</v>
      </c>
      <c r="AF1334">
        <v>0</v>
      </c>
      <c r="AG1334" t="s">
        <v>125</v>
      </c>
      <c r="AH1334">
        <v>0</v>
      </c>
      <c r="AK1334">
        <v>0</v>
      </c>
    </row>
    <row r="1335" spans="1:37" x14ac:dyDescent="0.25">
      <c r="A1335" t="s">
        <v>79</v>
      </c>
      <c r="B1335">
        <v>5</v>
      </c>
      <c r="C1335">
        <v>3</v>
      </c>
      <c r="D1335">
        <v>5</v>
      </c>
      <c r="E1335">
        <v>14</v>
      </c>
      <c r="G1335">
        <v>535</v>
      </c>
      <c r="H1335" t="s">
        <v>1756</v>
      </c>
      <c r="I1335" t="s">
        <v>137</v>
      </c>
      <c r="J1335" t="s">
        <v>1804</v>
      </c>
      <c r="L1335">
        <v>0</v>
      </c>
      <c r="M1335" t="s">
        <v>125</v>
      </c>
      <c r="O1335" t="s">
        <v>125</v>
      </c>
      <c r="P1335" t="s">
        <v>125</v>
      </c>
      <c r="Q1335" t="s">
        <v>125</v>
      </c>
      <c r="R1335" t="s">
        <v>125</v>
      </c>
      <c r="S1335" t="s">
        <v>125</v>
      </c>
      <c r="T1335">
        <v>15</v>
      </c>
      <c r="V1335" t="s">
        <v>125</v>
      </c>
      <c r="AE1335" t="s">
        <v>125</v>
      </c>
      <c r="AF1335">
        <v>0</v>
      </c>
      <c r="AG1335" t="s">
        <v>125</v>
      </c>
      <c r="AH1335">
        <v>0</v>
      </c>
      <c r="AK1335">
        <v>0</v>
      </c>
    </row>
    <row r="1336" spans="1:37" x14ac:dyDescent="0.25">
      <c r="A1336" t="s">
        <v>79</v>
      </c>
      <c r="B1336">
        <v>5</v>
      </c>
      <c r="C1336">
        <v>3</v>
      </c>
      <c r="D1336">
        <v>5</v>
      </c>
      <c r="E1336">
        <v>15</v>
      </c>
      <c r="G1336">
        <v>535</v>
      </c>
      <c r="H1336" t="s">
        <v>1756</v>
      </c>
      <c r="I1336" t="s">
        <v>139</v>
      </c>
      <c r="J1336" t="s">
        <v>1805</v>
      </c>
      <c r="L1336">
        <v>0</v>
      </c>
      <c r="M1336" t="s">
        <v>125</v>
      </c>
      <c r="O1336" t="s">
        <v>125</v>
      </c>
      <c r="P1336" t="s">
        <v>125</v>
      </c>
      <c r="Q1336" t="s">
        <v>125</v>
      </c>
      <c r="R1336" t="s">
        <v>125</v>
      </c>
      <c r="S1336" t="s">
        <v>125</v>
      </c>
      <c r="T1336">
        <v>15</v>
      </c>
      <c r="V1336" t="s">
        <v>125</v>
      </c>
      <c r="AE1336" t="s">
        <v>125</v>
      </c>
      <c r="AF1336">
        <v>0</v>
      </c>
      <c r="AG1336" t="s">
        <v>125</v>
      </c>
      <c r="AH1336">
        <v>0</v>
      </c>
      <c r="AK1336">
        <v>0</v>
      </c>
    </row>
    <row r="1337" spans="1:37" x14ac:dyDescent="0.25">
      <c r="L1337">
        <v>0</v>
      </c>
    </row>
    <row r="1338" spans="1:37" x14ac:dyDescent="0.25">
      <c r="L1338">
        <v>0</v>
      </c>
    </row>
    <row r="1339" spans="1:37" x14ac:dyDescent="0.25">
      <c r="A1339" t="s">
        <v>56</v>
      </c>
      <c r="F1339">
        <v>6</v>
      </c>
      <c r="L1339">
        <v>6</v>
      </c>
      <c r="M1339" t="s">
        <v>109</v>
      </c>
      <c r="N1339" t="s">
        <v>1985</v>
      </c>
      <c r="P1339" t="s">
        <v>1986</v>
      </c>
      <c r="V1339" t="s">
        <v>1987</v>
      </c>
      <c r="Y1339" t="s">
        <v>1988</v>
      </c>
      <c r="AA1339" t="s">
        <v>1989</v>
      </c>
      <c r="AC1339" t="s">
        <v>1990</v>
      </c>
      <c r="AE1339" t="s">
        <v>1991</v>
      </c>
      <c r="AF1339">
        <v>0</v>
      </c>
      <c r="AG1339" t="s">
        <v>1992</v>
      </c>
      <c r="AH1339">
        <v>0</v>
      </c>
      <c r="AK1339">
        <v>0</v>
      </c>
    </row>
    <row r="1340" spans="1:37" x14ac:dyDescent="0.25">
      <c r="L1340">
        <v>0</v>
      </c>
    </row>
    <row r="1341" spans="1:37" x14ac:dyDescent="0.25">
      <c r="A1341" t="s">
        <v>66</v>
      </c>
      <c r="B1341">
        <v>6</v>
      </c>
      <c r="C1341">
        <v>1</v>
      </c>
      <c r="G1341">
        <v>6</v>
      </c>
      <c r="H1341" t="s">
        <v>1985</v>
      </c>
      <c r="I1341" t="s">
        <v>1993</v>
      </c>
      <c r="M1341" t="s">
        <v>1994</v>
      </c>
      <c r="N1341" t="s">
        <v>1993</v>
      </c>
      <c r="P1341" t="s">
        <v>1995</v>
      </c>
      <c r="V1341" t="s">
        <v>1996</v>
      </c>
      <c r="Y1341" t="s">
        <v>1997</v>
      </c>
      <c r="AA1341" t="s">
        <v>1998</v>
      </c>
      <c r="AC1341" t="s">
        <v>1999</v>
      </c>
      <c r="AE1341" t="s">
        <v>2000</v>
      </c>
      <c r="AF1341">
        <v>0</v>
      </c>
      <c r="AG1341" t="s">
        <v>2001</v>
      </c>
      <c r="AH1341">
        <v>0</v>
      </c>
      <c r="AK1341">
        <v>0</v>
      </c>
    </row>
    <row r="1342" spans="1:37" x14ac:dyDescent="0.25">
      <c r="L1342">
        <v>0</v>
      </c>
    </row>
    <row r="1343" spans="1:37" x14ac:dyDescent="0.25">
      <c r="A1343" t="s">
        <v>70</v>
      </c>
      <c r="B1343">
        <v>6</v>
      </c>
      <c r="C1343">
        <v>1</v>
      </c>
      <c r="D1343">
        <v>1</v>
      </c>
      <c r="G1343">
        <v>61</v>
      </c>
      <c r="M1343" t="s">
        <v>2002</v>
      </c>
      <c r="O1343" t="s">
        <v>2003</v>
      </c>
      <c r="P1343" t="s">
        <v>2004</v>
      </c>
      <c r="Q1343" t="s">
        <v>2005</v>
      </c>
      <c r="R1343" t="s">
        <v>179</v>
      </c>
      <c r="S1343" t="s">
        <v>2006</v>
      </c>
      <c r="V1343" t="s">
        <v>2007</v>
      </c>
      <c r="X1343" t="s">
        <v>2008</v>
      </c>
      <c r="Y1343" t="s">
        <v>2009</v>
      </c>
      <c r="Z1343" t="s">
        <v>2010</v>
      </c>
      <c r="AA1343" t="s">
        <v>2011</v>
      </c>
      <c r="AB1343" t="s">
        <v>2012</v>
      </c>
      <c r="AC1343" t="s">
        <v>2013</v>
      </c>
      <c r="AE1343" t="s">
        <v>2014</v>
      </c>
      <c r="AF1343">
        <v>0</v>
      </c>
      <c r="AG1343" t="s">
        <v>2015</v>
      </c>
      <c r="AH1343">
        <v>0</v>
      </c>
      <c r="AK1343">
        <v>0</v>
      </c>
    </row>
    <row r="1344" spans="1:37" x14ac:dyDescent="0.25">
      <c r="A1344" t="s">
        <v>79</v>
      </c>
      <c r="B1344">
        <v>6</v>
      </c>
      <c r="C1344">
        <v>1</v>
      </c>
      <c r="D1344">
        <v>1</v>
      </c>
      <c r="E1344">
        <v>1</v>
      </c>
      <c r="G1344">
        <v>611</v>
      </c>
      <c r="H1344" t="s">
        <v>2003</v>
      </c>
      <c r="I1344" t="s">
        <v>80</v>
      </c>
      <c r="J1344" t="s">
        <v>2016</v>
      </c>
      <c r="L1344">
        <v>0</v>
      </c>
      <c r="M1344" t="s">
        <v>2017</v>
      </c>
      <c r="O1344" t="s">
        <v>1218</v>
      </c>
      <c r="P1344" t="s">
        <v>1219</v>
      </c>
      <c r="Q1344" t="s">
        <v>1889</v>
      </c>
      <c r="R1344" t="s">
        <v>1221</v>
      </c>
      <c r="S1344" t="s">
        <v>1222</v>
      </c>
      <c r="T1344">
        <v>1800</v>
      </c>
      <c r="U1344">
        <v>18</v>
      </c>
      <c r="V1344" t="s">
        <v>1890</v>
      </c>
      <c r="AE1344" t="s">
        <v>455</v>
      </c>
      <c r="AF1344">
        <v>0</v>
      </c>
      <c r="AG1344" t="s">
        <v>2018</v>
      </c>
      <c r="AH1344">
        <v>0</v>
      </c>
      <c r="AK1344">
        <v>0</v>
      </c>
    </row>
    <row r="1345" spans="1:37" x14ac:dyDescent="0.25">
      <c r="A1345" t="s">
        <v>79</v>
      </c>
      <c r="B1345">
        <v>6</v>
      </c>
      <c r="C1345">
        <v>1</v>
      </c>
      <c r="D1345">
        <v>1</v>
      </c>
      <c r="E1345">
        <v>2</v>
      </c>
      <c r="G1345">
        <v>611</v>
      </c>
      <c r="H1345" t="s">
        <v>2003</v>
      </c>
      <c r="I1345" t="s">
        <v>88</v>
      </c>
      <c r="J1345" t="s">
        <v>2019</v>
      </c>
      <c r="L1345">
        <v>0</v>
      </c>
      <c r="M1345" t="s">
        <v>2020</v>
      </c>
      <c r="O1345" t="s">
        <v>1243</v>
      </c>
      <c r="P1345" t="s">
        <v>1244</v>
      </c>
      <c r="Q1345" t="s">
        <v>2021</v>
      </c>
      <c r="R1345" t="s">
        <v>1246</v>
      </c>
      <c r="S1345" t="s">
        <v>1247</v>
      </c>
      <c r="T1345">
        <v>1800</v>
      </c>
      <c r="U1345">
        <v>353</v>
      </c>
      <c r="V1345" t="s">
        <v>2022</v>
      </c>
      <c r="AE1345" t="s">
        <v>2023</v>
      </c>
      <c r="AF1345">
        <v>0</v>
      </c>
      <c r="AG1345" t="s">
        <v>2024</v>
      </c>
      <c r="AH1345">
        <v>0</v>
      </c>
      <c r="AK1345">
        <v>0</v>
      </c>
    </row>
    <row r="1346" spans="1:37" x14ac:dyDescent="0.25">
      <c r="A1346" t="s">
        <v>79</v>
      </c>
      <c r="B1346">
        <v>6</v>
      </c>
      <c r="C1346">
        <v>1</v>
      </c>
      <c r="D1346">
        <v>1</v>
      </c>
      <c r="E1346">
        <v>3</v>
      </c>
      <c r="G1346">
        <v>611</v>
      </c>
      <c r="H1346" t="s">
        <v>2003</v>
      </c>
      <c r="I1346" t="s">
        <v>95</v>
      </c>
      <c r="J1346" t="s">
        <v>2025</v>
      </c>
      <c r="L1346">
        <v>0</v>
      </c>
      <c r="M1346" t="s">
        <v>2026</v>
      </c>
      <c r="O1346" t="s">
        <v>1253</v>
      </c>
      <c r="P1346" t="s">
        <v>1254</v>
      </c>
      <c r="Q1346" t="s">
        <v>2027</v>
      </c>
      <c r="R1346" t="s">
        <v>1246</v>
      </c>
      <c r="S1346" t="s">
        <v>486</v>
      </c>
      <c r="T1346">
        <v>1800</v>
      </c>
      <c r="U1346">
        <v>707</v>
      </c>
      <c r="V1346" t="s">
        <v>2028</v>
      </c>
      <c r="AE1346" t="s">
        <v>2029</v>
      </c>
      <c r="AF1346">
        <v>0</v>
      </c>
      <c r="AG1346" t="s">
        <v>2030</v>
      </c>
      <c r="AH1346">
        <v>0</v>
      </c>
      <c r="AK1346">
        <v>0</v>
      </c>
    </row>
    <row r="1347" spans="1:37" x14ac:dyDescent="0.25">
      <c r="A1347" t="s">
        <v>79</v>
      </c>
      <c r="B1347">
        <v>6</v>
      </c>
      <c r="C1347">
        <v>1</v>
      </c>
      <c r="D1347">
        <v>1</v>
      </c>
      <c r="E1347">
        <v>4</v>
      </c>
      <c r="G1347">
        <v>611</v>
      </c>
      <c r="H1347" t="s">
        <v>2003</v>
      </c>
      <c r="I1347" t="s">
        <v>102</v>
      </c>
      <c r="J1347" t="s">
        <v>2031</v>
      </c>
      <c r="L1347">
        <v>0</v>
      </c>
      <c r="M1347" t="s">
        <v>2032</v>
      </c>
      <c r="O1347" t="s">
        <v>1261</v>
      </c>
      <c r="P1347" t="s">
        <v>1262</v>
      </c>
      <c r="Q1347" t="s">
        <v>2033</v>
      </c>
      <c r="R1347" t="s">
        <v>75</v>
      </c>
      <c r="S1347" t="s">
        <v>1264</v>
      </c>
      <c r="T1347">
        <v>1800</v>
      </c>
      <c r="U1347">
        <v>1413</v>
      </c>
      <c r="V1347" t="s">
        <v>2034</v>
      </c>
      <c r="AE1347" t="s">
        <v>2035</v>
      </c>
      <c r="AF1347">
        <v>0</v>
      </c>
      <c r="AG1347" t="s">
        <v>2036</v>
      </c>
      <c r="AH1347">
        <v>0</v>
      </c>
      <c r="AK1347">
        <v>0</v>
      </c>
    </row>
    <row r="1348" spans="1:37" x14ac:dyDescent="0.25">
      <c r="A1348" t="s">
        <v>79</v>
      </c>
      <c r="B1348">
        <v>6</v>
      </c>
      <c r="C1348">
        <v>1</v>
      </c>
      <c r="D1348">
        <v>1</v>
      </c>
      <c r="E1348">
        <v>5</v>
      </c>
      <c r="G1348">
        <v>611</v>
      </c>
      <c r="H1348" t="s">
        <v>2003</v>
      </c>
      <c r="I1348" t="s">
        <v>109</v>
      </c>
      <c r="J1348" t="s">
        <v>2037</v>
      </c>
      <c r="L1348">
        <v>0</v>
      </c>
      <c r="M1348" t="s">
        <v>2038</v>
      </c>
      <c r="O1348" t="s">
        <v>1670</v>
      </c>
      <c r="P1348" t="s">
        <v>1671</v>
      </c>
      <c r="Q1348" t="s">
        <v>1908</v>
      </c>
      <c r="R1348" t="s">
        <v>210</v>
      </c>
      <c r="S1348" t="s">
        <v>1673</v>
      </c>
      <c r="T1348">
        <v>1800</v>
      </c>
      <c r="U1348">
        <v>34</v>
      </c>
      <c r="V1348" t="s">
        <v>1081</v>
      </c>
      <c r="AE1348" t="s">
        <v>2039</v>
      </c>
      <c r="AF1348">
        <v>0</v>
      </c>
      <c r="AG1348" t="s">
        <v>2040</v>
      </c>
      <c r="AH1348">
        <v>0</v>
      </c>
      <c r="AK1348">
        <v>0</v>
      </c>
    </row>
    <row r="1349" spans="1:37" x14ac:dyDescent="0.25">
      <c r="A1349" t="s">
        <v>79</v>
      </c>
      <c r="B1349">
        <v>6</v>
      </c>
      <c r="C1349">
        <v>1</v>
      </c>
      <c r="D1349">
        <v>1</v>
      </c>
      <c r="E1349">
        <v>6</v>
      </c>
      <c r="G1349">
        <v>611</v>
      </c>
      <c r="H1349" t="s">
        <v>2003</v>
      </c>
      <c r="I1349" t="s">
        <v>116</v>
      </c>
      <c r="J1349" t="s">
        <v>2041</v>
      </c>
      <c r="L1349">
        <v>0</v>
      </c>
      <c r="M1349" t="s">
        <v>2042</v>
      </c>
      <c r="O1349" t="s">
        <v>226</v>
      </c>
      <c r="P1349" t="s">
        <v>227</v>
      </c>
      <c r="Q1349" t="s">
        <v>2043</v>
      </c>
      <c r="R1349" t="s">
        <v>229</v>
      </c>
      <c r="S1349" t="s">
        <v>230</v>
      </c>
      <c r="T1349">
        <v>1800</v>
      </c>
      <c r="U1349">
        <v>286</v>
      </c>
      <c r="V1349" t="s">
        <v>2044</v>
      </c>
      <c r="AE1349" t="s">
        <v>2045</v>
      </c>
      <c r="AF1349">
        <v>0</v>
      </c>
      <c r="AG1349" t="s">
        <v>2046</v>
      </c>
      <c r="AH1349">
        <v>0</v>
      </c>
      <c r="AK1349">
        <v>0</v>
      </c>
    </row>
    <row r="1350" spans="1:37" x14ac:dyDescent="0.25">
      <c r="A1350" t="s">
        <v>79</v>
      </c>
      <c r="B1350">
        <v>6</v>
      </c>
      <c r="C1350">
        <v>1</v>
      </c>
      <c r="D1350">
        <v>1</v>
      </c>
      <c r="E1350">
        <v>7</v>
      </c>
      <c r="G1350">
        <v>611</v>
      </c>
      <c r="H1350" t="s">
        <v>2003</v>
      </c>
      <c r="I1350" t="s">
        <v>123</v>
      </c>
      <c r="J1350" t="s">
        <v>2047</v>
      </c>
      <c r="L1350">
        <v>0</v>
      </c>
      <c r="M1350" t="s">
        <v>2048</v>
      </c>
      <c r="O1350" t="s">
        <v>236</v>
      </c>
      <c r="P1350" t="s">
        <v>237</v>
      </c>
      <c r="Q1350" t="s">
        <v>2049</v>
      </c>
      <c r="R1350" t="s">
        <v>229</v>
      </c>
      <c r="S1350" t="s">
        <v>239</v>
      </c>
      <c r="T1350">
        <v>1800</v>
      </c>
      <c r="U1350">
        <v>1559</v>
      </c>
      <c r="V1350" t="s">
        <v>2050</v>
      </c>
      <c r="AE1350" t="s">
        <v>2051</v>
      </c>
      <c r="AF1350">
        <v>0</v>
      </c>
      <c r="AG1350" t="s">
        <v>2052</v>
      </c>
      <c r="AH1350">
        <v>0</v>
      </c>
      <c r="AK1350">
        <v>0</v>
      </c>
    </row>
    <row r="1351" spans="1:37" x14ac:dyDescent="0.25">
      <c r="A1351" t="s">
        <v>79</v>
      </c>
      <c r="B1351">
        <v>6</v>
      </c>
      <c r="C1351">
        <v>1</v>
      </c>
      <c r="D1351">
        <v>1</v>
      </c>
      <c r="E1351">
        <v>8</v>
      </c>
      <c r="G1351">
        <v>611</v>
      </c>
      <c r="H1351" t="s">
        <v>2003</v>
      </c>
      <c r="I1351" t="s">
        <v>126</v>
      </c>
      <c r="J1351" t="s">
        <v>2053</v>
      </c>
      <c r="L1351">
        <v>0</v>
      </c>
      <c r="M1351" t="s">
        <v>2054</v>
      </c>
      <c r="O1351" t="s">
        <v>2055</v>
      </c>
      <c r="P1351" t="s">
        <v>2056</v>
      </c>
      <c r="Q1351" t="s">
        <v>2057</v>
      </c>
      <c r="R1351" t="s">
        <v>179</v>
      </c>
      <c r="S1351" t="s">
        <v>2058</v>
      </c>
      <c r="T1351">
        <v>1800</v>
      </c>
      <c r="U1351">
        <v>473</v>
      </c>
      <c r="V1351" t="s">
        <v>2059</v>
      </c>
      <c r="AE1351" t="s">
        <v>2060</v>
      </c>
      <c r="AF1351">
        <v>0</v>
      </c>
      <c r="AG1351" t="s">
        <v>2061</v>
      </c>
      <c r="AH1351">
        <v>0</v>
      </c>
      <c r="AK1351">
        <v>0</v>
      </c>
    </row>
    <row r="1352" spans="1:37" x14ac:dyDescent="0.25">
      <c r="A1352" t="s">
        <v>79</v>
      </c>
      <c r="B1352">
        <v>6</v>
      </c>
      <c r="C1352">
        <v>1</v>
      </c>
      <c r="D1352">
        <v>1</v>
      </c>
      <c r="E1352">
        <v>9</v>
      </c>
      <c r="G1352">
        <v>611</v>
      </c>
      <c r="H1352" t="s">
        <v>2003</v>
      </c>
      <c r="I1352" t="s">
        <v>74</v>
      </c>
      <c r="J1352" t="s">
        <v>2062</v>
      </c>
      <c r="L1352">
        <v>0</v>
      </c>
      <c r="M1352" t="s">
        <v>125</v>
      </c>
      <c r="O1352" t="s">
        <v>125</v>
      </c>
      <c r="P1352" t="s">
        <v>125</v>
      </c>
      <c r="Q1352" t="s">
        <v>125</v>
      </c>
      <c r="R1352" t="s">
        <v>125</v>
      </c>
      <c r="S1352" t="s">
        <v>125</v>
      </c>
      <c r="T1352">
        <v>1800</v>
      </c>
      <c r="V1352" t="s">
        <v>125</v>
      </c>
      <c r="AE1352" t="s">
        <v>125</v>
      </c>
      <c r="AF1352">
        <v>0</v>
      </c>
      <c r="AG1352" t="s">
        <v>125</v>
      </c>
      <c r="AH1352">
        <v>0</v>
      </c>
      <c r="AK1352">
        <v>0</v>
      </c>
    </row>
    <row r="1353" spans="1:37" x14ac:dyDescent="0.25">
      <c r="A1353" t="s">
        <v>79</v>
      </c>
      <c r="B1353">
        <v>6</v>
      </c>
      <c r="C1353">
        <v>1</v>
      </c>
      <c r="D1353">
        <v>1</v>
      </c>
      <c r="E1353">
        <v>10</v>
      </c>
      <c r="G1353">
        <v>611</v>
      </c>
      <c r="H1353" t="s">
        <v>2003</v>
      </c>
      <c r="I1353" t="s">
        <v>129</v>
      </c>
      <c r="J1353" t="s">
        <v>2063</v>
      </c>
      <c r="L1353">
        <v>0</v>
      </c>
      <c r="M1353" t="s">
        <v>125</v>
      </c>
      <c r="O1353" t="s">
        <v>125</v>
      </c>
      <c r="P1353" t="s">
        <v>125</v>
      </c>
      <c r="Q1353" t="s">
        <v>125</v>
      </c>
      <c r="R1353" t="s">
        <v>125</v>
      </c>
      <c r="S1353" t="s">
        <v>125</v>
      </c>
      <c r="T1353">
        <v>1800</v>
      </c>
      <c r="V1353" t="s">
        <v>125</v>
      </c>
      <c r="AE1353" t="s">
        <v>125</v>
      </c>
      <c r="AF1353">
        <v>0</v>
      </c>
      <c r="AG1353" t="s">
        <v>125</v>
      </c>
      <c r="AH1353">
        <v>0</v>
      </c>
      <c r="AK1353">
        <v>0</v>
      </c>
    </row>
    <row r="1354" spans="1:37" x14ac:dyDescent="0.25">
      <c r="A1354" t="s">
        <v>79</v>
      </c>
      <c r="B1354">
        <v>6</v>
      </c>
      <c r="C1354">
        <v>1</v>
      </c>
      <c r="D1354">
        <v>1</v>
      </c>
      <c r="E1354">
        <v>11</v>
      </c>
      <c r="G1354">
        <v>611</v>
      </c>
      <c r="H1354" t="s">
        <v>2003</v>
      </c>
      <c r="I1354" t="s">
        <v>131</v>
      </c>
      <c r="J1354" t="s">
        <v>2064</v>
      </c>
      <c r="L1354">
        <v>0</v>
      </c>
      <c r="M1354" t="s">
        <v>125</v>
      </c>
      <c r="O1354" t="s">
        <v>125</v>
      </c>
      <c r="P1354" t="s">
        <v>125</v>
      </c>
      <c r="Q1354" t="s">
        <v>125</v>
      </c>
      <c r="R1354" t="s">
        <v>125</v>
      </c>
      <c r="S1354" t="s">
        <v>125</v>
      </c>
      <c r="T1354">
        <v>1800</v>
      </c>
      <c r="V1354" t="s">
        <v>125</v>
      </c>
      <c r="AE1354" t="s">
        <v>125</v>
      </c>
      <c r="AF1354">
        <v>0</v>
      </c>
      <c r="AG1354" t="s">
        <v>125</v>
      </c>
      <c r="AH1354">
        <v>0</v>
      </c>
      <c r="AK1354">
        <v>0</v>
      </c>
    </row>
    <row r="1355" spans="1:37" x14ac:dyDescent="0.25">
      <c r="A1355" t="s">
        <v>79</v>
      </c>
      <c r="B1355">
        <v>6</v>
      </c>
      <c r="C1355">
        <v>1</v>
      </c>
      <c r="D1355">
        <v>1</v>
      </c>
      <c r="E1355">
        <v>12</v>
      </c>
      <c r="G1355">
        <v>611</v>
      </c>
      <c r="H1355" t="s">
        <v>2003</v>
      </c>
      <c r="I1355" t="s">
        <v>133</v>
      </c>
      <c r="J1355" t="s">
        <v>2065</v>
      </c>
      <c r="L1355">
        <v>0</v>
      </c>
      <c r="M1355" t="s">
        <v>125</v>
      </c>
      <c r="O1355" t="s">
        <v>125</v>
      </c>
      <c r="P1355" t="s">
        <v>125</v>
      </c>
      <c r="Q1355" t="s">
        <v>125</v>
      </c>
      <c r="R1355" t="s">
        <v>125</v>
      </c>
      <c r="S1355" t="s">
        <v>125</v>
      </c>
      <c r="T1355">
        <v>1800</v>
      </c>
      <c r="V1355" t="s">
        <v>125</v>
      </c>
      <c r="AE1355" t="s">
        <v>125</v>
      </c>
      <c r="AF1355">
        <v>0</v>
      </c>
      <c r="AG1355" t="s">
        <v>125</v>
      </c>
      <c r="AH1355">
        <v>0</v>
      </c>
      <c r="AK1355">
        <v>0</v>
      </c>
    </row>
    <row r="1356" spans="1:37" x14ac:dyDescent="0.25">
      <c r="A1356" t="s">
        <v>79</v>
      </c>
      <c r="B1356">
        <v>6</v>
      </c>
      <c r="C1356">
        <v>1</v>
      </c>
      <c r="D1356">
        <v>1</v>
      </c>
      <c r="E1356">
        <v>13</v>
      </c>
      <c r="G1356">
        <v>611</v>
      </c>
      <c r="H1356" t="s">
        <v>2003</v>
      </c>
      <c r="I1356" t="s">
        <v>135</v>
      </c>
      <c r="J1356" t="s">
        <v>2066</v>
      </c>
      <c r="L1356">
        <v>0</v>
      </c>
      <c r="M1356" t="s">
        <v>125</v>
      </c>
      <c r="O1356" t="s">
        <v>125</v>
      </c>
      <c r="P1356" t="s">
        <v>125</v>
      </c>
      <c r="Q1356" t="s">
        <v>125</v>
      </c>
      <c r="R1356" t="s">
        <v>125</v>
      </c>
      <c r="S1356" t="s">
        <v>125</v>
      </c>
      <c r="T1356">
        <v>1800</v>
      </c>
      <c r="V1356" t="s">
        <v>125</v>
      </c>
      <c r="AE1356" t="s">
        <v>125</v>
      </c>
      <c r="AF1356">
        <v>0</v>
      </c>
      <c r="AG1356" t="s">
        <v>125</v>
      </c>
      <c r="AH1356">
        <v>0</v>
      </c>
      <c r="AK1356">
        <v>0</v>
      </c>
    </row>
    <row r="1357" spans="1:37" x14ac:dyDescent="0.25">
      <c r="A1357" t="s">
        <v>79</v>
      </c>
      <c r="B1357">
        <v>6</v>
      </c>
      <c r="C1357">
        <v>1</v>
      </c>
      <c r="D1357">
        <v>1</v>
      </c>
      <c r="E1357">
        <v>14</v>
      </c>
      <c r="G1357">
        <v>611</v>
      </c>
      <c r="H1357" t="s">
        <v>2003</v>
      </c>
      <c r="I1357" t="s">
        <v>137</v>
      </c>
      <c r="J1357" t="s">
        <v>2067</v>
      </c>
      <c r="L1357">
        <v>0</v>
      </c>
      <c r="M1357" t="s">
        <v>125</v>
      </c>
      <c r="O1357" t="s">
        <v>125</v>
      </c>
      <c r="P1357" t="s">
        <v>125</v>
      </c>
      <c r="Q1357" t="s">
        <v>125</v>
      </c>
      <c r="R1357" t="s">
        <v>125</v>
      </c>
      <c r="S1357" t="s">
        <v>125</v>
      </c>
      <c r="T1357">
        <v>1800</v>
      </c>
      <c r="V1357" t="s">
        <v>125</v>
      </c>
      <c r="AE1357" t="s">
        <v>125</v>
      </c>
      <c r="AF1357">
        <v>0</v>
      </c>
      <c r="AG1357" t="s">
        <v>125</v>
      </c>
      <c r="AH1357">
        <v>0</v>
      </c>
      <c r="AK1357">
        <v>0</v>
      </c>
    </row>
    <row r="1358" spans="1:37" x14ac:dyDescent="0.25">
      <c r="A1358" t="s">
        <v>79</v>
      </c>
      <c r="B1358">
        <v>6</v>
      </c>
      <c r="C1358">
        <v>1</v>
      </c>
      <c r="D1358">
        <v>1</v>
      </c>
      <c r="E1358">
        <v>15</v>
      </c>
      <c r="G1358">
        <v>611</v>
      </c>
      <c r="H1358" t="s">
        <v>2003</v>
      </c>
      <c r="I1358" t="s">
        <v>139</v>
      </c>
      <c r="J1358" t="s">
        <v>2068</v>
      </c>
      <c r="L1358">
        <v>0</v>
      </c>
      <c r="M1358" t="s">
        <v>125</v>
      </c>
      <c r="O1358" t="s">
        <v>125</v>
      </c>
      <c r="P1358" t="s">
        <v>125</v>
      </c>
      <c r="Q1358" t="s">
        <v>125</v>
      </c>
      <c r="R1358" t="s">
        <v>125</v>
      </c>
      <c r="S1358" t="s">
        <v>125</v>
      </c>
      <c r="T1358">
        <v>1800</v>
      </c>
      <c r="V1358" t="s">
        <v>125</v>
      </c>
      <c r="AE1358" t="s">
        <v>125</v>
      </c>
      <c r="AF1358">
        <v>0</v>
      </c>
      <c r="AG1358" t="s">
        <v>125</v>
      </c>
      <c r="AH1358">
        <v>0</v>
      </c>
      <c r="AK1358">
        <v>0</v>
      </c>
    </row>
    <row r="1359" spans="1:37" x14ac:dyDescent="0.25">
      <c r="L1359">
        <v>0</v>
      </c>
    </row>
    <row r="1360" spans="1:37" x14ac:dyDescent="0.25">
      <c r="A1360" t="s">
        <v>70</v>
      </c>
      <c r="B1360">
        <v>6</v>
      </c>
      <c r="C1360">
        <v>1</v>
      </c>
      <c r="D1360">
        <v>2</v>
      </c>
      <c r="G1360">
        <v>61</v>
      </c>
      <c r="M1360" t="s">
        <v>2069</v>
      </c>
      <c r="O1360" t="s">
        <v>2070</v>
      </c>
      <c r="P1360" t="s">
        <v>2071</v>
      </c>
      <c r="Q1360" t="s">
        <v>2072</v>
      </c>
      <c r="R1360" t="s">
        <v>210</v>
      </c>
      <c r="S1360" t="s">
        <v>2073</v>
      </c>
      <c r="V1360" t="s">
        <v>2074</v>
      </c>
      <c r="X1360" t="s">
        <v>2075</v>
      </c>
      <c r="Y1360" t="s">
        <v>2076</v>
      </c>
      <c r="Z1360" t="s">
        <v>2077</v>
      </c>
      <c r="AA1360" t="s">
        <v>2078</v>
      </c>
      <c r="AB1360" t="s">
        <v>63</v>
      </c>
      <c r="AC1360" t="s">
        <v>63</v>
      </c>
      <c r="AE1360" t="s">
        <v>2079</v>
      </c>
      <c r="AF1360">
        <v>0</v>
      </c>
      <c r="AG1360" t="s">
        <v>2080</v>
      </c>
      <c r="AH1360">
        <v>0</v>
      </c>
      <c r="AK1360">
        <v>0</v>
      </c>
    </row>
    <row r="1361" spans="1:37" x14ac:dyDescent="0.25">
      <c r="A1361" t="s">
        <v>79</v>
      </c>
      <c r="B1361">
        <v>6</v>
      </c>
      <c r="C1361">
        <v>1</v>
      </c>
      <c r="D1361">
        <v>2</v>
      </c>
      <c r="E1361">
        <v>1</v>
      </c>
      <c r="G1361">
        <v>612</v>
      </c>
      <c r="H1361" t="s">
        <v>2070</v>
      </c>
      <c r="I1361" t="s">
        <v>80</v>
      </c>
      <c r="J1361" t="s">
        <v>2081</v>
      </c>
      <c r="L1361">
        <v>0</v>
      </c>
      <c r="M1361" t="s">
        <v>2082</v>
      </c>
      <c r="O1361" t="s">
        <v>1151</v>
      </c>
      <c r="P1361" t="s">
        <v>1152</v>
      </c>
      <c r="Q1361" t="s">
        <v>1153</v>
      </c>
      <c r="R1361" t="s">
        <v>382</v>
      </c>
      <c r="S1361" t="s">
        <v>1154</v>
      </c>
      <c r="T1361">
        <v>12000</v>
      </c>
      <c r="U1361">
        <v>8916</v>
      </c>
      <c r="V1361" t="s">
        <v>1155</v>
      </c>
      <c r="AE1361" t="s">
        <v>1156</v>
      </c>
      <c r="AF1361">
        <v>0</v>
      </c>
      <c r="AG1361" t="s">
        <v>2083</v>
      </c>
      <c r="AH1361">
        <v>0</v>
      </c>
      <c r="AK1361">
        <v>0</v>
      </c>
    </row>
    <row r="1362" spans="1:37" x14ac:dyDescent="0.25">
      <c r="A1362" t="s">
        <v>79</v>
      </c>
      <c r="B1362">
        <v>6</v>
      </c>
      <c r="C1362">
        <v>1</v>
      </c>
      <c r="D1362">
        <v>2</v>
      </c>
      <c r="E1362">
        <v>2</v>
      </c>
      <c r="G1362">
        <v>612</v>
      </c>
      <c r="H1362" t="s">
        <v>2070</v>
      </c>
      <c r="I1362" t="s">
        <v>88</v>
      </c>
      <c r="J1362" t="s">
        <v>2084</v>
      </c>
      <c r="L1362">
        <v>0</v>
      </c>
      <c r="M1362" t="s">
        <v>2085</v>
      </c>
      <c r="O1362" t="s">
        <v>1160</v>
      </c>
      <c r="P1362" t="s">
        <v>1161</v>
      </c>
      <c r="Q1362" t="s">
        <v>1162</v>
      </c>
      <c r="R1362" t="s">
        <v>210</v>
      </c>
      <c r="S1362" t="s">
        <v>1163</v>
      </c>
      <c r="T1362">
        <v>12000</v>
      </c>
      <c r="U1362">
        <v>300</v>
      </c>
      <c r="V1362" t="s">
        <v>212</v>
      </c>
      <c r="AE1362" t="s">
        <v>1164</v>
      </c>
      <c r="AF1362">
        <v>0</v>
      </c>
      <c r="AG1362" t="s">
        <v>2086</v>
      </c>
      <c r="AH1362">
        <v>0</v>
      </c>
      <c r="AK1362">
        <v>0</v>
      </c>
    </row>
    <row r="1363" spans="1:37" x14ac:dyDescent="0.25">
      <c r="A1363" t="s">
        <v>79</v>
      </c>
      <c r="B1363">
        <v>6</v>
      </c>
      <c r="C1363">
        <v>1</v>
      </c>
      <c r="D1363">
        <v>2</v>
      </c>
      <c r="E1363">
        <v>3</v>
      </c>
      <c r="G1363">
        <v>612</v>
      </c>
      <c r="H1363" t="s">
        <v>2070</v>
      </c>
      <c r="I1363" t="s">
        <v>95</v>
      </c>
      <c r="J1363" t="s">
        <v>2087</v>
      </c>
      <c r="L1363">
        <v>0</v>
      </c>
      <c r="M1363" t="s">
        <v>2088</v>
      </c>
      <c r="O1363" t="s">
        <v>1729</v>
      </c>
      <c r="P1363" t="s">
        <v>1730</v>
      </c>
      <c r="Q1363" t="s">
        <v>2089</v>
      </c>
      <c r="R1363" t="s">
        <v>229</v>
      </c>
      <c r="S1363" t="s">
        <v>1732</v>
      </c>
      <c r="T1363">
        <v>12000</v>
      </c>
      <c r="U1363">
        <v>110</v>
      </c>
      <c r="V1363" t="s">
        <v>1462</v>
      </c>
      <c r="AE1363" t="s">
        <v>2090</v>
      </c>
      <c r="AF1363">
        <v>0</v>
      </c>
      <c r="AG1363" t="s">
        <v>2091</v>
      </c>
      <c r="AH1363">
        <v>0</v>
      </c>
      <c r="AK1363">
        <v>0</v>
      </c>
    </row>
    <row r="1364" spans="1:37" x14ac:dyDescent="0.25">
      <c r="A1364" t="s">
        <v>79</v>
      </c>
      <c r="B1364">
        <v>6</v>
      </c>
      <c r="C1364">
        <v>1</v>
      </c>
      <c r="D1364">
        <v>2</v>
      </c>
      <c r="E1364">
        <v>4</v>
      </c>
      <c r="G1364">
        <v>612</v>
      </c>
      <c r="H1364" t="s">
        <v>2070</v>
      </c>
      <c r="I1364" t="s">
        <v>102</v>
      </c>
      <c r="J1364" t="s">
        <v>2092</v>
      </c>
      <c r="L1364">
        <v>0</v>
      </c>
      <c r="M1364" t="s">
        <v>2093</v>
      </c>
      <c r="O1364" t="s">
        <v>1168</v>
      </c>
      <c r="P1364" t="s">
        <v>1169</v>
      </c>
      <c r="Q1364" t="s">
        <v>2094</v>
      </c>
      <c r="R1364" t="s">
        <v>229</v>
      </c>
      <c r="S1364" t="s">
        <v>1171</v>
      </c>
      <c r="T1364">
        <v>12000</v>
      </c>
      <c r="U1364">
        <v>673</v>
      </c>
      <c r="V1364" t="s">
        <v>2095</v>
      </c>
      <c r="AE1364" t="s">
        <v>2096</v>
      </c>
      <c r="AF1364">
        <v>0</v>
      </c>
      <c r="AG1364" t="s">
        <v>2097</v>
      </c>
      <c r="AH1364">
        <v>0</v>
      </c>
      <c r="AK1364">
        <v>0</v>
      </c>
    </row>
    <row r="1365" spans="1:37" x14ac:dyDescent="0.25">
      <c r="A1365" t="s">
        <v>79</v>
      </c>
      <c r="B1365">
        <v>6</v>
      </c>
      <c r="C1365">
        <v>1</v>
      </c>
      <c r="D1365">
        <v>2</v>
      </c>
      <c r="E1365">
        <v>5</v>
      </c>
      <c r="G1365">
        <v>612</v>
      </c>
      <c r="H1365" t="s">
        <v>2070</v>
      </c>
      <c r="I1365" t="s">
        <v>109</v>
      </c>
      <c r="J1365" t="s">
        <v>2098</v>
      </c>
      <c r="L1365">
        <v>0</v>
      </c>
      <c r="M1365" t="s">
        <v>2099</v>
      </c>
      <c r="O1365" t="s">
        <v>1177</v>
      </c>
      <c r="P1365" t="s">
        <v>1178</v>
      </c>
      <c r="Q1365" t="s">
        <v>57</v>
      </c>
      <c r="R1365" t="s">
        <v>210</v>
      </c>
      <c r="S1365" t="s">
        <v>1179</v>
      </c>
      <c r="T1365">
        <v>12000</v>
      </c>
      <c r="U1365">
        <v>12000</v>
      </c>
      <c r="V1365" t="s">
        <v>1179</v>
      </c>
      <c r="AE1365" t="s">
        <v>1180</v>
      </c>
      <c r="AF1365">
        <v>0</v>
      </c>
      <c r="AG1365" t="s">
        <v>2100</v>
      </c>
      <c r="AH1365">
        <v>0</v>
      </c>
      <c r="AK1365">
        <v>0</v>
      </c>
    </row>
    <row r="1366" spans="1:37" x14ac:dyDescent="0.25">
      <c r="A1366" t="s">
        <v>79</v>
      </c>
      <c r="B1366">
        <v>6</v>
      </c>
      <c r="C1366">
        <v>1</v>
      </c>
      <c r="D1366">
        <v>2</v>
      </c>
      <c r="E1366">
        <v>6</v>
      </c>
      <c r="G1366">
        <v>612</v>
      </c>
      <c r="H1366" t="s">
        <v>2070</v>
      </c>
      <c r="I1366" t="s">
        <v>116</v>
      </c>
      <c r="J1366" t="s">
        <v>2101</v>
      </c>
      <c r="L1366">
        <v>0</v>
      </c>
      <c r="M1366" t="s">
        <v>125</v>
      </c>
      <c r="O1366" t="s">
        <v>125</v>
      </c>
      <c r="P1366" t="s">
        <v>125</v>
      </c>
      <c r="Q1366" t="s">
        <v>125</v>
      </c>
      <c r="R1366" t="s">
        <v>125</v>
      </c>
      <c r="S1366" t="s">
        <v>125</v>
      </c>
      <c r="T1366">
        <v>12000</v>
      </c>
      <c r="V1366" t="s">
        <v>125</v>
      </c>
      <c r="AE1366" t="s">
        <v>125</v>
      </c>
      <c r="AF1366">
        <v>0</v>
      </c>
      <c r="AG1366" t="s">
        <v>125</v>
      </c>
      <c r="AH1366">
        <v>0</v>
      </c>
      <c r="AK1366">
        <v>0</v>
      </c>
    </row>
    <row r="1367" spans="1:37" x14ac:dyDescent="0.25">
      <c r="A1367" t="s">
        <v>79</v>
      </c>
      <c r="B1367">
        <v>6</v>
      </c>
      <c r="C1367">
        <v>1</v>
      </c>
      <c r="D1367">
        <v>2</v>
      </c>
      <c r="E1367">
        <v>7</v>
      </c>
      <c r="G1367">
        <v>612</v>
      </c>
      <c r="H1367" t="s">
        <v>2070</v>
      </c>
      <c r="I1367" t="s">
        <v>123</v>
      </c>
      <c r="J1367" t="s">
        <v>2102</v>
      </c>
      <c r="L1367">
        <v>0</v>
      </c>
      <c r="M1367" t="s">
        <v>125</v>
      </c>
      <c r="O1367" t="s">
        <v>125</v>
      </c>
      <c r="P1367" t="s">
        <v>125</v>
      </c>
      <c r="Q1367" t="s">
        <v>125</v>
      </c>
      <c r="R1367" t="s">
        <v>125</v>
      </c>
      <c r="S1367" t="s">
        <v>125</v>
      </c>
      <c r="T1367">
        <v>12000</v>
      </c>
      <c r="V1367" t="s">
        <v>125</v>
      </c>
      <c r="AE1367" t="s">
        <v>125</v>
      </c>
      <c r="AF1367">
        <v>0</v>
      </c>
      <c r="AG1367" t="s">
        <v>125</v>
      </c>
      <c r="AH1367">
        <v>0</v>
      </c>
      <c r="AK1367">
        <v>0</v>
      </c>
    </row>
    <row r="1368" spans="1:37" x14ac:dyDescent="0.25">
      <c r="A1368" t="s">
        <v>79</v>
      </c>
      <c r="B1368">
        <v>6</v>
      </c>
      <c r="C1368">
        <v>1</v>
      </c>
      <c r="D1368">
        <v>2</v>
      </c>
      <c r="E1368">
        <v>8</v>
      </c>
      <c r="G1368">
        <v>612</v>
      </c>
      <c r="H1368" t="s">
        <v>2070</v>
      </c>
      <c r="I1368" t="s">
        <v>126</v>
      </c>
      <c r="J1368" t="s">
        <v>2103</v>
      </c>
      <c r="L1368">
        <v>0</v>
      </c>
      <c r="M1368" t="s">
        <v>125</v>
      </c>
      <c r="O1368" t="s">
        <v>125</v>
      </c>
      <c r="P1368" t="s">
        <v>125</v>
      </c>
      <c r="Q1368" t="s">
        <v>125</v>
      </c>
      <c r="R1368" t="s">
        <v>125</v>
      </c>
      <c r="S1368" t="s">
        <v>125</v>
      </c>
      <c r="T1368">
        <v>12000</v>
      </c>
      <c r="V1368" t="s">
        <v>125</v>
      </c>
      <c r="AE1368" t="s">
        <v>125</v>
      </c>
      <c r="AF1368">
        <v>0</v>
      </c>
      <c r="AG1368" t="s">
        <v>125</v>
      </c>
      <c r="AH1368">
        <v>0</v>
      </c>
      <c r="AK1368">
        <v>0</v>
      </c>
    </row>
    <row r="1369" spans="1:37" x14ac:dyDescent="0.25">
      <c r="A1369" t="s">
        <v>79</v>
      </c>
      <c r="B1369">
        <v>6</v>
      </c>
      <c r="C1369">
        <v>1</v>
      </c>
      <c r="D1369">
        <v>2</v>
      </c>
      <c r="E1369">
        <v>9</v>
      </c>
      <c r="G1369">
        <v>612</v>
      </c>
      <c r="H1369" t="s">
        <v>2070</v>
      </c>
      <c r="I1369" t="s">
        <v>74</v>
      </c>
      <c r="J1369" t="s">
        <v>2104</v>
      </c>
      <c r="L1369">
        <v>0</v>
      </c>
      <c r="M1369" t="s">
        <v>125</v>
      </c>
      <c r="O1369" t="s">
        <v>125</v>
      </c>
      <c r="P1369" t="s">
        <v>125</v>
      </c>
      <c r="Q1369" t="s">
        <v>125</v>
      </c>
      <c r="R1369" t="s">
        <v>125</v>
      </c>
      <c r="S1369" t="s">
        <v>125</v>
      </c>
      <c r="T1369">
        <v>12000</v>
      </c>
      <c r="V1369" t="s">
        <v>125</v>
      </c>
      <c r="AE1369" t="s">
        <v>125</v>
      </c>
      <c r="AF1369">
        <v>0</v>
      </c>
      <c r="AG1369" t="s">
        <v>125</v>
      </c>
      <c r="AH1369">
        <v>0</v>
      </c>
      <c r="AK1369">
        <v>0</v>
      </c>
    </row>
    <row r="1370" spans="1:37" x14ac:dyDescent="0.25">
      <c r="A1370" t="s">
        <v>79</v>
      </c>
      <c r="B1370">
        <v>6</v>
      </c>
      <c r="C1370">
        <v>1</v>
      </c>
      <c r="D1370">
        <v>2</v>
      </c>
      <c r="E1370">
        <v>10</v>
      </c>
      <c r="G1370">
        <v>612</v>
      </c>
      <c r="H1370" t="s">
        <v>2070</v>
      </c>
      <c r="I1370" t="s">
        <v>129</v>
      </c>
      <c r="J1370" t="s">
        <v>2105</v>
      </c>
      <c r="L1370">
        <v>0</v>
      </c>
      <c r="M1370" t="s">
        <v>125</v>
      </c>
      <c r="O1370" t="s">
        <v>125</v>
      </c>
      <c r="P1370" t="s">
        <v>125</v>
      </c>
      <c r="Q1370" t="s">
        <v>125</v>
      </c>
      <c r="R1370" t="s">
        <v>125</v>
      </c>
      <c r="S1370" t="s">
        <v>125</v>
      </c>
      <c r="T1370">
        <v>12000</v>
      </c>
      <c r="V1370" t="s">
        <v>125</v>
      </c>
      <c r="AE1370" t="s">
        <v>125</v>
      </c>
      <c r="AF1370">
        <v>0</v>
      </c>
      <c r="AG1370" t="s">
        <v>125</v>
      </c>
      <c r="AH1370">
        <v>0</v>
      </c>
      <c r="AK1370">
        <v>0</v>
      </c>
    </row>
    <row r="1371" spans="1:37" x14ac:dyDescent="0.25">
      <c r="A1371" t="s">
        <v>79</v>
      </c>
      <c r="B1371">
        <v>6</v>
      </c>
      <c r="C1371">
        <v>1</v>
      </c>
      <c r="D1371">
        <v>2</v>
      </c>
      <c r="E1371">
        <v>11</v>
      </c>
      <c r="G1371">
        <v>612</v>
      </c>
      <c r="H1371" t="s">
        <v>2070</v>
      </c>
      <c r="I1371" t="s">
        <v>131</v>
      </c>
      <c r="J1371" t="s">
        <v>2106</v>
      </c>
      <c r="L1371">
        <v>0</v>
      </c>
      <c r="M1371" t="s">
        <v>125</v>
      </c>
      <c r="O1371" t="s">
        <v>125</v>
      </c>
      <c r="P1371" t="s">
        <v>125</v>
      </c>
      <c r="Q1371" t="s">
        <v>125</v>
      </c>
      <c r="R1371" t="s">
        <v>125</v>
      </c>
      <c r="S1371" t="s">
        <v>125</v>
      </c>
      <c r="T1371">
        <v>12000</v>
      </c>
      <c r="V1371" t="s">
        <v>125</v>
      </c>
      <c r="AE1371" t="s">
        <v>125</v>
      </c>
      <c r="AF1371">
        <v>0</v>
      </c>
      <c r="AG1371" t="s">
        <v>125</v>
      </c>
      <c r="AH1371">
        <v>0</v>
      </c>
      <c r="AK1371">
        <v>0</v>
      </c>
    </row>
    <row r="1372" spans="1:37" x14ac:dyDescent="0.25">
      <c r="A1372" t="s">
        <v>79</v>
      </c>
      <c r="B1372">
        <v>6</v>
      </c>
      <c r="C1372">
        <v>1</v>
      </c>
      <c r="D1372">
        <v>2</v>
      </c>
      <c r="E1372">
        <v>12</v>
      </c>
      <c r="G1372">
        <v>612</v>
      </c>
      <c r="H1372" t="s">
        <v>2070</v>
      </c>
      <c r="I1372" t="s">
        <v>133</v>
      </c>
      <c r="J1372" t="s">
        <v>2107</v>
      </c>
      <c r="L1372">
        <v>0</v>
      </c>
      <c r="M1372" t="s">
        <v>125</v>
      </c>
      <c r="O1372" t="s">
        <v>125</v>
      </c>
      <c r="P1372" t="s">
        <v>125</v>
      </c>
      <c r="Q1372" t="s">
        <v>125</v>
      </c>
      <c r="R1372" t="s">
        <v>125</v>
      </c>
      <c r="S1372" t="s">
        <v>125</v>
      </c>
      <c r="T1372">
        <v>12000</v>
      </c>
      <c r="V1372" t="s">
        <v>125</v>
      </c>
      <c r="AE1372" t="s">
        <v>125</v>
      </c>
      <c r="AF1372">
        <v>0</v>
      </c>
      <c r="AG1372" t="s">
        <v>125</v>
      </c>
      <c r="AH1372">
        <v>0</v>
      </c>
      <c r="AK1372">
        <v>0</v>
      </c>
    </row>
    <row r="1373" spans="1:37" x14ac:dyDescent="0.25">
      <c r="A1373" t="s">
        <v>79</v>
      </c>
      <c r="B1373">
        <v>6</v>
      </c>
      <c r="C1373">
        <v>1</v>
      </c>
      <c r="D1373">
        <v>2</v>
      </c>
      <c r="E1373">
        <v>13</v>
      </c>
      <c r="G1373">
        <v>612</v>
      </c>
      <c r="H1373" t="s">
        <v>2070</v>
      </c>
      <c r="I1373" t="s">
        <v>135</v>
      </c>
      <c r="J1373" t="s">
        <v>2108</v>
      </c>
      <c r="L1373">
        <v>0</v>
      </c>
      <c r="M1373" t="s">
        <v>125</v>
      </c>
      <c r="O1373" t="s">
        <v>125</v>
      </c>
      <c r="P1373" t="s">
        <v>125</v>
      </c>
      <c r="Q1373" t="s">
        <v>125</v>
      </c>
      <c r="R1373" t="s">
        <v>125</v>
      </c>
      <c r="S1373" t="s">
        <v>125</v>
      </c>
      <c r="T1373">
        <v>12000</v>
      </c>
      <c r="V1373" t="s">
        <v>125</v>
      </c>
      <c r="AE1373" t="s">
        <v>125</v>
      </c>
      <c r="AF1373">
        <v>0</v>
      </c>
      <c r="AG1373" t="s">
        <v>125</v>
      </c>
      <c r="AH1373">
        <v>0</v>
      </c>
      <c r="AK1373">
        <v>0</v>
      </c>
    </row>
    <row r="1374" spans="1:37" x14ac:dyDescent="0.25">
      <c r="A1374" t="s">
        <v>79</v>
      </c>
      <c r="B1374">
        <v>6</v>
      </c>
      <c r="C1374">
        <v>1</v>
      </c>
      <c r="D1374">
        <v>2</v>
      </c>
      <c r="E1374">
        <v>14</v>
      </c>
      <c r="G1374">
        <v>612</v>
      </c>
      <c r="H1374" t="s">
        <v>2070</v>
      </c>
      <c r="I1374" t="s">
        <v>137</v>
      </c>
      <c r="J1374" t="s">
        <v>2109</v>
      </c>
      <c r="L1374">
        <v>0</v>
      </c>
      <c r="M1374" t="s">
        <v>125</v>
      </c>
      <c r="O1374" t="s">
        <v>125</v>
      </c>
      <c r="P1374" t="s">
        <v>125</v>
      </c>
      <c r="Q1374" t="s">
        <v>125</v>
      </c>
      <c r="R1374" t="s">
        <v>125</v>
      </c>
      <c r="S1374" t="s">
        <v>125</v>
      </c>
      <c r="T1374">
        <v>12000</v>
      </c>
      <c r="V1374" t="s">
        <v>125</v>
      </c>
      <c r="AE1374" t="s">
        <v>125</v>
      </c>
      <c r="AF1374">
        <v>0</v>
      </c>
      <c r="AG1374" t="s">
        <v>125</v>
      </c>
      <c r="AH1374">
        <v>0</v>
      </c>
      <c r="AK1374">
        <v>0</v>
      </c>
    </row>
    <row r="1375" spans="1:37" x14ac:dyDescent="0.25">
      <c r="A1375" t="s">
        <v>79</v>
      </c>
      <c r="B1375">
        <v>6</v>
      </c>
      <c r="C1375">
        <v>1</v>
      </c>
      <c r="D1375">
        <v>2</v>
      </c>
      <c r="E1375">
        <v>15</v>
      </c>
      <c r="G1375">
        <v>612</v>
      </c>
      <c r="H1375" t="s">
        <v>2070</v>
      </c>
      <c r="I1375" t="s">
        <v>139</v>
      </c>
      <c r="J1375" t="s">
        <v>2110</v>
      </c>
      <c r="L1375">
        <v>0</v>
      </c>
      <c r="M1375" t="s">
        <v>125</v>
      </c>
      <c r="O1375" t="s">
        <v>125</v>
      </c>
      <c r="P1375" t="s">
        <v>125</v>
      </c>
      <c r="Q1375" t="s">
        <v>125</v>
      </c>
      <c r="R1375" t="s">
        <v>125</v>
      </c>
      <c r="S1375" t="s">
        <v>125</v>
      </c>
      <c r="T1375">
        <v>12000</v>
      </c>
      <c r="V1375" t="s">
        <v>125</v>
      </c>
      <c r="AE1375" t="s">
        <v>125</v>
      </c>
      <c r="AF1375">
        <v>0</v>
      </c>
      <c r="AG1375" t="s">
        <v>125</v>
      </c>
      <c r="AH1375">
        <v>0</v>
      </c>
      <c r="AK1375">
        <v>0</v>
      </c>
    </row>
    <row r="1376" spans="1:37" x14ac:dyDescent="0.25">
      <c r="L1376">
        <v>0</v>
      </c>
    </row>
    <row r="1377" spans="1:37" x14ac:dyDescent="0.25">
      <c r="A1377" t="s">
        <v>70</v>
      </c>
      <c r="B1377">
        <v>6</v>
      </c>
      <c r="C1377">
        <v>1</v>
      </c>
      <c r="D1377">
        <v>3</v>
      </c>
      <c r="G1377">
        <v>61</v>
      </c>
      <c r="M1377" t="s">
        <v>2111</v>
      </c>
      <c r="O1377" t="s">
        <v>2112</v>
      </c>
      <c r="P1377" t="s">
        <v>2113</v>
      </c>
      <c r="Q1377" t="s">
        <v>2114</v>
      </c>
      <c r="R1377" t="s">
        <v>268</v>
      </c>
      <c r="S1377" t="s">
        <v>2115</v>
      </c>
      <c r="V1377" t="s">
        <v>2116</v>
      </c>
      <c r="X1377" t="s">
        <v>2117</v>
      </c>
      <c r="Y1377" t="s">
        <v>2118</v>
      </c>
      <c r="Z1377" t="s">
        <v>2119</v>
      </c>
      <c r="AA1377" t="s">
        <v>2120</v>
      </c>
      <c r="AB1377" t="s">
        <v>2121</v>
      </c>
      <c r="AC1377" t="s">
        <v>2122</v>
      </c>
      <c r="AE1377" t="s">
        <v>2123</v>
      </c>
      <c r="AF1377">
        <v>0</v>
      </c>
      <c r="AG1377" t="s">
        <v>2124</v>
      </c>
      <c r="AH1377">
        <v>0</v>
      </c>
      <c r="AK1377">
        <v>0</v>
      </c>
    </row>
    <row r="1378" spans="1:37" x14ac:dyDescent="0.25">
      <c r="A1378" t="s">
        <v>79</v>
      </c>
      <c r="B1378">
        <v>6</v>
      </c>
      <c r="C1378">
        <v>1</v>
      </c>
      <c r="D1378">
        <v>3</v>
      </c>
      <c r="E1378">
        <v>1</v>
      </c>
      <c r="G1378">
        <v>613</v>
      </c>
      <c r="H1378" t="s">
        <v>2112</v>
      </c>
      <c r="I1378" t="s">
        <v>80</v>
      </c>
      <c r="J1378" t="s">
        <v>2125</v>
      </c>
      <c r="L1378">
        <v>0</v>
      </c>
      <c r="M1378" t="s">
        <v>2126</v>
      </c>
      <c r="O1378" t="s">
        <v>2127</v>
      </c>
      <c r="P1378" t="s">
        <v>2128</v>
      </c>
      <c r="Q1378" t="s">
        <v>1312</v>
      </c>
      <c r="R1378" t="s">
        <v>268</v>
      </c>
      <c r="S1378" t="s">
        <v>2129</v>
      </c>
      <c r="T1378">
        <v>150</v>
      </c>
      <c r="U1378">
        <v>165</v>
      </c>
      <c r="V1378" t="s">
        <v>2130</v>
      </c>
      <c r="AE1378" t="s">
        <v>2131</v>
      </c>
      <c r="AF1378">
        <v>0</v>
      </c>
      <c r="AG1378" t="s">
        <v>2132</v>
      </c>
      <c r="AH1378">
        <v>0</v>
      </c>
      <c r="AK1378">
        <v>0</v>
      </c>
    </row>
    <row r="1379" spans="1:37" x14ac:dyDescent="0.25">
      <c r="A1379" t="s">
        <v>79</v>
      </c>
      <c r="B1379">
        <v>6</v>
      </c>
      <c r="C1379">
        <v>1</v>
      </c>
      <c r="D1379">
        <v>3</v>
      </c>
      <c r="E1379">
        <v>2</v>
      </c>
      <c r="G1379">
        <v>613</v>
      </c>
      <c r="H1379" t="s">
        <v>2112</v>
      </c>
      <c r="I1379" t="s">
        <v>88</v>
      </c>
      <c r="J1379" t="s">
        <v>2133</v>
      </c>
      <c r="L1379">
        <v>0</v>
      </c>
      <c r="M1379" t="s">
        <v>2134</v>
      </c>
      <c r="O1379" t="s">
        <v>236</v>
      </c>
      <c r="P1379" t="s">
        <v>237</v>
      </c>
      <c r="Q1379" t="s">
        <v>2135</v>
      </c>
      <c r="R1379" t="s">
        <v>229</v>
      </c>
      <c r="S1379" t="s">
        <v>239</v>
      </c>
      <c r="T1379">
        <v>150</v>
      </c>
      <c r="U1379">
        <v>34</v>
      </c>
      <c r="V1379" t="s">
        <v>2136</v>
      </c>
      <c r="AE1379" t="s">
        <v>2137</v>
      </c>
      <c r="AF1379">
        <v>0</v>
      </c>
      <c r="AG1379" t="s">
        <v>2138</v>
      </c>
      <c r="AH1379">
        <v>0</v>
      </c>
      <c r="AK1379">
        <v>0</v>
      </c>
    </row>
    <row r="1380" spans="1:37" x14ac:dyDescent="0.25">
      <c r="A1380" t="s">
        <v>79</v>
      </c>
      <c r="B1380">
        <v>6</v>
      </c>
      <c r="C1380">
        <v>1</v>
      </c>
      <c r="D1380">
        <v>3</v>
      </c>
      <c r="E1380">
        <v>3</v>
      </c>
      <c r="G1380">
        <v>613</v>
      </c>
      <c r="H1380" t="s">
        <v>2112</v>
      </c>
      <c r="I1380" t="s">
        <v>95</v>
      </c>
      <c r="J1380" t="s">
        <v>2139</v>
      </c>
      <c r="L1380">
        <v>0</v>
      </c>
      <c r="M1380" t="s">
        <v>2140</v>
      </c>
      <c r="O1380" t="s">
        <v>1319</v>
      </c>
      <c r="P1380" t="s">
        <v>1320</v>
      </c>
      <c r="Q1380" t="s">
        <v>2135</v>
      </c>
      <c r="R1380" t="s">
        <v>229</v>
      </c>
      <c r="S1380" t="s">
        <v>1322</v>
      </c>
      <c r="T1380">
        <v>150</v>
      </c>
      <c r="U1380">
        <v>34</v>
      </c>
      <c r="V1380" t="s">
        <v>2141</v>
      </c>
      <c r="AE1380" t="s">
        <v>2142</v>
      </c>
      <c r="AF1380">
        <v>0</v>
      </c>
      <c r="AG1380" t="s">
        <v>2138</v>
      </c>
      <c r="AH1380">
        <v>0</v>
      </c>
      <c r="AK1380">
        <v>0</v>
      </c>
    </row>
    <row r="1381" spans="1:37" x14ac:dyDescent="0.25">
      <c r="A1381" t="s">
        <v>79</v>
      </c>
      <c r="B1381">
        <v>6</v>
      </c>
      <c r="C1381">
        <v>1</v>
      </c>
      <c r="D1381">
        <v>3</v>
      </c>
      <c r="E1381">
        <v>4</v>
      </c>
      <c r="G1381">
        <v>613</v>
      </c>
      <c r="H1381" t="s">
        <v>2112</v>
      </c>
      <c r="I1381" t="s">
        <v>102</v>
      </c>
      <c r="J1381" t="s">
        <v>2143</v>
      </c>
      <c r="L1381">
        <v>0</v>
      </c>
      <c r="M1381" t="s">
        <v>2144</v>
      </c>
      <c r="O1381" t="s">
        <v>294</v>
      </c>
      <c r="P1381" t="s">
        <v>295</v>
      </c>
      <c r="Q1381" t="s">
        <v>2145</v>
      </c>
      <c r="R1381" t="s">
        <v>229</v>
      </c>
      <c r="S1381" t="s">
        <v>297</v>
      </c>
      <c r="T1381">
        <v>150</v>
      </c>
      <c r="U1381">
        <v>202</v>
      </c>
      <c r="V1381" t="s">
        <v>2146</v>
      </c>
      <c r="AE1381" t="s">
        <v>2147</v>
      </c>
      <c r="AF1381">
        <v>0</v>
      </c>
      <c r="AG1381" t="s">
        <v>2148</v>
      </c>
      <c r="AH1381">
        <v>0</v>
      </c>
      <c r="AK1381">
        <v>0</v>
      </c>
    </row>
    <row r="1382" spans="1:37" x14ac:dyDescent="0.25">
      <c r="A1382" t="s">
        <v>79</v>
      </c>
      <c r="B1382">
        <v>6</v>
      </c>
      <c r="C1382">
        <v>1</v>
      </c>
      <c r="D1382">
        <v>3</v>
      </c>
      <c r="E1382">
        <v>5</v>
      </c>
      <c r="G1382">
        <v>613</v>
      </c>
      <c r="H1382" t="s">
        <v>2112</v>
      </c>
      <c r="I1382" t="s">
        <v>109</v>
      </c>
      <c r="J1382" t="s">
        <v>2149</v>
      </c>
      <c r="L1382">
        <v>0</v>
      </c>
      <c r="M1382" t="s">
        <v>2150</v>
      </c>
      <c r="O1382" t="s">
        <v>1328</v>
      </c>
      <c r="P1382" t="s">
        <v>1329</v>
      </c>
      <c r="Q1382" t="s">
        <v>2151</v>
      </c>
      <c r="R1382" t="s">
        <v>248</v>
      </c>
      <c r="S1382" t="s">
        <v>1331</v>
      </c>
      <c r="T1382">
        <v>150</v>
      </c>
      <c r="U1382">
        <v>14</v>
      </c>
      <c r="V1382" t="s">
        <v>322</v>
      </c>
      <c r="AE1382" t="s">
        <v>2152</v>
      </c>
      <c r="AF1382">
        <v>0</v>
      </c>
      <c r="AG1382" t="s">
        <v>2153</v>
      </c>
      <c r="AH1382">
        <v>0</v>
      </c>
      <c r="AK1382">
        <v>0</v>
      </c>
    </row>
    <row r="1383" spans="1:37" x14ac:dyDescent="0.25">
      <c r="A1383" t="s">
        <v>79</v>
      </c>
      <c r="B1383">
        <v>6</v>
      </c>
      <c r="C1383">
        <v>1</v>
      </c>
      <c r="D1383">
        <v>3</v>
      </c>
      <c r="E1383">
        <v>6</v>
      </c>
      <c r="G1383">
        <v>613</v>
      </c>
      <c r="H1383" t="s">
        <v>2112</v>
      </c>
      <c r="I1383" t="s">
        <v>116</v>
      </c>
      <c r="J1383" t="s">
        <v>2154</v>
      </c>
      <c r="L1383">
        <v>0</v>
      </c>
      <c r="M1383" t="s">
        <v>2155</v>
      </c>
      <c r="O1383" t="s">
        <v>1336</v>
      </c>
      <c r="P1383" t="s">
        <v>1337</v>
      </c>
      <c r="Q1383" t="s">
        <v>2156</v>
      </c>
      <c r="R1383" t="s">
        <v>258</v>
      </c>
      <c r="S1383" t="s">
        <v>1339</v>
      </c>
      <c r="T1383">
        <v>150</v>
      </c>
      <c r="U1383">
        <v>20</v>
      </c>
      <c r="V1383" t="s">
        <v>1890</v>
      </c>
      <c r="AE1383" t="s">
        <v>2157</v>
      </c>
      <c r="AF1383">
        <v>0</v>
      </c>
      <c r="AG1383" t="s">
        <v>2158</v>
      </c>
      <c r="AH1383">
        <v>0</v>
      </c>
      <c r="AK1383">
        <v>0</v>
      </c>
    </row>
    <row r="1384" spans="1:37" x14ac:dyDescent="0.25">
      <c r="A1384" t="s">
        <v>79</v>
      </c>
      <c r="B1384">
        <v>6</v>
      </c>
      <c r="C1384">
        <v>1</v>
      </c>
      <c r="D1384">
        <v>3</v>
      </c>
      <c r="E1384">
        <v>7</v>
      </c>
      <c r="G1384">
        <v>613</v>
      </c>
      <c r="H1384" t="s">
        <v>2112</v>
      </c>
      <c r="I1384" t="s">
        <v>123</v>
      </c>
      <c r="J1384" t="s">
        <v>2159</v>
      </c>
      <c r="L1384">
        <v>0</v>
      </c>
      <c r="M1384" t="s">
        <v>125</v>
      </c>
      <c r="O1384" t="s">
        <v>125</v>
      </c>
      <c r="P1384" t="s">
        <v>125</v>
      </c>
      <c r="Q1384" t="s">
        <v>125</v>
      </c>
      <c r="R1384" t="s">
        <v>125</v>
      </c>
      <c r="S1384" t="s">
        <v>125</v>
      </c>
      <c r="T1384">
        <v>150</v>
      </c>
      <c r="V1384" t="s">
        <v>125</v>
      </c>
      <c r="AE1384" t="s">
        <v>125</v>
      </c>
      <c r="AF1384">
        <v>0</v>
      </c>
      <c r="AG1384" t="s">
        <v>125</v>
      </c>
      <c r="AH1384">
        <v>0</v>
      </c>
      <c r="AK1384">
        <v>0</v>
      </c>
    </row>
    <row r="1385" spans="1:37" x14ac:dyDescent="0.25">
      <c r="A1385" t="s">
        <v>79</v>
      </c>
      <c r="B1385">
        <v>6</v>
      </c>
      <c r="C1385">
        <v>1</v>
      </c>
      <c r="D1385">
        <v>3</v>
      </c>
      <c r="E1385">
        <v>8</v>
      </c>
      <c r="G1385">
        <v>613</v>
      </c>
      <c r="H1385" t="s">
        <v>2112</v>
      </c>
      <c r="I1385" t="s">
        <v>126</v>
      </c>
      <c r="J1385" t="s">
        <v>2160</v>
      </c>
      <c r="L1385">
        <v>0</v>
      </c>
      <c r="M1385" t="s">
        <v>125</v>
      </c>
      <c r="O1385" t="s">
        <v>125</v>
      </c>
      <c r="P1385" t="s">
        <v>125</v>
      </c>
      <c r="Q1385" t="s">
        <v>125</v>
      </c>
      <c r="R1385" t="s">
        <v>125</v>
      </c>
      <c r="S1385" t="s">
        <v>125</v>
      </c>
      <c r="T1385">
        <v>150</v>
      </c>
      <c r="V1385" t="s">
        <v>125</v>
      </c>
      <c r="AE1385" t="s">
        <v>125</v>
      </c>
      <c r="AF1385">
        <v>0</v>
      </c>
      <c r="AG1385" t="s">
        <v>125</v>
      </c>
      <c r="AH1385">
        <v>0</v>
      </c>
      <c r="AK1385">
        <v>0</v>
      </c>
    </row>
    <row r="1386" spans="1:37" x14ac:dyDescent="0.25">
      <c r="A1386" t="s">
        <v>79</v>
      </c>
      <c r="B1386">
        <v>6</v>
      </c>
      <c r="C1386">
        <v>1</v>
      </c>
      <c r="D1386">
        <v>3</v>
      </c>
      <c r="E1386">
        <v>9</v>
      </c>
      <c r="G1386">
        <v>613</v>
      </c>
      <c r="H1386" t="s">
        <v>2112</v>
      </c>
      <c r="I1386" t="s">
        <v>74</v>
      </c>
      <c r="J1386" t="s">
        <v>2161</v>
      </c>
      <c r="L1386">
        <v>0</v>
      </c>
      <c r="M1386" t="s">
        <v>125</v>
      </c>
      <c r="O1386" t="s">
        <v>125</v>
      </c>
      <c r="P1386" t="s">
        <v>125</v>
      </c>
      <c r="Q1386" t="s">
        <v>125</v>
      </c>
      <c r="R1386" t="s">
        <v>125</v>
      </c>
      <c r="S1386" t="s">
        <v>125</v>
      </c>
      <c r="T1386">
        <v>150</v>
      </c>
      <c r="V1386" t="s">
        <v>125</v>
      </c>
      <c r="AE1386" t="s">
        <v>125</v>
      </c>
      <c r="AF1386">
        <v>0</v>
      </c>
      <c r="AG1386" t="s">
        <v>125</v>
      </c>
      <c r="AH1386">
        <v>0</v>
      </c>
      <c r="AK1386">
        <v>0</v>
      </c>
    </row>
    <row r="1387" spans="1:37" x14ac:dyDescent="0.25">
      <c r="A1387" t="s">
        <v>79</v>
      </c>
      <c r="B1387">
        <v>6</v>
      </c>
      <c r="C1387">
        <v>1</v>
      </c>
      <c r="D1387">
        <v>3</v>
      </c>
      <c r="E1387">
        <v>10</v>
      </c>
      <c r="G1387">
        <v>613</v>
      </c>
      <c r="H1387" t="s">
        <v>2112</v>
      </c>
      <c r="I1387" t="s">
        <v>129</v>
      </c>
      <c r="J1387" t="s">
        <v>2162</v>
      </c>
      <c r="L1387">
        <v>0</v>
      </c>
      <c r="M1387" t="s">
        <v>125</v>
      </c>
      <c r="O1387" t="s">
        <v>125</v>
      </c>
      <c r="P1387" t="s">
        <v>125</v>
      </c>
      <c r="Q1387" t="s">
        <v>125</v>
      </c>
      <c r="R1387" t="s">
        <v>125</v>
      </c>
      <c r="S1387" t="s">
        <v>125</v>
      </c>
      <c r="T1387">
        <v>150</v>
      </c>
      <c r="V1387" t="s">
        <v>125</v>
      </c>
      <c r="AE1387" t="s">
        <v>125</v>
      </c>
      <c r="AF1387">
        <v>0</v>
      </c>
      <c r="AG1387" t="s">
        <v>125</v>
      </c>
      <c r="AH1387">
        <v>0</v>
      </c>
      <c r="AK1387">
        <v>0</v>
      </c>
    </row>
    <row r="1388" spans="1:37" x14ac:dyDescent="0.25">
      <c r="A1388" t="s">
        <v>79</v>
      </c>
      <c r="B1388">
        <v>6</v>
      </c>
      <c r="C1388">
        <v>1</v>
      </c>
      <c r="D1388">
        <v>3</v>
      </c>
      <c r="E1388">
        <v>11</v>
      </c>
      <c r="G1388">
        <v>613</v>
      </c>
      <c r="H1388" t="s">
        <v>2112</v>
      </c>
      <c r="I1388" t="s">
        <v>131</v>
      </c>
      <c r="J1388" t="s">
        <v>2163</v>
      </c>
      <c r="L1388">
        <v>0</v>
      </c>
      <c r="M1388" t="s">
        <v>125</v>
      </c>
      <c r="O1388" t="s">
        <v>125</v>
      </c>
      <c r="P1388" t="s">
        <v>125</v>
      </c>
      <c r="Q1388" t="s">
        <v>125</v>
      </c>
      <c r="R1388" t="s">
        <v>125</v>
      </c>
      <c r="S1388" t="s">
        <v>125</v>
      </c>
      <c r="T1388">
        <v>150</v>
      </c>
      <c r="V1388" t="s">
        <v>125</v>
      </c>
      <c r="AE1388" t="s">
        <v>125</v>
      </c>
      <c r="AF1388">
        <v>0</v>
      </c>
      <c r="AG1388" t="s">
        <v>125</v>
      </c>
      <c r="AH1388">
        <v>0</v>
      </c>
      <c r="AK1388">
        <v>0</v>
      </c>
    </row>
    <row r="1389" spans="1:37" x14ac:dyDescent="0.25">
      <c r="A1389" t="s">
        <v>79</v>
      </c>
      <c r="B1389">
        <v>6</v>
      </c>
      <c r="C1389">
        <v>1</v>
      </c>
      <c r="D1389">
        <v>3</v>
      </c>
      <c r="E1389">
        <v>12</v>
      </c>
      <c r="G1389">
        <v>613</v>
      </c>
      <c r="H1389" t="s">
        <v>2112</v>
      </c>
      <c r="I1389" t="s">
        <v>133</v>
      </c>
      <c r="J1389" t="s">
        <v>2164</v>
      </c>
      <c r="L1389">
        <v>0</v>
      </c>
      <c r="M1389" t="s">
        <v>125</v>
      </c>
      <c r="O1389" t="s">
        <v>125</v>
      </c>
      <c r="P1389" t="s">
        <v>125</v>
      </c>
      <c r="Q1389" t="s">
        <v>125</v>
      </c>
      <c r="R1389" t="s">
        <v>125</v>
      </c>
      <c r="S1389" t="s">
        <v>125</v>
      </c>
      <c r="T1389">
        <v>150</v>
      </c>
      <c r="V1389" t="s">
        <v>125</v>
      </c>
      <c r="AE1389" t="s">
        <v>125</v>
      </c>
      <c r="AF1389">
        <v>0</v>
      </c>
      <c r="AG1389" t="s">
        <v>125</v>
      </c>
      <c r="AH1389">
        <v>0</v>
      </c>
      <c r="AK1389">
        <v>0</v>
      </c>
    </row>
    <row r="1390" spans="1:37" x14ac:dyDescent="0.25">
      <c r="A1390" t="s">
        <v>79</v>
      </c>
      <c r="B1390">
        <v>6</v>
      </c>
      <c r="C1390">
        <v>1</v>
      </c>
      <c r="D1390">
        <v>3</v>
      </c>
      <c r="E1390">
        <v>13</v>
      </c>
      <c r="G1390">
        <v>613</v>
      </c>
      <c r="H1390" t="s">
        <v>2112</v>
      </c>
      <c r="I1390" t="s">
        <v>135</v>
      </c>
      <c r="J1390" t="s">
        <v>2165</v>
      </c>
      <c r="L1390">
        <v>0</v>
      </c>
      <c r="M1390" t="s">
        <v>125</v>
      </c>
      <c r="O1390" t="s">
        <v>125</v>
      </c>
      <c r="P1390" t="s">
        <v>125</v>
      </c>
      <c r="Q1390" t="s">
        <v>125</v>
      </c>
      <c r="R1390" t="s">
        <v>125</v>
      </c>
      <c r="S1390" t="s">
        <v>125</v>
      </c>
      <c r="T1390">
        <v>150</v>
      </c>
      <c r="V1390" t="s">
        <v>125</v>
      </c>
      <c r="AE1390" t="s">
        <v>125</v>
      </c>
      <c r="AF1390">
        <v>0</v>
      </c>
      <c r="AG1390" t="s">
        <v>125</v>
      </c>
      <c r="AH1390">
        <v>0</v>
      </c>
      <c r="AK1390">
        <v>0</v>
      </c>
    </row>
    <row r="1391" spans="1:37" x14ac:dyDescent="0.25">
      <c r="A1391" t="s">
        <v>79</v>
      </c>
      <c r="B1391">
        <v>6</v>
      </c>
      <c r="C1391">
        <v>1</v>
      </c>
      <c r="D1391">
        <v>3</v>
      </c>
      <c r="E1391">
        <v>14</v>
      </c>
      <c r="G1391">
        <v>613</v>
      </c>
      <c r="H1391" t="s">
        <v>2112</v>
      </c>
      <c r="I1391" t="s">
        <v>137</v>
      </c>
      <c r="J1391" t="s">
        <v>2166</v>
      </c>
      <c r="L1391">
        <v>0</v>
      </c>
      <c r="M1391" t="s">
        <v>125</v>
      </c>
      <c r="O1391" t="s">
        <v>125</v>
      </c>
      <c r="P1391" t="s">
        <v>125</v>
      </c>
      <c r="Q1391" t="s">
        <v>125</v>
      </c>
      <c r="R1391" t="s">
        <v>125</v>
      </c>
      <c r="S1391" t="s">
        <v>125</v>
      </c>
      <c r="T1391">
        <v>150</v>
      </c>
      <c r="V1391" t="s">
        <v>125</v>
      </c>
      <c r="AE1391" t="s">
        <v>125</v>
      </c>
      <c r="AF1391">
        <v>0</v>
      </c>
      <c r="AG1391" t="s">
        <v>125</v>
      </c>
      <c r="AH1391">
        <v>0</v>
      </c>
      <c r="AK1391">
        <v>0</v>
      </c>
    </row>
    <row r="1392" spans="1:37" x14ac:dyDescent="0.25">
      <c r="A1392" t="s">
        <v>79</v>
      </c>
      <c r="B1392">
        <v>6</v>
      </c>
      <c r="C1392">
        <v>1</v>
      </c>
      <c r="D1392">
        <v>3</v>
      </c>
      <c r="E1392">
        <v>15</v>
      </c>
      <c r="G1392">
        <v>613</v>
      </c>
      <c r="H1392" t="s">
        <v>2112</v>
      </c>
      <c r="I1392" t="s">
        <v>139</v>
      </c>
      <c r="J1392" t="s">
        <v>2167</v>
      </c>
      <c r="L1392">
        <v>0</v>
      </c>
      <c r="M1392" t="s">
        <v>125</v>
      </c>
      <c r="O1392" t="s">
        <v>125</v>
      </c>
      <c r="P1392" t="s">
        <v>125</v>
      </c>
      <c r="Q1392" t="s">
        <v>125</v>
      </c>
      <c r="R1392" t="s">
        <v>125</v>
      </c>
      <c r="S1392" t="s">
        <v>125</v>
      </c>
      <c r="T1392">
        <v>150</v>
      </c>
      <c r="V1392" t="s">
        <v>125</v>
      </c>
      <c r="AE1392" t="s">
        <v>125</v>
      </c>
      <c r="AF1392">
        <v>0</v>
      </c>
      <c r="AG1392" t="s">
        <v>125</v>
      </c>
      <c r="AH1392">
        <v>0</v>
      </c>
      <c r="AK1392">
        <v>0</v>
      </c>
    </row>
    <row r="1393" spans="1:37" x14ac:dyDescent="0.25">
      <c r="L1393">
        <v>0</v>
      </c>
    </row>
    <row r="1394" spans="1:37" x14ac:dyDescent="0.25">
      <c r="A1394" t="s">
        <v>70</v>
      </c>
      <c r="B1394">
        <v>6</v>
      </c>
      <c r="C1394">
        <v>1</v>
      </c>
      <c r="D1394">
        <v>4</v>
      </c>
      <c r="G1394">
        <v>61</v>
      </c>
      <c r="L1394">
        <v>0</v>
      </c>
      <c r="M1394" t="s">
        <v>125</v>
      </c>
      <c r="P1394" t="s">
        <v>125</v>
      </c>
      <c r="R1394" t="s">
        <v>125</v>
      </c>
      <c r="S1394" t="s">
        <v>63</v>
      </c>
      <c r="V1394" t="s">
        <v>125</v>
      </c>
      <c r="X1394" t="s">
        <v>125</v>
      </c>
      <c r="Y1394" t="s">
        <v>125</v>
      </c>
      <c r="Z1394" t="s">
        <v>125</v>
      </c>
      <c r="AA1394" t="s">
        <v>125</v>
      </c>
      <c r="AB1394" t="s">
        <v>125</v>
      </c>
      <c r="AC1394" t="s">
        <v>125</v>
      </c>
      <c r="AE1394" t="s">
        <v>125</v>
      </c>
      <c r="AF1394">
        <v>0</v>
      </c>
      <c r="AG1394" t="s">
        <v>125</v>
      </c>
      <c r="AH1394">
        <v>0</v>
      </c>
      <c r="AK1394">
        <v>0</v>
      </c>
    </row>
    <row r="1395" spans="1:37" x14ac:dyDescent="0.25">
      <c r="A1395" t="s">
        <v>79</v>
      </c>
      <c r="B1395">
        <v>6</v>
      </c>
      <c r="C1395">
        <v>1</v>
      </c>
      <c r="D1395">
        <v>4</v>
      </c>
      <c r="E1395">
        <v>1</v>
      </c>
      <c r="G1395">
        <v>614</v>
      </c>
      <c r="H1395" t="s">
        <v>63</v>
      </c>
      <c r="I1395" t="s">
        <v>80</v>
      </c>
      <c r="J1395" t="s">
        <v>141</v>
      </c>
      <c r="L1395">
        <v>0</v>
      </c>
      <c r="M1395" t="s">
        <v>125</v>
      </c>
      <c r="O1395" t="s">
        <v>125</v>
      </c>
      <c r="P1395" t="s">
        <v>125</v>
      </c>
      <c r="Q1395" t="s">
        <v>125</v>
      </c>
      <c r="R1395" t="s">
        <v>125</v>
      </c>
      <c r="S1395" t="s">
        <v>125</v>
      </c>
      <c r="T1395">
        <v>0</v>
      </c>
      <c r="V1395" t="s">
        <v>125</v>
      </c>
      <c r="AE1395" t="s">
        <v>125</v>
      </c>
      <c r="AF1395">
        <v>0</v>
      </c>
      <c r="AG1395" t="s">
        <v>125</v>
      </c>
      <c r="AH1395">
        <v>0</v>
      </c>
      <c r="AK1395">
        <v>0</v>
      </c>
    </row>
    <row r="1396" spans="1:37" x14ac:dyDescent="0.25">
      <c r="A1396" t="s">
        <v>79</v>
      </c>
      <c r="B1396">
        <v>6</v>
      </c>
      <c r="C1396">
        <v>1</v>
      </c>
      <c r="D1396">
        <v>4</v>
      </c>
      <c r="E1396">
        <v>2</v>
      </c>
      <c r="G1396">
        <v>614</v>
      </c>
      <c r="H1396" t="s">
        <v>63</v>
      </c>
      <c r="I1396" t="s">
        <v>88</v>
      </c>
      <c r="J1396" t="s">
        <v>142</v>
      </c>
      <c r="L1396">
        <v>0</v>
      </c>
      <c r="M1396" t="s">
        <v>125</v>
      </c>
      <c r="O1396" t="s">
        <v>125</v>
      </c>
      <c r="P1396" t="s">
        <v>125</v>
      </c>
      <c r="Q1396" t="s">
        <v>125</v>
      </c>
      <c r="R1396" t="s">
        <v>125</v>
      </c>
      <c r="S1396" t="s">
        <v>125</v>
      </c>
      <c r="T1396">
        <v>0</v>
      </c>
      <c r="V1396" t="s">
        <v>125</v>
      </c>
      <c r="AE1396" t="s">
        <v>125</v>
      </c>
      <c r="AF1396">
        <v>0</v>
      </c>
      <c r="AG1396" t="s">
        <v>125</v>
      </c>
      <c r="AH1396">
        <v>0</v>
      </c>
      <c r="AK1396">
        <v>0</v>
      </c>
    </row>
    <row r="1397" spans="1:37" x14ac:dyDescent="0.25">
      <c r="A1397" t="s">
        <v>79</v>
      </c>
      <c r="B1397">
        <v>6</v>
      </c>
      <c r="C1397">
        <v>1</v>
      </c>
      <c r="D1397">
        <v>4</v>
      </c>
      <c r="E1397">
        <v>3</v>
      </c>
      <c r="G1397">
        <v>614</v>
      </c>
      <c r="H1397" t="s">
        <v>63</v>
      </c>
      <c r="I1397" t="s">
        <v>95</v>
      </c>
      <c r="J1397" t="s">
        <v>143</v>
      </c>
      <c r="L1397">
        <v>0</v>
      </c>
      <c r="M1397" t="s">
        <v>125</v>
      </c>
      <c r="O1397" t="s">
        <v>125</v>
      </c>
      <c r="P1397" t="s">
        <v>125</v>
      </c>
      <c r="Q1397" t="s">
        <v>125</v>
      </c>
      <c r="R1397" t="s">
        <v>125</v>
      </c>
      <c r="S1397" t="s">
        <v>125</v>
      </c>
      <c r="T1397">
        <v>0</v>
      </c>
      <c r="V1397" t="s">
        <v>125</v>
      </c>
      <c r="AE1397" t="s">
        <v>125</v>
      </c>
      <c r="AF1397">
        <v>0</v>
      </c>
      <c r="AG1397" t="s">
        <v>125</v>
      </c>
      <c r="AH1397">
        <v>0</v>
      </c>
      <c r="AK1397">
        <v>0</v>
      </c>
    </row>
    <row r="1398" spans="1:37" x14ac:dyDescent="0.25">
      <c r="A1398" t="s">
        <v>79</v>
      </c>
      <c r="B1398">
        <v>6</v>
      </c>
      <c r="C1398">
        <v>1</v>
      </c>
      <c r="D1398">
        <v>4</v>
      </c>
      <c r="E1398">
        <v>4</v>
      </c>
      <c r="G1398">
        <v>614</v>
      </c>
      <c r="H1398" t="s">
        <v>63</v>
      </c>
      <c r="I1398" t="s">
        <v>102</v>
      </c>
      <c r="J1398" t="s">
        <v>144</v>
      </c>
      <c r="L1398">
        <v>0</v>
      </c>
      <c r="M1398" t="s">
        <v>125</v>
      </c>
      <c r="O1398" t="s">
        <v>125</v>
      </c>
      <c r="P1398" t="s">
        <v>125</v>
      </c>
      <c r="Q1398" t="s">
        <v>125</v>
      </c>
      <c r="R1398" t="s">
        <v>125</v>
      </c>
      <c r="S1398" t="s">
        <v>125</v>
      </c>
      <c r="T1398">
        <v>0</v>
      </c>
      <c r="V1398" t="s">
        <v>125</v>
      </c>
      <c r="AE1398" t="s">
        <v>125</v>
      </c>
      <c r="AF1398">
        <v>0</v>
      </c>
      <c r="AG1398" t="s">
        <v>125</v>
      </c>
      <c r="AH1398">
        <v>0</v>
      </c>
      <c r="AK1398">
        <v>0</v>
      </c>
    </row>
    <row r="1399" spans="1:37" x14ac:dyDescent="0.25">
      <c r="A1399" t="s">
        <v>79</v>
      </c>
      <c r="B1399">
        <v>6</v>
      </c>
      <c r="C1399">
        <v>1</v>
      </c>
      <c r="D1399">
        <v>4</v>
      </c>
      <c r="E1399">
        <v>5</v>
      </c>
      <c r="G1399">
        <v>614</v>
      </c>
      <c r="H1399" t="s">
        <v>63</v>
      </c>
      <c r="I1399" t="s">
        <v>109</v>
      </c>
      <c r="J1399" t="s">
        <v>145</v>
      </c>
      <c r="L1399">
        <v>0</v>
      </c>
      <c r="M1399" t="s">
        <v>125</v>
      </c>
      <c r="O1399" t="s">
        <v>125</v>
      </c>
      <c r="P1399" t="s">
        <v>125</v>
      </c>
      <c r="Q1399" t="s">
        <v>125</v>
      </c>
      <c r="R1399" t="s">
        <v>125</v>
      </c>
      <c r="S1399" t="s">
        <v>125</v>
      </c>
      <c r="T1399">
        <v>0</v>
      </c>
      <c r="V1399" t="s">
        <v>125</v>
      </c>
      <c r="AE1399" t="s">
        <v>125</v>
      </c>
      <c r="AF1399">
        <v>0</v>
      </c>
      <c r="AG1399" t="s">
        <v>125</v>
      </c>
      <c r="AH1399">
        <v>0</v>
      </c>
      <c r="AK1399">
        <v>0</v>
      </c>
    </row>
    <row r="1400" spans="1:37" x14ac:dyDescent="0.25">
      <c r="A1400" t="s">
        <v>79</v>
      </c>
      <c r="B1400">
        <v>6</v>
      </c>
      <c r="C1400">
        <v>1</v>
      </c>
      <c r="D1400">
        <v>4</v>
      </c>
      <c r="E1400">
        <v>6</v>
      </c>
      <c r="G1400">
        <v>614</v>
      </c>
      <c r="H1400" t="s">
        <v>63</v>
      </c>
      <c r="I1400" t="s">
        <v>116</v>
      </c>
      <c r="J1400" t="s">
        <v>146</v>
      </c>
      <c r="L1400">
        <v>0</v>
      </c>
      <c r="M1400" t="s">
        <v>125</v>
      </c>
      <c r="O1400" t="s">
        <v>125</v>
      </c>
      <c r="P1400" t="s">
        <v>125</v>
      </c>
      <c r="Q1400" t="s">
        <v>125</v>
      </c>
      <c r="R1400" t="s">
        <v>125</v>
      </c>
      <c r="S1400" t="s">
        <v>125</v>
      </c>
      <c r="T1400">
        <v>0</v>
      </c>
      <c r="V1400" t="s">
        <v>125</v>
      </c>
      <c r="AE1400" t="s">
        <v>125</v>
      </c>
      <c r="AF1400">
        <v>0</v>
      </c>
      <c r="AG1400" t="s">
        <v>125</v>
      </c>
      <c r="AH1400">
        <v>0</v>
      </c>
      <c r="AK1400">
        <v>0</v>
      </c>
    </row>
    <row r="1401" spans="1:37" x14ac:dyDescent="0.25">
      <c r="A1401" t="s">
        <v>79</v>
      </c>
      <c r="B1401">
        <v>6</v>
      </c>
      <c r="C1401">
        <v>1</v>
      </c>
      <c r="D1401">
        <v>4</v>
      </c>
      <c r="E1401">
        <v>7</v>
      </c>
      <c r="G1401">
        <v>614</v>
      </c>
      <c r="H1401" t="s">
        <v>63</v>
      </c>
      <c r="I1401" t="s">
        <v>123</v>
      </c>
      <c r="J1401" t="s">
        <v>147</v>
      </c>
      <c r="L1401">
        <v>0</v>
      </c>
      <c r="M1401" t="s">
        <v>125</v>
      </c>
      <c r="O1401" t="s">
        <v>125</v>
      </c>
      <c r="P1401" t="s">
        <v>125</v>
      </c>
      <c r="Q1401" t="s">
        <v>125</v>
      </c>
      <c r="R1401" t="s">
        <v>125</v>
      </c>
      <c r="S1401" t="s">
        <v>125</v>
      </c>
      <c r="T1401">
        <v>0</v>
      </c>
      <c r="V1401" t="s">
        <v>125</v>
      </c>
      <c r="AE1401" t="s">
        <v>125</v>
      </c>
      <c r="AF1401">
        <v>0</v>
      </c>
      <c r="AG1401" t="s">
        <v>125</v>
      </c>
      <c r="AH1401">
        <v>0</v>
      </c>
      <c r="AK1401">
        <v>0</v>
      </c>
    </row>
    <row r="1402" spans="1:37" x14ac:dyDescent="0.25">
      <c r="A1402" t="s">
        <v>79</v>
      </c>
      <c r="B1402">
        <v>6</v>
      </c>
      <c r="C1402">
        <v>1</v>
      </c>
      <c r="D1402">
        <v>4</v>
      </c>
      <c r="E1402">
        <v>8</v>
      </c>
      <c r="G1402">
        <v>614</v>
      </c>
      <c r="H1402" t="s">
        <v>63</v>
      </c>
      <c r="I1402" t="s">
        <v>126</v>
      </c>
      <c r="J1402" t="s">
        <v>148</v>
      </c>
      <c r="L1402">
        <v>0</v>
      </c>
      <c r="M1402" t="s">
        <v>125</v>
      </c>
      <c r="O1402" t="s">
        <v>125</v>
      </c>
      <c r="P1402" t="s">
        <v>125</v>
      </c>
      <c r="Q1402" t="s">
        <v>125</v>
      </c>
      <c r="R1402" t="s">
        <v>125</v>
      </c>
      <c r="S1402" t="s">
        <v>125</v>
      </c>
      <c r="T1402">
        <v>0</v>
      </c>
      <c r="V1402" t="s">
        <v>125</v>
      </c>
      <c r="AE1402" t="s">
        <v>125</v>
      </c>
      <c r="AF1402">
        <v>0</v>
      </c>
      <c r="AG1402" t="s">
        <v>125</v>
      </c>
      <c r="AH1402">
        <v>0</v>
      </c>
      <c r="AK1402">
        <v>0</v>
      </c>
    </row>
    <row r="1403" spans="1:37" x14ac:dyDescent="0.25">
      <c r="A1403" t="s">
        <v>79</v>
      </c>
      <c r="B1403">
        <v>6</v>
      </c>
      <c r="C1403">
        <v>1</v>
      </c>
      <c r="D1403">
        <v>4</v>
      </c>
      <c r="E1403">
        <v>9</v>
      </c>
      <c r="G1403">
        <v>614</v>
      </c>
      <c r="H1403" t="s">
        <v>63</v>
      </c>
      <c r="I1403" t="s">
        <v>74</v>
      </c>
      <c r="J1403" t="s">
        <v>149</v>
      </c>
      <c r="L1403">
        <v>0</v>
      </c>
      <c r="M1403" t="s">
        <v>125</v>
      </c>
      <c r="O1403" t="s">
        <v>125</v>
      </c>
      <c r="P1403" t="s">
        <v>125</v>
      </c>
      <c r="Q1403" t="s">
        <v>125</v>
      </c>
      <c r="R1403" t="s">
        <v>125</v>
      </c>
      <c r="S1403" t="s">
        <v>125</v>
      </c>
      <c r="T1403">
        <v>0</v>
      </c>
      <c r="V1403" t="s">
        <v>125</v>
      </c>
      <c r="AE1403" t="s">
        <v>125</v>
      </c>
      <c r="AF1403">
        <v>0</v>
      </c>
      <c r="AG1403" t="s">
        <v>125</v>
      </c>
      <c r="AH1403">
        <v>0</v>
      </c>
      <c r="AK1403">
        <v>0</v>
      </c>
    </row>
    <row r="1404" spans="1:37" x14ac:dyDescent="0.25">
      <c r="A1404" t="s">
        <v>79</v>
      </c>
      <c r="B1404">
        <v>6</v>
      </c>
      <c r="C1404">
        <v>1</v>
      </c>
      <c r="D1404">
        <v>4</v>
      </c>
      <c r="E1404">
        <v>10</v>
      </c>
      <c r="G1404">
        <v>614</v>
      </c>
      <c r="H1404" t="s">
        <v>63</v>
      </c>
      <c r="I1404" t="s">
        <v>129</v>
      </c>
      <c r="J1404" t="s">
        <v>150</v>
      </c>
      <c r="L1404">
        <v>0</v>
      </c>
      <c r="M1404" t="s">
        <v>125</v>
      </c>
      <c r="O1404" t="s">
        <v>125</v>
      </c>
      <c r="P1404" t="s">
        <v>125</v>
      </c>
      <c r="Q1404" t="s">
        <v>125</v>
      </c>
      <c r="R1404" t="s">
        <v>125</v>
      </c>
      <c r="S1404" t="s">
        <v>125</v>
      </c>
      <c r="T1404">
        <v>0</v>
      </c>
      <c r="V1404" t="s">
        <v>125</v>
      </c>
      <c r="AE1404" t="s">
        <v>125</v>
      </c>
      <c r="AF1404">
        <v>0</v>
      </c>
      <c r="AG1404" t="s">
        <v>125</v>
      </c>
      <c r="AH1404">
        <v>0</v>
      </c>
      <c r="AK1404">
        <v>0</v>
      </c>
    </row>
    <row r="1405" spans="1:37" x14ac:dyDescent="0.25">
      <c r="A1405" t="s">
        <v>79</v>
      </c>
      <c r="B1405">
        <v>6</v>
      </c>
      <c r="C1405">
        <v>1</v>
      </c>
      <c r="D1405">
        <v>4</v>
      </c>
      <c r="E1405">
        <v>11</v>
      </c>
      <c r="G1405">
        <v>614</v>
      </c>
      <c r="H1405" t="s">
        <v>63</v>
      </c>
      <c r="I1405" t="s">
        <v>131</v>
      </c>
      <c r="J1405" t="s">
        <v>151</v>
      </c>
      <c r="L1405">
        <v>0</v>
      </c>
      <c r="M1405" t="s">
        <v>125</v>
      </c>
      <c r="O1405" t="s">
        <v>125</v>
      </c>
      <c r="P1405" t="s">
        <v>125</v>
      </c>
      <c r="Q1405" t="s">
        <v>125</v>
      </c>
      <c r="R1405" t="s">
        <v>125</v>
      </c>
      <c r="S1405" t="s">
        <v>125</v>
      </c>
      <c r="T1405">
        <v>0</v>
      </c>
      <c r="V1405" t="s">
        <v>125</v>
      </c>
      <c r="AE1405" t="s">
        <v>125</v>
      </c>
      <c r="AF1405">
        <v>0</v>
      </c>
      <c r="AG1405" t="s">
        <v>125</v>
      </c>
      <c r="AH1405">
        <v>0</v>
      </c>
      <c r="AK1405">
        <v>0</v>
      </c>
    </row>
    <row r="1406" spans="1:37" x14ac:dyDescent="0.25">
      <c r="A1406" t="s">
        <v>79</v>
      </c>
      <c r="B1406">
        <v>6</v>
      </c>
      <c r="C1406">
        <v>1</v>
      </c>
      <c r="D1406">
        <v>4</v>
      </c>
      <c r="E1406">
        <v>12</v>
      </c>
      <c r="G1406">
        <v>614</v>
      </c>
      <c r="H1406" t="s">
        <v>63</v>
      </c>
      <c r="I1406" t="s">
        <v>133</v>
      </c>
      <c r="J1406" t="s">
        <v>152</v>
      </c>
      <c r="L1406">
        <v>0</v>
      </c>
      <c r="M1406" t="s">
        <v>125</v>
      </c>
      <c r="O1406" t="s">
        <v>125</v>
      </c>
      <c r="P1406" t="s">
        <v>125</v>
      </c>
      <c r="Q1406" t="s">
        <v>125</v>
      </c>
      <c r="R1406" t="s">
        <v>125</v>
      </c>
      <c r="S1406" t="s">
        <v>125</v>
      </c>
      <c r="T1406">
        <v>0</v>
      </c>
      <c r="V1406" t="s">
        <v>125</v>
      </c>
      <c r="AE1406" t="s">
        <v>125</v>
      </c>
      <c r="AF1406">
        <v>0</v>
      </c>
      <c r="AG1406" t="s">
        <v>125</v>
      </c>
      <c r="AH1406">
        <v>0</v>
      </c>
      <c r="AK1406">
        <v>0</v>
      </c>
    </row>
    <row r="1407" spans="1:37" x14ac:dyDescent="0.25">
      <c r="A1407" t="s">
        <v>79</v>
      </c>
      <c r="B1407">
        <v>6</v>
      </c>
      <c r="C1407">
        <v>1</v>
      </c>
      <c r="D1407">
        <v>4</v>
      </c>
      <c r="E1407">
        <v>13</v>
      </c>
      <c r="G1407">
        <v>614</v>
      </c>
      <c r="H1407" t="s">
        <v>63</v>
      </c>
      <c r="I1407" t="s">
        <v>135</v>
      </c>
      <c r="J1407" t="s">
        <v>153</v>
      </c>
      <c r="L1407">
        <v>0</v>
      </c>
      <c r="M1407" t="s">
        <v>125</v>
      </c>
      <c r="O1407" t="s">
        <v>125</v>
      </c>
      <c r="P1407" t="s">
        <v>125</v>
      </c>
      <c r="Q1407" t="s">
        <v>125</v>
      </c>
      <c r="R1407" t="s">
        <v>125</v>
      </c>
      <c r="S1407" t="s">
        <v>125</v>
      </c>
      <c r="T1407">
        <v>0</v>
      </c>
      <c r="V1407" t="s">
        <v>125</v>
      </c>
      <c r="AE1407" t="s">
        <v>125</v>
      </c>
      <c r="AF1407">
        <v>0</v>
      </c>
      <c r="AG1407" t="s">
        <v>125</v>
      </c>
      <c r="AH1407">
        <v>0</v>
      </c>
      <c r="AK1407">
        <v>0</v>
      </c>
    </row>
    <row r="1408" spans="1:37" x14ac:dyDescent="0.25">
      <c r="A1408" t="s">
        <v>79</v>
      </c>
      <c r="B1408">
        <v>6</v>
      </c>
      <c r="C1408">
        <v>1</v>
      </c>
      <c r="D1408">
        <v>4</v>
      </c>
      <c r="E1408">
        <v>14</v>
      </c>
      <c r="G1408">
        <v>614</v>
      </c>
      <c r="H1408" t="s">
        <v>63</v>
      </c>
      <c r="I1408" t="s">
        <v>137</v>
      </c>
      <c r="J1408" t="s">
        <v>154</v>
      </c>
      <c r="L1408">
        <v>0</v>
      </c>
      <c r="M1408" t="s">
        <v>125</v>
      </c>
      <c r="O1408" t="s">
        <v>125</v>
      </c>
      <c r="P1408" t="s">
        <v>125</v>
      </c>
      <c r="Q1408" t="s">
        <v>125</v>
      </c>
      <c r="R1408" t="s">
        <v>125</v>
      </c>
      <c r="S1408" t="s">
        <v>125</v>
      </c>
      <c r="T1408">
        <v>0</v>
      </c>
      <c r="V1408" t="s">
        <v>125</v>
      </c>
      <c r="AE1408" t="s">
        <v>125</v>
      </c>
      <c r="AF1408">
        <v>0</v>
      </c>
      <c r="AG1408" t="s">
        <v>125</v>
      </c>
      <c r="AH1408">
        <v>0</v>
      </c>
      <c r="AK1408">
        <v>0</v>
      </c>
    </row>
    <row r="1409" spans="1:37" x14ac:dyDescent="0.25">
      <c r="A1409" t="s">
        <v>79</v>
      </c>
      <c r="B1409">
        <v>6</v>
      </c>
      <c r="C1409">
        <v>1</v>
      </c>
      <c r="D1409">
        <v>4</v>
      </c>
      <c r="E1409">
        <v>15</v>
      </c>
      <c r="G1409">
        <v>614</v>
      </c>
      <c r="H1409" t="s">
        <v>63</v>
      </c>
      <c r="I1409" t="s">
        <v>139</v>
      </c>
      <c r="J1409" t="s">
        <v>155</v>
      </c>
      <c r="L1409">
        <v>0</v>
      </c>
      <c r="M1409" t="s">
        <v>125</v>
      </c>
      <c r="O1409" t="s">
        <v>125</v>
      </c>
      <c r="P1409" t="s">
        <v>125</v>
      </c>
      <c r="Q1409" t="s">
        <v>125</v>
      </c>
      <c r="R1409" t="s">
        <v>125</v>
      </c>
      <c r="S1409" t="s">
        <v>125</v>
      </c>
      <c r="T1409">
        <v>0</v>
      </c>
      <c r="V1409" t="s">
        <v>125</v>
      </c>
      <c r="AE1409" t="s">
        <v>125</v>
      </c>
      <c r="AF1409">
        <v>0</v>
      </c>
      <c r="AG1409" t="s">
        <v>125</v>
      </c>
      <c r="AH1409">
        <v>0</v>
      </c>
      <c r="AK1409">
        <v>0</v>
      </c>
    </row>
    <row r="1410" spans="1:37" x14ac:dyDescent="0.25">
      <c r="L1410">
        <v>0</v>
      </c>
    </row>
    <row r="1411" spans="1:37" x14ac:dyDescent="0.25">
      <c r="A1411" t="s">
        <v>70</v>
      </c>
      <c r="B1411">
        <v>6</v>
      </c>
      <c r="C1411">
        <v>1</v>
      </c>
      <c r="D1411">
        <v>5</v>
      </c>
      <c r="G1411">
        <v>61</v>
      </c>
      <c r="L1411">
        <v>0</v>
      </c>
      <c r="M1411" t="s">
        <v>125</v>
      </c>
      <c r="P1411" t="s">
        <v>125</v>
      </c>
      <c r="R1411" t="s">
        <v>125</v>
      </c>
      <c r="S1411" t="s">
        <v>63</v>
      </c>
      <c r="V1411" t="s">
        <v>125</v>
      </c>
      <c r="X1411" t="s">
        <v>125</v>
      </c>
      <c r="Y1411" t="s">
        <v>125</v>
      </c>
      <c r="Z1411" t="s">
        <v>125</v>
      </c>
      <c r="AA1411" t="s">
        <v>125</v>
      </c>
      <c r="AB1411" t="s">
        <v>125</v>
      </c>
      <c r="AC1411" t="s">
        <v>125</v>
      </c>
      <c r="AE1411" t="s">
        <v>125</v>
      </c>
      <c r="AF1411">
        <v>0</v>
      </c>
      <c r="AG1411" t="s">
        <v>125</v>
      </c>
      <c r="AH1411">
        <v>0</v>
      </c>
      <c r="AK1411">
        <v>0</v>
      </c>
    </row>
    <row r="1412" spans="1:37" x14ac:dyDescent="0.25">
      <c r="A1412" t="s">
        <v>79</v>
      </c>
      <c r="B1412">
        <v>6</v>
      </c>
      <c r="C1412">
        <v>1</v>
      </c>
      <c r="D1412">
        <v>5</v>
      </c>
      <c r="E1412">
        <v>1</v>
      </c>
      <c r="G1412">
        <v>615</v>
      </c>
      <c r="H1412" t="s">
        <v>63</v>
      </c>
      <c r="I1412" t="s">
        <v>80</v>
      </c>
      <c r="J1412" t="s">
        <v>141</v>
      </c>
      <c r="L1412">
        <v>0</v>
      </c>
      <c r="M1412" t="s">
        <v>125</v>
      </c>
      <c r="O1412" t="s">
        <v>125</v>
      </c>
      <c r="P1412" t="s">
        <v>125</v>
      </c>
      <c r="Q1412" t="s">
        <v>125</v>
      </c>
      <c r="R1412" t="s">
        <v>125</v>
      </c>
      <c r="S1412" t="s">
        <v>125</v>
      </c>
      <c r="T1412">
        <v>0</v>
      </c>
      <c r="V1412" t="s">
        <v>125</v>
      </c>
      <c r="AE1412" t="s">
        <v>125</v>
      </c>
      <c r="AF1412">
        <v>0</v>
      </c>
      <c r="AG1412" t="s">
        <v>125</v>
      </c>
      <c r="AH1412">
        <v>0</v>
      </c>
      <c r="AK1412">
        <v>0</v>
      </c>
    </row>
    <row r="1413" spans="1:37" x14ac:dyDescent="0.25">
      <c r="A1413" t="s">
        <v>79</v>
      </c>
      <c r="B1413">
        <v>6</v>
      </c>
      <c r="C1413">
        <v>1</v>
      </c>
      <c r="D1413">
        <v>5</v>
      </c>
      <c r="E1413">
        <v>2</v>
      </c>
      <c r="G1413">
        <v>615</v>
      </c>
      <c r="H1413" t="s">
        <v>63</v>
      </c>
      <c r="I1413" t="s">
        <v>88</v>
      </c>
      <c r="J1413" t="s">
        <v>142</v>
      </c>
      <c r="L1413">
        <v>0</v>
      </c>
      <c r="M1413" t="s">
        <v>125</v>
      </c>
      <c r="O1413" t="s">
        <v>125</v>
      </c>
      <c r="P1413" t="s">
        <v>125</v>
      </c>
      <c r="Q1413" t="s">
        <v>125</v>
      </c>
      <c r="R1413" t="s">
        <v>125</v>
      </c>
      <c r="S1413" t="s">
        <v>125</v>
      </c>
      <c r="T1413">
        <v>0</v>
      </c>
      <c r="V1413" t="s">
        <v>125</v>
      </c>
      <c r="AE1413" t="s">
        <v>125</v>
      </c>
      <c r="AF1413">
        <v>0</v>
      </c>
      <c r="AG1413" t="s">
        <v>125</v>
      </c>
      <c r="AH1413">
        <v>0</v>
      </c>
      <c r="AK1413">
        <v>0</v>
      </c>
    </row>
    <row r="1414" spans="1:37" x14ac:dyDescent="0.25">
      <c r="A1414" t="s">
        <v>79</v>
      </c>
      <c r="B1414">
        <v>6</v>
      </c>
      <c r="C1414">
        <v>1</v>
      </c>
      <c r="D1414">
        <v>5</v>
      </c>
      <c r="E1414">
        <v>3</v>
      </c>
      <c r="G1414">
        <v>615</v>
      </c>
      <c r="H1414" t="s">
        <v>63</v>
      </c>
      <c r="I1414" t="s">
        <v>95</v>
      </c>
      <c r="J1414" t="s">
        <v>143</v>
      </c>
      <c r="L1414">
        <v>0</v>
      </c>
      <c r="M1414" t="s">
        <v>125</v>
      </c>
      <c r="O1414" t="s">
        <v>125</v>
      </c>
      <c r="P1414" t="s">
        <v>125</v>
      </c>
      <c r="Q1414" t="s">
        <v>125</v>
      </c>
      <c r="R1414" t="s">
        <v>125</v>
      </c>
      <c r="S1414" t="s">
        <v>125</v>
      </c>
      <c r="T1414">
        <v>0</v>
      </c>
      <c r="V1414" t="s">
        <v>125</v>
      </c>
      <c r="AE1414" t="s">
        <v>125</v>
      </c>
      <c r="AF1414">
        <v>0</v>
      </c>
      <c r="AG1414" t="s">
        <v>125</v>
      </c>
      <c r="AH1414">
        <v>0</v>
      </c>
      <c r="AK1414">
        <v>0</v>
      </c>
    </row>
    <row r="1415" spans="1:37" x14ac:dyDescent="0.25">
      <c r="A1415" t="s">
        <v>79</v>
      </c>
      <c r="B1415">
        <v>6</v>
      </c>
      <c r="C1415">
        <v>1</v>
      </c>
      <c r="D1415">
        <v>5</v>
      </c>
      <c r="E1415">
        <v>4</v>
      </c>
      <c r="G1415">
        <v>615</v>
      </c>
      <c r="H1415" t="s">
        <v>63</v>
      </c>
      <c r="I1415" t="s">
        <v>102</v>
      </c>
      <c r="J1415" t="s">
        <v>144</v>
      </c>
      <c r="L1415">
        <v>0</v>
      </c>
      <c r="M1415" t="s">
        <v>125</v>
      </c>
      <c r="O1415" t="s">
        <v>125</v>
      </c>
      <c r="P1415" t="s">
        <v>125</v>
      </c>
      <c r="Q1415" t="s">
        <v>125</v>
      </c>
      <c r="R1415" t="s">
        <v>125</v>
      </c>
      <c r="S1415" t="s">
        <v>125</v>
      </c>
      <c r="T1415">
        <v>0</v>
      </c>
      <c r="V1415" t="s">
        <v>125</v>
      </c>
      <c r="AE1415" t="s">
        <v>125</v>
      </c>
      <c r="AF1415">
        <v>0</v>
      </c>
      <c r="AG1415" t="s">
        <v>125</v>
      </c>
      <c r="AH1415">
        <v>0</v>
      </c>
      <c r="AK1415">
        <v>0</v>
      </c>
    </row>
    <row r="1416" spans="1:37" x14ac:dyDescent="0.25">
      <c r="A1416" t="s">
        <v>79</v>
      </c>
      <c r="B1416">
        <v>6</v>
      </c>
      <c r="C1416">
        <v>1</v>
      </c>
      <c r="D1416">
        <v>5</v>
      </c>
      <c r="E1416">
        <v>5</v>
      </c>
      <c r="G1416">
        <v>615</v>
      </c>
      <c r="H1416" t="s">
        <v>63</v>
      </c>
      <c r="I1416" t="s">
        <v>109</v>
      </c>
      <c r="J1416" t="s">
        <v>145</v>
      </c>
      <c r="L1416">
        <v>0</v>
      </c>
      <c r="M1416" t="s">
        <v>125</v>
      </c>
      <c r="O1416" t="s">
        <v>125</v>
      </c>
      <c r="P1416" t="s">
        <v>125</v>
      </c>
      <c r="Q1416" t="s">
        <v>125</v>
      </c>
      <c r="R1416" t="s">
        <v>125</v>
      </c>
      <c r="S1416" t="s">
        <v>125</v>
      </c>
      <c r="T1416">
        <v>0</v>
      </c>
      <c r="V1416" t="s">
        <v>125</v>
      </c>
      <c r="AE1416" t="s">
        <v>125</v>
      </c>
      <c r="AF1416">
        <v>0</v>
      </c>
      <c r="AG1416" t="s">
        <v>125</v>
      </c>
      <c r="AH1416">
        <v>0</v>
      </c>
      <c r="AK1416">
        <v>0</v>
      </c>
    </row>
    <row r="1417" spans="1:37" x14ac:dyDescent="0.25">
      <c r="A1417" t="s">
        <v>79</v>
      </c>
      <c r="B1417">
        <v>6</v>
      </c>
      <c r="C1417">
        <v>1</v>
      </c>
      <c r="D1417">
        <v>5</v>
      </c>
      <c r="E1417">
        <v>6</v>
      </c>
      <c r="G1417">
        <v>615</v>
      </c>
      <c r="H1417" t="s">
        <v>63</v>
      </c>
      <c r="I1417" t="s">
        <v>116</v>
      </c>
      <c r="J1417" t="s">
        <v>146</v>
      </c>
      <c r="L1417">
        <v>0</v>
      </c>
      <c r="M1417" t="s">
        <v>125</v>
      </c>
      <c r="O1417" t="s">
        <v>125</v>
      </c>
      <c r="P1417" t="s">
        <v>125</v>
      </c>
      <c r="Q1417" t="s">
        <v>125</v>
      </c>
      <c r="R1417" t="s">
        <v>125</v>
      </c>
      <c r="S1417" t="s">
        <v>125</v>
      </c>
      <c r="T1417">
        <v>0</v>
      </c>
      <c r="V1417" t="s">
        <v>125</v>
      </c>
      <c r="AE1417" t="s">
        <v>125</v>
      </c>
      <c r="AF1417">
        <v>0</v>
      </c>
      <c r="AG1417" t="s">
        <v>125</v>
      </c>
      <c r="AH1417">
        <v>0</v>
      </c>
      <c r="AK1417">
        <v>0</v>
      </c>
    </row>
    <row r="1418" spans="1:37" x14ac:dyDescent="0.25">
      <c r="A1418" t="s">
        <v>79</v>
      </c>
      <c r="B1418">
        <v>6</v>
      </c>
      <c r="C1418">
        <v>1</v>
      </c>
      <c r="D1418">
        <v>5</v>
      </c>
      <c r="E1418">
        <v>7</v>
      </c>
      <c r="G1418">
        <v>615</v>
      </c>
      <c r="H1418" t="s">
        <v>63</v>
      </c>
      <c r="I1418" t="s">
        <v>123</v>
      </c>
      <c r="J1418" t="s">
        <v>147</v>
      </c>
      <c r="L1418">
        <v>0</v>
      </c>
      <c r="M1418" t="s">
        <v>125</v>
      </c>
      <c r="O1418" t="s">
        <v>125</v>
      </c>
      <c r="P1418" t="s">
        <v>125</v>
      </c>
      <c r="Q1418" t="s">
        <v>125</v>
      </c>
      <c r="R1418" t="s">
        <v>125</v>
      </c>
      <c r="S1418" t="s">
        <v>125</v>
      </c>
      <c r="T1418">
        <v>0</v>
      </c>
      <c r="V1418" t="s">
        <v>125</v>
      </c>
      <c r="AE1418" t="s">
        <v>125</v>
      </c>
      <c r="AF1418">
        <v>0</v>
      </c>
      <c r="AG1418" t="s">
        <v>125</v>
      </c>
      <c r="AH1418">
        <v>0</v>
      </c>
      <c r="AK1418">
        <v>0</v>
      </c>
    </row>
    <row r="1419" spans="1:37" x14ac:dyDescent="0.25">
      <c r="A1419" t="s">
        <v>79</v>
      </c>
      <c r="B1419">
        <v>6</v>
      </c>
      <c r="C1419">
        <v>1</v>
      </c>
      <c r="D1419">
        <v>5</v>
      </c>
      <c r="E1419">
        <v>8</v>
      </c>
      <c r="G1419">
        <v>615</v>
      </c>
      <c r="H1419" t="s">
        <v>63</v>
      </c>
      <c r="I1419" t="s">
        <v>126</v>
      </c>
      <c r="J1419" t="s">
        <v>148</v>
      </c>
      <c r="L1419">
        <v>0</v>
      </c>
      <c r="M1419" t="s">
        <v>125</v>
      </c>
      <c r="O1419" t="s">
        <v>125</v>
      </c>
      <c r="P1419" t="s">
        <v>125</v>
      </c>
      <c r="Q1419" t="s">
        <v>125</v>
      </c>
      <c r="R1419" t="s">
        <v>125</v>
      </c>
      <c r="S1419" t="s">
        <v>125</v>
      </c>
      <c r="T1419">
        <v>0</v>
      </c>
      <c r="V1419" t="s">
        <v>125</v>
      </c>
      <c r="AE1419" t="s">
        <v>125</v>
      </c>
      <c r="AF1419">
        <v>0</v>
      </c>
      <c r="AG1419" t="s">
        <v>125</v>
      </c>
      <c r="AH1419">
        <v>0</v>
      </c>
      <c r="AK1419">
        <v>0</v>
      </c>
    </row>
    <row r="1420" spans="1:37" x14ac:dyDescent="0.25">
      <c r="A1420" t="s">
        <v>79</v>
      </c>
      <c r="B1420">
        <v>6</v>
      </c>
      <c r="C1420">
        <v>1</v>
      </c>
      <c r="D1420">
        <v>5</v>
      </c>
      <c r="E1420">
        <v>9</v>
      </c>
      <c r="G1420">
        <v>615</v>
      </c>
      <c r="H1420" t="s">
        <v>63</v>
      </c>
      <c r="I1420" t="s">
        <v>74</v>
      </c>
      <c r="J1420" t="s">
        <v>149</v>
      </c>
      <c r="L1420">
        <v>0</v>
      </c>
      <c r="M1420" t="s">
        <v>125</v>
      </c>
      <c r="O1420" t="s">
        <v>125</v>
      </c>
      <c r="P1420" t="s">
        <v>125</v>
      </c>
      <c r="Q1420" t="s">
        <v>125</v>
      </c>
      <c r="R1420" t="s">
        <v>125</v>
      </c>
      <c r="S1420" t="s">
        <v>125</v>
      </c>
      <c r="T1420">
        <v>0</v>
      </c>
      <c r="V1420" t="s">
        <v>125</v>
      </c>
      <c r="AE1420" t="s">
        <v>125</v>
      </c>
      <c r="AF1420">
        <v>0</v>
      </c>
      <c r="AG1420" t="s">
        <v>125</v>
      </c>
      <c r="AH1420">
        <v>0</v>
      </c>
      <c r="AK1420">
        <v>0</v>
      </c>
    </row>
    <row r="1421" spans="1:37" x14ac:dyDescent="0.25">
      <c r="A1421" t="s">
        <v>79</v>
      </c>
      <c r="B1421">
        <v>6</v>
      </c>
      <c r="C1421">
        <v>1</v>
      </c>
      <c r="D1421">
        <v>5</v>
      </c>
      <c r="E1421">
        <v>10</v>
      </c>
      <c r="G1421">
        <v>615</v>
      </c>
      <c r="H1421" t="s">
        <v>63</v>
      </c>
      <c r="I1421" t="s">
        <v>129</v>
      </c>
      <c r="J1421" t="s">
        <v>150</v>
      </c>
      <c r="L1421">
        <v>0</v>
      </c>
      <c r="M1421" t="s">
        <v>125</v>
      </c>
      <c r="O1421" t="s">
        <v>125</v>
      </c>
      <c r="P1421" t="s">
        <v>125</v>
      </c>
      <c r="Q1421" t="s">
        <v>125</v>
      </c>
      <c r="R1421" t="s">
        <v>125</v>
      </c>
      <c r="S1421" t="s">
        <v>125</v>
      </c>
      <c r="T1421">
        <v>0</v>
      </c>
      <c r="V1421" t="s">
        <v>125</v>
      </c>
      <c r="AE1421" t="s">
        <v>125</v>
      </c>
      <c r="AF1421">
        <v>0</v>
      </c>
      <c r="AG1421" t="s">
        <v>125</v>
      </c>
      <c r="AH1421">
        <v>0</v>
      </c>
      <c r="AK1421">
        <v>0</v>
      </c>
    </row>
    <row r="1422" spans="1:37" x14ac:dyDescent="0.25">
      <c r="A1422" t="s">
        <v>79</v>
      </c>
      <c r="B1422">
        <v>6</v>
      </c>
      <c r="C1422">
        <v>1</v>
      </c>
      <c r="D1422">
        <v>5</v>
      </c>
      <c r="E1422">
        <v>11</v>
      </c>
      <c r="G1422">
        <v>615</v>
      </c>
      <c r="H1422" t="s">
        <v>63</v>
      </c>
      <c r="I1422" t="s">
        <v>131</v>
      </c>
      <c r="J1422" t="s">
        <v>151</v>
      </c>
      <c r="L1422">
        <v>0</v>
      </c>
      <c r="M1422" t="s">
        <v>125</v>
      </c>
      <c r="O1422" t="s">
        <v>125</v>
      </c>
      <c r="P1422" t="s">
        <v>125</v>
      </c>
      <c r="Q1422" t="s">
        <v>125</v>
      </c>
      <c r="R1422" t="s">
        <v>125</v>
      </c>
      <c r="S1422" t="s">
        <v>125</v>
      </c>
      <c r="T1422">
        <v>0</v>
      </c>
      <c r="V1422" t="s">
        <v>125</v>
      </c>
      <c r="AE1422" t="s">
        <v>125</v>
      </c>
      <c r="AF1422">
        <v>0</v>
      </c>
      <c r="AG1422" t="s">
        <v>125</v>
      </c>
      <c r="AH1422">
        <v>0</v>
      </c>
      <c r="AK1422">
        <v>0</v>
      </c>
    </row>
    <row r="1423" spans="1:37" x14ac:dyDescent="0.25">
      <c r="A1423" t="s">
        <v>79</v>
      </c>
      <c r="B1423">
        <v>6</v>
      </c>
      <c r="C1423">
        <v>1</v>
      </c>
      <c r="D1423">
        <v>5</v>
      </c>
      <c r="E1423">
        <v>12</v>
      </c>
      <c r="G1423">
        <v>615</v>
      </c>
      <c r="H1423" t="s">
        <v>63</v>
      </c>
      <c r="I1423" t="s">
        <v>133</v>
      </c>
      <c r="J1423" t="s">
        <v>152</v>
      </c>
      <c r="L1423">
        <v>0</v>
      </c>
      <c r="M1423" t="s">
        <v>125</v>
      </c>
      <c r="O1423" t="s">
        <v>125</v>
      </c>
      <c r="P1423" t="s">
        <v>125</v>
      </c>
      <c r="Q1423" t="s">
        <v>125</v>
      </c>
      <c r="R1423" t="s">
        <v>125</v>
      </c>
      <c r="S1423" t="s">
        <v>125</v>
      </c>
      <c r="T1423">
        <v>0</v>
      </c>
      <c r="V1423" t="s">
        <v>125</v>
      </c>
      <c r="AE1423" t="s">
        <v>125</v>
      </c>
      <c r="AF1423">
        <v>0</v>
      </c>
      <c r="AG1423" t="s">
        <v>125</v>
      </c>
      <c r="AH1423">
        <v>0</v>
      </c>
      <c r="AK1423">
        <v>0</v>
      </c>
    </row>
    <row r="1424" spans="1:37" x14ac:dyDescent="0.25">
      <c r="A1424" t="s">
        <v>79</v>
      </c>
      <c r="B1424">
        <v>6</v>
      </c>
      <c r="C1424">
        <v>1</v>
      </c>
      <c r="D1424">
        <v>5</v>
      </c>
      <c r="E1424">
        <v>13</v>
      </c>
      <c r="G1424">
        <v>615</v>
      </c>
      <c r="H1424" t="s">
        <v>63</v>
      </c>
      <c r="I1424" t="s">
        <v>135</v>
      </c>
      <c r="J1424" t="s">
        <v>153</v>
      </c>
      <c r="L1424">
        <v>0</v>
      </c>
      <c r="M1424" t="s">
        <v>125</v>
      </c>
      <c r="O1424" t="s">
        <v>125</v>
      </c>
      <c r="P1424" t="s">
        <v>125</v>
      </c>
      <c r="Q1424" t="s">
        <v>125</v>
      </c>
      <c r="R1424" t="s">
        <v>125</v>
      </c>
      <c r="S1424" t="s">
        <v>125</v>
      </c>
      <c r="T1424">
        <v>0</v>
      </c>
      <c r="V1424" t="s">
        <v>125</v>
      </c>
      <c r="AE1424" t="s">
        <v>125</v>
      </c>
      <c r="AF1424">
        <v>0</v>
      </c>
      <c r="AG1424" t="s">
        <v>125</v>
      </c>
      <c r="AH1424">
        <v>0</v>
      </c>
      <c r="AK1424">
        <v>0</v>
      </c>
    </row>
    <row r="1425" spans="1:37" x14ac:dyDescent="0.25">
      <c r="A1425" t="s">
        <v>79</v>
      </c>
      <c r="B1425">
        <v>6</v>
      </c>
      <c r="C1425">
        <v>1</v>
      </c>
      <c r="D1425">
        <v>5</v>
      </c>
      <c r="E1425">
        <v>14</v>
      </c>
      <c r="G1425">
        <v>615</v>
      </c>
      <c r="H1425" t="s">
        <v>63</v>
      </c>
      <c r="I1425" t="s">
        <v>137</v>
      </c>
      <c r="J1425" t="s">
        <v>154</v>
      </c>
      <c r="L1425">
        <v>0</v>
      </c>
      <c r="M1425" t="s">
        <v>125</v>
      </c>
      <c r="O1425" t="s">
        <v>125</v>
      </c>
      <c r="P1425" t="s">
        <v>125</v>
      </c>
      <c r="Q1425" t="s">
        <v>125</v>
      </c>
      <c r="R1425" t="s">
        <v>125</v>
      </c>
      <c r="S1425" t="s">
        <v>125</v>
      </c>
      <c r="T1425">
        <v>0</v>
      </c>
      <c r="V1425" t="s">
        <v>125</v>
      </c>
      <c r="AE1425" t="s">
        <v>125</v>
      </c>
      <c r="AF1425">
        <v>0</v>
      </c>
      <c r="AG1425" t="s">
        <v>125</v>
      </c>
      <c r="AH1425">
        <v>0</v>
      </c>
      <c r="AK1425">
        <v>0</v>
      </c>
    </row>
    <row r="1426" spans="1:37" x14ac:dyDescent="0.25">
      <c r="A1426" t="s">
        <v>79</v>
      </c>
      <c r="B1426">
        <v>6</v>
      </c>
      <c r="C1426">
        <v>1</v>
      </c>
      <c r="D1426">
        <v>5</v>
      </c>
      <c r="E1426">
        <v>15</v>
      </c>
      <c r="G1426">
        <v>615</v>
      </c>
      <c r="H1426" t="s">
        <v>63</v>
      </c>
      <c r="I1426" t="s">
        <v>139</v>
      </c>
      <c r="J1426" t="s">
        <v>155</v>
      </c>
      <c r="L1426">
        <v>0</v>
      </c>
      <c r="M1426" t="s">
        <v>125</v>
      </c>
      <c r="O1426" t="s">
        <v>125</v>
      </c>
      <c r="P1426" t="s">
        <v>125</v>
      </c>
      <c r="Q1426" t="s">
        <v>125</v>
      </c>
      <c r="R1426" t="s">
        <v>125</v>
      </c>
      <c r="S1426" t="s">
        <v>125</v>
      </c>
      <c r="T1426">
        <v>0</v>
      </c>
      <c r="V1426" t="s">
        <v>125</v>
      </c>
      <c r="AE1426" t="s">
        <v>125</v>
      </c>
      <c r="AF1426">
        <v>0</v>
      </c>
      <c r="AG1426" t="s">
        <v>125</v>
      </c>
      <c r="AH1426">
        <v>0</v>
      </c>
      <c r="AK1426">
        <v>0</v>
      </c>
    </row>
    <row r="1427" spans="1:37" x14ac:dyDescent="0.25">
      <c r="L1427">
        <v>0</v>
      </c>
    </row>
    <row r="1428" spans="1:37" x14ac:dyDescent="0.25">
      <c r="L1428">
        <v>0</v>
      </c>
    </row>
    <row r="1429" spans="1:37" x14ac:dyDescent="0.25">
      <c r="A1429" t="s">
        <v>66</v>
      </c>
      <c r="B1429">
        <v>6</v>
      </c>
      <c r="C1429">
        <v>2</v>
      </c>
      <c r="G1429">
        <v>6</v>
      </c>
      <c r="H1429" t="s">
        <v>1985</v>
      </c>
      <c r="I1429" t="s">
        <v>2168</v>
      </c>
      <c r="M1429" t="s">
        <v>2169</v>
      </c>
      <c r="N1429" t="s">
        <v>2168</v>
      </c>
      <c r="P1429" t="s">
        <v>2170</v>
      </c>
      <c r="V1429" t="s">
        <v>2171</v>
      </c>
      <c r="Y1429" t="s">
        <v>2172</v>
      </c>
      <c r="AA1429" t="s">
        <v>2173</v>
      </c>
      <c r="AC1429" t="s">
        <v>2174</v>
      </c>
      <c r="AE1429" t="s">
        <v>2175</v>
      </c>
      <c r="AF1429">
        <v>0</v>
      </c>
      <c r="AG1429" t="s">
        <v>2176</v>
      </c>
      <c r="AH1429">
        <v>0</v>
      </c>
      <c r="AK1429">
        <v>0</v>
      </c>
    </row>
    <row r="1430" spans="1:37" x14ac:dyDescent="0.25">
      <c r="L1430">
        <v>0</v>
      </c>
    </row>
    <row r="1431" spans="1:37" x14ac:dyDescent="0.25">
      <c r="A1431" t="s">
        <v>70</v>
      </c>
      <c r="B1431">
        <v>6</v>
      </c>
      <c r="C1431">
        <v>2</v>
      </c>
      <c r="D1431">
        <v>1</v>
      </c>
      <c r="G1431">
        <v>62</v>
      </c>
      <c r="M1431" t="s">
        <v>2177</v>
      </c>
      <c r="O1431" t="s">
        <v>2178</v>
      </c>
      <c r="P1431" t="s">
        <v>2179</v>
      </c>
      <c r="Q1431" t="s">
        <v>2180</v>
      </c>
      <c r="R1431" t="s">
        <v>179</v>
      </c>
      <c r="S1431" t="s">
        <v>2181</v>
      </c>
      <c r="V1431" t="s">
        <v>2182</v>
      </c>
      <c r="X1431" t="s">
        <v>2183</v>
      </c>
      <c r="Y1431" t="s">
        <v>2184</v>
      </c>
      <c r="Z1431" t="s">
        <v>2185</v>
      </c>
      <c r="AA1431" t="s">
        <v>2186</v>
      </c>
      <c r="AB1431" t="s">
        <v>2187</v>
      </c>
      <c r="AC1431" t="s">
        <v>2188</v>
      </c>
      <c r="AE1431" t="s">
        <v>2189</v>
      </c>
      <c r="AF1431">
        <v>0</v>
      </c>
      <c r="AG1431" t="s">
        <v>2190</v>
      </c>
      <c r="AH1431">
        <v>0</v>
      </c>
      <c r="AK1431">
        <v>0</v>
      </c>
    </row>
    <row r="1432" spans="1:37" x14ac:dyDescent="0.25">
      <c r="A1432" t="s">
        <v>79</v>
      </c>
      <c r="B1432">
        <v>6</v>
      </c>
      <c r="C1432">
        <v>2</v>
      </c>
      <c r="D1432">
        <v>1</v>
      </c>
      <c r="E1432">
        <v>1</v>
      </c>
      <c r="G1432">
        <v>621</v>
      </c>
      <c r="H1432" t="s">
        <v>2178</v>
      </c>
      <c r="I1432" t="s">
        <v>80</v>
      </c>
      <c r="J1432" t="s">
        <v>2191</v>
      </c>
      <c r="L1432">
        <v>0</v>
      </c>
      <c r="M1432" t="s">
        <v>2192</v>
      </c>
      <c r="O1432" t="s">
        <v>1218</v>
      </c>
      <c r="P1432" t="s">
        <v>1219</v>
      </c>
      <c r="Q1432" t="s">
        <v>1889</v>
      </c>
      <c r="R1432" t="s">
        <v>1221</v>
      </c>
      <c r="S1432" t="s">
        <v>1222</v>
      </c>
      <c r="T1432">
        <v>1500</v>
      </c>
      <c r="U1432">
        <v>15</v>
      </c>
      <c r="V1432" t="s">
        <v>1890</v>
      </c>
      <c r="AE1432" t="s">
        <v>455</v>
      </c>
      <c r="AF1432">
        <v>0</v>
      </c>
      <c r="AG1432" t="s">
        <v>2193</v>
      </c>
      <c r="AH1432">
        <v>0</v>
      </c>
      <c r="AK1432">
        <v>0</v>
      </c>
    </row>
    <row r="1433" spans="1:37" x14ac:dyDescent="0.25">
      <c r="A1433" t="s">
        <v>79</v>
      </c>
      <c r="B1433">
        <v>6</v>
      </c>
      <c r="C1433">
        <v>2</v>
      </c>
      <c r="D1433">
        <v>1</v>
      </c>
      <c r="E1433">
        <v>2</v>
      </c>
      <c r="G1433">
        <v>621</v>
      </c>
      <c r="H1433" t="s">
        <v>2178</v>
      </c>
      <c r="I1433" t="s">
        <v>88</v>
      </c>
      <c r="J1433" t="s">
        <v>2194</v>
      </c>
      <c r="L1433">
        <v>0</v>
      </c>
      <c r="M1433" t="s">
        <v>2195</v>
      </c>
      <c r="O1433" t="s">
        <v>1227</v>
      </c>
      <c r="P1433" t="s">
        <v>1228</v>
      </c>
      <c r="Q1433" t="s">
        <v>2196</v>
      </c>
      <c r="R1433" t="s">
        <v>192</v>
      </c>
      <c r="S1433" t="s">
        <v>1229</v>
      </c>
      <c r="T1433">
        <v>1500</v>
      </c>
      <c r="U1433">
        <v>778</v>
      </c>
      <c r="V1433" t="s">
        <v>2197</v>
      </c>
      <c r="AE1433" t="s">
        <v>2198</v>
      </c>
      <c r="AF1433">
        <v>0</v>
      </c>
      <c r="AG1433" t="s">
        <v>2199</v>
      </c>
      <c r="AH1433">
        <v>0</v>
      </c>
      <c r="AK1433">
        <v>0</v>
      </c>
    </row>
    <row r="1434" spans="1:37" x14ac:dyDescent="0.25">
      <c r="A1434" t="s">
        <v>79</v>
      </c>
      <c r="B1434">
        <v>6</v>
      </c>
      <c r="C1434">
        <v>2</v>
      </c>
      <c r="D1434">
        <v>1</v>
      </c>
      <c r="E1434">
        <v>3</v>
      </c>
      <c r="G1434">
        <v>621</v>
      </c>
      <c r="H1434" t="s">
        <v>2178</v>
      </c>
      <c r="I1434" t="s">
        <v>95</v>
      </c>
      <c r="J1434" t="s">
        <v>2200</v>
      </c>
      <c r="L1434">
        <v>0</v>
      </c>
      <c r="M1434" t="s">
        <v>2201</v>
      </c>
      <c r="O1434" t="s">
        <v>2202</v>
      </c>
      <c r="P1434" t="s">
        <v>2203</v>
      </c>
      <c r="Q1434" t="s">
        <v>2204</v>
      </c>
      <c r="R1434" t="s">
        <v>1246</v>
      </c>
      <c r="S1434" t="s">
        <v>2205</v>
      </c>
      <c r="T1434">
        <v>1500</v>
      </c>
      <c r="U1434">
        <v>1779</v>
      </c>
      <c r="V1434" t="s">
        <v>479</v>
      </c>
      <c r="AE1434" t="s">
        <v>2206</v>
      </c>
      <c r="AF1434">
        <v>0</v>
      </c>
      <c r="AG1434" t="s">
        <v>2207</v>
      </c>
      <c r="AH1434">
        <v>0</v>
      </c>
      <c r="AK1434">
        <v>0</v>
      </c>
    </row>
    <row r="1435" spans="1:37" x14ac:dyDescent="0.25">
      <c r="A1435" t="s">
        <v>79</v>
      </c>
      <c r="B1435">
        <v>6</v>
      </c>
      <c r="C1435">
        <v>2</v>
      </c>
      <c r="D1435">
        <v>1</v>
      </c>
      <c r="E1435">
        <v>4</v>
      </c>
      <c r="G1435">
        <v>621</v>
      </c>
      <c r="H1435" t="s">
        <v>2178</v>
      </c>
      <c r="I1435" t="s">
        <v>102</v>
      </c>
      <c r="J1435" t="s">
        <v>2208</v>
      </c>
      <c r="L1435">
        <v>0</v>
      </c>
      <c r="M1435" t="s">
        <v>2209</v>
      </c>
      <c r="O1435" t="s">
        <v>1253</v>
      </c>
      <c r="P1435" t="s">
        <v>1254</v>
      </c>
      <c r="Q1435" t="s">
        <v>2210</v>
      </c>
      <c r="R1435" t="s">
        <v>1246</v>
      </c>
      <c r="S1435" t="s">
        <v>486</v>
      </c>
      <c r="T1435">
        <v>1500</v>
      </c>
      <c r="U1435">
        <v>534</v>
      </c>
      <c r="V1435" t="s">
        <v>2211</v>
      </c>
      <c r="AE1435" t="s">
        <v>2212</v>
      </c>
      <c r="AF1435">
        <v>0</v>
      </c>
      <c r="AG1435" t="s">
        <v>2213</v>
      </c>
      <c r="AH1435">
        <v>0</v>
      </c>
      <c r="AK1435">
        <v>0</v>
      </c>
    </row>
    <row r="1436" spans="1:37" x14ac:dyDescent="0.25">
      <c r="A1436" t="s">
        <v>79</v>
      </c>
      <c r="B1436">
        <v>6</v>
      </c>
      <c r="C1436">
        <v>2</v>
      </c>
      <c r="D1436">
        <v>1</v>
      </c>
      <c r="E1436">
        <v>5</v>
      </c>
      <c r="G1436">
        <v>621</v>
      </c>
      <c r="H1436" t="s">
        <v>2178</v>
      </c>
      <c r="I1436" t="s">
        <v>109</v>
      </c>
      <c r="J1436" t="s">
        <v>2214</v>
      </c>
      <c r="L1436">
        <v>0</v>
      </c>
      <c r="M1436" t="s">
        <v>2215</v>
      </c>
      <c r="O1436" t="s">
        <v>1261</v>
      </c>
      <c r="P1436" t="s">
        <v>1262</v>
      </c>
      <c r="Q1436" t="s">
        <v>2216</v>
      </c>
      <c r="R1436" t="s">
        <v>75</v>
      </c>
      <c r="S1436" t="s">
        <v>1264</v>
      </c>
      <c r="T1436">
        <v>1500</v>
      </c>
      <c r="U1436">
        <v>711</v>
      </c>
      <c r="V1436" t="s">
        <v>879</v>
      </c>
      <c r="AE1436" t="s">
        <v>2217</v>
      </c>
      <c r="AF1436">
        <v>0</v>
      </c>
      <c r="AG1436" t="s">
        <v>2218</v>
      </c>
      <c r="AH1436">
        <v>0</v>
      </c>
      <c r="AK1436">
        <v>0</v>
      </c>
    </row>
    <row r="1437" spans="1:37" x14ac:dyDescent="0.25">
      <c r="A1437" t="s">
        <v>79</v>
      </c>
      <c r="B1437">
        <v>6</v>
      </c>
      <c r="C1437">
        <v>2</v>
      </c>
      <c r="D1437">
        <v>1</v>
      </c>
      <c r="E1437">
        <v>6</v>
      </c>
      <c r="G1437">
        <v>621</v>
      </c>
      <c r="H1437" t="s">
        <v>2178</v>
      </c>
      <c r="I1437" t="s">
        <v>116</v>
      </c>
      <c r="J1437" t="s">
        <v>2219</v>
      </c>
      <c r="L1437">
        <v>0</v>
      </c>
      <c r="M1437" t="s">
        <v>2220</v>
      </c>
      <c r="O1437" t="s">
        <v>1670</v>
      </c>
      <c r="P1437" t="s">
        <v>1671</v>
      </c>
      <c r="Q1437" t="s">
        <v>2221</v>
      </c>
      <c r="R1437" t="s">
        <v>210</v>
      </c>
      <c r="S1437" t="s">
        <v>1673</v>
      </c>
      <c r="T1437">
        <v>1500</v>
      </c>
      <c r="U1437">
        <v>50</v>
      </c>
      <c r="V1437" t="s">
        <v>1054</v>
      </c>
      <c r="AE1437" t="s">
        <v>2222</v>
      </c>
      <c r="AF1437">
        <v>0</v>
      </c>
      <c r="AG1437" t="s">
        <v>2223</v>
      </c>
      <c r="AH1437">
        <v>0</v>
      </c>
      <c r="AK1437">
        <v>0</v>
      </c>
    </row>
    <row r="1438" spans="1:37" x14ac:dyDescent="0.25">
      <c r="A1438" t="s">
        <v>79</v>
      </c>
      <c r="B1438">
        <v>6</v>
      </c>
      <c r="C1438">
        <v>2</v>
      </c>
      <c r="D1438">
        <v>1</v>
      </c>
      <c r="E1438">
        <v>7</v>
      </c>
      <c r="G1438">
        <v>621</v>
      </c>
      <c r="H1438" t="s">
        <v>2178</v>
      </c>
      <c r="I1438" t="s">
        <v>123</v>
      </c>
      <c r="J1438" t="s">
        <v>2224</v>
      </c>
      <c r="L1438">
        <v>0</v>
      </c>
      <c r="M1438" t="s">
        <v>2225</v>
      </c>
      <c r="O1438" t="s">
        <v>2226</v>
      </c>
      <c r="P1438" t="s">
        <v>2227</v>
      </c>
      <c r="Q1438" t="s">
        <v>2204</v>
      </c>
      <c r="R1438" t="s">
        <v>1246</v>
      </c>
      <c r="S1438" t="s">
        <v>2228</v>
      </c>
      <c r="T1438">
        <v>1500</v>
      </c>
      <c r="U1438">
        <v>1779</v>
      </c>
      <c r="V1438" t="s">
        <v>2229</v>
      </c>
      <c r="AE1438" t="s">
        <v>2230</v>
      </c>
      <c r="AF1438">
        <v>0</v>
      </c>
      <c r="AG1438" t="s">
        <v>2207</v>
      </c>
      <c r="AH1438">
        <v>0</v>
      </c>
      <c r="AK1438">
        <v>0</v>
      </c>
    </row>
    <row r="1439" spans="1:37" x14ac:dyDescent="0.25">
      <c r="A1439" t="s">
        <v>79</v>
      </c>
      <c r="B1439">
        <v>6</v>
      </c>
      <c r="C1439">
        <v>2</v>
      </c>
      <c r="D1439">
        <v>1</v>
      </c>
      <c r="E1439">
        <v>8</v>
      </c>
      <c r="G1439">
        <v>621</v>
      </c>
      <c r="H1439" t="s">
        <v>2178</v>
      </c>
      <c r="I1439" t="s">
        <v>126</v>
      </c>
      <c r="J1439" t="s">
        <v>2231</v>
      </c>
      <c r="L1439">
        <v>0</v>
      </c>
      <c r="M1439" t="s">
        <v>2232</v>
      </c>
      <c r="O1439" t="s">
        <v>226</v>
      </c>
      <c r="P1439" t="s">
        <v>227</v>
      </c>
      <c r="Q1439" t="s">
        <v>1045</v>
      </c>
      <c r="R1439" t="s">
        <v>229</v>
      </c>
      <c r="S1439" t="s">
        <v>230</v>
      </c>
      <c r="T1439">
        <v>1500</v>
      </c>
      <c r="U1439">
        <v>450</v>
      </c>
      <c r="V1439" t="s">
        <v>2233</v>
      </c>
      <c r="AE1439" t="s">
        <v>2234</v>
      </c>
      <c r="AF1439">
        <v>0</v>
      </c>
      <c r="AG1439" t="s">
        <v>2235</v>
      </c>
      <c r="AH1439">
        <v>0</v>
      </c>
      <c r="AK1439">
        <v>0</v>
      </c>
    </row>
    <row r="1440" spans="1:37" x14ac:dyDescent="0.25">
      <c r="A1440" t="s">
        <v>79</v>
      </c>
      <c r="B1440">
        <v>6</v>
      </c>
      <c r="C1440">
        <v>2</v>
      </c>
      <c r="D1440">
        <v>1</v>
      </c>
      <c r="E1440">
        <v>9</v>
      </c>
      <c r="G1440">
        <v>621</v>
      </c>
      <c r="H1440" t="s">
        <v>2178</v>
      </c>
      <c r="I1440" t="s">
        <v>74</v>
      </c>
      <c r="J1440" t="s">
        <v>2236</v>
      </c>
      <c r="L1440">
        <v>0</v>
      </c>
      <c r="M1440" t="s">
        <v>2237</v>
      </c>
      <c r="O1440" t="s">
        <v>236</v>
      </c>
      <c r="P1440" t="s">
        <v>237</v>
      </c>
      <c r="Q1440" t="s">
        <v>2238</v>
      </c>
      <c r="R1440" t="s">
        <v>229</v>
      </c>
      <c r="S1440" t="s">
        <v>239</v>
      </c>
      <c r="T1440">
        <v>1500</v>
      </c>
      <c r="U1440">
        <v>2452</v>
      </c>
      <c r="V1440" t="s">
        <v>2239</v>
      </c>
      <c r="AE1440" t="s">
        <v>2240</v>
      </c>
      <c r="AF1440">
        <v>0</v>
      </c>
      <c r="AG1440" t="s">
        <v>2241</v>
      </c>
      <c r="AH1440">
        <v>0</v>
      </c>
      <c r="AK1440">
        <v>0</v>
      </c>
    </row>
    <row r="1441" spans="1:37" x14ac:dyDescent="0.25">
      <c r="A1441" t="s">
        <v>79</v>
      </c>
      <c r="B1441">
        <v>6</v>
      </c>
      <c r="C1441">
        <v>2</v>
      </c>
      <c r="D1441">
        <v>1</v>
      </c>
      <c r="E1441">
        <v>10</v>
      </c>
      <c r="G1441">
        <v>621</v>
      </c>
      <c r="H1441" t="s">
        <v>2178</v>
      </c>
      <c r="I1441" t="s">
        <v>129</v>
      </c>
      <c r="J1441" t="s">
        <v>2242</v>
      </c>
      <c r="L1441">
        <v>0</v>
      </c>
      <c r="M1441" t="s">
        <v>2243</v>
      </c>
      <c r="O1441" t="s">
        <v>2244</v>
      </c>
      <c r="P1441" t="s">
        <v>2245</v>
      </c>
      <c r="Q1441" t="s">
        <v>2246</v>
      </c>
      <c r="R1441" t="s">
        <v>179</v>
      </c>
      <c r="S1441" t="s">
        <v>2247</v>
      </c>
      <c r="T1441">
        <v>1500</v>
      </c>
      <c r="U1441">
        <v>621</v>
      </c>
      <c r="V1441" t="s">
        <v>2248</v>
      </c>
      <c r="AE1441" t="s">
        <v>2249</v>
      </c>
      <c r="AF1441">
        <v>0</v>
      </c>
      <c r="AG1441" t="s">
        <v>2250</v>
      </c>
      <c r="AH1441">
        <v>0</v>
      </c>
      <c r="AK1441">
        <v>0</v>
      </c>
    </row>
    <row r="1442" spans="1:37" x14ac:dyDescent="0.25">
      <c r="A1442" t="s">
        <v>79</v>
      </c>
      <c r="B1442">
        <v>6</v>
      </c>
      <c r="C1442">
        <v>2</v>
      </c>
      <c r="D1442">
        <v>1</v>
      </c>
      <c r="E1442">
        <v>11</v>
      </c>
      <c r="G1442">
        <v>621</v>
      </c>
      <c r="H1442" t="s">
        <v>2178</v>
      </c>
      <c r="I1442" t="s">
        <v>131</v>
      </c>
      <c r="J1442" t="s">
        <v>2251</v>
      </c>
      <c r="L1442">
        <v>0</v>
      </c>
      <c r="M1442" t="s">
        <v>125</v>
      </c>
      <c r="O1442" t="s">
        <v>125</v>
      </c>
      <c r="P1442" t="s">
        <v>125</v>
      </c>
      <c r="Q1442" t="s">
        <v>125</v>
      </c>
      <c r="R1442" t="s">
        <v>125</v>
      </c>
      <c r="S1442" t="s">
        <v>125</v>
      </c>
      <c r="T1442">
        <v>1500</v>
      </c>
      <c r="V1442" t="s">
        <v>125</v>
      </c>
      <c r="AE1442" t="s">
        <v>125</v>
      </c>
      <c r="AF1442">
        <v>0</v>
      </c>
      <c r="AG1442" t="s">
        <v>125</v>
      </c>
      <c r="AH1442">
        <v>0</v>
      </c>
      <c r="AK1442">
        <v>0</v>
      </c>
    </row>
    <row r="1443" spans="1:37" x14ac:dyDescent="0.25">
      <c r="A1443" t="s">
        <v>79</v>
      </c>
      <c r="B1443">
        <v>6</v>
      </c>
      <c r="C1443">
        <v>2</v>
      </c>
      <c r="D1443">
        <v>1</v>
      </c>
      <c r="E1443">
        <v>12</v>
      </c>
      <c r="G1443">
        <v>621</v>
      </c>
      <c r="H1443" t="s">
        <v>2178</v>
      </c>
      <c r="I1443" t="s">
        <v>133</v>
      </c>
      <c r="J1443" t="s">
        <v>2252</v>
      </c>
      <c r="L1443">
        <v>0</v>
      </c>
      <c r="M1443" t="s">
        <v>125</v>
      </c>
      <c r="O1443" t="s">
        <v>125</v>
      </c>
      <c r="P1443" t="s">
        <v>125</v>
      </c>
      <c r="Q1443" t="s">
        <v>125</v>
      </c>
      <c r="R1443" t="s">
        <v>125</v>
      </c>
      <c r="S1443" t="s">
        <v>125</v>
      </c>
      <c r="T1443">
        <v>1500</v>
      </c>
      <c r="V1443" t="s">
        <v>125</v>
      </c>
      <c r="AE1443" t="s">
        <v>125</v>
      </c>
      <c r="AF1443">
        <v>0</v>
      </c>
      <c r="AG1443" t="s">
        <v>125</v>
      </c>
      <c r="AH1443">
        <v>0</v>
      </c>
      <c r="AK1443">
        <v>0</v>
      </c>
    </row>
    <row r="1444" spans="1:37" x14ac:dyDescent="0.25">
      <c r="A1444" t="s">
        <v>79</v>
      </c>
      <c r="B1444">
        <v>6</v>
      </c>
      <c r="C1444">
        <v>2</v>
      </c>
      <c r="D1444">
        <v>1</v>
      </c>
      <c r="E1444">
        <v>13</v>
      </c>
      <c r="G1444">
        <v>621</v>
      </c>
      <c r="H1444" t="s">
        <v>2178</v>
      </c>
      <c r="I1444" t="s">
        <v>135</v>
      </c>
      <c r="J1444" t="s">
        <v>2253</v>
      </c>
      <c r="L1444">
        <v>0</v>
      </c>
      <c r="M1444" t="s">
        <v>125</v>
      </c>
      <c r="O1444" t="s">
        <v>125</v>
      </c>
      <c r="P1444" t="s">
        <v>125</v>
      </c>
      <c r="Q1444" t="s">
        <v>125</v>
      </c>
      <c r="R1444" t="s">
        <v>125</v>
      </c>
      <c r="S1444" t="s">
        <v>125</v>
      </c>
      <c r="T1444">
        <v>1500</v>
      </c>
      <c r="V1444" t="s">
        <v>125</v>
      </c>
      <c r="AE1444" t="s">
        <v>125</v>
      </c>
      <c r="AF1444">
        <v>0</v>
      </c>
      <c r="AG1444" t="s">
        <v>125</v>
      </c>
      <c r="AH1444">
        <v>0</v>
      </c>
      <c r="AK1444">
        <v>0</v>
      </c>
    </row>
    <row r="1445" spans="1:37" x14ac:dyDescent="0.25">
      <c r="A1445" t="s">
        <v>79</v>
      </c>
      <c r="B1445">
        <v>6</v>
      </c>
      <c r="C1445">
        <v>2</v>
      </c>
      <c r="D1445">
        <v>1</v>
      </c>
      <c r="E1445">
        <v>14</v>
      </c>
      <c r="G1445">
        <v>621</v>
      </c>
      <c r="H1445" t="s">
        <v>2178</v>
      </c>
      <c r="I1445" t="s">
        <v>137</v>
      </c>
      <c r="J1445" t="s">
        <v>2254</v>
      </c>
      <c r="L1445">
        <v>0</v>
      </c>
      <c r="M1445" t="s">
        <v>125</v>
      </c>
      <c r="O1445" t="s">
        <v>125</v>
      </c>
      <c r="P1445" t="s">
        <v>125</v>
      </c>
      <c r="Q1445" t="s">
        <v>125</v>
      </c>
      <c r="R1445" t="s">
        <v>125</v>
      </c>
      <c r="S1445" t="s">
        <v>125</v>
      </c>
      <c r="T1445">
        <v>1500</v>
      </c>
      <c r="V1445" t="s">
        <v>125</v>
      </c>
      <c r="AE1445" t="s">
        <v>125</v>
      </c>
      <c r="AF1445">
        <v>0</v>
      </c>
      <c r="AG1445" t="s">
        <v>125</v>
      </c>
      <c r="AH1445">
        <v>0</v>
      </c>
      <c r="AK1445">
        <v>0</v>
      </c>
    </row>
    <row r="1446" spans="1:37" x14ac:dyDescent="0.25">
      <c r="A1446" t="s">
        <v>79</v>
      </c>
      <c r="B1446">
        <v>6</v>
      </c>
      <c r="C1446">
        <v>2</v>
      </c>
      <c r="D1446">
        <v>1</v>
      </c>
      <c r="E1446">
        <v>15</v>
      </c>
      <c r="G1446">
        <v>621</v>
      </c>
      <c r="H1446" t="s">
        <v>2178</v>
      </c>
      <c r="I1446" t="s">
        <v>139</v>
      </c>
      <c r="J1446" t="s">
        <v>2255</v>
      </c>
      <c r="L1446">
        <v>0</v>
      </c>
      <c r="M1446" t="s">
        <v>125</v>
      </c>
      <c r="O1446" t="s">
        <v>125</v>
      </c>
      <c r="P1446" t="s">
        <v>125</v>
      </c>
      <c r="Q1446" t="s">
        <v>125</v>
      </c>
      <c r="R1446" t="s">
        <v>125</v>
      </c>
      <c r="S1446" t="s">
        <v>125</v>
      </c>
      <c r="T1446">
        <v>1500</v>
      </c>
      <c r="V1446" t="s">
        <v>125</v>
      </c>
      <c r="AE1446" t="s">
        <v>125</v>
      </c>
      <c r="AF1446">
        <v>0</v>
      </c>
      <c r="AG1446" t="s">
        <v>125</v>
      </c>
      <c r="AH1446">
        <v>0</v>
      </c>
      <c r="AK1446">
        <v>0</v>
      </c>
    </row>
    <row r="1447" spans="1:37" x14ac:dyDescent="0.25">
      <c r="L1447">
        <v>0</v>
      </c>
    </row>
    <row r="1448" spans="1:37" x14ac:dyDescent="0.25">
      <c r="A1448" t="s">
        <v>70</v>
      </c>
      <c r="B1448">
        <v>6</v>
      </c>
      <c r="C1448">
        <v>2</v>
      </c>
      <c r="D1448">
        <v>2</v>
      </c>
      <c r="G1448">
        <v>62</v>
      </c>
      <c r="M1448" t="s">
        <v>2256</v>
      </c>
      <c r="O1448" t="s">
        <v>2070</v>
      </c>
      <c r="P1448" t="s">
        <v>2071</v>
      </c>
      <c r="Q1448" t="s">
        <v>2257</v>
      </c>
      <c r="R1448" t="s">
        <v>210</v>
      </c>
      <c r="S1448" t="s">
        <v>2073</v>
      </c>
      <c r="V1448" t="s">
        <v>2258</v>
      </c>
      <c r="X1448" t="s">
        <v>2075</v>
      </c>
      <c r="Y1448" t="s">
        <v>2259</v>
      </c>
      <c r="Z1448" t="s">
        <v>2077</v>
      </c>
      <c r="AA1448" t="s">
        <v>2260</v>
      </c>
      <c r="AB1448" t="s">
        <v>63</v>
      </c>
      <c r="AC1448" t="s">
        <v>63</v>
      </c>
      <c r="AE1448" t="s">
        <v>2074</v>
      </c>
      <c r="AF1448">
        <v>0</v>
      </c>
      <c r="AG1448" t="s">
        <v>2261</v>
      </c>
      <c r="AH1448">
        <v>0</v>
      </c>
      <c r="AK1448">
        <v>0</v>
      </c>
    </row>
    <row r="1449" spans="1:37" x14ac:dyDescent="0.25">
      <c r="A1449" t="s">
        <v>79</v>
      </c>
      <c r="B1449">
        <v>6</v>
      </c>
      <c r="C1449">
        <v>2</v>
      </c>
      <c r="D1449">
        <v>2</v>
      </c>
      <c r="E1449">
        <v>1</v>
      </c>
      <c r="G1449">
        <v>622</v>
      </c>
      <c r="H1449" t="s">
        <v>2070</v>
      </c>
      <c r="I1449" t="s">
        <v>80</v>
      </c>
      <c r="J1449" t="s">
        <v>2081</v>
      </c>
      <c r="L1449">
        <v>0</v>
      </c>
      <c r="M1449" t="s">
        <v>2262</v>
      </c>
      <c r="O1449" t="s">
        <v>1151</v>
      </c>
      <c r="P1449" t="s">
        <v>1152</v>
      </c>
      <c r="Q1449" t="s">
        <v>1153</v>
      </c>
      <c r="R1449" t="s">
        <v>382</v>
      </c>
      <c r="S1449" t="s">
        <v>1154</v>
      </c>
      <c r="T1449">
        <v>10000</v>
      </c>
      <c r="U1449">
        <v>7430</v>
      </c>
      <c r="V1449" t="s">
        <v>1155</v>
      </c>
      <c r="AE1449" t="s">
        <v>1156</v>
      </c>
      <c r="AF1449">
        <v>0</v>
      </c>
      <c r="AG1449" t="s">
        <v>2263</v>
      </c>
      <c r="AH1449">
        <v>0</v>
      </c>
      <c r="AK1449">
        <v>0</v>
      </c>
    </row>
    <row r="1450" spans="1:37" x14ac:dyDescent="0.25">
      <c r="A1450" t="s">
        <v>79</v>
      </c>
      <c r="B1450">
        <v>6</v>
      </c>
      <c r="C1450">
        <v>2</v>
      </c>
      <c r="D1450">
        <v>2</v>
      </c>
      <c r="E1450">
        <v>2</v>
      </c>
      <c r="G1450">
        <v>622</v>
      </c>
      <c r="H1450" t="s">
        <v>2070</v>
      </c>
      <c r="I1450" t="s">
        <v>88</v>
      </c>
      <c r="J1450" t="s">
        <v>2084</v>
      </c>
      <c r="L1450">
        <v>0</v>
      </c>
      <c r="M1450" t="s">
        <v>2264</v>
      </c>
      <c r="O1450" t="s">
        <v>1160</v>
      </c>
      <c r="P1450" t="s">
        <v>1161</v>
      </c>
      <c r="Q1450" t="s">
        <v>1162</v>
      </c>
      <c r="R1450" t="s">
        <v>210</v>
      </c>
      <c r="S1450" t="s">
        <v>1163</v>
      </c>
      <c r="T1450">
        <v>10000</v>
      </c>
      <c r="U1450">
        <v>250</v>
      </c>
      <c r="V1450" t="s">
        <v>212</v>
      </c>
      <c r="AE1450" t="s">
        <v>1164</v>
      </c>
      <c r="AF1450">
        <v>0</v>
      </c>
      <c r="AG1450" t="s">
        <v>2265</v>
      </c>
      <c r="AH1450">
        <v>0</v>
      </c>
      <c r="AK1450">
        <v>0</v>
      </c>
    </row>
    <row r="1451" spans="1:37" x14ac:dyDescent="0.25">
      <c r="A1451" t="s">
        <v>79</v>
      </c>
      <c r="B1451">
        <v>6</v>
      </c>
      <c r="C1451">
        <v>2</v>
      </c>
      <c r="D1451">
        <v>2</v>
      </c>
      <c r="E1451">
        <v>3</v>
      </c>
      <c r="G1451">
        <v>622</v>
      </c>
      <c r="H1451" t="s">
        <v>2070</v>
      </c>
      <c r="I1451" t="s">
        <v>95</v>
      </c>
      <c r="J1451" t="s">
        <v>2087</v>
      </c>
      <c r="L1451">
        <v>0</v>
      </c>
      <c r="M1451" t="s">
        <v>2266</v>
      </c>
      <c r="O1451" t="s">
        <v>1729</v>
      </c>
      <c r="P1451" t="s">
        <v>1730</v>
      </c>
      <c r="Q1451" t="s">
        <v>2089</v>
      </c>
      <c r="R1451" t="s">
        <v>229</v>
      </c>
      <c r="S1451" t="s">
        <v>1732</v>
      </c>
      <c r="T1451">
        <v>10000</v>
      </c>
      <c r="U1451">
        <v>92</v>
      </c>
      <c r="V1451" t="s">
        <v>1462</v>
      </c>
      <c r="AE1451" t="s">
        <v>2090</v>
      </c>
      <c r="AF1451">
        <v>0</v>
      </c>
      <c r="AG1451" t="s">
        <v>2267</v>
      </c>
      <c r="AH1451">
        <v>0</v>
      </c>
      <c r="AK1451">
        <v>0</v>
      </c>
    </row>
    <row r="1452" spans="1:37" x14ac:dyDescent="0.25">
      <c r="A1452" t="s">
        <v>79</v>
      </c>
      <c r="B1452">
        <v>6</v>
      </c>
      <c r="C1452">
        <v>2</v>
      </c>
      <c r="D1452">
        <v>2</v>
      </c>
      <c r="E1452">
        <v>4</v>
      </c>
      <c r="G1452">
        <v>622</v>
      </c>
      <c r="H1452" t="s">
        <v>2070</v>
      </c>
      <c r="I1452" t="s">
        <v>102</v>
      </c>
      <c r="J1452" t="s">
        <v>2092</v>
      </c>
      <c r="L1452">
        <v>0</v>
      </c>
      <c r="M1452" t="s">
        <v>2268</v>
      </c>
      <c r="O1452" t="s">
        <v>1168</v>
      </c>
      <c r="P1452" t="s">
        <v>1169</v>
      </c>
      <c r="Q1452" t="s">
        <v>2094</v>
      </c>
      <c r="R1452" t="s">
        <v>229</v>
      </c>
      <c r="S1452" t="s">
        <v>1171</v>
      </c>
      <c r="T1452">
        <v>10000</v>
      </c>
      <c r="U1452">
        <v>561</v>
      </c>
      <c r="V1452" t="s">
        <v>2095</v>
      </c>
      <c r="AE1452" t="s">
        <v>2096</v>
      </c>
      <c r="AF1452">
        <v>0</v>
      </c>
      <c r="AG1452" t="s">
        <v>2269</v>
      </c>
      <c r="AH1452">
        <v>0</v>
      </c>
      <c r="AK1452">
        <v>0</v>
      </c>
    </row>
    <row r="1453" spans="1:37" x14ac:dyDescent="0.25">
      <c r="A1453" t="s">
        <v>79</v>
      </c>
      <c r="B1453">
        <v>6</v>
      </c>
      <c r="C1453">
        <v>2</v>
      </c>
      <c r="D1453">
        <v>2</v>
      </c>
      <c r="E1453">
        <v>5</v>
      </c>
      <c r="G1453">
        <v>622</v>
      </c>
      <c r="H1453" t="s">
        <v>2070</v>
      </c>
      <c r="I1453" t="s">
        <v>109</v>
      </c>
      <c r="J1453" t="s">
        <v>2098</v>
      </c>
      <c r="L1453">
        <v>0</v>
      </c>
      <c r="M1453" t="s">
        <v>2270</v>
      </c>
      <c r="O1453" t="s">
        <v>1177</v>
      </c>
      <c r="P1453" t="s">
        <v>1178</v>
      </c>
      <c r="Q1453" t="s">
        <v>57</v>
      </c>
      <c r="R1453" t="s">
        <v>210</v>
      </c>
      <c r="S1453" t="s">
        <v>1179</v>
      </c>
      <c r="T1453">
        <v>10000</v>
      </c>
      <c r="U1453">
        <v>10000</v>
      </c>
      <c r="V1453" t="s">
        <v>1179</v>
      </c>
      <c r="AE1453" t="s">
        <v>1180</v>
      </c>
      <c r="AF1453">
        <v>0</v>
      </c>
      <c r="AG1453" t="s">
        <v>2271</v>
      </c>
      <c r="AH1453">
        <v>0</v>
      </c>
      <c r="AK1453">
        <v>0</v>
      </c>
    </row>
    <row r="1454" spans="1:37" x14ac:dyDescent="0.25">
      <c r="A1454" t="s">
        <v>79</v>
      </c>
      <c r="B1454">
        <v>6</v>
      </c>
      <c r="C1454">
        <v>2</v>
      </c>
      <c r="D1454">
        <v>2</v>
      </c>
      <c r="E1454">
        <v>6</v>
      </c>
      <c r="G1454">
        <v>622</v>
      </c>
      <c r="H1454" t="s">
        <v>2070</v>
      </c>
      <c r="I1454" t="s">
        <v>116</v>
      </c>
      <c r="J1454" t="s">
        <v>2101</v>
      </c>
      <c r="L1454">
        <v>0</v>
      </c>
      <c r="M1454" t="s">
        <v>125</v>
      </c>
      <c r="O1454" t="s">
        <v>125</v>
      </c>
      <c r="P1454" t="s">
        <v>125</v>
      </c>
      <c r="Q1454" t="s">
        <v>125</v>
      </c>
      <c r="R1454" t="s">
        <v>125</v>
      </c>
      <c r="S1454" t="s">
        <v>125</v>
      </c>
      <c r="T1454">
        <v>10000</v>
      </c>
      <c r="V1454" t="s">
        <v>125</v>
      </c>
      <c r="AE1454" t="s">
        <v>125</v>
      </c>
      <c r="AF1454">
        <v>0</v>
      </c>
      <c r="AG1454" t="s">
        <v>125</v>
      </c>
      <c r="AH1454">
        <v>0</v>
      </c>
      <c r="AK1454">
        <v>0</v>
      </c>
    </row>
    <row r="1455" spans="1:37" x14ac:dyDescent="0.25">
      <c r="A1455" t="s">
        <v>79</v>
      </c>
      <c r="B1455">
        <v>6</v>
      </c>
      <c r="C1455">
        <v>2</v>
      </c>
      <c r="D1455">
        <v>2</v>
      </c>
      <c r="E1455">
        <v>7</v>
      </c>
      <c r="G1455">
        <v>622</v>
      </c>
      <c r="H1455" t="s">
        <v>2070</v>
      </c>
      <c r="I1455" t="s">
        <v>123</v>
      </c>
      <c r="J1455" t="s">
        <v>2102</v>
      </c>
      <c r="L1455">
        <v>0</v>
      </c>
      <c r="M1455" t="s">
        <v>125</v>
      </c>
      <c r="O1455" t="s">
        <v>125</v>
      </c>
      <c r="P1455" t="s">
        <v>125</v>
      </c>
      <c r="Q1455" t="s">
        <v>125</v>
      </c>
      <c r="R1455" t="s">
        <v>125</v>
      </c>
      <c r="S1455" t="s">
        <v>125</v>
      </c>
      <c r="T1455">
        <v>10000</v>
      </c>
      <c r="V1455" t="s">
        <v>125</v>
      </c>
      <c r="AE1455" t="s">
        <v>125</v>
      </c>
      <c r="AF1455">
        <v>0</v>
      </c>
      <c r="AG1455" t="s">
        <v>125</v>
      </c>
      <c r="AH1455">
        <v>0</v>
      </c>
      <c r="AK1455">
        <v>0</v>
      </c>
    </row>
    <row r="1456" spans="1:37" x14ac:dyDescent="0.25">
      <c r="A1456" t="s">
        <v>79</v>
      </c>
      <c r="B1456">
        <v>6</v>
      </c>
      <c r="C1456">
        <v>2</v>
      </c>
      <c r="D1456">
        <v>2</v>
      </c>
      <c r="E1456">
        <v>8</v>
      </c>
      <c r="G1456">
        <v>622</v>
      </c>
      <c r="H1456" t="s">
        <v>2070</v>
      </c>
      <c r="I1456" t="s">
        <v>126</v>
      </c>
      <c r="J1456" t="s">
        <v>2103</v>
      </c>
      <c r="L1456">
        <v>0</v>
      </c>
      <c r="M1456" t="s">
        <v>125</v>
      </c>
      <c r="O1456" t="s">
        <v>125</v>
      </c>
      <c r="P1456" t="s">
        <v>125</v>
      </c>
      <c r="Q1456" t="s">
        <v>125</v>
      </c>
      <c r="R1456" t="s">
        <v>125</v>
      </c>
      <c r="S1456" t="s">
        <v>125</v>
      </c>
      <c r="T1456">
        <v>10000</v>
      </c>
      <c r="V1456" t="s">
        <v>125</v>
      </c>
      <c r="AE1456" t="s">
        <v>125</v>
      </c>
      <c r="AF1456">
        <v>0</v>
      </c>
      <c r="AG1456" t="s">
        <v>125</v>
      </c>
      <c r="AH1456">
        <v>0</v>
      </c>
      <c r="AK1456">
        <v>0</v>
      </c>
    </row>
    <row r="1457" spans="1:37" x14ac:dyDescent="0.25">
      <c r="A1457" t="s">
        <v>79</v>
      </c>
      <c r="B1457">
        <v>6</v>
      </c>
      <c r="C1457">
        <v>2</v>
      </c>
      <c r="D1457">
        <v>2</v>
      </c>
      <c r="E1457">
        <v>9</v>
      </c>
      <c r="G1457">
        <v>622</v>
      </c>
      <c r="H1457" t="s">
        <v>2070</v>
      </c>
      <c r="I1457" t="s">
        <v>74</v>
      </c>
      <c r="J1457" t="s">
        <v>2104</v>
      </c>
      <c r="L1457">
        <v>0</v>
      </c>
      <c r="M1457" t="s">
        <v>125</v>
      </c>
      <c r="O1457" t="s">
        <v>125</v>
      </c>
      <c r="P1457" t="s">
        <v>125</v>
      </c>
      <c r="Q1457" t="s">
        <v>125</v>
      </c>
      <c r="R1457" t="s">
        <v>125</v>
      </c>
      <c r="S1457" t="s">
        <v>125</v>
      </c>
      <c r="T1457">
        <v>10000</v>
      </c>
      <c r="V1457" t="s">
        <v>125</v>
      </c>
      <c r="AE1457" t="s">
        <v>125</v>
      </c>
      <c r="AF1457">
        <v>0</v>
      </c>
      <c r="AG1457" t="s">
        <v>125</v>
      </c>
      <c r="AH1457">
        <v>0</v>
      </c>
      <c r="AK1457">
        <v>0</v>
      </c>
    </row>
    <row r="1458" spans="1:37" x14ac:dyDescent="0.25">
      <c r="A1458" t="s">
        <v>79</v>
      </c>
      <c r="B1458">
        <v>6</v>
      </c>
      <c r="C1458">
        <v>2</v>
      </c>
      <c r="D1458">
        <v>2</v>
      </c>
      <c r="E1458">
        <v>10</v>
      </c>
      <c r="G1458">
        <v>622</v>
      </c>
      <c r="H1458" t="s">
        <v>2070</v>
      </c>
      <c r="I1458" t="s">
        <v>129</v>
      </c>
      <c r="J1458" t="s">
        <v>2105</v>
      </c>
      <c r="L1458">
        <v>0</v>
      </c>
      <c r="M1458" t="s">
        <v>125</v>
      </c>
      <c r="O1458" t="s">
        <v>125</v>
      </c>
      <c r="P1458" t="s">
        <v>125</v>
      </c>
      <c r="Q1458" t="s">
        <v>125</v>
      </c>
      <c r="R1458" t="s">
        <v>125</v>
      </c>
      <c r="S1458" t="s">
        <v>125</v>
      </c>
      <c r="T1458">
        <v>10000</v>
      </c>
      <c r="V1458" t="s">
        <v>125</v>
      </c>
      <c r="AE1458" t="s">
        <v>125</v>
      </c>
      <c r="AF1458">
        <v>0</v>
      </c>
      <c r="AG1458" t="s">
        <v>125</v>
      </c>
      <c r="AH1458">
        <v>0</v>
      </c>
      <c r="AK1458">
        <v>0</v>
      </c>
    </row>
    <row r="1459" spans="1:37" x14ac:dyDescent="0.25">
      <c r="A1459" t="s">
        <v>79</v>
      </c>
      <c r="B1459">
        <v>6</v>
      </c>
      <c r="C1459">
        <v>2</v>
      </c>
      <c r="D1459">
        <v>2</v>
      </c>
      <c r="E1459">
        <v>11</v>
      </c>
      <c r="G1459">
        <v>622</v>
      </c>
      <c r="H1459" t="s">
        <v>2070</v>
      </c>
      <c r="I1459" t="s">
        <v>131</v>
      </c>
      <c r="J1459" t="s">
        <v>2106</v>
      </c>
      <c r="L1459">
        <v>0</v>
      </c>
      <c r="M1459" t="s">
        <v>125</v>
      </c>
      <c r="O1459" t="s">
        <v>125</v>
      </c>
      <c r="P1459" t="s">
        <v>125</v>
      </c>
      <c r="Q1459" t="s">
        <v>125</v>
      </c>
      <c r="R1459" t="s">
        <v>125</v>
      </c>
      <c r="S1459" t="s">
        <v>125</v>
      </c>
      <c r="T1459">
        <v>10000</v>
      </c>
      <c r="V1459" t="s">
        <v>125</v>
      </c>
      <c r="AE1459" t="s">
        <v>125</v>
      </c>
      <c r="AF1459">
        <v>0</v>
      </c>
      <c r="AG1459" t="s">
        <v>125</v>
      </c>
      <c r="AH1459">
        <v>0</v>
      </c>
      <c r="AK1459">
        <v>0</v>
      </c>
    </row>
    <row r="1460" spans="1:37" x14ac:dyDescent="0.25">
      <c r="A1460" t="s">
        <v>79</v>
      </c>
      <c r="B1460">
        <v>6</v>
      </c>
      <c r="C1460">
        <v>2</v>
      </c>
      <c r="D1460">
        <v>2</v>
      </c>
      <c r="E1460">
        <v>12</v>
      </c>
      <c r="G1460">
        <v>622</v>
      </c>
      <c r="H1460" t="s">
        <v>2070</v>
      </c>
      <c r="I1460" t="s">
        <v>133</v>
      </c>
      <c r="J1460" t="s">
        <v>2107</v>
      </c>
      <c r="L1460">
        <v>0</v>
      </c>
      <c r="M1460" t="s">
        <v>125</v>
      </c>
      <c r="O1460" t="s">
        <v>125</v>
      </c>
      <c r="P1460" t="s">
        <v>125</v>
      </c>
      <c r="Q1460" t="s">
        <v>125</v>
      </c>
      <c r="R1460" t="s">
        <v>125</v>
      </c>
      <c r="S1460" t="s">
        <v>125</v>
      </c>
      <c r="T1460">
        <v>10000</v>
      </c>
      <c r="V1460" t="s">
        <v>125</v>
      </c>
      <c r="AE1460" t="s">
        <v>125</v>
      </c>
      <c r="AF1460">
        <v>0</v>
      </c>
      <c r="AG1460" t="s">
        <v>125</v>
      </c>
      <c r="AH1460">
        <v>0</v>
      </c>
      <c r="AK1460">
        <v>0</v>
      </c>
    </row>
    <row r="1461" spans="1:37" x14ac:dyDescent="0.25">
      <c r="A1461" t="s">
        <v>79</v>
      </c>
      <c r="B1461">
        <v>6</v>
      </c>
      <c r="C1461">
        <v>2</v>
      </c>
      <c r="D1461">
        <v>2</v>
      </c>
      <c r="E1461">
        <v>13</v>
      </c>
      <c r="G1461">
        <v>622</v>
      </c>
      <c r="H1461" t="s">
        <v>2070</v>
      </c>
      <c r="I1461" t="s">
        <v>135</v>
      </c>
      <c r="J1461" t="s">
        <v>2108</v>
      </c>
      <c r="L1461">
        <v>0</v>
      </c>
      <c r="M1461" t="s">
        <v>125</v>
      </c>
      <c r="O1461" t="s">
        <v>125</v>
      </c>
      <c r="P1461" t="s">
        <v>125</v>
      </c>
      <c r="Q1461" t="s">
        <v>125</v>
      </c>
      <c r="R1461" t="s">
        <v>125</v>
      </c>
      <c r="S1461" t="s">
        <v>125</v>
      </c>
      <c r="T1461">
        <v>10000</v>
      </c>
      <c r="V1461" t="s">
        <v>125</v>
      </c>
      <c r="AE1461" t="s">
        <v>125</v>
      </c>
      <c r="AF1461">
        <v>0</v>
      </c>
      <c r="AG1461" t="s">
        <v>125</v>
      </c>
      <c r="AH1461">
        <v>0</v>
      </c>
      <c r="AK1461">
        <v>0</v>
      </c>
    </row>
    <row r="1462" spans="1:37" x14ac:dyDescent="0.25">
      <c r="A1462" t="s">
        <v>79</v>
      </c>
      <c r="B1462">
        <v>6</v>
      </c>
      <c r="C1462">
        <v>2</v>
      </c>
      <c r="D1462">
        <v>2</v>
      </c>
      <c r="E1462">
        <v>14</v>
      </c>
      <c r="G1462">
        <v>622</v>
      </c>
      <c r="H1462" t="s">
        <v>2070</v>
      </c>
      <c r="I1462" t="s">
        <v>137</v>
      </c>
      <c r="J1462" t="s">
        <v>2109</v>
      </c>
      <c r="L1462">
        <v>0</v>
      </c>
      <c r="M1462" t="s">
        <v>125</v>
      </c>
      <c r="O1462" t="s">
        <v>125</v>
      </c>
      <c r="P1462" t="s">
        <v>125</v>
      </c>
      <c r="Q1462" t="s">
        <v>125</v>
      </c>
      <c r="R1462" t="s">
        <v>125</v>
      </c>
      <c r="S1462" t="s">
        <v>125</v>
      </c>
      <c r="T1462">
        <v>10000</v>
      </c>
      <c r="V1462" t="s">
        <v>125</v>
      </c>
      <c r="AE1462" t="s">
        <v>125</v>
      </c>
      <c r="AF1462">
        <v>0</v>
      </c>
      <c r="AG1462" t="s">
        <v>125</v>
      </c>
      <c r="AH1462">
        <v>0</v>
      </c>
      <c r="AK1462">
        <v>0</v>
      </c>
    </row>
    <row r="1463" spans="1:37" x14ac:dyDescent="0.25">
      <c r="A1463" t="s">
        <v>79</v>
      </c>
      <c r="B1463">
        <v>6</v>
      </c>
      <c r="C1463">
        <v>2</v>
      </c>
      <c r="D1463">
        <v>2</v>
      </c>
      <c r="E1463">
        <v>15</v>
      </c>
      <c r="G1463">
        <v>622</v>
      </c>
      <c r="H1463" t="s">
        <v>2070</v>
      </c>
      <c r="I1463" t="s">
        <v>139</v>
      </c>
      <c r="J1463" t="s">
        <v>2110</v>
      </c>
      <c r="L1463">
        <v>0</v>
      </c>
      <c r="M1463" t="s">
        <v>125</v>
      </c>
      <c r="O1463" t="s">
        <v>125</v>
      </c>
      <c r="P1463" t="s">
        <v>125</v>
      </c>
      <c r="Q1463" t="s">
        <v>125</v>
      </c>
      <c r="R1463" t="s">
        <v>125</v>
      </c>
      <c r="S1463" t="s">
        <v>125</v>
      </c>
      <c r="T1463">
        <v>10000</v>
      </c>
      <c r="V1463" t="s">
        <v>125</v>
      </c>
      <c r="AE1463" t="s">
        <v>125</v>
      </c>
      <c r="AF1463">
        <v>0</v>
      </c>
      <c r="AG1463" t="s">
        <v>125</v>
      </c>
      <c r="AH1463">
        <v>0</v>
      </c>
      <c r="AK1463">
        <v>0</v>
      </c>
    </row>
    <row r="1464" spans="1:37" x14ac:dyDescent="0.25">
      <c r="L1464">
        <v>0</v>
      </c>
    </row>
    <row r="1465" spans="1:37" x14ac:dyDescent="0.25">
      <c r="A1465" t="s">
        <v>70</v>
      </c>
      <c r="B1465">
        <v>6</v>
      </c>
      <c r="C1465">
        <v>2</v>
      </c>
      <c r="D1465">
        <v>3</v>
      </c>
      <c r="G1465">
        <v>62</v>
      </c>
      <c r="M1465" t="s">
        <v>2272</v>
      </c>
      <c r="O1465" t="s">
        <v>2273</v>
      </c>
      <c r="P1465" t="s">
        <v>2274</v>
      </c>
      <c r="Q1465" t="s">
        <v>2275</v>
      </c>
      <c r="R1465" t="s">
        <v>268</v>
      </c>
      <c r="S1465" t="s">
        <v>2276</v>
      </c>
      <c r="V1465" t="s">
        <v>2277</v>
      </c>
      <c r="X1465" t="s">
        <v>2278</v>
      </c>
      <c r="Y1465" t="s">
        <v>2279</v>
      </c>
      <c r="Z1465" t="s">
        <v>2280</v>
      </c>
      <c r="AA1465" t="s">
        <v>2281</v>
      </c>
      <c r="AB1465" t="s">
        <v>250</v>
      </c>
      <c r="AC1465" t="s">
        <v>2282</v>
      </c>
      <c r="AE1465" t="s">
        <v>2283</v>
      </c>
      <c r="AF1465">
        <v>0</v>
      </c>
      <c r="AG1465" t="s">
        <v>2284</v>
      </c>
      <c r="AH1465">
        <v>0</v>
      </c>
      <c r="AK1465">
        <v>0</v>
      </c>
    </row>
    <row r="1466" spans="1:37" x14ac:dyDescent="0.25">
      <c r="A1466" t="s">
        <v>79</v>
      </c>
      <c r="B1466">
        <v>6</v>
      </c>
      <c r="C1466">
        <v>2</v>
      </c>
      <c r="D1466">
        <v>3</v>
      </c>
      <c r="E1466">
        <v>1</v>
      </c>
      <c r="G1466">
        <v>623</v>
      </c>
      <c r="H1466" t="s">
        <v>2273</v>
      </c>
      <c r="I1466" t="s">
        <v>80</v>
      </c>
      <c r="J1466" t="s">
        <v>2285</v>
      </c>
      <c r="L1466">
        <v>0</v>
      </c>
      <c r="M1466" t="s">
        <v>2286</v>
      </c>
      <c r="O1466" t="s">
        <v>2127</v>
      </c>
      <c r="P1466" t="s">
        <v>2128</v>
      </c>
      <c r="Q1466" t="s">
        <v>1312</v>
      </c>
      <c r="R1466" t="s">
        <v>268</v>
      </c>
      <c r="S1466" t="s">
        <v>2129</v>
      </c>
      <c r="T1466">
        <v>125</v>
      </c>
      <c r="U1466">
        <v>138</v>
      </c>
      <c r="V1466" t="s">
        <v>2130</v>
      </c>
      <c r="AE1466" t="s">
        <v>2131</v>
      </c>
      <c r="AF1466">
        <v>0</v>
      </c>
      <c r="AG1466" t="s">
        <v>2287</v>
      </c>
      <c r="AH1466">
        <v>0</v>
      </c>
      <c r="AK1466">
        <v>0</v>
      </c>
    </row>
    <row r="1467" spans="1:37" x14ac:dyDescent="0.25">
      <c r="A1467" t="s">
        <v>79</v>
      </c>
      <c r="B1467">
        <v>6</v>
      </c>
      <c r="C1467">
        <v>2</v>
      </c>
      <c r="D1467">
        <v>3</v>
      </c>
      <c r="E1467">
        <v>2</v>
      </c>
      <c r="G1467">
        <v>623</v>
      </c>
      <c r="H1467" t="s">
        <v>2273</v>
      </c>
      <c r="I1467" t="s">
        <v>88</v>
      </c>
      <c r="J1467" t="s">
        <v>2288</v>
      </c>
      <c r="L1467">
        <v>0</v>
      </c>
      <c r="M1467" t="s">
        <v>2289</v>
      </c>
      <c r="O1467" t="s">
        <v>236</v>
      </c>
      <c r="P1467" t="s">
        <v>237</v>
      </c>
      <c r="Q1467" t="s">
        <v>2290</v>
      </c>
      <c r="R1467" t="s">
        <v>229</v>
      </c>
      <c r="S1467" t="s">
        <v>239</v>
      </c>
      <c r="T1467">
        <v>125</v>
      </c>
      <c r="U1467">
        <v>16</v>
      </c>
      <c r="V1467" t="s">
        <v>2291</v>
      </c>
      <c r="AE1467" t="s">
        <v>2292</v>
      </c>
      <c r="AF1467">
        <v>0</v>
      </c>
      <c r="AG1467" t="s">
        <v>2293</v>
      </c>
      <c r="AH1467">
        <v>0</v>
      </c>
      <c r="AK1467">
        <v>0</v>
      </c>
    </row>
    <row r="1468" spans="1:37" x14ac:dyDescent="0.25">
      <c r="A1468" t="s">
        <v>79</v>
      </c>
      <c r="B1468">
        <v>6</v>
      </c>
      <c r="C1468">
        <v>2</v>
      </c>
      <c r="D1468">
        <v>3</v>
      </c>
      <c r="E1468">
        <v>3</v>
      </c>
      <c r="G1468">
        <v>623</v>
      </c>
      <c r="H1468" t="s">
        <v>2273</v>
      </c>
      <c r="I1468" t="s">
        <v>95</v>
      </c>
      <c r="J1468" t="s">
        <v>2294</v>
      </c>
      <c r="L1468">
        <v>0</v>
      </c>
      <c r="M1468" t="s">
        <v>2295</v>
      </c>
      <c r="O1468" t="s">
        <v>1319</v>
      </c>
      <c r="P1468" t="s">
        <v>1320</v>
      </c>
      <c r="Q1468" t="s">
        <v>2296</v>
      </c>
      <c r="R1468" t="s">
        <v>229</v>
      </c>
      <c r="S1468" t="s">
        <v>1322</v>
      </c>
      <c r="T1468">
        <v>125</v>
      </c>
      <c r="U1468">
        <v>94</v>
      </c>
      <c r="V1468" t="s">
        <v>2297</v>
      </c>
      <c r="AE1468" t="s">
        <v>2298</v>
      </c>
      <c r="AF1468">
        <v>0</v>
      </c>
      <c r="AG1468" t="s">
        <v>2299</v>
      </c>
      <c r="AH1468">
        <v>0</v>
      </c>
      <c r="AK1468">
        <v>0</v>
      </c>
    </row>
    <row r="1469" spans="1:37" x14ac:dyDescent="0.25">
      <c r="A1469" t="s">
        <v>79</v>
      </c>
      <c r="B1469">
        <v>6</v>
      </c>
      <c r="C1469">
        <v>2</v>
      </c>
      <c r="D1469">
        <v>3</v>
      </c>
      <c r="E1469">
        <v>4</v>
      </c>
      <c r="G1469">
        <v>623</v>
      </c>
      <c r="H1469" t="s">
        <v>2273</v>
      </c>
      <c r="I1469" t="s">
        <v>102</v>
      </c>
      <c r="J1469" t="s">
        <v>2300</v>
      </c>
      <c r="L1469">
        <v>0</v>
      </c>
      <c r="M1469" t="s">
        <v>2301</v>
      </c>
      <c r="O1469" t="s">
        <v>294</v>
      </c>
      <c r="P1469" t="s">
        <v>295</v>
      </c>
      <c r="Q1469" t="s">
        <v>2302</v>
      </c>
      <c r="R1469" t="s">
        <v>229</v>
      </c>
      <c r="S1469" t="s">
        <v>297</v>
      </c>
      <c r="T1469">
        <v>125</v>
      </c>
      <c r="U1469">
        <v>103</v>
      </c>
      <c r="V1469" t="s">
        <v>2303</v>
      </c>
      <c r="AE1469" t="s">
        <v>2304</v>
      </c>
      <c r="AF1469">
        <v>0</v>
      </c>
      <c r="AG1469" t="s">
        <v>2305</v>
      </c>
      <c r="AH1469">
        <v>0</v>
      </c>
      <c r="AK1469">
        <v>0</v>
      </c>
    </row>
    <row r="1470" spans="1:37" x14ac:dyDescent="0.25">
      <c r="A1470" t="s">
        <v>79</v>
      </c>
      <c r="B1470">
        <v>6</v>
      </c>
      <c r="C1470">
        <v>2</v>
      </c>
      <c r="D1470">
        <v>3</v>
      </c>
      <c r="E1470">
        <v>5</v>
      </c>
      <c r="G1470">
        <v>623</v>
      </c>
      <c r="H1470" t="s">
        <v>2273</v>
      </c>
      <c r="I1470" t="s">
        <v>109</v>
      </c>
      <c r="J1470" t="s">
        <v>2306</v>
      </c>
      <c r="L1470">
        <v>0</v>
      </c>
      <c r="M1470" t="s">
        <v>2307</v>
      </c>
      <c r="O1470" t="s">
        <v>1328</v>
      </c>
      <c r="P1470" t="s">
        <v>1329</v>
      </c>
      <c r="Q1470" t="s">
        <v>2121</v>
      </c>
      <c r="R1470" t="s">
        <v>248</v>
      </c>
      <c r="S1470" t="s">
        <v>1331</v>
      </c>
      <c r="T1470">
        <v>125</v>
      </c>
      <c r="U1470">
        <v>15</v>
      </c>
      <c r="V1470" t="s">
        <v>250</v>
      </c>
      <c r="AE1470" t="s">
        <v>2308</v>
      </c>
      <c r="AF1470">
        <v>0</v>
      </c>
      <c r="AG1470" t="s">
        <v>2309</v>
      </c>
      <c r="AH1470">
        <v>0</v>
      </c>
      <c r="AK1470">
        <v>0</v>
      </c>
    </row>
    <row r="1471" spans="1:37" x14ac:dyDescent="0.25">
      <c r="A1471" t="s">
        <v>79</v>
      </c>
      <c r="B1471">
        <v>6</v>
      </c>
      <c r="C1471">
        <v>2</v>
      </c>
      <c r="D1471">
        <v>3</v>
      </c>
      <c r="E1471">
        <v>6</v>
      </c>
      <c r="G1471">
        <v>623</v>
      </c>
      <c r="H1471" t="s">
        <v>2273</v>
      </c>
      <c r="I1471" t="s">
        <v>116</v>
      </c>
      <c r="J1471" t="s">
        <v>2310</v>
      </c>
      <c r="L1471">
        <v>0</v>
      </c>
      <c r="M1471" t="s">
        <v>2311</v>
      </c>
      <c r="O1471" t="s">
        <v>1336</v>
      </c>
      <c r="P1471" t="s">
        <v>1337</v>
      </c>
      <c r="Q1471" t="s">
        <v>2312</v>
      </c>
      <c r="R1471" t="s">
        <v>258</v>
      </c>
      <c r="S1471" t="s">
        <v>1339</v>
      </c>
      <c r="T1471">
        <v>125</v>
      </c>
      <c r="U1471">
        <v>16</v>
      </c>
      <c r="V1471" t="s">
        <v>1890</v>
      </c>
      <c r="AE1471" t="s">
        <v>2313</v>
      </c>
      <c r="AF1471">
        <v>0</v>
      </c>
      <c r="AG1471" t="s">
        <v>2314</v>
      </c>
      <c r="AH1471">
        <v>0</v>
      </c>
      <c r="AK1471">
        <v>0</v>
      </c>
    </row>
    <row r="1472" spans="1:37" x14ac:dyDescent="0.25">
      <c r="A1472" t="s">
        <v>79</v>
      </c>
      <c r="B1472">
        <v>6</v>
      </c>
      <c r="C1472">
        <v>2</v>
      </c>
      <c r="D1472">
        <v>3</v>
      </c>
      <c r="E1472">
        <v>7</v>
      </c>
      <c r="G1472">
        <v>623</v>
      </c>
      <c r="H1472" t="s">
        <v>2273</v>
      </c>
      <c r="I1472" t="s">
        <v>123</v>
      </c>
      <c r="J1472" t="s">
        <v>2315</v>
      </c>
      <c r="L1472">
        <v>0</v>
      </c>
      <c r="M1472" t="s">
        <v>125</v>
      </c>
      <c r="O1472" t="s">
        <v>125</v>
      </c>
      <c r="P1472" t="s">
        <v>125</v>
      </c>
      <c r="Q1472" t="s">
        <v>125</v>
      </c>
      <c r="R1472" t="s">
        <v>125</v>
      </c>
      <c r="S1472" t="s">
        <v>125</v>
      </c>
      <c r="T1472">
        <v>125</v>
      </c>
      <c r="V1472" t="s">
        <v>125</v>
      </c>
      <c r="AE1472" t="s">
        <v>125</v>
      </c>
      <c r="AF1472">
        <v>0</v>
      </c>
      <c r="AG1472" t="s">
        <v>125</v>
      </c>
      <c r="AH1472">
        <v>0</v>
      </c>
      <c r="AK1472">
        <v>0</v>
      </c>
    </row>
    <row r="1473" spans="1:37" x14ac:dyDescent="0.25">
      <c r="A1473" t="s">
        <v>79</v>
      </c>
      <c r="B1473">
        <v>6</v>
      </c>
      <c r="C1473">
        <v>2</v>
      </c>
      <c r="D1473">
        <v>3</v>
      </c>
      <c r="E1473">
        <v>8</v>
      </c>
      <c r="G1473">
        <v>623</v>
      </c>
      <c r="H1473" t="s">
        <v>2273</v>
      </c>
      <c r="I1473" t="s">
        <v>126</v>
      </c>
      <c r="J1473" t="s">
        <v>2316</v>
      </c>
      <c r="L1473">
        <v>0</v>
      </c>
      <c r="M1473" t="s">
        <v>125</v>
      </c>
      <c r="O1473" t="s">
        <v>125</v>
      </c>
      <c r="P1473" t="s">
        <v>125</v>
      </c>
      <c r="Q1473" t="s">
        <v>125</v>
      </c>
      <c r="R1473" t="s">
        <v>125</v>
      </c>
      <c r="S1473" t="s">
        <v>125</v>
      </c>
      <c r="T1473">
        <v>125</v>
      </c>
      <c r="V1473" t="s">
        <v>125</v>
      </c>
      <c r="AE1473" t="s">
        <v>125</v>
      </c>
      <c r="AF1473">
        <v>0</v>
      </c>
      <c r="AG1473" t="s">
        <v>125</v>
      </c>
      <c r="AH1473">
        <v>0</v>
      </c>
      <c r="AK1473">
        <v>0</v>
      </c>
    </row>
    <row r="1474" spans="1:37" x14ac:dyDescent="0.25">
      <c r="A1474" t="s">
        <v>79</v>
      </c>
      <c r="B1474">
        <v>6</v>
      </c>
      <c r="C1474">
        <v>2</v>
      </c>
      <c r="D1474">
        <v>3</v>
      </c>
      <c r="E1474">
        <v>9</v>
      </c>
      <c r="G1474">
        <v>623</v>
      </c>
      <c r="H1474" t="s">
        <v>2273</v>
      </c>
      <c r="I1474" t="s">
        <v>74</v>
      </c>
      <c r="J1474" t="s">
        <v>2317</v>
      </c>
      <c r="L1474">
        <v>0</v>
      </c>
      <c r="M1474" t="s">
        <v>125</v>
      </c>
      <c r="O1474" t="s">
        <v>125</v>
      </c>
      <c r="P1474" t="s">
        <v>125</v>
      </c>
      <c r="Q1474" t="s">
        <v>125</v>
      </c>
      <c r="R1474" t="s">
        <v>125</v>
      </c>
      <c r="S1474" t="s">
        <v>125</v>
      </c>
      <c r="T1474">
        <v>125</v>
      </c>
      <c r="V1474" t="s">
        <v>125</v>
      </c>
      <c r="AE1474" t="s">
        <v>125</v>
      </c>
      <c r="AF1474">
        <v>0</v>
      </c>
      <c r="AG1474" t="s">
        <v>125</v>
      </c>
      <c r="AH1474">
        <v>0</v>
      </c>
      <c r="AK1474">
        <v>0</v>
      </c>
    </row>
    <row r="1475" spans="1:37" x14ac:dyDescent="0.25">
      <c r="A1475" t="s">
        <v>79</v>
      </c>
      <c r="B1475">
        <v>6</v>
      </c>
      <c r="C1475">
        <v>2</v>
      </c>
      <c r="D1475">
        <v>3</v>
      </c>
      <c r="E1475">
        <v>10</v>
      </c>
      <c r="G1475">
        <v>623</v>
      </c>
      <c r="H1475" t="s">
        <v>2273</v>
      </c>
      <c r="I1475" t="s">
        <v>129</v>
      </c>
      <c r="J1475" t="s">
        <v>2318</v>
      </c>
      <c r="L1475">
        <v>0</v>
      </c>
      <c r="M1475" t="s">
        <v>125</v>
      </c>
      <c r="O1475" t="s">
        <v>125</v>
      </c>
      <c r="P1475" t="s">
        <v>125</v>
      </c>
      <c r="Q1475" t="s">
        <v>125</v>
      </c>
      <c r="R1475" t="s">
        <v>125</v>
      </c>
      <c r="S1475" t="s">
        <v>125</v>
      </c>
      <c r="T1475">
        <v>125</v>
      </c>
      <c r="V1475" t="s">
        <v>125</v>
      </c>
      <c r="AE1475" t="s">
        <v>125</v>
      </c>
      <c r="AF1475">
        <v>0</v>
      </c>
      <c r="AG1475" t="s">
        <v>125</v>
      </c>
      <c r="AH1475">
        <v>0</v>
      </c>
      <c r="AK1475">
        <v>0</v>
      </c>
    </row>
    <row r="1476" spans="1:37" x14ac:dyDescent="0.25">
      <c r="A1476" t="s">
        <v>79</v>
      </c>
      <c r="B1476">
        <v>6</v>
      </c>
      <c r="C1476">
        <v>2</v>
      </c>
      <c r="D1476">
        <v>3</v>
      </c>
      <c r="E1476">
        <v>11</v>
      </c>
      <c r="G1476">
        <v>623</v>
      </c>
      <c r="H1476" t="s">
        <v>2273</v>
      </c>
      <c r="I1476" t="s">
        <v>131</v>
      </c>
      <c r="J1476" t="s">
        <v>2319</v>
      </c>
      <c r="L1476">
        <v>0</v>
      </c>
      <c r="M1476" t="s">
        <v>125</v>
      </c>
      <c r="O1476" t="s">
        <v>125</v>
      </c>
      <c r="P1476" t="s">
        <v>125</v>
      </c>
      <c r="Q1476" t="s">
        <v>125</v>
      </c>
      <c r="R1476" t="s">
        <v>125</v>
      </c>
      <c r="S1476" t="s">
        <v>125</v>
      </c>
      <c r="T1476">
        <v>125</v>
      </c>
      <c r="V1476" t="s">
        <v>125</v>
      </c>
      <c r="AE1476" t="s">
        <v>125</v>
      </c>
      <c r="AF1476">
        <v>0</v>
      </c>
      <c r="AG1476" t="s">
        <v>125</v>
      </c>
      <c r="AH1476">
        <v>0</v>
      </c>
      <c r="AK1476">
        <v>0</v>
      </c>
    </row>
    <row r="1477" spans="1:37" x14ac:dyDescent="0.25">
      <c r="A1477" t="s">
        <v>79</v>
      </c>
      <c r="B1477">
        <v>6</v>
      </c>
      <c r="C1477">
        <v>2</v>
      </c>
      <c r="D1477">
        <v>3</v>
      </c>
      <c r="E1477">
        <v>12</v>
      </c>
      <c r="G1477">
        <v>623</v>
      </c>
      <c r="H1477" t="s">
        <v>2273</v>
      </c>
      <c r="I1477" t="s">
        <v>133</v>
      </c>
      <c r="J1477" t="s">
        <v>2320</v>
      </c>
      <c r="L1477">
        <v>0</v>
      </c>
      <c r="M1477" t="s">
        <v>125</v>
      </c>
      <c r="O1477" t="s">
        <v>125</v>
      </c>
      <c r="P1477" t="s">
        <v>125</v>
      </c>
      <c r="Q1477" t="s">
        <v>125</v>
      </c>
      <c r="R1477" t="s">
        <v>125</v>
      </c>
      <c r="S1477" t="s">
        <v>125</v>
      </c>
      <c r="T1477">
        <v>125</v>
      </c>
      <c r="V1477" t="s">
        <v>125</v>
      </c>
      <c r="AE1477" t="s">
        <v>125</v>
      </c>
      <c r="AF1477">
        <v>0</v>
      </c>
      <c r="AG1477" t="s">
        <v>125</v>
      </c>
      <c r="AH1477">
        <v>0</v>
      </c>
      <c r="AK1477">
        <v>0</v>
      </c>
    </row>
    <row r="1478" spans="1:37" x14ac:dyDescent="0.25">
      <c r="A1478" t="s">
        <v>79</v>
      </c>
      <c r="B1478">
        <v>6</v>
      </c>
      <c r="C1478">
        <v>2</v>
      </c>
      <c r="D1478">
        <v>3</v>
      </c>
      <c r="E1478">
        <v>13</v>
      </c>
      <c r="G1478">
        <v>623</v>
      </c>
      <c r="H1478" t="s">
        <v>2273</v>
      </c>
      <c r="I1478" t="s">
        <v>135</v>
      </c>
      <c r="J1478" t="s">
        <v>2321</v>
      </c>
      <c r="L1478">
        <v>0</v>
      </c>
      <c r="M1478" t="s">
        <v>125</v>
      </c>
      <c r="O1478" t="s">
        <v>125</v>
      </c>
      <c r="P1478" t="s">
        <v>125</v>
      </c>
      <c r="Q1478" t="s">
        <v>125</v>
      </c>
      <c r="R1478" t="s">
        <v>125</v>
      </c>
      <c r="S1478" t="s">
        <v>125</v>
      </c>
      <c r="T1478">
        <v>125</v>
      </c>
      <c r="V1478" t="s">
        <v>125</v>
      </c>
      <c r="AE1478" t="s">
        <v>125</v>
      </c>
      <c r="AF1478">
        <v>0</v>
      </c>
      <c r="AG1478" t="s">
        <v>125</v>
      </c>
      <c r="AH1478">
        <v>0</v>
      </c>
      <c r="AK1478">
        <v>0</v>
      </c>
    </row>
    <row r="1479" spans="1:37" x14ac:dyDescent="0.25">
      <c r="A1479" t="s">
        <v>79</v>
      </c>
      <c r="B1479">
        <v>6</v>
      </c>
      <c r="C1479">
        <v>2</v>
      </c>
      <c r="D1479">
        <v>3</v>
      </c>
      <c r="E1479">
        <v>14</v>
      </c>
      <c r="G1479">
        <v>623</v>
      </c>
      <c r="H1479" t="s">
        <v>2273</v>
      </c>
      <c r="I1479" t="s">
        <v>137</v>
      </c>
      <c r="J1479" t="s">
        <v>2322</v>
      </c>
      <c r="L1479">
        <v>0</v>
      </c>
      <c r="M1479" t="s">
        <v>125</v>
      </c>
      <c r="O1479" t="s">
        <v>125</v>
      </c>
      <c r="P1479" t="s">
        <v>125</v>
      </c>
      <c r="Q1479" t="s">
        <v>125</v>
      </c>
      <c r="R1479" t="s">
        <v>125</v>
      </c>
      <c r="S1479" t="s">
        <v>125</v>
      </c>
      <c r="T1479">
        <v>125</v>
      </c>
      <c r="V1479" t="s">
        <v>125</v>
      </c>
      <c r="AE1479" t="s">
        <v>125</v>
      </c>
      <c r="AF1479">
        <v>0</v>
      </c>
      <c r="AG1479" t="s">
        <v>125</v>
      </c>
      <c r="AH1479">
        <v>0</v>
      </c>
      <c r="AK1479">
        <v>0</v>
      </c>
    </row>
    <row r="1480" spans="1:37" x14ac:dyDescent="0.25">
      <c r="A1480" t="s">
        <v>79</v>
      </c>
      <c r="B1480">
        <v>6</v>
      </c>
      <c r="C1480">
        <v>2</v>
      </c>
      <c r="D1480">
        <v>3</v>
      </c>
      <c r="E1480">
        <v>15</v>
      </c>
      <c r="G1480">
        <v>623</v>
      </c>
      <c r="H1480" t="s">
        <v>2273</v>
      </c>
      <c r="I1480" t="s">
        <v>139</v>
      </c>
      <c r="J1480" t="s">
        <v>2323</v>
      </c>
      <c r="L1480">
        <v>0</v>
      </c>
      <c r="M1480" t="s">
        <v>125</v>
      </c>
      <c r="O1480" t="s">
        <v>125</v>
      </c>
      <c r="P1480" t="s">
        <v>125</v>
      </c>
      <c r="Q1480" t="s">
        <v>125</v>
      </c>
      <c r="R1480" t="s">
        <v>125</v>
      </c>
      <c r="S1480" t="s">
        <v>125</v>
      </c>
      <c r="T1480">
        <v>125</v>
      </c>
      <c r="V1480" t="s">
        <v>125</v>
      </c>
      <c r="AE1480" t="s">
        <v>125</v>
      </c>
      <c r="AF1480">
        <v>0</v>
      </c>
      <c r="AG1480" t="s">
        <v>125</v>
      </c>
      <c r="AH1480">
        <v>0</v>
      </c>
      <c r="AK1480">
        <v>0</v>
      </c>
    </row>
    <row r="1481" spans="1:37" x14ac:dyDescent="0.25">
      <c r="L1481">
        <v>0</v>
      </c>
    </row>
    <row r="1482" spans="1:37" x14ac:dyDescent="0.25">
      <c r="A1482" t="s">
        <v>70</v>
      </c>
      <c r="B1482">
        <v>6</v>
      </c>
      <c r="C1482">
        <v>2</v>
      </c>
      <c r="D1482">
        <v>4</v>
      </c>
      <c r="G1482">
        <v>62</v>
      </c>
      <c r="L1482">
        <v>0</v>
      </c>
      <c r="M1482" t="s">
        <v>125</v>
      </c>
      <c r="P1482" t="s">
        <v>125</v>
      </c>
      <c r="R1482" t="s">
        <v>125</v>
      </c>
      <c r="S1482" t="s">
        <v>63</v>
      </c>
      <c r="V1482" t="s">
        <v>125</v>
      </c>
      <c r="X1482" t="s">
        <v>125</v>
      </c>
      <c r="Y1482" t="s">
        <v>125</v>
      </c>
      <c r="Z1482" t="s">
        <v>125</v>
      </c>
      <c r="AA1482" t="s">
        <v>125</v>
      </c>
      <c r="AB1482" t="s">
        <v>125</v>
      </c>
      <c r="AC1482" t="s">
        <v>125</v>
      </c>
      <c r="AE1482" t="s">
        <v>125</v>
      </c>
      <c r="AF1482">
        <v>0</v>
      </c>
      <c r="AG1482" t="s">
        <v>125</v>
      </c>
      <c r="AH1482">
        <v>0</v>
      </c>
      <c r="AK1482">
        <v>0</v>
      </c>
    </row>
    <row r="1483" spans="1:37" x14ac:dyDescent="0.25">
      <c r="A1483" t="s">
        <v>79</v>
      </c>
      <c r="B1483">
        <v>6</v>
      </c>
      <c r="C1483">
        <v>2</v>
      </c>
      <c r="D1483">
        <v>4</v>
      </c>
      <c r="E1483">
        <v>1</v>
      </c>
      <c r="G1483">
        <v>624</v>
      </c>
      <c r="H1483" t="s">
        <v>63</v>
      </c>
      <c r="I1483" t="s">
        <v>80</v>
      </c>
      <c r="J1483" t="s">
        <v>141</v>
      </c>
      <c r="L1483">
        <v>0</v>
      </c>
      <c r="M1483" t="s">
        <v>125</v>
      </c>
      <c r="O1483" t="s">
        <v>125</v>
      </c>
      <c r="P1483" t="s">
        <v>125</v>
      </c>
      <c r="Q1483" t="s">
        <v>125</v>
      </c>
      <c r="R1483" t="s">
        <v>125</v>
      </c>
      <c r="S1483" t="s">
        <v>125</v>
      </c>
      <c r="T1483">
        <v>0</v>
      </c>
      <c r="V1483" t="s">
        <v>125</v>
      </c>
      <c r="AE1483" t="s">
        <v>125</v>
      </c>
      <c r="AF1483">
        <v>0</v>
      </c>
      <c r="AG1483" t="s">
        <v>125</v>
      </c>
      <c r="AH1483">
        <v>0</v>
      </c>
      <c r="AK1483">
        <v>0</v>
      </c>
    </row>
    <row r="1484" spans="1:37" x14ac:dyDescent="0.25">
      <c r="A1484" t="s">
        <v>79</v>
      </c>
      <c r="B1484">
        <v>6</v>
      </c>
      <c r="C1484">
        <v>2</v>
      </c>
      <c r="D1484">
        <v>4</v>
      </c>
      <c r="E1484">
        <v>2</v>
      </c>
      <c r="G1484">
        <v>624</v>
      </c>
      <c r="H1484" t="s">
        <v>63</v>
      </c>
      <c r="I1484" t="s">
        <v>88</v>
      </c>
      <c r="J1484" t="s">
        <v>142</v>
      </c>
      <c r="L1484">
        <v>0</v>
      </c>
      <c r="M1484" t="s">
        <v>125</v>
      </c>
      <c r="O1484" t="s">
        <v>125</v>
      </c>
      <c r="P1484" t="s">
        <v>125</v>
      </c>
      <c r="Q1484" t="s">
        <v>125</v>
      </c>
      <c r="R1484" t="s">
        <v>125</v>
      </c>
      <c r="S1484" t="s">
        <v>125</v>
      </c>
      <c r="T1484">
        <v>0</v>
      </c>
      <c r="V1484" t="s">
        <v>125</v>
      </c>
      <c r="AE1484" t="s">
        <v>125</v>
      </c>
      <c r="AF1484">
        <v>0</v>
      </c>
      <c r="AG1484" t="s">
        <v>125</v>
      </c>
      <c r="AH1484">
        <v>0</v>
      </c>
      <c r="AK1484">
        <v>0</v>
      </c>
    </row>
    <row r="1485" spans="1:37" x14ac:dyDescent="0.25">
      <c r="A1485" t="s">
        <v>79</v>
      </c>
      <c r="B1485">
        <v>6</v>
      </c>
      <c r="C1485">
        <v>2</v>
      </c>
      <c r="D1485">
        <v>4</v>
      </c>
      <c r="E1485">
        <v>3</v>
      </c>
      <c r="G1485">
        <v>624</v>
      </c>
      <c r="H1485" t="s">
        <v>63</v>
      </c>
      <c r="I1485" t="s">
        <v>95</v>
      </c>
      <c r="J1485" t="s">
        <v>143</v>
      </c>
      <c r="L1485">
        <v>0</v>
      </c>
      <c r="M1485" t="s">
        <v>125</v>
      </c>
      <c r="O1485" t="s">
        <v>125</v>
      </c>
      <c r="P1485" t="s">
        <v>125</v>
      </c>
      <c r="Q1485" t="s">
        <v>125</v>
      </c>
      <c r="R1485" t="s">
        <v>125</v>
      </c>
      <c r="S1485" t="s">
        <v>125</v>
      </c>
      <c r="T1485">
        <v>0</v>
      </c>
      <c r="V1485" t="s">
        <v>125</v>
      </c>
      <c r="AE1485" t="s">
        <v>125</v>
      </c>
      <c r="AF1485">
        <v>0</v>
      </c>
      <c r="AG1485" t="s">
        <v>125</v>
      </c>
      <c r="AH1485">
        <v>0</v>
      </c>
      <c r="AK1485">
        <v>0</v>
      </c>
    </row>
    <row r="1486" spans="1:37" x14ac:dyDescent="0.25">
      <c r="A1486" t="s">
        <v>79</v>
      </c>
      <c r="B1486">
        <v>6</v>
      </c>
      <c r="C1486">
        <v>2</v>
      </c>
      <c r="D1486">
        <v>4</v>
      </c>
      <c r="E1486">
        <v>4</v>
      </c>
      <c r="G1486">
        <v>624</v>
      </c>
      <c r="H1486" t="s">
        <v>63</v>
      </c>
      <c r="I1486" t="s">
        <v>102</v>
      </c>
      <c r="J1486" t="s">
        <v>144</v>
      </c>
      <c r="L1486">
        <v>0</v>
      </c>
      <c r="M1486" t="s">
        <v>125</v>
      </c>
      <c r="O1486" t="s">
        <v>125</v>
      </c>
      <c r="P1486" t="s">
        <v>125</v>
      </c>
      <c r="Q1486" t="s">
        <v>125</v>
      </c>
      <c r="R1486" t="s">
        <v>125</v>
      </c>
      <c r="S1486" t="s">
        <v>125</v>
      </c>
      <c r="T1486">
        <v>0</v>
      </c>
      <c r="V1486" t="s">
        <v>125</v>
      </c>
      <c r="AE1486" t="s">
        <v>125</v>
      </c>
      <c r="AF1486">
        <v>0</v>
      </c>
      <c r="AG1486" t="s">
        <v>125</v>
      </c>
      <c r="AH1486">
        <v>0</v>
      </c>
      <c r="AK1486">
        <v>0</v>
      </c>
    </row>
    <row r="1487" spans="1:37" x14ac:dyDescent="0.25">
      <c r="A1487" t="s">
        <v>79</v>
      </c>
      <c r="B1487">
        <v>6</v>
      </c>
      <c r="C1487">
        <v>2</v>
      </c>
      <c r="D1487">
        <v>4</v>
      </c>
      <c r="E1487">
        <v>5</v>
      </c>
      <c r="G1487">
        <v>624</v>
      </c>
      <c r="H1487" t="s">
        <v>63</v>
      </c>
      <c r="I1487" t="s">
        <v>109</v>
      </c>
      <c r="J1487" t="s">
        <v>145</v>
      </c>
      <c r="L1487">
        <v>0</v>
      </c>
      <c r="M1487" t="s">
        <v>125</v>
      </c>
      <c r="O1487" t="s">
        <v>125</v>
      </c>
      <c r="P1487" t="s">
        <v>125</v>
      </c>
      <c r="Q1487" t="s">
        <v>125</v>
      </c>
      <c r="R1487" t="s">
        <v>125</v>
      </c>
      <c r="S1487" t="s">
        <v>125</v>
      </c>
      <c r="T1487">
        <v>0</v>
      </c>
      <c r="V1487" t="s">
        <v>125</v>
      </c>
      <c r="AE1487" t="s">
        <v>125</v>
      </c>
      <c r="AF1487">
        <v>0</v>
      </c>
      <c r="AG1487" t="s">
        <v>125</v>
      </c>
      <c r="AH1487">
        <v>0</v>
      </c>
      <c r="AK1487">
        <v>0</v>
      </c>
    </row>
    <row r="1488" spans="1:37" x14ac:dyDescent="0.25">
      <c r="A1488" t="s">
        <v>79</v>
      </c>
      <c r="B1488">
        <v>6</v>
      </c>
      <c r="C1488">
        <v>2</v>
      </c>
      <c r="D1488">
        <v>4</v>
      </c>
      <c r="E1488">
        <v>6</v>
      </c>
      <c r="G1488">
        <v>624</v>
      </c>
      <c r="H1488" t="s">
        <v>63</v>
      </c>
      <c r="I1488" t="s">
        <v>116</v>
      </c>
      <c r="J1488" t="s">
        <v>146</v>
      </c>
      <c r="L1488">
        <v>0</v>
      </c>
      <c r="M1488" t="s">
        <v>125</v>
      </c>
      <c r="O1488" t="s">
        <v>125</v>
      </c>
      <c r="P1488" t="s">
        <v>125</v>
      </c>
      <c r="Q1488" t="s">
        <v>125</v>
      </c>
      <c r="R1488" t="s">
        <v>125</v>
      </c>
      <c r="S1488" t="s">
        <v>125</v>
      </c>
      <c r="T1488">
        <v>0</v>
      </c>
      <c r="V1488" t="s">
        <v>125</v>
      </c>
      <c r="AE1488" t="s">
        <v>125</v>
      </c>
      <c r="AF1488">
        <v>0</v>
      </c>
      <c r="AG1488" t="s">
        <v>125</v>
      </c>
      <c r="AH1488">
        <v>0</v>
      </c>
      <c r="AK1488">
        <v>0</v>
      </c>
    </row>
    <row r="1489" spans="1:37" x14ac:dyDescent="0.25">
      <c r="A1489" t="s">
        <v>79</v>
      </c>
      <c r="B1489">
        <v>6</v>
      </c>
      <c r="C1489">
        <v>2</v>
      </c>
      <c r="D1489">
        <v>4</v>
      </c>
      <c r="E1489">
        <v>7</v>
      </c>
      <c r="G1489">
        <v>624</v>
      </c>
      <c r="H1489" t="s">
        <v>63</v>
      </c>
      <c r="I1489" t="s">
        <v>123</v>
      </c>
      <c r="J1489" t="s">
        <v>147</v>
      </c>
      <c r="L1489">
        <v>0</v>
      </c>
      <c r="M1489" t="s">
        <v>125</v>
      </c>
      <c r="O1489" t="s">
        <v>125</v>
      </c>
      <c r="P1489" t="s">
        <v>125</v>
      </c>
      <c r="Q1489" t="s">
        <v>125</v>
      </c>
      <c r="R1489" t="s">
        <v>125</v>
      </c>
      <c r="S1489" t="s">
        <v>125</v>
      </c>
      <c r="T1489">
        <v>0</v>
      </c>
      <c r="V1489" t="s">
        <v>125</v>
      </c>
      <c r="AE1489" t="s">
        <v>125</v>
      </c>
      <c r="AF1489">
        <v>0</v>
      </c>
      <c r="AG1489" t="s">
        <v>125</v>
      </c>
      <c r="AH1489">
        <v>0</v>
      </c>
      <c r="AK1489">
        <v>0</v>
      </c>
    </row>
    <row r="1490" spans="1:37" x14ac:dyDescent="0.25">
      <c r="A1490" t="s">
        <v>79</v>
      </c>
      <c r="B1490">
        <v>6</v>
      </c>
      <c r="C1490">
        <v>2</v>
      </c>
      <c r="D1490">
        <v>4</v>
      </c>
      <c r="E1490">
        <v>8</v>
      </c>
      <c r="G1490">
        <v>624</v>
      </c>
      <c r="H1490" t="s">
        <v>63</v>
      </c>
      <c r="I1490" t="s">
        <v>126</v>
      </c>
      <c r="J1490" t="s">
        <v>148</v>
      </c>
      <c r="L1490">
        <v>0</v>
      </c>
      <c r="M1490" t="s">
        <v>125</v>
      </c>
      <c r="O1490" t="s">
        <v>125</v>
      </c>
      <c r="P1490" t="s">
        <v>125</v>
      </c>
      <c r="Q1490" t="s">
        <v>125</v>
      </c>
      <c r="R1490" t="s">
        <v>125</v>
      </c>
      <c r="S1490" t="s">
        <v>125</v>
      </c>
      <c r="T1490">
        <v>0</v>
      </c>
      <c r="V1490" t="s">
        <v>125</v>
      </c>
      <c r="AE1490" t="s">
        <v>125</v>
      </c>
      <c r="AF1490">
        <v>0</v>
      </c>
      <c r="AG1490" t="s">
        <v>125</v>
      </c>
      <c r="AH1490">
        <v>0</v>
      </c>
      <c r="AK1490">
        <v>0</v>
      </c>
    </row>
    <row r="1491" spans="1:37" x14ac:dyDescent="0.25">
      <c r="A1491" t="s">
        <v>79</v>
      </c>
      <c r="B1491">
        <v>6</v>
      </c>
      <c r="C1491">
        <v>2</v>
      </c>
      <c r="D1491">
        <v>4</v>
      </c>
      <c r="E1491">
        <v>9</v>
      </c>
      <c r="G1491">
        <v>624</v>
      </c>
      <c r="H1491" t="s">
        <v>63</v>
      </c>
      <c r="I1491" t="s">
        <v>74</v>
      </c>
      <c r="J1491" t="s">
        <v>149</v>
      </c>
      <c r="L1491">
        <v>0</v>
      </c>
      <c r="M1491" t="s">
        <v>125</v>
      </c>
      <c r="O1491" t="s">
        <v>125</v>
      </c>
      <c r="P1491" t="s">
        <v>125</v>
      </c>
      <c r="Q1491" t="s">
        <v>125</v>
      </c>
      <c r="R1491" t="s">
        <v>125</v>
      </c>
      <c r="S1491" t="s">
        <v>125</v>
      </c>
      <c r="T1491">
        <v>0</v>
      </c>
      <c r="V1491" t="s">
        <v>125</v>
      </c>
      <c r="AE1491" t="s">
        <v>125</v>
      </c>
      <c r="AF1491">
        <v>0</v>
      </c>
      <c r="AG1491" t="s">
        <v>125</v>
      </c>
      <c r="AH1491">
        <v>0</v>
      </c>
      <c r="AK1491">
        <v>0</v>
      </c>
    </row>
    <row r="1492" spans="1:37" x14ac:dyDescent="0.25">
      <c r="A1492" t="s">
        <v>79</v>
      </c>
      <c r="B1492">
        <v>6</v>
      </c>
      <c r="C1492">
        <v>2</v>
      </c>
      <c r="D1492">
        <v>4</v>
      </c>
      <c r="E1492">
        <v>10</v>
      </c>
      <c r="G1492">
        <v>624</v>
      </c>
      <c r="H1492" t="s">
        <v>63</v>
      </c>
      <c r="I1492" t="s">
        <v>129</v>
      </c>
      <c r="J1492" t="s">
        <v>150</v>
      </c>
      <c r="L1492">
        <v>0</v>
      </c>
      <c r="M1492" t="s">
        <v>125</v>
      </c>
      <c r="O1492" t="s">
        <v>125</v>
      </c>
      <c r="P1492" t="s">
        <v>125</v>
      </c>
      <c r="Q1492" t="s">
        <v>125</v>
      </c>
      <c r="R1492" t="s">
        <v>125</v>
      </c>
      <c r="S1492" t="s">
        <v>125</v>
      </c>
      <c r="T1492">
        <v>0</v>
      </c>
      <c r="V1492" t="s">
        <v>125</v>
      </c>
      <c r="AE1492" t="s">
        <v>125</v>
      </c>
      <c r="AF1492">
        <v>0</v>
      </c>
      <c r="AG1492" t="s">
        <v>125</v>
      </c>
      <c r="AH1492">
        <v>0</v>
      </c>
      <c r="AK1492">
        <v>0</v>
      </c>
    </row>
    <row r="1493" spans="1:37" x14ac:dyDescent="0.25">
      <c r="A1493" t="s">
        <v>79</v>
      </c>
      <c r="B1493">
        <v>6</v>
      </c>
      <c r="C1493">
        <v>2</v>
      </c>
      <c r="D1493">
        <v>4</v>
      </c>
      <c r="E1493">
        <v>11</v>
      </c>
      <c r="G1493">
        <v>624</v>
      </c>
      <c r="H1493" t="s">
        <v>63</v>
      </c>
      <c r="I1493" t="s">
        <v>131</v>
      </c>
      <c r="J1493" t="s">
        <v>151</v>
      </c>
      <c r="L1493">
        <v>0</v>
      </c>
      <c r="M1493" t="s">
        <v>125</v>
      </c>
      <c r="O1493" t="s">
        <v>125</v>
      </c>
      <c r="P1493" t="s">
        <v>125</v>
      </c>
      <c r="Q1493" t="s">
        <v>125</v>
      </c>
      <c r="R1493" t="s">
        <v>125</v>
      </c>
      <c r="S1493" t="s">
        <v>125</v>
      </c>
      <c r="T1493">
        <v>0</v>
      </c>
      <c r="V1493" t="s">
        <v>125</v>
      </c>
      <c r="AE1493" t="s">
        <v>125</v>
      </c>
      <c r="AF1493">
        <v>0</v>
      </c>
      <c r="AG1493" t="s">
        <v>125</v>
      </c>
      <c r="AH1493">
        <v>0</v>
      </c>
      <c r="AK1493">
        <v>0</v>
      </c>
    </row>
    <row r="1494" spans="1:37" x14ac:dyDescent="0.25">
      <c r="A1494" t="s">
        <v>79</v>
      </c>
      <c r="B1494">
        <v>6</v>
      </c>
      <c r="C1494">
        <v>2</v>
      </c>
      <c r="D1494">
        <v>4</v>
      </c>
      <c r="E1494">
        <v>12</v>
      </c>
      <c r="G1494">
        <v>624</v>
      </c>
      <c r="H1494" t="s">
        <v>63</v>
      </c>
      <c r="I1494" t="s">
        <v>133</v>
      </c>
      <c r="J1494" t="s">
        <v>152</v>
      </c>
      <c r="L1494">
        <v>0</v>
      </c>
      <c r="M1494" t="s">
        <v>125</v>
      </c>
      <c r="O1494" t="s">
        <v>125</v>
      </c>
      <c r="P1494" t="s">
        <v>125</v>
      </c>
      <c r="Q1494" t="s">
        <v>125</v>
      </c>
      <c r="R1494" t="s">
        <v>125</v>
      </c>
      <c r="S1494" t="s">
        <v>125</v>
      </c>
      <c r="T1494">
        <v>0</v>
      </c>
      <c r="V1494" t="s">
        <v>125</v>
      </c>
      <c r="AE1494" t="s">
        <v>125</v>
      </c>
      <c r="AF1494">
        <v>0</v>
      </c>
      <c r="AG1494" t="s">
        <v>125</v>
      </c>
      <c r="AH1494">
        <v>0</v>
      </c>
      <c r="AK1494">
        <v>0</v>
      </c>
    </row>
    <row r="1495" spans="1:37" x14ac:dyDescent="0.25">
      <c r="A1495" t="s">
        <v>79</v>
      </c>
      <c r="B1495">
        <v>6</v>
      </c>
      <c r="C1495">
        <v>2</v>
      </c>
      <c r="D1495">
        <v>4</v>
      </c>
      <c r="E1495">
        <v>13</v>
      </c>
      <c r="G1495">
        <v>624</v>
      </c>
      <c r="H1495" t="s">
        <v>63</v>
      </c>
      <c r="I1495" t="s">
        <v>135</v>
      </c>
      <c r="J1495" t="s">
        <v>153</v>
      </c>
      <c r="L1495">
        <v>0</v>
      </c>
      <c r="M1495" t="s">
        <v>125</v>
      </c>
      <c r="O1495" t="s">
        <v>125</v>
      </c>
      <c r="P1495" t="s">
        <v>125</v>
      </c>
      <c r="Q1495" t="s">
        <v>125</v>
      </c>
      <c r="R1495" t="s">
        <v>125</v>
      </c>
      <c r="S1495" t="s">
        <v>125</v>
      </c>
      <c r="T1495">
        <v>0</v>
      </c>
      <c r="V1495" t="s">
        <v>125</v>
      </c>
      <c r="AE1495" t="s">
        <v>125</v>
      </c>
      <c r="AF1495">
        <v>0</v>
      </c>
      <c r="AG1495" t="s">
        <v>125</v>
      </c>
      <c r="AH1495">
        <v>0</v>
      </c>
      <c r="AK1495">
        <v>0</v>
      </c>
    </row>
    <row r="1496" spans="1:37" x14ac:dyDescent="0.25">
      <c r="A1496" t="s">
        <v>79</v>
      </c>
      <c r="B1496">
        <v>6</v>
      </c>
      <c r="C1496">
        <v>2</v>
      </c>
      <c r="D1496">
        <v>4</v>
      </c>
      <c r="E1496">
        <v>14</v>
      </c>
      <c r="G1496">
        <v>624</v>
      </c>
      <c r="H1496" t="s">
        <v>63</v>
      </c>
      <c r="I1496" t="s">
        <v>137</v>
      </c>
      <c r="J1496" t="s">
        <v>154</v>
      </c>
      <c r="L1496">
        <v>0</v>
      </c>
      <c r="M1496" t="s">
        <v>125</v>
      </c>
      <c r="O1496" t="s">
        <v>125</v>
      </c>
      <c r="P1496" t="s">
        <v>125</v>
      </c>
      <c r="Q1496" t="s">
        <v>125</v>
      </c>
      <c r="R1496" t="s">
        <v>125</v>
      </c>
      <c r="S1496" t="s">
        <v>125</v>
      </c>
      <c r="T1496">
        <v>0</v>
      </c>
      <c r="V1496" t="s">
        <v>125</v>
      </c>
      <c r="AE1496" t="s">
        <v>125</v>
      </c>
      <c r="AF1496">
        <v>0</v>
      </c>
      <c r="AG1496" t="s">
        <v>125</v>
      </c>
      <c r="AH1496">
        <v>0</v>
      </c>
      <c r="AK1496">
        <v>0</v>
      </c>
    </row>
    <row r="1497" spans="1:37" x14ac:dyDescent="0.25">
      <c r="A1497" t="s">
        <v>79</v>
      </c>
      <c r="B1497">
        <v>6</v>
      </c>
      <c r="C1497">
        <v>2</v>
      </c>
      <c r="D1497">
        <v>4</v>
      </c>
      <c r="E1497">
        <v>15</v>
      </c>
      <c r="G1497">
        <v>624</v>
      </c>
      <c r="H1497" t="s">
        <v>63</v>
      </c>
      <c r="I1497" t="s">
        <v>139</v>
      </c>
      <c r="J1497" t="s">
        <v>155</v>
      </c>
      <c r="L1497">
        <v>0</v>
      </c>
      <c r="M1497" t="s">
        <v>125</v>
      </c>
      <c r="O1497" t="s">
        <v>125</v>
      </c>
      <c r="P1497" t="s">
        <v>125</v>
      </c>
      <c r="Q1497" t="s">
        <v>125</v>
      </c>
      <c r="R1497" t="s">
        <v>125</v>
      </c>
      <c r="S1497" t="s">
        <v>125</v>
      </c>
      <c r="T1497">
        <v>0</v>
      </c>
      <c r="V1497" t="s">
        <v>125</v>
      </c>
      <c r="AE1497" t="s">
        <v>125</v>
      </c>
      <c r="AF1497">
        <v>0</v>
      </c>
      <c r="AG1497" t="s">
        <v>125</v>
      </c>
      <c r="AH1497">
        <v>0</v>
      </c>
      <c r="AK1497">
        <v>0</v>
      </c>
    </row>
    <row r="1498" spans="1:37" x14ac:dyDescent="0.25">
      <c r="L1498">
        <v>0</v>
      </c>
    </row>
    <row r="1499" spans="1:37" x14ac:dyDescent="0.25">
      <c r="A1499" t="s">
        <v>70</v>
      </c>
      <c r="B1499">
        <v>6</v>
      </c>
      <c r="C1499">
        <v>2</v>
      </c>
      <c r="D1499">
        <v>5</v>
      </c>
      <c r="G1499">
        <v>62</v>
      </c>
      <c r="L1499">
        <v>0</v>
      </c>
      <c r="M1499" t="s">
        <v>125</v>
      </c>
      <c r="P1499" t="s">
        <v>125</v>
      </c>
      <c r="R1499" t="s">
        <v>125</v>
      </c>
      <c r="S1499" t="s">
        <v>63</v>
      </c>
      <c r="V1499" t="s">
        <v>125</v>
      </c>
      <c r="X1499" t="s">
        <v>125</v>
      </c>
      <c r="Y1499" t="s">
        <v>125</v>
      </c>
      <c r="Z1499" t="s">
        <v>125</v>
      </c>
      <c r="AA1499" t="s">
        <v>125</v>
      </c>
      <c r="AB1499" t="s">
        <v>125</v>
      </c>
      <c r="AC1499" t="s">
        <v>125</v>
      </c>
      <c r="AE1499" t="s">
        <v>125</v>
      </c>
      <c r="AF1499">
        <v>0</v>
      </c>
      <c r="AG1499" t="s">
        <v>125</v>
      </c>
      <c r="AH1499">
        <v>0</v>
      </c>
      <c r="AK1499">
        <v>0</v>
      </c>
    </row>
    <row r="1500" spans="1:37" x14ac:dyDescent="0.25">
      <c r="A1500" t="s">
        <v>79</v>
      </c>
      <c r="B1500">
        <v>6</v>
      </c>
      <c r="C1500">
        <v>2</v>
      </c>
      <c r="D1500">
        <v>5</v>
      </c>
      <c r="E1500">
        <v>1</v>
      </c>
      <c r="G1500">
        <v>625</v>
      </c>
      <c r="H1500" t="s">
        <v>63</v>
      </c>
      <c r="I1500" t="s">
        <v>80</v>
      </c>
      <c r="J1500" t="s">
        <v>141</v>
      </c>
      <c r="L1500">
        <v>0</v>
      </c>
      <c r="M1500" t="s">
        <v>125</v>
      </c>
      <c r="O1500" t="s">
        <v>125</v>
      </c>
      <c r="P1500" t="s">
        <v>125</v>
      </c>
      <c r="Q1500" t="s">
        <v>125</v>
      </c>
      <c r="R1500" t="s">
        <v>125</v>
      </c>
      <c r="S1500" t="s">
        <v>125</v>
      </c>
      <c r="T1500">
        <v>0</v>
      </c>
      <c r="V1500" t="s">
        <v>125</v>
      </c>
      <c r="AE1500" t="s">
        <v>125</v>
      </c>
      <c r="AF1500">
        <v>0</v>
      </c>
      <c r="AG1500" t="s">
        <v>125</v>
      </c>
      <c r="AH1500">
        <v>0</v>
      </c>
      <c r="AK1500">
        <v>0</v>
      </c>
    </row>
    <row r="1501" spans="1:37" x14ac:dyDescent="0.25">
      <c r="A1501" t="s">
        <v>79</v>
      </c>
      <c r="B1501">
        <v>6</v>
      </c>
      <c r="C1501">
        <v>2</v>
      </c>
      <c r="D1501">
        <v>5</v>
      </c>
      <c r="E1501">
        <v>2</v>
      </c>
      <c r="G1501">
        <v>625</v>
      </c>
      <c r="H1501" t="s">
        <v>63</v>
      </c>
      <c r="I1501" t="s">
        <v>88</v>
      </c>
      <c r="J1501" t="s">
        <v>142</v>
      </c>
      <c r="L1501">
        <v>0</v>
      </c>
      <c r="M1501" t="s">
        <v>125</v>
      </c>
      <c r="O1501" t="s">
        <v>125</v>
      </c>
      <c r="P1501" t="s">
        <v>125</v>
      </c>
      <c r="Q1501" t="s">
        <v>125</v>
      </c>
      <c r="R1501" t="s">
        <v>125</v>
      </c>
      <c r="S1501" t="s">
        <v>125</v>
      </c>
      <c r="T1501">
        <v>0</v>
      </c>
      <c r="V1501" t="s">
        <v>125</v>
      </c>
      <c r="AE1501" t="s">
        <v>125</v>
      </c>
      <c r="AF1501">
        <v>0</v>
      </c>
      <c r="AG1501" t="s">
        <v>125</v>
      </c>
      <c r="AH1501">
        <v>0</v>
      </c>
      <c r="AK1501">
        <v>0</v>
      </c>
    </row>
    <row r="1502" spans="1:37" x14ac:dyDescent="0.25">
      <c r="A1502" t="s">
        <v>79</v>
      </c>
      <c r="B1502">
        <v>6</v>
      </c>
      <c r="C1502">
        <v>2</v>
      </c>
      <c r="D1502">
        <v>5</v>
      </c>
      <c r="E1502">
        <v>3</v>
      </c>
      <c r="G1502">
        <v>625</v>
      </c>
      <c r="H1502" t="s">
        <v>63</v>
      </c>
      <c r="I1502" t="s">
        <v>95</v>
      </c>
      <c r="J1502" t="s">
        <v>143</v>
      </c>
      <c r="L1502">
        <v>0</v>
      </c>
      <c r="M1502" t="s">
        <v>125</v>
      </c>
      <c r="O1502" t="s">
        <v>125</v>
      </c>
      <c r="P1502" t="s">
        <v>125</v>
      </c>
      <c r="Q1502" t="s">
        <v>125</v>
      </c>
      <c r="R1502" t="s">
        <v>125</v>
      </c>
      <c r="S1502" t="s">
        <v>125</v>
      </c>
      <c r="T1502">
        <v>0</v>
      </c>
      <c r="V1502" t="s">
        <v>125</v>
      </c>
      <c r="AE1502" t="s">
        <v>125</v>
      </c>
      <c r="AF1502">
        <v>0</v>
      </c>
      <c r="AG1502" t="s">
        <v>125</v>
      </c>
      <c r="AH1502">
        <v>0</v>
      </c>
      <c r="AK1502">
        <v>0</v>
      </c>
    </row>
    <row r="1503" spans="1:37" x14ac:dyDescent="0.25">
      <c r="A1503" t="s">
        <v>79</v>
      </c>
      <c r="B1503">
        <v>6</v>
      </c>
      <c r="C1503">
        <v>2</v>
      </c>
      <c r="D1503">
        <v>5</v>
      </c>
      <c r="E1503">
        <v>4</v>
      </c>
      <c r="G1503">
        <v>625</v>
      </c>
      <c r="H1503" t="s">
        <v>63</v>
      </c>
      <c r="I1503" t="s">
        <v>102</v>
      </c>
      <c r="J1503" t="s">
        <v>144</v>
      </c>
      <c r="L1503">
        <v>0</v>
      </c>
      <c r="M1503" t="s">
        <v>125</v>
      </c>
      <c r="O1503" t="s">
        <v>125</v>
      </c>
      <c r="P1503" t="s">
        <v>125</v>
      </c>
      <c r="Q1503" t="s">
        <v>125</v>
      </c>
      <c r="R1503" t="s">
        <v>125</v>
      </c>
      <c r="S1503" t="s">
        <v>125</v>
      </c>
      <c r="T1503">
        <v>0</v>
      </c>
      <c r="V1503" t="s">
        <v>125</v>
      </c>
      <c r="AE1503" t="s">
        <v>125</v>
      </c>
      <c r="AF1503">
        <v>0</v>
      </c>
      <c r="AG1503" t="s">
        <v>125</v>
      </c>
      <c r="AH1503">
        <v>0</v>
      </c>
      <c r="AK1503">
        <v>0</v>
      </c>
    </row>
    <row r="1504" spans="1:37" x14ac:dyDescent="0.25">
      <c r="A1504" t="s">
        <v>79</v>
      </c>
      <c r="B1504">
        <v>6</v>
      </c>
      <c r="C1504">
        <v>2</v>
      </c>
      <c r="D1504">
        <v>5</v>
      </c>
      <c r="E1504">
        <v>5</v>
      </c>
      <c r="G1504">
        <v>625</v>
      </c>
      <c r="H1504" t="s">
        <v>63</v>
      </c>
      <c r="I1504" t="s">
        <v>109</v>
      </c>
      <c r="J1504" t="s">
        <v>145</v>
      </c>
      <c r="L1504">
        <v>0</v>
      </c>
      <c r="M1504" t="s">
        <v>125</v>
      </c>
      <c r="O1504" t="s">
        <v>125</v>
      </c>
      <c r="P1504" t="s">
        <v>125</v>
      </c>
      <c r="Q1504" t="s">
        <v>125</v>
      </c>
      <c r="R1504" t="s">
        <v>125</v>
      </c>
      <c r="S1504" t="s">
        <v>125</v>
      </c>
      <c r="T1504">
        <v>0</v>
      </c>
      <c r="V1504" t="s">
        <v>125</v>
      </c>
      <c r="AE1504" t="s">
        <v>125</v>
      </c>
      <c r="AF1504">
        <v>0</v>
      </c>
      <c r="AG1504" t="s">
        <v>125</v>
      </c>
      <c r="AH1504">
        <v>0</v>
      </c>
      <c r="AK1504">
        <v>0</v>
      </c>
    </row>
    <row r="1505" spans="1:37" x14ac:dyDescent="0.25">
      <c r="A1505" t="s">
        <v>79</v>
      </c>
      <c r="B1505">
        <v>6</v>
      </c>
      <c r="C1505">
        <v>2</v>
      </c>
      <c r="D1505">
        <v>5</v>
      </c>
      <c r="E1505">
        <v>6</v>
      </c>
      <c r="G1505">
        <v>625</v>
      </c>
      <c r="H1505" t="s">
        <v>63</v>
      </c>
      <c r="I1505" t="s">
        <v>116</v>
      </c>
      <c r="J1505" t="s">
        <v>146</v>
      </c>
      <c r="L1505">
        <v>0</v>
      </c>
      <c r="M1505" t="s">
        <v>125</v>
      </c>
      <c r="O1505" t="s">
        <v>125</v>
      </c>
      <c r="P1505" t="s">
        <v>125</v>
      </c>
      <c r="Q1505" t="s">
        <v>125</v>
      </c>
      <c r="R1505" t="s">
        <v>125</v>
      </c>
      <c r="S1505" t="s">
        <v>125</v>
      </c>
      <c r="T1505">
        <v>0</v>
      </c>
      <c r="V1505" t="s">
        <v>125</v>
      </c>
      <c r="AE1505" t="s">
        <v>125</v>
      </c>
      <c r="AF1505">
        <v>0</v>
      </c>
      <c r="AG1505" t="s">
        <v>125</v>
      </c>
      <c r="AH1505">
        <v>0</v>
      </c>
      <c r="AK1505">
        <v>0</v>
      </c>
    </row>
    <row r="1506" spans="1:37" x14ac:dyDescent="0.25">
      <c r="A1506" t="s">
        <v>79</v>
      </c>
      <c r="B1506">
        <v>6</v>
      </c>
      <c r="C1506">
        <v>2</v>
      </c>
      <c r="D1506">
        <v>5</v>
      </c>
      <c r="E1506">
        <v>7</v>
      </c>
      <c r="G1506">
        <v>625</v>
      </c>
      <c r="H1506" t="s">
        <v>63</v>
      </c>
      <c r="I1506" t="s">
        <v>123</v>
      </c>
      <c r="J1506" t="s">
        <v>147</v>
      </c>
      <c r="L1506">
        <v>0</v>
      </c>
      <c r="M1506" t="s">
        <v>125</v>
      </c>
      <c r="O1506" t="s">
        <v>125</v>
      </c>
      <c r="P1506" t="s">
        <v>125</v>
      </c>
      <c r="Q1506" t="s">
        <v>125</v>
      </c>
      <c r="R1506" t="s">
        <v>125</v>
      </c>
      <c r="S1506" t="s">
        <v>125</v>
      </c>
      <c r="T1506">
        <v>0</v>
      </c>
      <c r="V1506" t="s">
        <v>125</v>
      </c>
      <c r="AE1506" t="s">
        <v>125</v>
      </c>
      <c r="AF1506">
        <v>0</v>
      </c>
      <c r="AG1506" t="s">
        <v>125</v>
      </c>
      <c r="AH1506">
        <v>0</v>
      </c>
      <c r="AK1506">
        <v>0</v>
      </c>
    </row>
    <row r="1507" spans="1:37" x14ac:dyDescent="0.25">
      <c r="A1507" t="s">
        <v>79</v>
      </c>
      <c r="B1507">
        <v>6</v>
      </c>
      <c r="C1507">
        <v>2</v>
      </c>
      <c r="D1507">
        <v>5</v>
      </c>
      <c r="E1507">
        <v>8</v>
      </c>
      <c r="G1507">
        <v>625</v>
      </c>
      <c r="H1507" t="s">
        <v>63</v>
      </c>
      <c r="I1507" t="s">
        <v>126</v>
      </c>
      <c r="J1507" t="s">
        <v>148</v>
      </c>
      <c r="L1507">
        <v>0</v>
      </c>
      <c r="M1507" t="s">
        <v>125</v>
      </c>
      <c r="O1507" t="s">
        <v>125</v>
      </c>
      <c r="P1507" t="s">
        <v>125</v>
      </c>
      <c r="Q1507" t="s">
        <v>125</v>
      </c>
      <c r="R1507" t="s">
        <v>125</v>
      </c>
      <c r="S1507" t="s">
        <v>125</v>
      </c>
      <c r="T1507">
        <v>0</v>
      </c>
      <c r="V1507" t="s">
        <v>125</v>
      </c>
      <c r="AE1507" t="s">
        <v>125</v>
      </c>
      <c r="AF1507">
        <v>0</v>
      </c>
      <c r="AG1507" t="s">
        <v>125</v>
      </c>
      <c r="AH1507">
        <v>0</v>
      </c>
      <c r="AK1507">
        <v>0</v>
      </c>
    </row>
    <row r="1508" spans="1:37" x14ac:dyDescent="0.25">
      <c r="A1508" t="s">
        <v>79</v>
      </c>
      <c r="B1508">
        <v>6</v>
      </c>
      <c r="C1508">
        <v>2</v>
      </c>
      <c r="D1508">
        <v>5</v>
      </c>
      <c r="E1508">
        <v>9</v>
      </c>
      <c r="G1508">
        <v>625</v>
      </c>
      <c r="H1508" t="s">
        <v>63</v>
      </c>
      <c r="I1508" t="s">
        <v>74</v>
      </c>
      <c r="J1508" t="s">
        <v>149</v>
      </c>
      <c r="L1508">
        <v>0</v>
      </c>
      <c r="M1508" t="s">
        <v>125</v>
      </c>
      <c r="O1508" t="s">
        <v>125</v>
      </c>
      <c r="P1508" t="s">
        <v>125</v>
      </c>
      <c r="Q1508" t="s">
        <v>125</v>
      </c>
      <c r="R1508" t="s">
        <v>125</v>
      </c>
      <c r="S1508" t="s">
        <v>125</v>
      </c>
      <c r="T1508">
        <v>0</v>
      </c>
      <c r="V1508" t="s">
        <v>125</v>
      </c>
      <c r="AE1508" t="s">
        <v>125</v>
      </c>
      <c r="AF1508">
        <v>0</v>
      </c>
      <c r="AG1508" t="s">
        <v>125</v>
      </c>
      <c r="AH1508">
        <v>0</v>
      </c>
      <c r="AK1508">
        <v>0</v>
      </c>
    </row>
    <row r="1509" spans="1:37" x14ac:dyDescent="0.25">
      <c r="A1509" t="s">
        <v>79</v>
      </c>
      <c r="B1509">
        <v>6</v>
      </c>
      <c r="C1509">
        <v>2</v>
      </c>
      <c r="D1509">
        <v>5</v>
      </c>
      <c r="E1509">
        <v>10</v>
      </c>
      <c r="G1509">
        <v>625</v>
      </c>
      <c r="H1509" t="s">
        <v>63</v>
      </c>
      <c r="I1509" t="s">
        <v>129</v>
      </c>
      <c r="J1509" t="s">
        <v>150</v>
      </c>
      <c r="L1509">
        <v>0</v>
      </c>
      <c r="M1509" t="s">
        <v>125</v>
      </c>
      <c r="O1509" t="s">
        <v>125</v>
      </c>
      <c r="P1509" t="s">
        <v>125</v>
      </c>
      <c r="Q1509" t="s">
        <v>125</v>
      </c>
      <c r="R1509" t="s">
        <v>125</v>
      </c>
      <c r="S1509" t="s">
        <v>125</v>
      </c>
      <c r="T1509">
        <v>0</v>
      </c>
      <c r="V1509" t="s">
        <v>125</v>
      </c>
      <c r="AE1509" t="s">
        <v>125</v>
      </c>
      <c r="AF1509">
        <v>0</v>
      </c>
      <c r="AG1509" t="s">
        <v>125</v>
      </c>
      <c r="AH1509">
        <v>0</v>
      </c>
      <c r="AK1509">
        <v>0</v>
      </c>
    </row>
    <row r="1510" spans="1:37" x14ac:dyDescent="0.25">
      <c r="A1510" t="s">
        <v>79</v>
      </c>
      <c r="B1510">
        <v>6</v>
      </c>
      <c r="C1510">
        <v>2</v>
      </c>
      <c r="D1510">
        <v>5</v>
      </c>
      <c r="E1510">
        <v>11</v>
      </c>
      <c r="G1510">
        <v>625</v>
      </c>
      <c r="H1510" t="s">
        <v>63</v>
      </c>
      <c r="I1510" t="s">
        <v>131</v>
      </c>
      <c r="J1510" t="s">
        <v>151</v>
      </c>
      <c r="L1510">
        <v>0</v>
      </c>
      <c r="M1510" t="s">
        <v>125</v>
      </c>
      <c r="O1510" t="s">
        <v>125</v>
      </c>
      <c r="P1510" t="s">
        <v>125</v>
      </c>
      <c r="Q1510" t="s">
        <v>125</v>
      </c>
      <c r="R1510" t="s">
        <v>125</v>
      </c>
      <c r="S1510" t="s">
        <v>125</v>
      </c>
      <c r="T1510">
        <v>0</v>
      </c>
      <c r="V1510" t="s">
        <v>125</v>
      </c>
      <c r="AE1510" t="s">
        <v>125</v>
      </c>
      <c r="AF1510">
        <v>0</v>
      </c>
      <c r="AG1510" t="s">
        <v>125</v>
      </c>
      <c r="AH1510">
        <v>0</v>
      </c>
      <c r="AK1510">
        <v>0</v>
      </c>
    </row>
    <row r="1511" spans="1:37" x14ac:dyDescent="0.25">
      <c r="A1511" t="s">
        <v>79</v>
      </c>
      <c r="B1511">
        <v>6</v>
      </c>
      <c r="C1511">
        <v>2</v>
      </c>
      <c r="D1511">
        <v>5</v>
      </c>
      <c r="E1511">
        <v>12</v>
      </c>
      <c r="G1511">
        <v>625</v>
      </c>
      <c r="H1511" t="s">
        <v>63</v>
      </c>
      <c r="I1511" t="s">
        <v>133</v>
      </c>
      <c r="J1511" t="s">
        <v>152</v>
      </c>
      <c r="L1511">
        <v>0</v>
      </c>
      <c r="M1511" t="s">
        <v>125</v>
      </c>
      <c r="O1511" t="s">
        <v>125</v>
      </c>
      <c r="P1511" t="s">
        <v>125</v>
      </c>
      <c r="Q1511" t="s">
        <v>125</v>
      </c>
      <c r="R1511" t="s">
        <v>125</v>
      </c>
      <c r="S1511" t="s">
        <v>125</v>
      </c>
      <c r="T1511">
        <v>0</v>
      </c>
      <c r="V1511" t="s">
        <v>125</v>
      </c>
      <c r="AE1511" t="s">
        <v>125</v>
      </c>
      <c r="AF1511">
        <v>0</v>
      </c>
      <c r="AG1511" t="s">
        <v>125</v>
      </c>
      <c r="AH1511">
        <v>0</v>
      </c>
      <c r="AK1511">
        <v>0</v>
      </c>
    </row>
    <row r="1512" spans="1:37" x14ac:dyDescent="0.25">
      <c r="A1512" t="s">
        <v>79</v>
      </c>
      <c r="B1512">
        <v>6</v>
      </c>
      <c r="C1512">
        <v>2</v>
      </c>
      <c r="D1512">
        <v>5</v>
      </c>
      <c r="E1512">
        <v>13</v>
      </c>
      <c r="G1512">
        <v>625</v>
      </c>
      <c r="H1512" t="s">
        <v>63</v>
      </c>
      <c r="I1512" t="s">
        <v>135</v>
      </c>
      <c r="J1512" t="s">
        <v>153</v>
      </c>
      <c r="L1512">
        <v>0</v>
      </c>
      <c r="M1512" t="s">
        <v>125</v>
      </c>
      <c r="O1512" t="s">
        <v>125</v>
      </c>
      <c r="P1512" t="s">
        <v>125</v>
      </c>
      <c r="Q1512" t="s">
        <v>125</v>
      </c>
      <c r="R1512" t="s">
        <v>125</v>
      </c>
      <c r="S1512" t="s">
        <v>125</v>
      </c>
      <c r="T1512">
        <v>0</v>
      </c>
      <c r="V1512" t="s">
        <v>125</v>
      </c>
      <c r="AE1512" t="s">
        <v>125</v>
      </c>
      <c r="AF1512">
        <v>0</v>
      </c>
      <c r="AG1512" t="s">
        <v>125</v>
      </c>
      <c r="AH1512">
        <v>0</v>
      </c>
      <c r="AK1512">
        <v>0</v>
      </c>
    </row>
    <row r="1513" spans="1:37" x14ac:dyDescent="0.25">
      <c r="A1513" t="s">
        <v>79</v>
      </c>
      <c r="B1513">
        <v>6</v>
      </c>
      <c r="C1513">
        <v>2</v>
      </c>
      <c r="D1513">
        <v>5</v>
      </c>
      <c r="E1513">
        <v>14</v>
      </c>
      <c r="G1513">
        <v>625</v>
      </c>
      <c r="H1513" t="s">
        <v>63</v>
      </c>
      <c r="I1513" t="s">
        <v>137</v>
      </c>
      <c r="J1513" t="s">
        <v>154</v>
      </c>
      <c r="L1513">
        <v>0</v>
      </c>
      <c r="M1513" t="s">
        <v>125</v>
      </c>
      <c r="O1513" t="s">
        <v>125</v>
      </c>
      <c r="P1513" t="s">
        <v>125</v>
      </c>
      <c r="Q1513" t="s">
        <v>125</v>
      </c>
      <c r="R1513" t="s">
        <v>125</v>
      </c>
      <c r="S1513" t="s">
        <v>125</v>
      </c>
      <c r="T1513">
        <v>0</v>
      </c>
      <c r="V1513" t="s">
        <v>125</v>
      </c>
      <c r="AE1513" t="s">
        <v>125</v>
      </c>
      <c r="AF1513">
        <v>0</v>
      </c>
      <c r="AG1513" t="s">
        <v>125</v>
      </c>
      <c r="AH1513">
        <v>0</v>
      </c>
      <c r="AK1513">
        <v>0</v>
      </c>
    </row>
    <row r="1514" spans="1:37" x14ac:dyDescent="0.25">
      <c r="A1514" t="s">
        <v>79</v>
      </c>
      <c r="B1514">
        <v>6</v>
      </c>
      <c r="C1514">
        <v>2</v>
      </c>
      <c r="D1514">
        <v>5</v>
      </c>
      <c r="E1514">
        <v>15</v>
      </c>
      <c r="G1514">
        <v>625</v>
      </c>
      <c r="H1514" t="s">
        <v>63</v>
      </c>
      <c r="I1514" t="s">
        <v>139</v>
      </c>
      <c r="J1514" t="s">
        <v>155</v>
      </c>
      <c r="L1514">
        <v>0</v>
      </c>
      <c r="M1514" t="s">
        <v>125</v>
      </c>
      <c r="O1514" t="s">
        <v>125</v>
      </c>
      <c r="P1514" t="s">
        <v>125</v>
      </c>
      <c r="Q1514" t="s">
        <v>125</v>
      </c>
      <c r="R1514" t="s">
        <v>125</v>
      </c>
      <c r="S1514" t="s">
        <v>125</v>
      </c>
      <c r="T1514">
        <v>0</v>
      </c>
      <c r="V1514" t="s">
        <v>125</v>
      </c>
      <c r="AE1514" t="s">
        <v>125</v>
      </c>
      <c r="AF1514">
        <v>0</v>
      </c>
      <c r="AG1514" t="s">
        <v>125</v>
      </c>
      <c r="AH1514">
        <v>0</v>
      </c>
      <c r="AK1514">
        <v>0</v>
      </c>
    </row>
    <row r="1515" spans="1:37" x14ac:dyDescent="0.25">
      <c r="L1515">
        <v>0</v>
      </c>
    </row>
    <row r="1516" spans="1:37" x14ac:dyDescent="0.25">
      <c r="L1516">
        <v>0</v>
      </c>
    </row>
    <row r="1517" spans="1:37" x14ac:dyDescent="0.25">
      <c r="A1517" t="s">
        <v>66</v>
      </c>
      <c r="B1517">
        <v>6</v>
      </c>
      <c r="C1517">
        <v>3</v>
      </c>
      <c r="G1517">
        <v>6</v>
      </c>
      <c r="H1517" t="s">
        <v>1985</v>
      </c>
      <c r="I1517" t="s">
        <v>2324</v>
      </c>
      <c r="M1517" t="s">
        <v>2325</v>
      </c>
      <c r="N1517" t="s">
        <v>2324</v>
      </c>
      <c r="P1517" t="s">
        <v>2326</v>
      </c>
      <c r="V1517" t="s">
        <v>2327</v>
      </c>
      <c r="Y1517" t="s">
        <v>2328</v>
      </c>
      <c r="AA1517" t="s">
        <v>2329</v>
      </c>
      <c r="AC1517" t="s">
        <v>2330</v>
      </c>
      <c r="AE1517" t="s">
        <v>2331</v>
      </c>
      <c r="AF1517">
        <v>0</v>
      </c>
      <c r="AG1517" t="s">
        <v>2332</v>
      </c>
      <c r="AH1517">
        <v>0</v>
      </c>
      <c r="AK1517">
        <v>0</v>
      </c>
    </row>
    <row r="1518" spans="1:37" x14ac:dyDescent="0.25">
      <c r="L1518">
        <v>0</v>
      </c>
    </row>
    <row r="1519" spans="1:37" x14ac:dyDescent="0.25">
      <c r="A1519" t="s">
        <v>70</v>
      </c>
      <c r="B1519">
        <v>6</v>
      </c>
      <c r="C1519">
        <v>3</v>
      </c>
      <c r="D1519">
        <v>1</v>
      </c>
      <c r="G1519">
        <v>63</v>
      </c>
      <c r="M1519" t="s">
        <v>2333</v>
      </c>
      <c r="O1519" t="s">
        <v>2334</v>
      </c>
      <c r="P1519" t="s">
        <v>2335</v>
      </c>
      <c r="Q1519" t="s">
        <v>2336</v>
      </c>
      <c r="R1519" t="s">
        <v>179</v>
      </c>
      <c r="S1519" t="s">
        <v>2337</v>
      </c>
      <c r="V1519" t="s">
        <v>2338</v>
      </c>
      <c r="X1519" t="s">
        <v>2339</v>
      </c>
      <c r="Y1519" t="s">
        <v>2340</v>
      </c>
      <c r="Z1519" t="s">
        <v>2341</v>
      </c>
      <c r="AA1519" t="s">
        <v>2342</v>
      </c>
      <c r="AB1519" t="s">
        <v>2343</v>
      </c>
      <c r="AC1519" t="s">
        <v>2344</v>
      </c>
      <c r="AE1519" t="s">
        <v>2345</v>
      </c>
      <c r="AF1519">
        <v>0</v>
      </c>
      <c r="AG1519" t="s">
        <v>2346</v>
      </c>
      <c r="AH1519">
        <v>0</v>
      </c>
      <c r="AK1519">
        <v>0</v>
      </c>
    </row>
    <row r="1520" spans="1:37" x14ac:dyDescent="0.25">
      <c r="A1520" t="s">
        <v>79</v>
      </c>
      <c r="B1520">
        <v>6</v>
      </c>
      <c r="C1520">
        <v>3</v>
      </c>
      <c r="D1520">
        <v>1</v>
      </c>
      <c r="E1520">
        <v>1</v>
      </c>
      <c r="G1520">
        <v>631</v>
      </c>
      <c r="H1520" t="s">
        <v>2334</v>
      </c>
      <c r="I1520" t="s">
        <v>80</v>
      </c>
      <c r="J1520" t="s">
        <v>2347</v>
      </c>
      <c r="L1520">
        <v>0</v>
      </c>
      <c r="M1520" t="s">
        <v>2348</v>
      </c>
      <c r="O1520" t="s">
        <v>1218</v>
      </c>
      <c r="P1520" t="s">
        <v>1219</v>
      </c>
      <c r="Q1520" t="s">
        <v>1889</v>
      </c>
      <c r="R1520" t="s">
        <v>1221</v>
      </c>
      <c r="S1520" t="s">
        <v>1222</v>
      </c>
      <c r="T1520">
        <v>2100</v>
      </c>
      <c r="U1520">
        <v>21</v>
      </c>
      <c r="V1520" t="s">
        <v>1890</v>
      </c>
      <c r="AE1520" t="s">
        <v>455</v>
      </c>
      <c r="AF1520">
        <v>0</v>
      </c>
      <c r="AG1520" t="s">
        <v>2349</v>
      </c>
      <c r="AH1520">
        <v>0</v>
      </c>
      <c r="AK1520">
        <v>0</v>
      </c>
    </row>
    <row r="1521" spans="1:37" x14ac:dyDescent="0.25">
      <c r="A1521" t="s">
        <v>79</v>
      </c>
      <c r="B1521">
        <v>6</v>
      </c>
      <c r="C1521">
        <v>3</v>
      </c>
      <c r="D1521">
        <v>1</v>
      </c>
      <c r="E1521">
        <v>2</v>
      </c>
      <c r="G1521">
        <v>631</v>
      </c>
      <c r="H1521" t="s">
        <v>2334</v>
      </c>
      <c r="I1521" t="s">
        <v>88</v>
      </c>
      <c r="J1521" t="s">
        <v>2350</v>
      </c>
      <c r="L1521">
        <v>0</v>
      </c>
      <c r="M1521" t="s">
        <v>2351</v>
      </c>
      <c r="O1521" t="s">
        <v>2202</v>
      </c>
      <c r="P1521" t="s">
        <v>2203</v>
      </c>
      <c r="Q1521" t="s">
        <v>2352</v>
      </c>
      <c r="R1521" t="s">
        <v>1246</v>
      </c>
      <c r="S1521" t="s">
        <v>2205</v>
      </c>
      <c r="T1521">
        <v>2100</v>
      </c>
      <c r="U1521">
        <v>834</v>
      </c>
      <c r="V1521" t="s">
        <v>2353</v>
      </c>
      <c r="AE1521" t="s">
        <v>2354</v>
      </c>
      <c r="AF1521">
        <v>0</v>
      </c>
      <c r="AG1521" t="s">
        <v>2355</v>
      </c>
      <c r="AH1521">
        <v>0</v>
      </c>
      <c r="AK1521">
        <v>0</v>
      </c>
    </row>
    <row r="1522" spans="1:37" x14ac:dyDescent="0.25">
      <c r="A1522" t="s">
        <v>79</v>
      </c>
      <c r="B1522">
        <v>6</v>
      </c>
      <c r="C1522">
        <v>3</v>
      </c>
      <c r="D1522">
        <v>1</v>
      </c>
      <c r="E1522">
        <v>3</v>
      </c>
      <c r="G1522">
        <v>631</v>
      </c>
      <c r="H1522" t="s">
        <v>2334</v>
      </c>
      <c r="I1522" t="s">
        <v>95</v>
      </c>
      <c r="J1522" t="s">
        <v>2356</v>
      </c>
      <c r="L1522">
        <v>0</v>
      </c>
      <c r="M1522" t="s">
        <v>2357</v>
      </c>
      <c r="O1522" t="s">
        <v>2358</v>
      </c>
      <c r="P1522" t="s">
        <v>2359</v>
      </c>
      <c r="Q1522" t="s">
        <v>2360</v>
      </c>
      <c r="R1522" t="s">
        <v>192</v>
      </c>
      <c r="S1522" t="s">
        <v>2361</v>
      </c>
      <c r="T1522">
        <v>2100</v>
      </c>
      <c r="U1522">
        <v>200</v>
      </c>
      <c r="V1522" t="s">
        <v>2362</v>
      </c>
      <c r="AE1522" t="s">
        <v>2363</v>
      </c>
      <c r="AF1522">
        <v>0</v>
      </c>
      <c r="AG1522" t="s">
        <v>2364</v>
      </c>
      <c r="AH1522">
        <v>0</v>
      </c>
      <c r="AK1522">
        <v>0</v>
      </c>
    </row>
    <row r="1523" spans="1:37" x14ac:dyDescent="0.25">
      <c r="A1523" t="s">
        <v>79</v>
      </c>
      <c r="B1523">
        <v>6</v>
      </c>
      <c r="C1523">
        <v>3</v>
      </c>
      <c r="D1523">
        <v>1</v>
      </c>
      <c r="E1523">
        <v>4</v>
      </c>
      <c r="G1523">
        <v>631</v>
      </c>
      <c r="H1523" t="s">
        <v>2334</v>
      </c>
      <c r="I1523" t="s">
        <v>102</v>
      </c>
      <c r="J1523" t="s">
        <v>2365</v>
      </c>
      <c r="L1523">
        <v>0</v>
      </c>
      <c r="M1523" t="s">
        <v>2366</v>
      </c>
      <c r="O1523" t="s">
        <v>226</v>
      </c>
      <c r="P1523" t="s">
        <v>227</v>
      </c>
      <c r="Q1523" t="s">
        <v>2367</v>
      </c>
      <c r="R1523" t="s">
        <v>229</v>
      </c>
      <c r="S1523" t="s">
        <v>230</v>
      </c>
      <c r="T1523">
        <v>2100</v>
      </c>
      <c r="U1523">
        <v>244</v>
      </c>
      <c r="V1523" t="s">
        <v>2368</v>
      </c>
      <c r="AE1523" t="s">
        <v>2369</v>
      </c>
      <c r="AF1523">
        <v>0</v>
      </c>
      <c r="AG1523" t="s">
        <v>2370</v>
      </c>
      <c r="AH1523">
        <v>0</v>
      </c>
      <c r="AK1523">
        <v>0</v>
      </c>
    </row>
    <row r="1524" spans="1:37" x14ac:dyDescent="0.25">
      <c r="A1524" t="s">
        <v>79</v>
      </c>
      <c r="B1524">
        <v>6</v>
      </c>
      <c r="C1524">
        <v>3</v>
      </c>
      <c r="D1524">
        <v>1</v>
      </c>
      <c r="E1524">
        <v>5</v>
      </c>
      <c r="G1524">
        <v>631</v>
      </c>
      <c r="H1524" t="s">
        <v>2334</v>
      </c>
      <c r="I1524" t="s">
        <v>109</v>
      </c>
      <c r="J1524" t="s">
        <v>2371</v>
      </c>
      <c r="L1524">
        <v>0</v>
      </c>
      <c r="M1524" t="s">
        <v>2372</v>
      </c>
      <c r="O1524" t="s">
        <v>236</v>
      </c>
      <c r="P1524" t="s">
        <v>237</v>
      </c>
      <c r="Q1524" t="s">
        <v>2373</v>
      </c>
      <c r="R1524" t="s">
        <v>229</v>
      </c>
      <c r="S1524" t="s">
        <v>239</v>
      </c>
      <c r="T1524">
        <v>2100</v>
      </c>
      <c r="U1524">
        <v>1334</v>
      </c>
      <c r="V1524" t="s">
        <v>2374</v>
      </c>
      <c r="AE1524" t="s">
        <v>2375</v>
      </c>
      <c r="AF1524">
        <v>0</v>
      </c>
      <c r="AG1524" t="s">
        <v>2376</v>
      </c>
      <c r="AH1524">
        <v>0</v>
      </c>
      <c r="AK1524">
        <v>0</v>
      </c>
    </row>
    <row r="1525" spans="1:37" x14ac:dyDescent="0.25">
      <c r="A1525" t="s">
        <v>79</v>
      </c>
      <c r="B1525">
        <v>6</v>
      </c>
      <c r="C1525">
        <v>3</v>
      </c>
      <c r="D1525">
        <v>1</v>
      </c>
      <c r="E1525">
        <v>6</v>
      </c>
      <c r="G1525">
        <v>631</v>
      </c>
      <c r="H1525" t="s">
        <v>2334</v>
      </c>
      <c r="I1525" t="s">
        <v>116</v>
      </c>
      <c r="J1525" t="s">
        <v>2377</v>
      </c>
      <c r="L1525">
        <v>0</v>
      </c>
      <c r="M1525" t="s">
        <v>2378</v>
      </c>
      <c r="O1525" t="s">
        <v>2379</v>
      </c>
      <c r="P1525" t="s">
        <v>2380</v>
      </c>
      <c r="Q1525" t="s">
        <v>2381</v>
      </c>
      <c r="R1525" t="s">
        <v>179</v>
      </c>
      <c r="S1525" t="s">
        <v>2382</v>
      </c>
      <c r="T1525">
        <v>2100</v>
      </c>
      <c r="U1525">
        <v>716</v>
      </c>
      <c r="V1525" t="s">
        <v>2383</v>
      </c>
      <c r="AE1525" t="s">
        <v>2384</v>
      </c>
      <c r="AF1525">
        <v>0</v>
      </c>
      <c r="AG1525" t="s">
        <v>2385</v>
      </c>
      <c r="AH1525">
        <v>0</v>
      </c>
      <c r="AK1525">
        <v>0</v>
      </c>
    </row>
    <row r="1526" spans="1:37" x14ac:dyDescent="0.25">
      <c r="A1526" t="s">
        <v>79</v>
      </c>
      <c r="B1526">
        <v>6</v>
      </c>
      <c r="C1526">
        <v>3</v>
      </c>
      <c r="D1526">
        <v>1</v>
      </c>
      <c r="E1526">
        <v>7</v>
      </c>
      <c r="G1526">
        <v>631</v>
      </c>
      <c r="H1526" t="s">
        <v>2334</v>
      </c>
      <c r="I1526" t="s">
        <v>123</v>
      </c>
      <c r="J1526" t="s">
        <v>2386</v>
      </c>
      <c r="L1526">
        <v>0</v>
      </c>
      <c r="M1526" t="s">
        <v>125</v>
      </c>
      <c r="O1526" t="s">
        <v>125</v>
      </c>
      <c r="P1526" t="s">
        <v>125</v>
      </c>
      <c r="Q1526" t="s">
        <v>125</v>
      </c>
      <c r="R1526" t="s">
        <v>125</v>
      </c>
      <c r="S1526" t="s">
        <v>125</v>
      </c>
      <c r="T1526">
        <v>2100</v>
      </c>
      <c r="V1526" t="s">
        <v>125</v>
      </c>
      <c r="AE1526" t="s">
        <v>125</v>
      </c>
      <c r="AF1526">
        <v>0</v>
      </c>
      <c r="AG1526" t="s">
        <v>125</v>
      </c>
      <c r="AH1526">
        <v>0</v>
      </c>
      <c r="AK1526">
        <v>0</v>
      </c>
    </row>
    <row r="1527" spans="1:37" x14ac:dyDescent="0.25">
      <c r="A1527" t="s">
        <v>79</v>
      </c>
      <c r="B1527">
        <v>6</v>
      </c>
      <c r="C1527">
        <v>3</v>
      </c>
      <c r="D1527">
        <v>1</v>
      </c>
      <c r="E1527">
        <v>8</v>
      </c>
      <c r="G1527">
        <v>631</v>
      </c>
      <c r="H1527" t="s">
        <v>2334</v>
      </c>
      <c r="I1527" t="s">
        <v>126</v>
      </c>
      <c r="J1527" t="s">
        <v>2387</v>
      </c>
      <c r="L1527">
        <v>0</v>
      </c>
      <c r="M1527" t="s">
        <v>125</v>
      </c>
      <c r="O1527" t="s">
        <v>125</v>
      </c>
      <c r="P1527" t="s">
        <v>125</v>
      </c>
      <c r="Q1527" t="s">
        <v>125</v>
      </c>
      <c r="R1527" t="s">
        <v>125</v>
      </c>
      <c r="S1527" t="s">
        <v>125</v>
      </c>
      <c r="T1527">
        <v>2100</v>
      </c>
      <c r="V1527" t="s">
        <v>125</v>
      </c>
      <c r="AE1527" t="s">
        <v>125</v>
      </c>
      <c r="AF1527">
        <v>0</v>
      </c>
      <c r="AG1527" t="s">
        <v>125</v>
      </c>
      <c r="AH1527">
        <v>0</v>
      </c>
      <c r="AK1527">
        <v>0</v>
      </c>
    </row>
    <row r="1528" spans="1:37" x14ac:dyDescent="0.25">
      <c r="A1528" t="s">
        <v>79</v>
      </c>
      <c r="B1528">
        <v>6</v>
      </c>
      <c r="C1528">
        <v>3</v>
      </c>
      <c r="D1528">
        <v>1</v>
      </c>
      <c r="E1528">
        <v>9</v>
      </c>
      <c r="G1528">
        <v>631</v>
      </c>
      <c r="H1528" t="s">
        <v>2334</v>
      </c>
      <c r="I1528" t="s">
        <v>74</v>
      </c>
      <c r="J1528" t="s">
        <v>2388</v>
      </c>
      <c r="L1528">
        <v>0</v>
      </c>
      <c r="M1528" t="s">
        <v>125</v>
      </c>
      <c r="O1528" t="s">
        <v>125</v>
      </c>
      <c r="P1528" t="s">
        <v>125</v>
      </c>
      <c r="Q1528" t="s">
        <v>125</v>
      </c>
      <c r="R1528" t="s">
        <v>125</v>
      </c>
      <c r="S1528" t="s">
        <v>125</v>
      </c>
      <c r="T1528">
        <v>2100</v>
      </c>
      <c r="V1528" t="s">
        <v>125</v>
      </c>
      <c r="AE1528" t="s">
        <v>125</v>
      </c>
      <c r="AF1528">
        <v>0</v>
      </c>
      <c r="AG1528" t="s">
        <v>125</v>
      </c>
      <c r="AH1528">
        <v>0</v>
      </c>
      <c r="AK1528">
        <v>0</v>
      </c>
    </row>
    <row r="1529" spans="1:37" x14ac:dyDescent="0.25">
      <c r="A1529" t="s">
        <v>79</v>
      </c>
      <c r="B1529">
        <v>6</v>
      </c>
      <c r="C1529">
        <v>3</v>
      </c>
      <c r="D1529">
        <v>1</v>
      </c>
      <c r="E1529">
        <v>10</v>
      </c>
      <c r="G1529">
        <v>631</v>
      </c>
      <c r="H1529" t="s">
        <v>2334</v>
      </c>
      <c r="I1529" t="s">
        <v>129</v>
      </c>
      <c r="J1529" t="s">
        <v>2389</v>
      </c>
      <c r="L1529">
        <v>0</v>
      </c>
      <c r="M1529" t="s">
        <v>125</v>
      </c>
      <c r="O1529" t="s">
        <v>125</v>
      </c>
      <c r="P1529" t="s">
        <v>125</v>
      </c>
      <c r="Q1529" t="s">
        <v>125</v>
      </c>
      <c r="R1529" t="s">
        <v>125</v>
      </c>
      <c r="S1529" t="s">
        <v>125</v>
      </c>
      <c r="T1529">
        <v>2100</v>
      </c>
      <c r="V1529" t="s">
        <v>125</v>
      </c>
      <c r="AE1529" t="s">
        <v>125</v>
      </c>
      <c r="AF1529">
        <v>0</v>
      </c>
      <c r="AG1529" t="s">
        <v>125</v>
      </c>
      <c r="AH1529">
        <v>0</v>
      </c>
      <c r="AK1529">
        <v>0</v>
      </c>
    </row>
    <row r="1530" spans="1:37" x14ac:dyDescent="0.25">
      <c r="A1530" t="s">
        <v>79</v>
      </c>
      <c r="B1530">
        <v>6</v>
      </c>
      <c r="C1530">
        <v>3</v>
      </c>
      <c r="D1530">
        <v>1</v>
      </c>
      <c r="E1530">
        <v>11</v>
      </c>
      <c r="G1530">
        <v>631</v>
      </c>
      <c r="H1530" t="s">
        <v>2334</v>
      </c>
      <c r="I1530" t="s">
        <v>131</v>
      </c>
      <c r="J1530" t="s">
        <v>2390</v>
      </c>
      <c r="L1530">
        <v>0</v>
      </c>
      <c r="M1530" t="s">
        <v>125</v>
      </c>
      <c r="O1530" t="s">
        <v>125</v>
      </c>
      <c r="P1530" t="s">
        <v>125</v>
      </c>
      <c r="Q1530" t="s">
        <v>125</v>
      </c>
      <c r="R1530" t="s">
        <v>125</v>
      </c>
      <c r="S1530" t="s">
        <v>125</v>
      </c>
      <c r="T1530">
        <v>2100</v>
      </c>
      <c r="V1530" t="s">
        <v>125</v>
      </c>
      <c r="AE1530" t="s">
        <v>125</v>
      </c>
      <c r="AF1530">
        <v>0</v>
      </c>
      <c r="AG1530" t="s">
        <v>125</v>
      </c>
      <c r="AH1530">
        <v>0</v>
      </c>
      <c r="AK1530">
        <v>0</v>
      </c>
    </row>
    <row r="1531" spans="1:37" x14ac:dyDescent="0.25">
      <c r="A1531" t="s">
        <v>79</v>
      </c>
      <c r="B1531">
        <v>6</v>
      </c>
      <c r="C1531">
        <v>3</v>
      </c>
      <c r="D1531">
        <v>1</v>
      </c>
      <c r="E1531">
        <v>12</v>
      </c>
      <c r="G1531">
        <v>631</v>
      </c>
      <c r="H1531" t="s">
        <v>2334</v>
      </c>
      <c r="I1531" t="s">
        <v>133</v>
      </c>
      <c r="J1531" t="s">
        <v>2391</v>
      </c>
      <c r="L1531">
        <v>0</v>
      </c>
      <c r="M1531" t="s">
        <v>125</v>
      </c>
      <c r="O1531" t="s">
        <v>125</v>
      </c>
      <c r="P1531" t="s">
        <v>125</v>
      </c>
      <c r="Q1531" t="s">
        <v>125</v>
      </c>
      <c r="R1531" t="s">
        <v>125</v>
      </c>
      <c r="S1531" t="s">
        <v>125</v>
      </c>
      <c r="T1531">
        <v>2100</v>
      </c>
      <c r="V1531" t="s">
        <v>125</v>
      </c>
      <c r="AE1531" t="s">
        <v>125</v>
      </c>
      <c r="AF1531">
        <v>0</v>
      </c>
      <c r="AG1531" t="s">
        <v>125</v>
      </c>
      <c r="AH1531">
        <v>0</v>
      </c>
      <c r="AK1531">
        <v>0</v>
      </c>
    </row>
    <row r="1532" spans="1:37" x14ac:dyDescent="0.25">
      <c r="A1532" t="s">
        <v>79</v>
      </c>
      <c r="B1532">
        <v>6</v>
      </c>
      <c r="C1532">
        <v>3</v>
      </c>
      <c r="D1532">
        <v>1</v>
      </c>
      <c r="E1532">
        <v>13</v>
      </c>
      <c r="G1532">
        <v>631</v>
      </c>
      <c r="H1532" t="s">
        <v>2334</v>
      </c>
      <c r="I1532" t="s">
        <v>135</v>
      </c>
      <c r="J1532" t="s">
        <v>2392</v>
      </c>
      <c r="L1532">
        <v>0</v>
      </c>
      <c r="M1532" t="s">
        <v>125</v>
      </c>
      <c r="O1532" t="s">
        <v>125</v>
      </c>
      <c r="P1532" t="s">
        <v>125</v>
      </c>
      <c r="Q1532" t="s">
        <v>125</v>
      </c>
      <c r="R1532" t="s">
        <v>125</v>
      </c>
      <c r="S1532" t="s">
        <v>125</v>
      </c>
      <c r="T1532">
        <v>2100</v>
      </c>
      <c r="V1532" t="s">
        <v>125</v>
      </c>
      <c r="AE1532" t="s">
        <v>125</v>
      </c>
      <c r="AF1532">
        <v>0</v>
      </c>
      <c r="AG1532" t="s">
        <v>125</v>
      </c>
      <c r="AH1532">
        <v>0</v>
      </c>
      <c r="AK1532">
        <v>0</v>
      </c>
    </row>
    <row r="1533" spans="1:37" x14ac:dyDescent="0.25">
      <c r="A1533" t="s">
        <v>79</v>
      </c>
      <c r="B1533">
        <v>6</v>
      </c>
      <c r="C1533">
        <v>3</v>
      </c>
      <c r="D1533">
        <v>1</v>
      </c>
      <c r="E1533">
        <v>14</v>
      </c>
      <c r="G1533">
        <v>631</v>
      </c>
      <c r="H1533" t="s">
        <v>2334</v>
      </c>
      <c r="I1533" t="s">
        <v>137</v>
      </c>
      <c r="J1533" t="s">
        <v>2393</v>
      </c>
      <c r="L1533">
        <v>0</v>
      </c>
      <c r="M1533" t="s">
        <v>125</v>
      </c>
      <c r="O1533" t="s">
        <v>125</v>
      </c>
      <c r="P1533" t="s">
        <v>125</v>
      </c>
      <c r="Q1533" t="s">
        <v>125</v>
      </c>
      <c r="R1533" t="s">
        <v>125</v>
      </c>
      <c r="S1533" t="s">
        <v>125</v>
      </c>
      <c r="T1533">
        <v>2100</v>
      </c>
      <c r="V1533" t="s">
        <v>125</v>
      </c>
      <c r="AE1533" t="s">
        <v>125</v>
      </c>
      <c r="AF1533">
        <v>0</v>
      </c>
      <c r="AG1533" t="s">
        <v>125</v>
      </c>
      <c r="AH1533">
        <v>0</v>
      </c>
      <c r="AK1533">
        <v>0</v>
      </c>
    </row>
    <row r="1534" spans="1:37" x14ac:dyDescent="0.25">
      <c r="A1534" t="s">
        <v>79</v>
      </c>
      <c r="B1534">
        <v>6</v>
      </c>
      <c r="C1534">
        <v>3</v>
      </c>
      <c r="D1534">
        <v>1</v>
      </c>
      <c r="E1534">
        <v>15</v>
      </c>
      <c r="G1534">
        <v>631</v>
      </c>
      <c r="H1534" t="s">
        <v>2334</v>
      </c>
      <c r="I1534" t="s">
        <v>139</v>
      </c>
      <c r="J1534" t="s">
        <v>2394</v>
      </c>
      <c r="L1534">
        <v>0</v>
      </c>
      <c r="M1534" t="s">
        <v>125</v>
      </c>
      <c r="O1534" t="s">
        <v>125</v>
      </c>
      <c r="P1534" t="s">
        <v>125</v>
      </c>
      <c r="Q1534" t="s">
        <v>125</v>
      </c>
      <c r="R1534" t="s">
        <v>125</v>
      </c>
      <c r="S1534" t="s">
        <v>125</v>
      </c>
      <c r="T1534">
        <v>2100</v>
      </c>
      <c r="V1534" t="s">
        <v>125</v>
      </c>
      <c r="AE1534" t="s">
        <v>125</v>
      </c>
      <c r="AF1534">
        <v>0</v>
      </c>
      <c r="AG1534" t="s">
        <v>125</v>
      </c>
      <c r="AH1534">
        <v>0</v>
      </c>
      <c r="AK1534">
        <v>0</v>
      </c>
    </row>
    <row r="1535" spans="1:37" x14ac:dyDescent="0.25">
      <c r="L1535">
        <v>0</v>
      </c>
    </row>
    <row r="1536" spans="1:37" x14ac:dyDescent="0.25">
      <c r="A1536" t="s">
        <v>70</v>
      </c>
      <c r="B1536">
        <v>6</v>
      </c>
      <c r="C1536">
        <v>3</v>
      </c>
      <c r="D1536">
        <v>2</v>
      </c>
      <c r="G1536">
        <v>63</v>
      </c>
      <c r="M1536" t="s">
        <v>2395</v>
      </c>
      <c r="O1536" t="s">
        <v>2396</v>
      </c>
      <c r="P1536" t="s">
        <v>2397</v>
      </c>
      <c r="Q1536" t="s">
        <v>2398</v>
      </c>
      <c r="R1536" t="s">
        <v>210</v>
      </c>
      <c r="S1536" t="s">
        <v>2399</v>
      </c>
      <c r="V1536" t="s">
        <v>2400</v>
      </c>
      <c r="X1536" t="s">
        <v>2401</v>
      </c>
      <c r="Y1536" t="s">
        <v>2402</v>
      </c>
      <c r="Z1536" t="s">
        <v>2403</v>
      </c>
      <c r="AA1536" t="s">
        <v>2404</v>
      </c>
      <c r="AB1536" t="s">
        <v>63</v>
      </c>
      <c r="AC1536" t="s">
        <v>63</v>
      </c>
      <c r="AE1536" t="s">
        <v>2405</v>
      </c>
      <c r="AF1536">
        <v>0</v>
      </c>
      <c r="AG1536" t="s">
        <v>2406</v>
      </c>
      <c r="AH1536">
        <v>0</v>
      </c>
      <c r="AK1536">
        <v>0</v>
      </c>
    </row>
    <row r="1537" spans="1:37" x14ac:dyDescent="0.25">
      <c r="A1537" t="s">
        <v>79</v>
      </c>
      <c r="B1537">
        <v>6</v>
      </c>
      <c r="C1537">
        <v>3</v>
      </c>
      <c r="D1537">
        <v>2</v>
      </c>
      <c r="E1537">
        <v>1</v>
      </c>
      <c r="G1537">
        <v>632</v>
      </c>
      <c r="H1537" t="s">
        <v>2396</v>
      </c>
      <c r="I1537" t="s">
        <v>80</v>
      </c>
      <c r="J1537" t="s">
        <v>2407</v>
      </c>
      <c r="L1537">
        <v>0</v>
      </c>
      <c r="M1537" t="s">
        <v>2408</v>
      </c>
      <c r="O1537" t="s">
        <v>1151</v>
      </c>
      <c r="P1537" t="s">
        <v>1152</v>
      </c>
      <c r="Q1537" t="s">
        <v>2409</v>
      </c>
      <c r="R1537" t="s">
        <v>382</v>
      </c>
      <c r="S1537" t="s">
        <v>1154</v>
      </c>
      <c r="T1537">
        <v>25200</v>
      </c>
      <c r="U1537">
        <v>18346</v>
      </c>
      <c r="V1537" t="s">
        <v>1155</v>
      </c>
      <c r="AE1537" t="s">
        <v>2410</v>
      </c>
      <c r="AF1537">
        <v>0</v>
      </c>
      <c r="AG1537" t="s">
        <v>2411</v>
      </c>
      <c r="AH1537">
        <v>0</v>
      </c>
      <c r="AK1537">
        <v>0</v>
      </c>
    </row>
    <row r="1538" spans="1:37" x14ac:dyDescent="0.25">
      <c r="A1538" t="s">
        <v>79</v>
      </c>
      <c r="B1538">
        <v>6</v>
      </c>
      <c r="C1538">
        <v>3</v>
      </c>
      <c r="D1538">
        <v>2</v>
      </c>
      <c r="E1538">
        <v>2</v>
      </c>
      <c r="G1538">
        <v>632</v>
      </c>
      <c r="H1538" t="s">
        <v>2396</v>
      </c>
      <c r="I1538" t="s">
        <v>88</v>
      </c>
      <c r="J1538" t="s">
        <v>2412</v>
      </c>
      <c r="L1538">
        <v>0</v>
      </c>
      <c r="M1538" t="s">
        <v>2413</v>
      </c>
      <c r="O1538" t="s">
        <v>1160</v>
      </c>
      <c r="P1538" t="s">
        <v>1161</v>
      </c>
      <c r="Q1538" t="s">
        <v>1162</v>
      </c>
      <c r="R1538" t="s">
        <v>210</v>
      </c>
      <c r="S1538" t="s">
        <v>1163</v>
      </c>
      <c r="T1538">
        <v>25200</v>
      </c>
      <c r="U1538">
        <v>630</v>
      </c>
      <c r="V1538" t="s">
        <v>212</v>
      </c>
      <c r="AE1538" t="s">
        <v>1164</v>
      </c>
      <c r="AF1538">
        <v>0</v>
      </c>
      <c r="AG1538" t="s">
        <v>2414</v>
      </c>
      <c r="AH1538">
        <v>0</v>
      </c>
      <c r="AK1538">
        <v>0</v>
      </c>
    </row>
    <row r="1539" spans="1:37" x14ac:dyDescent="0.25">
      <c r="A1539" t="s">
        <v>79</v>
      </c>
      <c r="B1539">
        <v>6</v>
      </c>
      <c r="C1539">
        <v>3</v>
      </c>
      <c r="D1539">
        <v>2</v>
      </c>
      <c r="E1539">
        <v>3</v>
      </c>
      <c r="G1539">
        <v>632</v>
      </c>
      <c r="H1539" t="s">
        <v>2396</v>
      </c>
      <c r="I1539" t="s">
        <v>95</v>
      </c>
      <c r="J1539" t="s">
        <v>2415</v>
      </c>
      <c r="L1539">
        <v>0</v>
      </c>
      <c r="M1539" t="s">
        <v>2416</v>
      </c>
      <c r="O1539" t="s">
        <v>1729</v>
      </c>
      <c r="P1539" t="s">
        <v>1730</v>
      </c>
      <c r="Q1539" t="s">
        <v>2417</v>
      </c>
      <c r="R1539" t="s">
        <v>229</v>
      </c>
      <c r="S1539" t="s">
        <v>1732</v>
      </c>
      <c r="T1539">
        <v>25200</v>
      </c>
      <c r="U1539">
        <v>166</v>
      </c>
      <c r="V1539" t="s">
        <v>2418</v>
      </c>
      <c r="AE1539" t="s">
        <v>2419</v>
      </c>
      <c r="AF1539">
        <v>0</v>
      </c>
      <c r="AG1539" t="s">
        <v>2420</v>
      </c>
      <c r="AH1539">
        <v>0</v>
      </c>
      <c r="AK1539">
        <v>0</v>
      </c>
    </row>
    <row r="1540" spans="1:37" x14ac:dyDescent="0.25">
      <c r="A1540" t="s">
        <v>79</v>
      </c>
      <c r="B1540">
        <v>6</v>
      </c>
      <c r="C1540">
        <v>3</v>
      </c>
      <c r="D1540">
        <v>2</v>
      </c>
      <c r="E1540">
        <v>4</v>
      </c>
      <c r="G1540">
        <v>632</v>
      </c>
      <c r="H1540" t="s">
        <v>2396</v>
      </c>
      <c r="I1540" t="s">
        <v>102</v>
      </c>
      <c r="J1540" t="s">
        <v>2421</v>
      </c>
      <c r="L1540">
        <v>0</v>
      </c>
      <c r="M1540" t="s">
        <v>2422</v>
      </c>
      <c r="O1540" t="s">
        <v>1168</v>
      </c>
      <c r="P1540" t="s">
        <v>1169</v>
      </c>
      <c r="Q1540" t="s">
        <v>2423</v>
      </c>
      <c r="R1540" t="s">
        <v>229</v>
      </c>
      <c r="S1540" t="s">
        <v>1171</v>
      </c>
      <c r="T1540">
        <v>25200</v>
      </c>
      <c r="U1540">
        <v>1016</v>
      </c>
      <c r="V1540" t="s">
        <v>2424</v>
      </c>
      <c r="AE1540" t="s">
        <v>2425</v>
      </c>
      <c r="AF1540">
        <v>0</v>
      </c>
      <c r="AG1540" t="s">
        <v>2426</v>
      </c>
      <c r="AH1540">
        <v>0</v>
      </c>
      <c r="AK1540">
        <v>0</v>
      </c>
    </row>
    <row r="1541" spans="1:37" x14ac:dyDescent="0.25">
      <c r="A1541" t="s">
        <v>79</v>
      </c>
      <c r="B1541">
        <v>6</v>
      </c>
      <c r="C1541">
        <v>3</v>
      </c>
      <c r="D1541">
        <v>2</v>
      </c>
      <c r="E1541">
        <v>5</v>
      </c>
      <c r="G1541">
        <v>632</v>
      </c>
      <c r="H1541" t="s">
        <v>2396</v>
      </c>
      <c r="I1541" t="s">
        <v>109</v>
      </c>
      <c r="J1541" t="s">
        <v>2427</v>
      </c>
      <c r="L1541">
        <v>0</v>
      </c>
      <c r="M1541" t="s">
        <v>2428</v>
      </c>
      <c r="O1541" t="s">
        <v>1177</v>
      </c>
      <c r="P1541" t="s">
        <v>1178</v>
      </c>
      <c r="Q1541" t="s">
        <v>57</v>
      </c>
      <c r="R1541" t="s">
        <v>210</v>
      </c>
      <c r="S1541" t="s">
        <v>1179</v>
      </c>
      <c r="T1541">
        <v>25200</v>
      </c>
      <c r="U1541">
        <v>25200</v>
      </c>
      <c r="V1541" t="s">
        <v>1179</v>
      </c>
      <c r="AE1541" t="s">
        <v>1180</v>
      </c>
      <c r="AF1541">
        <v>0</v>
      </c>
      <c r="AG1541" t="s">
        <v>2429</v>
      </c>
      <c r="AH1541">
        <v>0</v>
      </c>
      <c r="AK1541">
        <v>0</v>
      </c>
    </row>
    <row r="1542" spans="1:37" x14ac:dyDescent="0.25">
      <c r="A1542" t="s">
        <v>79</v>
      </c>
      <c r="B1542">
        <v>6</v>
      </c>
      <c r="C1542">
        <v>3</v>
      </c>
      <c r="D1542">
        <v>2</v>
      </c>
      <c r="E1542">
        <v>6</v>
      </c>
      <c r="G1542">
        <v>632</v>
      </c>
      <c r="H1542" t="s">
        <v>2396</v>
      </c>
      <c r="I1542" t="s">
        <v>116</v>
      </c>
      <c r="J1542" t="s">
        <v>2430</v>
      </c>
      <c r="L1542">
        <v>0</v>
      </c>
      <c r="M1542" t="s">
        <v>125</v>
      </c>
      <c r="O1542" t="s">
        <v>125</v>
      </c>
      <c r="P1542" t="s">
        <v>125</v>
      </c>
      <c r="Q1542" t="s">
        <v>125</v>
      </c>
      <c r="R1542" t="s">
        <v>125</v>
      </c>
      <c r="S1542" t="s">
        <v>125</v>
      </c>
      <c r="T1542">
        <v>25200</v>
      </c>
      <c r="V1542" t="s">
        <v>125</v>
      </c>
      <c r="AE1542" t="s">
        <v>125</v>
      </c>
      <c r="AF1542">
        <v>0</v>
      </c>
      <c r="AG1542" t="s">
        <v>125</v>
      </c>
      <c r="AH1542">
        <v>0</v>
      </c>
      <c r="AK1542">
        <v>0</v>
      </c>
    </row>
    <row r="1543" spans="1:37" x14ac:dyDescent="0.25">
      <c r="A1543" t="s">
        <v>79</v>
      </c>
      <c r="B1543">
        <v>6</v>
      </c>
      <c r="C1543">
        <v>3</v>
      </c>
      <c r="D1543">
        <v>2</v>
      </c>
      <c r="E1543">
        <v>7</v>
      </c>
      <c r="G1543">
        <v>632</v>
      </c>
      <c r="H1543" t="s">
        <v>2396</v>
      </c>
      <c r="I1543" t="s">
        <v>123</v>
      </c>
      <c r="J1543" t="s">
        <v>2431</v>
      </c>
      <c r="L1543">
        <v>0</v>
      </c>
      <c r="M1543" t="s">
        <v>125</v>
      </c>
      <c r="O1543" t="s">
        <v>125</v>
      </c>
      <c r="P1543" t="s">
        <v>125</v>
      </c>
      <c r="Q1543" t="s">
        <v>125</v>
      </c>
      <c r="R1543" t="s">
        <v>125</v>
      </c>
      <c r="S1543" t="s">
        <v>125</v>
      </c>
      <c r="T1543">
        <v>25200</v>
      </c>
      <c r="V1543" t="s">
        <v>125</v>
      </c>
      <c r="AE1543" t="s">
        <v>125</v>
      </c>
      <c r="AF1543">
        <v>0</v>
      </c>
      <c r="AG1543" t="s">
        <v>125</v>
      </c>
      <c r="AH1543">
        <v>0</v>
      </c>
      <c r="AK1543">
        <v>0</v>
      </c>
    </row>
    <row r="1544" spans="1:37" x14ac:dyDescent="0.25">
      <c r="A1544" t="s">
        <v>79</v>
      </c>
      <c r="B1544">
        <v>6</v>
      </c>
      <c r="C1544">
        <v>3</v>
      </c>
      <c r="D1544">
        <v>2</v>
      </c>
      <c r="E1544">
        <v>8</v>
      </c>
      <c r="G1544">
        <v>632</v>
      </c>
      <c r="H1544" t="s">
        <v>2396</v>
      </c>
      <c r="I1544" t="s">
        <v>126</v>
      </c>
      <c r="J1544" t="s">
        <v>2432</v>
      </c>
      <c r="L1544">
        <v>0</v>
      </c>
      <c r="M1544" t="s">
        <v>125</v>
      </c>
      <c r="O1544" t="s">
        <v>125</v>
      </c>
      <c r="P1544" t="s">
        <v>125</v>
      </c>
      <c r="Q1544" t="s">
        <v>125</v>
      </c>
      <c r="R1544" t="s">
        <v>125</v>
      </c>
      <c r="S1544" t="s">
        <v>125</v>
      </c>
      <c r="T1544">
        <v>25200</v>
      </c>
      <c r="V1544" t="s">
        <v>125</v>
      </c>
      <c r="AE1544" t="s">
        <v>125</v>
      </c>
      <c r="AF1544">
        <v>0</v>
      </c>
      <c r="AG1544" t="s">
        <v>125</v>
      </c>
      <c r="AH1544">
        <v>0</v>
      </c>
      <c r="AK1544">
        <v>0</v>
      </c>
    </row>
    <row r="1545" spans="1:37" x14ac:dyDescent="0.25">
      <c r="A1545" t="s">
        <v>79</v>
      </c>
      <c r="B1545">
        <v>6</v>
      </c>
      <c r="C1545">
        <v>3</v>
      </c>
      <c r="D1545">
        <v>2</v>
      </c>
      <c r="E1545">
        <v>9</v>
      </c>
      <c r="G1545">
        <v>632</v>
      </c>
      <c r="H1545" t="s">
        <v>2396</v>
      </c>
      <c r="I1545" t="s">
        <v>74</v>
      </c>
      <c r="J1545" t="s">
        <v>2433</v>
      </c>
      <c r="L1545">
        <v>0</v>
      </c>
      <c r="M1545" t="s">
        <v>125</v>
      </c>
      <c r="O1545" t="s">
        <v>125</v>
      </c>
      <c r="P1545" t="s">
        <v>125</v>
      </c>
      <c r="Q1545" t="s">
        <v>125</v>
      </c>
      <c r="R1545" t="s">
        <v>125</v>
      </c>
      <c r="S1545" t="s">
        <v>125</v>
      </c>
      <c r="T1545">
        <v>25200</v>
      </c>
      <c r="V1545" t="s">
        <v>125</v>
      </c>
      <c r="AE1545" t="s">
        <v>125</v>
      </c>
      <c r="AF1545">
        <v>0</v>
      </c>
      <c r="AG1545" t="s">
        <v>125</v>
      </c>
      <c r="AH1545">
        <v>0</v>
      </c>
      <c r="AK1545">
        <v>0</v>
      </c>
    </row>
    <row r="1546" spans="1:37" x14ac:dyDescent="0.25">
      <c r="A1546" t="s">
        <v>79</v>
      </c>
      <c r="B1546">
        <v>6</v>
      </c>
      <c r="C1546">
        <v>3</v>
      </c>
      <c r="D1546">
        <v>2</v>
      </c>
      <c r="E1546">
        <v>10</v>
      </c>
      <c r="G1546">
        <v>632</v>
      </c>
      <c r="H1546" t="s">
        <v>2396</v>
      </c>
      <c r="I1546" t="s">
        <v>129</v>
      </c>
      <c r="J1546" t="s">
        <v>2434</v>
      </c>
      <c r="L1546">
        <v>0</v>
      </c>
      <c r="M1546" t="s">
        <v>125</v>
      </c>
      <c r="O1546" t="s">
        <v>125</v>
      </c>
      <c r="P1546" t="s">
        <v>125</v>
      </c>
      <c r="Q1546" t="s">
        <v>125</v>
      </c>
      <c r="R1546" t="s">
        <v>125</v>
      </c>
      <c r="S1546" t="s">
        <v>125</v>
      </c>
      <c r="T1546">
        <v>25200</v>
      </c>
      <c r="V1546" t="s">
        <v>125</v>
      </c>
      <c r="AE1546" t="s">
        <v>125</v>
      </c>
      <c r="AF1546">
        <v>0</v>
      </c>
      <c r="AG1546" t="s">
        <v>125</v>
      </c>
      <c r="AH1546">
        <v>0</v>
      </c>
      <c r="AK1546">
        <v>0</v>
      </c>
    </row>
    <row r="1547" spans="1:37" x14ac:dyDescent="0.25">
      <c r="A1547" t="s">
        <v>79</v>
      </c>
      <c r="B1547">
        <v>6</v>
      </c>
      <c r="C1547">
        <v>3</v>
      </c>
      <c r="D1547">
        <v>2</v>
      </c>
      <c r="E1547">
        <v>11</v>
      </c>
      <c r="G1547">
        <v>632</v>
      </c>
      <c r="H1547" t="s">
        <v>2396</v>
      </c>
      <c r="I1547" t="s">
        <v>131</v>
      </c>
      <c r="J1547" t="s">
        <v>2435</v>
      </c>
      <c r="L1547">
        <v>0</v>
      </c>
      <c r="M1547" t="s">
        <v>125</v>
      </c>
      <c r="O1547" t="s">
        <v>125</v>
      </c>
      <c r="P1547" t="s">
        <v>125</v>
      </c>
      <c r="Q1547" t="s">
        <v>125</v>
      </c>
      <c r="R1547" t="s">
        <v>125</v>
      </c>
      <c r="S1547" t="s">
        <v>125</v>
      </c>
      <c r="T1547">
        <v>25200</v>
      </c>
      <c r="V1547" t="s">
        <v>125</v>
      </c>
      <c r="AE1547" t="s">
        <v>125</v>
      </c>
      <c r="AF1547">
        <v>0</v>
      </c>
      <c r="AG1547" t="s">
        <v>125</v>
      </c>
      <c r="AH1547">
        <v>0</v>
      </c>
      <c r="AK1547">
        <v>0</v>
      </c>
    </row>
    <row r="1548" spans="1:37" x14ac:dyDescent="0.25">
      <c r="A1548" t="s">
        <v>79</v>
      </c>
      <c r="B1548">
        <v>6</v>
      </c>
      <c r="C1548">
        <v>3</v>
      </c>
      <c r="D1548">
        <v>2</v>
      </c>
      <c r="E1548">
        <v>12</v>
      </c>
      <c r="G1548">
        <v>632</v>
      </c>
      <c r="H1548" t="s">
        <v>2396</v>
      </c>
      <c r="I1548" t="s">
        <v>133</v>
      </c>
      <c r="J1548" t="s">
        <v>2436</v>
      </c>
      <c r="L1548">
        <v>0</v>
      </c>
      <c r="M1548" t="s">
        <v>125</v>
      </c>
      <c r="O1548" t="s">
        <v>125</v>
      </c>
      <c r="P1548" t="s">
        <v>125</v>
      </c>
      <c r="Q1548" t="s">
        <v>125</v>
      </c>
      <c r="R1548" t="s">
        <v>125</v>
      </c>
      <c r="S1548" t="s">
        <v>125</v>
      </c>
      <c r="T1548">
        <v>25200</v>
      </c>
      <c r="V1548" t="s">
        <v>125</v>
      </c>
      <c r="AE1548" t="s">
        <v>125</v>
      </c>
      <c r="AF1548">
        <v>0</v>
      </c>
      <c r="AG1548" t="s">
        <v>125</v>
      </c>
      <c r="AH1548">
        <v>0</v>
      </c>
      <c r="AK1548">
        <v>0</v>
      </c>
    </row>
    <row r="1549" spans="1:37" x14ac:dyDescent="0.25">
      <c r="A1549" t="s">
        <v>79</v>
      </c>
      <c r="B1549">
        <v>6</v>
      </c>
      <c r="C1549">
        <v>3</v>
      </c>
      <c r="D1549">
        <v>2</v>
      </c>
      <c r="E1549">
        <v>13</v>
      </c>
      <c r="G1549">
        <v>632</v>
      </c>
      <c r="H1549" t="s">
        <v>2396</v>
      </c>
      <c r="I1549" t="s">
        <v>135</v>
      </c>
      <c r="J1549" t="s">
        <v>2437</v>
      </c>
      <c r="L1549">
        <v>0</v>
      </c>
      <c r="M1549" t="s">
        <v>125</v>
      </c>
      <c r="O1549" t="s">
        <v>125</v>
      </c>
      <c r="P1549" t="s">
        <v>125</v>
      </c>
      <c r="Q1549" t="s">
        <v>125</v>
      </c>
      <c r="R1549" t="s">
        <v>125</v>
      </c>
      <c r="S1549" t="s">
        <v>125</v>
      </c>
      <c r="T1549">
        <v>25200</v>
      </c>
      <c r="V1549" t="s">
        <v>125</v>
      </c>
      <c r="AE1549" t="s">
        <v>125</v>
      </c>
      <c r="AF1549">
        <v>0</v>
      </c>
      <c r="AG1549" t="s">
        <v>125</v>
      </c>
      <c r="AH1549">
        <v>0</v>
      </c>
      <c r="AK1549">
        <v>0</v>
      </c>
    </row>
    <row r="1550" spans="1:37" x14ac:dyDescent="0.25">
      <c r="A1550" t="s">
        <v>79</v>
      </c>
      <c r="B1550">
        <v>6</v>
      </c>
      <c r="C1550">
        <v>3</v>
      </c>
      <c r="D1550">
        <v>2</v>
      </c>
      <c r="E1550">
        <v>14</v>
      </c>
      <c r="G1550">
        <v>632</v>
      </c>
      <c r="H1550" t="s">
        <v>2396</v>
      </c>
      <c r="I1550" t="s">
        <v>137</v>
      </c>
      <c r="J1550" t="s">
        <v>2438</v>
      </c>
      <c r="L1550">
        <v>0</v>
      </c>
      <c r="M1550" t="s">
        <v>125</v>
      </c>
      <c r="O1550" t="s">
        <v>125</v>
      </c>
      <c r="P1550" t="s">
        <v>125</v>
      </c>
      <c r="Q1550" t="s">
        <v>125</v>
      </c>
      <c r="R1550" t="s">
        <v>125</v>
      </c>
      <c r="S1550" t="s">
        <v>125</v>
      </c>
      <c r="T1550">
        <v>25200</v>
      </c>
      <c r="V1550" t="s">
        <v>125</v>
      </c>
      <c r="AE1550" t="s">
        <v>125</v>
      </c>
      <c r="AF1550">
        <v>0</v>
      </c>
      <c r="AG1550" t="s">
        <v>125</v>
      </c>
      <c r="AH1550">
        <v>0</v>
      </c>
      <c r="AK1550">
        <v>0</v>
      </c>
    </row>
    <row r="1551" spans="1:37" x14ac:dyDescent="0.25">
      <c r="A1551" t="s">
        <v>79</v>
      </c>
      <c r="B1551">
        <v>6</v>
      </c>
      <c r="C1551">
        <v>3</v>
      </c>
      <c r="D1551">
        <v>2</v>
      </c>
      <c r="E1551">
        <v>15</v>
      </c>
      <c r="G1551">
        <v>632</v>
      </c>
      <c r="H1551" t="s">
        <v>2396</v>
      </c>
      <c r="I1551" t="s">
        <v>139</v>
      </c>
      <c r="J1551" t="s">
        <v>2439</v>
      </c>
      <c r="L1551">
        <v>0</v>
      </c>
      <c r="M1551" t="s">
        <v>125</v>
      </c>
      <c r="O1551" t="s">
        <v>125</v>
      </c>
      <c r="P1551" t="s">
        <v>125</v>
      </c>
      <c r="Q1551" t="s">
        <v>125</v>
      </c>
      <c r="R1551" t="s">
        <v>125</v>
      </c>
      <c r="S1551" t="s">
        <v>125</v>
      </c>
      <c r="T1551">
        <v>25200</v>
      </c>
      <c r="V1551" t="s">
        <v>125</v>
      </c>
      <c r="AE1551" t="s">
        <v>125</v>
      </c>
      <c r="AF1551">
        <v>0</v>
      </c>
      <c r="AG1551" t="s">
        <v>125</v>
      </c>
      <c r="AH1551">
        <v>0</v>
      </c>
      <c r="AK1551">
        <v>0</v>
      </c>
    </row>
    <row r="1552" spans="1:37" x14ac:dyDescent="0.25">
      <c r="L1552">
        <v>0</v>
      </c>
    </row>
    <row r="1553" spans="1:37" x14ac:dyDescent="0.25">
      <c r="A1553" t="s">
        <v>70</v>
      </c>
      <c r="B1553">
        <v>6</v>
      </c>
      <c r="C1553">
        <v>3</v>
      </c>
      <c r="D1553">
        <v>3</v>
      </c>
      <c r="G1553">
        <v>63</v>
      </c>
      <c r="M1553" t="s">
        <v>2440</v>
      </c>
      <c r="O1553" t="s">
        <v>2273</v>
      </c>
      <c r="P1553" t="s">
        <v>2274</v>
      </c>
      <c r="Q1553" t="s">
        <v>2441</v>
      </c>
      <c r="R1553" t="s">
        <v>268</v>
      </c>
      <c r="S1553" t="s">
        <v>2276</v>
      </c>
      <c r="V1553" t="s">
        <v>2442</v>
      </c>
      <c r="X1553" t="s">
        <v>2278</v>
      </c>
      <c r="Y1553" t="s">
        <v>2443</v>
      </c>
      <c r="Z1553" t="s">
        <v>2280</v>
      </c>
      <c r="AA1553" t="s">
        <v>2444</v>
      </c>
      <c r="AB1553" t="s">
        <v>250</v>
      </c>
      <c r="AC1553" t="s">
        <v>2445</v>
      </c>
      <c r="AE1553" t="s">
        <v>2446</v>
      </c>
      <c r="AF1553">
        <v>0</v>
      </c>
      <c r="AG1553" t="s">
        <v>2447</v>
      </c>
      <c r="AH1553">
        <v>0</v>
      </c>
      <c r="AK1553">
        <v>0</v>
      </c>
    </row>
    <row r="1554" spans="1:37" x14ac:dyDescent="0.25">
      <c r="A1554" t="s">
        <v>79</v>
      </c>
      <c r="B1554">
        <v>6</v>
      </c>
      <c r="C1554">
        <v>3</v>
      </c>
      <c r="D1554">
        <v>3</v>
      </c>
      <c r="E1554">
        <v>1</v>
      </c>
      <c r="G1554">
        <v>633</v>
      </c>
      <c r="H1554" t="s">
        <v>2273</v>
      </c>
      <c r="I1554" t="s">
        <v>80</v>
      </c>
      <c r="J1554" t="s">
        <v>2285</v>
      </c>
      <c r="L1554">
        <v>0</v>
      </c>
      <c r="M1554" t="s">
        <v>2448</v>
      </c>
      <c r="O1554" t="s">
        <v>2127</v>
      </c>
      <c r="P1554" t="s">
        <v>2128</v>
      </c>
      <c r="Q1554" t="s">
        <v>1312</v>
      </c>
      <c r="R1554" t="s">
        <v>268</v>
      </c>
      <c r="S1554" t="s">
        <v>2129</v>
      </c>
      <c r="T1554">
        <v>315</v>
      </c>
      <c r="U1554">
        <v>347</v>
      </c>
      <c r="V1554" t="s">
        <v>2130</v>
      </c>
      <c r="AE1554" t="s">
        <v>2131</v>
      </c>
      <c r="AF1554">
        <v>0</v>
      </c>
      <c r="AG1554" t="s">
        <v>2449</v>
      </c>
      <c r="AH1554">
        <v>0</v>
      </c>
      <c r="AK1554">
        <v>0</v>
      </c>
    </row>
    <row r="1555" spans="1:37" x14ac:dyDescent="0.25">
      <c r="A1555" t="s">
        <v>79</v>
      </c>
      <c r="B1555">
        <v>6</v>
      </c>
      <c r="C1555">
        <v>3</v>
      </c>
      <c r="D1555">
        <v>3</v>
      </c>
      <c r="E1555">
        <v>2</v>
      </c>
      <c r="G1555">
        <v>633</v>
      </c>
      <c r="H1555" t="s">
        <v>2273</v>
      </c>
      <c r="I1555" t="s">
        <v>88</v>
      </c>
      <c r="J1555" t="s">
        <v>2288</v>
      </c>
      <c r="L1555">
        <v>0</v>
      </c>
      <c r="M1555" t="s">
        <v>2450</v>
      </c>
      <c r="O1555" t="s">
        <v>236</v>
      </c>
      <c r="P1555" t="s">
        <v>237</v>
      </c>
      <c r="Q1555" t="s">
        <v>2290</v>
      </c>
      <c r="R1555" t="s">
        <v>229</v>
      </c>
      <c r="S1555" t="s">
        <v>239</v>
      </c>
      <c r="T1555">
        <v>315</v>
      </c>
      <c r="U1555">
        <v>39</v>
      </c>
      <c r="V1555" t="s">
        <v>2291</v>
      </c>
      <c r="AE1555" t="s">
        <v>2292</v>
      </c>
      <c r="AF1555">
        <v>0</v>
      </c>
      <c r="AG1555" t="s">
        <v>2451</v>
      </c>
      <c r="AH1555">
        <v>0</v>
      </c>
      <c r="AK1555">
        <v>0</v>
      </c>
    </row>
    <row r="1556" spans="1:37" x14ac:dyDescent="0.25">
      <c r="A1556" t="s">
        <v>79</v>
      </c>
      <c r="B1556">
        <v>6</v>
      </c>
      <c r="C1556">
        <v>3</v>
      </c>
      <c r="D1556">
        <v>3</v>
      </c>
      <c r="E1556">
        <v>3</v>
      </c>
      <c r="G1556">
        <v>633</v>
      </c>
      <c r="H1556" t="s">
        <v>2273</v>
      </c>
      <c r="I1556" t="s">
        <v>95</v>
      </c>
      <c r="J1556" t="s">
        <v>2294</v>
      </c>
      <c r="L1556">
        <v>0</v>
      </c>
      <c r="M1556" t="s">
        <v>2452</v>
      </c>
      <c r="O1556" t="s">
        <v>1319</v>
      </c>
      <c r="P1556" t="s">
        <v>1320</v>
      </c>
      <c r="Q1556" t="s">
        <v>2296</v>
      </c>
      <c r="R1556" t="s">
        <v>229</v>
      </c>
      <c r="S1556" t="s">
        <v>1322</v>
      </c>
      <c r="T1556">
        <v>315</v>
      </c>
      <c r="U1556">
        <v>237</v>
      </c>
      <c r="V1556" t="s">
        <v>2297</v>
      </c>
      <c r="AE1556" t="s">
        <v>2298</v>
      </c>
      <c r="AF1556">
        <v>0</v>
      </c>
      <c r="AG1556" t="s">
        <v>2453</v>
      </c>
      <c r="AH1556">
        <v>0</v>
      </c>
      <c r="AK1556">
        <v>0</v>
      </c>
    </row>
    <row r="1557" spans="1:37" x14ac:dyDescent="0.25">
      <c r="A1557" t="s">
        <v>79</v>
      </c>
      <c r="B1557">
        <v>6</v>
      </c>
      <c r="C1557">
        <v>3</v>
      </c>
      <c r="D1557">
        <v>3</v>
      </c>
      <c r="E1557">
        <v>4</v>
      </c>
      <c r="G1557">
        <v>633</v>
      </c>
      <c r="H1557" t="s">
        <v>2273</v>
      </c>
      <c r="I1557" t="s">
        <v>102</v>
      </c>
      <c r="J1557" t="s">
        <v>2300</v>
      </c>
      <c r="L1557">
        <v>0</v>
      </c>
      <c r="M1557" t="s">
        <v>2454</v>
      </c>
      <c r="O1557" t="s">
        <v>294</v>
      </c>
      <c r="P1557" t="s">
        <v>295</v>
      </c>
      <c r="Q1557" t="s">
        <v>2302</v>
      </c>
      <c r="R1557" t="s">
        <v>229</v>
      </c>
      <c r="S1557" t="s">
        <v>297</v>
      </c>
      <c r="T1557">
        <v>315</v>
      </c>
      <c r="U1557">
        <v>260</v>
      </c>
      <c r="V1557" t="s">
        <v>2303</v>
      </c>
      <c r="AE1557" t="s">
        <v>2304</v>
      </c>
      <c r="AF1557">
        <v>0</v>
      </c>
      <c r="AG1557" t="s">
        <v>2455</v>
      </c>
      <c r="AH1557">
        <v>0</v>
      </c>
      <c r="AK1557">
        <v>0</v>
      </c>
    </row>
    <row r="1558" spans="1:37" x14ac:dyDescent="0.25">
      <c r="A1558" t="s">
        <v>79</v>
      </c>
      <c r="B1558">
        <v>6</v>
      </c>
      <c r="C1558">
        <v>3</v>
      </c>
      <c r="D1558">
        <v>3</v>
      </c>
      <c r="E1558">
        <v>5</v>
      </c>
      <c r="G1558">
        <v>633</v>
      </c>
      <c r="H1558" t="s">
        <v>2273</v>
      </c>
      <c r="I1558" t="s">
        <v>109</v>
      </c>
      <c r="J1558" t="s">
        <v>2306</v>
      </c>
      <c r="L1558">
        <v>0</v>
      </c>
      <c r="M1558" t="s">
        <v>2456</v>
      </c>
      <c r="O1558" t="s">
        <v>1328</v>
      </c>
      <c r="P1558" t="s">
        <v>1329</v>
      </c>
      <c r="Q1558" t="s">
        <v>2121</v>
      </c>
      <c r="R1558" t="s">
        <v>248</v>
      </c>
      <c r="S1558" t="s">
        <v>1331</v>
      </c>
      <c r="T1558">
        <v>315</v>
      </c>
      <c r="U1558">
        <v>38</v>
      </c>
      <c r="V1558" t="s">
        <v>250</v>
      </c>
      <c r="AE1558" t="s">
        <v>2308</v>
      </c>
      <c r="AF1558">
        <v>0</v>
      </c>
      <c r="AG1558" t="s">
        <v>2457</v>
      </c>
      <c r="AH1558">
        <v>0</v>
      </c>
      <c r="AK1558">
        <v>0</v>
      </c>
    </row>
    <row r="1559" spans="1:37" x14ac:dyDescent="0.25">
      <c r="A1559" t="s">
        <v>79</v>
      </c>
      <c r="B1559">
        <v>6</v>
      </c>
      <c r="C1559">
        <v>3</v>
      </c>
      <c r="D1559">
        <v>3</v>
      </c>
      <c r="E1559">
        <v>6</v>
      </c>
      <c r="G1559">
        <v>633</v>
      </c>
      <c r="H1559" t="s">
        <v>2273</v>
      </c>
      <c r="I1559" t="s">
        <v>116</v>
      </c>
      <c r="J1559" t="s">
        <v>2310</v>
      </c>
      <c r="L1559">
        <v>0</v>
      </c>
      <c r="M1559" t="s">
        <v>2458</v>
      </c>
      <c r="O1559" t="s">
        <v>1336</v>
      </c>
      <c r="P1559" t="s">
        <v>1337</v>
      </c>
      <c r="Q1559" t="s">
        <v>2312</v>
      </c>
      <c r="R1559" t="s">
        <v>258</v>
      </c>
      <c r="S1559" t="s">
        <v>1339</v>
      </c>
      <c r="T1559">
        <v>315</v>
      </c>
      <c r="U1559">
        <v>41</v>
      </c>
      <c r="V1559" t="s">
        <v>1890</v>
      </c>
      <c r="AE1559" t="s">
        <v>2313</v>
      </c>
      <c r="AF1559">
        <v>0</v>
      </c>
      <c r="AG1559" t="s">
        <v>2459</v>
      </c>
      <c r="AH1559">
        <v>0</v>
      </c>
      <c r="AK1559">
        <v>0</v>
      </c>
    </row>
    <row r="1560" spans="1:37" x14ac:dyDescent="0.25">
      <c r="A1560" t="s">
        <v>79</v>
      </c>
      <c r="B1560">
        <v>6</v>
      </c>
      <c r="C1560">
        <v>3</v>
      </c>
      <c r="D1560">
        <v>3</v>
      </c>
      <c r="E1560">
        <v>7</v>
      </c>
      <c r="G1560">
        <v>633</v>
      </c>
      <c r="H1560" t="s">
        <v>2273</v>
      </c>
      <c r="I1560" t="s">
        <v>123</v>
      </c>
      <c r="J1560" t="s">
        <v>2315</v>
      </c>
      <c r="L1560">
        <v>0</v>
      </c>
      <c r="M1560" t="s">
        <v>125</v>
      </c>
      <c r="O1560" t="s">
        <v>125</v>
      </c>
      <c r="P1560" t="s">
        <v>125</v>
      </c>
      <c r="Q1560" t="s">
        <v>125</v>
      </c>
      <c r="R1560" t="s">
        <v>125</v>
      </c>
      <c r="S1560" t="s">
        <v>125</v>
      </c>
      <c r="T1560">
        <v>315</v>
      </c>
      <c r="V1560" t="s">
        <v>125</v>
      </c>
      <c r="AE1560" t="s">
        <v>125</v>
      </c>
      <c r="AF1560">
        <v>0</v>
      </c>
      <c r="AG1560" t="s">
        <v>125</v>
      </c>
      <c r="AH1560">
        <v>0</v>
      </c>
      <c r="AK1560">
        <v>0</v>
      </c>
    </row>
    <row r="1561" spans="1:37" x14ac:dyDescent="0.25">
      <c r="A1561" t="s">
        <v>79</v>
      </c>
      <c r="B1561">
        <v>6</v>
      </c>
      <c r="C1561">
        <v>3</v>
      </c>
      <c r="D1561">
        <v>3</v>
      </c>
      <c r="E1561">
        <v>8</v>
      </c>
      <c r="G1561">
        <v>633</v>
      </c>
      <c r="H1561" t="s">
        <v>2273</v>
      </c>
      <c r="I1561" t="s">
        <v>126</v>
      </c>
      <c r="J1561" t="s">
        <v>2316</v>
      </c>
      <c r="L1561">
        <v>0</v>
      </c>
      <c r="M1561" t="s">
        <v>125</v>
      </c>
      <c r="O1561" t="s">
        <v>125</v>
      </c>
      <c r="P1561" t="s">
        <v>125</v>
      </c>
      <c r="Q1561" t="s">
        <v>125</v>
      </c>
      <c r="R1561" t="s">
        <v>125</v>
      </c>
      <c r="S1561" t="s">
        <v>125</v>
      </c>
      <c r="T1561">
        <v>315</v>
      </c>
      <c r="V1561" t="s">
        <v>125</v>
      </c>
      <c r="AE1561" t="s">
        <v>125</v>
      </c>
      <c r="AF1561">
        <v>0</v>
      </c>
      <c r="AG1561" t="s">
        <v>125</v>
      </c>
      <c r="AH1561">
        <v>0</v>
      </c>
      <c r="AK1561">
        <v>0</v>
      </c>
    </row>
    <row r="1562" spans="1:37" x14ac:dyDescent="0.25">
      <c r="A1562" t="s">
        <v>79</v>
      </c>
      <c r="B1562">
        <v>6</v>
      </c>
      <c r="C1562">
        <v>3</v>
      </c>
      <c r="D1562">
        <v>3</v>
      </c>
      <c r="E1562">
        <v>9</v>
      </c>
      <c r="G1562">
        <v>633</v>
      </c>
      <c r="H1562" t="s">
        <v>2273</v>
      </c>
      <c r="I1562" t="s">
        <v>74</v>
      </c>
      <c r="J1562" t="s">
        <v>2317</v>
      </c>
      <c r="L1562">
        <v>0</v>
      </c>
      <c r="M1562" t="s">
        <v>125</v>
      </c>
      <c r="O1562" t="s">
        <v>125</v>
      </c>
      <c r="P1562" t="s">
        <v>125</v>
      </c>
      <c r="Q1562" t="s">
        <v>125</v>
      </c>
      <c r="R1562" t="s">
        <v>125</v>
      </c>
      <c r="S1562" t="s">
        <v>125</v>
      </c>
      <c r="T1562">
        <v>315</v>
      </c>
      <c r="V1562" t="s">
        <v>125</v>
      </c>
      <c r="AE1562" t="s">
        <v>125</v>
      </c>
      <c r="AF1562">
        <v>0</v>
      </c>
      <c r="AG1562" t="s">
        <v>125</v>
      </c>
      <c r="AH1562">
        <v>0</v>
      </c>
      <c r="AK1562">
        <v>0</v>
      </c>
    </row>
    <row r="1563" spans="1:37" x14ac:dyDescent="0.25">
      <c r="A1563" t="s">
        <v>79</v>
      </c>
      <c r="B1563">
        <v>6</v>
      </c>
      <c r="C1563">
        <v>3</v>
      </c>
      <c r="D1563">
        <v>3</v>
      </c>
      <c r="E1563">
        <v>10</v>
      </c>
      <c r="G1563">
        <v>633</v>
      </c>
      <c r="H1563" t="s">
        <v>2273</v>
      </c>
      <c r="I1563" t="s">
        <v>129</v>
      </c>
      <c r="J1563" t="s">
        <v>2318</v>
      </c>
      <c r="L1563">
        <v>0</v>
      </c>
      <c r="M1563" t="s">
        <v>125</v>
      </c>
      <c r="O1563" t="s">
        <v>125</v>
      </c>
      <c r="P1563" t="s">
        <v>125</v>
      </c>
      <c r="Q1563" t="s">
        <v>125</v>
      </c>
      <c r="R1563" t="s">
        <v>125</v>
      </c>
      <c r="S1563" t="s">
        <v>125</v>
      </c>
      <c r="T1563">
        <v>315</v>
      </c>
      <c r="V1563" t="s">
        <v>125</v>
      </c>
      <c r="AE1563" t="s">
        <v>125</v>
      </c>
      <c r="AF1563">
        <v>0</v>
      </c>
      <c r="AG1563" t="s">
        <v>125</v>
      </c>
      <c r="AH1563">
        <v>0</v>
      </c>
      <c r="AK1563">
        <v>0</v>
      </c>
    </row>
    <row r="1564" spans="1:37" x14ac:dyDescent="0.25">
      <c r="A1564" t="s">
        <v>79</v>
      </c>
      <c r="B1564">
        <v>6</v>
      </c>
      <c r="C1564">
        <v>3</v>
      </c>
      <c r="D1564">
        <v>3</v>
      </c>
      <c r="E1564">
        <v>11</v>
      </c>
      <c r="G1564">
        <v>633</v>
      </c>
      <c r="H1564" t="s">
        <v>2273</v>
      </c>
      <c r="I1564" t="s">
        <v>131</v>
      </c>
      <c r="J1564" t="s">
        <v>2319</v>
      </c>
      <c r="L1564">
        <v>0</v>
      </c>
      <c r="M1564" t="s">
        <v>125</v>
      </c>
      <c r="O1564" t="s">
        <v>125</v>
      </c>
      <c r="P1564" t="s">
        <v>125</v>
      </c>
      <c r="Q1564" t="s">
        <v>125</v>
      </c>
      <c r="R1564" t="s">
        <v>125</v>
      </c>
      <c r="S1564" t="s">
        <v>125</v>
      </c>
      <c r="T1564">
        <v>315</v>
      </c>
      <c r="V1564" t="s">
        <v>125</v>
      </c>
      <c r="AE1564" t="s">
        <v>125</v>
      </c>
      <c r="AF1564">
        <v>0</v>
      </c>
      <c r="AG1564" t="s">
        <v>125</v>
      </c>
      <c r="AH1564">
        <v>0</v>
      </c>
      <c r="AK1564">
        <v>0</v>
      </c>
    </row>
    <row r="1565" spans="1:37" x14ac:dyDescent="0.25">
      <c r="A1565" t="s">
        <v>79</v>
      </c>
      <c r="B1565">
        <v>6</v>
      </c>
      <c r="C1565">
        <v>3</v>
      </c>
      <c r="D1565">
        <v>3</v>
      </c>
      <c r="E1565">
        <v>12</v>
      </c>
      <c r="G1565">
        <v>633</v>
      </c>
      <c r="H1565" t="s">
        <v>2273</v>
      </c>
      <c r="I1565" t="s">
        <v>133</v>
      </c>
      <c r="J1565" t="s">
        <v>2320</v>
      </c>
      <c r="L1565">
        <v>0</v>
      </c>
      <c r="M1565" t="s">
        <v>125</v>
      </c>
      <c r="O1565" t="s">
        <v>125</v>
      </c>
      <c r="P1565" t="s">
        <v>125</v>
      </c>
      <c r="Q1565" t="s">
        <v>125</v>
      </c>
      <c r="R1565" t="s">
        <v>125</v>
      </c>
      <c r="S1565" t="s">
        <v>125</v>
      </c>
      <c r="T1565">
        <v>315</v>
      </c>
      <c r="V1565" t="s">
        <v>125</v>
      </c>
      <c r="AE1565" t="s">
        <v>125</v>
      </c>
      <c r="AF1565">
        <v>0</v>
      </c>
      <c r="AG1565" t="s">
        <v>125</v>
      </c>
      <c r="AH1565">
        <v>0</v>
      </c>
      <c r="AK1565">
        <v>0</v>
      </c>
    </row>
    <row r="1566" spans="1:37" x14ac:dyDescent="0.25">
      <c r="A1566" t="s">
        <v>79</v>
      </c>
      <c r="B1566">
        <v>6</v>
      </c>
      <c r="C1566">
        <v>3</v>
      </c>
      <c r="D1566">
        <v>3</v>
      </c>
      <c r="E1566">
        <v>13</v>
      </c>
      <c r="G1566">
        <v>633</v>
      </c>
      <c r="H1566" t="s">
        <v>2273</v>
      </c>
      <c r="I1566" t="s">
        <v>135</v>
      </c>
      <c r="J1566" t="s">
        <v>2321</v>
      </c>
      <c r="L1566">
        <v>0</v>
      </c>
      <c r="M1566" t="s">
        <v>125</v>
      </c>
      <c r="O1566" t="s">
        <v>125</v>
      </c>
      <c r="P1566" t="s">
        <v>125</v>
      </c>
      <c r="Q1566" t="s">
        <v>125</v>
      </c>
      <c r="R1566" t="s">
        <v>125</v>
      </c>
      <c r="S1566" t="s">
        <v>125</v>
      </c>
      <c r="T1566">
        <v>315</v>
      </c>
      <c r="V1566" t="s">
        <v>125</v>
      </c>
      <c r="AE1566" t="s">
        <v>125</v>
      </c>
      <c r="AF1566">
        <v>0</v>
      </c>
      <c r="AG1566" t="s">
        <v>125</v>
      </c>
      <c r="AH1566">
        <v>0</v>
      </c>
      <c r="AK1566">
        <v>0</v>
      </c>
    </row>
    <row r="1567" spans="1:37" x14ac:dyDescent="0.25">
      <c r="A1567" t="s">
        <v>79</v>
      </c>
      <c r="B1567">
        <v>6</v>
      </c>
      <c r="C1567">
        <v>3</v>
      </c>
      <c r="D1567">
        <v>3</v>
      </c>
      <c r="E1567">
        <v>14</v>
      </c>
      <c r="G1567">
        <v>633</v>
      </c>
      <c r="H1567" t="s">
        <v>2273</v>
      </c>
      <c r="I1567" t="s">
        <v>137</v>
      </c>
      <c r="J1567" t="s">
        <v>2322</v>
      </c>
      <c r="L1567">
        <v>0</v>
      </c>
      <c r="M1567" t="s">
        <v>125</v>
      </c>
      <c r="O1567" t="s">
        <v>125</v>
      </c>
      <c r="P1567" t="s">
        <v>125</v>
      </c>
      <c r="Q1567" t="s">
        <v>125</v>
      </c>
      <c r="R1567" t="s">
        <v>125</v>
      </c>
      <c r="S1567" t="s">
        <v>125</v>
      </c>
      <c r="T1567">
        <v>315</v>
      </c>
      <c r="V1567" t="s">
        <v>125</v>
      </c>
      <c r="AE1567" t="s">
        <v>125</v>
      </c>
      <c r="AF1567">
        <v>0</v>
      </c>
      <c r="AG1567" t="s">
        <v>125</v>
      </c>
      <c r="AH1567">
        <v>0</v>
      </c>
      <c r="AK1567">
        <v>0</v>
      </c>
    </row>
    <row r="1568" spans="1:37" x14ac:dyDescent="0.25">
      <c r="A1568" t="s">
        <v>79</v>
      </c>
      <c r="B1568">
        <v>6</v>
      </c>
      <c r="C1568">
        <v>3</v>
      </c>
      <c r="D1568">
        <v>3</v>
      </c>
      <c r="E1568">
        <v>15</v>
      </c>
      <c r="G1568">
        <v>633</v>
      </c>
      <c r="H1568" t="s">
        <v>2273</v>
      </c>
      <c r="I1568" t="s">
        <v>139</v>
      </c>
      <c r="J1568" t="s">
        <v>2323</v>
      </c>
      <c r="L1568">
        <v>0</v>
      </c>
      <c r="M1568" t="s">
        <v>125</v>
      </c>
      <c r="O1568" t="s">
        <v>125</v>
      </c>
      <c r="P1568" t="s">
        <v>125</v>
      </c>
      <c r="Q1568" t="s">
        <v>125</v>
      </c>
      <c r="R1568" t="s">
        <v>125</v>
      </c>
      <c r="S1568" t="s">
        <v>125</v>
      </c>
      <c r="T1568">
        <v>315</v>
      </c>
      <c r="V1568" t="s">
        <v>125</v>
      </c>
      <c r="AE1568" t="s">
        <v>125</v>
      </c>
      <c r="AF1568">
        <v>0</v>
      </c>
      <c r="AG1568" t="s">
        <v>125</v>
      </c>
      <c r="AH1568">
        <v>0</v>
      </c>
      <c r="AK1568">
        <v>0</v>
      </c>
    </row>
    <row r="1569" spans="1:37" x14ac:dyDescent="0.25">
      <c r="L1569">
        <v>0</v>
      </c>
    </row>
    <row r="1570" spans="1:37" x14ac:dyDescent="0.25">
      <c r="A1570" t="s">
        <v>70</v>
      </c>
      <c r="B1570">
        <v>6</v>
      </c>
      <c r="C1570">
        <v>3</v>
      </c>
      <c r="D1570">
        <v>4</v>
      </c>
      <c r="G1570">
        <v>63</v>
      </c>
      <c r="L1570">
        <v>0</v>
      </c>
      <c r="M1570" t="s">
        <v>125</v>
      </c>
      <c r="P1570" t="s">
        <v>125</v>
      </c>
      <c r="R1570" t="s">
        <v>125</v>
      </c>
      <c r="S1570" t="s">
        <v>63</v>
      </c>
      <c r="V1570" t="s">
        <v>125</v>
      </c>
      <c r="X1570" t="s">
        <v>125</v>
      </c>
      <c r="Y1570" t="s">
        <v>125</v>
      </c>
      <c r="Z1570" t="s">
        <v>125</v>
      </c>
      <c r="AA1570" t="s">
        <v>125</v>
      </c>
      <c r="AB1570" t="s">
        <v>125</v>
      </c>
      <c r="AC1570" t="s">
        <v>125</v>
      </c>
      <c r="AE1570" t="s">
        <v>125</v>
      </c>
      <c r="AF1570">
        <v>0</v>
      </c>
      <c r="AG1570" t="s">
        <v>125</v>
      </c>
      <c r="AH1570">
        <v>0</v>
      </c>
      <c r="AK1570">
        <v>0</v>
      </c>
    </row>
    <row r="1571" spans="1:37" x14ac:dyDescent="0.25">
      <c r="A1571" t="s">
        <v>79</v>
      </c>
      <c r="B1571">
        <v>6</v>
      </c>
      <c r="C1571">
        <v>3</v>
      </c>
      <c r="D1571">
        <v>4</v>
      </c>
      <c r="E1571">
        <v>1</v>
      </c>
      <c r="G1571">
        <v>634</v>
      </c>
      <c r="H1571" t="s">
        <v>63</v>
      </c>
      <c r="I1571" t="s">
        <v>80</v>
      </c>
      <c r="J1571" t="s">
        <v>141</v>
      </c>
      <c r="L1571">
        <v>0</v>
      </c>
      <c r="M1571" t="s">
        <v>125</v>
      </c>
      <c r="O1571" t="s">
        <v>125</v>
      </c>
      <c r="P1571" t="s">
        <v>125</v>
      </c>
      <c r="Q1571" t="s">
        <v>125</v>
      </c>
      <c r="R1571" t="s">
        <v>125</v>
      </c>
      <c r="S1571" t="s">
        <v>125</v>
      </c>
      <c r="T1571">
        <v>0</v>
      </c>
      <c r="V1571" t="s">
        <v>125</v>
      </c>
      <c r="AE1571" t="s">
        <v>125</v>
      </c>
      <c r="AF1571">
        <v>0</v>
      </c>
      <c r="AG1571" t="s">
        <v>125</v>
      </c>
      <c r="AH1571">
        <v>0</v>
      </c>
      <c r="AK1571">
        <v>0</v>
      </c>
    </row>
    <row r="1572" spans="1:37" x14ac:dyDescent="0.25">
      <c r="A1572" t="s">
        <v>79</v>
      </c>
      <c r="B1572">
        <v>6</v>
      </c>
      <c r="C1572">
        <v>3</v>
      </c>
      <c r="D1572">
        <v>4</v>
      </c>
      <c r="E1572">
        <v>2</v>
      </c>
      <c r="G1572">
        <v>634</v>
      </c>
      <c r="H1572" t="s">
        <v>63</v>
      </c>
      <c r="I1572" t="s">
        <v>88</v>
      </c>
      <c r="J1572" t="s">
        <v>142</v>
      </c>
      <c r="L1572">
        <v>0</v>
      </c>
      <c r="M1572" t="s">
        <v>125</v>
      </c>
      <c r="O1572" t="s">
        <v>125</v>
      </c>
      <c r="P1572" t="s">
        <v>125</v>
      </c>
      <c r="Q1572" t="s">
        <v>125</v>
      </c>
      <c r="R1572" t="s">
        <v>125</v>
      </c>
      <c r="S1572" t="s">
        <v>125</v>
      </c>
      <c r="T1572">
        <v>0</v>
      </c>
      <c r="V1572" t="s">
        <v>125</v>
      </c>
      <c r="AE1572" t="s">
        <v>125</v>
      </c>
      <c r="AF1572">
        <v>0</v>
      </c>
      <c r="AG1572" t="s">
        <v>125</v>
      </c>
      <c r="AH1572">
        <v>0</v>
      </c>
      <c r="AK1572">
        <v>0</v>
      </c>
    </row>
    <row r="1573" spans="1:37" x14ac:dyDescent="0.25">
      <c r="A1573" t="s">
        <v>79</v>
      </c>
      <c r="B1573">
        <v>6</v>
      </c>
      <c r="C1573">
        <v>3</v>
      </c>
      <c r="D1573">
        <v>4</v>
      </c>
      <c r="E1573">
        <v>3</v>
      </c>
      <c r="G1573">
        <v>634</v>
      </c>
      <c r="H1573" t="s">
        <v>63</v>
      </c>
      <c r="I1573" t="s">
        <v>95</v>
      </c>
      <c r="J1573" t="s">
        <v>143</v>
      </c>
      <c r="L1573">
        <v>0</v>
      </c>
      <c r="M1573" t="s">
        <v>125</v>
      </c>
      <c r="O1573" t="s">
        <v>125</v>
      </c>
      <c r="P1573" t="s">
        <v>125</v>
      </c>
      <c r="Q1573" t="s">
        <v>125</v>
      </c>
      <c r="R1573" t="s">
        <v>125</v>
      </c>
      <c r="S1573" t="s">
        <v>125</v>
      </c>
      <c r="T1573">
        <v>0</v>
      </c>
      <c r="V1573" t="s">
        <v>125</v>
      </c>
      <c r="AE1573" t="s">
        <v>125</v>
      </c>
      <c r="AF1573">
        <v>0</v>
      </c>
      <c r="AG1573" t="s">
        <v>125</v>
      </c>
      <c r="AH1573">
        <v>0</v>
      </c>
      <c r="AK1573">
        <v>0</v>
      </c>
    </row>
    <row r="1574" spans="1:37" x14ac:dyDescent="0.25">
      <c r="A1574" t="s">
        <v>79</v>
      </c>
      <c r="B1574">
        <v>6</v>
      </c>
      <c r="C1574">
        <v>3</v>
      </c>
      <c r="D1574">
        <v>4</v>
      </c>
      <c r="E1574">
        <v>4</v>
      </c>
      <c r="G1574">
        <v>634</v>
      </c>
      <c r="H1574" t="s">
        <v>63</v>
      </c>
      <c r="I1574" t="s">
        <v>102</v>
      </c>
      <c r="J1574" t="s">
        <v>144</v>
      </c>
      <c r="L1574">
        <v>0</v>
      </c>
      <c r="M1574" t="s">
        <v>125</v>
      </c>
      <c r="O1574" t="s">
        <v>125</v>
      </c>
      <c r="P1574" t="s">
        <v>125</v>
      </c>
      <c r="Q1574" t="s">
        <v>125</v>
      </c>
      <c r="R1574" t="s">
        <v>125</v>
      </c>
      <c r="S1574" t="s">
        <v>125</v>
      </c>
      <c r="T1574">
        <v>0</v>
      </c>
      <c r="V1574" t="s">
        <v>125</v>
      </c>
      <c r="AE1574" t="s">
        <v>125</v>
      </c>
      <c r="AF1574">
        <v>0</v>
      </c>
      <c r="AG1574" t="s">
        <v>125</v>
      </c>
      <c r="AH1574">
        <v>0</v>
      </c>
      <c r="AK1574">
        <v>0</v>
      </c>
    </row>
    <row r="1575" spans="1:37" x14ac:dyDescent="0.25">
      <c r="A1575" t="s">
        <v>79</v>
      </c>
      <c r="B1575">
        <v>6</v>
      </c>
      <c r="C1575">
        <v>3</v>
      </c>
      <c r="D1575">
        <v>4</v>
      </c>
      <c r="E1575">
        <v>5</v>
      </c>
      <c r="G1575">
        <v>634</v>
      </c>
      <c r="H1575" t="s">
        <v>63</v>
      </c>
      <c r="I1575" t="s">
        <v>109</v>
      </c>
      <c r="J1575" t="s">
        <v>145</v>
      </c>
      <c r="L1575">
        <v>0</v>
      </c>
      <c r="M1575" t="s">
        <v>125</v>
      </c>
      <c r="O1575" t="s">
        <v>125</v>
      </c>
      <c r="P1575" t="s">
        <v>125</v>
      </c>
      <c r="Q1575" t="s">
        <v>125</v>
      </c>
      <c r="R1575" t="s">
        <v>125</v>
      </c>
      <c r="S1575" t="s">
        <v>125</v>
      </c>
      <c r="T1575">
        <v>0</v>
      </c>
      <c r="V1575" t="s">
        <v>125</v>
      </c>
      <c r="AE1575" t="s">
        <v>125</v>
      </c>
      <c r="AF1575">
        <v>0</v>
      </c>
      <c r="AG1575" t="s">
        <v>125</v>
      </c>
      <c r="AH1575">
        <v>0</v>
      </c>
      <c r="AK1575">
        <v>0</v>
      </c>
    </row>
    <row r="1576" spans="1:37" x14ac:dyDescent="0.25">
      <c r="A1576" t="s">
        <v>79</v>
      </c>
      <c r="B1576">
        <v>6</v>
      </c>
      <c r="C1576">
        <v>3</v>
      </c>
      <c r="D1576">
        <v>4</v>
      </c>
      <c r="E1576">
        <v>6</v>
      </c>
      <c r="G1576">
        <v>634</v>
      </c>
      <c r="H1576" t="s">
        <v>63</v>
      </c>
      <c r="I1576" t="s">
        <v>116</v>
      </c>
      <c r="J1576" t="s">
        <v>146</v>
      </c>
      <c r="L1576">
        <v>0</v>
      </c>
      <c r="M1576" t="s">
        <v>125</v>
      </c>
      <c r="O1576" t="s">
        <v>125</v>
      </c>
      <c r="P1576" t="s">
        <v>125</v>
      </c>
      <c r="Q1576" t="s">
        <v>125</v>
      </c>
      <c r="R1576" t="s">
        <v>125</v>
      </c>
      <c r="S1576" t="s">
        <v>125</v>
      </c>
      <c r="T1576">
        <v>0</v>
      </c>
      <c r="V1576" t="s">
        <v>125</v>
      </c>
      <c r="AE1576" t="s">
        <v>125</v>
      </c>
      <c r="AF1576">
        <v>0</v>
      </c>
      <c r="AG1576" t="s">
        <v>125</v>
      </c>
      <c r="AH1576">
        <v>0</v>
      </c>
      <c r="AK1576">
        <v>0</v>
      </c>
    </row>
    <row r="1577" spans="1:37" x14ac:dyDescent="0.25">
      <c r="A1577" t="s">
        <v>79</v>
      </c>
      <c r="B1577">
        <v>6</v>
      </c>
      <c r="C1577">
        <v>3</v>
      </c>
      <c r="D1577">
        <v>4</v>
      </c>
      <c r="E1577">
        <v>7</v>
      </c>
      <c r="G1577">
        <v>634</v>
      </c>
      <c r="H1577" t="s">
        <v>63</v>
      </c>
      <c r="I1577" t="s">
        <v>123</v>
      </c>
      <c r="J1577" t="s">
        <v>147</v>
      </c>
      <c r="L1577">
        <v>0</v>
      </c>
      <c r="M1577" t="s">
        <v>125</v>
      </c>
      <c r="O1577" t="s">
        <v>125</v>
      </c>
      <c r="P1577" t="s">
        <v>125</v>
      </c>
      <c r="Q1577" t="s">
        <v>125</v>
      </c>
      <c r="R1577" t="s">
        <v>125</v>
      </c>
      <c r="S1577" t="s">
        <v>125</v>
      </c>
      <c r="T1577">
        <v>0</v>
      </c>
      <c r="V1577" t="s">
        <v>125</v>
      </c>
      <c r="AE1577" t="s">
        <v>125</v>
      </c>
      <c r="AF1577">
        <v>0</v>
      </c>
      <c r="AG1577" t="s">
        <v>125</v>
      </c>
      <c r="AH1577">
        <v>0</v>
      </c>
      <c r="AK1577">
        <v>0</v>
      </c>
    </row>
    <row r="1578" spans="1:37" x14ac:dyDescent="0.25">
      <c r="A1578" t="s">
        <v>79</v>
      </c>
      <c r="B1578">
        <v>6</v>
      </c>
      <c r="C1578">
        <v>3</v>
      </c>
      <c r="D1578">
        <v>4</v>
      </c>
      <c r="E1578">
        <v>8</v>
      </c>
      <c r="G1578">
        <v>634</v>
      </c>
      <c r="H1578" t="s">
        <v>63</v>
      </c>
      <c r="I1578" t="s">
        <v>126</v>
      </c>
      <c r="J1578" t="s">
        <v>148</v>
      </c>
      <c r="L1578">
        <v>0</v>
      </c>
      <c r="M1578" t="s">
        <v>125</v>
      </c>
      <c r="O1578" t="s">
        <v>125</v>
      </c>
      <c r="P1578" t="s">
        <v>125</v>
      </c>
      <c r="Q1578" t="s">
        <v>125</v>
      </c>
      <c r="R1578" t="s">
        <v>125</v>
      </c>
      <c r="S1578" t="s">
        <v>125</v>
      </c>
      <c r="T1578">
        <v>0</v>
      </c>
      <c r="V1578" t="s">
        <v>125</v>
      </c>
      <c r="AE1578" t="s">
        <v>125</v>
      </c>
      <c r="AF1578">
        <v>0</v>
      </c>
      <c r="AG1578" t="s">
        <v>125</v>
      </c>
      <c r="AH1578">
        <v>0</v>
      </c>
      <c r="AK1578">
        <v>0</v>
      </c>
    </row>
    <row r="1579" spans="1:37" x14ac:dyDescent="0.25">
      <c r="A1579" t="s">
        <v>79</v>
      </c>
      <c r="B1579">
        <v>6</v>
      </c>
      <c r="C1579">
        <v>3</v>
      </c>
      <c r="D1579">
        <v>4</v>
      </c>
      <c r="E1579">
        <v>9</v>
      </c>
      <c r="G1579">
        <v>634</v>
      </c>
      <c r="H1579" t="s">
        <v>63</v>
      </c>
      <c r="I1579" t="s">
        <v>74</v>
      </c>
      <c r="J1579" t="s">
        <v>149</v>
      </c>
      <c r="L1579">
        <v>0</v>
      </c>
      <c r="M1579" t="s">
        <v>125</v>
      </c>
      <c r="O1579" t="s">
        <v>125</v>
      </c>
      <c r="P1579" t="s">
        <v>125</v>
      </c>
      <c r="Q1579" t="s">
        <v>125</v>
      </c>
      <c r="R1579" t="s">
        <v>125</v>
      </c>
      <c r="S1579" t="s">
        <v>125</v>
      </c>
      <c r="T1579">
        <v>0</v>
      </c>
      <c r="V1579" t="s">
        <v>125</v>
      </c>
      <c r="AE1579" t="s">
        <v>125</v>
      </c>
      <c r="AF1579">
        <v>0</v>
      </c>
      <c r="AG1579" t="s">
        <v>125</v>
      </c>
      <c r="AH1579">
        <v>0</v>
      </c>
      <c r="AK1579">
        <v>0</v>
      </c>
    </row>
    <row r="1580" spans="1:37" x14ac:dyDescent="0.25">
      <c r="A1580" t="s">
        <v>79</v>
      </c>
      <c r="B1580">
        <v>6</v>
      </c>
      <c r="C1580">
        <v>3</v>
      </c>
      <c r="D1580">
        <v>4</v>
      </c>
      <c r="E1580">
        <v>10</v>
      </c>
      <c r="G1580">
        <v>634</v>
      </c>
      <c r="H1580" t="s">
        <v>63</v>
      </c>
      <c r="I1580" t="s">
        <v>129</v>
      </c>
      <c r="J1580" t="s">
        <v>150</v>
      </c>
      <c r="L1580">
        <v>0</v>
      </c>
      <c r="M1580" t="s">
        <v>125</v>
      </c>
      <c r="O1580" t="s">
        <v>125</v>
      </c>
      <c r="P1580" t="s">
        <v>125</v>
      </c>
      <c r="Q1580" t="s">
        <v>125</v>
      </c>
      <c r="R1580" t="s">
        <v>125</v>
      </c>
      <c r="S1580" t="s">
        <v>125</v>
      </c>
      <c r="T1580">
        <v>0</v>
      </c>
      <c r="V1580" t="s">
        <v>125</v>
      </c>
      <c r="AE1580" t="s">
        <v>125</v>
      </c>
      <c r="AF1580">
        <v>0</v>
      </c>
      <c r="AG1580" t="s">
        <v>125</v>
      </c>
      <c r="AH1580">
        <v>0</v>
      </c>
      <c r="AK1580">
        <v>0</v>
      </c>
    </row>
    <row r="1581" spans="1:37" x14ac:dyDescent="0.25">
      <c r="A1581" t="s">
        <v>79</v>
      </c>
      <c r="B1581">
        <v>6</v>
      </c>
      <c r="C1581">
        <v>3</v>
      </c>
      <c r="D1581">
        <v>4</v>
      </c>
      <c r="E1581">
        <v>11</v>
      </c>
      <c r="G1581">
        <v>634</v>
      </c>
      <c r="H1581" t="s">
        <v>63</v>
      </c>
      <c r="I1581" t="s">
        <v>131</v>
      </c>
      <c r="J1581" t="s">
        <v>151</v>
      </c>
      <c r="L1581">
        <v>0</v>
      </c>
      <c r="M1581" t="s">
        <v>125</v>
      </c>
      <c r="O1581" t="s">
        <v>125</v>
      </c>
      <c r="P1581" t="s">
        <v>125</v>
      </c>
      <c r="Q1581" t="s">
        <v>125</v>
      </c>
      <c r="R1581" t="s">
        <v>125</v>
      </c>
      <c r="S1581" t="s">
        <v>125</v>
      </c>
      <c r="T1581">
        <v>0</v>
      </c>
      <c r="V1581" t="s">
        <v>125</v>
      </c>
      <c r="AE1581" t="s">
        <v>125</v>
      </c>
      <c r="AF1581">
        <v>0</v>
      </c>
      <c r="AG1581" t="s">
        <v>125</v>
      </c>
      <c r="AH1581">
        <v>0</v>
      </c>
      <c r="AK1581">
        <v>0</v>
      </c>
    </row>
    <row r="1582" spans="1:37" x14ac:dyDescent="0.25">
      <c r="A1582" t="s">
        <v>79</v>
      </c>
      <c r="B1582">
        <v>6</v>
      </c>
      <c r="C1582">
        <v>3</v>
      </c>
      <c r="D1582">
        <v>4</v>
      </c>
      <c r="E1582">
        <v>12</v>
      </c>
      <c r="G1582">
        <v>634</v>
      </c>
      <c r="H1582" t="s">
        <v>63</v>
      </c>
      <c r="I1582" t="s">
        <v>133</v>
      </c>
      <c r="J1582" t="s">
        <v>152</v>
      </c>
      <c r="L1582">
        <v>0</v>
      </c>
      <c r="M1582" t="s">
        <v>125</v>
      </c>
      <c r="O1582" t="s">
        <v>125</v>
      </c>
      <c r="P1582" t="s">
        <v>125</v>
      </c>
      <c r="Q1582" t="s">
        <v>125</v>
      </c>
      <c r="R1582" t="s">
        <v>125</v>
      </c>
      <c r="S1582" t="s">
        <v>125</v>
      </c>
      <c r="T1582">
        <v>0</v>
      </c>
      <c r="V1582" t="s">
        <v>125</v>
      </c>
      <c r="AE1582" t="s">
        <v>125</v>
      </c>
      <c r="AF1582">
        <v>0</v>
      </c>
      <c r="AG1582" t="s">
        <v>125</v>
      </c>
      <c r="AH1582">
        <v>0</v>
      </c>
      <c r="AK1582">
        <v>0</v>
      </c>
    </row>
    <row r="1583" spans="1:37" x14ac:dyDescent="0.25">
      <c r="A1583" t="s">
        <v>79</v>
      </c>
      <c r="B1583">
        <v>6</v>
      </c>
      <c r="C1583">
        <v>3</v>
      </c>
      <c r="D1583">
        <v>4</v>
      </c>
      <c r="E1583">
        <v>13</v>
      </c>
      <c r="G1583">
        <v>634</v>
      </c>
      <c r="H1583" t="s">
        <v>63</v>
      </c>
      <c r="I1583" t="s">
        <v>135</v>
      </c>
      <c r="J1583" t="s">
        <v>153</v>
      </c>
      <c r="L1583">
        <v>0</v>
      </c>
      <c r="M1583" t="s">
        <v>125</v>
      </c>
      <c r="O1583" t="s">
        <v>125</v>
      </c>
      <c r="P1583" t="s">
        <v>125</v>
      </c>
      <c r="Q1583" t="s">
        <v>125</v>
      </c>
      <c r="R1583" t="s">
        <v>125</v>
      </c>
      <c r="S1583" t="s">
        <v>125</v>
      </c>
      <c r="T1583">
        <v>0</v>
      </c>
      <c r="V1583" t="s">
        <v>125</v>
      </c>
      <c r="AE1583" t="s">
        <v>125</v>
      </c>
      <c r="AF1583">
        <v>0</v>
      </c>
      <c r="AG1583" t="s">
        <v>125</v>
      </c>
      <c r="AH1583">
        <v>0</v>
      </c>
      <c r="AK1583">
        <v>0</v>
      </c>
    </row>
    <row r="1584" spans="1:37" x14ac:dyDescent="0.25">
      <c r="A1584" t="s">
        <v>79</v>
      </c>
      <c r="B1584">
        <v>6</v>
      </c>
      <c r="C1584">
        <v>3</v>
      </c>
      <c r="D1584">
        <v>4</v>
      </c>
      <c r="E1584">
        <v>14</v>
      </c>
      <c r="G1584">
        <v>634</v>
      </c>
      <c r="H1584" t="s">
        <v>63</v>
      </c>
      <c r="I1584" t="s">
        <v>137</v>
      </c>
      <c r="J1584" t="s">
        <v>154</v>
      </c>
      <c r="L1584">
        <v>0</v>
      </c>
      <c r="M1584" t="s">
        <v>125</v>
      </c>
      <c r="O1584" t="s">
        <v>125</v>
      </c>
      <c r="P1584" t="s">
        <v>125</v>
      </c>
      <c r="Q1584" t="s">
        <v>125</v>
      </c>
      <c r="R1584" t="s">
        <v>125</v>
      </c>
      <c r="S1584" t="s">
        <v>125</v>
      </c>
      <c r="T1584">
        <v>0</v>
      </c>
      <c r="V1584" t="s">
        <v>125</v>
      </c>
      <c r="AE1584" t="s">
        <v>125</v>
      </c>
      <c r="AF1584">
        <v>0</v>
      </c>
      <c r="AG1584" t="s">
        <v>125</v>
      </c>
      <c r="AH1584">
        <v>0</v>
      </c>
      <c r="AK1584">
        <v>0</v>
      </c>
    </row>
    <row r="1585" spans="1:37" x14ac:dyDescent="0.25">
      <c r="A1585" t="s">
        <v>79</v>
      </c>
      <c r="B1585">
        <v>6</v>
      </c>
      <c r="C1585">
        <v>3</v>
      </c>
      <c r="D1585">
        <v>4</v>
      </c>
      <c r="E1585">
        <v>15</v>
      </c>
      <c r="G1585">
        <v>634</v>
      </c>
      <c r="H1585" t="s">
        <v>63</v>
      </c>
      <c r="I1585" t="s">
        <v>139</v>
      </c>
      <c r="J1585" t="s">
        <v>155</v>
      </c>
      <c r="L1585">
        <v>0</v>
      </c>
      <c r="M1585" t="s">
        <v>125</v>
      </c>
      <c r="O1585" t="s">
        <v>125</v>
      </c>
      <c r="P1585" t="s">
        <v>125</v>
      </c>
      <c r="Q1585" t="s">
        <v>125</v>
      </c>
      <c r="R1585" t="s">
        <v>125</v>
      </c>
      <c r="S1585" t="s">
        <v>125</v>
      </c>
      <c r="T1585">
        <v>0</v>
      </c>
      <c r="V1585" t="s">
        <v>125</v>
      </c>
      <c r="AE1585" t="s">
        <v>125</v>
      </c>
      <c r="AF1585">
        <v>0</v>
      </c>
      <c r="AG1585" t="s">
        <v>125</v>
      </c>
      <c r="AH1585">
        <v>0</v>
      </c>
      <c r="AK1585">
        <v>0</v>
      </c>
    </row>
    <row r="1586" spans="1:37" x14ac:dyDescent="0.25">
      <c r="L1586">
        <v>0</v>
      </c>
    </row>
    <row r="1587" spans="1:37" x14ac:dyDescent="0.25">
      <c r="A1587" t="s">
        <v>70</v>
      </c>
      <c r="B1587">
        <v>6</v>
      </c>
      <c r="C1587">
        <v>3</v>
      </c>
      <c r="D1587">
        <v>5</v>
      </c>
      <c r="G1587">
        <v>63</v>
      </c>
      <c r="L1587">
        <v>0</v>
      </c>
      <c r="M1587" t="s">
        <v>125</v>
      </c>
      <c r="P1587" t="s">
        <v>125</v>
      </c>
      <c r="R1587" t="s">
        <v>125</v>
      </c>
      <c r="S1587" t="s">
        <v>63</v>
      </c>
      <c r="V1587" t="s">
        <v>125</v>
      </c>
      <c r="X1587" t="s">
        <v>125</v>
      </c>
      <c r="Y1587" t="s">
        <v>125</v>
      </c>
      <c r="Z1587" t="s">
        <v>125</v>
      </c>
      <c r="AA1587" t="s">
        <v>125</v>
      </c>
      <c r="AB1587" t="s">
        <v>125</v>
      </c>
      <c r="AC1587" t="s">
        <v>125</v>
      </c>
      <c r="AE1587" t="s">
        <v>125</v>
      </c>
      <c r="AF1587">
        <v>0</v>
      </c>
      <c r="AG1587" t="s">
        <v>125</v>
      </c>
      <c r="AH1587">
        <v>0</v>
      </c>
      <c r="AK1587">
        <v>0</v>
      </c>
    </row>
    <row r="1588" spans="1:37" x14ac:dyDescent="0.25">
      <c r="A1588" t="s">
        <v>79</v>
      </c>
      <c r="B1588">
        <v>6</v>
      </c>
      <c r="C1588">
        <v>3</v>
      </c>
      <c r="D1588">
        <v>5</v>
      </c>
      <c r="E1588">
        <v>1</v>
      </c>
      <c r="G1588">
        <v>635</v>
      </c>
      <c r="H1588" t="s">
        <v>63</v>
      </c>
      <c r="I1588" t="s">
        <v>80</v>
      </c>
      <c r="J1588" t="s">
        <v>141</v>
      </c>
      <c r="L1588">
        <v>0</v>
      </c>
      <c r="M1588" t="s">
        <v>125</v>
      </c>
      <c r="O1588" t="s">
        <v>125</v>
      </c>
      <c r="P1588" t="s">
        <v>125</v>
      </c>
      <c r="Q1588" t="s">
        <v>125</v>
      </c>
      <c r="R1588" t="s">
        <v>125</v>
      </c>
      <c r="S1588" t="s">
        <v>125</v>
      </c>
      <c r="T1588">
        <v>0</v>
      </c>
      <c r="V1588" t="s">
        <v>125</v>
      </c>
      <c r="AE1588" t="s">
        <v>125</v>
      </c>
      <c r="AF1588">
        <v>0</v>
      </c>
      <c r="AG1588" t="s">
        <v>125</v>
      </c>
      <c r="AH1588">
        <v>0</v>
      </c>
      <c r="AK1588">
        <v>0</v>
      </c>
    </row>
    <row r="1589" spans="1:37" x14ac:dyDescent="0.25">
      <c r="A1589" t="s">
        <v>79</v>
      </c>
      <c r="B1589">
        <v>6</v>
      </c>
      <c r="C1589">
        <v>3</v>
      </c>
      <c r="D1589">
        <v>5</v>
      </c>
      <c r="E1589">
        <v>2</v>
      </c>
      <c r="G1589">
        <v>635</v>
      </c>
      <c r="H1589" t="s">
        <v>63</v>
      </c>
      <c r="I1589" t="s">
        <v>88</v>
      </c>
      <c r="J1589" t="s">
        <v>142</v>
      </c>
      <c r="L1589">
        <v>0</v>
      </c>
      <c r="M1589" t="s">
        <v>125</v>
      </c>
      <c r="O1589" t="s">
        <v>125</v>
      </c>
      <c r="P1589" t="s">
        <v>125</v>
      </c>
      <c r="Q1589" t="s">
        <v>125</v>
      </c>
      <c r="R1589" t="s">
        <v>125</v>
      </c>
      <c r="S1589" t="s">
        <v>125</v>
      </c>
      <c r="T1589">
        <v>0</v>
      </c>
      <c r="V1589" t="s">
        <v>125</v>
      </c>
      <c r="AE1589" t="s">
        <v>125</v>
      </c>
      <c r="AF1589">
        <v>0</v>
      </c>
      <c r="AG1589" t="s">
        <v>125</v>
      </c>
      <c r="AH1589">
        <v>0</v>
      </c>
      <c r="AK1589">
        <v>0</v>
      </c>
    </row>
    <row r="1590" spans="1:37" x14ac:dyDescent="0.25">
      <c r="A1590" t="s">
        <v>79</v>
      </c>
      <c r="B1590">
        <v>6</v>
      </c>
      <c r="C1590">
        <v>3</v>
      </c>
      <c r="D1590">
        <v>5</v>
      </c>
      <c r="E1590">
        <v>3</v>
      </c>
      <c r="G1590">
        <v>635</v>
      </c>
      <c r="H1590" t="s">
        <v>63</v>
      </c>
      <c r="I1590" t="s">
        <v>95</v>
      </c>
      <c r="J1590" t="s">
        <v>143</v>
      </c>
      <c r="L1590">
        <v>0</v>
      </c>
      <c r="M1590" t="s">
        <v>125</v>
      </c>
      <c r="O1590" t="s">
        <v>125</v>
      </c>
      <c r="P1590" t="s">
        <v>125</v>
      </c>
      <c r="Q1590" t="s">
        <v>125</v>
      </c>
      <c r="R1590" t="s">
        <v>125</v>
      </c>
      <c r="S1590" t="s">
        <v>125</v>
      </c>
      <c r="T1590">
        <v>0</v>
      </c>
      <c r="V1590" t="s">
        <v>125</v>
      </c>
      <c r="AE1590" t="s">
        <v>125</v>
      </c>
      <c r="AF1590">
        <v>0</v>
      </c>
      <c r="AG1590" t="s">
        <v>125</v>
      </c>
      <c r="AH1590">
        <v>0</v>
      </c>
      <c r="AK1590">
        <v>0</v>
      </c>
    </row>
    <row r="1591" spans="1:37" x14ac:dyDescent="0.25">
      <c r="A1591" t="s">
        <v>79</v>
      </c>
      <c r="B1591">
        <v>6</v>
      </c>
      <c r="C1591">
        <v>3</v>
      </c>
      <c r="D1591">
        <v>5</v>
      </c>
      <c r="E1591">
        <v>4</v>
      </c>
      <c r="G1591">
        <v>635</v>
      </c>
      <c r="H1591" t="s">
        <v>63</v>
      </c>
      <c r="I1591" t="s">
        <v>102</v>
      </c>
      <c r="J1591" t="s">
        <v>144</v>
      </c>
      <c r="L1591">
        <v>0</v>
      </c>
      <c r="M1591" t="s">
        <v>125</v>
      </c>
      <c r="O1591" t="s">
        <v>125</v>
      </c>
      <c r="P1591" t="s">
        <v>125</v>
      </c>
      <c r="Q1591" t="s">
        <v>125</v>
      </c>
      <c r="R1591" t="s">
        <v>125</v>
      </c>
      <c r="S1591" t="s">
        <v>125</v>
      </c>
      <c r="T1591">
        <v>0</v>
      </c>
      <c r="V1591" t="s">
        <v>125</v>
      </c>
      <c r="AE1591" t="s">
        <v>125</v>
      </c>
      <c r="AF1591">
        <v>0</v>
      </c>
      <c r="AG1591" t="s">
        <v>125</v>
      </c>
      <c r="AH1591">
        <v>0</v>
      </c>
      <c r="AK1591">
        <v>0</v>
      </c>
    </row>
    <row r="1592" spans="1:37" x14ac:dyDescent="0.25">
      <c r="A1592" t="s">
        <v>79</v>
      </c>
      <c r="B1592">
        <v>6</v>
      </c>
      <c r="C1592">
        <v>3</v>
      </c>
      <c r="D1592">
        <v>5</v>
      </c>
      <c r="E1592">
        <v>5</v>
      </c>
      <c r="G1592">
        <v>635</v>
      </c>
      <c r="H1592" t="s">
        <v>63</v>
      </c>
      <c r="I1592" t="s">
        <v>109</v>
      </c>
      <c r="J1592" t="s">
        <v>145</v>
      </c>
      <c r="L1592">
        <v>0</v>
      </c>
      <c r="M1592" t="s">
        <v>125</v>
      </c>
      <c r="O1592" t="s">
        <v>125</v>
      </c>
      <c r="P1592" t="s">
        <v>125</v>
      </c>
      <c r="Q1592" t="s">
        <v>125</v>
      </c>
      <c r="R1592" t="s">
        <v>125</v>
      </c>
      <c r="S1592" t="s">
        <v>125</v>
      </c>
      <c r="T1592">
        <v>0</v>
      </c>
      <c r="V1592" t="s">
        <v>125</v>
      </c>
      <c r="AE1592" t="s">
        <v>125</v>
      </c>
      <c r="AF1592">
        <v>0</v>
      </c>
      <c r="AG1592" t="s">
        <v>125</v>
      </c>
      <c r="AH1592">
        <v>0</v>
      </c>
      <c r="AK1592">
        <v>0</v>
      </c>
    </row>
    <row r="1593" spans="1:37" x14ac:dyDescent="0.25">
      <c r="A1593" t="s">
        <v>79</v>
      </c>
      <c r="B1593">
        <v>6</v>
      </c>
      <c r="C1593">
        <v>3</v>
      </c>
      <c r="D1593">
        <v>5</v>
      </c>
      <c r="E1593">
        <v>6</v>
      </c>
      <c r="G1593">
        <v>635</v>
      </c>
      <c r="H1593" t="s">
        <v>63</v>
      </c>
      <c r="I1593" t="s">
        <v>116</v>
      </c>
      <c r="J1593" t="s">
        <v>146</v>
      </c>
      <c r="L1593">
        <v>0</v>
      </c>
      <c r="M1593" t="s">
        <v>125</v>
      </c>
      <c r="O1593" t="s">
        <v>125</v>
      </c>
      <c r="P1593" t="s">
        <v>125</v>
      </c>
      <c r="Q1593" t="s">
        <v>125</v>
      </c>
      <c r="R1593" t="s">
        <v>125</v>
      </c>
      <c r="S1593" t="s">
        <v>125</v>
      </c>
      <c r="T1593">
        <v>0</v>
      </c>
      <c r="V1593" t="s">
        <v>125</v>
      </c>
      <c r="AE1593" t="s">
        <v>125</v>
      </c>
      <c r="AF1593">
        <v>0</v>
      </c>
      <c r="AG1593" t="s">
        <v>125</v>
      </c>
      <c r="AH1593">
        <v>0</v>
      </c>
      <c r="AK1593">
        <v>0</v>
      </c>
    </row>
    <row r="1594" spans="1:37" x14ac:dyDescent="0.25">
      <c r="A1594" t="s">
        <v>79</v>
      </c>
      <c r="B1594">
        <v>6</v>
      </c>
      <c r="C1594">
        <v>3</v>
      </c>
      <c r="D1594">
        <v>5</v>
      </c>
      <c r="E1594">
        <v>7</v>
      </c>
      <c r="G1594">
        <v>635</v>
      </c>
      <c r="H1594" t="s">
        <v>63</v>
      </c>
      <c r="I1594" t="s">
        <v>123</v>
      </c>
      <c r="J1594" t="s">
        <v>147</v>
      </c>
      <c r="L1594">
        <v>0</v>
      </c>
      <c r="M1594" t="s">
        <v>125</v>
      </c>
      <c r="O1594" t="s">
        <v>125</v>
      </c>
      <c r="P1594" t="s">
        <v>125</v>
      </c>
      <c r="Q1594" t="s">
        <v>125</v>
      </c>
      <c r="R1594" t="s">
        <v>125</v>
      </c>
      <c r="S1594" t="s">
        <v>125</v>
      </c>
      <c r="T1594">
        <v>0</v>
      </c>
      <c r="V1594" t="s">
        <v>125</v>
      </c>
      <c r="AE1594" t="s">
        <v>125</v>
      </c>
      <c r="AF1594">
        <v>0</v>
      </c>
      <c r="AG1594" t="s">
        <v>125</v>
      </c>
      <c r="AH1594">
        <v>0</v>
      </c>
      <c r="AK1594">
        <v>0</v>
      </c>
    </row>
    <row r="1595" spans="1:37" x14ac:dyDescent="0.25">
      <c r="A1595" t="s">
        <v>79</v>
      </c>
      <c r="B1595">
        <v>6</v>
      </c>
      <c r="C1595">
        <v>3</v>
      </c>
      <c r="D1595">
        <v>5</v>
      </c>
      <c r="E1595">
        <v>8</v>
      </c>
      <c r="G1595">
        <v>635</v>
      </c>
      <c r="H1595" t="s">
        <v>63</v>
      </c>
      <c r="I1595" t="s">
        <v>126</v>
      </c>
      <c r="J1595" t="s">
        <v>148</v>
      </c>
      <c r="L1595">
        <v>0</v>
      </c>
      <c r="M1595" t="s">
        <v>125</v>
      </c>
      <c r="O1595" t="s">
        <v>125</v>
      </c>
      <c r="P1595" t="s">
        <v>125</v>
      </c>
      <c r="Q1595" t="s">
        <v>125</v>
      </c>
      <c r="R1595" t="s">
        <v>125</v>
      </c>
      <c r="S1595" t="s">
        <v>125</v>
      </c>
      <c r="T1595">
        <v>0</v>
      </c>
      <c r="V1595" t="s">
        <v>125</v>
      </c>
      <c r="AE1595" t="s">
        <v>125</v>
      </c>
      <c r="AF1595">
        <v>0</v>
      </c>
      <c r="AG1595" t="s">
        <v>125</v>
      </c>
      <c r="AH1595">
        <v>0</v>
      </c>
      <c r="AK1595">
        <v>0</v>
      </c>
    </row>
    <row r="1596" spans="1:37" x14ac:dyDescent="0.25">
      <c r="A1596" t="s">
        <v>79</v>
      </c>
      <c r="B1596">
        <v>6</v>
      </c>
      <c r="C1596">
        <v>3</v>
      </c>
      <c r="D1596">
        <v>5</v>
      </c>
      <c r="E1596">
        <v>9</v>
      </c>
      <c r="G1596">
        <v>635</v>
      </c>
      <c r="H1596" t="s">
        <v>63</v>
      </c>
      <c r="I1596" t="s">
        <v>74</v>
      </c>
      <c r="J1596" t="s">
        <v>149</v>
      </c>
      <c r="L1596">
        <v>0</v>
      </c>
      <c r="M1596" t="s">
        <v>125</v>
      </c>
      <c r="O1596" t="s">
        <v>125</v>
      </c>
      <c r="P1596" t="s">
        <v>125</v>
      </c>
      <c r="Q1596" t="s">
        <v>125</v>
      </c>
      <c r="R1596" t="s">
        <v>125</v>
      </c>
      <c r="S1596" t="s">
        <v>125</v>
      </c>
      <c r="T1596">
        <v>0</v>
      </c>
      <c r="V1596" t="s">
        <v>125</v>
      </c>
      <c r="AE1596" t="s">
        <v>125</v>
      </c>
      <c r="AF1596">
        <v>0</v>
      </c>
      <c r="AG1596" t="s">
        <v>125</v>
      </c>
      <c r="AH1596">
        <v>0</v>
      </c>
      <c r="AK1596">
        <v>0</v>
      </c>
    </row>
    <row r="1597" spans="1:37" x14ac:dyDescent="0.25">
      <c r="A1597" t="s">
        <v>79</v>
      </c>
      <c r="B1597">
        <v>6</v>
      </c>
      <c r="C1597">
        <v>3</v>
      </c>
      <c r="D1597">
        <v>5</v>
      </c>
      <c r="E1597">
        <v>10</v>
      </c>
      <c r="G1597">
        <v>635</v>
      </c>
      <c r="H1597" t="s">
        <v>63</v>
      </c>
      <c r="I1597" t="s">
        <v>129</v>
      </c>
      <c r="J1597" t="s">
        <v>150</v>
      </c>
      <c r="L1597">
        <v>0</v>
      </c>
      <c r="M1597" t="s">
        <v>125</v>
      </c>
      <c r="O1597" t="s">
        <v>125</v>
      </c>
      <c r="P1597" t="s">
        <v>125</v>
      </c>
      <c r="Q1597" t="s">
        <v>125</v>
      </c>
      <c r="R1597" t="s">
        <v>125</v>
      </c>
      <c r="S1597" t="s">
        <v>125</v>
      </c>
      <c r="T1597">
        <v>0</v>
      </c>
      <c r="V1597" t="s">
        <v>125</v>
      </c>
      <c r="AE1597" t="s">
        <v>125</v>
      </c>
      <c r="AF1597">
        <v>0</v>
      </c>
      <c r="AG1597" t="s">
        <v>125</v>
      </c>
      <c r="AH1597">
        <v>0</v>
      </c>
      <c r="AK1597">
        <v>0</v>
      </c>
    </row>
    <row r="1598" spans="1:37" x14ac:dyDescent="0.25">
      <c r="A1598" t="s">
        <v>79</v>
      </c>
      <c r="B1598">
        <v>6</v>
      </c>
      <c r="C1598">
        <v>3</v>
      </c>
      <c r="D1598">
        <v>5</v>
      </c>
      <c r="E1598">
        <v>11</v>
      </c>
      <c r="G1598">
        <v>635</v>
      </c>
      <c r="H1598" t="s">
        <v>63</v>
      </c>
      <c r="I1598" t="s">
        <v>131</v>
      </c>
      <c r="J1598" t="s">
        <v>151</v>
      </c>
      <c r="L1598">
        <v>0</v>
      </c>
      <c r="M1598" t="s">
        <v>125</v>
      </c>
      <c r="O1598" t="s">
        <v>125</v>
      </c>
      <c r="P1598" t="s">
        <v>125</v>
      </c>
      <c r="Q1598" t="s">
        <v>125</v>
      </c>
      <c r="R1598" t="s">
        <v>125</v>
      </c>
      <c r="S1598" t="s">
        <v>125</v>
      </c>
      <c r="T1598">
        <v>0</v>
      </c>
      <c r="V1598" t="s">
        <v>125</v>
      </c>
      <c r="AE1598" t="s">
        <v>125</v>
      </c>
      <c r="AF1598">
        <v>0</v>
      </c>
      <c r="AG1598" t="s">
        <v>125</v>
      </c>
      <c r="AH1598">
        <v>0</v>
      </c>
      <c r="AK1598">
        <v>0</v>
      </c>
    </row>
    <row r="1599" spans="1:37" x14ac:dyDescent="0.25">
      <c r="A1599" t="s">
        <v>79</v>
      </c>
      <c r="B1599">
        <v>6</v>
      </c>
      <c r="C1599">
        <v>3</v>
      </c>
      <c r="D1599">
        <v>5</v>
      </c>
      <c r="E1599">
        <v>12</v>
      </c>
      <c r="G1599">
        <v>635</v>
      </c>
      <c r="H1599" t="s">
        <v>63</v>
      </c>
      <c r="I1599" t="s">
        <v>133</v>
      </c>
      <c r="J1599" t="s">
        <v>152</v>
      </c>
      <c r="L1599">
        <v>0</v>
      </c>
      <c r="M1599" t="s">
        <v>125</v>
      </c>
      <c r="O1599" t="s">
        <v>125</v>
      </c>
      <c r="P1599" t="s">
        <v>125</v>
      </c>
      <c r="Q1599" t="s">
        <v>125</v>
      </c>
      <c r="R1599" t="s">
        <v>125</v>
      </c>
      <c r="S1599" t="s">
        <v>125</v>
      </c>
      <c r="T1599">
        <v>0</v>
      </c>
      <c r="V1599" t="s">
        <v>125</v>
      </c>
      <c r="AE1599" t="s">
        <v>125</v>
      </c>
      <c r="AF1599">
        <v>0</v>
      </c>
      <c r="AG1599" t="s">
        <v>125</v>
      </c>
      <c r="AH1599">
        <v>0</v>
      </c>
      <c r="AK1599">
        <v>0</v>
      </c>
    </row>
    <row r="1600" spans="1:37" x14ac:dyDescent="0.25">
      <c r="A1600" t="s">
        <v>79</v>
      </c>
      <c r="B1600">
        <v>6</v>
      </c>
      <c r="C1600">
        <v>3</v>
      </c>
      <c r="D1600">
        <v>5</v>
      </c>
      <c r="E1600">
        <v>13</v>
      </c>
      <c r="G1600">
        <v>635</v>
      </c>
      <c r="H1600" t="s">
        <v>63</v>
      </c>
      <c r="I1600" t="s">
        <v>135</v>
      </c>
      <c r="J1600" t="s">
        <v>153</v>
      </c>
      <c r="L1600">
        <v>0</v>
      </c>
      <c r="M1600" t="s">
        <v>125</v>
      </c>
      <c r="O1600" t="s">
        <v>125</v>
      </c>
      <c r="P1600" t="s">
        <v>125</v>
      </c>
      <c r="Q1600" t="s">
        <v>125</v>
      </c>
      <c r="R1600" t="s">
        <v>125</v>
      </c>
      <c r="S1600" t="s">
        <v>125</v>
      </c>
      <c r="T1600">
        <v>0</v>
      </c>
      <c r="V1600" t="s">
        <v>125</v>
      </c>
      <c r="AE1600" t="s">
        <v>125</v>
      </c>
      <c r="AF1600">
        <v>0</v>
      </c>
      <c r="AG1600" t="s">
        <v>125</v>
      </c>
      <c r="AH1600">
        <v>0</v>
      </c>
      <c r="AK1600">
        <v>0</v>
      </c>
    </row>
    <row r="1601" spans="1:37" x14ac:dyDescent="0.25">
      <c r="A1601" t="s">
        <v>79</v>
      </c>
      <c r="B1601">
        <v>6</v>
      </c>
      <c r="C1601">
        <v>3</v>
      </c>
      <c r="D1601">
        <v>5</v>
      </c>
      <c r="E1601">
        <v>14</v>
      </c>
      <c r="G1601">
        <v>635</v>
      </c>
      <c r="H1601" t="s">
        <v>63</v>
      </c>
      <c r="I1601" t="s">
        <v>137</v>
      </c>
      <c r="J1601" t="s">
        <v>154</v>
      </c>
      <c r="L1601">
        <v>0</v>
      </c>
      <c r="M1601" t="s">
        <v>125</v>
      </c>
      <c r="O1601" t="s">
        <v>125</v>
      </c>
      <c r="P1601" t="s">
        <v>125</v>
      </c>
      <c r="Q1601" t="s">
        <v>125</v>
      </c>
      <c r="R1601" t="s">
        <v>125</v>
      </c>
      <c r="S1601" t="s">
        <v>125</v>
      </c>
      <c r="T1601">
        <v>0</v>
      </c>
      <c r="V1601" t="s">
        <v>125</v>
      </c>
      <c r="AE1601" t="s">
        <v>125</v>
      </c>
      <c r="AF1601">
        <v>0</v>
      </c>
      <c r="AG1601" t="s">
        <v>125</v>
      </c>
      <c r="AH1601">
        <v>0</v>
      </c>
      <c r="AK1601">
        <v>0</v>
      </c>
    </row>
    <row r="1602" spans="1:37" x14ac:dyDescent="0.25">
      <c r="A1602" t="s">
        <v>79</v>
      </c>
      <c r="B1602">
        <v>6</v>
      </c>
      <c r="C1602">
        <v>3</v>
      </c>
      <c r="D1602">
        <v>5</v>
      </c>
      <c r="E1602">
        <v>15</v>
      </c>
      <c r="G1602">
        <v>635</v>
      </c>
      <c r="H1602" t="s">
        <v>63</v>
      </c>
      <c r="I1602" t="s">
        <v>139</v>
      </c>
      <c r="J1602" t="s">
        <v>155</v>
      </c>
      <c r="L1602">
        <v>0</v>
      </c>
      <c r="M1602" t="s">
        <v>125</v>
      </c>
      <c r="O1602" t="s">
        <v>125</v>
      </c>
      <c r="P1602" t="s">
        <v>125</v>
      </c>
      <c r="Q1602" t="s">
        <v>125</v>
      </c>
      <c r="R1602" t="s">
        <v>125</v>
      </c>
      <c r="S1602" t="s">
        <v>125</v>
      </c>
      <c r="T1602">
        <v>0</v>
      </c>
      <c r="V1602" t="s">
        <v>125</v>
      </c>
      <c r="AE1602" t="s">
        <v>125</v>
      </c>
      <c r="AF1602">
        <v>0</v>
      </c>
      <c r="AG1602" t="s">
        <v>125</v>
      </c>
      <c r="AH1602">
        <v>0</v>
      </c>
      <c r="AK1602">
        <v>0</v>
      </c>
    </row>
    <row r="1603" spans="1:37" x14ac:dyDescent="0.25">
      <c r="L1603">
        <v>0</v>
      </c>
    </row>
    <row r="1604" spans="1:37" x14ac:dyDescent="0.25">
      <c r="L1604">
        <v>0</v>
      </c>
    </row>
    <row r="1605" spans="1:37" x14ac:dyDescent="0.25">
      <c r="A1605" t="s">
        <v>56</v>
      </c>
      <c r="F1605">
        <v>7</v>
      </c>
      <c r="L1605">
        <v>7</v>
      </c>
      <c r="M1605" t="s">
        <v>116</v>
      </c>
      <c r="N1605" t="s">
        <v>2460</v>
      </c>
      <c r="P1605" t="s">
        <v>2461</v>
      </c>
      <c r="V1605" t="s">
        <v>2462</v>
      </c>
      <c r="Y1605" t="s">
        <v>2463</v>
      </c>
      <c r="AA1605" t="s">
        <v>2464</v>
      </c>
      <c r="AC1605" t="s">
        <v>2465</v>
      </c>
      <c r="AE1605" t="s">
        <v>2466</v>
      </c>
      <c r="AF1605">
        <v>0</v>
      </c>
      <c r="AG1605" t="s">
        <v>2467</v>
      </c>
      <c r="AH1605">
        <v>0</v>
      </c>
      <c r="AK1605">
        <v>0</v>
      </c>
    </row>
    <row r="1606" spans="1:37" x14ac:dyDescent="0.25">
      <c r="L1606">
        <v>0</v>
      </c>
    </row>
    <row r="1607" spans="1:37" x14ac:dyDescent="0.25">
      <c r="A1607" t="s">
        <v>66</v>
      </c>
      <c r="B1607">
        <v>7</v>
      </c>
      <c r="C1607">
        <v>1</v>
      </c>
      <c r="G1607">
        <v>7</v>
      </c>
      <c r="H1607" t="s">
        <v>2460</v>
      </c>
      <c r="I1607" t="s">
        <v>2468</v>
      </c>
      <c r="M1607" t="s">
        <v>2469</v>
      </c>
      <c r="N1607" t="s">
        <v>2468</v>
      </c>
      <c r="P1607" t="s">
        <v>2470</v>
      </c>
      <c r="V1607" t="s">
        <v>2471</v>
      </c>
      <c r="Y1607" t="s">
        <v>2472</v>
      </c>
      <c r="AA1607" t="s">
        <v>2473</v>
      </c>
      <c r="AC1607" t="s">
        <v>63</v>
      </c>
      <c r="AE1607" t="s">
        <v>2474</v>
      </c>
      <c r="AF1607">
        <v>0</v>
      </c>
      <c r="AG1607" t="s">
        <v>2475</v>
      </c>
      <c r="AH1607">
        <v>0</v>
      </c>
      <c r="AK1607">
        <v>0</v>
      </c>
    </row>
    <row r="1608" spans="1:37" x14ac:dyDescent="0.25">
      <c r="L1608">
        <v>0</v>
      </c>
    </row>
    <row r="1609" spans="1:37" x14ac:dyDescent="0.25">
      <c r="A1609" t="s">
        <v>70</v>
      </c>
      <c r="B1609">
        <v>7</v>
      </c>
      <c r="C1609">
        <v>1</v>
      </c>
      <c r="D1609">
        <v>1</v>
      </c>
      <c r="G1609">
        <v>71</v>
      </c>
      <c r="M1609" t="s">
        <v>2476</v>
      </c>
      <c r="O1609" t="s">
        <v>2477</v>
      </c>
      <c r="P1609" t="s">
        <v>2478</v>
      </c>
      <c r="Q1609" t="s">
        <v>2479</v>
      </c>
      <c r="R1609" t="s">
        <v>179</v>
      </c>
      <c r="S1609" t="s">
        <v>2480</v>
      </c>
      <c r="V1609" t="s">
        <v>2471</v>
      </c>
      <c r="X1609" t="s">
        <v>2481</v>
      </c>
      <c r="Y1609" t="s">
        <v>2472</v>
      </c>
      <c r="Z1609" t="s">
        <v>2482</v>
      </c>
      <c r="AA1609" t="s">
        <v>2473</v>
      </c>
      <c r="AB1609" t="s">
        <v>63</v>
      </c>
      <c r="AC1609" t="s">
        <v>63</v>
      </c>
      <c r="AE1609" t="s">
        <v>2474</v>
      </c>
      <c r="AF1609">
        <v>0</v>
      </c>
      <c r="AG1609" t="s">
        <v>2475</v>
      </c>
      <c r="AH1609">
        <v>0</v>
      </c>
      <c r="AK1609">
        <v>0</v>
      </c>
    </row>
    <row r="1610" spans="1:37" x14ac:dyDescent="0.25">
      <c r="A1610" t="s">
        <v>79</v>
      </c>
      <c r="B1610">
        <v>7</v>
      </c>
      <c r="C1610">
        <v>1</v>
      </c>
      <c r="D1610">
        <v>1</v>
      </c>
      <c r="E1610">
        <v>1</v>
      </c>
      <c r="G1610">
        <v>711</v>
      </c>
      <c r="H1610" t="s">
        <v>2477</v>
      </c>
      <c r="I1610" t="s">
        <v>80</v>
      </c>
      <c r="J1610" t="s">
        <v>2483</v>
      </c>
      <c r="L1610">
        <v>0</v>
      </c>
      <c r="M1610" t="s">
        <v>2484</v>
      </c>
      <c r="O1610" t="s">
        <v>2485</v>
      </c>
      <c r="P1610" t="s">
        <v>2486</v>
      </c>
      <c r="Q1610" t="s">
        <v>2487</v>
      </c>
      <c r="R1610" t="s">
        <v>382</v>
      </c>
      <c r="S1610" t="s">
        <v>2488</v>
      </c>
      <c r="T1610">
        <v>4500</v>
      </c>
      <c r="U1610">
        <v>84915</v>
      </c>
      <c r="V1610" t="s">
        <v>2489</v>
      </c>
      <c r="AE1610" t="s">
        <v>2490</v>
      </c>
      <c r="AF1610">
        <v>0</v>
      </c>
      <c r="AG1610" t="s">
        <v>2491</v>
      </c>
      <c r="AH1610">
        <v>0</v>
      </c>
      <c r="AK1610">
        <v>0</v>
      </c>
    </row>
    <row r="1611" spans="1:37" x14ac:dyDescent="0.25">
      <c r="A1611" t="s">
        <v>79</v>
      </c>
      <c r="B1611">
        <v>7</v>
      </c>
      <c r="C1611">
        <v>1</v>
      </c>
      <c r="D1611">
        <v>1</v>
      </c>
      <c r="E1611">
        <v>2</v>
      </c>
      <c r="G1611">
        <v>711</v>
      </c>
      <c r="H1611" t="s">
        <v>2477</v>
      </c>
      <c r="I1611" t="s">
        <v>88</v>
      </c>
      <c r="J1611" t="s">
        <v>2492</v>
      </c>
      <c r="L1611">
        <v>0</v>
      </c>
      <c r="M1611" t="s">
        <v>2493</v>
      </c>
      <c r="O1611" t="s">
        <v>2494</v>
      </c>
      <c r="P1611" t="s">
        <v>2495</v>
      </c>
      <c r="Q1611" t="s">
        <v>1095</v>
      </c>
      <c r="R1611" t="s">
        <v>192</v>
      </c>
      <c r="S1611" t="s">
        <v>2496</v>
      </c>
      <c r="T1611">
        <v>4500</v>
      </c>
      <c r="U1611">
        <v>1890</v>
      </c>
      <c r="V1611" t="s">
        <v>2497</v>
      </c>
      <c r="AE1611" t="s">
        <v>2498</v>
      </c>
      <c r="AF1611">
        <v>0</v>
      </c>
      <c r="AG1611" t="s">
        <v>2499</v>
      </c>
      <c r="AH1611">
        <v>0</v>
      </c>
      <c r="AK1611">
        <v>0</v>
      </c>
    </row>
    <row r="1612" spans="1:37" x14ac:dyDescent="0.25">
      <c r="A1612" t="s">
        <v>79</v>
      </c>
      <c r="B1612">
        <v>7</v>
      </c>
      <c r="C1612">
        <v>1</v>
      </c>
      <c r="D1612">
        <v>1</v>
      </c>
      <c r="E1612">
        <v>3</v>
      </c>
      <c r="G1612">
        <v>711</v>
      </c>
      <c r="H1612" t="s">
        <v>2477</v>
      </c>
      <c r="I1612" t="s">
        <v>95</v>
      </c>
      <c r="J1612" t="s">
        <v>2500</v>
      </c>
      <c r="L1612">
        <v>0</v>
      </c>
      <c r="M1612" t="s">
        <v>2501</v>
      </c>
      <c r="O1612" t="s">
        <v>2502</v>
      </c>
      <c r="P1612" t="s">
        <v>2503</v>
      </c>
      <c r="Q1612" t="s">
        <v>2504</v>
      </c>
      <c r="R1612" t="s">
        <v>2505</v>
      </c>
      <c r="S1612" t="s">
        <v>2506</v>
      </c>
      <c r="T1612">
        <v>4500</v>
      </c>
      <c r="U1612">
        <v>22</v>
      </c>
      <c r="V1612" t="s">
        <v>2507</v>
      </c>
      <c r="AE1612" t="s">
        <v>2508</v>
      </c>
      <c r="AF1612">
        <v>0</v>
      </c>
      <c r="AG1612" t="s">
        <v>2509</v>
      </c>
      <c r="AH1612">
        <v>0</v>
      </c>
      <c r="AK1612">
        <v>0</v>
      </c>
    </row>
    <row r="1613" spans="1:37" x14ac:dyDescent="0.25">
      <c r="A1613" t="s">
        <v>79</v>
      </c>
      <c r="B1613">
        <v>7</v>
      </c>
      <c r="C1613">
        <v>1</v>
      </c>
      <c r="D1613">
        <v>1</v>
      </c>
      <c r="E1613">
        <v>4</v>
      </c>
      <c r="G1613">
        <v>711</v>
      </c>
      <c r="H1613" t="s">
        <v>2477</v>
      </c>
      <c r="I1613" t="s">
        <v>102</v>
      </c>
      <c r="J1613" t="s">
        <v>2510</v>
      </c>
      <c r="L1613">
        <v>0</v>
      </c>
      <c r="M1613" t="s">
        <v>2511</v>
      </c>
      <c r="O1613" t="s">
        <v>2512</v>
      </c>
      <c r="P1613" t="s">
        <v>2513</v>
      </c>
      <c r="Q1613" t="s">
        <v>2514</v>
      </c>
      <c r="R1613" t="s">
        <v>268</v>
      </c>
      <c r="S1613" t="s">
        <v>2515</v>
      </c>
      <c r="T1613">
        <v>4500</v>
      </c>
      <c r="U1613">
        <v>35</v>
      </c>
      <c r="V1613" t="s">
        <v>2516</v>
      </c>
      <c r="AE1613" t="s">
        <v>2517</v>
      </c>
      <c r="AF1613">
        <v>0</v>
      </c>
      <c r="AG1613" t="s">
        <v>2518</v>
      </c>
      <c r="AH1613">
        <v>0</v>
      </c>
      <c r="AK1613">
        <v>0</v>
      </c>
    </row>
    <row r="1614" spans="1:37" x14ac:dyDescent="0.25">
      <c r="A1614" t="s">
        <v>79</v>
      </c>
      <c r="B1614">
        <v>7</v>
      </c>
      <c r="C1614">
        <v>1</v>
      </c>
      <c r="D1614">
        <v>1</v>
      </c>
      <c r="E1614">
        <v>5</v>
      </c>
      <c r="G1614">
        <v>711</v>
      </c>
      <c r="H1614" t="s">
        <v>2477</v>
      </c>
      <c r="I1614" t="s">
        <v>109</v>
      </c>
      <c r="J1614" t="s">
        <v>2519</v>
      </c>
      <c r="L1614">
        <v>0</v>
      </c>
      <c r="M1614" t="s">
        <v>2520</v>
      </c>
      <c r="O1614" t="s">
        <v>1319</v>
      </c>
      <c r="P1614" t="s">
        <v>1320</v>
      </c>
      <c r="Q1614" t="s">
        <v>2521</v>
      </c>
      <c r="R1614" t="s">
        <v>229</v>
      </c>
      <c r="S1614" t="s">
        <v>1322</v>
      </c>
      <c r="T1614">
        <v>4500</v>
      </c>
      <c r="U1614">
        <v>3465</v>
      </c>
      <c r="V1614" t="s">
        <v>2522</v>
      </c>
      <c r="AE1614" t="s">
        <v>2523</v>
      </c>
      <c r="AF1614">
        <v>0</v>
      </c>
      <c r="AG1614" t="s">
        <v>2524</v>
      </c>
      <c r="AH1614">
        <v>0</v>
      </c>
      <c r="AK1614">
        <v>0</v>
      </c>
    </row>
    <row r="1615" spans="1:37" x14ac:dyDescent="0.25">
      <c r="A1615" t="s">
        <v>79</v>
      </c>
      <c r="B1615">
        <v>7</v>
      </c>
      <c r="C1615">
        <v>1</v>
      </c>
      <c r="D1615">
        <v>1</v>
      </c>
      <c r="E1615">
        <v>6</v>
      </c>
      <c r="G1615">
        <v>711</v>
      </c>
      <c r="H1615" t="s">
        <v>2477</v>
      </c>
      <c r="I1615" t="s">
        <v>116</v>
      </c>
      <c r="J1615" t="s">
        <v>2525</v>
      </c>
      <c r="L1615">
        <v>0</v>
      </c>
      <c r="M1615" t="s">
        <v>2526</v>
      </c>
      <c r="O1615" t="s">
        <v>294</v>
      </c>
      <c r="P1615" t="s">
        <v>295</v>
      </c>
      <c r="Q1615" t="s">
        <v>2527</v>
      </c>
      <c r="R1615" t="s">
        <v>229</v>
      </c>
      <c r="S1615" t="s">
        <v>297</v>
      </c>
      <c r="T1615">
        <v>4500</v>
      </c>
      <c r="U1615">
        <v>1732</v>
      </c>
      <c r="V1615" t="s">
        <v>2528</v>
      </c>
      <c r="AE1615" t="s">
        <v>2529</v>
      </c>
      <c r="AF1615">
        <v>0</v>
      </c>
      <c r="AG1615" t="s">
        <v>2530</v>
      </c>
      <c r="AH1615">
        <v>0</v>
      </c>
      <c r="AK1615">
        <v>0</v>
      </c>
    </row>
    <row r="1616" spans="1:37" x14ac:dyDescent="0.25">
      <c r="A1616" t="s">
        <v>79</v>
      </c>
      <c r="B1616">
        <v>7</v>
      </c>
      <c r="C1616">
        <v>1</v>
      </c>
      <c r="D1616">
        <v>1</v>
      </c>
      <c r="E1616">
        <v>7</v>
      </c>
      <c r="G1616">
        <v>711</v>
      </c>
      <c r="H1616" t="s">
        <v>2477</v>
      </c>
      <c r="I1616" t="s">
        <v>123</v>
      </c>
      <c r="J1616" t="s">
        <v>2531</v>
      </c>
      <c r="L1616">
        <v>0</v>
      </c>
      <c r="M1616" t="s">
        <v>125</v>
      </c>
      <c r="O1616" t="s">
        <v>125</v>
      </c>
      <c r="P1616" t="s">
        <v>125</v>
      </c>
      <c r="Q1616" t="s">
        <v>125</v>
      </c>
      <c r="R1616" t="s">
        <v>125</v>
      </c>
      <c r="S1616" t="s">
        <v>125</v>
      </c>
      <c r="T1616">
        <v>4500</v>
      </c>
      <c r="V1616" t="s">
        <v>125</v>
      </c>
      <c r="AE1616" t="s">
        <v>125</v>
      </c>
      <c r="AF1616">
        <v>0</v>
      </c>
      <c r="AG1616" t="s">
        <v>125</v>
      </c>
      <c r="AH1616">
        <v>0</v>
      </c>
      <c r="AK1616">
        <v>0</v>
      </c>
    </row>
    <row r="1617" spans="1:37" x14ac:dyDescent="0.25">
      <c r="A1617" t="s">
        <v>79</v>
      </c>
      <c r="B1617">
        <v>7</v>
      </c>
      <c r="C1617">
        <v>1</v>
      </c>
      <c r="D1617">
        <v>1</v>
      </c>
      <c r="E1617">
        <v>8</v>
      </c>
      <c r="G1617">
        <v>711</v>
      </c>
      <c r="H1617" t="s">
        <v>2477</v>
      </c>
      <c r="I1617" t="s">
        <v>126</v>
      </c>
      <c r="J1617" t="s">
        <v>2532</v>
      </c>
      <c r="L1617">
        <v>0</v>
      </c>
      <c r="M1617" t="s">
        <v>125</v>
      </c>
      <c r="O1617" t="s">
        <v>125</v>
      </c>
      <c r="P1617" t="s">
        <v>125</v>
      </c>
      <c r="Q1617" t="s">
        <v>125</v>
      </c>
      <c r="R1617" t="s">
        <v>125</v>
      </c>
      <c r="S1617" t="s">
        <v>125</v>
      </c>
      <c r="T1617">
        <v>4500</v>
      </c>
      <c r="V1617" t="s">
        <v>125</v>
      </c>
      <c r="AE1617" t="s">
        <v>125</v>
      </c>
      <c r="AF1617">
        <v>0</v>
      </c>
      <c r="AG1617" t="s">
        <v>125</v>
      </c>
      <c r="AH1617">
        <v>0</v>
      </c>
      <c r="AK1617">
        <v>0</v>
      </c>
    </row>
    <row r="1618" spans="1:37" x14ac:dyDescent="0.25">
      <c r="A1618" t="s">
        <v>79</v>
      </c>
      <c r="B1618">
        <v>7</v>
      </c>
      <c r="C1618">
        <v>1</v>
      </c>
      <c r="D1618">
        <v>1</v>
      </c>
      <c r="E1618">
        <v>9</v>
      </c>
      <c r="G1618">
        <v>711</v>
      </c>
      <c r="H1618" t="s">
        <v>2477</v>
      </c>
      <c r="I1618" t="s">
        <v>74</v>
      </c>
      <c r="J1618" t="s">
        <v>2533</v>
      </c>
      <c r="L1618">
        <v>0</v>
      </c>
      <c r="M1618" t="s">
        <v>125</v>
      </c>
      <c r="O1618" t="s">
        <v>125</v>
      </c>
      <c r="P1618" t="s">
        <v>125</v>
      </c>
      <c r="Q1618" t="s">
        <v>125</v>
      </c>
      <c r="R1618" t="s">
        <v>125</v>
      </c>
      <c r="S1618" t="s">
        <v>125</v>
      </c>
      <c r="T1618">
        <v>4500</v>
      </c>
      <c r="V1618" t="s">
        <v>125</v>
      </c>
      <c r="AE1618" t="s">
        <v>125</v>
      </c>
      <c r="AF1618">
        <v>0</v>
      </c>
      <c r="AG1618" t="s">
        <v>125</v>
      </c>
      <c r="AH1618">
        <v>0</v>
      </c>
      <c r="AK1618">
        <v>0</v>
      </c>
    </row>
    <row r="1619" spans="1:37" x14ac:dyDescent="0.25">
      <c r="A1619" t="s">
        <v>79</v>
      </c>
      <c r="B1619">
        <v>7</v>
      </c>
      <c r="C1619">
        <v>1</v>
      </c>
      <c r="D1619">
        <v>1</v>
      </c>
      <c r="E1619">
        <v>10</v>
      </c>
      <c r="G1619">
        <v>711</v>
      </c>
      <c r="H1619" t="s">
        <v>2477</v>
      </c>
      <c r="I1619" t="s">
        <v>129</v>
      </c>
      <c r="J1619" t="s">
        <v>2534</v>
      </c>
      <c r="L1619">
        <v>0</v>
      </c>
      <c r="M1619" t="s">
        <v>125</v>
      </c>
      <c r="O1619" t="s">
        <v>125</v>
      </c>
      <c r="P1619" t="s">
        <v>125</v>
      </c>
      <c r="Q1619" t="s">
        <v>125</v>
      </c>
      <c r="R1619" t="s">
        <v>125</v>
      </c>
      <c r="S1619" t="s">
        <v>125</v>
      </c>
      <c r="T1619">
        <v>4500</v>
      </c>
      <c r="V1619" t="s">
        <v>125</v>
      </c>
      <c r="AE1619" t="s">
        <v>125</v>
      </c>
      <c r="AF1619">
        <v>0</v>
      </c>
      <c r="AG1619" t="s">
        <v>125</v>
      </c>
      <c r="AH1619">
        <v>0</v>
      </c>
      <c r="AK1619">
        <v>0</v>
      </c>
    </row>
    <row r="1620" spans="1:37" x14ac:dyDescent="0.25">
      <c r="A1620" t="s">
        <v>79</v>
      </c>
      <c r="B1620">
        <v>7</v>
      </c>
      <c r="C1620">
        <v>1</v>
      </c>
      <c r="D1620">
        <v>1</v>
      </c>
      <c r="E1620">
        <v>11</v>
      </c>
      <c r="G1620">
        <v>711</v>
      </c>
      <c r="H1620" t="s">
        <v>2477</v>
      </c>
      <c r="I1620" t="s">
        <v>131</v>
      </c>
      <c r="J1620" t="s">
        <v>2535</v>
      </c>
      <c r="L1620">
        <v>0</v>
      </c>
      <c r="M1620" t="s">
        <v>125</v>
      </c>
      <c r="O1620" t="s">
        <v>125</v>
      </c>
      <c r="P1620" t="s">
        <v>125</v>
      </c>
      <c r="Q1620" t="s">
        <v>125</v>
      </c>
      <c r="R1620" t="s">
        <v>125</v>
      </c>
      <c r="S1620" t="s">
        <v>125</v>
      </c>
      <c r="T1620">
        <v>4500</v>
      </c>
      <c r="V1620" t="s">
        <v>125</v>
      </c>
      <c r="AE1620" t="s">
        <v>125</v>
      </c>
      <c r="AF1620">
        <v>0</v>
      </c>
      <c r="AG1620" t="s">
        <v>125</v>
      </c>
      <c r="AH1620">
        <v>0</v>
      </c>
      <c r="AK1620">
        <v>0</v>
      </c>
    </row>
    <row r="1621" spans="1:37" x14ac:dyDescent="0.25">
      <c r="A1621" t="s">
        <v>79</v>
      </c>
      <c r="B1621">
        <v>7</v>
      </c>
      <c r="C1621">
        <v>1</v>
      </c>
      <c r="D1621">
        <v>1</v>
      </c>
      <c r="E1621">
        <v>12</v>
      </c>
      <c r="G1621">
        <v>711</v>
      </c>
      <c r="H1621" t="s">
        <v>2477</v>
      </c>
      <c r="I1621" t="s">
        <v>133</v>
      </c>
      <c r="J1621" t="s">
        <v>2536</v>
      </c>
      <c r="L1621">
        <v>0</v>
      </c>
      <c r="M1621" t="s">
        <v>125</v>
      </c>
      <c r="O1621" t="s">
        <v>125</v>
      </c>
      <c r="P1621" t="s">
        <v>125</v>
      </c>
      <c r="Q1621" t="s">
        <v>125</v>
      </c>
      <c r="R1621" t="s">
        <v>125</v>
      </c>
      <c r="S1621" t="s">
        <v>125</v>
      </c>
      <c r="T1621">
        <v>4500</v>
      </c>
      <c r="V1621" t="s">
        <v>125</v>
      </c>
      <c r="AE1621" t="s">
        <v>125</v>
      </c>
      <c r="AF1621">
        <v>0</v>
      </c>
      <c r="AG1621" t="s">
        <v>125</v>
      </c>
      <c r="AH1621">
        <v>0</v>
      </c>
      <c r="AK1621">
        <v>0</v>
      </c>
    </row>
    <row r="1622" spans="1:37" x14ac:dyDescent="0.25">
      <c r="A1622" t="s">
        <v>79</v>
      </c>
      <c r="B1622">
        <v>7</v>
      </c>
      <c r="C1622">
        <v>1</v>
      </c>
      <c r="D1622">
        <v>1</v>
      </c>
      <c r="E1622">
        <v>13</v>
      </c>
      <c r="G1622">
        <v>711</v>
      </c>
      <c r="H1622" t="s">
        <v>2477</v>
      </c>
      <c r="I1622" t="s">
        <v>135</v>
      </c>
      <c r="J1622" t="s">
        <v>2537</v>
      </c>
      <c r="L1622">
        <v>0</v>
      </c>
      <c r="M1622" t="s">
        <v>125</v>
      </c>
      <c r="O1622" t="s">
        <v>125</v>
      </c>
      <c r="P1622" t="s">
        <v>125</v>
      </c>
      <c r="Q1622" t="s">
        <v>125</v>
      </c>
      <c r="R1622" t="s">
        <v>125</v>
      </c>
      <c r="S1622" t="s">
        <v>125</v>
      </c>
      <c r="T1622">
        <v>4500</v>
      </c>
      <c r="V1622" t="s">
        <v>125</v>
      </c>
      <c r="AE1622" t="s">
        <v>125</v>
      </c>
      <c r="AF1622">
        <v>0</v>
      </c>
      <c r="AG1622" t="s">
        <v>125</v>
      </c>
      <c r="AH1622">
        <v>0</v>
      </c>
      <c r="AK1622">
        <v>0</v>
      </c>
    </row>
    <row r="1623" spans="1:37" x14ac:dyDescent="0.25">
      <c r="A1623" t="s">
        <v>79</v>
      </c>
      <c r="B1623">
        <v>7</v>
      </c>
      <c r="C1623">
        <v>1</v>
      </c>
      <c r="D1623">
        <v>1</v>
      </c>
      <c r="E1623">
        <v>14</v>
      </c>
      <c r="G1623">
        <v>711</v>
      </c>
      <c r="H1623" t="s">
        <v>2477</v>
      </c>
      <c r="I1623" t="s">
        <v>137</v>
      </c>
      <c r="J1623" t="s">
        <v>2538</v>
      </c>
      <c r="L1623">
        <v>0</v>
      </c>
      <c r="M1623" t="s">
        <v>125</v>
      </c>
      <c r="O1623" t="s">
        <v>125</v>
      </c>
      <c r="P1623" t="s">
        <v>125</v>
      </c>
      <c r="Q1623" t="s">
        <v>125</v>
      </c>
      <c r="R1623" t="s">
        <v>125</v>
      </c>
      <c r="S1623" t="s">
        <v>125</v>
      </c>
      <c r="T1623">
        <v>4500</v>
      </c>
      <c r="V1623" t="s">
        <v>125</v>
      </c>
      <c r="AE1623" t="s">
        <v>125</v>
      </c>
      <c r="AF1623">
        <v>0</v>
      </c>
      <c r="AG1623" t="s">
        <v>125</v>
      </c>
      <c r="AH1623">
        <v>0</v>
      </c>
      <c r="AK1623">
        <v>0</v>
      </c>
    </row>
    <row r="1624" spans="1:37" x14ac:dyDescent="0.25">
      <c r="A1624" t="s">
        <v>79</v>
      </c>
      <c r="B1624">
        <v>7</v>
      </c>
      <c r="C1624">
        <v>1</v>
      </c>
      <c r="D1624">
        <v>1</v>
      </c>
      <c r="E1624">
        <v>15</v>
      </c>
      <c r="G1624">
        <v>711</v>
      </c>
      <c r="H1624" t="s">
        <v>2477</v>
      </c>
      <c r="I1624" t="s">
        <v>139</v>
      </c>
      <c r="J1624" t="s">
        <v>2539</v>
      </c>
      <c r="L1624">
        <v>0</v>
      </c>
      <c r="M1624" t="s">
        <v>125</v>
      </c>
      <c r="O1624" t="s">
        <v>125</v>
      </c>
      <c r="P1624" t="s">
        <v>125</v>
      </c>
      <c r="Q1624" t="s">
        <v>125</v>
      </c>
      <c r="R1624" t="s">
        <v>125</v>
      </c>
      <c r="S1624" t="s">
        <v>125</v>
      </c>
      <c r="T1624">
        <v>4500</v>
      </c>
      <c r="V1624" t="s">
        <v>125</v>
      </c>
      <c r="AE1624" t="s">
        <v>125</v>
      </c>
      <c r="AF1624">
        <v>0</v>
      </c>
      <c r="AG1624" t="s">
        <v>125</v>
      </c>
      <c r="AH1624">
        <v>0</v>
      </c>
      <c r="AK1624">
        <v>0</v>
      </c>
    </row>
    <row r="1625" spans="1:37" x14ac:dyDescent="0.25">
      <c r="L1625">
        <v>0</v>
      </c>
    </row>
    <row r="1626" spans="1:37" x14ac:dyDescent="0.25">
      <c r="A1626" t="s">
        <v>70</v>
      </c>
      <c r="B1626">
        <v>7</v>
      </c>
      <c r="C1626">
        <v>1</v>
      </c>
      <c r="D1626">
        <v>2</v>
      </c>
      <c r="G1626">
        <v>71</v>
      </c>
      <c r="L1626">
        <v>0</v>
      </c>
      <c r="M1626" t="s">
        <v>125</v>
      </c>
      <c r="P1626" t="s">
        <v>125</v>
      </c>
      <c r="R1626" t="s">
        <v>125</v>
      </c>
      <c r="S1626" t="s">
        <v>63</v>
      </c>
      <c r="V1626" t="s">
        <v>125</v>
      </c>
      <c r="X1626" t="s">
        <v>125</v>
      </c>
      <c r="Y1626" t="s">
        <v>125</v>
      </c>
      <c r="Z1626" t="s">
        <v>125</v>
      </c>
      <c r="AA1626" t="s">
        <v>125</v>
      </c>
      <c r="AB1626" t="s">
        <v>125</v>
      </c>
      <c r="AC1626" t="s">
        <v>125</v>
      </c>
      <c r="AE1626" t="s">
        <v>125</v>
      </c>
      <c r="AF1626">
        <v>0</v>
      </c>
      <c r="AG1626" t="s">
        <v>125</v>
      </c>
      <c r="AH1626">
        <v>0</v>
      </c>
      <c r="AK1626">
        <v>0</v>
      </c>
    </row>
    <row r="1627" spans="1:37" x14ac:dyDescent="0.25">
      <c r="A1627" t="s">
        <v>79</v>
      </c>
      <c r="B1627">
        <v>7</v>
      </c>
      <c r="C1627">
        <v>1</v>
      </c>
      <c r="D1627">
        <v>2</v>
      </c>
      <c r="E1627">
        <v>1</v>
      </c>
      <c r="G1627">
        <v>712</v>
      </c>
      <c r="H1627" t="s">
        <v>63</v>
      </c>
      <c r="I1627" t="s">
        <v>80</v>
      </c>
      <c r="J1627" t="s">
        <v>141</v>
      </c>
      <c r="L1627">
        <v>0</v>
      </c>
      <c r="M1627" t="s">
        <v>125</v>
      </c>
      <c r="O1627" t="s">
        <v>125</v>
      </c>
      <c r="P1627" t="s">
        <v>125</v>
      </c>
      <c r="Q1627" t="s">
        <v>125</v>
      </c>
      <c r="R1627" t="s">
        <v>125</v>
      </c>
      <c r="S1627" t="s">
        <v>125</v>
      </c>
      <c r="T1627">
        <v>0</v>
      </c>
      <c r="V1627" t="s">
        <v>125</v>
      </c>
      <c r="AE1627" t="s">
        <v>125</v>
      </c>
      <c r="AF1627">
        <v>0</v>
      </c>
      <c r="AG1627" t="s">
        <v>125</v>
      </c>
      <c r="AH1627">
        <v>0</v>
      </c>
      <c r="AK1627">
        <v>0</v>
      </c>
    </row>
    <row r="1628" spans="1:37" x14ac:dyDescent="0.25">
      <c r="A1628" t="s">
        <v>79</v>
      </c>
      <c r="B1628">
        <v>7</v>
      </c>
      <c r="C1628">
        <v>1</v>
      </c>
      <c r="D1628">
        <v>2</v>
      </c>
      <c r="E1628">
        <v>2</v>
      </c>
      <c r="G1628">
        <v>712</v>
      </c>
      <c r="H1628" t="s">
        <v>63</v>
      </c>
      <c r="I1628" t="s">
        <v>88</v>
      </c>
      <c r="J1628" t="s">
        <v>142</v>
      </c>
      <c r="L1628">
        <v>0</v>
      </c>
      <c r="M1628" t="s">
        <v>125</v>
      </c>
      <c r="O1628" t="s">
        <v>125</v>
      </c>
      <c r="P1628" t="s">
        <v>125</v>
      </c>
      <c r="Q1628" t="s">
        <v>125</v>
      </c>
      <c r="R1628" t="s">
        <v>125</v>
      </c>
      <c r="S1628" t="s">
        <v>125</v>
      </c>
      <c r="T1628">
        <v>0</v>
      </c>
      <c r="V1628" t="s">
        <v>125</v>
      </c>
      <c r="AE1628" t="s">
        <v>125</v>
      </c>
      <c r="AF1628">
        <v>0</v>
      </c>
      <c r="AG1628" t="s">
        <v>125</v>
      </c>
      <c r="AH1628">
        <v>0</v>
      </c>
      <c r="AK1628">
        <v>0</v>
      </c>
    </row>
    <row r="1629" spans="1:37" x14ac:dyDescent="0.25">
      <c r="A1629" t="s">
        <v>79</v>
      </c>
      <c r="B1629">
        <v>7</v>
      </c>
      <c r="C1629">
        <v>1</v>
      </c>
      <c r="D1629">
        <v>2</v>
      </c>
      <c r="E1629">
        <v>3</v>
      </c>
      <c r="G1629">
        <v>712</v>
      </c>
      <c r="H1629" t="s">
        <v>63</v>
      </c>
      <c r="I1629" t="s">
        <v>95</v>
      </c>
      <c r="J1629" t="s">
        <v>143</v>
      </c>
      <c r="L1629">
        <v>0</v>
      </c>
      <c r="M1629" t="s">
        <v>125</v>
      </c>
      <c r="O1629" t="s">
        <v>125</v>
      </c>
      <c r="P1629" t="s">
        <v>125</v>
      </c>
      <c r="Q1629" t="s">
        <v>125</v>
      </c>
      <c r="R1629" t="s">
        <v>125</v>
      </c>
      <c r="S1629" t="s">
        <v>125</v>
      </c>
      <c r="T1629">
        <v>0</v>
      </c>
      <c r="V1629" t="s">
        <v>125</v>
      </c>
      <c r="AE1629" t="s">
        <v>125</v>
      </c>
      <c r="AF1629">
        <v>0</v>
      </c>
      <c r="AG1629" t="s">
        <v>125</v>
      </c>
      <c r="AH1629">
        <v>0</v>
      </c>
      <c r="AK1629">
        <v>0</v>
      </c>
    </row>
    <row r="1630" spans="1:37" x14ac:dyDescent="0.25">
      <c r="A1630" t="s">
        <v>79</v>
      </c>
      <c r="B1630">
        <v>7</v>
      </c>
      <c r="C1630">
        <v>1</v>
      </c>
      <c r="D1630">
        <v>2</v>
      </c>
      <c r="E1630">
        <v>4</v>
      </c>
      <c r="G1630">
        <v>712</v>
      </c>
      <c r="H1630" t="s">
        <v>63</v>
      </c>
      <c r="I1630" t="s">
        <v>102</v>
      </c>
      <c r="J1630" t="s">
        <v>144</v>
      </c>
      <c r="L1630">
        <v>0</v>
      </c>
      <c r="M1630" t="s">
        <v>125</v>
      </c>
      <c r="O1630" t="s">
        <v>125</v>
      </c>
      <c r="P1630" t="s">
        <v>125</v>
      </c>
      <c r="Q1630" t="s">
        <v>125</v>
      </c>
      <c r="R1630" t="s">
        <v>125</v>
      </c>
      <c r="S1630" t="s">
        <v>125</v>
      </c>
      <c r="T1630">
        <v>0</v>
      </c>
      <c r="V1630" t="s">
        <v>125</v>
      </c>
      <c r="AE1630" t="s">
        <v>125</v>
      </c>
      <c r="AF1630">
        <v>0</v>
      </c>
      <c r="AG1630" t="s">
        <v>125</v>
      </c>
      <c r="AH1630">
        <v>0</v>
      </c>
      <c r="AK1630">
        <v>0</v>
      </c>
    </row>
    <row r="1631" spans="1:37" x14ac:dyDescent="0.25">
      <c r="A1631" t="s">
        <v>79</v>
      </c>
      <c r="B1631">
        <v>7</v>
      </c>
      <c r="C1631">
        <v>1</v>
      </c>
      <c r="D1631">
        <v>2</v>
      </c>
      <c r="E1631">
        <v>5</v>
      </c>
      <c r="G1631">
        <v>712</v>
      </c>
      <c r="H1631" t="s">
        <v>63</v>
      </c>
      <c r="I1631" t="s">
        <v>109</v>
      </c>
      <c r="J1631" t="s">
        <v>145</v>
      </c>
      <c r="L1631">
        <v>0</v>
      </c>
      <c r="M1631" t="s">
        <v>125</v>
      </c>
      <c r="O1631" t="s">
        <v>125</v>
      </c>
      <c r="P1631" t="s">
        <v>125</v>
      </c>
      <c r="Q1631" t="s">
        <v>125</v>
      </c>
      <c r="R1631" t="s">
        <v>125</v>
      </c>
      <c r="S1631" t="s">
        <v>125</v>
      </c>
      <c r="T1631">
        <v>0</v>
      </c>
      <c r="V1631" t="s">
        <v>125</v>
      </c>
      <c r="AE1631" t="s">
        <v>125</v>
      </c>
      <c r="AF1631">
        <v>0</v>
      </c>
      <c r="AG1631" t="s">
        <v>125</v>
      </c>
      <c r="AH1631">
        <v>0</v>
      </c>
      <c r="AK1631">
        <v>0</v>
      </c>
    </row>
    <row r="1632" spans="1:37" x14ac:dyDescent="0.25">
      <c r="A1632" t="s">
        <v>79</v>
      </c>
      <c r="B1632">
        <v>7</v>
      </c>
      <c r="C1632">
        <v>1</v>
      </c>
      <c r="D1632">
        <v>2</v>
      </c>
      <c r="E1632">
        <v>6</v>
      </c>
      <c r="G1632">
        <v>712</v>
      </c>
      <c r="H1632" t="s">
        <v>63</v>
      </c>
      <c r="I1632" t="s">
        <v>116</v>
      </c>
      <c r="J1632" t="s">
        <v>146</v>
      </c>
      <c r="L1632">
        <v>0</v>
      </c>
      <c r="M1632" t="s">
        <v>125</v>
      </c>
      <c r="O1632" t="s">
        <v>125</v>
      </c>
      <c r="P1632" t="s">
        <v>125</v>
      </c>
      <c r="Q1632" t="s">
        <v>125</v>
      </c>
      <c r="R1632" t="s">
        <v>125</v>
      </c>
      <c r="S1632" t="s">
        <v>125</v>
      </c>
      <c r="T1632">
        <v>0</v>
      </c>
      <c r="V1632" t="s">
        <v>125</v>
      </c>
      <c r="AE1632" t="s">
        <v>125</v>
      </c>
      <c r="AF1632">
        <v>0</v>
      </c>
      <c r="AG1632" t="s">
        <v>125</v>
      </c>
      <c r="AH1632">
        <v>0</v>
      </c>
      <c r="AK1632">
        <v>0</v>
      </c>
    </row>
    <row r="1633" spans="1:37" x14ac:dyDescent="0.25">
      <c r="A1633" t="s">
        <v>79</v>
      </c>
      <c r="B1633">
        <v>7</v>
      </c>
      <c r="C1633">
        <v>1</v>
      </c>
      <c r="D1633">
        <v>2</v>
      </c>
      <c r="E1633">
        <v>7</v>
      </c>
      <c r="G1633">
        <v>712</v>
      </c>
      <c r="H1633" t="s">
        <v>63</v>
      </c>
      <c r="I1633" t="s">
        <v>123</v>
      </c>
      <c r="J1633" t="s">
        <v>147</v>
      </c>
      <c r="L1633">
        <v>0</v>
      </c>
      <c r="M1633" t="s">
        <v>125</v>
      </c>
      <c r="O1633" t="s">
        <v>125</v>
      </c>
      <c r="P1633" t="s">
        <v>125</v>
      </c>
      <c r="Q1633" t="s">
        <v>125</v>
      </c>
      <c r="R1633" t="s">
        <v>125</v>
      </c>
      <c r="S1633" t="s">
        <v>125</v>
      </c>
      <c r="T1633">
        <v>0</v>
      </c>
      <c r="V1633" t="s">
        <v>125</v>
      </c>
      <c r="AE1633" t="s">
        <v>125</v>
      </c>
      <c r="AF1633">
        <v>0</v>
      </c>
      <c r="AG1633" t="s">
        <v>125</v>
      </c>
      <c r="AH1633">
        <v>0</v>
      </c>
      <c r="AK1633">
        <v>0</v>
      </c>
    </row>
    <row r="1634" spans="1:37" x14ac:dyDescent="0.25">
      <c r="A1634" t="s">
        <v>79</v>
      </c>
      <c r="B1634">
        <v>7</v>
      </c>
      <c r="C1634">
        <v>1</v>
      </c>
      <c r="D1634">
        <v>2</v>
      </c>
      <c r="E1634">
        <v>8</v>
      </c>
      <c r="G1634">
        <v>712</v>
      </c>
      <c r="H1634" t="s">
        <v>63</v>
      </c>
      <c r="I1634" t="s">
        <v>126</v>
      </c>
      <c r="J1634" t="s">
        <v>148</v>
      </c>
      <c r="L1634">
        <v>0</v>
      </c>
      <c r="M1634" t="s">
        <v>125</v>
      </c>
      <c r="O1634" t="s">
        <v>125</v>
      </c>
      <c r="P1634" t="s">
        <v>125</v>
      </c>
      <c r="Q1634" t="s">
        <v>125</v>
      </c>
      <c r="R1634" t="s">
        <v>125</v>
      </c>
      <c r="S1634" t="s">
        <v>125</v>
      </c>
      <c r="T1634">
        <v>0</v>
      </c>
      <c r="V1634" t="s">
        <v>125</v>
      </c>
      <c r="AE1634" t="s">
        <v>125</v>
      </c>
      <c r="AF1634">
        <v>0</v>
      </c>
      <c r="AG1634" t="s">
        <v>125</v>
      </c>
      <c r="AH1634">
        <v>0</v>
      </c>
      <c r="AK1634">
        <v>0</v>
      </c>
    </row>
    <row r="1635" spans="1:37" x14ac:dyDescent="0.25">
      <c r="A1635" t="s">
        <v>79</v>
      </c>
      <c r="B1635">
        <v>7</v>
      </c>
      <c r="C1635">
        <v>1</v>
      </c>
      <c r="D1635">
        <v>2</v>
      </c>
      <c r="E1635">
        <v>9</v>
      </c>
      <c r="G1635">
        <v>712</v>
      </c>
      <c r="H1635" t="s">
        <v>63</v>
      </c>
      <c r="I1635" t="s">
        <v>74</v>
      </c>
      <c r="J1635" t="s">
        <v>149</v>
      </c>
      <c r="L1635">
        <v>0</v>
      </c>
      <c r="M1635" t="s">
        <v>125</v>
      </c>
      <c r="O1635" t="s">
        <v>125</v>
      </c>
      <c r="P1635" t="s">
        <v>125</v>
      </c>
      <c r="Q1635" t="s">
        <v>125</v>
      </c>
      <c r="R1635" t="s">
        <v>125</v>
      </c>
      <c r="S1635" t="s">
        <v>125</v>
      </c>
      <c r="T1635">
        <v>0</v>
      </c>
      <c r="V1635" t="s">
        <v>125</v>
      </c>
      <c r="AE1635" t="s">
        <v>125</v>
      </c>
      <c r="AF1635">
        <v>0</v>
      </c>
      <c r="AG1635" t="s">
        <v>125</v>
      </c>
      <c r="AH1635">
        <v>0</v>
      </c>
      <c r="AK1635">
        <v>0</v>
      </c>
    </row>
    <row r="1636" spans="1:37" x14ac:dyDescent="0.25">
      <c r="A1636" t="s">
        <v>79</v>
      </c>
      <c r="B1636">
        <v>7</v>
      </c>
      <c r="C1636">
        <v>1</v>
      </c>
      <c r="D1636">
        <v>2</v>
      </c>
      <c r="E1636">
        <v>10</v>
      </c>
      <c r="G1636">
        <v>712</v>
      </c>
      <c r="H1636" t="s">
        <v>63</v>
      </c>
      <c r="I1636" t="s">
        <v>129</v>
      </c>
      <c r="J1636" t="s">
        <v>150</v>
      </c>
      <c r="L1636">
        <v>0</v>
      </c>
      <c r="M1636" t="s">
        <v>125</v>
      </c>
      <c r="O1636" t="s">
        <v>125</v>
      </c>
      <c r="P1636" t="s">
        <v>125</v>
      </c>
      <c r="Q1636" t="s">
        <v>125</v>
      </c>
      <c r="R1636" t="s">
        <v>125</v>
      </c>
      <c r="S1636" t="s">
        <v>125</v>
      </c>
      <c r="T1636">
        <v>0</v>
      </c>
      <c r="V1636" t="s">
        <v>125</v>
      </c>
      <c r="AE1636" t="s">
        <v>125</v>
      </c>
      <c r="AF1636">
        <v>0</v>
      </c>
      <c r="AG1636" t="s">
        <v>125</v>
      </c>
      <c r="AH1636">
        <v>0</v>
      </c>
      <c r="AK1636">
        <v>0</v>
      </c>
    </row>
    <row r="1637" spans="1:37" x14ac:dyDescent="0.25">
      <c r="A1637" t="s">
        <v>79</v>
      </c>
      <c r="B1637">
        <v>7</v>
      </c>
      <c r="C1637">
        <v>1</v>
      </c>
      <c r="D1637">
        <v>2</v>
      </c>
      <c r="E1637">
        <v>11</v>
      </c>
      <c r="G1637">
        <v>712</v>
      </c>
      <c r="H1637" t="s">
        <v>63</v>
      </c>
      <c r="I1637" t="s">
        <v>131</v>
      </c>
      <c r="J1637" t="s">
        <v>151</v>
      </c>
      <c r="L1637">
        <v>0</v>
      </c>
      <c r="M1637" t="s">
        <v>125</v>
      </c>
      <c r="O1637" t="s">
        <v>125</v>
      </c>
      <c r="P1637" t="s">
        <v>125</v>
      </c>
      <c r="Q1637" t="s">
        <v>125</v>
      </c>
      <c r="R1637" t="s">
        <v>125</v>
      </c>
      <c r="S1637" t="s">
        <v>125</v>
      </c>
      <c r="T1637">
        <v>0</v>
      </c>
      <c r="V1637" t="s">
        <v>125</v>
      </c>
      <c r="AE1637" t="s">
        <v>125</v>
      </c>
      <c r="AF1637">
        <v>0</v>
      </c>
      <c r="AG1637" t="s">
        <v>125</v>
      </c>
      <c r="AH1637">
        <v>0</v>
      </c>
      <c r="AK1637">
        <v>0</v>
      </c>
    </row>
    <row r="1638" spans="1:37" x14ac:dyDescent="0.25">
      <c r="A1638" t="s">
        <v>79</v>
      </c>
      <c r="B1638">
        <v>7</v>
      </c>
      <c r="C1638">
        <v>1</v>
      </c>
      <c r="D1638">
        <v>2</v>
      </c>
      <c r="E1638">
        <v>12</v>
      </c>
      <c r="G1638">
        <v>712</v>
      </c>
      <c r="H1638" t="s">
        <v>63</v>
      </c>
      <c r="I1638" t="s">
        <v>133</v>
      </c>
      <c r="J1638" t="s">
        <v>152</v>
      </c>
      <c r="L1638">
        <v>0</v>
      </c>
      <c r="M1638" t="s">
        <v>125</v>
      </c>
      <c r="O1638" t="s">
        <v>125</v>
      </c>
      <c r="P1638" t="s">
        <v>125</v>
      </c>
      <c r="Q1638" t="s">
        <v>125</v>
      </c>
      <c r="R1638" t="s">
        <v>125</v>
      </c>
      <c r="S1638" t="s">
        <v>125</v>
      </c>
      <c r="T1638">
        <v>0</v>
      </c>
      <c r="V1638" t="s">
        <v>125</v>
      </c>
      <c r="AE1638" t="s">
        <v>125</v>
      </c>
      <c r="AF1638">
        <v>0</v>
      </c>
      <c r="AG1638" t="s">
        <v>125</v>
      </c>
      <c r="AH1638">
        <v>0</v>
      </c>
      <c r="AK1638">
        <v>0</v>
      </c>
    </row>
    <row r="1639" spans="1:37" x14ac:dyDescent="0.25">
      <c r="A1639" t="s">
        <v>79</v>
      </c>
      <c r="B1639">
        <v>7</v>
      </c>
      <c r="C1639">
        <v>1</v>
      </c>
      <c r="D1639">
        <v>2</v>
      </c>
      <c r="E1639">
        <v>13</v>
      </c>
      <c r="G1639">
        <v>712</v>
      </c>
      <c r="H1639" t="s">
        <v>63</v>
      </c>
      <c r="I1639" t="s">
        <v>135</v>
      </c>
      <c r="J1639" t="s">
        <v>153</v>
      </c>
      <c r="L1639">
        <v>0</v>
      </c>
      <c r="M1639" t="s">
        <v>125</v>
      </c>
      <c r="O1639" t="s">
        <v>125</v>
      </c>
      <c r="P1639" t="s">
        <v>125</v>
      </c>
      <c r="Q1639" t="s">
        <v>125</v>
      </c>
      <c r="R1639" t="s">
        <v>125</v>
      </c>
      <c r="S1639" t="s">
        <v>125</v>
      </c>
      <c r="T1639">
        <v>0</v>
      </c>
      <c r="V1639" t="s">
        <v>125</v>
      </c>
      <c r="AE1639" t="s">
        <v>125</v>
      </c>
      <c r="AF1639">
        <v>0</v>
      </c>
      <c r="AG1639" t="s">
        <v>125</v>
      </c>
      <c r="AH1639">
        <v>0</v>
      </c>
      <c r="AK1639">
        <v>0</v>
      </c>
    </row>
    <row r="1640" spans="1:37" x14ac:dyDescent="0.25">
      <c r="A1640" t="s">
        <v>79</v>
      </c>
      <c r="B1640">
        <v>7</v>
      </c>
      <c r="C1640">
        <v>1</v>
      </c>
      <c r="D1640">
        <v>2</v>
      </c>
      <c r="E1640">
        <v>14</v>
      </c>
      <c r="G1640">
        <v>712</v>
      </c>
      <c r="H1640" t="s">
        <v>63</v>
      </c>
      <c r="I1640" t="s">
        <v>137</v>
      </c>
      <c r="J1640" t="s">
        <v>154</v>
      </c>
      <c r="L1640">
        <v>0</v>
      </c>
      <c r="M1640" t="s">
        <v>125</v>
      </c>
      <c r="O1640" t="s">
        <v>125</v>
      </c>
      <c r="P1640" t="s">
        <v>125</v>
      </c>
      <c r="Q1640" t="s">
        <v>125</v>
      </c>
      <c r="R1640" t="s">
        <v>125</v>
      </c>
      <c r="S1640" t="s">
        <v>125</v>
      </c>
      <c r="T1640">
        <v>0</v>
      </c>
      <c r="V1640" t="s">
        <v>125</v>
      </c>
      <c r="AE1640" t="s">
        <v>125</v>
      </c>
      <c r="AF1640">
        <v>0</v>
      </c>
      <c r="AG1640" t="s">
        <v>125</v>
      </c>
      <c r="AH1640">
        <v>0</v>
      </c>
      <c r="AK1640">
        <v>0</v>
      </c>
    </row>
    <row r="1641" spans="1:37" x14ac:dyDescent="0.25">
      <c r="A1641" t="s">
        <v>79</v>
      </c>
      <c r="B1641">
        <v>7</v>
      </c>
      <c r="C1641">
        <v>1</v>
      </c>
      <c r="D1641">
        <v>2</v>
      </c>
      <c r="E1641">
        <v>15</v>
      </c>
      <c r="G1641">
        <v>712</v>
      </c>
      <c r="H1641" t="s">
        <v>63</v>
      </c>
      <c r="I1641" t="s">
        <v>139</v>
      </c>
      <c r="J1641" t="s">
        <v>155</v>
      </c>
      <c r="L1641">
        <v>0</v>
      </c>
      <c r="M1641" t="s">
        <v>125</v>
      </c>
      <c r="O1641" t="s">
        <v>125</v>
      </c>
      <c r="P1641" t="s">
        <v>125</v>
      </c>
      <c r="Q1641" t="s">
        <v>125</v>
      </c>
      <c r="R1641" t="s">
        <v>125</v>
      </c>
      <c r="S1641" t="s">
        <v>125</v>
      </c>
      <c r="T1641">
        <v>0</v>
      </c>
      <c r="V1641" t="s">
        <v>125</v>
      </c>
      <c r="AE1641" t="s">
        <v>125</v>
      </c>
      <c r="AF1641">
        <v>0</v>
      </c>
      <c r="AG1641" t="s">
        <v>125</v>
      </c>
      <c r="AH1641">
        <v>0</v>
      </c>
      <c r="AK1641">
        <v>0</v>
      </c>
    </row>
    <row r="1642" spans="1:37" x14ac:dyDescent="0.25">
      <c r="L1642">
        <v>0</v>
      </c>
    </row>
    <row r="1643" spans="1:37" x14ac:dyDescent="0.25">
      <c r="A1643" t="s">
        <v>70</v>
      </c>
      <c r="B1643">
        <v>7</v>
      </c>
      <c r="C1643">
        <v>1</v>
      </c>
      <c r="D1643">
        <v>3</v>
      </c>
      <c r="G1643">
        <v>71</v>
      </c>
      <c r="L1643">
        <v>0</v>
      </c>
      <c r="M1643" t="s">
        <v>125</v>
      </c>
      <c r="P1643" t="s">
        <v>125</v>
      </c>
      <c r="R1643" t="s">
        <v>125</v>
      </c>
      <c r="S1643" t="s">
        <v>63</v>
      </c>
      <c r="V1643" t="s">
        <v>125</v>
      </c>
      <c r="X1643" t="s">
        <v>125</v>
      </c>
      <c r="Y1643" t="s">
        <v>125</v>
      </c>
      <c r="Z1643" t="s">
        <v>125</v>
      </c>
      <c r="AA1643" t="s">
        <v>125</v>
      </c>
      <c r="AB1643" t="s">
        <v>125</v>
      </c>
      <c r="AC1643" t="s">
        <v>125</v>
      </c>
      <c r="AE1643" t="s">
        <v>125</v>
      </c>
      <c r="AF1643">
        <v>0</v>
      </c>
      <c r="AG1643" t="s">
        <v>125</v>
      </c>
      <c r="AH1643">
        <v>0</v>
      </c>
      <c r="AK1643">
        <v>0</v>
      </c>
    </row>
    <row r="1644" spans="1:37" x14ac:dyDescent="0.25">
      <c r="A1644" t="s">
        <v>79</v>
      </c>
      <c r="B1644">
        <v>7</v>
      </c>
      <c r="C1644">
        <v>1</v>
      </c>
      <c r="D1644">
        <v>3</v>
      </c>
      <c r="E1644">
        <v>1</v>
      </c>
      <c r="G1644">
        <v>713</v>
      </c>
      <c r="H1644" t="s">
        <v>63</v>
      </c>
      <c r="I1644" t="s">
        <v>80</v>
      </c>
      <c r="J1644" t="s">
        <v>141</v>
      </c>
      <c r="L1644">
        <v>0</v>
      </c>
      <c r="M1644" t="s">
        <v>125</v>
      </c>
      <c r="O1644" t="s">
        <v>125</v>
      </c>
      <c r="P1644" t="s">
        <v>125</v>
      </c>
      <c r="Q1644" t="s">
        <v>125</v>
      </c>
      <c r="R1644" t="s">
        <v>125</v>
      </c>
      <c r="S1644" t="s">
        <v>125</v>
      </c>
      <c r="T1644">
        <v>0</v>
      </c>
      <c r="V1644" t="s">
        <v>125</v>
      </c>
      <c r="AE1644" t="s">
        <v>125</v>
      </c>
      <c r="AF1644">
        <v>0</v>
      </c>
      <c r="AG1644" t="s">
        <v>125</v>
      </c>
      <c r="AH1644">
        <v>0</v>
      </c>
      <c r="AK1644">
        <v>0</v>
      </c>
    </row>
    <row r="1645" spans="1:37" x14ac:dyDescent="0.25">
      <c r="A1645" t="s">
        <v>79</v>
      </c>
      <c r="B1645">
        <v>7</v>
      </c>
      <c r="C1645">
        <v>1</v>
      </c>
      <c r="D1645">
        <v>3</v>
      </c>
      <c r="E1645">
        <v>2</v>
      </c>
      <c r="G1645">
        <v>713</v>
      </c>
      <c r="H1645" t="s">
        <v>63</v>
      </c>
      <c r="I1645" t="s">
        <v>88</v>
      </c>
      <c r="J1645" t="s">
        <v>142</v>
      </c>
      <c r="L1645">
        <v>0</v>
      </c>
      <c r="M1645" t="s">
        <v>125</v>
      </c>
      <c r="O1645" t="s">
        <v>125</v>
      </c>
      <c r="P1645" t="s">
        <v>125</v>
      </c>
      <c r="Q1645" t="s">
        <v>125</v>
      </c>
      <c r="R1645" t="s">
        <v>125</v>
      </c>
      <c r="S1645" t="s">
        <v>125</v>
      </c>
      <c r="T1645">
        <v>0</v>
      </c>
      <c r="V1645" t="s">
        <v>125</v>
      </c>
      <c r="AE1645" t="s">
        <v>125</v>
      </c>
      <c r="AF1645">
        <v>0</v>
      </c>
      <c r="AG1645" t="s">
        <v>125</v>
      </c>
      <c r="AH1645">
        <v>0</v>
      </c>
      <c r="AK1645">
        <v>0</v>
      </c>
    </row>
    <row r="1646" spans="1:37" x14ac:dyDescent="0.25">
      <c r="A1646" t="s">
        <v>79</v>
      </c>
      <c r="B1646">
        <v>7</v>
      </c>
      <c r="C1646">
        <v>1</v>
      </c>
      <c r="D1646">
        <v>3</v>
      </c>
      <c r="E1646">
        <v>3</v>
      </c>
      <c r="G1646">
        <v>713</v>
      </c>
      <c r="H1646" t="s">
        <v>63</v>
      </c>
      <c r="I1646" t="s">
        <v>95</v>
      </c>
      <c r="J1646" t="s">
        <v>143</v>
      </c>
      <c r="L1646">
        <v>0</v>
      </c>
      <c r="M1646" t="s">
        <v>125</v>
      </c>
      <c r="O1646" t="s">
        <v>125</v>
      </c>
      <c r="P1646" t="s">
        <v>125</v>
      </c>
      <c r="Q1646" t="s">
        <v>125</v>
      </c>
      <c r="R1646" t="s">
        <v>125</v>
      </c>
      <c r="S1646" t="s">
        <v>125</v>
      </c>
      <c r="T1646">
        <v>0</v>
      </c>
      <c r="V1646" t="s">
        <v>125</v>
      </c>
      <c r="AE1646" t="s">
        <v>125</v>
      </c>
      <c r="AF1646">
        <v>0</v>
      </c>
      <c r="AG1646" t="s">
        <v>125</v>
      </c>
      <c r="AH1646">
        <v>0</v>
      </c>
      <c r="AK1646">
        <v>0</v>
      </c>
    </row>
    <row r="1647" spans="1:37" x14ac:dyDescent="0.25">
      <c r="A1647" t="s">
        <v>79</v>
      </c>
      <c r="B1647">
        <v>7</v>
      </c>
      <c r="C1647">
        <v>1</v>
      </c>
      <c r="D1647">
        <v>3</v>
      </c>
      <c r="E1647">
        <v>4</v>
      </c>
      <c r="G1647">
        <v>713</v>
      </c>
      <c r="H1647" t="s">
        <v>63</v>
      </c>
      <c r="I1647" t="s">
        <v>102</v>
      </c>
      <c r="J1647" t="s">
        <v>144</v>
      </c>
      <c r="L1647">
        <v>0</v>
      </c>
      <c r="M1647" t="s">
        <v>125</v>
      </c>
      <c r="O1647" t="s">
        <v>125</v>
      </c>
      <c r="P1647" t="s">
        <v>125</v>
      </c>
      <c r="Q1647" t="s">
        <v>125</v>
      </c>
      <c r="R1647" t="s">
        <v>125</v>
      </c>
      <c r="S1647" t="s">
        <v>125</v>
      </c>
      <c r="T1647">
        <v>0</v>
      </c>
      <c r="V1647" t="s">
        <v>125</v>
      </c>
      <c r="AE1647" t="s">
        <v>125</v>
      </c>
      <c r="AF1647">
        <v>0</v>
      </c>
      <c r="AG1647" t="s">
        <v>125</v>
      </c>
      <c r="AH1647">
        <v>0</v>
      </c>
      <c r="AK1647">
        <v>0</v>
      </c>
    </row>
    <row r="1648" spans="1:37" x14ac:dyDescent="0.25">
      <c r="A1648" t="s">
        <v>79</v>
      </c>
      <c r="B1648">
        <v>7</v>
      </c>
      <c r="C1648">
        <v>1</v>
      </c>
      <c r="D1648">
        <v>3</v>
      </c>
      <c r="E1648">
        <v>5</v>
      </c>
      <c r="G1648">
        <v>713</v>
      </c>
      <c r="H1648" t="s">
        <v>63</v>
      </c>
      <c r="I1648" t="s">
        <v>109</v>
      </c>
      <c r="J1648" t="s">
        <v>145</v>
      </c>
      <c r="L1648">
        <v>0</v>
      </c>
      <c r="M1648" t="s">
        <v>125</v>
      </c>
      <c r="O1648" t="s">
        <v>125</v>
      </c>
      <c r="P1648" t="s">
        <v>125</v>
      </c>
      <c r="Q1648" t="s">
        <v>125</v>
      </c>
      <c r="R1648" t="s">
        <v>125</v>
      </c>
      <c r="S1648" t="s">
        <v>125</v>
      </c>
      <c r="T1648">
        <v>0</v>
      </c>
      <c r="V1648" t="s">
        <v>125</v>
      </c>
      <c r="AE1648" t="s">
        <v>125</v>
      </c>
      <c r="AF1648">
        <v>0</v>
      </c>
      <c r="AG1648" t="s">
        <v>125</v>
      </c>
      <c r="AH1648">
        <v>0</v>
      </c>
      <c r="AK1648">
        <v>0</v>
      </c>
    </row>
    <row r="1649" spans="1:37" x14ac:dyDescent="0.25">
      <c r="A1649" t="s">
        <v>79</v>
      </c>
      <c r="B1649">
        <v>7</v>
      </c>
      <c r="C1649">
        <v>1</v>
      </c>
      <c r="D1649">
        <v>3</v>
      </c>
      <c r="E1649">
        <v>6</v>
      </c>
      <c r="G1649">
        <v>713</v>
      </c>
      <c r="H1649" t="s">
        <v>63</v>
      </c>
      <c r="I1649" t="s">
        <v>116</v>
      </c>
      <c r="J1649" t="s">
        <v>146</v>
      </c>
      <c r="L1649">
        <v>0</v>
      </c>
      <c r="M1649" t="s">
        <v>125</v>
      </c>
      <c r="O1649" t="s">
        <v>125</v>
      </c>
      <c r="P1649" t="s">
        <v>125</v>
      </c>
      <c r="Q1649" t="s">
        <v>125</v>
      </c>
      <c r="R1649" t="s">
        <v>125</v>
      </c>
      <c r="S1649" t="s">
        <v>125</v>
      </c>
      <c r="T1649">
        <v>0</v>
      </c>
      <c r="V1649" t="s">
        <v>125</v>
      </c>
      <c r="AE1649" t="s">
        <v>125</v>
      </c>
      <c r="AF1649">
        <v>0</v>
      </c>
      <c r="AG1649" t="s">
        <v>125</v>
      </c>
      <c r="AH1649">
        <v>0</v>
      </c>
      <c r="AK1649">
        <v>0</v>
      </c>
    </row>
    <row r="1650" spans="1:37" x14ac:dyDescent="0.25">
      <c r="A1650" t="s">
        <v>79</v>
      </c>
      <c r="B1650">
        <v>7</v>
      </c>
      <c r="C1650">
        <v>1</v>
      </c>
      <c r="D1650">
        <v>3</v>
      </c>
      <c r="E1650">
        <v>7</v>
      </c>
      <c r="G1650">
        <v>713</v>
      </c>
      <c r="H1650" t="s">
        <v>63</v>
      </c>
      <c r="I1650" t="s">
        <v>123</v>
      </c>
      <c r="J1650" t="s">
        <v>147</v>
      </c>
      <c r="L1650">
        <v>0</v>
      </c>
      <c r="M1650" t="s">
        <v>125</v>
      </c>
      <c r="O1650" t="s">
        <v>125</v>
      </c>
      <c r="P1650" t="s">
        <v>125</v>
      </c>
      <c r="Q1650" t="s">
        <v>125</v>
      </c>
      <c r="R1650" t="s">
        <v>125</v>
      </c>
      <c r="S1650" t="s">
        <v>125</v>
      </c>
      <c r="T1650">
        <v>0</v>
      </c>
      <c r="V1650" t="s">
        <v>125</v>
      </c>
      <c r="AE1650" t="s">
        <v>125</v>
      </c>
      <c r="AF1650">
        <v>0</v>
      </c>
      <c r="AG1650" t="s">
        <v>125</v>
      </c>
      <c r="AH1650">
        <v>0</v>
      </c>
      <c r="AK1650">
        <v>0</v>
      </c>
    </row>
    <row r="1651" spans="1:37" x14ac:dyDescent="0.25">
      <c r="A1651" t="s">
        <v>79</v>
      </c>
      <c r="B1651">
        <v>7</v>
      </c>
      <c r="C1651">
        <v>1</v>
      </c>
      <c r="D1651">
        <v>3</v>
      </c>
      <c r="E1651">
        <v>8</v>
      </c>
      <c r="G1651">
        <v>713</v>
      </c>
      <c r="H1651" t="s">
        <v>63</v>
      </c>
      <c r="I1651" t="s">
        <v>126</v>
      </c>
      <c r="J1651" t="s">
        <v>148</v>
      </c>
      <c r="L1651">
        <v>0</v>
      </c>
      <c r="M1651" t="s">
        <v>125</v>
      </c>
      <c r="O1651" t="s">
        <v>125</v>
      </c>
      <c r="P1651" t="s">
        <v>125</v>
      </c>
      <c r="Q1651" t="s">
        <v>125</v>
      </c>
      <c r="R1651" t="s">
        <v>125</v>
      </c>
      <c r="S1651" t="s">
        <v>125</v>
      </c>
      <c r="T1651">
        <v>0</v>
      </c>
      <c r="V1651" t="s">
        <v>125</v>
      </c>
      <c r="AE1651" t="s">
        <v>125</v>
      </c>
      <c r="AF1651">
        <v>0</v>
      </c>
      <c r="AG1651" t="s">
        <v>125</v>
      </c>
      <c r="AH1651">
        <v>0</v>
      </c>
      <c r="AK1651">
        <v>0</v>
      </c>
    </row>
    <row r="1652" spans="1:37" x14ac:dyDescent="0.25">
      <c r="A1652" t="s">
        <v>79</v>
      </c>
      <c r="B1652">
        <v>7</v>
      </c>
      <c r="C1652">
        <v>1</v>
      </c>
      <c r="D1652">
        <v>3</v>
      </c>
      <c r="E1652">
        <v>9</v>
      </c>
      <c r="G1652">
        <v>713</v>
      </c>
      <c r="H1652" t="s">
        <v>63</v>
      </c>
      <c r="I1652" t="s">
        <v>74</v>
      </c>
      <c r="J1652" t="s">
        <v>149</v>
      </c>
      <c r="L1652">
        <v>0</v>
      </c>
      <c r="M1652" t="s">
        <v>125</v>
      </c>
      <c r="O1652" t="s">
        <v>125</v>
      </c>
      <c r="P1652" t="s">
        <v>125</v>
      </c>
      <c r="Q1652" t="s">
        <v>125</v>
      </c>
      <c r="R1652" t="s">
        <v>125</v>
      </c>
      <c r="S1652" t="s">
        <v>125</v>
      </c>
      <c r="T1652">
        <v>0</v>
      </c>
      <c r="V1652" t="s">
        <v>125</v>
      </c>
      <c r="AE1652" t="s">
        <v>125</v>
      </c>
      <c r="AF1652">
        <v>0</v>
      </c>
      <c r="AG1652" t="s">
        <v>125</v>
      </c>
      <c r="AH1652">
        <v>0</v>
      </c>
      <c r="AK1652">
        <v>0</v>
      </c>
    </row>
    <row r="1653" spans="1:37" x14ac:dyDescent="0.25">
      <c r="A1653" t="s">
        <v>79</v>
      </c>
      <c r="B1653">
        <v>7</v>
      </c>
      <c r="C1653">
        <v>1</v>
      </c>
      <c r="D1653">
        <v>3</v>
      </c>
      <c r="E1653">
        <v>10</v>
      </c>
      <c r="G1653">
        <v>713</v>
      </c>
      <c r="H1653" t="s">
        <v>63</v>
      </c>
      <c r="I1653" t="s">
        <v>129</v>
      </c>
      <c r="J1653" t="s">
        <v>150</v>
      </c>
      <c r="L1653">
        <v>0</v>
      </c>
      <c r="M1653" t="s">
        <v>125</v>
      </c>
      <c r="O1653" t="s">
        <v>125</v>
      </c>
      <c r="P1653" t="s">
        <v>125</v>
      </c>
      <c r="Q1653" t="s">
        <v>125</v>
      </c>
      <c r="R1653" t="s">
        <v>125</v>
      </c>
      <c r="S1653" t="s">
        <v>125</v>
      </c>
      <c r="T1653">
        <v>0</v>
      </c>
      <c r="V1653" t="s">
        <v>125</v>
      </c>
      <c r="AE1653" t="s">
        <v>125</v>
      </c>
      <c r="AF1653">
        <v>0</v>
      </c>
      <c r="AG1653" t="s">
        <v>125</v>
      </c>
      <c r="AH1653">
        <v>0</v>
      </c>
      <c r="AK1653">
        <v>0</v>
      </c>
    </row>
    <row r="1654" spans="1:37" x14ac:dyDescent="0.25">
      <c r="A1654" t="s">
        <v>79</v>
      </c>
      <c r="B1654">
        <v>7</v>
      </c>
      <c r="C1654">
        <v>1</v>
      </c>
      <c r="D1654">
        <v>3</v>
      </c>
      <c r="E1654">
        <v>11</v>
      </c>
      <c r="G1654">
        <v>713</v>
      </c>
      <c r="H1654" t="s">
        <v>63</v>
      </c>
      <c r="I1654" t="s">
        <v>131</v>
      </c>
      <c r="J1654" t="s">
        <v>151</v>
      </c>
      <c r="L1654">
        <v>0</v>
      </c>
      <c r="M1654" t="s">
        <v>125</v>
      </c>
      <c r="O1654" t="s">
        <v>125</v>
      </c>
      <c r="P1654" t="s">
        <v>125</v>
      </c>
      <c r="Q1654" t="s">
        <v>125</v>
      </c>
      <c r="R1654" t="s">
        <v>125</v>
      </c>
      <c r="S1654" t="s">
        <v>125</v>
      </c>
      <c r="T1654">
        <v>0</v>
      </c>
      <c r="V1654" t="s">
        <v>125</v>
      </c>
      <c r="AE1654" t="s">
        <v>125</v>
      </c>
      <c r="AF1654">
        <v>0</v>
      </c>
      <c r="AG1654" t="s">
        <v>125</v>
      </c>
      <c r="AH1654">
        <v>0</v>
      </c>
      <c r="AK1654">
        <v>0</v>
      </c>
    </row>
    <row r="1655" spans="1:37" x14ac:dyDescent="0.25">
      <c r="A1655" t="s">
        <v>79</v>
      </c>
      <c r="B1655">
        <v>7</v>
      </c>
      <c r="C1655">
        <v>1</v>
      </c>
      <c r="D1655">
        <v>3</v>
      </c>
      <c r="E1655">
        <v>12</v>
      </c>
      <c r="G1655">
        <v>713</v>
      </c>
      <c r="H1655" t="s">
        <v>63</v>
      </c>
      <c r="I1655" t="s">
        <v>133</v>
      </c>
      <c r="J1655" t="s">
        <v>152</v>
      </c>
      <c r="L1655">
        <v>0</v>
      </c>
      <c r="M1655" t="s">
        <v>125</v>
      </c>
      <c r="O1655" t="s">
        <v>125</v>
      </c>
      <c r="P1655" t="s">
        <v>125</v>
      </c>
      <c r="Q1655" t="s">
        <v>125</v>
      </c>
      <c r="R1655" t="s">
        <v>125</v>
      </c>
      <c r="S1655" t="s">
        <v>125</v>
      </c>
      <c r="T1655">
        <v>0</v>
      </c>
      <c r="V1655" t="s">
        <v>125</v>
      </c>
      <c r="AE1655" t="s">
        <v>125</v>
      </c>
      <c r="AF1655">
        <v>0</v>
      </c>
      <c r="AG1655" t="s">
        <v>125</v>
      </c>
      <c r="AH1655">
        <v>0</v>
      </c>
      <c r="AK1655">
        <v>0</v>
      </c>
    </row>
    <row r="1656" spans="1:37" x14ac:dyDescent="0.25">
      <c r="A1656" t="s">
        <v>79</v>
      </c>
      <c r="B1656">
        <v>7</v>
      </c>
      <c r="C1656">
        <v>1</v>
      </c>
      <c r="D1656">
        <v>3</v>
      </c>
      <c r="E1656">
        <v>13</v>
      </c>
      <c r="G1656">
        <v>713</v>
      </c>
      <c r="H1656" t="s">
        <v>63</v>
      </c>
      <c r="I1656" t="s">
        <v>135</v>
      </c>
      <c r="J1656" t="s">
        <v>153</v>
      </c>
      <c r="L1656">
        <v>0</v>
      </c>
      <c r="M1656" t="s">
        <v>125</v>
      </c>
      <c r="O1656" t="s">
        <v>125</v>
      </c>
      <c r="P1656" t="s">
        <v>125</v>
      </c>
      <c r="Q1656" t="s">
        <v>125</v>
      </c>
      <c r="R1656" t="s">
        <v>125</v>
      </c>
      <c r="S1656" t="s">
        <v>125</v>
      </c>
      <c r="T1656">
        <v>0</v>
      </c>
      <c r="V1656" t="s">
        <v>125</v>
      </c>
      <c r="AE1656" t="s">
        <v>125</v>
      </c>
      <c r="AF1656">
        <v>0</v>
      </c>
      <c r="AG1656" t="s">
        <v>125</v>
      </c>
      <c r="AH1656">
        <v>0</v>
      </c>
      <c r="AK1656">
        <v>0</v>
      </c>
    </row>
    <row r="1657" spans="1:37" x14ac:dyDescent="0.25">
      <c r="A1657" t="s">
        <v>79</v>
      </c>
      <c r="B1657">
        <v>7</v>
      </c>
      <c r="C1657">
        <v>1</v>
      </c>
      <c r="D1657">
        <v>3</v>
      </c>
      <c r="E1657">
        <v>14</v>
      </c>
      <c r="G1657">
        <v>713</v>
      </c>
      <c r="H1657" t="s">
        <v>63</v>
      </c>
      <c r="I1657" t="s">
        <v>137</v>
      </c>
      <c r="J1657" t="s">
        <v>154</v>
      </c>
      <c r="L1657">
        <v>0</v>
      </c>
      <c r="M1657" t="s">
        <v>125</v>
      </c>
      <c r="O1657" t="s">
        <v>125</v>
      </c>
      <c r="P1657" t="s">
        <v>125</v>
      </c>
      <c r="Q1657" t="s">
        <v>125</v>
      </c>
      <c r="R1657" t="s">
        <v>125</v>
      </c>
      <c r="S1657" t="s">
        <v>125</v>
      </c>
      <c r="T1657">
        <v>0</v>
      </c>
      <c r="V1657" t="s">
        <v>125</v>
      </c>
      <c r="AE1657" t="s">
        <v>125</v>
      </c>
      <c r="AF1657">
        <v>0</v>
      </c>
      <c r="AG1657" t="s">
        <v>125</v>
      </c>
      <c r="AH1657">
        <v>0</v>
      </c>
      <c r="AK1657">
        <v>0</v>
      </c>
    </row>
    <row r="1658" spans="1:37" x14ac:dyDescent="0.25">
      <c r="A1658" t="s">
        <v>79</v>
      </c>
      <c r="B1658">
        <v>7</v>
      </c>
      <c r="C1658">
        <v>1</v>
      </c>
      <c r="D1658">
        <v>3</v>
      </c>
      <c r="E1658">
        <v>15</v>
      </c>
      <c r="G1658">
        <v>713</v>
      </c>
      <c r="H1658" t="s">
        <v>63</v>
      </c>
      <c r="I1658" t="s">
        <v>139</v>
      </c>
      <c r="J1658" t="s">
        <v>155</v>
      </c>
      <c r="L1658">
        <v>0</v>
      </c>
      <c r="M1658" t="s">
        <v>125</v>
      </c>
      <c r="O1658" t="s">
        <v>125</v>
      </c>
      <c r="P1658" t="s">
        <v>125</v>
      </c>
      <c r="Q1658" t="s">
        <v>125</v>
      </c>
      <c r="R1658" t="s">
        <v>125</v>
      </c>
      <c r="S1658" t="s">
        <v>125</v>
      </c>
      <c r="T1658">
        <v>0</v>
      </c>
      <c r="V1658" t="s">
        <v>125</v>
      </c>
      <c r="AE1658" t="s">
        <v>125</v>
      </c>
      <c r="AF1658">
        <v>0</v>
      </c>
      <c r="AG1658" t="s">
        <v>125</v>
      </c>
      <c r="AH1658">
        <v>0</v>
      </c>
      <c r="AK1658">
        <v>0</v>
      </c>
    </row>
    <row r="1659" spans="1:37" x14ac:dyDescent="0.25">
      <c r="L1659">
        <v>0</v>
      </c>
    </row>
    <row r="1660" spans="1:37" x14ac:dyDescent="0.25">
      <c r="A1660" t="s">
        <v>70</v>
      </c>
      <c r="B1660">
        <v>7</v>
      </c>
      <c r="C1660">
        <v>1</v>
      </c>
      <c r="D1660">
        <v>4</v>
      </c>
      <c r="G1660">
        <v>71</v>
      </c>
      <c r="L1660">
        <v>0</v>
      </c>
      <c r="M1660" t="s">
        <v>125</v>
      </c>
      <c r="P1660" t="s">
        <v>125</v>
      </c>
      <c r="R1660" t="s">
        <v>125</v>
      </c>
      <c r="S1660" t="s">
        <v>63</v>
      </c>
      <c r="V1660" t="s">
        <v>125</v>
      </c>
      <c r="X1660" t="s">
        <v>125</v>
      </c>
      <c r="Y1660" t="s">
        <v>125</v>
      </c>
      <c r="Z1660" t="s">
        <v>125</v>
      </c>
      <c r="AA1660" t="s">
        <v>125</v>
      </c>
      <c r="AB1660" t="s">
        <v>125</v>
      </c>
      <c r="AC1660" t="s">
        <v>125</v>
      </c>
      <c r="AE1660" t="s">
        <v>125</v>
      </c>
      <c r="AF1660">
        <v>0</v>
      </c>
      <c r="AG1660" t="s">
        <v>125</v>
      </c>
      <c r="AH1660">
        <v>0</v>
      </c>
      <c r="AK1660">
        <v>0</v>
      </c>
    </row>
    <row r="1661" spans="1:37" x14ac:dyDescent="0.25">
      <c r="A1661" t="s">
        <v>79</v>
      </c>
      <c r="B1661">
        <v>7</v>
      </c>
      <c r="C1661">
        <v>1</v>
      </c>
      <c r="D1661">
        <v>4</v>
      </c>
      <c r="E1661">
        <v>1</v>
      </c>
      <c r="G1661">
        <v>714</v>
      </c>
      <c r="H1661" t="s">
        <v>63</v>
      </c>
      <c r="I1661" t="s">
        <v>80</v>
      </c>
      <c r="J1661" t="s">
        <v>141</v>
      </c>
      <c r="L1661">
        <v>0</v>
      </c>
      <c r="M1661" t="s">
        <v>125</v>
      </c>
      <c r="O1661" t="s">
        <v>125</v>
      </c>
      <c r="P1661" t="s">
        <v>125</v>
      </c>
      <c r="Q1661" t="s">
        <v>125</v>
      </c>
      <c r="R1661" t="s">
        <v>125</v>
      </c>
      <c r="S1661" t="s">
        <v>125</v>
      </c>
      <c r="T1661">
        <v>0</v>
      </c>
      <c r="V1661" t="s">
        <v>125</v>
      </c>
      <c r="AE1661" t="s">
        <v>125</v>
      </c>
      <c r="AF1661">
        <v>0</v>
      </c>
      <c r="AG1661" t="s">
        <v>125</v>
      </c>
      <c r="AH1661">
        <v>0</v>
      </c>
      <c r="AK1661">
        <v>0</v>
      </c>
    </row>
    <row r="1662" spans="1:37" x14ac:dyDescent="0.25">
      <c r="A1662" t="s">
        <v>79</v>
      </c>
      <c r="B1662">
        <v>7</v>
      </c>
      <c r="C1662">
        <v>1</v>
      </c>
      <c r="D1662">
        <v>4</v>
      </c>
      <c r="E1662">
        <v>2</v>
      </c>
      <c r="G1662">
        <v>714</v>
      </c>
      <c r="H1662" t="s">
        <v>63</v>
      </c>
      <c r="I1662" t="s">
        <v>88</v>
      </c>
      <c r="J1662" t="s">
        <v>142</v>
      </c>
      <c r="L1662">
        <v>0</v>
      </c>
      <c r="M1662" t="s">
        <v>125</v>
      </c>
      <c r="O1662" t="s">
        <v>125</v>
      </c>
      <c r="P1662" t="s">
        <v>125</v>
      </c>
      <c r="Q1662" t="s">
        <v>125</v>
      </c>
      <c r="R1662" t="s">
        <v>125</v>
      </c>
      <c r="S1662" t="s">
        <v>125</v>
      </c>
      <c r="T1662">
        <v>0</v>
      </c>
      <c r="V1662" t="s">
        <v>125</v>
      </c>
      <c r="AE1662" t="s">
        <v>125</v>
      </c>
      <c r="AF1662">
        <v>0</v>
      </c>
      <c r="AG1662" t="s">
        <v>125</v>
      </c>
      <c r="AH1662">
        <v>0</v>
      </c>
      <c r="AK1662">
        <v>0</v>
      </c>
    </row>
    <row r="1663" spans="1:37" x14ac:dyDescent="0.25">
      <c r="A1663" t="s">
        <v>79</v>
      </c>
      <c r="B1663">
        <v>7</v>
      </c>
      <c r="C1663">
        <v>1</v>
      </c>
      <c r="D1663">
        <v>4</v>
      </c>
      <c r="E1663">
        <v>3</v>
      </c>
      <c r="G1663">
        <v>714</v>
      </c>
      <c r="H1663" t="s">
        <v>63</v>
      </c>
      <c r="I1663" t="s">
        <v>95</v>
      </c>
      <c r="J1663" t="s">
        <v>143</v>
      </c>
      <c r="L1663">
        <v>0</v>
      </c>
      <c r="M1663" t="s">
        <v>125</v>
      </c>
      <c r="O1663" t="s">
        <v>125</v>
      </c>
      <c r="P1663" t="s">
        <v>125</v>
      </c>
      <c r="Q1663" t="s">
        <v>125</v>
      </c>
      <c r="R1663" t="s">
        <v>125</v>
      </c>
      <c r="S1663" t="s">
        <v>125</v>
      </c>
      <c r="T1663">
        <v>0</v>
      </c>
      <c r="V1663" t="s">
        <v>125</v>
      </c>
      <c r="AE1663" t="s">
        <v>125</v>
      </c>
      <c r="AF1663">
        <v>0</v>
      </c>
      <c r="AG1663" t="s">
        <v>125</v>
      </c>
      <c r="AH1663">
        <v>0</v>
      </c>
      <c r="AK1663">
        <v>0</v>
      </c>
    </row>
    <row r="1664" spans="1:37" x14ac:dyDescent="0.25">
      <c r="A1664" t="s">
        <v>79</v>
      </c>
      <c r="B1664">
        <v>7</v>
      </c>
      <c r="C1664">
        <v>1</v>
      </c>
      <c r="D1664">
        <v>4</v>
      </c>
      <c r="E1664">
        <v>4</v>
      </c>
      <c r="G1664">
        <v>714</v>
      </c>
      <c r="H1664" t="s">
        <v>63</v>
      </c>
      <c r="I1664" t="s">
        <v>102</v>
      </c>
      <c r="J1664" t="s">
        <v>144</v>
      </c>
      <c r="L1664">
        <v>0</v>
      </c>
      <c r="M1664" t="s">
        <v>125</v>
      </c>
      <c r="O1664" t="s">
        <v>125</v>
      </c>
      <c r="P1664" t="s">
        <v>125</v>
      </c>
      <c r="Q1664" t="s">
        <v>125</v>
      </c>
      <c r="R1664" t="s">
        <v>125</v>
      </c>
      <c r="S1664" t="s">
        <v>125</v>
      </c>
      <c r="T1664">
        <v>0</v>
      </c>
      <c r="V1664" t="s">
        <v>125</v>
      </c>
      <c r="AE1664" t="s">
        <v>125</v>
      </c>
      <c r="AF1664">
        <v>0</v>
      </c>
      <c r="AG1664" t="s">
        <v>125</v>
      </c>
      <c r="AH1664">
        <v>0</v>
      </c>
      <c r="AK1664">
        <v>0</v>
      </c>
    </row>
    <row r="1665" spans="1:37" x14ac:dyDescent="0.25">
      <c r="A1665" t="s">
        <v>79</v>
      </c>
      <c r="B1665">
        <v>7</v>
      </c>
      <c r="C1665">
        <v>1</v>
      </c>
      <c r="D1665">
        <v>4</v>
      </c>
      <c r="E1665">
        <v>5</v>
      </c>
      <c r="G1665">
        <v>714</v>
      </c>
      <c r="H1665" t="s">
        <v>63</v>
      </c>
      <c r="I1665" t="s">
        <v>109</v>
      </c>
      <c r="J1665" t="s">
        <v>145</v>
      </c>
      <c r="L1665">
        <v>0</v>
      </c>
      <c r="M1665" t="s">
        <v>125</v>
      </c>
      <c r="O1665" t="s">
        <v>125</v>
      </c>
      <c r="P1665" t="s">
        <v>125</v>
      </c>
      <c r="Q1665" t="s">
        <v>125</v>
      </c>
      <c r="R1665" t="s">
        <v>125</v>
      </c>
      <c r="S1665" t="s">
        <v>125</v>
      </c>
      <c r="T1665">
        <v>0</v>
      </c>
      <c r="V1665" t="s">
        <v>125</v>
      </c>
      <c r="AE1665" t="s">
        <v>125</v>
      </c>
      <c r="AF1665">
        <v>0</v>
      </c>
      <c r="AG1665" t="s">
        <v>125</v>
      </c>
      <c r="AH1665">
        <v>0</v>
      </c>
      <c r="AK1665">
        <v>0</v>
      </c>
    </row>
    <row r="1666" spans="1:37" x14ac:dyDescent="0.25">
      <c r="A1666" t="s">
        <v>79</v>
      </c>
      <c r="B1666">
        <v>7</v>
      </c>
      <c r="C1666">
        <v>1</v>
      </c>
      <c r="D1666">
        <v>4</v>
      </c>
      <c r="E1666">
        <v>6</v>
      </c>
      <c r="G1666">
        <v>714</v>
      </c>
      <c r="H1666" t="s">
        <v>63</v>
      </c>
      <c r="I1666" t="s">
        <v>116</v>
      </c>
      <c r="J1666" t="s">
        <v>146</v>
      </c>
      <c r="L1666">
        <v>0</v>
      </c>
      <c r="M1666" t="s">
        <v>125</v>
      </c>
      <c r="O1666" t="s">
        <v>125</v>
      </c>
      <c r="P1666" t="s">
        <v>125</v>
      </c>
      <c r="Q1666" t="s">
        <v>125</v>
      </c>
      <c r="R1666" t="s">
        <v>125</v>
      </c>
      <c r="S1666" t="s">
        <v>125</v>
      </c>
      <c r="T1666">
        <v>0</v>
      </c>
      <c r="V1666" t="s">
        <v>125</v>
      </c>
      <c r="AE1666" t="s">
        <v>125</v>
      </c>
      <c r="AF1666">
        <v>0</v>
      </c>
      <c r="AG1666" t="s">
        <v>125</v>
      </c>
      <c r="AH1666">
        <v>0</v>
      </c>
      <c r="AK1666">
        <v>0</v>
      </c>
    </row>
    <row r="1667" spans="1:37" x14ac:dyDescent="0.25">
      <c r="A1667" t="s">
        <v>79</v>
      </c>
      <c r="B1667">
        <v>7</v>
      </c>
      <c r="C1667">
        <v>1</v>
      </c>
      <c r="D1667">
        <v>4</v>
      </c>
      <c r="E1667">
        <v>7</v>
      </c>
      <c r="G1667">
        <v>714</v>
      </c>
      <c r="H1667" t="s">
        <v>63</v>
      </c>
      <c r="I1667" t="s">
        <v>123</v>
      </c>
      <c r="J1667" t="s">
        <v>147</v>
      </c>
      <c r="L1667">
        <v>0</v>
      </c>
      <c r="M1667" t="s">
        <v>125</v>
      </c>
      <c r="O1667" t="s">
        <v>125</v>
      </c>
      <c r="P1667" t="s">
        <v>125</v>
      </c>
      <c r="Q1667" t="s">
        <v>125</v>
      </c>
      <c r="R1667" t="s">
        <v>125</v>
      </c>
      <c r="S1667" t="s">
        <v>125</v>
      </c>
      <c r="T1667">
        <v>0</v>
      </c>
      <c r="V1667" t="s">
        <v>125</v>
      </c>
      <c r="AE1667" t="s">
        <v>125</v>
      </c>
      <c r="AF1667">
        <v>0</v>
      </c>
      <c r="AG1667" t="s">
        <v>125</v>
      </c>
      <c r="AH1667">
        <v>0</v>
      </c>
      <c r="AK1667">
        <v>0</v>
      </c>
    </row>
    <row r="1668" spans="1:37" x14ac:dyDescent="0.25">
      <c r="A1668" t="s">
        <v>79</v>
      </c>
      <c r="B1668">
        <v>7</v>
      </c>
      <c r="C1668">
        <v>1</v>
      </c>
      <c r="D1668">
        <v>4</v>
      </c>
      <c r="E1668">
        <v>8</v>
      </c>
      <c r="G1668">
        <v>714</v>
      </c>
      <c r="H1668" t="s">
        <v>63</v>
      </c>
      <c r="I1668" t="s">
        <v>126</v>
      </c>
      <c r="J1668" t="s">
        <v>148</v>
      </c>
      <c r="L1668">
        <v>0</v>
      </c>
      <c r="M1668" t="s">
        <v>125</v>
      </c>
      <c r="O1668" t="s">
        <v>125</v>
      </c>
      <c r="P1668" t="s">
        <v>125</v>
      </c>
      <c r="Q1668" t="s">
        <v>125</v>
      </c>
      <c r="R1668" t="s">
        <v>125</v>
      </c>
      <c r="S1668" t="s">
        <v>125</v>
      </c>
      <c r="T1668">
        <v>0</v>
      </c>
      <c r="V1668" t="s">
        <v>125</v>
      </c>
      <c r="AE1668" t="s">
        <v>125</v>
      </c>
      <c r="AF1668">
        <v>0</v>
      </c>
      <c r="AG1668" t="s">
        <v>125</v>
      </c>
      <c r="AH1668">
        <v>0</v>
      </c>
      <c r="AK1668">
        <v>0</v>
      </c>
    </row>
    <row r="1669" spans="1:37" x14ac:dyDescent="0.25">
      <c r="A1669" t="s">
        <v>79</v>
      </c>
      <c r="B1669">
        <v>7</v>
      </c>
      <c r="C1669">
        <v>1</v>
      </c>
      <c r="D1669">
        <v>4</v>
      </c>
      <c r="E1669">
        <v>9</v>
      </c>
      <c r="G1669">
        <v>714</v>
      </c>
      <c r="H1669" t="s">
        <v>63</v>
      </c>
      <c r="I1669" t="s">
        <v>74</v>
      </c>
      <c r="J1669" t="s">
        <v>149</v>
      </c>
      <c r="L1669">
        <v>0</v>
      </c>
      <c r="M1669" t="s">
        <v>125</v>
      </c>
      <c r="O1669" t="s">
        <v>125</v>
      </c>
      <c r="P1669" t="s">
        <v>125</v>
      </c>
      <c r="Q1669" t="s">
        <v>125</v>
      </c>
      <c r="R1669" t="s">
        <v>125</v>
      </c>
      <c r="S1669" t="s">
        <v>125</v>
      </c>
      <c r="T1669">
        <v>0</v>
      </c>
      <c r="V1669" t="s">
        <v>125</v>
      </c>
      <c r="AE1669" t="s">
        <v>125</v>
      </c>
      <c r="AF1669">
        <v>0</v>
      </c>
      <c r="AG1669" t="s">
        <v>125</v>
      </c>
      <c r="AH1669">
        <v>0</v>
      </c>
      <c r="AK1669">
        <v>0</v>
      </c>
    </row>
    <row r="1670" spans="1:37" x14ac:dyDescent="0.25">
      <c r="A1670" t="s">
        <v>79</v>
      </c>
      <c r="B1670">
        <v>7</v>
      </c>
      <c r="C1670">
        <v>1</v>
      </c>
      <c r="D1670">
        <v>4</v>
      </c>
      <c r="E1670">
        <v>10</v>
      </c>
      <c r="G1670">
        <v>714</v>
      </c>
      <c r="H1670" t="s">
        <v>63</v>
      </c>
      <c r="I1670" t="s">
        <v>129</v>
      </c>
      <c r="J1670" t="s">
        <v>150</v>
      </c>
      <c r="L1670">
        <v>0</v>
      </c>
      <c r="M1670" t="s">
        <v>125</v>
      </c>
      <c r="O1670" t="s">
        <v>125</v>
      </c>
      <c r="P1670" t="s">
        <v>125</v>
      </c>
      <c r="Q1670" t="s">
        <v>125</v>
      </c>
      <c r="R1670" t="s">
        <v>125</v>
      </c>
      <c r="S1670" t="s">
        <v>125</v>
      </c>
      <c r="T1670">
        <v>0</v>
      </c>
      <c r="V1670" t="s">
        <v>125</v>
      </c>
      <c r="AE1670" t="s">
        <v>125</v>
      </c>
      <c r="AF1670">
        <v>0</v>
      </c>
      <c r="AG1670" t="s">
        <v>125</v>
      </c>
      <c r="AH1670">
        <v>0</v>
      </c>
      <c r="AK1670">
        <v>0</v>
      </c>
    </row>
    <row r="1671" spans="1:37" x14ac:dyDescent="0.25">
      <c r="A1671" t="s">
        <v>79</v>
      </c>
      <c r="B1671">
        <v>7</v>
      </c>
      <c r="C1671">
        <v>1</v>
      </c>
      <c r="D1671">
        <v>4</v>
      </c>
      <c r="E1671">
        <v>11</v>
      </c>
      <c r="G1671">
        <v>714</v>
      </c>
      <c r="H1671" t="s">
        <v>63</v>
      </c>
      <c r="I1671" t="s">
        <v>131</v>
      </c>
      <c r="J1671" t="s">
        <v>151</v>
      </c>
      <c r="L1671">
        <v>0</v>
      </c>
      <c r="M1671" t="s">
        <v>125</v>
      </c>
      <c r="O1671" t="s">
        <v>125</v>
      </c>
      <c r="P1671" t="s">
        <v>125</v>
      </c>
      <c r="Q1671" t="s">
        <v>125</v>
      </c>
      <c r="R1671" t="s">
        <v>125</v>
      </c>
      <c r="S1671" t="s">
        <v>125</v>
      </c>
      <c r="T1671">
        <v>0</v>
      </c>
      <c r="V1671" t="s">
        <v>125</v>
      </c>
      <c r="AE1671" t="s">
        <v>125</v>
      </c>
      <c r="AF1671">
        <v>0</v>
      </c>
      <c r="AG1671" t="s">
        <v>125</v>
      </c>
      <c r="AH1671">
        <v>0</v>
      </c>
      <c r="AK1671">
        <v>0</v>
      </c>
    </row>
    <row r="1672" spans="1:37" x14ac:dyDescent="0.25">
      <c r="A1672" t="s">
        <v>79</v>
      </c>
      <c r="B1672">
        <v>7</v>
      </c>
      <c r="C1672">
        <v>1</v>
      </c>
      <c r="D1672">
        <v>4</v>
      </c>
      <c r="E1672">
        <v>12</v>
      </c>
      <c r="G1672">
        <v>714</v>
      </c>
      <c r="H1672" t="s">
        <v>63</v>
      </c>
      <c r="I1672" t="s">
        <v>133</v>
      </c>
      <c r="J1672" t="s">
        <v>152</v>
      </c>
      <c r="L1672">
        <v>0</v>
      </c>
      <c r="M1672" t="s">
        <v>125</v>
      </c>
      <c r="O1672" t="s">
        <v>125</v>
      </c>
      <c r="P1672" t="s">
        <v>125</v>
      </c>
      <c r="Q1672" t="s">
        <v>125</v>
      </c>
      <c r="R1672" t="s">
        <v>125</v>
      </c>
      <c r="S1672" t="s">
        <v>125</v>
      </c>
      <c r="T1672">
        <v>0</v>
      </c>
      <c r="V1672" t="s">
        <v>125</v>
      </c>
      <c r="AE1672" t="s">
        <v>125</v>
      </c>
      <c r="AF1672">
        <v>0</v>
      </c>
      <c r="AG1672" t="s">
        <v>125</v>
      </c>
      <c r="AH1672">
        <v>0</v>
      </c>
      <c r="AK1672">
        <v>0</v>
      </c>
    </row>
    <row r="1673" spans="1:37" x14ac:dyDescent="0.25">
      <c r="A1673" t="s">
        <v>79</v>
      </c>
      <c r="B1673">
        <v>7</v>
      </c>
      <c r="C1673">
        <v>1</v>
      </c>
      <c r="D1673">
        <v>4</v>
      </c>
      <c r="E1673">
        <v>13</v>
      </c>
      <c r="G1673">
        <v>714</v>
      </c>
      <c r="H1673" t="s">
        <v>63</v>
      </c>
      <c r="I1673" t="s">
        <v>135</v>
      </c>
      <c r="J1673" t="s">
        <v>153</v>
      </c>
      <c r="L1673">
        <v>0</v>
      </c>
      <c r="M1673" t="s">
        <v>125</v>
      </c>
      <c r="O1673" t="s">
        <v>125</v>
      </c>
      <c r="P1673" t="s">
        <v>125</v>
      </c>
      <c r="Q1673" t="s">
        <v>125</v>
      </c>
      <c r="R1673" t="s">
        <v>125</v>
      </c>
      <c r="S1673" t="s">
        <v>125</v>
      </c>
      <c r="T1673">
        <v>0</v>
      </c>
      <c r="V1673" t="s">
        <v>125</v>
      </c>
      <c r="AE1673" t="s">
        <v>125</v>
      </c>
      <c r="AF1673">
        <v>0</v>
      </c>
      <c r="AG1673" t="s">
        <v>125</v>
      </c>
      <c r="AH1673">
        <v>0</v>
      </c>
      <c r="AK1673">
        <v>0</v>
      </c>
    </row>
    <row r="1674" spans="1:37" x14ac:dyDescent="0.25">
      <c r="A1674" t="s">
        <v>79</v>
      </c>
      <c r="B1674">
        <v>7</v>
      </c>
      <c r="C1674">
        <v>1</v>
      </c>
      <c r="D1674">
        <v>4</v>
      </c>
      <c r="E1674">
        <v>14</v>
      </c>
      <c r="G1674">
        <v>714</v>
      </c>
      <c r="H1674" t="s">
        <v>63</v>
      </c>
      <c r="I1674" t="s">
        <v>137</v>
      </c>
      <c r="J1674" t="s">
        <v>154</v>
      </c>
      <c r="L1674">
        <v>0</v>
      </c>
      <c r="M1674" t="s">
        <v>125</v>
      </c>
      <c r="O1674" t="s">
        <v>125</v>
      </c>
      <c r="P1674" t="s">
        <v>125</v>
      </c>
      <c r="Q1674" t="s">
        <v>125</v>
      </c>
      <c r="R1674" t="s">
        <v>125</v>
      </c>
      <c r="S1674" t="s">
        <v>125</v>
      </c>
      <c r="T1674">
        <v>0</v>
      </c>
      <c r="V1674" t="s">
        <v>125</v>
      </c>
      <c r="AE1674" t="s">
        <v>125</v>
      </c>
      <c r="AF1674">
        <v>0</v>
      </c>
      <c r="AG1674" t="s">
        <v>125</v>
      </c>
      <c r="AH1674">
        <v>0</v>
      </c>
      <c r="AK1674">
        <v>0</v>
      </c>
    </row>
    <row r="1675" spans="1:37" x14ac:dyDescent="0.25">
      <c r="A1675" t="s">
        <v>79</v>
      </c>
      <c r="B1675">
        <v>7</v>
      </c>
      <c r="C1675">
        <v>1</v>
      </c>
      <c r="D1675">
        <v>4</v>
      </c>
      <c r="E1675">
        <v>15</v>
      </c>
      <c r="G1675">
        <v>714</v>
      </c>
      <c r="H1675" t="s">
        <v>63</v>
      </c>
      <c r="I1675" t="s">
        <v>139</v>
      </c>
      <c r="J1675" t="s">
        <v>155</v>
      </c>
      <c r="L1675">
        <v>0</v>
      </c>
      <c r="M1675" t="s">
        <v>125</v>
      </c>
      <c r="O1675" t="s">
        <v>125</v>
      </c>
      <c r="P1675" t="s">
        <v>125</v>
      </c>
      <c r="Q1675" t="s">
        <v>125</v>
      </c>
      <c r="R1675" t="s">
        <v>125</v>
      </c>
      <c r="S1675" t="s">
        <v>125</v>
      </c>
      <c r="T1675">
        <v>0</v>
      </c>
      <c r="V1675" t="s">
        <v>125</v>
      </c>
      <c r="AE1675" t="s">
        <v>125</v>
      </c>
      <c r="AF1675">
        <v>0</v>
      </c>
      <c r="AG1675" t="s">
        <v>125</v>
      </c>
      <c r="AH1675">
        <v>0</v>
      </c>
      <c r="AK1675">
        <v>0</v>
      </c>
    </row>
    <row r="1676" spans="1:37" x14ac:dyDescent="0.25">
      <c r="L1676">
        <v>0</v>
      </c>
    </row>
    <row r="1677" spans="1:37" x14ac:dyDescent="0.25">
      <c r="A1677" t="s">
        <v>70</v>
      </c>
      <c r="B1677">
        <v>7</v>
      </c>
      <c r="C1677">
        <v>1</v>
      </c>
      <c r="D1677">
        <v>5</v>
      </c>
      <c r="G1677">
        <v>71</v>
      </c>
      <c r="L1677">
        <v>0</v>
      </c>
      <c r="M1677" t="s">
        <v>125</v>
      </c>
      <c r="P1677" t="s">
        <v>125</v>
      </c>
      <c r="R1677" t="s">
        <v>125</v>
      </c>
      <c r="S1677" t="s">
        <v>63</v>
      </c>
      <c r="V1677" t="s">
        <v>125</v>
      </c>
      <c r="X1677" t="s">
        <v>125</v>
      </c>
      <c r="Y1677" t="s">
        <v>125</v>
      </c>
      <c r="Z1677" t="s">
        <v>125</v>
      </c>
      <c r="AA1677" t="s">
        <v>125</v>
      </c>
      <c r="AB1677" t="s">
        <v>125</v>
      </c>
      <c r="AC1677" t="s">
        <v>125</v>
      </c>
      <c r="AE1677" t="s">
        <v>125</v>
      </c>
      <c r="AF1677">
        <v>0</v>
      </c>
      <c r="AG1677" t="s">
        <v>125</v>
      </c>
      <c r="AH1677">
        <v>0</v>
      </c>
      <c r="AK1677">
        <v>0</v>
      </c>
    </row>
    <row r="1678" spans="1:37" x14ac:dyDescent="0.25">
      <c r="A1678" t="s">
        <v>79</v>
      </c>
      <c r="B1678">
        <v>7</v>
      </c>
      <c r="C1678">
        <v>1</v>
      </c>
      <c r="D1678">
        <v>5</v>
      </c>
      <c r="E1678">
        <v>1</v>
      </c>
      <c r="G1678">
        <v>715</v>
      </c>
      <c r="H1678" t="s">
        <v>63</v>
      </c>
      <c r="I1678" t="s">
        <v>80</v>
      </c>
      <c r="J1678" t="s">
        <v>141</v>
      </c>
      <c r="L1678">
        <v>0</v>
      </c>
      <c r="M1678" t="s">
        <v>125</v>
      </c>
      <c r="O1678" t="s">
        <v>125</v>
      </c>
      <c r="P1678" t="s">
        <v>125</v>
      </c>
      <c r="Q1678" t="s">
        <v>125</v>
      </c>
      <c r="R1678" t="s">
        <v>125</v>
      </c>
      <c r="S1678" t="s">
        <v>125</v>
      </c>
      <c r="T1678">
        <v>0</v>
      </c>
      <c r="V1678" t="s">
        <v>125</v>
      </c>
      <c r="AE1678" t="s">
        <v>125</v>
      </c>
      <c r="AF1678">
        <v>0</v>
      </c>
      <c r="AG1678" t="s">
        <v>125</v>
      </c>
      <c r="AH1678">
        <v>0</v>
      </c>
      <c r="AK1678">
        <v>0</v>
      </c>
    </row>
    <row r="1679" spans="1:37" x14ac:dyDescent="0.25">
      <c r="A1679" t="s">
        <v>79</v>
      </c>
      <c r="B1679">
        <v>7</v>
      </c>
      <c r="C1679">
        <v>1</v>
      </c>
      <c r="D1679">
        <v>5</v>
      </c>
      <c r="E1679">
        <v>2</v>
      </c>
      <c r="G1679">
        <v>715</v>
      </c>
      <c r="H1679" t="s">
        <v>63</v>
      </c>
      <c r="I1679" t="s">
        <v>88</v>
      </c>
      <c r="J1679" t="s">
        <v>142</v>
      </c>
      <c r="L1679">
        <v>0</v>
      </c>
      <c r="M1679" t="s">
        <v>125</v>
      </c>
      <c r="O1679" t="s">
        <v>125</v>
      </c>
      <c r="P1679" t="s">
        <v>125</v>
      </c>
      <c r="Q1679" t="s">
        <v>125</v>
      </c>
      <c r="R1679" t="s">
        <v>125</v>
      </c>
      <c r="S1679" t="s">
        <v>125</v>
      </c>
      <c r="T1679">
        <v>0</v>
      </c>
      <c r="V1679" t="s">
        <v>125</v>
      </c>
      <c r="AE1679" t="s">
        <v>125</v>
      </c>
      <c r="AF1679">
        <v>0</v>
      </c>
      <c r="AG1679" t="s">
        <v>125</v>
      </c>
      <c r="AH1679">
        <v>0</v>
      </c>
      <c r="AK1679">
        <v>0</v>
      </c>
    </row>
    <row r="1680" spans="1:37" x14ac:dyDescent="0.25">
      <c r="A1680" t="s">
        <v>79</v>
      </c>
      <c r="B1680">
        <v>7</v>
      </c>
      <c r="C1680">
        <v>1</v>
      </c>
      <c r="D1680">
        <v>5</v>
      </c>
      <c r="E1680">
        <v>3</v>
      </c>
      <c r="G1680">
        <v>715</v>
      </c>
      <c r="H1680" t="s">
        <v>63</v>
      </c>
      <c r="I1680" t="s">
        <v>95</v>
      </c>
      <c r="J1680" t="s">
        <v>143</v>
      </c>
      <c r="L1680">
        <v>0</v>
      </c>
      <c r="M1680" t="s">
        <v>125</v>
      </c>
      <c r="O1680" t="s">
        <v>125</v>
      </c>
      <c r="P1680" t="s">
        <v>125</v>
      </c>
      <c r="Q1680" t="s">
        <v>125</v>
      </c>
      <c r="R1680" t="s">
        <v>125</v>
      </c>
      <c r="S1680" t="s">
        <v>125</v>
      </c>
      <c r="T1680">
        <v>0</v>
      </c>
      <c r="V1680" t="s">
        <v>125</v>
      </c>
      <c r="AE1680" t="s">
        <v>125</v>
      </c>
      <c r="AF1680">
        <v>0</v>
      </c>
      <c r="AG1680" t="s">
        <v>125</v>
      </c>
      <c r="AH1680">
        <v>0</v>
      </c>
      <c r="AK1680">
        <v>0</v>
      </c>
    </row>
    <row r="1681" spans="1:37" x14ac:dyDescent="0.25">
      <c r="A1681" t="s">
        <v>79</v>
      </c>
      <c r="B1681">
        <v>7</v>
      </c>
      <c r="C1681">
        <v>1</v>
      </c>
      <c r="D1681">
        <v>5</v>
      </c>
      <c r="E1681">
        <v>4</v>
      </c>
      <c r="G1681">
        <v>715</v>
      </c>
      <c r="H1681" t="s">
        <v>63</v>
      </c>
      <c r="I1681" t="s">
        <v>102</v>
      </c>
      <c r="J1681" t="s">
        <v>144</v>
      </c>
      <c r="L1681">
        <v>0</v>
      </c>
      <c r="M1681" t="s">
        <v>125</v>
      </c>
      <c r="O1681" t="s">
        <v>125</v>
      </c>
      <c r="P1681" t="s">
        <v>125</v>
      </c>
      <c r="Q1681" t="s">
        <v>125</v>
      </c>
      <c r="R1681" t="s">
        <v>125</v>
      </c>
      <c r="S1681" t="s">
        <v>125</v>
      </c>
      <c r="T1681">
        <v>0</v>
      </c>
      <c r="V1681" t="s">
        <v>125</v>
      </c>
      <c r="AE1681" t="s">
        <v>125</v>
      </c>
      <c r="AF1681">
        <v>0</v>
      </c>
      <c r="AG1681" t="s">
        <v>125</v>
      </c>
      <c r="AH1681">
        <v>0</v>
      </c>
      <c r="AK1681">
        <v>0</v>
      </c>
    </row>
    <row r="1682" spans="1:37" x14ac:dyDescent="0.25">
      <c r="A1682" t="s">
        <v>79</v>
      </c>
      <c r="B1682">
        <v>7</v>
      </c>
      <c r="C1682">
        <v>1</v>
      </c>
      <c r="D1682">
        <v>5</v>
      </c>
      <c r="E1682">
        <v>5</v>
      </c>
      <c r="G1682">
        <v>715</v>
      </c>
      <c r="H1682" t="s">
        <v>63</v>
      </c>
      <c r="I1682" t="s">
        <v>109</v>
      </c>
      <c r="J1682" t="s">
        <v>145</v>
      </c>
      <c r="L1682">
        <v>0</v>
      </c>
      <c r="M1682" t="s">
        <v>125</v>
      </c>
      <c r="O1682" t="s">
        <v>125</v>
      </c>
      <c r="P1682" t="s">
        <v>125</v>
      </c>
      <c r="Q1682" t="s">
        <v>125</v>
      </c>
      <c r="R1682" t="s">
        <v>125</v>
      </c>
      <c r="S1682" t="s">
        <v>125</v>
      </c>
      <c r="T1682">
        <v>0</v>
      </c>
      <c r="V1682" t="s">
        <v>125</v>
      </c>
      <c r="AE1682" t="s">
        <v>125</v>
      </c>
      <c r="AF1682">
        <v>0</v>
      </c>
      <c r="AG1682" t="s">
        <v>125</v>
      </c>
      <c r="AH1682">
        <v>0</v>
      </c>
      <c r="AK1682">
        <v>0</v>
      </c>
    </row>
    <row r="1683" spans="1:37" x14ac:dyDescent="0.25">
      <c r="A1683" t="s">
        <v>79</v>
      </c>
      <c r="B1683">
        <v>7</v>
      </c>
      <c r="C1683">
        <v>1</v>
      </c>
      <c r="D1683">
        <v>5</v>
      </c>
      <c r="E1683">
        <v>6</v>
      </c>
      <c r="G1683">
        <v>715</v>
      </c>
      <c r="H1683" t="s">
        <v>63</v>
      </c>
      <c r="I1683" t="s">
        <v>116</v>
      </c>
      <c r="J1683" t="s">
        <v>146</v>
      </c>
      <c r="L1683">
        <v>0</v>
      </c>
      <c r="M1683" t="s">
        <v>125</v>
      </c>
      <c r="O1683" t="s">
        <v>125</v>
      </c>
      <c r="P1683" t="s">
        <v>125</v>
      </c>
      <c r="Q1683" t="s">
        <v>125</v>
      </c>
      <c r="R1683" t="s">
        <v>125</v>
      </c>
      <c r="S1683" t="s">
        <v>125</v>
      </c>
      <c r="T1683">
        <v>0</v>
      </c>
      <c r="V1683" t="s">
        <v>125</v>
      </c>
      <c r="AE1683" t="s">
        <v>125</v>
      </c>
      <c r="AF1683">
        <v>0</v>
      </c>
      <c r="AG1683" t="s">
        <v>125</v>
      </c>
      <c r="AH1683">
        <v>0</v>
      </c>
      <c r="AK1683">
        <v>0</v>
      </c>
    </row>
    <row r="1684" spans="1:37" x14ac:dyDescent="0.25">
      <c r="A1684" t="s">
        <v>79</v>
      </c>
      <c r="B1684">
        <v>7</v>
      </c>
      <c r="C1684">
        <v>1</v>
      </c>
      <c r="D1684">
        <v>5</v>
      </c>
      <c r="E1684">
        <v>7</v>
      </c>
      <c r="G1684">
        <v>715</v>
      </c>
      <c r="H1684" t="s">
        <v>63</v>
      </c>
      <c r="I1684" t="s">
        <v>123</v>
      </c>
      <c r="J1684" t="s">
        <v>147</v>
      </c>
      <c r="L1684">
        <v>0</v>
      </c>
      <c r="M1684" t="s">
        <v>125</v>
      </c>
      <c r="O1684" t="s">
        <v>125</v>
      </c>
      <c r="P1684" t="s">
        <v>125</v>
      </c>
      <c r="Q1684" t="s">
        <v>125</v>
      </c>
      <c r="R1684" t="s">
        <v>125</v>
      </c>
      <c r="S1684" t="s">
        <v>125</v>
      </c>
      <c r="T1684">
        <v>0</v>
      </c>
      <c r="V1684" t="s">
        <v>125</v>
      </c>
      <c r="AE1684" t="s">
        <v>125</v>
      </c>
      <c r="AF1684">
        <v>0</v>
      </c>
      <c r="AG1684" t="s">
        <v>125</v>
      </c>
      <c r="AH1684">
        <v>0</v>
      </c>
      <c r="AK1684">
        <v>0</v>
      </c>
    </row>
    <row r="1685" spans="1:37" x14ac:dyDescent="0.25">
      <c r="A1685" t="s">
        <v>79</v>
      </c>
      <c r="B1685">
        <v>7</v>
      </c>
      <c r="C1685">
        <v>1</v>
      </c>
      <c r="D1685">
        <v>5</v>
      </c>
      <c r="E1685">
        <v>8</v>
      </c>
      <c r="G1685">
        <v>715</v>
      </c>
      <c r="H1685" t="s">
        <v>63</v>
      </c>
      <c r="I1685" t="s">
        <v>126</v>
      </c>
      <c r="J1685" t="s">
        <v>148</v>
      </c>
      <c r="L1685">
        <v>0</v>
      </c>
      <c r="M1685" t="s">
        <v>125</v>
      </c>
      <c r="O1685" t="s">
        <v>125</v>
      </c>
      <c r="P1685" t="s">
        <v>125</v>
      </c>
      <c r="Q1685" t="s">
        <v>125</v>
      </c>
      <c r="R1685" t="s">
        <v>125</v>
      </c>
      <c r="S1685" t="s">
        <v>125</v>
      </c>
      <c r="T1685">
        <v>0</v>
      </c>
      <c r="V1685" t="s">
        <v>125</v>
      </c>
      <c r="AE1685" t="s">
        <v>125</v>
      </c>
      <c r="AF1685">
        <v>0</v>
      </c>
      <c r="AG1685" t="s">
        <v>125</v>
      </c>
      <c r="AH1685">
        <v>0</v>
      </c>
      <c r="AK1685">
        <v>0</v>
      </c>
    </row>
    <row r="1686" spans="1:37" x14ac:dyDescent="0.25">
      <c r="A1686" t="s">
        <v>79</v>
      </c>
      <c r="B1686">
        <v>7</v>
      </c>
      <c r="C1686">
        <v>1</v>
      </c>
      <c r="D1686">
        <v>5</v>
      </c>
      <c r="E1686">
        <v>9</v>
      </c>
      <c r="G1686">
        <v>715</v>
      </c>
      <c r="H1686" t="s">
        <v>63</v>
      </c>
      <c r="I1686" t="s">
        <v>74</v>
      </c>
      <c r="J1686" t="s">
        <v>149</v>
      </c>
      <c r="L1686">
        <v>0</v>
      </c>
      <c r="M1686" t="s">
        <v>125</v>
      </c>
      <c r="O1686" t="s">
        <v>125</v>
      </c>
      <c r="P1686" t="s">
        <v>125</v>
      </c>
      <c r="Q1686" t="s">
        <v>125</v>
      </c>
      <c r="R1686" t="s">
        <v>125</v>
      </c>
      <c r="S1686" t="s">
        <v>125</v>
      </c>
      <c r="T1686">
        <v>0</v>
      </c>
      <c r="V1686" t="s">
        <v>125</v>
      </c>
      <c r="AE1686" t="s">
        <v>125</v>
      </c>
      <c r="AF1686">
        <v>0</v>
      </c>
      <c r="AG1686" t="s">
        <v>125</v>
      </c>
      <c r="AH1686">
        <v>0</v>
      </c>
      <c r="AK1686">
        <v>0</v>
      </c>
    </row>
    <row r="1687" spans="1:37" x14ac:dyDescent="0.25">
      <c r="A1687" t="s">
        <v>79</v>
      </c>
      <c r="B1687">
        <v>7</v>
      </c>
      <c r="C1687">
        <v>1</v>
      </c>
      <c r="D1687">
        <v>5</v>
      </c>
      <c r="E1687">
        <v>10</v>
      </c>
      <c r="G1687">
        <v>715</v>
      </c>
      <c r="H1687" t="s">
        <v>63</v>
      </c>
      <c r="I1687" t="s">
        <v>129</v>
      </c>
      <c r="J1687" t="s">
        <v>150</v>
      </c>
      <c r="L1687">
        <v>0</v>
      </c>
      <c r="M1687" t="s">
        <v>125</v>
      </c>
      <c r="O1687" t="s">
        <v>125</v>
      </c>
      <c r="P1687" t="s">
        <v>125</v>
      </c>
      <c r="Q1687" t="s">
        <v>125</v>
      </c>
      <c r="R1687" t="s">
        <v>125</v>
      </c>
      <c r="S1687" t="s">
        <v>125</v>
      </c>
      <c r="T1687">
        <v>0</v>
      </c>
      <c r="V1687" t="s">
        <v>125</v>
      </c>
      <c r="AE1687" t="s">
        <v>125</v>
      </c>
      <c r="AF1687">
        <v>0</v>
      </c>
      <c r="AG1687" t="s">
        <v>125</v>
      </c>
      <c r="AH1687">
        <v>0</v>
      </c>
      <c r="AK1687">
        <v>0</v>
      </c>
    </row>
    <row r="1688" spans="1:37" x14ac:dyDescent="0.25">
      <c r="A1688" t="s">
        <v>79</v>
      </c>
      <c r="B1688">
        <v>7</v>
      </c>
      <c r="C1688">
        <v>1</v>
      </c>
      <c r="D1688">
        <v>5</v>
      </c>
      <c r="E1688">
        <v>11</v>
      </c>
      <c r="G1688">
        <v>715</v>
      </c>
      <c r="H1688" t="s">
        <v>63</v>
      </c>
      <c r="I1688" t="s">
        <v>131</v>
      </c>
      <c r="J1688" t="s">
        <v>151</v>
      </c>
      <c r="L1688">
        <v>0</v>
      </c>
      <c r="M1688" t="s">
        <v>125</v>
      </c>
      <c r="O1688" t="s">
        <v>125</v>
      </c>
      <c r="P1688" t="s">
        <v>125</v>
      </c>
      <c r="Q1688" t="s">
        <v>125</v>
      </c>
      <c r="R1688" t="s">
        <v>125</v>
      </c>
      <c r="S1688" t="s">
        <v>125</v>
      </c>
      <c r="T1688">
        <v>0</v>
      </c>
      <c r="V1688" t="s">
        <v>125</v>
      </c>
      <c r="AE1688" t="s">
        <v>125</v>
      </c>
      <c r="AF1688">
        <v>0</v>
      </c>
      <c r="AG1688" t="s">
        <v>125</v>
      </c>
      <c r="AH1688">
        <v>0</v>
      </c>
      <c r="AK1688">
        <v>0</v>
      </c>
    </row>
    <row r="1689" spans="1:37" x14ac:dyDescent="0.25">
      <c r="A1689" t="s">
        <v>79</v>
      </c>
      <c r="B1689">
        <v>7</v>
      </c>
      <c r="C1689">
        <v>1</v>
      </c>
      <c r="D1689">
        <v>5</v>
      </c>
      <c r="E1689">
        <v>12</v>
      </c>
      <c r="G1689">
        <v>715</v>
      </c>
      <c r="H1689" t="s">
        <v>63</v>
      </c>
      <c r="I1689" t="s">
        <v>133</v>
      </c>
      <c r="J1689" t="s">
        <v>152</v>
      </c>
      <c r="L1689">
        <v>0</v>
      </c>
      <c r="M1689" t="s">
        <v>125</v>
      </c>
      <c r="O1689" t="s">
        <v>125</v>
      </c>
      <c r="P1689" t="s">
        <v>125</v>
      </c>
      <c r="Q1689" t="s">
        <v>125</v>
      </c>
      <c r="R1689" t="s">
        <v>125</v>
      </c>
      <c r="S1689" t="s">
        <v>125</v>
      </c>
      <c r="T1689">
        <v>0</v>
      </c>
      <c r="V1689" t="s">
        <v>125</v>
      </c>
      <c r="AE1689" t="s">
        <v>125</v>
      </c>
      <c r="AF1689">
        <v>0</v>
      </c>
      <c r="AG1689" t="s">
        <v>125</v>
      </c>
      <c r="AH1689">
        <v>0</v>
      </c>
      <c r="AK1689">
        <v>0</v>
      </c>
    </row>
    <row r="1690" spans="1:37" x14ac:dyDescent="0.25">
      <c r="A1690" t="s">
        <v>79</v>
      </c>
      <c r="B1690">
        <v>7</v>
      </c>
      <c r="C1690">
        <v>1</v>
      </c>
      <c r="D1690">
        <v>5</v>
      </c>
      <c r="E1690">
        <v>13</v>
      </c>
      <c r="G1690">
        <v>715</v>
      </c>
      <c r="H1690" t="s">
        <v>63</v>
      </c>
      <c r="I1690" t="s">
        <v>135</v>
      </c>
      <c r="J1690" t="s">
        <v>153</v>
      </c>
      <c r="L1690">
        <v>0</v>
      </c>
      <c r="M1690" t="s">
        <v>125</v>
      </c>
      <c r="O1690" t="s">
        <v>125</v>
      </c>
      <c r="P1690" t="s">
        <v>125</v>
      </c>
      <c r="Q1690" t="s">
        <v>125</v>
      </c>
      <c r="R1690" t="s">
        <v>125</v>
      </c>
      <c r="S1690" t="s">
        <v>125</v>
      </c>
      <c r="T1690">
        <v>0</v>
      </c>
      <c r="V1690" t="s">
        <v>125</v>
      </c>
      <c r="AE1690" t="s">
        <v>125</v>
      </c>
      <c r="AF1690">
        <v>0</v>
      </c>
      <c r="AG1690" t="s">
        <v>125</v>
      </c>
      <c r="AH1690">
        <v>0</v>
      </c>
      <c r="AK1690">
        <v>0</v>
      </c>
    </row>
    <row r="1691" spans="1:37" x14ac:dyDescent="0.25">
      <c r="A1691" t="s">
        <v>79</v>
      </c>
      <c r="B1691">
        <v>7</v>
      </c>
      <c r="C1691">
        <v>1</v>
      </c>
      <c r="D1691">
        <v>5</v>
      </c>
      <c r="E1691">
        <v>14</v>
      </c>
      <c r="G1691">
        <v>715</v>
      </c>
      <c r="H1691" t="s">
        <v>63</v>
      </c>
      <c r="I1691" t="s">
        <v>137</v>
      </c>
      <c r="J1691" t="s">
        <v>154</v>
      </c>
      <c r="L1691">
        <v>0</v>
      </c>
      <c r="M1691" t="s">
        <v>125</v>
      </c>
      <c r="O1691" t="s">
        <v>125</v>
      </c>
      <c r="P1691" t="s">
        <v>125</v>
      </c>
      <c r="Q1691" t="s">
        <v>125</v>
      </c>
      <c r="R1691" t="s">
        <v>125</v>
      </c>
      <c r="S1691" t="s">
        <v>125</v>
      </c>
      <c r="T1691">
        <v>0</v>
      </c>
      <c r="V1691" t="s">
        <v>125</v>
      </c>
      <c r="AE1691" t="s">
        <v>125</v>
      </c>
      <c r="AF1691">
        <v>0</v>
      </c>
      <c r="AG1691" t="s">
        <v>125</v>
      </c>
      <c r="AH1691">
        <v>0</v>
      </c>
      <c r="AK1691">
        <v>0</v>
      </c>
    </row>
    <row r="1692" spans="1:37" x14ac:dyDescent="0.25">
      <c r="A1692" t="s">
        <v>79</v>
      </c>
      <c r="B1692">
        <v>7</v>
      </c>
      <c r="C1692">
        <v>1</v>
      </c>
      <c r="D1692">
        <v>5</v>
      </c>
      <c r="E1692">
        <v>15</v>
      </c>
      <c r="G1692">
        <v>715</v>
      </c>
      <c r="H1692" t="s">
        <v>63</v>
      </c>
      <c r="I1692" t="s">
        <v>139</v>
      </c>
      <c r="J1692" t="s">
        <v>155</v>
      </c>
      <c r="L1692">
        <v>0</v>
      </c>
      <c r="M1692" t="s">
        <v>125</v>
      </c>
      <c r="O1692" t="s">
        <v>125</v>
      </c>
      <c r="P1692" t="s">
        <v>125</v>
      </c>
      <c r="Q1692" t="s">
        <v>125</v>
      </c>
      <c r="R1692" t="s">
        <v>125</v>
      </c>
      <c r="S1692" t="s">
        <v>125</v>
      </c>
      <c r="T1692">
        <v>0</v>
      </c>
      <c r="V1692" t="s">
        <v>125</v>
      </c>
      <c r="AE1692" t="s">
        <v>125</v>
      </c>
      <c r="AF1692">
        <v>0</v>
      </c>
      <c r="AG1692" t="s">
        <v>125</v>
      </c>
      <c r="AH1692">
        <v>0</v>
      </c>
      <c r="AK1692">
        <v>0</v>
      </c>
    </row>
    <row r="1693" spans="1:37" x14ac:dyDescent="0.25">
      <c r="L1693">
        <v>0</v>
      </c>
    </row>
    <row r="1694" spans="1:37" x14ac:dyDescent="0.25">
      <c r="L1694">
        <v>0</v>
      </c>
    </row>
    <row r="1695" spans="1:37" x14ac:dyDescent="0.25">
      <c r="A1695" t="s">
        <v>66</v>
      </c>
      <c r="B1695">
        <v>7</v>
      </c>
      <c r="C1695">
        <v>2</v>
      </c>
      <c r="G1695">
        <v>7</v>
      </c>
      <c r="H1695" t="s">
        <v>2460</v>
      </c>
      <c r="I1695" t="s">
        <v>2540</v>
      </c>
      <c r="M1695" t="s">
        <v>2541</v>
      </c>
      <c r="N1695" t="s">
        <v>2540</v>
      </c>
      <c r="P1695" t="s">
        <v>2542</v>
      </c>
      <c r="V1695" t="s">
        <v>2543</v>
      </c>
      <c r="Y1695" t="s">
        <v>2544</v>
      </c>
      <c r="AA1695" t="s">
        <v>2545</v>
      </c>
      <c r="AC1695" t="s">
        <v>2465</v>
      </c>
      <c r="AE1695" t="s">
        <v>2546</v>
      </c>
      <c r="AF1695">
        <v>0</v>
      </c>
      <c r="AG1695" t="s">
        <v>2547</v>
      </c>
      <c r="AH1695">
        <v>0</v>
      </c>
      <c r="AK1695">
        <v>0</v>
      </c>
    </row>
    <row r="1696" spans="1:37" x14ac:dyDescent="0.25">
      <c r="L1696">
        <v>0</v>
      </c>
    </row>
    <row r="1697" spans="1:37" x14ac:dyDescent="0.25">
      <c r="A1697" t="s">
        <v>70</v>
      </c>
      <c r="B1697">
        <v>7</v>
      </c>
      <c r="C1697">
        <v>2</v>
      </c>
      <c r="D1697">
        <v>1</v>
      </c>
      <c r="G1697">
        <v>72</v>
      </c>
      <c r="M1697" t="s">
        <v>2548</v>
      </c>
      <c r="O1697" t="s">
        <v>2549</v>
      </c>
      <c r="P1697" t="s">
        <v>2550</v>
      </c>
      <c r="Q1697" t="s">
        <v>2551</v>
      </c>
      <c r="R1697" t="s">
        <v>192</v>
      </c>
      <c r="S1697" t="s">
        <v>2552</v>
      </c>
      <c r="V1697" t="s">
        <v>2553</v>
      </c>
      <c r="X1697" t="s">
        <v>2554</v>
      </c>
      <c r="Y1697" t="s">
        <v>2555</v>
      </c>
      <c r="Z1697" t="s">
        <v>2556</v>
      </c>
      <c r="AA1697" t="s">
        <v>2557</v>
      </c>
      <c r="AB1697" t="s">
        <v>2558</v>
      </c>
      <c r="AC1697" t="s">
        <v>2559</v>
      </c>
      <c r="AE1697" t="s">
        <v>2560</v>
      </c>
      <c r="AF1697">
        <v>0</v>
      </c>
      <c r="AG1697" t="s">
        <v>2561</v>
      </c>
      <c r="AH1697">
        <v>0</v>
      </c>
      <c r="AK1697">
        <v>0</v>
      </c>
    </row>
    <row r="1698" spans="1:37" x14ac:dyDescent="0.25">
      <c r="A1698" t="s">
        <v>79</v>
      </c>
      <c r="B1698">
        <v>7</v>
      </c>
      <c r="C1698">
        <v>2</v>
      </c>
      <c r="D1698">
        <v>1</v>
      </c>
      <c r="E1698">
        <v>1</v>
      </c>
      <c r="G1698">
        <v>721</v>
      </c>
      <c r="H1698" t="s">
        <v>2549</v>
      </c>
      <c r="I1698" t="s">
        <v>80</v>
      </c>
      <c r="J1698" t="s">
        <v>2562</v>
      </c>
      <c r="L1698">
        <v>0</v>
      </c>
      <c r="M1698" t="s">
        <v>2563</v>
      </c>
      <c r="O1698" t="s">
        <v>1218</v>
      </c>
      <c r="P1698" t="s">
        <v>1219</v>
      </c>
      <c r="Q1698" t="s">
        <v>1052</v>
      </c>
      <c r="R1698" t="s">
        <v>1221</v>
      </c>
      <c r="S1698" t="s">
        <v>1222</v>
      </c>
      <c r="T1698">
        <v>166</v>
      </c>
      <c r="U1698">
        <v>1</v>
      </c>
      <c r="V1698" t="s">
        <v>1283</v>
      </c>
      <c r="AE1698" t="s">
        <v>2564</v>
      </c>
      <c r="AF1698">
        <v>0</v>
      </c>
      <c r="AG1698" t="s">
        <v>2565</v>
      </c>
      <c r="AH1698">
        <v>0</v>
      </c>
      <c r="AK1698">
        <v>0</v>
      </c>
    </row>
    <row r="1699" spans="1:37" x14ac:dyDescent="0.25">
      <c r="A1699" t="s">
        <v>79</v>
      </c>
      <c r="B1699">
        <v>7</v>
      </c>
      <c r="C1699">
        <v>2</v>
      </c>
      <c r="D1699">
        <v>1</v>
      </c>
      <c r="E1699">
        <v>2</v>
      </c>
      <c r="G1699">
        <v>721</v>
      </c>
      <c r="H1699" t="s">
        <v>2549</v>
      </c>
      <c r="I1699" t="s">
        <v>88</v>
      </c>
      <c r="J1699" t="s">
        <v>2566</v>
      </c>
      <c r="L1699">
        <v>0</v>
      </c>
      <c r="M1699" t="s">
        <v>2567</v>
      </c>
      <c r="O1699" t="s">
        <v>1227</v>
      </c>
      <c r="P1699" t="s">
        <v>1228</v>
      </c>
      <c r="Q1699" t="s">
        <v>1154</v>
      </c>
      <c r="R1699" t="s">
        <v>192</v>
      </c>
      <c r="S1699" t="s">
        <v>1229</v>
      </c>
      <c r="T1699">
        <v>166</v>
      </c>
      <c r="U1699">
        <v>36</v>
      </c>
      <c r="V1699" t="s">
        <v>2568</v>
      </c>
      <c r="AE1699" t="s">
        <v>2569</v>
      </c>
      <c r="AF1699">
        <v>0</v>
      </c>
      <c r="AG1699" t="s">
        <v>2570</v>
      </c>
      <c r="AH1699">
        <v>0</v>
      </c>
      <c r="AK1699">
        <v>0</v>
      </c>
    </row>
    <row r="1700" spans="1:37" x14ac:dyDescent="0.25">
      <c r="A1700" t="s">
        <v>79</v>
      </c>
      <c r="B1700">
        <v>7</v>
      </c>
      <c r="C1700">
        <v>2</v>
      </c>
      <c r="D1700">
        <v>1</v>
      </c>
      <c r="E1700">
        <v>3</v>
      </c>
      <c r="G1700">
        <v>721</v>
      </c>
      <c r="H1700" t="s">
        <v>2549</v>
      </c>
      <c r="I1700" t="s">
        <v>95</v>
      </c>
      <c r="J1700" t="s">
        <v>2571</v>
      </c>
      <c r="L1700">
        <v>0</v>
      </c>
      <c r="M1700" t="s">
        <v>2572</v>
      </c>
      <c r="O1700" t="s">
        <v>1151</v>
      </c>
      <c r="P1700" t="s">
        <v>1152</v>
      </c>
      <c r="Q1700" t="s">
        <v>109</v>
      </c>
      <c r="R1700" t="s">
        <v>382</v>
      </c>
      <c r="S1700" t="s">
        <v>1154</v>
      </c>
      <c r="T1700">
        <v>166</v>
      </c>
      <c r="U1700">
        <v>993</v>
      </c>
      <c r="V1700" t="s">
        <v>939</v>
      </c>
      <c r="AE1700" t="s">
        <v>2573</v>
      </c>
      <c r="AF1700">
        <v>0</v>
      </c>
      <c r="AG1700" t="s">
        <v>2574</v>
      </c>
      <c r="AH1700">
        <v>0</v>
      </c>
      <c r="AK1700">
        <v>0</v>
      </c>
    </row>
    <row r="1701" spans="1:37" x14ac:dyDescent="0.25">
      <c r="A1701" t="s">
        <v>79</v>
      </c>
      <c r="B1701">
        <v>7</v>
      </c>
      <c r="C1701">
        <v>2</v>
      </c>
      <c r="D1701">
        <v>1</v>
      </c>
      <c r="E1701">
        <v>4</v>
      </c>
      <c r="G1701">
        <v>721</v>
      </c>
      <c r="H1701" t="s">
        <v>2549</v>
      </c>
      <c r="I1701" t="s">
        <v>102</v>
      </c>
      <c r="J1701" t="s">
        <v>2575</v>
      </c>
      <c r="L1701">
        <v>0</v>
      </c>
      <c r="M1701" t="s">
        <v>2576</v>
      </c>
      <c r="O1701" t="s">
        <v>1319</v>
      </c>
      <c r="P1701" t="s">
        <v>1320</v>
      </c>
      <c r="Q1701" t="s">
        <v>2577</v>
      </c>
      <c r="R1701" t="s">
        <v>229</v>
      </c>
      <c r="S1701" t="s">
        <v>1322</v>
      </c>
      <c r="T1701">
        <v>166</v>
      </c>
      <c r="U1701">
        <v>60</v>
      </c>
      <c r="V1701" t="s">
        <v>2578</v>
      </c>
      <c r="AE1701" t="s">
        <v>2579</v>
      </c>
      <c r="AF1701">
        <v>0</v>
      </c>
      <c r="AG1701" t="s">
        <v>2580</v>
      </c>
      <c r="AH1701">
        <v>0</v>
      </c>
      <c r="AK1701">
        <v>0</v>
      </c>
    </row>
    <row r="1702" spans="1:37" x14ac:dyDescent="0.25">
      <c r="A1702" t="s">
        <v>79</v>
      </c>
      <c r="B1702">
        <v>7</v>
      </c>
      <c r="C1702">
        <v>2</v>
      </c>
      <c r="D1702">
        <v>1</v>
      </c>
      <c r="E1702">
        <v>5</v>
      </c>
      <c r="G1702">
        <v>721</v>
      </c>
      <c r="H1702" t="s">
        <v>2549</v>
      </c>
      <c r="I1702" t="s">
        <v>109</v>
      </c>
      <c r="J1702" t="s">
        <v>2581</v>
      </c>
      <c r="L1702">
        <v>0</v>
      </c>
      <c r="M1702" t="s">
        <v>2582</v>
      </c>
      <c r="O1702" t="s">
        <v>294</v>
      </c>
      <c r="P1702" t="s">
        <v>295</v>
      </c>
      <c r="Q1702" t="s">
        <v>313</v>
      </c>
      <c r="R1702" t="s">
        <v>229</v>
      </c>
      <c r="S1702" t="s">
        <v>297</v>
      </c>
      <c r="T1702">
        <v>166</v>
      </c>
      <c r="U1702">
        <v>30</v>
      </c>
      <c r="V1702" t="s">
        <v>2583</v>
      </c>
      <c r="AE1702" t="s">
        <v>2584</v>
      </c>
      <c r="AF1702">
        <v>0</v>
      </c>
      <c r="AG1702" t="s">
        <v>2585</v>
      </c>
      <c r="AH1702">
        <v>0</v>
      </c>
      <c r="AK1702">
        <v>0</v>
      </c>
    </row>
    <row r="1703" spans="1:37" x14ac:dyDescent="0.25">
      <c r="A1703" t="s">
        <v>79</v>
      </c>
      <c r="B1703">
        <v>7</v>
      </c>
      <c r="C1703">
        <v>2</v>
      </c>
      <c r="D1703">
        <v>1</v>
      </c>
      <c r="E1703">
        <v>6</v>
      </c>
      <c r="G1703">
        <v>721</v>
      </c>
      <c r="H1703" t="s">
        <v>2549</v>
      </c>
      <c r="I1703" t="s">
        <v>116</v>
      </c>
      <c r="J1703" t="s">
        <v>2586</v>
      </c>
      <c r="L1703">
        <v>0</v>
      </c>
      <c r="M1703" t="s">
        <v>2587</v>
      </c>
      <c r="O1703" t="s">
        <v>2588</v>
      </c>
      <c r="P1703" t="s">
        <v>2589</v>
      </c>
      <c r="Q1703" t="s">
        <v>530</v>
      </c>
      <c r="R1703" t="s">
        <v>179</v>
      </c>
      <c r="S1703" t="s">
        <v>2590</v>
      </c>
      <c r="T1703">
        <v>166</v>
      </c>
      <c r="U1703">
        <v>66</v>
      </c>
      <c r="V1703" t="s">
        <v>2591</v>
      </c>
      <c r="AE1703" t="s">
        <v>2592</v>
      </c>
      <c r="AF1703">
        <v>0</v>
      </c>
      <c r="AG1703" t="s">
        <v>2593</v>
      </c>
      <c r="AH1703">
        <v>0</v>
      </c>
      <c r="AK1703">
        <v>0</v>
      </c>
    </row>
    <row r="1704" spans="1:37" x14ac:dyDescent="0.25">
      <c r="A1704" t="s">
        <v>79</v>
      </c>
      <c r="B1704">
        <v>7</v>
      </c>
      <c r="C1704">
        <v>2</v>
      </c>
      <c r="D1704">
        <v>1</v>
      </c>
      <c r="E1704">
        <v>7</v>
      </c>
      <c r="G1704">
        <v>721</v>
      </c>
      <c r="H1704" t="s">
        <v>2549</v>
      </c>
      <c r="I1704" t="s">
        <v>123</v>
      </c>
      <c r="J1704" t="s">
        <v>2594</v>
      </c>
      <c r="L1704">
        <v>0</v>
      </c>
      <c r="M1704" t="s">
        <v>2595</v>
      </c>
      <c r="O1704" t="s">
        <v>1177</v>
      </c>
      <c r="P1704" t="s">
        <v>1178</v>
      </c>
      <c r="Q1704" t="s">
        <v>2596</v>
      </c>
      <c r="R1704" t="s">
        <v>210</v>
      </c>
      <c r="S1704" t="s">
        <v>1179</v>
      </c>
      <c r="T1704">
        <v>166</v>
      </c>
      <c r="U1704">
        <v>131</v>
      </c>
      <c r="V1704" t="s">
        <v>2597</v>
      </c>
      <c r="AE1704" t="s">
        <v>2598</v>
      </c>
      <c r="AF1704">
        <v>0</v>
      </c>
      <c r="AG1704" t="s">
        <v>2599</v>
      </c>
      <c r="AH1704">
        <v>0</v>
      </c>
      <c r="AK1704">
        <v>0</v>
      </c>
    </row>
    <row r="1705" spans="1:37" x14ac:dyDescent="0.25">
      <c r="A1705" t="s">
        <v>79</v>
      </c>
      <c r="B1705">
        <v>7</v>
      </c>
      <c r="C1705">
        <v>2</v>
      </c>
      <c r="D1705">
        <v>1</v>
      </c>
      <c r="E1705">
        <v>8</v>
      </c>
      <c r="G1705">
        <v>721</v>
      </c>
      <c r="H1705" t="s">
        <v>2549</v>
      </c>
      <c r="I1705" t="s">
        <v>126</v>
      </c>
      <c r="J1705" t="s">
        <v>2600</v>
      </c>
      <c r="L1705">
        <v>0</v>
      </c>
      <c r="M1705" t="s">
        <v>2601</v>
      </c>
      <c r="O1705" t="s">
        <v>2602</v>
      </c>
      <c r="P1705" t="s">
        <v>2603</v>
      </c>
      <c r="Q1705" t="s">
        <v>2604</v>
      </c>
      <c r="R1705" t="s">
        <v>268</v>
      </c>
      <c r="S1705" t="s">
        <v>2605</v>
      </c>
      <c r="T1705">
        <v>166</v>
      </c>
      <c r="U1705">
        <v>4</v>
      </c>
      <c r="V1705" t="s">
        <v>2606</v>
      </c>
      <c r="AE1705" t="s">
        <v>2607</v>
      </c>
      <c r="AF1705">
        <v>0</v>
      </c>
      <c r="AG1705" t="s">
        <v>2608</v>
      </c>
      <c r="AH1705">
        <v>0</v>
      </c>
      <c r="AK1705">
        <v>0</v>
      </c>
    </row>
    <row r="1706" spans="1:37" x14ac:dyDescent="0.25">
      <c r="A1706" t="s">
        <v>79</v>
      </c>
      <c r="B1706">
        <v>7</v>
      </c>
      <c r="C1706">
        <v>2</v>
      </c>
      <c r="D1706">
        <v>1</v>
      </c>
      <c r="E1706">
        <v>9</v>
      </c>
      <c r="G1706">
        <v>721</v>
      </c>
      <c r="H1706" t="s">
        <v>2549</v>
      </c>
      <c r="I1706" t="s">
        <v>74</v>
      </c>
      <c r="J1706" t="s">
        <v>2609</v>
      </c>
      <c r="L1706">
        <v>0</v>
      </c>
      <c r="M1706" t="s">
        <v>125</v>
      </c>
      <c r="O1706" t="s">
        <v>125</v>
      </c>
      <c r="P1706" t="s">
        <v>125</v>
      </c>
      <c r="Q1706" t="s">
        <v>125</v>
      </c>
      <c r="R1706" t="s">
        <v>125</v>
      </c>
      <c r="S1706" t="s">
        <v>125</v>
      </c>
      <c r="T1706">
        <v>166</v>
      </c>
      <c r="V1706" t="s">
        <v>125</v>
      </c>
      <c r="AE1706" t="s">
        <v>125</v>
      </c>
      <c r="AF1706">
        <v>0</v>
      </c>
      <c r="AG1706" t="s">
        <v>125</v>
      </c>
      <c r="AH1706">
        <v>0</v>
      </c>
      <c r="AK1706">
        <v>0</v>
      </c>
    </row>
    <row r="1707" spans="1:37" x14ac:dyDescent="0.25">
      <c r="A1707" t="s">
        <v>79</v>
      </c>
      <c r="B1707">
        <v>7</v>
      </c>
      <c r="C1707">
        <v>2</v>
      </c>
      <c r="D1707">
        <v>1</v>
      </c>
      <c r="E1707">
        <v>10</v>
      </c>
      <c r="G1707">
        <v>721</v>
      </c>
      <c r="H1707" t="s">
        <v>2549</v>
      </c>
      <c r="I1707" t="s">
        <v>129</v>
      </c>
      <c r="J1707" t="s">
        <v>2610</v>
      </c>
      <c r="L1707">
        <v>0</v>
      </c>
      <c r="M1707" t="s">
        <v>125</v>
      </c>
      <c r="O1707" t="s">
        <v>125</v>
      </c>
      <c r="P1707" t="s">
        <v>125</v>
      </c>
      <c r="Q1707" t="s">
        <v>125</v>
      </c>
      <c r="R1707" t="s">
        <v>125</v>
      </c>
      <c r="S1707" t="s">
        <v>125</v>
      </c>
      <c r="T1707">
        <v>166</v>
      </c>
      <c r="V1707" t="s">
        <v>125</v>
      </c>
      <c r="AE1707" t="s">
        <v>125</v>
      </c>
      <c r="AF1707">
        <v>0</v>
      </c>
      <c r="AG1707" t="s">
        <v>125</v>
      </c>
      <c r="AH1707">
        <v>0</v>
      </c>
      <c r="AK1707">
        <v>0</v>
      </c>
    </row>
    <row r="1708" spans="1:37" x14ac:dyDescent="0.25">
      <c r="A1708" t="s">
        <v>79</v>
      </c>
      <c r="B1708">
        <v>7</v>
      </c>
      <c r="C1708">
        <v>2</v>
      </c>
      <c r="D1708">
        <v>1</v>
      </c>
      <c r="E1708">
        <v>11</v>
      </c>
      <c r="G1708">
        <v>721</v>
      </c>
      <c r="H1708" t="s">
        <v>2549</v>
      </c>
      <c r="I1708" t="s">
        <v>131</v>
      </c>
      <c r="J1708" t="s">
        <v>2611</v>
      </c>
      <c r="L1708">
        <v>0</v>
      </c>
      <c r="M1708" t="s">
        <v>125</v>
      </c>
      <c r="O1708" t="s">
        <v>125</v>
      </c>
      <c r="P1708" t="s">
        <v>125</v>
      </c>
      <c r="Q1708" t="s">
        <v>125</v>
      </c>
      <c r="R1708" t="s">
        <v>125</v>
      </c>
      <c r="S1708" t="s">
        <v>125</v>
      </c>
      <c r="T1708">
        <v>166</v>
      </c>
      <c r="V1708" t="s">
        <v>125</v>
      </c>
      <c r="AE1708" t="s">
        <v>125</v>
      </c>
      <c r="AF1708">
        <v>0</v>
      </c>
      <c r="AG1708" t="s">
        <v>125</v>
      </c>
      <c r="AH1708">
        <v>0</v>
      </c>
      <c r="AK1708">
        <v>0</v>
      </c>
    </row>
    <row r="1709" spans="1:37" x14ac:dyDescent="0.25">
      <c r="A1709" t="s">
        <v>79</v>
      </c>
      <c r="B1709">
        <v>7</v>
      </c>
      <c r="C1709">
        <v>2</v>
      </c>
      <c r="D1709">
        <v>1</v>
      </c>
      <c r="E1709">
        <v>12</v>
      </c>
      <c r="G1709">
        <v>721</v>
      </c>
      <c r="H1709" t="s">
        <v>2549</v>
      </c>
      <c r="I1709" t="s">
        <v>133</v>
      </c>
      <c r="J1709" t="s">
        <v>2612</v>
      </c>
      <c r="L1709">
        <v>0</v>
      </c>
      <c r="M1709" t="s">
        <v>125</v>
      </c>
      <c r="O1709" t="s">
        <v>125</v>
      </c>
      <c r="P1709" t="s">
        <v>125</v>
      </c>
      <c r="Q1709" t="s">
        <v>125</v>
      </c>
      <c r="R1709" t="s">
        <v>125</v>
      </c>
      <c r="S1709" t="s">
        <v>125</v>
      </c>
      <c r="T1709">
        <v>166</v>
      </c>
      <c r="V1709" t="s">
        <v>125</v>
      </c>
      <c r="AE1709" t="s">
        <v>125</v>
      </c>
      <c r="AF1709">
        <v>0</v>
      </c>
      <c r="AG1709" t="s">
        <v>125</v>
      </c>
      <c r="AH1709">
        <v>0</v>
      </c>
      <c r="AK1709">
        <v>0</v>
      </c>
    </row>
    <row r="1710" spans="1:37" x14ac:dyDescent="0.25">
      <c r="A1710" t="s">
        <v>79</v>
      </c>
      <c r="B1710">
        <v>7</v>
      </c>
      <c r="C1710">
        <v>2</v>
      </c>
      <c r="D1710">
        <v>1</v>
      </c>
      <c r="E1710">
        <v>13</v>
      </c>
      <c r="G1710">
        <v>721</v>
      </c>
      <c r="H1710" t="s">
        <v>2549</v>
      </c>
      <c r="I1710" t="s">
        <v>135</v>
      </c>
      <c r="J1710" t="s">
        <v>2613</v>
      </c>
      <c r="L1710">
        <v>0</v>
      </c>
      <c r="M1710" t="s">
        <v>125</v>
      </c>
      <c r="O1710" t="s">
        <v>125</v>
      </c>
      <c r="P1710" t="s">
        <v>125</v>
      </c>
      <c r="Q1710" t="s">
        <v>125</v>
      </c>
      <c r="R1710" t="s">
        <v>125</v>
      </c>
      <c r="S1710" t="s">
        <v>125</v>
      </c>
      <c r="T1710">
        <v>166</v>
      </c>
      <c r="V1710" t="s">
        <v>125</v>
      </c>
      <c r="AE1710" t="s">
        <v>125</v>
      </c>
      <c r="AF1710">
        <v>0</v>
      </c>
      <c r="AG1710" t="s">
        <v>125</v>
      </c>
      <c r="AH1710">
        <v>0</v>
      </c>
      <c r="AK1710">
        <v>0</v>
      </c>
    </row>
    <row r="1711" spans="1:37" x14ac:dyDescent="0.25">
      <c r="A1711" t="s">
        <v>79</v>
      </c>
      <c r="B1711">
        <v>7</v>
      </c>
      <c r="C1711">
        <v>2</v>
      </c>
      <c r="D1711">
        <v>1</v>
      </c>
      <c r="E1711">
        <v>14</v>
      </c>
      <c r="G1711">
        <v>721</v>
      </c>
      <c r="H1711" t="s">
        <v>2549</v>
      </c>
      <c r="I1711" t="s">
        <v>137</v>
      </c>
      <c r="J1711" t="s">
        <v>2614</v>
      </c>
      <c r="L1711">
        <v>0</v>
      </c>
      <c r="M1711" t="s">
        <v>125</v>
      </c>
      <c r="O1711" t="s">
        <v>125</v>
      </c>
      <c r="P1711" t="s">
        <v>125</v>
      </c>
      <c r="Q1711" t="s">
        <v>125</v>
      </c>
      <c r="R1711" t="s">
        <v>125</v>
      </c>
      <c r="S1711" t="s">
        <v>125</v>
      </c>
      <c r="T1711">
        <v>166</v>
      </c>
      <c r="V1711" t="s">
        <v>125</v>
      </c>
      <c r="AE1711" t="s">
        <v>125</v>
      </c>
      <c r="AF1711">
        <v>0</v>
      </c>
      <c r="AG1711" t="s">
        <v>125</v>
      </c>
      <c r="AH1711">
        <v>0</v>
      </c>
      <c r="AK1711">
        <v>0</v>
      </c>
    </row>
    <row r="1712" spans="1:37" x14ac:dyDescent="0.25">
      <c r="A1712" t="s">
        <v>79</v>
      </c>
      <c r="B1712">
        <v>7</v>
      </c>
      <c r="C1712">
        <v>2</v>
      </c>
      <c r="D1712">
        <v>1</v>
      </c>
      <c r="E1712">
        <v>15</v>
      </c>
      <c r="G1712">
        <v>721</v>
      </c>
      <c r="H1712" t="s">
        <v>2549</v>
      </c>
      <c r="I1712" t="s">
        <v>139</v>
      </c>
      <c r="J1712" t="s">
        <v>2615</v>
      </c>
      <c r="L1712">
        <v>0</v>
      </c>
      <c r="M1712" t="s">
        <v>125</v>
      </c>
      <c r="O1712" t="s">
        <v>125</v>
      </c>
      <c r="P1712" t="s">
        <v>125</v>
      </c>
      <c r="Q1712" t="s">
        <v>125</v>
      </c>
      <c r="R1712" t="s">
        <v>125</v>
      </c>
      <c r="S1712" t="s">
        <v>125</v>
      </c>
      <c r="T1712">
        <v>166</v>
      </c>
      <c r="V1712" t="s">
        <v>125</v>
      </c>
      <c r="AE1712" t="s">
        <v>125</v>
      </c>
      <c r="AF1712">
        <v>0</v>
      </c>
      <c r="AG1712" t="s">
        <v>125</v>
      </c>
      <c r="AH1712">
        <v>0</v>
      </c>
      <c r="AK1712">
        <v>0</v>
      </c>
    </row>
    <row r="1713" spans="1:37" x14ac:dyDescent="0.25">
      <c r="L1713">
        <v>0</v>
      </c>
    </row>
    <row r="1714" spans="1:37" x14ac:dyDescent="0.25">
      <c r="A1714" t="s">
        <v>70</v>
      </c>
      <c r="B1714">
        <v>7</v>
      </c>
      <c r="C1714">
        <v>2</v>
      </c>
      <c r="D1714">
        <v>2</v>
      </c>
      <c r="G1714">
        <v>72</v>
      </c>
      <c r="M1714" t="s">
        <v>2616</v>
      </c>
      <c r="O1714" t="s">
        <v>2617</v>
      </c>
      <c r="P1714" t="s">
        <v>2618</v>
      </c>
      <c r="Q1714" t="s">
        <v>2619</v>
      </c>
      <c r="R1714" t="s">
        <v>192</v>
      </c>
      <c r="S1714" t="s">
        <v>2620</v>
      </c>
      <c r="V1714" t="s">
        <v>2621</v>
      </c>
      <c r="X1714" t="s">
        <v>2622</v>
      </c>
      <c r="Y1714" t="s">
        <v>2623</v>
      </c>
      <c r="Z1714" t="s">
        <v>2624</v>
      </c>
      <c r="AA1714" t="s">
        <v>2625</v>
      </c>
      <c r="AB1714" t="s">
        <v>2558</v>
      </c>
      <c r="AC1714" t="s">
        <v>2626</v>
      </c>
      <c r="AE1714" t="s">
        <v>2627</v>
      </c>
      <c r="AF1714">
        <v>0</v>
      </c>
      <c r="AG1714" t="s">
        <v>2628</v>
      </c>
      <c r="AH1714">
        <v>0</v>
      </c>
      <c r="AK1714">
        <v>0</v>
      </c>
    </row>
    <row r="1715" spans="1:37" x14ac:dyDescent="0.25">
      <c r="A1715" t="s">
        <v>79</v>
      </c>
      <c r="B1715">
        <v>7</v>
      </c>
      <c r="C1715">
        <v>2</v>
      </c>
      <c r="D1715">
        <v>2</v>
      </c>
      <c r="E1715">
        <v>1</v>
      </c>
      <c r="G1715">
        <v>722</v>
      </c>
      <c r="H1715" t="s">
        <v>2617</v>
      </c>
      <c r="I1715" t="s">
        <v>80</v>
      </c>
      <c r="J1715" t="s">
        <v>2629</v>
      </c>
      <c r="L1715">
        <v>0</v>
      </c>
      <c r="M1715" t="s">
        <v>2630</v>
      </c>
      <c r="O1715" t="s">
        <v>1218</v>
      </c>
      <c r="P1715" t="s">
        <v>1219</v>
      </c>
      <c r="Q1715" t="s">
        <v>1052</v>
      </c>
      <c r="R1715" t="s">
        <v>1221</v>
      </c>
      <c r="S1715" t="s">
        <v>1222</v>
      </c>
      <c r="T1715">
        <v>277</v>
      </c>
      <c r="U1715">
        <v>2</v>
      </c>
      <c r="V1715" t="s">
        <v>1283</v>
      </c>
      <c r="AE1715" t="s">
        <v>2564</v>
      </c>
      <c r="AF1715">
        <v>0</v>
      </c>
      <c r="AG1715" t="s">
        <v>2631</v>
      </c>
      <c r="AH1715">
        <v>0</v>
      </c>
      <c r="AK1715">
        <v>0</v>
      </c>
    </row>
    <row r="1716" spans="1:37" x14ac:dyDescent="0.25">
      <c r="A1716" t="s">
        <v>79</v>
      </c>
      <c r="B1716">
        <v>7</v>
      </c>
      <c r="C1716">
        <v>2</v>
      </c>
      <c r="D1716">
        <v>2</v>
      </c>
      <c r="E1716">
        <v>2</v>
      </c>
      <c r="G1716">
        <v>722</v>
      </c>
      <c r="H1716" t="s">
        <v>2617</v>
      </c>
      <c r="I1716" t="s">
        <v>88</v>
      </c>
      <c r="J1716" t="s">
        <v>2632</v>
      </c>
      <c r="L1716">
        <v>0</v>
      </c>
      <c r="M1716" t="s">
        <v>2633</v>
      </c>
      <c r="O1716" t="s">
        <v>1227</v>
      </c>
      <c r="P1716" t="s">
        <v>1228</v>
      </c>
      <c r="Q1716" t="s">
        <v>2634</v>
      </c>
      <c r="R1716" t="s">
        <v>192</v>
      </c>
      <c r="S1716" t="s">
        <v>1229</v>
      </c>
      <c r="T1716">
        <v>277</v>
      </c>
      <c r="U1716">
        <v>105</v>
      </c>
      <c r="V1716" t="s">
        <v>2635</v>
      </c>
      <c r="AE1716" t="s">
        <v>2636</v>
      </c>
      <c r="AF1716">
        <v>0</v>
      </c>
      <c r="AG1716" t="s">
        <v>2637</v>
      </c>
      <c r="AH1716">
        <v>0</v>
      </c>
      <c r="AK1716">
        <v>0</v>
      </c>
    </row>
    <row r="1717" spans="1:37" x14ac:dyDescent="0.25">
      <c r="A1717" t="s">
        <v>79</v>
      </c>
      <c r="B1717">
        <v>7</v>
      </c>
      <c r="C1717">
        <v>2</v>
      </c>
      <c r="D1717">
        <v>2</v>
      </c>
      <c r="E1717">
        <v>3</v>
      </c>
      <c r="G1717">
        <v>722</v>
      </c>
      <c r="H1717" t="s">
        <v>2617</v>
      </c>
      <c r="I1717" t="s">
        <v>95</v>
      </c>
      <c r="J1717" t="s">
        <v>2638</v>
      </c>
      <c r="L1717">
        <v>0</v>
      </c>
      <c r="M1717" t="s">
        <v>2639</v>
      </c>
      <c r="O1717" t="s">
        <v>1151</v>
      </c>
      <c r="P1717" t="s">
        <v>1152</v>
      </c>
      <c r="Q1717" t="s">
        <v>109</v>
      </c>
      <c r="R1717" t="s">
        <v>382</v>
      </c>
      <c r="S1717" t="s">
        <v>1154</v>
      </c>
      <c r="T1717">
        <v>277</v>
      </c>
      <c r="U1717">
        <v>1663</v>
      </c>
      <c r="V1717" t="s">
        <v>939</v>
      </c>
      <c r="AE1717" t="s">
        <v>2573</v>
      </c>
      <c r="AF1717">
        <v>0</v>
      </c>
      <c r="AG1717" t="s">
        <v>2640</v>
      </c>
      <c r="AH1717">
        <v>0</v>
      </c>
      <c r="AK1717">
        <v>0</v>
      </c>
    </row>
    <row r="1718" spans="1:37" x14ac:dyDescent="0.25">
      <c r="A1718" t="s">
        <v>79</v>
      </c>
      <c r="B1718">
        <v>7</v>
      </c>
      <c r="C1718">
        <v>2</v>
      </c>
      <c r="D1718">
        <v>2</v>
      </c>
      <c r="E1718">
        <v>4</v>
      </c>
      <c r="G1718">
        <v>722</v>
      </c>
      <c r="H1718" t="s">
        <v>2617</v>
      </c>
      <c r="I1718" t="s">
        <v>102</v>
      </c>
      <c r="J1718" t="s">
        <v>2641</v>
      </c>
      <c r="L1718">
        <v>0</v>
      </c>
      <c r="M1718" t="s">
        <v>2642</v>
      </c>
      <c r="O1718" t="s">
        <v>1319</v>
      </c>
      <c r="P1718" t="s">
        <v>1320</v>
      </c>
      <c r="Q1718" t="s">
        <v>631</v>
      </c>
      <c r="R1718" t="s">
        <v>229</v>
      </c>
      <c r="S1718" t="s">
        <v>1322</v>
      </c>
      <c r="T1718">
        <v>277</v>
      </c>
      <c r="U1718">
        <v>97</v>
      </c>
      <c r="V1718" t="s">
        <v>2643</v>
      </c>
      <c r="AE1718" t="s">
        <v>2644</v>
      </c>
      <c r="AF1718">
        <v>0</v>
      </c>
      <c r="AG1718" t="s">
        <v>2645</v>
      </c>
      <c r="AH1718">
        <v>0</v>
      </c>
      <c r="AK1718">
        <v>0</v>
      </c>
    </row>
    <row r="1719" spans="1:37" x14ac:dyDescent="0.25">
      <c r="A1719" t="s">
        <v>79</v>
      </c>
      <c r="B1719">
        <v>7</v>
      </c>
      <c r="C1719">
        <v>2</v>
      </c>
      <c r="D1719">
        <v>2</v>
      </c>
      <c r="E1719">
        <v>5</v>
      </c>
      <c r="G1719">
        <v>722</v>
      </c>
      <c r="H1719" t="s">
        <v>2617</v>
      </c>
      <c r="I1719" t="s">
        <v>109</v>
      </c>
      <c r="J1719" t="s">
        <v>2646</v>
      </c>
      <c r="L1719">
        <v>0</v>
      </c>
      <c r="M1719" t="s">
        <v>2647</v>
      </c>
      <c r="O1719" t="s">
        <v>294</v>
      </c>
      <c r="P1719" t="s">
        <v>295</v>
      </c>
      <c r="Q1719" t="s">
        <v>289</v>
      </c>
      <c r="R1719" t="s">
        <v>229</v>
      </c>
      <c r="S1719" t="s">
        <v>297</v>
      </c>
      <c r="T1719">
        <v>277</v>
      </c>
      <c r="U1719">
        <v>49</v>
      </c>
      <c r="V1719" t="s">
        <v>523</v>
      </c>
      <c r="AE1719" t="s">
        <v>2648</v>
      </c>
      <c r="AF1719">
        <v>0</v>
      </c>
      <c r="AG1719" t="s">
        <v>2649</v>
      </c>
      <c r="AH1719">
        <v>0</v>
      </c>
      <c r="AK1719">
        <v>0</v>
      </c>
    </row>
    <row r="1720" spans="1:37" x14ac:dyDescent="0.25">
      <c r="A1720" t="s">
        <v>79</v>
      </c>
      <c r="B1720">
        <v>7</v>
      </c>
      <c r="C1720">
        <v>2</v>
      </c>
      <c r="D1720">
        <v>2</v>
      </c>
      <c r="E1720">
        <v>6</v>
      </c>
      <c r="G1720">
        <v>722</v>
      </c>
      <c r="H1720" t="s">
        <v>2617</v>
      </c>
      <c r="I1720" t="s">
        <v>116</v>
      </c>
      <c r="J1720" t="s">
        <v>2650</v>
      </c>
      <c r="L1720">
        <v>0</v>
      </c>
      <c r="M1720" t="s">
        <v>2651</v>
      </c>
      <c r="O1720" t="s">
        <v>2588</v>
      </c>
      <c r="P1720" t="s">
        <v>2589</v>
      </c>
      <c r="Q1720" t="s">
        <v>530</v>
      </c>
      <c r="R1720" t="s">
        <v>179</v>
      </c>
      <c r="S1720" t="s">
        <v>2590</v>
      </c>
      <c r="T1720">
        <v>277</v>
      </c>
      <c r="U1720">
        <v>111</v>
      </c>
      <c r="V1720" t="s">
        <v>2591</v>
      </c>
      <c r="AE1720" t="s">
        <v>2592</v>
      </c>
      <c r="AF1720">
        <v>0</v>
      </c>
      <c r="AG1720" t="s">
        <v>2652</v>
      </c>
      <c r="AH1720">
        <v>0</v>
      </c>
      <c r="AK1720">
        <v>0</v>
      </c>
    </row>
    <row r="1721" spans="1:37" x14ac:dyDescent="0.25">
      <c r="A1721" t="s">
        <v>79</v>
      </c>
      <c r="B1721">
        <v>7</v>
      </c>
      <c r="C1721">
        <v>2</v>
      </c>
      <c r="D1721">
        <v>2</v>
      </c>
      <c r="E1721">
        <v>7</v>
      </c>
      <c r="G1721">
        <v>722</v>
      </c>
      <c r="H1721" t="s">
        <v>2617</v>
      </c>
      <c r="I1721" t="s">
        <v>123</v>
      </c>
      <c r="J1721" t="s">
        <v>2653</v>
      </c>
      <c r="L1721">
        <v>0</v>
      </c>
      <c r="M1721" t="s">
        <v>2654</v>
      </c>
      <c r="O1721" t="s">
        <v>1177</v>
      </c>
      <c r="P1721" t="s">
        <v>1178</v>
      </c>
      <c r="Q1721" t="s">
        <v>2596</v>
      </c>
      <c r="R1721" t="s">
        <v>210</v>
      </c>
      <c r="S1721" t="s">
        <v>1179</v>
      </c>
      <c r="T1721">
        <v>277</v>
      </c>
      <c r="U1721">
        <v>219</v>
      </c>
      <c r="V1721" t="s">
        <v>2597</v>
      </c>
      <c r="AE1721" t="s">
        <v>2598</v>
      </c>
      <c r="AF1721">
        <v>0</v>
      </c>
      <c r="AG1721" t="s">
        <v>2655</v>
      </c>
      <c r="AH1721">
        <v>0</v>
      </c>
      <c r="AK1721">
        <v>0</v>
      </c>
    </row>
    <row r="1722" spans="1:37" x14ac:dyDescent="0.25">
      <c r="A1722" t="s">
        <v>79</v>
      </c>
      <c r="B1722">
        <v>7</v>
      </c>
      <c r="C1722">
        <v>2</v>
      </c>
      <c r="D1722">
        <v>2</v>
      </c>
      <c r="E1722">
        <v>8</v>
      </c>
      <c r="G1722">
        <v>722</v>
      </c>
      <c r="H1722" t="s">
        <v>2617</v>
      </c>
      <c r="I1722" t="s">
        <v>126</v>
      </c>
      <c r="J1722" t="s">
        <v>2656</v>
      </c>
      <c r="L1722">
        <v>0</v>
      </c>
      <c r="M1722" t="s">
        <v>2657</v>
      </c>
      <c r="O1722" t="s">
        <v>2602</v>
      </c>
      <c r="P1722" t="s">
        <v>2603</v>
      </c>
      <c r="Q1722" t="s">
        <v>2604</v>
      </c>
      <c r="R1722" t="s">
        <v>268</v>
      </c>
      <c r="S1722" t="s">
        <v>2605</v>
      </c>
      <c r="T1722">
        <v>277</v>
      </c>
      <c r="U1722">
        <v>7</v>
      </c>
      <c r="V1722" t="s">
        <v>2606</v>
      </c>
      <c r="AE1722" t="s">
        <v>2607</v>
      </c>
      <c r="AF1722">
        <v>0</v>
      </c>
      <c r="AG1722" t="s">
        <v>2658</v>
      </c>
      <c r="AH1722">
        <v>0</v>
      </c>
      <c r="AK1722">
        <v>0</v>
      </c>
    </row>
    <row r="1723" spans="1:37" x14ac:dyDescent="0.25">
      <c r="A1723" t="s">
        <v>79</v>
      </c>
      <c r="B1723">
        <v>7</v>
      </c>
      <c r="C1723">
        <v>2</v>
      </c>
      <c r="D1723">
        <v>2</v>
      </c>
      <c r="E1723">
        <v>9</v>
      </c>
      <c r="G1723">
        <v>722</v>
      </c>
      <c r="H1723" t="s">
        <v>2617</v>
      </c>
      <c r="I1723" t="s">
        <v>74</v>
      </c>
      <c r="J1723" t="s">
        <v>2659</v>
      </c>
      <c r="L1723">
        <v>0</v>
      </c>
      <c r="M1723" t="s">
        <v>125</v>
      </c>
      <c r="O1723" t="s">
        <v>125</v>
      </c>
      <c r="P1723" t="s">
        <v>125</v>
      </c>
      <c r="Q1723" t="s">
        <v>125</v>
      </c>
      <c r="R1723" t="s">
        <v>125</v>
      </c>
      <c r="S1723" t="s">
        <v>125</v>
      </c>
      <c r="T1723">
        <v>277</v>
      </c>
      <c r="V1723" t="s">
        <v>125</v>
      </c>
      <c r="AE1723" t="s">
        <v>125</v>
      </c>
      <c r="AF1723">
        <v>0</v>
      </c>
      <c r="AG1723" t="s">
        <v>125</v>
      </c>
      <c r="AH1723">
        <v>0</v>
      </c>
      <c r="AK1723">
        <v>0</v>
      </c>
    </row>
    <row r="1724" spans="1:37" x14ac:dyDescent="0.25">
      <c r="A1724" t="s">
        <v>79</v>
      </c>
      <c r="B1724">
        <v>7</v>
      </c>
      <c r="C1724">
        <v>2</v>
      </c>
      <c r="D1724">
        <v>2</v>
      </c>
      <c r="E1724">
        <v>10</v>
      </c>
      <c r="G1724">
        <v>722</v>
      </c>
      <c r="H1724" t="s">
        <v>2617</v>
      </c>
      <c r="I1724" t="s">
        <v>129</v>
      </c>
      <c r="J1724" t="s">
        <v>2660</v>
      </c>
      <c r="L1724">
        <v>0</v>
      </c>
      <c r="M1724" t="s">
        <v>125</v>
      </c>
      <c r="O1724" t="s">
        <v>125</v>
      </c>
      <c r="P1724" t="s">
        <v>125</v>
      </c>
      <c r="Q1724" t="s">
        <v>125</v>
      </c>
      <c r="R1724" t="s">
        <v>125</v>
      </c>
      <c r="S1724" t="s">
        <v>125</v>
      </c>
      <c r="T1724">
        <v>277</v>
      </c>
      <c r="V1724" t="s">
        <v>125</v>
      </c>
      <c r="AE1724" t="s">
        <v>125</v>
      </c>
      <c r="AF1724">
        <v>0</v>
      </c>
      <c r="AG1724" t="s">
        <v>125</v>
      </c>
      <c r="AH1724">
        <v>0</v>
      </c>
      <c r="AK1724">
        <v>0</v>
      </c>
    </row>
    <row r="1725" spans="1:37" x14ac:dyDescent="0.25">
      <c r="A1725" t="s">
        <v>79</v>
      </c>
      <c r="B1725">
        <v>7</v>
      </c>
      <c r="C1725">
        <v>2</v>
      </c>
      <c r="D1725">
        <v>2</v>
      </c>
      <c r="E1725">
        <v>11</v>
      </c>
      <c r="G1725">
        <v>722</v>
      </c>
      <c r="H1725" t="s">
        <v>2617</v>
      </c>
      <c r="I1725" t="s">
        <v>131</v>
      </c>
      <c r="J1725" t="s">
        <v>2661</v>
      </c>
      <c r="L1725">
        <v>0</v>
      </c>
      <c r="M1725" t="s">
        <v>125</v>
      </c>
      <c r="O1725" t="s">
        <v>125</v>
      </c>
      <c r="P1725" t="s">
        <v>125</v>
      </c>
      <c r="Q1725" t="s">
        <v>125</v>
      </c>
      <c r="R1725" t="s">
        <v>125</v>
      </c>
      <c r="S1725" t="s">
        <v>125</v>
      </c>
      <c r="T1725">
        <v>277</v>
      </c>
      <c r="V1725" t="s">
        <v>125</v>
      </c>
      <c r="AE1725" t="s">
        <v>125</v>
      </c>
      <c r="AF1725">
        <v>0</v>
      </c>
      <c r="AG1725" t="s">
        <v>125</v>
      </c>
      <c r="AH1725">
        <v>0</v>
      </c>
      <c r="AK1725">
        <v>0</v>
      </c>
    </row>
    <row r="1726" spans="1:37" x14ac:dyDescent="0.25">
      <c r="A1726" t="s">
        <v>79</v>
      </c>
      <c r="B1726">
        <v>7</v>
      </c>
      <c r="C1726">
        <v>2</v>
      </c>
      <c r="D1726">
        <v>2</v>
      </c>
      <c r="E1726">
        <v>12</v>
      </c>
      <c r="G1726">
        <v>722</v>
      </c>
      <c r="H1726" t="s">
        <v>2617</v>
      </c>
      <c r="I1726" t="s">
        <v>133</v>
      </c>
      <c r="J1726" t="s">
        <v>2662</v>
      </c>
      <c r="L1726">
        <v>0</v>
      </c>
      <c r="M1726" t="s">
        <v>125</v>
      </c>
      <c r="O1726" t="s">
        <v>125</v>
      </c>
      <c r="P1726" t="s">
        <v>125</v>
      </c>
      <c r="Q1726" t="s">
        <v>125</v>
      </c>
      <c r="R1726" t="s">
        <v>125</v>
      </c>
      <c r="S1726" t="s">
        <v>125</v>
      </c>
      <c r="T1726">
        <v>277</v>
      </c>
      <c r="V1726" t="s">
        <v>125</v>
      </c>
      <c r="AE1726" t="s">
        <v>125</v>
      </c>
      <c r="AF1726">
        <v>0</v>
      </c>
      <c r="AG1726" t="s">
        <v>125</v>
      </c>
      <c r="AH1726">
        <v>0</v>
      </c>
      <c r="AK1726">
        <v>0</v>
      </c>
    </row>
    <row r="1727" spans="1:37" x14ac:dyDescent="0.25">
      <c r="A1727" t="s">
        <v>79</v>
      </c>
      <c r="B1727">
        <v>7</v>
      </c>
      <c r="C1727">
        <v>2</v>
      </c>
      <c r="D1727">
        <v>2</v>
      </c>
      <c r="E1727">
        <v>13</v>
      </c>
      <c r="G1727">
        <v>722</v>
      </c>
      <c r="H1727" t="s">
        <v>2617</v>
      </c>
      <c r="I1727" t="s">
        <v>135</v>
      </c>
      <c r="J1727" t="s">
        <v>2663</v>
      </c>
      <c r="L1727">
        <v>0</v>
      </c>
      <c r="M1727" t="s">
        <v>125</v>
      </c>
      <c r="O1727" t="s">
        <v>125</v>
      </c>
      <c r="P1727" t="s">
        <v>125</v>
      </c>
      <c r="Q1727" t="s">
        <v>125</v>
      </c>
      <c r="R1727" t="s">
        <v>125</v>
      </c>
      <c r="S1727" t="s">
        <v>125</v>
      </c>
      <c r="T1727">
        <v>277</v>
      </c>
      <c r="V1727" t="s">
        <v>125</v>
      </c>
      <c r="AE1727" t="s">
        <v>125</v>
      </c>
      <c r="AF1727">
        <v>0</v>
      </c>
      <c r="AG1727" t="s">
        <v>125</v>
      </c>
      <c r="AH1727">
        <v>0</v>
      </c>
      <c r="AK1727">
        <v>0</v>
      </c>
    </row>
    <row r="1728" spans="1:37" x14ac:dyDescent="0.25">
      <c r="A1728" t="s">
        <v>79</v>
      </c>
      <c r="B1728">
        <v>7</v>
      </c>
      <c r="C1728">
        <v>2</v>
      </c>
      <c r="D1728">
        <v>2</v>
      </c>
      <c r="E1728">
        <v>14</v>
      </c>
      <c r="G1728">
        <v>722</v>
      </c>
      <c r="H1728" t="s">
        <v>2617</v>
      </c>
      <c r="I1728" t="s">
        <v>137</v>
      </c>
      <c r="J1728" t="s">
        <v>2664</v>
      </c>
      <c r="L1728">
        <v>0</v>
      </c>
      <c r="M1728" t="s">
        <v>125</v>
      </c>
      <c r="O1728" t="s">
        <v>125</v>
      </c>
      <c r="P1728" t="s">
        <v>125</v>
      </c>
      <c r="Q1728" t="s">
        <v>125</v>
      </c>
      <c r="R1728" t="s">
        <v>125</v>
      </c>
      <c r="S1728" t="s">
        <v>125</v>
      </c>
      <c r="T1728">
        <v>277</v>
      </c>
      <c r="V1728" t="s">
        <v>125</v>
      </c>
      <c r="AE1728" t="s">
        <v>125</v>
      </c>
      <c r="AF1728">
        <v>0</v>
      </c>
      <c r="AG1728" t="s">
        <v>125</v>
      </c>
      <c r="AH1728">
        <v>0</v>
      </c>
      <c r="AK1728">
        <v>0</v>
      </c>
    </row>
    <row r="1729" spans="1:37" x14ac:dyDescent="0.25">
      <c r="A1729" t="s">
        <v>79</v>
      </c>
      <c r="B1729">
        <v>7</v>
      </c>
      <c r="C1729">
        <v>2</v>
      </c>
      <c r="D1729">
        <v>2</v>
      </c>
      <c r="E1729">
        <v>15</v>
      </c>
      <c r="G1729">
        <v>722</v>
      </c>
      <c r="H1729" t="s">
        <v>2617</v>
      </c>
      <c r="I1729" t="s">
        <v>139</v>
      </c>
      <c r="J1729" t="s">
        <v>2665</v>
      </c>
      <c r="L1729">
        <v>0</v>
      </c>
      <c r="M1729" t="s">
        <v>125</v>
      </c>
      <c r="O1729" t="s">
        <v>125</v>
      </c>
      <c r="P1729" t="s">
        <v>125</v>
      </c>
      <c r="Q1729" t="s">
        <v>125</v>
      </c>
      <c r="R1729" t="s">
        <v>125</v>
      </c>
      <c r="S1729" t="s">
        <v>125</v>
      </c>
      <c r="T1729">
        <v>277</v>
      </c>
      <c r="V1729" t="s">
        <v>125</v>
      </c>
      <c r="AE1729" t="s">
        <v>125</v>
      </c>
      <c r="AF1729">
        <v>0</v>
      </c>
      <c r="AG1729" t="s">
        <v>125</v>
      </c>
      <c r="AH1729">
        <v>0</v>
      </c>
      <c r="AK1729">
        <v>0</v>
      </c>
    </row>
    <row r="1730" spans="1:37" x14ac:dyDescent="0.25">
      <c r="L1730">
        <v>0</v>
      </c>
    </row>
    <row r="1731" spans="1:37" x14ac:dyDescent="0.25">
      <c r="A1731" t="s">
        <v>70</v>
      </c>
      <c r="B1731">
        <v>7</v>
      </c>
      <c r="C1731">
        <v>2</v>
      </c>
      <c r="D1731">
        <v>3</v>
      </c>
      <c r="G1731">
        <v>72</v>
      </c>
      <c r="M1731" t="s">
        <v>2666</v>
      </c>
      <c r="O1731" t="s">
        <v>2667</v>
      </c>
      <c r="P1731" t="s">
        <v>2668</v>
      </c>
      <c r="Q1731" t="s">
        <v>2551</v>
      </c>
      <c r="R1731" t="s">
        <v>192</v>
      </c>
      <c r="S1731" t="s">
        <v>2669</v>
      </c>
      <c r="V1731" t="s">
        <v>2670</v>
      </c>
      <c r="X1731" t="s">
        <v>2671</v>
      </c>
      <c r="Y1731" t="s">
        <v>2672</v>
      </c>
      <c r="Z1731" t="s">
        <v>2673</v>
      </c>
      <c r="AA1731" t="s">
        <v>2674</v>
      </c>
      <c r="AB1731" t="s">
        <v>2558</v>
      </c>
      <c r="AC1731" t="s">
        <v>2675</v>
      </c>
      <c r="AE1731" t="s">
        <v>2676</v>
      </c>
      <c r="AF1731">
        <v>0</v>
      </c>
      <c r="AG1731" t="s">
        <v>2677</v>
      </c>
      <c r="AH1731">
        <v>0</v>
      </c>
      <c r="AK1731">
        <v>0</v>
      </c>
    </row>
    <row r="1732" spans="1:37" x14ac:dyDescent="0.25">
      <c r="A1732" t="s">
        <v>79</v>
      </c>
      <c r="B1732">
        <v>7</v>
      </c>
      <c r="C1732">
        <v>2</v>
      </c>
      <c r="D1732">
        <v>3</v>
      </c>
      <c r="E1732">
        <v>1</v>
      </c>
      <c r="G1732">
        <v>723</v>
      </c>
      <c r="H1732" t="s">
        <v>2667</v>
      </c>
      <c r="I1732" t="s">
        <v>80</v>
      </c>
      <c r="J1732" t="s">
        <v>2678</v>
      </c>
      <c r="L1732">
        <v>0</v>
      </c>
      <c r="M1732" t="s">
        <v>2679</v>
      </c>
      <c r="O1732" t="s">
        <v>1218</v>
      </c>
      <c r="P1732" t="s">
        <v>1219</v>
      </c>
      <c r="Q1732" t="s">
        <v>1052</v>
      </c>
      <c r="R1732" t="s">
        <v>1221</v>
      </c>
      <c r="S1732" t="s">
        <v>1222</v>
      </c>
      <c r="T1732">
        <v>166</v>
      </c>
      <c r="U1732">
        <v>1</v>
      </c>
      <c r="V1732" t="s">
        <v>1283</v>
      </c>
      <c r="AE1732" t="s">
        <v>2564</v>
      </c>
      <c r="AF1732">
        <v>0</v>
      </c>
      <c r="AG1732" t="s">
        <v>2565</v>
      </c>
      <c r="AH1732">
        <v>0</v>
      </c>
      <c r="AK1732">
        <v>0</v>
      </c>
    </row>
    <row r="1733" spans="1:37" x14ac:dyDescent="0.25">
      <c r="A1733" t="s">
        <v>79</v>
      </c>
      <c r="B1733">
        <v>7</v>
      </c>
      <c r="C1733">
        <v>2</v>
      </c>
      <c r="D1733">
        <v>3</v>
      </c>
      <c r="E1733">
        <v>2</v>
      </c>
      <c r="G1733">
        <v>723</v>
      </c>
      <c r="H1733" t="s">
        <v>2667</v>
      </c>
      <c r="I1733" t="s">
        <v>88</v>
      </c>
      <c r="J1733" t="s">
        <v>2680</v>
      </c>
      <c r="L1733">
        <v>0</v>
      </c>
      <c r="M1733" t="s">
        <v>2681</v>
      </c>
      <c r="O1733" t="s">
        <v>1151</v>
      </c>
      <c r="P1733" t="s">
        <v>1152</v>
      </c>
      <c r="Q1733" t="s">
        <v>109</v>
      </c>
      <c r="R1733" t="s">
        <v>382</v>
      </c>
      <c r="S1733" t="s">
        <v>1154</v>
      </c>
      <c r="T1733">
        <v>166</v>
      </c>
      <c r="U1733">
        <v>993</v>
      </c>
      <c r="V1733" t="s">
        <v>939</v>
      </c>
      <c r="AE1733" t="s">
        <v>2573</v>
      </c>
      <c r="AF1733">
        <v>0</v>
      </c>
      <c r="AG1733" t="s">
        <v>2574</v>
      </c>
      <c r="AH1733">
        <v>0</v>
      </c>
      <c r="AK1733">
        <v>0</v>
      </c>
    </row>
    <row r="1734" spans="1:37" x14ac:dyDescent="0.25">
      <c r="A1734" t="s">
        <v>79</v>
      </c>
      <c r="B1734">
        <v>7</v>
      </c>
      <c r="C1734">
        <v>2</v>
      </c>
      <c r="D1734">
        <v>3</v>
      </c>
      <c r="E1734">
        <v>3</v>
      </c>
      <c r="G1734">
        <v>723</v>
      </c>
      <c r="H1734" t="s">
        <v>2667</v>
      </c>
      <c r="I1734" t="s">
        <v>95</v>
      </c>
      <c r="J1734" t="s">
        <v>2682</v>
      </c>
      <c r="L1734">
        <v>0</v>
      </c>
      <c r="M1734" t="s">
        <v>2683</v>
      </c>
      <c r="O1734" t="s">
        <v>1319</v>
      </c>
      <c r="P1734" t="s">
        <v>1320</v>
      </c>
      <c r="Q1734" t="s">
        <v>2577</v>
      </c>
      <c r="R1734" t="s">
        <v>229</v>
      </c>
      <c r="S1734" t="s">
        <v>1322</v>
      </c>
      <c r="T1734">
        <v>166</v>
      </c>
      <c r="U1734">
        <v>60</v>
      </c>
      <c r="V1734" t="s">
        <v>2578</v>
      </c>
      <c r="AE1734" t="s">
        <v>2579</v>
      </c>
      <c r="AF1734">
        <v>0</v>
      </c>
      <c r="AG1734" t="s">
        <v>2580</v>
      </c>
      <c r="AH1734">
        <v>0</v>
      </c>
      <c r="AK1734">
        <v>0</v>
      </c>
    </row>
    <row r="1735" spans="1:37" x14ac:dyDescent="0.25">
      <c r="A1735" t="s">
        <v>79</v>
      </c>
      <c r="B1735">
        <v>7</v>
      </c>
      <c r="C1735">
        <v>2</v>
      </c>
      <c r="D1735">
        <v>3</v>
      </c>
      <c r="E1735">
        <v>4</v>
      </c>
      <c r="G1735">
        <v>723</v>
      </c>
      <c r="H1735" t="s">
        <v>2667</v>
      </c>
      <c r="I1735" t="s">
        <v>102</v>
      </c>
      <c r="J1735" t="s">
        <v>2684</v>
      </c>
      <c r="L1735">
        <v>0</v>
      </c>
      <c r="M1735" t="s">
        <v>2685</v>
      </c>
      <c r="O1735" t="s">
        <v>294</v>
      </c>
      <c r="P1735" t="s">
        <v>295</v>
      </c>
      <c r="Q1735" t="s">
        <v>313</v>
      </c>
      <c r="R1735" t="s">
        <v>229</v>
      </c>
      <c r="S1735" t="s">
        <v>297</v>
      </c>
      <c r="T1735">
        <v>166</v>
      </c>
      <c r="U1735">
        <v>30</v>
      </c>
      <c r="V1735" t="s">
        <v>2583</v>
      </c>
      <c r="AE1735" t="s">
        <v>2584</v>
      </c>
      <c r="AF1735">
        <v>0</v>
      </c>
      <c r="AG1735" t="s">
        <v>2585</v>
      </c>
      <c r="AH1735">
        <v>0</v>
      </c>
      <c r="AK1735">
        <v>0</v>
      </c>
    </row>
    <row r="1736" spans="1:37" x14ac:dyDescent="0.25">
      <c r="A1736" t="s">
        <v>79</v>
      </c>
      <c r="B1736">
        <v>7</v>
      </c>
      <c r="C1736">
        <v>2</v>
      </c>
      <c r="D1736">
        <v>3</v>
      </c>
      <c r="E1736">
        <v>5</v>
      </c>
      <c r="G1736">
        <v>723</v>
      </c>
      <c r="H1736" t="s">
        <v>2667</v>
      </c>
      <c r="I1736" t="s">
        <v>109</v>
      </c>
      <c r="J1736" t="s">
        <v>2686</v>
      </c>
      <c r="L1736">
        <v>0</v>
      </c>
      <c r="M1736" t="s">
        <v>2687</v>
      </c>
      <c r="O1736" t="s">
        <v>2588</v>
      </c>
      <c r="P1736" t="s">
        <v>2589</v>
      </c>
      <c r="Q1736" t="s">
        <v>530</v>
      </c>
      <c r="R1736" t="s">
        <v>179</v>
      </c>
      <c r="S1736" t="s">
        <v>2590</v>
      </c>
      <c r="T1736">
        <v>166</v>
      </c>
      <c r="U1736">
        <v>66</v>
      </c>
      <c r="V1736" t="s">
        <v>2591</v>
      </c>
      <c r="AE1736" t="s">
        <v>2592</v>
      </c>
      <c r="AF1736">
        <v>0</v>
      </c>
      <c r="AG1736" t="s">
        <v>2593</v>
      </c>
      <c r="AH1736">
        <v>0</v>
      </c>
      <c r="AK1736">
        <v>0</v>
      </c>
    </row>
    <row r="1737" spans="1:37" x14ac:dyDescent="0.25">
      <c r="A1737" t="s">
        <v>79</v>
      </c>
      <c r="B1737">
        <v>7</v>
      </c>
      <c r="C1737">
        <v>2</v>
      </c>
      <c r="D1737">
        <v>3</v>
      </c>
      <c r="E1737">
        <v>6</v>
      </c>
      <c r="G1737">
        <v>723</v>
      </c>
      <c r="H1737" t="s">
        <v>2667</v>
      </c>
      <c r="I1737" t="s">
        <v>116</v>
      </c>
      <c r="J1737" t="s">
        <v>2688</v>
      </c>
      <c r="L1737">
        <v>0</v>
      </c>
      <c r="M1737" t="s">
        <v>2689</v>
      </c>
      <c r="O1737" t="s">
        <v>2690</v>
      </c>
      <c r="P1737" t="s">
        <v>2691</v>
      </c>
      <c r="Q1737" t="s">
        <v>1339</v>
      </c>
      <c r="R1737" t="s">
        <v>210</v>
      </c>
      <c r="S1737" t="s">
        <v>2692</v>
      </c>
      <c r="T1737">
        <v>166</v>
      </c>
      <c r="U1737">
        <v>81</v>
      </c>
      <c r="V1737" t="s">
        <v>2693</v>
      </c>
      <c r="AE1737" t="s">
        <v>2694</v>
      </c>
      <c r="AF1737">
        <v>0</v>
      </c>
      <c r="AG1737" t="s">
        <v>2695</v>
      </c>
      <c r="AH1737">
        <v>0</v>
      </c>
      <c r="AK1737">
        <v>0</v>
      </c>
    </row>
    <row r="1738" spans="1:37" x14ac:dyDescent="0.25">
      <c r="A1738" t="s">
        <v>79</v>
      </c>
      <c r="B1738">
        <v>7</v>
      </c>
      <c r="C1738">
        <v>2</v>
      </c>
      <c r="D1738">
        <v>3</v>
      </c>
      <c r="E1738">
        <v>7</v>
      </c>
      <c r="G1738">
        <v>723</v>
      </c>
      <c r="H1738" t="s">
        <v>2667</v>
      </c>
      <c r="I1738" t="s">
        <v>123</v>
      </c>
      <c r="J1738" t="s">
        <v>2696</v>
      </c>
      <c r="L1738">
        <v>0</v>
      </c>
      <c r="M1738" t="s">
        <v>2697</v>
      </c>
      <c r="O1738" t="s">
        <v>2602</v>
      </c>
      <c r="P1738" t="s">
        <v>2603</v>
      </c>
      <c r="Q1738" t="s">
        <v>2604</v>
      </c>
      <c r="R1738" t="s">
        <v>268</v>
      </c>
      <c r="S1738" t="s">
        <v>2605</v>
      </c>
      <c r="T1738">
        <v>166</v>
      </c>
      <c r="U1738">
        <v>4</v>
      </c>
      <c r="V1738" t="s">
        <v>2606</v>
      </c>
      <c r="AE1738" t="s">
        <v>2607</v>
      </c>
      <c r="AF1738">
        <v>0</v>
      </c>
      <c r="AG1738" t="s">
        <v>2608</v>
      </c>
      <c r="AH1738">
        <v>0</v>
      </c>
      <c r="AK1738">
        <v>0</v>
      </c>
    </row>
    <row r="1739" spans="1:37" x14ac:dyDescent="0.25">
      <c r="A1739" t="s">
        <v>79</v>
      </c>
      <c r="B1739">
        <v>7</v>
      </c>
      <c r="C1739">
        <v>2</v>
      </c>
      <c r="D1739">
        <v>3</v>
      </c>
      <c r="E1739">
        <v>8</v>
      </c>
      <c r="G1739">
        <v>723</v>
      </c>
      <c r="H1739" t="s">
        <v>2667</v>
      </c>
      <c r="I1739" t="s">
        <v>126</v>
      </c>
      <c r="J1739" t="s">
        <v>2698</v>
      </c>
      <c r="L1739">
        <v>0</v>
      </c>
      <c r="M1739" t="s">
        <v>125</v>
      </c>
      <c r="O1739" t="s">
        <v>125</v>
      </c>
      <c r="P1739" t="s">
        <v>125</v>
      </c>
      <c r="Q1739" t="s">
        <v>125</v>
      </c>
      <c r="R1739" t="s">
        <v>125</v>
      </c>
      <c r="S1739" t="s">
        <v>125</v>
      </c>
      <c r="T1739">
        <v>166</v>
      </c>
      <c r="V1739" t="s">
        <v>125</v>
      </c>
      <c r="AE1739" t="s">
        <v>125</v>
      </c>
      <c r="AF1739">
        <v>0</v>
      </c>
      <c r="AG1739" t="s">
        <v>125</v>
      </c>
      <c r="AH1739">
        <v>0</v>
      </c>
      <c r="AK1739">
        <v>0</v>
      </c>
    </row>
    <row r="1740" spans="1:37" x14ac:dyDescent="0.25">
      <c r="A1740" t="s">
        <v>79</v>
      </c>
      <c r="B1740">
        <v>7</v>
      </c>
      <c r="C1740">
        <v>2</v>
      </c>
      <c r="D1740">
        <v>3</v>
      </c>
      <c r="E1740">
        <v>9</v>
      </c>
      <c r="G1740">
        <v>723</v>
      </c>
      <c r="H1740" t="s">
        <v>2667</v>
      </c>
      <c r="I1740" t="s">
        <v>74</v>
      </c>
      <c r="J1740" t="s">
        <v>2699</v>
      </c>
      <c r="L1740">
        <v>0</v>
      </c>
      <c r="M1740" t="s">
        <v>125</v>
      </c>
      <c r="O1740" t="s">
        <v>125</v>
      </c>
      <c r="P1740" t="s">
        <v>125</v>
      </c>
      <c r="Q1740" t="s">
        <v>125</v>
      </c>
      <c r="R1740" t="s">
        <v>125</v>
      </c>
      <c r="S1740" t="s">
        <v>125</v>
      </c>
      <c r="T1740">
        <v>166</v>
      </c>
      <c r="V1740" t="s">
        <v>125</v>
      </c>
      <c r="AE1740" t="s">
        <v>125</v>
      </c>
      <c r="AF1740">
        <v>0</v>
      </c>
      <c r="AG1740" t="s">
        <v>125</v>
      </c>
      <c r="AH1740">
        <v>0</v>
      </c>
      <c r="AK1740">
        <v>0</v>
      </c>
    </row>
    <row r="1741" spans="1:37" x14ac:dyDescent="0.25">
      <c r="A1741" t="s">
        <v>79</v>
      </c>
      <c r="B1741">
        <v>7</v>
      </c>
      <c r="C1741">
        <v>2</v>
      </c>
      <c r="D1741">
        <v>3</v>
      </c>
      <c r="E1741">
        <v>10</v>
      </c>
      <c r="G1741">
        <v>723</v>
      </c>
      <c r="H1741" t="s">
        <v>2667</v>
      </c>
      <c r="I1741" t="s">
        <v>129</v>
      </c>
      <c r="J1741" t="s">
        <v>2700</v>
      </c>
      <c r="L1741">
        <v>0</v>
      </c>
      <c r="M1741" t="s">
        <v>125</v>
      </c>
      <c r="O1741" t="s">
        <v>125</v>
      </c>
      <c r="P1741" t="s">
        <v>125</v>
      </c>
      <c r="Q1741" t="s">
        <v>125</v>
      </c>
      <c r="R1741" t="s">
        <v>125</v>
      </c>
      <c r="S1741" t="s">
        <v>125</v>
      </c>
      <c r="T1741">
        <v>166</v>
      </c>
      <c r="V1741" t="s">
        <v>125</v>
      </c>
      <c r="AE1741" t="s">
        <v>125</v>
      </c>
      <c r="AF1741">
        <v>0</v>
      </c>
      <c r="AG1741" t="s">
        <v>125</v>
      </c>
      <c r="AH1741">
        <v>0</v>
      </c>
      <c r="AK1741">
        <v>0</v>
      </c>
    </row>
    <row r="1742" spans="1:37" x14ac:dyDescent="0.25">
      <c r="A1742" t="s">
        <v>79</v>
      </c>
      <c r="B1742">
        <v>7</v>
      </c>
      <c r="C1742">
        <v>2</v>
      </c>
      <c r="D1742">
        <v>3</v>
      </c>
      <c r="E1742">
        <v>11</v>
      </c>
      <c r="G1742">
        <v>723</v>
      </c>
      <c r="H1742" t="s">
        <v>2667</v>
      </c>
      <c r="I1742" t="s">
        <v>131</v>
      </c>
      <c r="J1742" t="s">
        <v>2701</v>
      </c>
      <c r="L1742">
        <v>0</v>
      </c>
      <c r="M1742" t="s">
        <v>125</v>
      </c>
      <c r="O1742" t="s">
        <v>125</v>
      </c>
      <c r="P1742" t="s">
        <v>125</v>
      </c>
      <c r="Q1742" t="s">
        <v>125</v>
      </c>
      <c r="R1742" t="s">
        <v>125</v>
      </c>
      <c r="S1742" t="s">
        <v>125</v>
      </c>
      <c r="T1742">
        <v>166</v>
      </c>
      <c r="V1742" t="s">
        <v>125</v>
      </c>
      <c r="AE1742" t="s">
        <v>125</v>
      </c>
      <c r="AF1742">
        <v>0</v>
      </c>
      <c r="AG1742" t="s">
        <v>125</v>
      </c>
      <c r="AH1742">
        <v>0</v>
      </c>
      <c r="AK1742">
        <v>0</v>
      </c>
    </row>
    <row r="1743" spans="1:37" x14ac:dyDescent="0.25">
      <c r="A1743" t="s">
        <v>79</v>
      </c>
      <c r="B1743">
        <v>7</v>
      </c>
      <c r="C1743">
        <v>2</v>
      </c>
      <c r="D1743">
        <v>3</v>
      </c>
      <c r="E1743">
        <v>12</v>
      </c>
      <c r="G1743">
        <v>723</v>
      </c>
      <c r="H1743" t="s">
        <v>2667</v>
      </c>
      <c r="I1743" t="s">
        <v>133</v>
      </c>
      <c r="J1743" t="s">
        <v>2702</v>
      </c>
      <c r="L1743">
        <v>0</v>
      </c>
      <c r="M1743" t="s">
        <v>125</v>
      </c>
      <c r="O1743" t="s">
        <v>125</v>
      </c>
      <c r="P1743" t="s">
        <v>125</v>
      </c>
      <c r="Q1743" t="s">
        <v>125</v>
      </c>
      <c r="R1743" t="s">
        <v>125</v>
      </c>
      <c r="S1743" t="s">
        <v>125</v>
      </c>
      <c r="T1743">
        <v>166</v>
      </c>
      <c r="V1743" t="s">
        <v>125</v>
      </c>
      <c r="AE1743" t="s">
        <v>125</v>
      </c>
      <c r="AF1743">
        <v>0</v>
      </c>
      <c r="AG1743" t="s">
        <v>125</v>
      </c>
      <c r="AH1743">
        <v>0</v>
      </c>
      <c r="AK1743">
        <v>0</v>
      </c>
    </row>
    <row r="1744" spans="1:37" x14ac:dyDescent="0.25">
      <c r="A1744" t="s">
        <v>79</v>
      </c>
      <c r="B1744">
        <v>7</v>
      </c>
      <c r="C1744">
        <v>2</v>
      </c>
      <c r="D1744">
        <v>3</v>
      </c>
      <c r="E1744">
        <v>13</v>
      </c>
      <c r="G1744">
        <v>723</v>
      </c>
      <c r="H1744" t="s">
        <v>2667</v>
      </c>
      <c r="I1744" t="s">
        <v>135</v>
      </c>
      <c r="J1744" t="s">
        <v>2703</v>
      </c>
      <c r="L1744">
        <v>0</v>
      </c>
      <c r="M1744" t="s">
        <v>125</v>
      </c>
      <c r="O1744" t="s">
        <v>125</v>
      </c>
      <c r="P1744" t="s">
        <v>125</v>
      </c>
      <c r="Q1744" t="s">
        <v>125</v>
      </c>
      <c r="R1744" t="s">
        <v>125</v>
      </c>
      <c r="S1744" t="s">
        <v>125</v>
      </c>
      <c r="T1744">
        <v>166</v>
      </c>
      <c r="V1744" t="s">
        <v>125</v>
      </c>
      <c r="AE1744" t="s">
        <v>125</v>
      </c>
      <c r="AF1744">
        <v>0</v>
      </c>
      <c r="AG1744" t="s">
        <v>125</v>
      </c>
      <c r="AH1744">
        <v>0</v>
      </c>
      <c r="AK1744">
        <v>0</v>
      </c>
    </row>
    <row r="1745" spans="1:37" x14ac:dyDescent="0.25">
      <c r="A1745" t="s">
        <v>79</v>
      </c>
      <c r="B1745">
        <v>7</v>
      </c>
      <c r="C1745">
        <v>2</v>
      </c>
      <c r="D1745">
        <v>3</v>
      </c>
      <c r="E1745">
        <v>14</v>
      </c>
      <c r="G1745">
        <v>723</v>
      </c>
      <c r="H1745" t="s">
        <v>2667</v>
      </c>
      <c r="I1745" t="s">
        <v>137</v>
      </c>
      <c r="J1745" t="s">
        <v>2704</v>
      </c>
      <c r="L1745">
        <v>0</v>
      </c>
      <c r="M1745" t="s">
        <v>125</v>
      </c>
      <c r="O1745" t="s">
        <v>125</v>
      </c>
      <c r="P1745" t="s">
        <v>125</v>
      </c>
      <c r="Q1745" t="s">
        <v>125</v>
      </c>
      <c r="R1745" t="s">
        <v>125</v>
      </c>
      <c r="S1745" t="s">
        <v>125</v>
      </c>
      <c r="T1745">
        <v>166</v>
      </c>
      <c r="V1745" t="s">
        <v>125</v>
      </c>
      <c r="AE1745" t="s">
        <v>125</v>
      </c>
      <c r="AF1745">
        <v>0</v>
      </c>
      <c r="AG1745" t="s">
        <v>125</v>
      </c>
      <c r="AH1745">
        <v>0</v>
      </c>
      <c r="AK1745">
        <v>0</v>
      </c>
    </row>
    <row r="1746" spans="1:37" x14ac:dyDescent="0.25">
      <c r="A1746" t="s">
        <v>79</v>
      </c>
      <c r="B1746">
        <v>7</v>
      </c>
      <c r="C1746">
        <v>2</v>
      </c>
      <c r="D1746">
        <v>3</v>
      </c>
      <c r="E1746">
        <v>15</v>
      </c>
      <c r="G1746">
        <v>723</v>
      </c>
      <c r="H1746" t="s">
        <v>2667</v>
      </c>
      <c r="I1746" t="s">
        <v>139</v>
      </c>
      <c r="J1746" t="s">
        <v>2705</v>
      </c>
      <c r="L1746">
        <v>0</v>
      </c>
      <c r="M1746" t="s">
        <v>125</v>
      </c>
      <c r="O1746" t="s">
        <v>125</v>
      </c>
      <c r="P1746" t="s">
        <v>125</v>
      </c>
      <c r="Q1746" t="s">
        <v>125</v>
      </c>
      <c r="R1746" t="s">
        <v>125</v>
      </c>
      <c r="S1746" t="s">
        <v>125</v>
      </c>
      <c r="T1746">
        <v>166</v>
      </c>
      <c r="V1746" t="s">
        <v>125</v>
      </c>
      <c r="AE1746" t="s">
        <v>125</v>
      </c>
      <c r="AF1746">
        <v>0</v>
      </c>
      <c r="AG1746" t="s">
        <v>125</v>
      </c>
      <c r="AH1746">
        <v>0</v>
      </c>
      <c r="AK1746">
        <v>0</v>
      </c>
    </row>
    <row r="1747" spans="1:37" x14ac:dyDescent="0.25">
      <c r="L1747">
        <v>0</v>
      </c>
    </row>
    <row r="1748" spans="1:37" x14ac:dyDescent="0.25">
      <c r="A1748" t="s">
        <v>70</v>
      </c>
      <c r="B1748">
        <v>7</v>
      </c>
      <c r="C1748">
        <v>2</v>
      </c>
      <c r="D1748">
        <v>4</v>
      </c>
      <c r="G1748">
        <v>72</v>
      </c>
      <c r="L1748">
        <v>0</v>
      </c>
      <c r="M1748" t="s">
        <v>125</v>
      </c>
      <c r="P1748" t="s">
        <v>125</v>
      </c>
      <c r="R1748" t="s">
        <v>125</v>
      </c>
      <c r="S1748" t="s">
        <v>63</v>
      </c>
      <c r="V1748" t="s">
        <v>125</v>
      </c>
      <c r="X1748" t="s">
        <v>125</v>
      </c>
      <c r="Y1748" t="s">
        <v>125</v>
      </c>
      <c r="Z1748" t="s">
        <v>125</v>
      </c>
      <c r="AA1748" t="s">
        <v>125</v>
      </c>
      <c r="AB1748" t="s">
        <v>125</v>
      </c>
      <c r="AC1748" t="s">
        <v>125</v>
      </c>
      <c r="AE1748" t="s">
        <v>125</v>
      </c>
      <c r="AF1748">
        <v>0</v>
      </c>
      <c r="AG1748" t="s">
        <v>125</v>
      </c>
      <c r="AH1748">
        <v>0</v>
      </c>
      <c r="AK1748">
        <v>0</v>
      </c>
    </row>
    <row r="1749" spans="1:37" x14ac:dyDescent="0.25">
      <c r="A1749" t="s">
        <v>79</v>
      </c>
      <c r="B1749">
        <v>7</v>
      </c>
      <c r="C1749">
        <v>2</v>
      </c>
      <c r="D1749">
        <v>4</v>
      </c>
      <c r="E1749">
        <v>1</v>
      </c>
      <c r="G1749">
        <v>724</v>
      </c>
      <c r="H1749" t="s">
        <v>63</v>
      </c>
      <c r="I1749" t="s">
        <v>80</v>
      </c>
      <c r="J1749" t="s">
        <v>141</v>
      </c>
      <c r="L1749">
        <v>0</v>
      </c>
      <c r="M1749" t="s">
        <v>125</v>
      </c>
      <c r="O1749" t="s">
        <v>125</v>
      </c>
      <c r="P1749" t="s">
        <v>125</v>
      </c>
      <c r="Q1749" t="s">
        <v>125</v>
      </c>
      <c r="R1749" t="s">
        <v>125</v>
      </c>
      <c r="S1749" t="s">
        <v>125</v>
      </c>
      <c r="T1749">
        <v>0</v>
      </c>
      <c r="V1749" t="s">
        <v>125</v>
      </c>
      <c r="AE1749" t="s">
        <v>125</v>
      </c>
      <c r="AF1749">
        <v>0</v>
      </c>
      <c r="AG1749" t="s">
        <v>125</v>
      </c>
      <c r="AH1749">
        <v>0</v>
      </c>
      <c r="AK1749">
        <v>0</v>
      </c>
    </row>
    <row r="1750" spans="1:37" x14ac:dyDescent="0.25">
      <c r="A1750" t="s">
        <v>79</v>
      </c>
      <c r="B1750">
        <v>7</v>
      </c>
      <c r="C1750">
        <v>2</v>
      </c>
      <c r="D1750">
        <v>4</v>
      </c>
      <c r="E1750">
        <v>2</v>
      </c>
      <c r="G1750">
        <v>724</v>
      </c>
      <c r="H1750" t="s">
        <v>63</v>
      </c>
      <c r="I1750" t="s">
        <v>88</v>
      </c>
      <c r="J1750" t="s">
        <v>142</v>
      </c>
      <c r="L1750">
        <v>0</v>
      </c>
      <c r="M1750" t="s">
        <v>125</v>
      </c>
      <c r="O1750" t="s">
        <v>125</v>
      </c>
      <c r="P1750" t="s">
        <v>125</v>
      </c>
      <c r="Q1750" t="s">
        <v>125</v>
      </c>
      <c r="R1750" t="s">
        <v>125</v>
      </c>
      <c r="S1750" t="s">
        <v>125</v>
      </c>
      <c r="T1750">
        <v>0</v>
      </c>
      <c r="V1750" t="s">
        <v>125</v>
      </c>
      <c r="AE1750" t="s">
        <v>125</v>
      </c>
      <c r="AF1750">
        <v>0</v>
      </c>
      <c r="AG1750" t="s">
        <v>125</v>
      </c>
      <c r="AH1750">
        <v>0</v>
      </c>
      <c r="AK1750">
        <v>0</v>
      </c>
    </row>
    <row r="1751" spans="1:37" x14ac:dyDescent="0.25">
      <c r="A1751" t="s">
        <v>79</v>
      </c>
      <c r="B1751">
        <v>7</v>
      </c>
      <c r="C1751">
        <v>2</v>
      </c>
      <c r="D1751">
        <v>4</v>
      </c>
      <c r="E1751">
        <v>3</v>
      </c>
      <c r="G1751">
        <v>724</v>
      </c>
      <c r="H1751" t="s">
        <v>63</v>
      </c>
      <c r="I1751" t="s">
        <v>95</v>
      </c>
      <c r="J1751" t="s">
        <v>143</v>
      </c>
      <c r="L1751">
        <v>0</v>
      </c>
      <c r="M1751" t="s">
        <v>125</v>
      </c>
      <c r="O1751" t="s">
        <v>125</v>
      </c>
      <c r="P1751" t="s">
        <v>125</v>
      </c>
      <c r="Q1751" t="s">
        <v>125</v>
      </c>
      <c r="R1751" t="s">
        <v>125</v>
      </c>
      <c r="S1751" t="s">
        <v>125</v>
      </c>
      <c r="T1751">
        <v>0</v>
      </c>
      <c r="V1751" t="s">
        <v>125</v>
      </c>
      <c r="AE1751" t="s">
        <v>125</v>
      </c>
      <c r="AF1751">
        <v>0</v>
      </c>
      <c r="AG1751" t="s">
        <v>125</v>
      </c>
      <c r="AH1751">
        <v>0</v>
      </c>
      <c r="AK1751">
        <v>0</v>
      </c>
    </row>
    <row r="1752" spans="1:37" x14ac:dyDescent="0.25">
      <c r="A1752" t="s">
        <v>79</v>
      </c>
      <c r="B1752">
        <v>7</v>
      </c>
      <c r="C1752">
        <v>2</v>
      </c>
      <c r="D1752">
        <v>4</v>
      </c>
      <c r="E1752">
        <v>4</v>
      </c>
      <c r="G1752">
        <v>724</v>
      </c>
      <c r="H1752" t="s">
        <v>63</v>
      </c>
      <c r="I1752" t="s">
        <v>102</v>
      </c>
      <c r="J1752" t="s">
        <v>144</v>
      </c>
      <c r="L1752">
        <v>0</v>
      </c>
      <c r="M1752" t="s">
        <v>125</v>
      </c>
      <c r="O1752" t="s">
        <v>125</v>
      </c>
      <c r="P1752" t="s">
        <v>125</v>
      </c>
      <c r="Q1752" t="s">
        <v>125</v>
      </c>
      <c r="R1752" t="s">
        <v>125</v>
      </c>
      <c r="S1752" t="s">
        <v>125</v>
      </c>
      <c r="T1752">
        <v>0</v>
      </c>
      <c r="V1752" t="s">
        <v>125</v>
      </c>
      <c r="AE1752" t="s">
        <v>125</v>
      </c>
      <c r="AF1752">
        <v>0</v>
      </c>
      <c r="AG1752" t="s">
        <v>125</v>
      </c>
      <c r="AH1752">
        <v>0</v>
      </c>
      <c r="AK1752">
        <v>0</v>
      </c>
    </row>
    <row r="1753" spans="1:37" x14ac:dyDescent="0.25">
      <c r="A1753" t="s">
        <v>79</v>
      </c>
      <c r="B1753">
        <v>7</v>
      </c>
      <c r="C1753">
        <v>2</v>
      </c>
      <c r="D1753">
        <v>4</v>
      </c>
      <c r="E1753">
        <v>5</v>
      </c>
      <c r="G1753">
        <v>724</v>
      </c>
      <c r="H1753" t="s">
        <v>63</v>
      </c>
      <c r="I1753" t="s">
        <v>109</v>
      </c>
      <c r="J1753" t="s">
        <v>145</v>
      </c>
      <c r="L1753">
        <v>0</v>
      </c>
      <c r="M1753" t="s">
        <v>125</v>
      </c>
      <c r="O1753" t="s">
        <v>125</v>
      </c>
      <c r="P1753" t="s">
        <v>125</v>
      </c>
      <c r="Q1753" t="s">
        <v>125</v>
      </c>
      <c r="R1753" t="s">
        <v>125</v>
      </c>
      <c r="S1753" t="s">
        <v>125</v>
      </c>
      <c r="T1753">
        <v>0</v>
      </c>
      <c r="V1753" t="s">
        <v>125</v>
      </c>
      <c r="AE1753" t="s">
        <v>125</v>
      </c>
      <c r="AF1753">
        <v>0</v>
      </c>
      <c r="AG1753" t="s">
        <v>125</v>
      </c>
      <c r="AH1753">
        <v>0</v>
      </c>
      <c r="AK1753">
        <v>0</v>
      </c>
    </row>
    <row r="1754" spans="1:37" x14ac:dyDescent="0.25">
      <c r="A1754" t="s">
        <v>79</v>
      </c>
      <c r="B1754">
        <v>7</v>
      </c>
      <c r="C1754">
        <v>2</v>
      </c>
      <c r="D1754">
        <v>4</v>
      </c>
      <c r="E1754">
        <v>6</v>
      </c>
      <c r="G1754">
        <v>724</v>
      </c>
      <c r="H1754" t="s">
        <v>63</v>
      </c>
      <c r="I1754" t="s">
        <v>116</v>
      </c>
      <c r="J1754" t="s">
        <v>146</v>
      </c>
      <c r="L1754">
        <v>0</v>
      </c>
      <c r="M1754" t="s">
        <v>125</v>
      </c>
      <c r="O1754" t="s">
        <v>125</v>
      </c>
      <c r="P1754" t="s">
        <v>125</v>
      </c>
      <c r="Q1754" t="s">
        <v>125</v>
      </c>
      <c r="R1754" t="s">
        <v>125</v>
      </c>
      <c r="S1754" t="s">
        <v>125</v>
      </c>
      <c r="T1754">
        <v>0</v>
      </c>
      <c r="V1754" t="s">
        <v>125</v>
      </c>
      <c r="AE1754" t="s">
        <v>125</v>
      </c>
      <c r="AF1754">
        <v>0</v>
      </c>
      <c r="AG1754" t="s">
        <v>125</v>
      </c>
      <c r="AH1754">
        <v>0</v>
      </c>
      <c r="AK1754">
        <v>0</v>
      </c>
    </row>
    <row r="1755" spans="1:37" x14ac:dyDescent="0.25">
      <c r="A1755" t="s">
        <v>79</v>
      </c>
      <c r="B1755">
        <v>7</v>
      </c>
      <c r="C1755">
        <v>2</v>
      </c>
      <c r="D1755">
        <v>4</v>
      </c>
      <c r="E1755">
        <v>7</v>
      </c>
      <c r="G1755">
        <v>724</v>
      </c>
      <c r="H1755" t="s">
        <v>63</v>
      </c>
      <c r="I1755" t="s">
        <v>123</v>
      </c>
      <c r="J1755" t="s">
        <v>147</v>
      </c>
      <c r="L1755">
        <v>0</v>
      </c>
      <c r="M1755" t="s">
        <v>125</v>
      </c>
      <c r="O1755" t="s">
        <v>125</v>
      </c>
      <c r="P1755" t="s">
        <v>125</v>
      </c>
      <c r="Q1755" t="s">
        <v>125</v>
      </c>
      <c r="R1755" t="s">
        <v>125</v>
      </c>
      <c r="S1755" t="s">
        <v>125</v>
      </c>
      <c r="T1755">
        <v>0</v>
      </c>
      <c r="V1755" t="s">
        <v>125</v>
      </c>
      <c r="AE1755" t="s">
        <v>125</v>
      </c>
      <c r="AF1755">
        <v>0</v>
      </c>
      <c r="AG1755" t="s">
        <v>125</v>
      </c>
      <c r="AH1755">
        <v>0</v>
      </c>
      <c r="AK1755">
        <v>0</v>
      </c>
    </row>
    <row r="1756" spans="1:37" x14ac:dyDescent="0.25">
      <c r="A1756" t="s">
        <v>79</v>
      </c>
      <c r="B1756">
        <v>7</v>
      </c>
      <c r="C1756">
        <v>2</v>
      </c>
      <c r="D1756">
        <v>4</v>
      </c>
      <c r="E1756">
        <v>8</v>
      </c>
      <c r="G1756">
        <v>724</v>
      </c>
      <c r="H1756" t="s">
        <v>63</v>
      </c>
      <c r="I1756" t="s">
        <v>126</v>
      </c>
      <c r="J1756" t="s">
        <v>148</v>
      </c>
      <c r="L1756">
        <v>0</v>
      </c>
      <c r="M1756" t="s">
        <v>125</v>
      </c>
      <c r="O1756" t="s">
        <v>125</v>
      </c>
      <c r="P1756" t="s">
        <v>125</v>
      </c>
      <c r="Q1756" t="s">
        <v>125</v>
      </c>
      <c r="R1756" t="s">
        <v>125</v>
      </c>
      <c r="S1756" t="s">
        <v>125</v>
      </c>
      <c r="T1756">
        <v>0</v>
      </c>
      <c r="V1756" t="s">
        <v>125</v>
      </c>
      <c r="AE1756" t="s">
        <v>125</v>
      </c>
      <c r="AF1756">
        <v>0</v>
      </c>
      <c r="AG1756" t="s">
        <v>125</v>
      </c>
      <c r="AH1756">
        <v>0</v>
      </c>
      <c r="AK1756">
        <v>0</v>
      </c>
    </row>
    <row r="1757" spans="1:37" x14ac:dyDescent="0.25">
      <c r="A1757" t="s">
        <v>79</v>
      </c>
      <c r="B1757">
        <v>7</v>
      </c>
      <c r="C1757">
        <v>2</v>
      </c>
      <c r="D1757">
        <v>4</v>
      </c>
      <c r="E1757">
        <v>9</v>
      </c>
      <c r="G1757">
        <v>724</v>
      </c>
      <c r="H1757" t="s">
        <v>63</v>
      </c>
      <c r="I1757" t="s">
        <v>74</v>
      </c>
      <c r="J1757" t="s">
        <v>149</v>
      </c>
      <c r="L1757">
        <v>0</v>
      </c>
      <c r="M1757" t="s">
        <v>125</v>
      </c>
      <c r="O1757" t="s">
        <v>125</v>
      </c>
      <c r="P1757" t="s">
        <v>125</v>
      </c>
      <c r="Q1757" t="s">
        <v>125</v>
      </c>
      <c r="R1757" t="s">
        <v>125</v>
      </c>
      <c r="S1757" t="s">
        <v>125</v>
      </c>
      <c r="T1757">
        <v>0</v>
      </c>
      <c r="V1757" t="s">
        <v>125</v>
      </c>
      <c r="AE1757" t="s">
        <v>125</v>
      </c>
      <c r="AF1757">
        <v>0</v>
      </c>
      <c r="AG1757" t="s">
        <v>125</v>
      </c>
      <c r="AH1757">
        <v>0</v>
      </c>
      <c r="AK1757">
        <v>0</v>
      </c>
    </row>
    <row r="1758" spans="1:37" x14ac:dyDescent="0.25">
      <c r="A1758" t="s">
        <v>79</v>
      </c>
      <c r="B1758">
        <v>7</v>
      </c>
      <c r="C1758">
        <v>2</v>
      </c>
      <c r="D1758">
        <v>4</v>
      </c>
      <c r="E1758">
        <v>10</v>
      </c>
      <c r="G1758">
        <v>724</v>
      </c>
      <c r="H1758" t="s">
        <v>63</v>
      </c>
      <c r="I1758" t="s">
        <v>129</v>
      </c>
      <c r="J1758" t="s">
        <v>150</v>
      </c>
      <c r="L1758">
        <v>0</v>
      </c>
      <c r="M1758" t="s">
        <v>125</v>
      </c>
      <c r="O1758" t="s">
        <v>125</v>
      </c>
      <c r="P1758" t="s">
        <v>125</v>
      </c>
      <c r="Q1758" t="s">
        <v>125</v>
      </c>
      <c r="R1758" t="s">
        <v>125</v>
      </c>
      <c r="S1758" t="s">
        <v>125</v>
      </c>
      <c r="T1758">
        <v>0</v>
      </c>
      <c r="V1758" t="s">
        <v>125</v>
      </c>
      <c r="AE1758" t="s">
        <v>125</v>
      </c>
      <c r="AF1758">
        <v>0</v>
      </c>
      <c r="AG1758" t="s">
        <v>125</v>
      </c>
      <c r="AH1758">
        <v>0</v>
      </c>
      <c r="AK1758">
        <v>0</v>
      </c>
    </row>
    <row r="1759" spans="1:37" x14ac:dyDescent="0.25">
      <c r="A1759" t="s">
        <v>79</v>
      </c>
      <c r="B1759">
        <v>7</v>
      </c>
      <c r="C1759">
        <v>2</v>
      </c>
      <c r="D1759">
        <v>4</v>
      </c>
      <c r="E1759">
        <v>11</v>
      </c>
      <c r="G1759">
        <v>724</v>
      </c>
      <c r="H1759" t="s">
        <v>63</v>
      </c>
      <c r="I1759" t="s">
        <v>131</v>
      </c>
      <c r="J1759" t="s">
        <v>151</v>
      </c>
      <c r="L1759">
        <v>0</v>
      </c>
      <c r="M1759" t="s">
        <v>125</v>
      </c>
      <c r="O1759" t="s">
        <v>125</v>
      </c>
      <c r="P1759" t="s">
        <v>125</v>
      </c>
      <c r="Q1759" t="s">
        <v>125</v>
      </c>
      <c r="R1759" t="s">
        <v>125</v>
      </c>
      <c r="S1759" t="s">
        <v>125</v>
      </c>
      <c r="T1759">
        <v>0</v>
      </c>
      <c r="V1759" t="s">
        <v>125</v>
      </c>
      <c r="AE1759" t="s">
        <v>125</v>
      </c>
      <c r="AF1759">
        <v>0</v>
      </c>
      <c r="AG1759" t="s">
        <v>125</v>
      </c>
      <c r="AH1759">
        <v>0</v>
      </c>
      <c r="AK1759">
        <v>0</v>
      </c>
    </row>
    <row r="1760" spans="1:37" x14ac:dyDescent="0.25">
      <c r="A1760" t="s">
        <v>79</v>
      </c>
      <c r="B1760">
        <v>7</v>
      </c>
      <c r="C1760">
        <v>2</v>
      </c>
      <c r="D1760">
        <v>4</v>
      </c>
      <c r="E1760">
        <v>12</v>
      </c>
      <c r="G1760">
        <v>724</v>
      </c>
      <c r="H1760" t="s">
        <v>63</v>
      </c>
      <c r="I1760" t="s">
        <v>133</v>
      </c>
      <c r="J1760" t="s">
        <v>152</v>
      </c>
      <c r="L1760">
        <v>0</v>
      </c>
      <c r="M1760" t="s">
        <v>125</v>
      </c>
      <c r="O1760" t="s">
        <v>125</v>
      </c>
      <c r="P1760" t="s">
        <v>125</v>
      </c>
      <c r="Q1760" t="s">
        <v>125</v>
      </c>
      <c r="R1760" t="s">
        <v>125</v>
      </c>
      <c r="S1760" t="s">
        <v>125</v>
      </c>
      <c r="T1760">
        <v>0</v>
      </c>
      <c r="V1760" t="s">
        <v>125</v>
      </c>
      <c r="AE1760" t="s">
        <v>125</v>
      </c>
      <c r="AF1760">
        <v>0</v>
      </c>
      <c r="AG1760" t="s">
        <v>125</v>
      </c>
      <c r="AH1760">
        <v>0</v>
      </c>
      <c r="AK1760">
        <v>0</v>
      </c>
    </row>
    <row r="1761" spans="1:37" x14ac:dyDescent="0.25">
      <c r="A1761" t="s">
        <v>79</v>
      </c>
      <c r="B1761">
        <v>7</v>
      </c>
      <c r="C1761">
        <v>2</v>
      </c>
      <c r="D1761">
        <v>4</v>
      </c>
      <c r="E1761">
        <v>13</v>
      </c>
      <c r="G1761">
        <v>724</v>
      </c>
      <c r="H1761" t="s">
        <v>63</v>
      </c>
      <c r="I1761" t="s">
        <v>135</v>
      </c>
      <c r="J1761" t="s">
        <v>153</v>
      </c>
      <c r="L1761">
        <v>0</v>
      </c>
      <c r="M1761" t="s">
        <v>125</v>
      </c>
      <c r="O1761" t="s">
        <v>125</v>
      </c>
      <c r="P1761" t="s">
        <v>125</v>
      </c>
      <c r="Q1761" t="s">
        <v>125</v>
      </c>
      <c r="R1761" t="s">
        <v>125</v>
      </c>
      <c r="S1761" t="s">
        <v>125</v>
      </c>
      <c r="T1761">
        <v>0</v>
      </c>
      <c r="V1761" t="s">
        <v>125</v>
      </c>
      <c r="AE1761" t="s">
        <v>125</v>
      </c>
      <c r="AF1761">
        <v>0</v>
      </c>
      <c r="AG1761" t="s">
        <v>125</v>
      </c>
      <c r="AH1761">
        <v>0</v>
      </c>
      <c r="AK1761">
        <v>0</v>
      </c>
    </row>
    <row r="1762" spans="1:37" x14ac:dyDescent="0.25">
      <c r="A1762" t="s">
        <v>79</v>
      </c>
      <c r="B1762">
        <v>7</v>
      </c>
      <c r="C1762">
        <v>2</v>
      </c>
      <c r="D1762">
        <v>4</v>
      </c>
      <c r="E1762">
        <v>14</v>
      </c>
      <c r="G1762">
        <v>724</v>
      </c>
      <c r="H1762" t="s">
        <v>63</v>
      </c>
      <c r="I1762" t="s">
        <v>137</v>
      </c>
      <c r="J1762" t="s">
        <v>154</v>
      </c>
      <c r="L1762">
        <v>0</v>
      </c>
      <c r="M1762" t="s">
        <v>125</v>
      </c>
      <c r="O1762" t="s">
        <v>125</v>
      </c>
      <c r="P1762" t="s">
        <v>125</v>
      </c>
      <c r="Q1762" t="s">
        <v>125</v>
      </c>
      <c r="R1762" t="s">
        <v>125</v>
      </c>
      <c r="S1762" t="s">
        <v>125</v>
      </c>
      <c r="T1762">
        <v>0</v>
      </c>
      <c r="V1762" t="s">
        <v>125</v>
      </c>
      <c r="AE1762" t="s">
        <v>125</v>
      </c>
      <c r="AF1762">
        <v>0</v>
      </c>
      <c r="AG1762" t="s">
        <v>125</v>
      </c>
      <c r="AH1762">
        <v>0</v>
      </c>
      <c r="AK1762">
        <v>0</v>
      </c>
    </row>
    <row r="1763" spans="1:37" x14ac:dyDescent="0.25">
      <c r="A1763" t="s">
        <v>79</v>
      </c>
      <c r="B1763">
        <v>7</v>
      </c>
      <c r="C1763">
        <v>2</v>
      </c>
      <c r="D1763">
        <v>4</v>
      </c>
      <c r="E1763">
        <v>15</v>
      </c>
      <c r="G1763">
        <v>724</v>
      </c>
      <c r="H1763" t="s">
        <v>63</v>
      </c>
      <c r="I1763" t="s">
        <v>139</v>
      </c>
      <c r="J1763" t="s">
        <v>155</v>
      </c>
      <c r="L1763">
        <v>0</v>
      </c>
      <c r="M1763" t="s">
        <v>125</v>
      </c>
      <c r="O1763" t="s">
        <v>125</v>
      </c>
      <c r="P1763" t="s">
        <v>125</v>
      </c>
      <c r="Q1763" t="s">
        <v>125</v>
      </c>
      <c r="R1763" t="s">
        <v>125</v>
      </c>
      <c r="S1763" t="s">
        <v>125</v>
      </c>
      <c r="T1763">
        <v>0</v>
      </c>
      <c r="V1763" t="s">
        <v>125</v>
      </c>
      <c r="AE1763" t="s">
        <v>125</v>
      </c>
      <c r="AF1763">
        <v>0</v>
      </c>
      <c r="AG1763" t="s">
        <v>125</v>
      </c>
      <c r="AH1763">
        <v>0</v>
      </c>
      <c r="AK1763">
        <v>0</v>
      </c>
    </row>
    <row r="1764" spans="1:37" x14ac:dyDescent="0.25">
      <c r="L1764">
        <v>0</v>
      </c>
    </row>
    <row r="1765" spans="1:37" x14ac:dyDescent="0.25">
      <c r="A1765" t="s">
        <v>70</v>
      </c>
      <c r="B1765">
        <v>7</v>
      </c>
      <c r="C1765">
        <v>2</v>
      </c>
      <c r="D1765">
        <v>5</v>
      </c>
      <c r="G1765">
        <v>72</v>
      </c>
      <c r="L1765">
        <v>0</v>
      </c>
      <c r="M1765" t="s">
        <v>125</v>
      </c>
      <c r="P1765" t="s">
        <v>125</v>
      </c>
      <c r="R1765" t="s">
        <v>125</v>
      </c>
      <c r="S1765" t="s">
        <v>63</v>
      </c>
      <c r="V1765" t="s">
        <v>125</v>
      </c>
      <c r="X1765" t="s">
        <v>125</v>
      </c>
      <c r="Y1765" t="s">
        <v>125</v>
      </c>
      <c r="Z1765" t="s">
        <v>125</v>
      </c>
      <c r="AA1765" t="s">
        <v>125</v>
      </c>
      <c r="AB1765" t="s">
        <v>125</v>
      </c>
      <c r="AC1765" t="s">
        <v>125</v>
      </c>
      <c r="AE1765" t="s">
        <v>125</v>
      </c>
      <c r="AF1765">
        <v>0</v>
      </c>
      <c r="AG1765" t="s">
        <v>125</v>
      </c>
      <c r="AH1765">
        <v>0</v>
      </c>
      <c r="AK1765">
        <v>0</v>
      </c>
    </row>
    <row r="1766" spans="1:37" x14ac:dyDescent="0.25">
      <c r="A1766" t="s">
        <v>79</v>
      </c>
      <c r="B1766">
        <v>7</v>
      </c>
      <c r="C1766">
        <v>2</v>
      </c>
      <c r="D1766">
        <v>5</v>
      </c>
      <c r="E1766">
        <v>1</v>
      </c>
      <c r="G1766">
        <v>725</v>
      </c>
      <c r="H1766" t="s">
        <v>63</v>
      </c>
      <c r="I1766" t="s">
        <v>80</v>
      </c>
      <c r="J1766" t="s">
        <v>141</v>
      </c>
      <c r="L1766">
        <v>0</v>
      </c>
      <c r="M1766" t="s">
        <v>125</v>
      </c>
      <c r="O1766" t="s">
        <v>125</v>
      </c>
      <c r="P1766" t="s">
        <v>125</v>
      </c>
      <c r="Q1766" t="s">
        <v>125</v>
      </c>
      <c r="R1766" t="s">
        <v>125</v>
      </c>
      <c r="S1766" t="s">
        <v>125</v>
      </c>
      <c r="T1766">
        <v>0</v>
      </c>
      <c r="V1766" t="s">
        <v>125</v>
      </c>
      <c r="AE1766" t="s">
        <v>125</v>
      </c>
      <c r="AF1766">
        <v>0</v>
      </c>
      <c r="AG1766" t="s">
        <v>125</v>
      </c>
      <c r="AH1766">
        <v>0</v>
      </c>
      <c r="AK1766">
        <v>0</v>
      </c>
    </row>
    <row r="1767" spans="1:37" x14ac:dyDescent="0.25">
      <c r="A1767" t="s">
        <v>79</v>
      </c>
      <c r="B1767">
        <v>7</v>
      </c>
      <c r="C1767">
        <v>2</v>
      </c>
      <c r="D1767">
        <v>5</v>
      </c>
      <c r="E1767">
        <v>2</v>
      </c>
      <c r="G1767">
        <v>725</v>
      </c>
      <c r="H1767" t="s">
        <v>63</v>
      </c>
      <c r="I1767" t="s">
        <v>88</v>
      </c>
      <c r="J1767" t="s">
        <v>142</v>
      </c>
      <c r="L1767">
        <v>0</v>
      </c>
      <c r="M1767" t="s">
        <v>125</v>
      </c>
      <c r="O1767" t="s">
        <v>125</v>
      </c>
      <c r="P1767" t="s">
        <v>125</v>
      </c>
      <c r="Q1767" t="s">
        <v>125</v>
      </c>
      <c r="R1767" t="s">
        <v>125</v>
      </c>
      <c r="S1767" t="s">
        <v>125</v>
      </c>
      <c r="T1767">
        <v>0</v>
      </c>
      <c r="V1767" t="s">
        <v>125</v>
      </c>
      <c r="AE1767" t="s">
        <v>125</v>
      </c>
      <c r="AF1767">
        <v>0</v>
      </c>
      <c r="AG1767" t="s">
        <v>125</v>
      </c>
      <c r="AH1767">
        <v>0</v>
      </c>
      <c r="AK1767">
        <v>0</v>
      </c>
    </row>
    <row r="1768" spans="1:37" x14ac:dyDescent="0.25">
      <c r="A1768" t="s">
        <v>79</v>
      </c>
      <c r="B1768">
        <v>7</v>
      </c>
      <c r="C1768">
        <v>2</v>
      </c>
      <c r="D1768">
        <v>5</v>
      </c>
      <c r="E1768">
        <v>3</v>
      </c>
      <c r="G1768">
        <v>725</v>
      </c>
      <c r="H1768" t="s">
        <v>63</v>
      </c>
      <c r="I1768" t="s">
        <v>95</v>
      </c>
      <c r="J1768" t="s">
        <v>143</v>
      </c>
      <c r="L1768">
        <v>0</v>
      </c>
      <c r="M1768" t="s">
        <v>125</v>
      </c>
      <c r="O1768" t="s">
        <v>125</v>
      </c>
      <c r="P1768" t="s">
        <v>125</v>
      </c>
      <c r="Q1768" t="s">
        <v>125</v>
      </c>
      <c r="R1768" t="s">
        <v>125</v>
      </c>
      <c r="S1768" t="s">
        <v>125</v>
      </c>
      <c r="T1768">
        <v>0</v>
      </c>
      <c r="V1768" t="s">
        <v>125</v>
      </c>
      <c r="AE1768" t="s">
        <v>125</v>
      </c>
      <c r="AF1768">
        <v>0</v>
      </c>
      <c r="AG1768" t="s">
        <v>125</v>
      </c>
      <c r="AH1768">
        <v>0</v>
      </c>
      <c r="AK1768">
        <v>0</v>
      </c>
    </row>
    <row r="1769" spans="1:37" x14ac:dyDescent="0.25">
      <c r="A1769" t="s">
        <v>79</v>
      </c>
      <c r="B1769">
        <v>7</v>
      </c>
      <c r="C1769">
        <v>2</v>
      </c>
      <c r="D1769">
        <v>5</v>
      </c>
      <c r="E1769">
        <v>4</v>
      </c>
      <c r="G1769">
        <v>725</v>
      </c>
      <c r="H1769" t="s">
        <v>63</v>
      </c>
      <c r="I1769" t="s">
        <v>102</v>
      </c>
      <c r="J1769" t="s">
        <v>144</v>
      </c>
      <c r="L1769">
        <v>0</v>
      </c>
      <c r="M1769" t="s">
        <v>125</v>
      </c>
      <c r="O1769" t="s">
        <v>125</v>
      </c>
      <c r="P1769" t="s">
        <v>125</v>
      </c>
      <c r="Q1769" t="s">
        <v>125</v>
      </c>
      <c r="R1769" t="s">
        <v>125</v>
      </c>
      <c r="S1769" t="s">
        <v>125</v>
      </c>
      <c r="T1769">
        <v>0</v>
      </c>
      <c r="V1769" t="s">
        <v>125</v>
      </c>
      <c r="AE1769" t="s">
        <v>125</v>
      </c>
      <c r="AF1769">
        <v>0</v>
      </c>
      <c r="AG1769" t="s">
        <v>125</v>
      </c>
      <c r="AH1769">
        <v>0</v>
      </c>
      <c r="AK1769">
        <v>0</v>
      </c>
    </row>
    <row r="1770" spans="1:37" x14ac:dyDescent="0.25">
      <c r="A1770" t="s">
        <v>79</v>
      </c>
      <c r="B1770">
        <v>7</v>
      </c>
      <c r="C1770">
        <v>2</v>
      </c>
      <c r="D1770">
        <v>5</v>
      </c>
      <c r="E1770">
        <v>5</v>
      </c>
      <c r="G1770">
        <v>725</v>
      </c>
      <c r="H1770" t="s">
        <v>63</v>
      </c>
      <c r="I1770" t="s">
        <v>109</v>
      </c>
      <c r="J1770" t="s">
        <v>145</v>
      </c>
      <c r="L1770">
        <v>0</v>
      </c>
      <c r="M1770" t="s">
        <v>125</v>
      </c>
      <c r="O1770" t="s">
        <v>125</v>
      </c>
      <c r="P1770" t="s">
        <v>125</v>
      </c>
      <c r="Q1770" t="s">
        <v>125</v>
      </c>
      <c r="R1770" t="s">
        <v>125</v>
      </c>
      <c r="S1770" t="s">
        <v>125</v>
      </c>
      <c r="T1770">
        <v>0</v>
      </c>
      <c r="V1770" t="s">
        <v>125</v>
      </c>
      <c r="AE1770" t="s">
        <v>125</v>
      </c>
      <c r="AF1770">
        <v>0</v>
      </c>
      <c r="AG1770" t="s">
        <v>125</v>
      </c>
      <c r="AH1770">
        <v>0</v>
      </c>
      <c r="AK1770">
        <v>0</v>
      </c>
    </row>
    <row r="1771" spans="1:37" x14ac:dyDescent="0.25">
      <c r="A1771" t="s">
        <v>79</v>
      </c>
      <c r="B1771">
        <v>7</v>
      </c>
      <c r="C1771">
        <v>2</v>
      </c>
      <c r="D1771">
        <v>5</v>
      </c>
      <c r="E1771">
        <v>6</v>
      </c>
      <c r="G1771">
        <v>725</v>
      </c>
      <c r="H1771" t="s">
        <v>63</v>
      </c>
      <c r="I1771" t="s">
        <v>116</v>
      </c>
      <c r="J1771" t="s">
        <v>146</v>
      </c>
      <c r="L1771">
        <v>0</v>
      </c>
      <c r="M1771" t="s">
        <v>125</v>
      </c>
      <c r="O1771" t="s">
        <v>125</v>
      </c>
      <c r="P1771" t="s">
        <v>125</v>
      </c>
      <c r="Q1771" t="s">
        <v>125</v>
      </c>
      <c r="R1771" t="s">
        <v>125</v>
      </c>
      <c r="S1771" t="s">
        <v>125</v>
      </c>
      <c r="T1771">
        <v>0</v>
      </c>
      <c r="V1771" t="s">
        <v>125</v>
      </c>
      <c r="AE1771" t="s">
        <v>125</v>
      </c>
      <c r="AF1771">
        <v>0</v>
      </c>
      <c r="AG1771" t="s">
        <v>125</v>
      </c>
      <c r="AH1771">
        <v>0</v>
      </c>
      <c r="AK1771">
        <v>0</v>
      </c>
    </row>
    <row r="1772" spans="1:37" x14ac:dyDescent="0.25">
      <c r="A1772" t="s">
        <v>79</v>
      </c>
      <c r="B1772">
        <v>7</v>
      </c>
      <c r="C1772">
        <v>2</v>
      </c>
      <c r="D1772">
        <v>5</v>
      </c>
      <c r="E1772">
        <v>7</v>
      </c>
      <c r="G1772">
        <v>725</v>
      </c>
      <c r="H1772" t="s">
        <v>63</v>
      </c>
      <c r="I1772" t="s">
        <v>123</v>
      </c>
      <c r="J1772" t="s">
        <v>147</v>
      </c>
      <c r="L1772">
        <v>0</v>
      </c>
      <c r="M1772" t="s">
        <v>125</v>
      </c>
      <c r="O1772" t="s">
        <v>125</v>
      </c>
      <c r="P1772" t="s">
        <v>125</v>
      </c>
      <c r="Q1772" t="s">
        <v>125</v>
      </c>
      <c r="R1772" t="s">
        <v>125</v>
      </c>
      <c r="S1772" t="s">
        <v>125</v>
      </c>
      <c r="T1772">
        <v>0</v>
      </c>
      <c r="V1772" t="s">
        <v>125</v>
      </c>
      <c r="AE1772" t="s">
        <v>125</v>
      </c>
      <c r="AF1772">
        <v>0</v>
      </c>
      <c r="AG1772" t="s">
        <v>125</v>
      </c>
      <c r="AH1772">
        <v>0</v>
      </c>
      <c r="AK1772">
        <v>0</v>
      </c>
    </row>
    <row r="1773" spans="1:37" x14ac:dyDescent="0.25">
      <c r="A1773" t="s">
        <v>79</v>
      </c>
      <c r="B1773">
        <v>7</v>
      </c>
      <c r="C1773">
        <v>2</v>
      </c>
      <c r="D1773">
        <v>5</v>
      </c>
      <c r="E1773">
        <v>8</v>
      </c>
      <c r="G1773">
        <v>725</v>
      </c>
      <c r="H1773" t="s">
        <v>63</v>
      </c>
      <c r="I1773" t="s">
        <v>126</v>
      </c>
      <c r="J1773" t="s">
        <v>148</v>
      </c>
      <c r="L1773">
        <v>0</v>
      </c>
      <c r="M1773" t="s">
        <v>125</v>
      </c>
      <c r="O1773" t="s">
        <v>125</v>
      </c>
      <c r="P1773" t="s">
        <v>125</v>
      </c>
      <c r="Q1773" t="s">
        <v>125</v>
      </c>
      <c r="R1773" t="s">
        <v>125</v>
      </c>
      <c r="S1773" t="s">
        <v>125</v>
      </c>
      <c r="T1773">
        <v>0</v>
      </c>
      <c r="V1773" t="s">
        <v>125</v>
      </c>
      <c r="AE1773" t="s">
        <v>125</v>
      </c>
      <c r="AF1773">
        <v>0</v>
      </c>
      <c r="AG1773" t="s">
        <v>125</v>
      </c>
      <c r="AH1773">
        <v>0</v>
      </c>
      <c r="AK1773">
        <v>0</v>
      </c>
    </row>
    <row r="1774" spans="1:37" x14ac:dyDescent="0.25">
      <c r="A1774" t="s">
        <v>79</v>
      </c>
      <c r="B1774">
        <v>7</v>
      </c>
      <c r="C1774">
        <v>2</v>
      </c>
      <c r="D1774">
        <v>5</v>
      </c>
      <c r="E1774">
        <v>9</v>
      </c>
      <c r="G1774">
        <v>725</v>
      </c>
      <c r="H1774" t="s">
        <v>63</v>
      </c>
      <c r="I1774" t="s">
        <v>74</v>
      </c>
      <c r="J1774" t="s">
        <v>149</v>
      </c>
      <c r="L1774">
        <v>0</v>
      </c>
      <c r="M1774" t="s">
        <v>125</v>
      </c>
      <c r="O1774" t="s">
        <v>125</v>
      </c>
      <c r="P1774" t="s">
        <v>125</v>
      </c>
      <c r="Q1774" t="s">
        <v>125</v>
      </c>
      <c r="R1774" t="s">
        <v>125</v>
      </c>
      <c r="S1774" t="s">
        <v>125</v>
      </c>
      <c r="T1774">
        <v>0</v>
      </c>
      <c r="V1774" t="s">
        <v>125</v>
      </c>
      <c r="AE1774" t="s">
        <v>125</v>
      </c>
      <c r="AF1774">
        <v>0</v>
      </c>
      <c r="AG1774" t="s">
        <v>125</v>
      </c>
      <c r="AH1774">
        <v>0</v>
      </c>
      <c r="AK1774">
        <v>0</v>
      </c>
    </row>
    <row r="1775" spans="1:37" x14ac:dyDescent="0.25">
      <c r="A1775" t="s">
        <v>79</v>
      </c>
      <c r="B1775">
        <v>7</v>
      </c>
      <c r="C1775">
        <v>2</v>
      </c>
      <c r="D1775">
        <v>5</v>
      </c>
      <c r="E1775">
        <v>10</v>
      </c>
      <c r="G1775">
        <v>725</v>
      </c>
      <c r="H1775" t="s">
        <v>63</v>
      </c>
      <c r="I1775" t="s">
        <v>129</v>
      </c>
      <c r="J1775" t="s">
        <v>150</v>
      </c>
      <c r="L1775">
        <v>0</v>
      </c>
      <c r="M1775" t="s">
        <v>125</v>
      </c>
      <c r="O1775" t="s">
        <v>125</v>
      </c>
      <c r="P1775" t="s">
        <v>125</v>
      </c>
      <c r="Q1775" t="s">
        <v>125</v>
      </c>
      <c r="R1775" t="s">
        <v>125</v>
      </c>
      <c r="S1775" t="s">
        <v>125</v>
      </c>
      <c r="T1775">
        <v>0</v>
      </c>
      <c r="V1775" t="s">
        <v>125</v>
      </c>
      <c r="AE1775" t="s">
        <v>125</v>
      </c>
      <c r="AF1775">
        <v>0</v>
      </c>
      <c r="AG1775" t="s">
        <v>125</v>
      </c>
      <c r="AH1775">
        <v>0</v>
      </c>
      <c r="AK1775">
        <v>0</v>
      </c>
    </row>
    <row r="1776" spans="1:37" x14ac:dyDescent="0.25">
      <c r="A1776" t="s">
        <v>79</v>
      </c>
      <c r="B1776">
        <v>7</v>
      </c>
      <c r="C1776">
        <v>2</v>
      </c>
      <c r="D1776">
        <v>5</v>
      </c>
      <c r="E1776">
        <v>11</v>
      </c>
      <c r="G1776">
        <v>725</v>
      </c>
      <c r="H1776" t="s">
        <v>63</v>
      </c>
      <c r="I1776" t="s">
        <v>131</v>
      </c>
      <c r="J1776" t="s">
        <v>151</v>
      </c>
      <c r="L1776">
        <v>0</v>
      </c>
      <c r="M1776" t="s">
        <v>125</v>
      </c>
      <c r="O1776" t="s">
        <v>125</v>
      </c>
      <c r="P1776" t="s">
        <v>125</v>
      </c>
      <c r="Q1776" t="s">
        <v>125</v>
      </c>
      <c r="R1776" t="s">
        <v>125</v>
      </c>
      <c r="S1776" t="s">
        <v>125</v>
      </c>
      <c r="T1776">
        <v>0</v>
      </c>
      <c r="V1776" t="s">
        <v>125</v>
      </c>
      <c r="AE1776" t="s">
        <v>125</v>
      </c>
      <c r="AF1776">
        <v>0</v>
      </c>
      <c r="AG1776" t="s">
        <v>125</v>
      </c>
      <c r="AH1776">
        <v>0</v>
      </c>
      <c r="AK1776">
        <v>0</v>
      </c>
    </row>
    <row r="1777" spans="1:37" x14ac:dyDescent="0.25">
      <c r="A1777" t="s">
        <v>79</v>
      </c>
      <c r="B1777">
        <v>7</v>
      </c>
      <c r="C1777">
        <v>2</v>
      </c>
      <c r="D1777">
        <v>5</v>
      </c>
      <c r="E1777">
        <v>12</v>
      </c>
      <c r="G1777">
        <v>725</v>
      </c>
      <c r="H1777" t="s">
        <v>63</v>
      </c>
      <c r="I1777" t="s">
        <v>133</v>
      </c>
      <c r="J1777" t="s">
        <v>152</v>
      </c>
      <c r="L1777">
        <v>0</v>
      </c>
      <c r="M1777" t="s">
        <v>125</v>
      </c>
      <c r="O1777" t="s">
        <v>125</v>
      </c>
      <c r="P1777" t="s">
        <v>125</v>
      </c>
      <c r="Q1777" t="s">
        <v>125</v>
      </c>
      <c r="R1777" t="s">
        <v>125</v>
      </c>
      <c r="S1777" t="s">
        <v>125</v>
      </c>
      <c r="T1777">
        <v>0</v>
      </c>
      <c r="V1777" t="s">
        <v>125</v>
      </c>
      <c r="AE1777" t="s">
        <v>125</v>
      </c>
      <c r="AF1777">
        <v>0</v>
      </c>
      <c r="AG1777" t="s">
        <v>125</v>
      </c>
      <c r="AH1777">
        <v>0</v>
      </c>
      <c r="AK1777">
        <v>0</v>
      </c>
    </row>
    <row r="1778" spans="1:37" x14ac:dyDescent="0.25">
      <c r="A1778" t="s">
        <v>79</v>
      </c>
      <c r="B1778">
        <v>7</v>
      </c>
      <c r="C1778">
        <v>2</v>
      </c>
      <c r="D1778">
        <v>5</v>
      </c>
      <c r="E1778">
        <v>13</v>
      </c>
      <c r="G1778">
        <v>725</v>
      </c>
      <c r="H1778" t="s">
        <v>63</v>
      </c>
      <c r="I1778" t="s">
        <v>135</v>
      </c>
      <c r="J1778" t="s">
        <v>153</v>
      </c>
      <c r="L1778">
        <v>0</v>
      </c>
      <c r="M1778" t="s">
        <v>125</v>
      </c>
      <c r="O1778" t="s">
        <v>125</v>
      </c>
      <c r="P1778" t="s">
        <v>125</v>
      </c>
      <c r="Q1778" t="s">
        <v>125</v>
      </c>
      <c r="R1778" t="s">
        <v>125</v>
      </c>
      <c r="S1778" t="s">
        <v>125</v>
      </c>
      <c r="T1778">
        <v>0</v>
      </c>
      <c r="V1778" t="s">
        <v>125</v>
      </c>
      <c r="AE1778" t="s">
        <v>125</v>
      </c>
      <c r="AF1778">
        <v>0</v>
      </c>
      <c r="AG1778" t="s">
        <v>125</v>
      </c>
      <c r="AH1778">
        <v>0</v>
      </c>
      <c r="AK1778">
        <v>0</v>
      </c>
    </row>
    <row r="1779" spans="1:37" x14ac:dyDescent="0.25">
      <c r="A1779" t="s">
        <v>79</v>
      </c>
      <c r="B1779">
        <v>7</v>
      </c>
      <c r="C1779">
        <v>2</v>
      </c>
      <c r="D1779">
        <v>5</v>
      </c>
      <c r="E1779">
        <v>14</v>
      </c>
      <c r="G1779">
        <v>725</v>
      </c>
      <c r="H1779" t="s">
        <v>63</v>
      </c>
      <c r="I1779" t="s">
        <v>137</v>
      </c>
      <c r="J1779" t="s">
        <v>154</v>
      </c>
      <c r="L1779">
        <v>0</v>
      </c>
      <c r="M1779" t="s">
        <v>125</v>
      </c>
      <c r="O1779" t="s">
        <v>125</v>
      </c>
      <c r="P1779" t="s">
        <v>125</v>
      </c>
      <c r="Q1779" t="s">
        <v>125</v>
      </c>
      <c r="R1779" t="s">
        <v>125</v>
      </c>
      <c r="S1779" t="s">
        <v>125</v>
      </c>
      <c r="T1779">
        <v>0</v>
      </c>
      <c r="V1779" t="s">
        <v>125</v>
      </c>
      <c r="AE1779" t="s">
        <v>125</v>
      </c>
      <c r="AF1779">
        <v>0</v>
      </c>
      <c r="AG1779" t="s">
        <v>125</v>
      </c>
      <c r="AH1779">
        <v>0</v>
      </c>
      <c r="AK1779">
        <v>0</v>
      </c>
    </row>
    <row r="1780" spans="1:37" x14ac:dyDescent="0.25">
      <c r="A1780" t="s">
        <v>79</v>
      </c>
      <c r="B1780">
        <v>7</v>
      </c>
      <c r="C1780">
        <v>2</v>
      </c>
      <c r="D1780">
        <v>5</v>
      </c>
      <c r="E1780">
        <v>15</v>
      </c>
      <c r="G1780">
        <v>725</v>
      </c>
      <c r="H1780" t="s">
        <v>63</v>
      </c>
      <c r="I1780" t="s">
        <v>139</v>
      </c>
      <c r="J1780" t="s">
        <v>155</v>
      </c>
      <c r="L1780">
        <v>0</v>
      </c>
      <c r="M1780" t="s">
        <v>125</v>
      </c>
      <c r="O1780" t="s">
        <v>125</v>
      </c>
      <c r="P1780" t="s">
        <v>125</v>
      </c>
      <c r="Q1780" t="s">
        <v>125</v>
      </c>
      <c r="R1780" t="s">
        <v>125</v>
      </c>
      <c r="S1780" t="s">
        <v>125</v>
      </c>
      <c r="T1780">
        <v>0</v>
      </c>
      <c r="V1780" t="s">
        <v>125</v>
      </c>
      <c r="AE1780" t="s">
        <v>125</v>
      </c>
      <c r="AF1780">
        <v>0</v>
      </c>
      <c r="AG1780" t="s">
        <v>125</v>
      </c>
      <c r="AH1780">
        <v>0</v>
      </c>
      <c r="AK1780">
        <v>0</v>
      </c>
    </row>
    <row r="1781" spans="1:37" x14ac:dyDescent="0.25">
      <c r="L1781">
        <v>0</v>
      </c>
    </row>
    <row r="1782" spans="1:37" x14ac:dyDescent="0.25">
      <c r="L1782">
        <v>0</v>
      </c>
    </row>
    <row r="1783" spans="1:37" x14ac:dyDescent="0.25">
      <c r="A1783" t="s">
        <v>66</v>
      </c>
      <c r="B1783">
        <v>7</v>
      </c>
      <c r="C1783">
        <v>3</v>
      </c>
      <c r="G1783">
        <v>7</v>
      </c>
      <c r="H1783" t="s">
        <v>2460</v>
      </c>
      <c r="I1783" t="s">
        <v>2706</v>
      </c>
      <c r="L1783">
        <v>0</v>
      </c>
      <c r="M1783" t="s">
        <v>125</v>
      </c>
      <c r="N1783" t="s">
        <v>125</v>
      </c>
      <c r="V1783" t="s">
        <v>63</v>
      </c>
      <c r="Y1783" t="s">
        <v>63</v>
      </c>
      <c r="AA1783" t="s">
        <v>63</v>
      </c>
      <c r="AC1783" t="s">
        <v>63</v>
      </c>
      <c r="AE1783" t="s">
        <v>63</v>
      </c>
      <c r="AF1783">
        <v>0</v>
      </c>
      <c r="AG1783" t="s">
        <v>63</v>
      </c>
      <c r="AH1783">
        <v>0</v>
      </c>
      <c r="AK1783">
        <v>0</v>
      </c>
    </row>
    <row r="1784" spans="1:37" x14ac:dyDescent="0.25">
      <c r="L1784">
        <v>0</v>
      </c>
    </row>
    <row r="1785" spans="1:37" x14ac:dyDescent="0.25">
      <c r="A1785" t="s">
        <v>70</v>
      </c>
      <c r="B1785">
        <v>7</v>
      </c>
      <c r="C1785">
        <v>3</v>
      </c>
      <c r="D1785">
        <v>1</v>
      </c>
      <c r="G1785">
        <v>73</v>
      </c>
      <c r="L1785">
        <v>0</v>
      </c>
      <c r="M1785" t="s">
        <v>125</v>
      </c>
      <c r="P1785" t="s">
        <v>125</v>
      </c>
      <c r="R1785" t="s">
        <v>125</v>
      </c>
      <c r="S1785" t="s">
        <v>63</v>
      </c>
      <c r="V1785" t="s">
        <v>125</v>
      </c>
      <c r="X1785" t="s">
        <v>125</v>
      </c>
      <c r="Y1785" t="s">
        <v>125</v>
      </c>
      <c r="Z1785" t="s">
        <v>125</v>
      </c>
      <c r="AA1785" t="s">
        <v>125</v>
      </c>
      <c r="AB1785" t="s">
        <v>125</v>
      </c>
      <c r="AC1785" t="s">
        <v>125</v>
      </c>
      <c r="AE1785" t="s">
        <v>125</v>
      </c>
      <c r="AF1785">
        <v>0</v>
      </c>
      <c r="AG1785" t="s">
        <v>125</v>
      </c>
      <c r="AH1785">
        <v>0</v>
      </c>
      <c r="AK1785">
        <v>0</v>
      </c>
    </row>
    <row r="1786" spans="1:37" x14ac:dyDescent="0.25">
      <c r="A1786" t="s">
        <v>79</v>
      </c>
      <c r="B1786">
        <v>7</v>
      </c>
      <c r="C1786">
        <v>3</v>
      </c>
      <c r="D1786">
        <v>1</v>
      </c>
      <c r="E1786">
        <v>1</v>
      </c>
      <c r="G1786">
        <v>731</v>
      </c>
      <c r="H1786" t="s">
        <v>63</v>
      </c>
      <c r="I1786" t="s">
        <v>80</v>
      </c>
      <c r="J1786" t="s">
        <v>141</v>
      </c>
      <c r="L1786">
        <v>0</v>
      </c>
      <c r="M1786" t="s">
        <v>125</v>
      </c>
      <c r="O1786" t="s">
        <v>125</v>
      </c>
      <c r="P1786" t="s">
        <v>125</v>
      </c>
      <c r="Q1786" t="s">
        <v>125</v>
      </c>
      <c r="R1786" t="s">
        <v>125</v>
      </c>
      <c r="S1786" t="s">
        <v>125</v>
      </c>
      <c r="T1786">
        <v>0</v>
      </c>
      <c r="V1786" t="s">
        <v>125</v>
      </c>
      <c r="AE1786" t="s">
        <v>125</v>
      </c>
      <c r="AF1786">
        <v>0</v>
      </c>
      <c r="AG1786" t="s">
        <v>125</v>
      </c>
      <c r="AH1786">
        <v>0</v>
      </c>
      <c r="AK1786">
        <v>0</v>
      </c>
    </row>
    <row r="1787" spans="1:37" x14ac:dyDescent="0.25">
      <c r="A1787" t="s">
        <v>79</v>
      </c>
      <c r="B1787">
        <v>7</v>
      </c>
      <c r="C1787">
        <v>3</v>
      </c>
      <c r="D1787">
        <v>1</v>
      </c>
      <c r="E1787">
        <v>2</v>
      </c>
      <c r="G1787">
        <v>731</v>
      </c>
      <c r="H1787" t="s">
        <v>63</v>
      </c>
      <c r="I1787" t="s">
        <v>88</v>
      </c>
      <c r="J1787" t="s">
        <v>142</v>
      </c>
      <c r="L1787">
        <v>0</v>
      </c>
      <c r="M1787" t="s">
        <v>125</v>
      </c>
      <c r="O1787" t="s">
        <v>125</v>
      </c>
      <c r="P1787" t="s">
        <v>125</v>
      </c>
      <c r="Q1787" t="s">
        <v>125</v>
      </c>
      <c r="R1787" t="s">
        <v>125</v>
      </c>
      <c r="S1787" t="s">
        <v>125</v>
      </c>
      <c r="T1787">
        <v>0</v>
      </c>
      <c r="V1787" t="s">
        <v>125</v>
      </c>
      <c r="AE1787" t="s">
        <v>125</v>
      </c>
      <c r="AF1787">
        <v>0</v>
      </c>
      <c r="AG1787" t="s">
        <v>125</v>
      </c>
      <c r="AH1787">
        <v>0</v>
      </c>
      <c r="AK1787">
        <v>0</v>
      </c>
    </row>
    <row r="1788" spans="1:37" x14ac:dyDescent="0.25">
      <c r="A1788" t="s">
        <v>79</v>
      </c>
      <c r="B1788">
        <v>7</v>
      </c>
      <c r="C1788">
        <v>3</v>
      </c>
      <c r="D1788">
        <v>1</v>
      </c>
      <c r="E1788">
        <v>3</v>
      </c>
      <c r="G1788">
        <v>731</v>
      </c>
      <c r="H1788" t="s">
        <v>63</v>
      </c>
      <c r="I1788" t="s">
        <v>95</v>
      </c>
      <c r="J1788" t="s">
        <v>143</v>
      </c>
      <c r="L1788">
        <v>0</v>
      </c>
      <c r="M1788" t="s">
        <v>125</v>
      </c>
      <c r="O1788" t="s">
        <v>125</v>
      </c>
      <c r="P1788" t="s">
        <v>125</v>
      </c>
      <c r="Q1788" t="s">
        <v>125</v>
      </c>
      <c r="R1788" t="s">
        <v>125</v>
      </c>
      <c r="S1788" t="s">
        <v>125</v>
      </c>
      <c r="T1788">
        <v>0</v>
      </c>
      <c r="V1788" t="s">
        <v>125</v>
      </c>
      <c r="AE1788" t="s">
        <v>125</v>
      </c>
      <c r="AF1788">
        <v>0</v>
      </c>
      <c r="AG1788" t="s">
        <v>125</v>
      </c>
      <c r="AH1788">
        <v>0</v>
      </c>
      <c r="AK1788">
        <v>0</v>
      </c>
    </row>
    <row r="1789" spans="1:37" x14ac:dyDescent="0.25">
      <c r="A1789" t="s">
        <v>79</v>
      </c>
      <c r="B1789">
        <v>7</v>
      </c>
      <c r="C1789">
        <v>3</v>
      </c>
      <c r="D1789">
        <v>1</v>
      </c>
      <c r="E1789">
        <v>4</v>
      </c>
      <c r="G1789">
        <v>731</v>
      </c>
      <c r="H1789" t="s">
        <v>63</v>
      </c>
      <c r="I1789" t="s">
        <v>102</v>
      </c>
      <c r="J1789" t="s">
        <v>144</v>
      </c>
      <c r="L1789">
        <v>0</v>
      </c>
      <c r="M1789" t="s">
        <v>125</v>
      </c>
      <c r="O1789" t="s">
        <v>125</v>
      </c>
      <c r="P1789" t="s">
        <v>125</v>
      </c>
      <c r="Q1789" t="s">
        <v>125</v>
      </c>
      <c r="R1789" t="s">
        <v>125</v>
      </c>
      <c r="S1789" t="s">
        <v>125</v>
      </c>
      <c r="T1789">
        <v>0</v>
      </c>
      <c r="V1789" t="s">
        <v>125</v>
      </c>
      <c r="AE1789" t="s">
        <v>125</v>
      </c>
      <c r="AF1789">
        <v>0</v>
      </c>
      <c r="AG1789" t="s">
        <v>125</v>
      </c>
      <c r="AH1789">
        <v>0</v>
      </c>
      <c r="AK1789">
        <v>0</v>
      </c>
    </row>
    <row r="1790" spans="1:37" x14ac:dyDescent="0.25">
      <c r="A1790" t="s">
        <v>79</v>
      </c>
      <c r="B1790">
        <v>7</v>
      </c>
      <c r="C1790">
        <v>3</v>
      </c>
      <c r="D1790">
        <v>1</v>
      </c>
      <c r="E1790">
        <v>5</v>
      </c>
      <c r="G1790">
        <v>731</v>
      </c>
      <c r="H1790" t="s">
        <v>63</v>
      </c>
      <c r="I1790" t="s">
        <v>109</v>
      </c>
      <c r="J1790" t="s">
        <v>145</v>
      </c>
      <c r="L1790">
        <v>0</v>
      </c>
      <c r="M1790" t="s">
        <v>125</v>
      </c>
      <c r="O1790" t="s">
        <v>125</v>
      </c>
      <c r="P1790" t="s">
        <v>125</v>
      </c>
      <c r="Q1790" t="s">
        <v>125</v>
      </c>
      <c r="R1790" t="s">
        <v>125</v>
      </c>
      <c r="S1790" t="s">
        <v>125</v>
      </c>
      <c r="T1790">
        <v>0</v>
      </c>
      <c r="V1790" t="s">
        <v>125</v>
      </c>
      <c r="AE1790" t="s">
        <v>125</v>
      </c>
      <c r="AF1790">
        <v>0</v>
      </c>
      <c r="AG1790" t="s">
        <v>125</v>
      </c>
      <c r="AH1790">
        <v>0</v>
      </c>
      <c r="AK1790">
        <v>0</v>
      </c>
    </row>
    <row r="1791" spans="1:37" x14ac:dyDescent="0.25">
      <c r="A1791" t="s">
        <v>79</v>
      </c>
      <c r="B1791">
        <v>7</v>
      </c>
      <c r="C1791">
        <v>3</v>
      </c>
      <c r="D1791">
        <v>1</v>
      </c>
      <c r="E1791">
        <v>6</v>
      </c>
      <c r="G1791">
        <v>731</v>
      </c>
      <c r="H1791" t="s">
        <v>63</v>
      </c>
      <c r="I1791" t="s">
        <v>116</v>
      </c>
      <c r="J1791" t="s">
        <v>146</v>
      </c>
      <c r="L1791">
        <v>0</v>
      </c>
      <c r="M1791" t="s">
        <v>125</v>
      </c>
      <c r="O1791" t="s">
        <v>125</v>
      </c>
      <c r="P1791" t="s">
        <v>125</v>
      </c>
      <c r="Q1791" t="s">
        <v>125</v>
      </c>
      <c r="R1791" t="s">
        <v>125</v>
      </c>
      <c r="S1791" t="s">
        <v>125</v>
      </c>
      <c r="T1791">
        <v>0</v>
      </c>
      <c r="V1791" t="s">
        <v>125</v>
      </c>
      <c r="AE1791" t="s">
        <v>125</v>
      </c>
      <c r="AF1791">
        <v>0</v>
      </c>
      <c r="AG1791" t="s">
        <v>125</v>
      </c>
      <c r="AH1791">
        <v>0</v>
      </c>
      <c r="AK1791">
        <v>0</v>
      </c>
    </row>
    <row r="1792" spans="1:37" x14ac:dyDescent="0.25">
      <c r="A1792" t="s">
        <v>79</v>
      </c>
      <c r="B1792">
        <v>7</v>
      </c>
      <c r="C1792">
        <v>3</v>
      </c>
      <c r="D1792">
        <v>1</v>
      </c>
      <c r="E1792">
        <v>7</v>
      </c>
      <c r="G1792">
        <v>731</v>
      </c>
      <c r="H1792" t="s">
        <v>63</v>
      </c>
      <c r="I1792" t="s">
        <v>123</v>
      </c>
      <c r="J1792" t="s">
        <v>147</v>
      </c>
      <c r="L1792">
        <v>0</v>
      </c>
      <c r="M1792" t="s">
        <v>125</v>
      </c>
      <c r="O1792" t="s">
        <v>125</v>
      </c>
      <c r="P1792" t="s">
        <v>125</v>
      </c>
      <c r="Q1792" t="s">
        <v>125</v>
      </c>
      <c r="R1792" t="s">
        <v>125</v>
      </c>
      <c r="S1792" t="s">
        <v>125</v>
      </c>
      <c r="T1792">
        <v>0</v>
      </c>
      <c r="V1792" t="s">
        <v>125</v>
      </c>
      <c r="AE1792" t="s">
        <v>125</v>
      </c>
      <c r="AF1792">
        <v>0</v>
      </c>
      <c r="AG1792" t="s">
        <v>125</v>
      </c>
      <c r="AH1792">
        <v>0</v>
      </c>
      <c r="AK1792">
        <v>0</v>
      </c>
    </row>
    <row r="1793" spans="1:37" x14ac:dyDescent="0.25">
      <c r="A1793" t="s">
        <v>79</v>
      </c>
      <c r="B1793">
        <v>7</v>
      </c>
      <c r="C1793">
        <v>3</v>
      </c>
      <c r="D1793">
        <v>1</v>
      </c>
      <c r="E1793">
        <v>8</v>
      </c>
      <c r="G1793">
        <v>731</v>
      </c>
      <c r="H1793" t="s">
        <v>63</v>
      </c>
      <c r="I1793" t="s">
        <v>126</v>
      </c>
      <c r="J1793" t="s">
        <v>148</v>
      </c>
      <c r="L1793">
        <v>0</v>
      </c>
      <c r="M1793" t="s">
        <v>125</v>
      </c>
      <c r="O1793" t="s">
        <v>125</v>
      </c>
      <c r="P1793" t="s">
        <v>125</v>
      </c>
      <c r="Q1793" t="s">
        <v>125</v>
      </c>
      <c r="R1793" t="s">
        <v>125</v>
      </c>
      <c r="S1793" t="s">
        <v>125</v>
      </c>
      <c r="T1793">
        <v>0</v>
      </c>
      <c r="V1793" t="s">
        <v>125</v>
      </c>
      <c r="AE1793" t="s">
        <v>125</v>
      </c>
      <c r="AF1793">
        <v>0</v>
      </c>
      <c r="AG1793" t="s">
        <v>125</v>
      </c>
      <c r="AH1793">
        <v>0</v>
      </c>
      <c r="AK1793">
        <v>0</v>
      </c>
    </row>
    <row r="1794" spans="1:37" x14ac:dyDescent="0.25">
      <c r="A1794" t="s">
        <v>79</v>
      </c>
      <c r="B1794">
        <v>7</v>
      </c>
      <c r="C1794">
        <v>3</v>
      </c>
      <c r="D1794">
        <v>1</v>
      </c>
      <c r="E1794">
        <v>9</v>
      </c>
      <c r="G1794">
        <v>731</v>
      </c>
      <c r="H1794" t="s">
        <v>63</v>
      </c>
      <c r="I1794" t="s">
        <v>74</v>
      </c>
      <c r="J1794" t="s">
        <v>149</v>
      </c>
      <c r="L1794">
        <v>0</v>
      </c>
      <c r="M1794" t="s">
        <v>125</v>
      </c>
      <c r="O1794" t="s">
        <v>125</v>
      </c>
      <c r="P1794" t="s">
        <v>125</v>
      </c>
      <c r="Q1794" t="s">
        <v>125</v>
      </c>
      <c r="R1794" t="s">
        <v>125</v>
      </c>
      <c r="S1794" t="s">
        <v>125</v>
      </c>
      <c r="T1794">
        <v>0</v>
      </c>
      <c r="V1794" t="s">
        <v>125</v>
      </c>
      <c r="AE1794" t="s">
        <v>125</v>
      </c>
      <c r="AF1794">
        <v>0</v>
      </c>
      <c r="AG1794" t="s">
        <v>125</v>
      </c>
      <c r="AH1794">
        <v>0</v>
      </c>
      <c r="AK1794">
        <v>0</v>
      </c>
    </row>
    <row r="1795" spans="1:37" x14ac:dyDescent="0.25">
      <c r="A1795" t="s">
        <v>79</v>
      </c>
      <c r="B1795">
        <v>7</v>
      </c>
      <c r="C1795">
        <v>3</v>
      </c>
      <c r="D1795">
        <v>1</v>
      </c>
      <c r="E1795">
        <v>10</v>
      </c>
      <c r="G1795">
        <v>731</v>
      </c>
      <c r="H1795" t="s">
        <v>63</v>
      </c>
      <c r="I1795" t="s">
        <v>129</v>
      </c>
      <c r="J1795" t="s">
        <v>150</v>
      </c>
      <c r="L1795">
        <v>0</v>
      </c>
      <c r="M1795" t="s">
        <v>125</v>
      </c>
      <c r="O1795" t="s">
        <v>125</v>
      </c>
      <c r="P1795" t="s">
        <v>125</v>
      </c>
      <c r="Q1795" t="s">
        <v>125</v>
      </c>
      <c r="R1795" t="s">
        <v>125</v>
      </c>
      <c r="S1795" t="s">
        <v>125</v>
      </c>
      <c r="T1795">
        <v>0</v>
      </c>
      <c r="V1795" t="s">
        <v>125</v>
      </c>
      <c r="AE1795" t="s">
        <v>125</v>
      </c>
      <c r="AF1795">
        <v>0</v>
      </c>
      <c r="AG1795" t="s">
        <v>125</v>
      </c>
      <c r="AH1795">
        <v>0</v>
      </c>
      <c r="AK1795">
        <v>0</v>
      </c>
    </row>
    <row r="1796" spans="1:37" x14ac:dyDescent="0.25">
      <c r="A1796" t="s">
        <v>79</v>
      </c>
      <c r="B1796">
        <v>7</v>
      </c>
      <c r="C1796">
        <v>3</v>
      </c>
      <c r="D1796">
        <v>1</v>
      </c>
      <c r="E1796">
        <v>11</v>
      </c>
      <c r="G1796">
        <v>731</v>
      </c>
      <c r="H1796" t="s">
        <v>63</v>
      </c>
      <c r="I1796" t="s">
        <v>131</v>
      </c>
      <c r="J1796" t="s">
        <v>151</v>
      </c>
      <c r="L1796">
        <v>0</v>
      </c>
      <c r="M1796" t="s">
        <v>125</v>
      </c>
      <c r="O1796" t="s">
        <v>125</v>
      </c>
      <c r="P1796" t="s">
        <v>125</v>
      </c>
      <c r="Q1796" t="s">
        <v>125</v>
      </c>
      <c r="R1796" t="s">
        <v>125</v>
      </c>
      <c r="S1796" t="s">
        <v>125</v>
      </c>
      <c r="T1796">
        <v>0</v>
      </c>
      <c r="V1796" t="s">
        <v>125</v>
      </c>
      <c r="AE1796" t="s">
        <v>125</v>
      </c>
      <c r="AF1796">
        <v>0</v>
      </c>
      <c r="AG1796" t="s">
        <v>125</v>
      </c>
      <c r="AH1796">
        <v>0</v>
      </c>
      <c r="AK1796">
        <v>0</v>
      </c>
    </row>
    <row r="1797" spans="1:37" x14ac:dyDescent="0.25">
      <c r="A1797" t="s">
        <v>79</v>
      </c>
      <c r="B1797">
        <v>7</v>
      </c>
      <c r="C1797">
        <v>3</v>
      </c>
      <c r="D1797">
        <v>1</v>
      </c>
      <c r="E1797">
        <v>12</v>
      </c>
      <c r="G1797">
        <v>731</v>
      </c>
      <c r="H1797" t="s">
        <v>63</v>
      </c>
      <c r="I1797" t="s">
        <v>133</v>
      </c>
      <c r="J1797" t="s">
        <v>152</v>
      </c>
      <c r="L1797">
        <v>0</v>
      </c>
      <c r="M1797" t="s">
        <v>125</v>
      </c>
      <c r="O1797" t="s">
        <v>125</v>
      </c>
      <c r="P1797" t="s">
        <v>125</v>
      </c>
      <c r="Q1797" t="s">
        <v>125</v>
      </c>
      <c r="R1797" t="s">
        <v>125</v>
      </c>
      <c r="S1797" t="s">
        <v>125</v>
      </c>
      <c r="T1797">
        <v>0</v>
      </c>
      <c r="V1797" t="s">
        <v>125</v>
      </c>
      <c r="AE1797" t="s">
        <v>125</v>
      </c>
      <c r="AF1797">
        <v>0</v>
      </c>
      <c r="AG1797" t="s">
        <v>125</v>
      </c>
      <c r="AH1797">
        <v>0</v>
      </c>
      <c r="AK1797">
        <v>0</v>
      </c>
    </row>
    <row r="1798" spans="1:37" x14ac:dyDescent="0.25">
      <c r="A1798" t="s">
        <v>79</v>
      </c>
      <c r="B1798">
        <v>7</v>
      </c>
      <c r="C1798">
        <v>3</v>
      </c>
      <c r="D1798">
        <v>1</v>
      </c>
      <c r="E1798">
        <v>13</v>
      </c>
      <c r="G1798">
        <v>731</v>
      </c>
      <c r="H1798" t="s">
        <v>63</v>
      </c>
      <c r="I1798" t="s">
        <v>135</v>
      </c>
      <c r="J1798" t="s">
        <v>153</v>
      </c>
      <c r="L1798">
        <v>0</v>
      </c>
      <c r="M1798" t="s">
        <v>125</v>
      </c>
      <c r="O1798" t="s">
        <v>125</v>
      </c>
      <c r="P1798" t="s">
        <v>125</v>
      </c>
      <c r="Q1798" t="s">
        <v>125</v>
      </c>
      <c r="R1798" t="s">
        <v>125</v>
      </c>
      <c r="S1798" t="s">
        <v>125</v>
      </c>
      <c r="T1798">
        <v>0</v>
      </c>
      <c r="V1798" t="s">
        <v>125</v>
      </c>
      <c r="AE1798" t="s">
        <v>125</v>
      </c>
      <c r="AF1798">
        <v>0</v>
      </c>
      <c r="AG1798" t="s">
        <v>125</v>
      </c>
      <c r="AH1798">
        <v>0</v>
      </c>
      <c r="AK1798">
        <v>0</v>
      </c>
    </row>
    <row r="1799" spans="1:37" x14ac:dyDescent="0.25">
      <c r="A1799" t="s">
        <v>79</v>
      </c>
      <c r="B1799">
        <v>7</v>
      </c>
      <c r="C1799">
        <v>3</v>
      </c>
      <c r="D1799">
        <v>1</v>
      </c>
      <c r="E1799">
        <v>14</v>
      </c>
      <c r="G1799">
        <v>731</v>
      </c>
      <c r="H1799" t="s">
        <v>63</v>
      </c>
      <c r="I1799" t="s">
        <v>137</v>
      </c>
      <c r="J1799" t="s">
        <v>154</v>
      </c>
      <c r="L1799">
        <v>0</v>
      </c>
      <c r="M1799" t="s">
        <v>125</v>
      </c>
      <c r="O1799" t="s">
        <v>125</v>
      </c>
      <c r="P1799" t="s">
        <v>125</v>
      </c>
      <c r="Q1799" t="s">
        <v>125</v>
      </c>
      <c r="R1799" t="s">
        <v>125</v>
      </c>
      <c r="S1799" t="s">
        <v>125</v>
      </c>
      <c r="T1799">
        <v>0</v>
      </c>
      <c r="V1799" t="s">
        <v>125</v>
      </c>
      <c r="AE1799" t="s">
        <v>125</v>
      </c>
      <c r="AF1799">
        <v>0</v>
      </c>
      <c r="AG1799" t="s">
        <v>125</v>
      </c>
      <c r="AH1799">
        <v>0</v>
      </c>
      <c r="AK1799">
        <v>0</v>
      </c>
    </row>
    <row r="1800" spans="1:37" x14ac:dyDescent="0.25">
      <c r="A1800" t="s">
        <v>79</v>
      </c>
      <c r="B1800">
        <v>7</v>
      </c>
      <c r="C1800">
        <v>3</v>
      </c>
      <c r="D1800">
        <v>1</v>
      </c>
      <c r="E1800">
        <v>15</v>
      </c>
      <c r="G1800">
        <v>731</v>
      </c>
      <c r="H1800" t="s">
        <v>63</v>
      </c>
      <c r="I1800" t="s">
        <v>139</v>
      </c>
      <c r="J1800" t="s">
        <v>155</v>
      </c>
      <c r="L1800">
        <v>0</v>
      </c>
      <c r="M1800" t="s">
        <v>125</v>
      </c>
      <c r="O1800" t="s">
        <v>125</v>
      </c>
      <c r="P1800" t="s">
        <v>125</v>
      </c>
      <c r="Q1800" t="s">
        <v>125</v>
      </c>
      <c r="R1800" t="s">
        <v>125</v>
      </c>
      <c r="S1800" t="s">
        <v>125</v>
      </c>
      <c r="T1800">
        <v>0</v>
      </c>
      <c r="V1800" t="s">
        <v>125</v>
      </c>
      <c r="AE1800" t="s">
        <v>125</v>
      </c>
      <c r="AF1800">
        <v>0</v>
      </c>
      <c r="AG1800" t="s">
        <v>125</v>
      </c>
      <c r="AH1800">
        <v>0</v>
      </c>
      <c r="AK1800">
        <v>0</v>
      </c>
    </row>
    <row r="1801" spans="1:37" x14ac:dyDescent="0.25">
      <c r="L1801">
        <v>0</v>
      </c>
    </row>
    <row r="1802" spans="1:37" x14ac:dyDescent="0.25">
      <c r="A1802" t="s">
        <v>70</v>
      </c>
      <c r="B1802">
        <v>7</v>
      </c>
      <c r="C1802">
        <v>3</v>
      </c>
      <c r="D1802">
        <v>2</v>
      </c>
      <c r="G1802">
        <v>73</v>
      </c>
      <c r="L1802">
        <v>0</v>
      </c>
      <c r="M1802" t="s">
        <v>125</v>
      </c>
      <c r="P1802" t="s">
        <v>125</v>
      </c>
      <c r="R1802" t="s">
        <v>125</v>
      </c>
      <c r="S1802" t="s">
        <v>63</v>
      </c>
      <c r="V1802" t="s">
        <v>125</v>
      </c>
      <c r="X1802" t="s">
        <v>125</v>
      </c>
      <c r="Y1802" t="s">
        <v>125</v>
      </c>
      <c r="Z1802" t="s">
        <v>125</v>
      </c>
      <c r="AA1802" t="s">
        <v>125</v>
      </c>
      <c r="AB1802" t="s">
        <v>125</v>
      </c>
      <c r="AC1802" t="s">
        <v>125</v>
      </c>
      <c r="AE1802" t="s">
        <v>125</v>
      </c>
      <c r="AF1802">
        <v>0</v>
      </c>
      <c r="AG1802" t="s">
        <v>125</v>
      </c>
      <c r="AH1802">
        <v>0</v>
      </c>
      <c r="AK1802">
        <v>0</v>
      </c>
    </row>
    <row r="1803" spans="1:37" x14ac:dyDescent="0.25">
      <c r="A1803" t="s">
        <v>79</v>
      </c>
      <c r="B1803">
        <v>7</v>
      </c>
      <c r="C1803">
        <v>3</v>
      </c>
      <c r="D1803">
        <v>2</v>
      </c>
      <c r="E1803">
        <v>1</v>
      </c>
      <c r="G1803">
        <v>732</v>
      </c>
      <c r="H1803" t="s">
        <v>63</v>
      </c>
      <c r="I1803" t="s">
        <v>80</v>
      </c>
      <c r="J1803" t="s">
        <v>141</v>
      </c>
      <c r="L1803">
        <v>0</v>
      </c>
      <c r="M1803" t="s">
        <v>125</v>
      </c>
      <c r="O1803" t="s">
        <v>125</v>
      </c>
      <c r="P1803" t="s">
        <v>125</v>
      </c>
      <c r="Q1803" t="s">
        <v>125</v>
      </c>
      <c r="R1803" t="s">
        <v>125</v>
      </c>
      <c r="S1803" t="s">
        <v>125</v>
      </c>
      <c r="T1803">
        <v>0</v>
      </c>
      <c r="V1803" t="s">
        <v>125</v>
      </c>
      <c r="AE1803" t="s">
        <v>125</v>
      </c>
      <c r="AF1803">
        <v>0</v>
      </c>
      <c r="AG1803" t="s">
        <v>125</v>
      </c>
      <c r="AH1803">
        <v>0</v>
      </c>
      <c r="AK1803">
        <v>0</v>
      </c>
    </row>
    <row r="1804" spans="1:37" x14ac:dyDescent="0.25">
      <c r="A1804" t="s">
        <v>79</v>
      </c>
      <c r="B1804">
        <v>7</v>
      </c>
      <c r="C1804">
        <v>3</v>
      </c>
      <c r="D1804">
        <v>2</v>
      </c>
      <c r="E1804">
        <v>2</v>
      </c>
      <c r="G1804">
        <v>732</v>
      </c>
      <c r="H1804" t="s">
        <v>63</v>
      </c>
      <c r="I1804" t="s">
        <v>88</v>
      </c>
      <c r="J1804" t="s">
        <v>142</v>
      </c>
      <c r="L1804">
        <v>0</v>
      </c>
      <c r="M1804" t="s">
        <v>125</v>
      </c>
      <c r="O1804" t="s">
        <v>125</v>
      </c>
      <c r="P1804" t="s">
        <v>125</v>
      </c>
      <c r="Q1804" t="s">
        <v>125</v>
      </c>
      <c r="R1804" t="s">
        <v>125</v>
      </c>
      <c r="S1804" t="s">
        <v>125</v>
      </c>
      <c r="T1804">
        <v>0</v>
      </c>
      <c r="V1804" t="s">
        <v>125</v>
      </c>
      <c r="AE1804" t="s">
        <v>125</v>
      </c>
      <c r="AF1804">
        <v>0</v>
      </c>
      <c r="AG1804" t="s">
        <v>125</v>
      </c>
      <c r="AH1804">
        <v>0</v>
      </c>
      <c r="AK1804">
        <v>0</v>
      </c>
    </row>
    <row r="1805" spans="1:37" x14ac:dyDescent="0.25">
      <c r="A1805" t="s">
        <v>79</v>
      </c>
      <c r="B1805">
        <v>7</v>
      </c>
      <c r="C1805">
        <v>3</v>
      </c>
      <c r="D1805">
        <v>2</v>
      </c>
      <c r="E1805">
        <v>3</v>
      </c>
      <c r="G1805">
        <v>732</v>
      </c>
      <c r="H1805" t="s">
        <v>63</v>
      </c>
      <c r="I1805" t="s">
        <v>95</v>
      </c>
      <c r="J1805" t="s">
        <v>143</v>
      </c>
      <c r="L1805">
        <v>0</v>
      </c>
      <c r="M1805" t="s">
        <v>125</v>
      </c>
      <c r="O1805" t="s">
        <v>125</v>
      </c>
      <c r="P1805" t="s">
        <v>125</v>
      </c>
      <c r="Q1805" t="s">
        <v>125</v>
      </c>
      <c r="R1805" t="s">
        <v>125</v>
      </c>
      <c r="S1805" t="s">
        <v>125</v>
      </c>
      <c r="T1805">
        <v>0</v>
      </c>
      <c r="V1805" t="s">
        <v>125</v>
      </c>
      <c r="AE1805" t="s">
        <v>125</v>
      </c>
      <c r="AF1805">
        <v>0</v>
      </c>
      <c r="AG1805" t="s">
        <v>125</v>
      </c>
      <c r="AH1805">
        <v>0</v>
      </c>
      <c r="AK1805">
        <v>0</v>
      </c>
    </row>
    <row r="1806" spans="1:37" x14ac:dyDescent="0.25">
      <c r="A1806" t="s">
        <v>79</v>
      </c>
      <c r="B1806">
        <v>7</v>
      </c>
      <c r="C1806">
        <v>3</v>
      </c>
      <c r="D1806">
        <v>2</v>
      </c>
      <c r="E1806">
        <v>4</v>
      </c>
      <c r="G1806">
        <v>732</v>
      </c>
      <c r="H1806" t="s">
        <v>63</v>
      </c>
      <c r="I1806" t="s">
        <v>102</v>
      </c>
      <c r="J1806" t="s">
        <v>144</v>
      </c>
      <c r="L1806">
        <v>0</v>
      </c>
      <c r="M1806" t="s">
        <v>125</v>
      </c>
      <c r="O1806" t="s">
        <v>125</v>
      </c>
      <c r="P1806" t="s">
        <v>125</v>
      </c>
      <c r="Q1806" t="s">
        <v>125</v>
      </c>
      <c r="R1806" t="s">
        <v>125</v>
      </c>
      <c r="S1806" t="s">
        <v>125</v>
      </c>
      <c r="T1806">
        <v>0</v>
      </c>
      <c r="V1806" t="s">
        <v>125</v>
      </c>
      <c r="AE1806" t="s">
        <v>125</v>
      </c>
      <c r="AF1806">
        <v>0</v>
      </c>
      <c r="AG1806" t="s">
        <v>125</v>
      </c>
      <c r="AH1806">
        <v>0</v>
      </c>
      <c r="AK1806">
        <v>0</v>
      </c>
    </row>
    <row r="1807" spans="1:37" x14ac:dyDescent="0.25">
      <c r="A1807" t="s">
        <v>79</v>
      </c>
      <c r="B1807">
        <v>7</v>
      </c>
      <c r="C1807">
        <v>3</v>
      </c>
      <c r="D1807">
        <v>2</v>
      </c>
      <c r="E1807">
        <v>5</v>
      </c>
      <c r="G1807">
        <v>732</v>
      </c>
      <c r="H1807" t="s">
        <v>63</v>
      </c>
      <c r="I1807" t="s">
        <v>109</v>
      </c>
      <c r="J1807" t="s">
        <v>145</v>
      </c>
      <c r="L1807">
        <v>0</v>
      </c>
      <c r="M1807" t="s">
        <v>125</v>
      </c>
      <c r="O1807" t="s">
        <v>125</v>
      </c>
      <c r="P1807" t="s">
        <v>125</v>
      </c>
      <c r="Q1807" t="s">
        <v>125</v>
      </c>
      <c r="R1807" t="s">
        <v>125</v>
      </c>
      <c r="S1807" t="s">
        <v>125</v>
      </c>
      <c r="T1807">
        <v>0</v>
      </c>
      <c r="V1807" t="s">
        <v>125</v>
      </c>
      <c r="AE1807" t="s">
        <v>125</v>
      </c>
      <c r="AF1807">
        <v>0</v>
      </c>
      <c r="AG1807" t="s">
        <v>125</v>
      </c>
      <c r="AH1807">
        <v>0</v>
      </c>
      <c r="AK1807">
        <v>0</v>
      </c>
    </row>
    <row r="1808" spans="1:37" x14ac:dyDescent="0.25">
      <c r="A1808" t="s">
        <v>79</v>
      </c>
      <c r="B1808">
        <v>7</v>
      </c>
      <c r="C1808">
        <v>3</v>
      </c>
      <c r="D1808">
        <v>2</v>
      </c>
      <c r="E1808">
        <v>6</v>
      </c>
      <c r="G1808">
        <v>732</v>
      </c>
      <c r="H1808" t="s">
        <v>63</v>
      </c>
      <c r="I1808" t="s">
        <v>116</v>
      </c>
      <c r="J1808" t="s">
        <v>146</v>
      </c>
      <c r="L1808">
        <v>0</v>
      </c>
      <c r="M1808" t="s">
        <v>125</v>
      </c>
      <c r="O1808" t="s">
        <v>125</v>
      </c>
      <c r="P1808" t="s">
        <v>125</v>
      </c>
      <c r="Q1808" t="s">
        <v>125</v>
      </c>
      <c r="R1808" t="s">
        <v>125</v>
      </c>
      <c r="S1808" t="s">
        <v>125</v>
      </c>
      <c r="T1808">
        <v>0</v>
      </c>
      <c r="V1808" t="s">
        <v>125</v>
      </c>
      <c r="AE1808" t="s">
        <v>125</v>
      </c>
      <c r="AF1808">
        <v>0</v>
      </c>
      <c r="AG1808" t="s">
        <v>125</v>
      </c>
      <c r="AH1808">
        <v>0</v>
      </c>
      <c r="AK1808">
        <v>0</v>
      </c>
    </row>
    <row r="1809" spans="1:37" x14ac:dyDescent="0.25">
      <c r="A1809" t="s">
        <v>79</v>
      </c>
      <c r="B1809">
        <v>7</v>
      </c>
      <c r="C1809">
        <v>3</v>
      </c>
      <c r="D1809">
        <v>2</v>
      </c>
      <c r="E1809">
        <v>7</v>
      </c>
      <c r="G1809">
        <v>732</v>
      </c>
      <c r="H1809" t="s">
        <v>63</v>
      </c>
      <c r="I1809" t="s">
        <v>123</v>
      </c>
      <c r="J1809" t="s">
        <v>147</v>
      </c>
      <c r="L1809">
        <v>0</v>
      </c>
      <c r="M1809" t="s">
        <v>125</v>
      </c>
      <c r="O1809" t="s">
        <v>125</v>
      </c>
      <c r="P1809" t="s">
        <v>125</v>
      </c>
      <c r="Q1809" t="s">
        <v>125</v>
      </c>
      <c r="R1809" t="s">
        <v>125</v>
      </c>
      <c r="S1809" t="s">
        <v>125</v>
      </c>
      <c r="T1809">
        <v>0</v>
      </c>
      <c r="V1809" t="s">
        <v>125</v>
      </c>
      <c r="AE1809" t="s">
        <v>125</v>
      </c>
      <c r="AF1809">
        <v>0</v>
      </c>
      <c r="AG1809" t="s">
        <v>125</v>
      </c>
      <c r="AH1809">
        <v>0</v>
      </c>
      <c r="AK1809">
        <v>0</v>
      </c>
    </row>
    <row r="1810" spans="1:37" x14ac:dyDescent="0.25">
      <c r="A1810" t="s">
        <v>79</v>
      </c>
      <c r="B1810">
        <v>7</v>
      </c>
      <c r="C1810">
        <v>3</v>
      </c>
      <c r="D1810">
        <v>2</v>
      </c>
      <c r="E1810">
        <v>8</v>
      </c>
      <c r="G1810">
        <v>732</v>
      </c>
      <c r="H1810" t="s">
        <v>63</v>
      </c>
      <c r="I1810" t="s">
        <v>126</v>
      </c>
      <c r="J1810" t="s">
        <v>148</v>
      </c>
      <c r="L1810">
        <v>0</v>
      </c>
      <c r="M1810" t="s">
        <v>125</v>
      </c>
      <c r="O1810" t="s">
        <v>125</v>
      </c>
      <c r="P1810" t="s">
        <v>125</v>
      </c>
      <c r="Q1810" t="s">
        <v>125</v>
      </c>
      <c r="R1810" t="s">
        <v>125</v>
      </c>
      <c r="S1810" t="s">
        <v>125</v>
      </c>
      <c r="T1810">
        <v>0</v>
      </c>
      <c r="V1810" t="s">
        <v>125</v>
      </c>
      <c r="AE1810" t="s">
        <v>125</v>
      </c>
      <c r="AF1810">
        <v>0</v>
      </c>
      <c r="AG1810" t="s">
        <v>125</v>
      </c>
      <c r="AH1810">
        <v>0</v>
      </c>
      <c r="AK1810">
        <v>0</v>
      </c>
    </row>
    <row r="1811" spans="1:37" x14ac:dyDescent="0.25">
      <c r="A1811" t="s">
        <v>79</v>
      </c>
      <c r="B1811">
        <v>7</v>
      </c>
      <c r="C1811">
        <v>3</v>
      </c>
      <c r="D1811">
        <v>2</v>
      </c>
      <c r="E1811">
        <v>9</v>
      </c>
      <c r="G1811">
        <v>732</v>
      </c>
      <c r="H1811" t="s">
        <v>63</v>
      </c>
      <c r="I1811" t="s">
        <v>74</v>
      </c>
      <c r="J1811" t="s">
        <v>149</v>
      </c>
      <c r="L1811">
        <v>0</v>
      </c>
      <c r="M1811" t="s">
        <v>125</v>
      </c>
      <c r="O1811" t="s">
        <v>125</v>
      </c>
      <c r="P1811" t="s">
        <v>125</v>
      </c>
      <c r="Q1811" t="s">
        <v>125</v>
      </c>
      <c r="R1811" t="s">
        <v>125</v>
      </c>
      <c r="S1811" t="s">
        <v>125</v>
      </c>
      <c r="T1811">
        <v>0</v>
      </c>
      <c r="V1811" t="s">
        <v>125</v>
      </c>
      <c r="AE1811" t="s">
        <v>125</v>
      </c>
      <c r="AF1811">
        <v>0</v>
      </c>
      <c r="AG1811" t="s">
        <v>125</v>
      </c>
      <c r="AH1811">
        <v>0</v>
      </c>
      <c r="AK1811">
        <v>0</v>
      </c>
    </row>
    <row r="1812" spans="1:37" x14ac:dyDescent="0.25">
      <c r="A1812" t="s">
        <v>79</v>
      </c>
      <c r="B1812">
        <v>7</v>
      </c>
      <c r="C1812">
        <v>3</v>
      </c>
      <c r="D1812">
        <v>2</v>
      </c>
      <c r="E1812">
        <v>10</v>
      </c>
      <c r="G1812">
        <v>732</v>
      </c>
      <c r="H1812" t="s">
        <v>63</v>
      </c>
      <c r="I1812" t="s">
        <v>129</v>
      </c>
      <c r="J1812" t="s">
        <v>150</v>
      </c>
      <c r="L1812">
        <v>0</v>
      </c>
      <c r="M1812" t="s">
        <v>125</v>
      </c>
      <c r="O1812" t="s">
        <v>125</v>
      </c>
      <c r="P1812" t="s">
        <v>125</v>
      </c>
      <c r="Q1812" t="s">
        <v>125</v>
      </c>
      <c r="R1812" t="s">
        <v>125</v>
      </c>
      <c r="S1812" t="s">
        <v>125</v>
      </c>
      <c r="T1812">
        <v>0</v>
      </c>
      <c r="V1812" t="s">
        <v>125</v>
      </c>
      <c r="AE1812" t="s">
        <v>125</v>
      </c>
      <c r="AF1812">
        <v>0</v>
      </c>
      <c r="AG1812" t="s">
        <v>125</v>
      </c>
      <c r="AH1812">
        <v>0</v>
      </c>
      <c r="AK1812">
        <v>0</v>
      </c>
    </row>
    <row r="1813" spans="1:37" x14ac:dyDescent="0.25">
      <c r="A1813" t="s">
        <v>79</v>
      </c>
      <c r="B1813">
        <v>7</v>
      </c>
      <c r="C1813">
        <v>3</v>
      </c>
      <c r="D1813">
        <v>2</v>
      </c>
      <c r="E1813">
        <v>11</v>
      </c>
      <c r="G1813">
        <v>732</v>
      </c>
      <c r="H1813" t="s">
        <v>63</v>
      </c>
      <c r="I1813" t="s">
        <v>131</v>
      </c>
      <c r="J1813" t="s">
        <v>151</v>
      </c>
      <c r="L1813">
        <v>0</v>
      </c>
      <c r="M1813" t="s">
        <v>125</v>
      </c>
      <c r="O1813" t="s">
        <v>125</v>
      </c>
      <c r="P1813" t="s">
        <v>125</v>
      </c>
      <c r="Q1813" t="s">
        <v>125</v>
      </c>
      <c r="R1813" t="s">
        <v>125</v>
      </c>
      <c r="S1813" t="s">
        <v>125</v>
      </c>
      <c r="T1813">
        <v>0</v>
      </c>
      <c r="V1813" t="s">
        <v>125</v>
      </c>
      <c r="AE1813" t="s">
        <v>125</v>
      </c>
      <c r="AF1813">
        <v>0</v>
      </c>
      <c r="AG1813" t="s">
        <v>125</v>
      </c>
      <c r="AH1813">
        <v>0</v>
      </c>
      <c r="AK1813">
        <v>0</v>
      </c>
    </row>
    <row r="1814" spans="1:37" x14ac:dyDescent="0.25">
      <c r="A1814" t="s">
        <v>79</v>
      </c>
      <c r="B1814">
        <v>7</v>
      </c>
      <c r="C1814">
        <v>3</v>
      </c>
      <c r="D1814">
        <v>2</v>
      </c>
      <c r="E1814">
        <v>12</v>
      </c>
      <c r="G1814">
        <v>732</v>
      </c>
      <c r="H1814" t="s">
        <v>63</v>
      </c>
      <c r="I1814" t="s">
        <v>133</v>
      </c>
      <c r="J1814" t="s">
        <v>152</v>
      </c>
      <c r="L1814">
        <v>0</v>
      </c>
      <c r="M1814" t="s">
        <v>125</v>
      </c>
      <c r="O1814" t="s">
        <v>125</v>
      </c>
      <c r="P1814" t="s">
        <v>125</v>
      </c>
      <c r="Q1814" t="s">
        <v>125</v>
      </c>
      <c r="R1814" t="s">
        <v>125</v>
      </c>
      <c r="S1814" t="s">
        <v>125</v>
      </c>
      <c r="T1814">
        <v>0</v>
      </c>
      <c r="V1814" t="s">
        <v>125</v>
      </c>
      <c r="AE1814" t="s">
        <v>125</v>
      </c>
      <c r="AF1814">
        <v>0</v>
      </c>
      <c r="AG1814" t="s">
        <v>125</v>
      </c>
      <c r="AH1814">
        <v>0</v>
      </c>
      <c r="AK1814">
        <v>0</v>
      </c>
    </row>
    <row r="1815" spans="1:37" x14ac:dyDescent="0.25">
      <c r="A1815" t="s">
        <v>79</v>
      </c>
      <c r="B1815">
        <v>7</v>
      </c>
      <c r="C1815">
        <v>3</v>
      </c>
      <c r="D1815">
        <v>2</v>
      </c>
      <c r="E1815">
        <v>13</v>
      </c>
      <c r="G1815">
        <v>732</v>
      </c>
      <c r="H1815" t="s">
        <v>63</v>
      </c>
      <c r="I1815" t="s">
        <v>135</v>
      </c>
      <c r="J1815" t="s">
        <v>153</v>
      </c>
      <c r="L1815">
        <v>0</v>
      </c>
      <c r="M1815" t="s">
        <v>125</v>
      </c>
      <c r="O1815" t="s">
        <v>125</v>
      </c>
      <c r="P1815" t="s">
        <v>125</v>
      </c>
      <c r="Q1815" t="s">
        <v>125</v>
      </c>
      <c r="R1815" t="s">
        <v>125</v>
      </c>
      <c r="S1815" t="s">
        <v>125</v>
      </c>
      <c r="T1815">
        <v>0</v>
      </c>
      <c r="V1815" t="s">
        <v>125</v>
      </c>
      <c r="AE1815" t="s">
        <v>125</v>
      </c>
      <c r="AF1815">
        <v>0</v>
      </c>
      <c r="AG1815" t="s">
        <v>125</v>
      </c>
      <c r="AH1815">
        <v>0</v>
      </c>
      <c r="AK1815">
        <v>0</v>
      </c>
    </row>
    <row r="1816" spans="1:37" x14ac:dyDescent="0.25">
      <c r="A1816" t="s">
        <v>79</v>
      </c>
      <c r="B1816">
        <v>7</v>
      </c>
      <c r="C1816">
        <v>3</v>
      </c>
      <c r="D1816">
        <v>2</v>
      </c>
      <c r="E1816">
        <v>14</v>
      </c>
      <c r="G1816">
        <v>732</v>
      </c>
      <c r="H1816" t="s">
        <v>63</v>
      </c>
      <c r="I1816" t="s">
        <v>137</v>
      </c>
      <c r="J1816" t="s">
        <v>154</v>
      </c>
      <c r="L1816">
        <v>0</v>
      </c>
      <c r="M1816" t="s">
        <v>125</v>
      </c>
      <c r="O1816" t="s">
        <v>125</v>
      </c>
      <c r="P1816" t="s">
        <v>125</v>
      </c>
      <c r="Q1816" t="s">
        <v>125</v>
      </c>
      <c r="R1816" t="s">
        <v>125</v>
      </c>
      <c r="S1816" t="s">
        <v>125</v>
      </c>
      <c r="T1816">
        <v>0</v>
      </c>
      <c r="V1816" t="s">
        <v>125</v>
      </c>
      <c r="AE1816" t="s">
        <v>125</v>
      </c>
      <c r="AF1816">
        <v>0</v>
      </c>
      <c r="AG1816" t="s">
        <v>125</v>
      </c>
      <c r="AH1816">
        <v>0</v>
      </c>
      <c r="AK1816">
        <v>0</v>
      </c>
    </row>
    <row r="1817" spans="1:37" x14ac:dyDescent="0.25">
      <c r="A1817" t="s">
        <v>79</v>
      </c>
      <c r="B1817">
        <v>7</v>
      </c>
      <c r="C1817">
        <v>3</v>
      </c>
      <c r="D1817">
        <v>2</v>
      </c>
      <c r="E1817">
        <v>15</v>
      </c>
      <c r="G1817">
        <v>732</v>
      </c>
      <c r="H1817" t="s">
        <v>63</v>
      </c>
      <c r="I1817" t="s">
        <v>139</v>
      </c>
      <c r="J1817" t="s">
        <v>155</v>
      </c>
      <c r="L1817">
        <v>0</v>
      </c>
      <c r="M1817" t="s">
        <v>125</v>
      </c>
      <c r="O1817" t="s">
        <v>125</v>
      </c>
      <c r="P1817" t="s">
        <v>125</v>
      </c>
      <c r="Q1817" t="s">
        <v>125</v>
      </c>
      <c r="R1817" t="s">
        <v>125</v>
      </c>
      <c r="S1817" t="s">
        <v>125</v>
      </c>
      <c r="T1817">
        <v>0</v>
      </c>
      <c r="V1817" t="s">
        <v>125</v>
      </c>
      <c r="AE1817" t="s">
        <v>125</v>
      </c>
      <c r="AF1817">
        <v>0</v>
      </c>
      <c r="AG1817" t="s">
        <v>125</v>
      </c>
      <c r="AH1817">
        <v>0</v>
      </c>
      <c r="AK1817">
        <v>0</v>
      </c>
    </row>
    <row r="1818" spans="1:37" x14ac:dyDescent="0.25">
      <c r="L1818">
        <v>0</v>
      </c>
    </row>
    <row r="1819" spans="1:37" x14ac:dyDescent="0.25">
      <c r="A1819" t="s">
        <v>70</v>
      </c>
      <c r="B1819">
        <v>7</v>
      </c>
      <c r="C1819">
        <v>3</v>
      </c>
      <c r="D1819">
        <v>3</v>
      </c>
      <c r="G1819">
        <v>73</v>
      </c>
      <c r="L1819">
        <v>0</v>
      </c>
      <c r="M1819" t="s">
        <v>125</v>
      </c>
      <c r="P1819" t="s">
        <v>125</v>
      </c>
      <c r="R1819" t="s">
        <v>125</v>
      </c>
      <c r="S1819" t="s">
        <v>63</v>
      </c>
      <c r="V1819" t="s">
        <v>125</v>
      </c>
      <c r="X1819" t="s">
        <v>125</v>
      </c>
      <c r="Y1819" t="s">
        <v>125</v>
      </c>
      <c r="Z1819" t="s">
        <v>125</v>
      </c>
      <c r="AA1819" t="s">
        <v>125</v>
      </c>
      <c r="AB1819" t="s">
        <v>125</v>
      </c>
      <c r="AC1819" t="s">
        <v>125</v>
      </c>
      <c r="AE1819" t="s">
        <v>125</v>
      </c>
      <c r="AF1819">
        <v>0</v>
      </c>
      <c r="AG1819" t="s">
        <v>125</v>
      </c>
      <c r="AH1819">
        <v>0</v>
      </c>
      <c r="AK1819">
        <v>0</v>
      </c>
    </row>
    <row r="1820" spans="1:37" x14ac:dyDescent="0.25">
      <c r="A1820" t="s">
        <v>79</v>
      </c>
      <c r="B1820">
        <v>7</v>
      </c>
      <c r="C1820">
        <v>3</v>
      </c>
      <c r="D1820">
        <v>3</v>
      </c>
      <c r="E1820">
        <v>1</v>
      </c>
      <c r="G1820">
        <v>733</v>
      </c>
      <c r="H1820" t="s">
        <v>63</v>
      </c>
      <c r="I1820" t="s">
        <v>80</v>
      </c>
      <c r="J1820" t="s">
        <v>141</v>
      </c>
      <c r="L1820">
        <v>0</v>
      </c>
      <c r="M1820" t="s">
        <v>125</v>
      </c>
      <c r="O1820" t="s">
        <v>125</v>
      </c>
      <c r="P1820" t="s">
        <v>125</v>
      </c>
      <c r="Q1820" t="s">
        <v>125</v>
      </c>
      <c r="R1820" t="s">
        <v>125</v>
      </c>
      <c r="S1820" t="s">
        <v>125</v>
      </c>
      <c r="T1820">
        <v>0</v>
      </c>
      <c r="V1820" t="s">
        <v>125</v>
      </c>
      <c r="AE1820" t="s">
        <v>125</v>
      </c>
      <c r="AF1820">
        <v>0</v>
      </c>
      <c r="AG1820" t="s">
        <v>125</v>
      </c>
      <c r="AH1820">
        <v>0</v>
      </c>
      <c r="AK1820">
        <v>0</v>
      </c>
    </row>
    <row r="1821" spans="1:37" x14ac:dyDescent="0.25">
      <c r="A1821" t="s">
        <v>79</v>
      </c>
      <c r="B1821">
        <v>7</v>
      </c>
      <c r="C1821">
        <v>3</v>
      </c>
      <c r="D1821">
        <v>3</v>
      </c>
      <c r="E1821">
        <v>2</v>
      </c>
      <c r="G1821">
        <v>733</v>
      </c>
      <c r="H1821" t="s">
        <v>63</v>
      </c>
      <c r="I1821" t="s">
        <v>88</v>
      </c>
      <c r="J1821" t="s">
        <v>142</v>
      </c>
      <c r="L1821">
        <v>0</v>
      </c>
      <c r="M1821" t="s">
        <v>125</v>
      </c>
      <c r="O1821" t="s">
        <v>125</v>
      </c>
      <c r="P1821" t="s">
        <v>125</v>
      </c>
      <c r="Q1821" t="s">
        <v>125</v>
      </c>
      <c r="R1821" t="s">
        <v>125</v>
      </c>
      <c r="S1821" t="s">
        <v>125</v>
      </c>
      <c r="T1821">
        <v>0</v>
      </c>
      <c r="V1821" t="s">
        <v>125</v>
      </c>
      <c r="AE1821" t="s">
        <v>125</v>
      </c>
      <c r="AF1821">
        <v>0</v>
      </c>
      <c r="AG1821" t="s">
        <v>125</v>
      </c>
      <c r="AH1821">
        <v>0</v>
      </c>
      <c r="AK1821">
        <v>0</v>
      </c>
    </row>
    <row r="1822" spans="1:37" x14ac:dyDescent="0.25">
      <c r="A1822" t="s">
        <v>79</v>
      </c>
      <c r="B1822">
        <v>7</v>
      </c>
      <c r="C1822">
        <v>3</v>
      </c>
      <c r="D1822">
        <v>3</v>
      </c>
      <c r="E1822">
        <v>3</v>
      </c>
      <c r="G1822">
        <v>733</v>
      </c>
      <c r="H1822" t="s">
        <v>63</v>
      </c>
      <c r="I1822" t="s">
        <v>95</v>
      </c>
      <c r="J1822" t="s">
        <v>143</v>
      </c>
      <c r="L1822">
        <v>0</v>
      </c>
      <c r="M1822" t="s">
        <v>125</v>
      </c>
      <c r="O1822" t="s">
        <v>125</v>
      </c>
      <c r="P1822" t="s">
        <v>125</v>
      </c>
      <c r="Q1822" t="s">
        <v>125</v>
      </c>
      <c r="R1822" t="s">
        <v>125</v>
      </c>
      <c r="S1822" t="s">
        <v>125</v>
      </c>
      <c r="T1822">
        <v>0</v>
      </c>
      <c r="V1822" t="s">
        <v>125</v>
      </c>
      <c r="AE1822" t="s">
        <v>125</v>
      </c>
      <c r="AF1822">
        <v>0</v>
      </c>
      <c r="AG1822" t="s">
        <v>125</v>
      </c>
      <c r="AH1822">
        <v>0</v>
      </c>
      <c r="AK1822">
        <v>0</v>
      </c>
    </row>
    <row r="1823" spans="1:37" x14ac:dyDescent="0.25">
      <c r="A1823" t="s">
        <v>79</v>
      </c>
      <c r="B1823">
        <v>7</v>
      </c>
      <c r="C1823">
        <v>3</v>
      </c>
      <c r="D1823">
        <v>3</v>
      </c>
      <c r="E1823">
        <v>4</v>
      </c>
      <c r="G1823">
        <v>733</v>
      </c>
      <c r="H1823" t="s">
        <v>63</v>
      </c>
      <c r="I1823" t="s">
        <v>102</v>
      </c>
      <c r="J1823" t="s">
        <v>144</v>
      </c>
      <c r="L1823">
        <v>0</v>
      </c>
      <c r="M1823" t="s">
        <v>125</v>
      </c>
      <c r="O1823" t="s">
        <v>125</v>
      </c>
      <c r="P1823" t="s">
        <v>125</v>
      </c>
      <c r="Q1823" t="s">
        <v>125</v>
      </c>
      <c r="R1823" t="s">
        <v>125</v>
      </c>
      <c r="S1823" t="s">
        <v>125</v>
      </c>
      <c r="T1823">
        <v>0</v>
      </c>
      <c r="V1823" t="s">
        <v>125</v>
      </c>
      <c r="AE1823" t="s">
        <v>125</v>
      </c>
      <c r="AF1823">
        <v>0</v>
      </c>
      <c r="AG1823" t="s">
        <v>125</v>
      </c>
      <c r="AH1823">
        <v>0</v>
      </c>
      <c r="AK1823">
        <v>0</v>
      </c>
    </row>
    <row r="1824" spans="1:37" x14ac:dyDescent="0.25">
      <c r="A1824" t="s">
        <v>79</v>
      </c>
      <c r="B1824">
        <v>7</v>
      </c>
      <c r="C1824">
        <v>3</v>
      </c>
      <c r="D1824">
        <v>3</v>
      </c>
      <c r="E1824">
        <v>5</v>
      </c>
      <c r="G1824">
        <v>733</v>
      </c>
      <c r="H1824" t="s">
        <v>63</v>
      </c>
      <c r="I1824" t="s">
        <v>109</v>
      </c>
      <c r="J1824" t="s">
        <v>145</v>
      </c>
      <c r="L1824">
        <v>0</v>
      </c>
      <c r="M1824" t="s">
        <v>125</v>
      </c>
      <c r="O1824" t="s">
        <v>125</v>
      </c>
      <c r="P1824" t="s">
        <v>125</v>
      </c>
      <c r="Q1824" t="s">
        <v>125</v>
      </c>
      <c r="R1824" t="s">
        <v>125</v>
      </c>
      <c r="S1824" t="s">
        <v>125</v>
      </c>
      <c r="T1824">
        <v>0</v>
      </c>
      <c r="V1824" t="s">
        <v>125</v>
      </c>
      <c r="AE1824" t="s">
        <v>125</v>
      </c>
      <c r="AF1824">
        <v>0</v>
      </c>
      <c r="AG1824" t="s">
        <v>125</v>
      </c>
      <c r="AH1824">
        <v>0</v>
      </c>
      <c r="AK1824">
        <v>0</v>
      </c>
    </row>
    <row r="1825" spans="1:37" x14ac:dyDescent="0.25">
      <c r="A1825" t="s">
        <v>79</v>
      </c>
      <c r="B1825">
        <v>7</v>
      </c>
      <c r="C1825">
        <v>3</v>
      </c>
      <c r="D1825">
        <v>3</v>
      </c>
      <c r="E1825">
        <v>6</v>
      </c>
      <c r="G1825">
        <v>733</v>
      </c>
      <c r="H1825" t="s">
        <v>63</v>
      </c>
      <c r="I1825" t="s">
        <v>116</v>
      </c>
      <c r="J1825" t="s">
        <v>146</v>
      </c>
      <c r="L1825">
        <v>0</v>
      </c>
      <c r="M1825" t="s">
        <v>125</v>
      </c>
      <c r="O1825" t="s">
        <v>125</v>
      </c>
      <c r="P1825" t="s">
        <v>125</v>
      </c>
      <c r="Q1825" t="s">
        <v>125</v>
      </c>
      <c r="R1825" t="s">
        <v>125</v>
      </c>
      <c r="S1825" t="s">
        <v>125</v>
      </c>
      <c r="T1825">
        <v>0</v>
      </c>
      <c r="V1825" t="s">
        <v>125</v>
      </c>
      <c r="AE1825" t="s">
        <v>125</v>
      </c>
      <c r="AF1825">
        <v>0</v>
      </c>
      <c r="AG1825" t="s">
        <v>125</v>
      </c>
      <c r="AH1825">
        <v>0</v>
      </c>
      <c r="AK1825">
        <v>0</v>
      </c>
    </row>
    <row r="1826" spans="1:37" x14ac:dyDescent="0.25">
      <c r="A1826" t="s">
        <v>79</v>
      </c>
      <c r="B1826">
        <v>7</v>
      </c>
      <c r="C1826">
        <v>3</v>
      </c>
      <c r="D1826">
        <v>3</v>
      </c>
      <c r="E1826">
        <v>7</v>
      </c>
      <c r="G1826">
        <v>733</v>
      </c>
      <c r="H1826" t="s">
        <v>63</v>
      </c>
      <c r="I1826" t="s">
        <v>123</v>
      </c>
      <c r="J1826" t="s">
        <v>147</v>
      </c>
      <c r="L1826">
        <v>0</v>
      </c>
      <c r="M1826" t="s">
        <v>125</v>
      </c>
      <c r="O1826" t="s">
        <v>125</v>
      </c>
      <c r="P1826" t="s">
        <v>125</v>
      </c>
      <c r="Q1826" t="s">
        <v>125</v>
      </c>
      <c r="R1826" t="s">
        <v>125</v>
      </c>
      <c r="S1826" t="s">
        <v>125</v>
      </c>
      <c r="T1826">
        <v>0</v>
      </c>
      <c r="V1826" t="s">
        <v>125</v>
      </c>
      <c r="AE1826" t="s">
        <v>125</v>
      </c>
      <c r="AF1826">
        <v>0</v>
      </c>
      <c r="AG1826" t="s">
        <v>125</v>
      </c>
      <c r="AH1826">
        <v>0</v>
      </c>
      <c r="AK1826">
        <v>0</v>
      </c>
    </row>
    <row r="1827" spans="1:37" x14ac:dyDescent="0.25">
      <c r="A1827" t="s">
        <v>79</v>
      </c>
      <c r="B1827">
        <v>7</v>
      </c>
      <c r="C1827">
        <v>3</v>
      </c>
      <c r="D1827">
        <v>3</v>
      </c>
      <c r="E1827">
        <v>8</v>
      </c>
      <c r="G1827">
        <v>733</v>
      </c>
      <c r="H1827" t="s">
        <v>63</v>
      </c>
      <c r="I1827" t="s">
        <v>126</v>
      </c>
      <c r="J1827" t="s">
        <v>148</v>
      </c>
      <c r="L1827">
        <v>0</v>
      </c>
      <c r="M1827" t="s">
        <v>125</v>
      </c>
      <c r="O1827" t="s">
        <v>125</v>
      </c>
      <c r="P1827" t="s">
        <v>125</v>
      </c>
      <c r="Q1827" t="s">
        <v>125</v>
      </c>
      <c r="R1827" t="s">
        <v>125</v>
      </c>
      <c r="S1827" t="s">
        <v>125</v>
      </c>
      <c r="T1827">
        <v>0</v>
      </c>
      <c r="V1827" t="s">
        <v>125</v>
      </c>
      <c r="AE1827" t="s">
        <v>125</v>
      </c>
      <c r="AF1827">
        <v>0</v>
      </c>
      <c r="AG1827" t="s">
        <v>125</v>
      </c>
      <c r="AH1827">
        <v>0</v>
      </c>
      <c r="AK1827">
        <v>0</v>
      </c>
    </row>
    <row r="1828" spans="1:37" x14ac:dyDescent="0.25">
      <c r="A1828" t="s">
        <v>79</v>
      </c>
      <c r="B1828">
        <v>7</v>
      </c>
      <c r="C1828">
        <v>3</v>
      </c>
      <c r="D1828">
        <v>3</v>
      </c>
      <c r="E1828">
        <v>9</v>
      </c>
      <c r="G1828">
        <v>733</v>
      </c>
      <c r="H1828" t="s">
        <v>63</v>
      </c>
      <c r="I1828" t="s">
        <v>74</v>
      </c>
      <c r="J1828" t="s">
        <v>149</v>
      </c>
      <c r="L1828">
        <v>0</v>
      </c>
      <c r="M1828" t="s">
        <v>125</v>
      </c>
      <c r="O1828" t="s">
        <v>125</v>
      </c>
      <c r="P1828" t="s">
        <v>125</v>
      </c>
      <c r="Q1828" t="s">
        <v>125</v>
      </c>
      <c r="R1828" t="s">
        <v>125</v>
      </c>
      <c r="S1828" t="s">
        <v>125</v>
      </c>
      <c r="T1828">
        <v>0</v>
      </c>
      <c r="V1828" t="s">
        <v>125</v>
      </c>
      <c r="AE1828" t="s">
        <v>125</v>
      </c>
      <c r="AF1828">
        <v>0</v>
      </c>
      <c r="AG1828" t="s">
        <v>125</v>
      </c>
      <c r="AH1828">
        <v>0</v>
      </c>
      <c r="AK1828">
        <v>0</v>
      </c>
    </row>
    <row r="1829" spans="1:37" x14ac:dyDescent="0.25">
      <c r="A1829" t="s">
        <v>79</v>
      </c>
      <c r="B1829">
        <v>7</v>
      </c>
      <c r="C1829">
        <v>3</v>
      </c>
      <c r="D1829">
        <v>3</v>
      </c>
      <c r="E1829">
        <v>10</v>
      </c>
      <c r="G1829">
        <v>733</v>
      </c>
      <c r="H1829" t="s">
        <v>63</v>
      </c>
      <c r="I1829" t="s">
        <v>129</v>
      </c>
      <c r="J1829" t="s">
        <v>150</v>
      </c>
      <c r="L1829">
        <v>0</v>
      </c>
      <c r="M1829" t="s">
        <v>125</v>
      </c>
      <c r="O1829" t="s">
        <v>125</v>
      </c>
      <c r="P1829" t="s">
        <v>125</v>
      </c>
      <c r="Q1829" t="s">
        <v>125</v>
      </c>
      <c r="R1829" t="s">
        <v>125</v>
      </c>
      <c r="S1829" t="s">
        <v>125</v>
      </c>
      <c r="T1829">
        <v>0</v>
      </c>
      <c r="V1829" t="s">
        <v>125</v>
      </c>
      <c r="AE1829" t="s">
        <v>125</v>
      </c>
      <c r="AF1829">
        <v>0</v>
      </c>
      <c r="AG1829" t="s">
        <v>125</v>
      </c>
      <c r="AH1829">
        <v>0</v>
      </c>
      <c r="AK1829">
        <v>0</v>
      </c>
    </row>
    <row r="1830" spans="1:37" x14ac:dyDescent="0.25">
      <c r="A1830" t="s">
        <v>79</v>
      </c>
      <c r="B1830">
        <v>7</v>
      </c>
      <c r="C1830">
        <v>3</v>
      </c>
      <c r="D1830">
        <v>3</v>
      </c>
      <c r="E1830">
        <v>11</v>
      </c>
      <c r="G1830">
        <v>733</v>
      </c>
      <c r="H1830" t="s">
        <v>63</v>
      </c>
      <c r="I1830" t="s">
        <v>131</v>
      </c>
      <c r="J1830" t="s">
        <v>151</v>
      </c>
      <c r="L1830">
        <v>0</v>
      </c>
      <c r="M1830" t="s">
        <v>125</v>
      </c>
      <c r="O1830" t="s">
        <v>125</v>
      </c>
      <c r="P1830" t="s">
        <v>125</v>
      </c>
      <c r="Q1830" t="s">
        <v>125</v>
      </c>
      <c r="R1830" t="s">
        <v>125</v>
      </c>
      <c r="S1830" t="s">
        <v>125</v>
      </c>
      <c r="T1830">
        <v>0</v>
      </c>
      <c r="V1830" t="s">
        <v>125</v>
      </c>
      <c r="AE1830" t="s">
        <v>125</v>
      </c>
      <c r="AF1830">
        <v>0</v>
      </c>
      <c r="AG1830" t="s">
        <v>125</v>
      </c>
      <c r="AH1830">
        <v>0</v>
      </c>
      <c r="AK1830">
        <v>0</v>
      </c>
    </row>
    <row r="1831" spans="1:37" x14ac:dyDescent="0.25">
      <c r="A1831" t="s">
        <v>79</v>
      </c>
      <c r="B1831">
        <v>7</v>
      </c>
      <c r="C1831">
        <v>3</v>
      </c>
      <c r="D1831">
        <v>3</v>
      </c>
      <c r="E1831">
        <v>12</v>
      </c>
      <c r="G1831">
        <v>733</v>
      </c>
      <c r="H1831" t="s">
        <v>63</v>
      </c>
      <c r="I1831" t="s">
        <v>133</v>
      </c>
      <c r="J1831" t="s">
        <v>152</v>
      </c>
      <c r="L1831">
        <v>0</v>
      </c>
      <c r="M1831" t="s">
        <v>125</v>
      </c>
      <c r="O1831" t="s">
        <v>125</v>
      </c>
      <c r="P1831" t="s">
        <v>125</v>
      </c>
      <c r="Q1831" t="s">
        <v>125</v>
      </c>
      <c r="R1831" t="s">
        <v>125</v>
      </c>
      <c r="S1831" t="s">
        <v>125</v>
      </c>
      <c r="T1831">
        <v>0</v>
      </c>
      <c r="V1831" t="s">
        <v>125</v>
      </c>
      <c r="AE1831" t="s">
        <v>125</v>
      </c>
      <c r="AF1831">
        <v>0</v>
      </c>
      <c r="AG1831" t="s">
        <v>125</v>
      </c>
      <c r="AH1831">
        <v>0</v>
      </c>
      <c r="AK1831">
        <v>0</v>
      </c>
    </row>
    <row r="1832" spans="1:37" x14ac:dyDescent="0.25">
      <c r="A1832" t="s">
        <v>79</v>
      </c>
      <c r="B1832">
        <v>7</v>
      </c>
      <c r="C1832">
        <v>3</v>
      </c>
      <c r="D1832">
        <v>3</v>
      </c>
      <c r="E1832">
        <v>13</v>
      </c>
      <c r="G1832">
        <v>733</v>
      </c>
      <c r="H1832" t="s">
        <v>63</v>
      </c>
      <c r="I1832" t="s">
        <v>135</v>
      </c>
      <c r="J1832" t="s">
        <v>153</v>
      </c>
      <c r="L1832">
        <v>0</v>
      </c>
      <c r="M1832" t="s">
        <v>125</v>
      </c>
      <c r="O1832" t="s">
        <v>125</v>
      </c>
      <c r="P1832" t="s">
        <v>125</v>
      </c>
      <c r="Q1832" t="s">
        <v>125</v>
      </c>
      <c r="R1832" t="s">
        <v>125</v>
      </c>
      <c r="S1832" t="s">
        <v>125</v>
      </c>
      <c r="T1832">
        <v>0</v>
      </c>
      <c r="V1832" t="s">
        <v>125</v>
      </c>
      <c r="AE1832" t="s">
        <v>125</v>
      </c>
      <c r="AF1832">
        <v>0</v>
      </c>
      <c r="AG1832" t="s">
        <v>125</v>
      </c>
      <c r="AH1832">
        <v>0</v>
      </c>
      <c r="AK1832">
        <v>0</v>
      </c>
    </row>
    <row r="1833" spans="1:37" x14ac:dyDescent="0.25">
      <c r="A1833" t="s">
        <v>79</v>
      </c>
      <c r="B1833">
        <v>7</v>
      </c>
      <c r="C1833">
        <v>3</v>
      </c>
      <c r="D1833">
        <v>3</v>
      </c>
      <c r="E1833">
        <v>14</v>
      </c>
      <c r="G1833">
        <v>733</v>
      </c>
      <c r="H1833" t="s">
        <v>63</v>
      </c>
      <c r="I1833" t="s">
        <v>137</v>
      </c>
      <c r="J1833" t="s">
        <v>154</v>
      </c>
      <c r="L1833">
        <v>0</v>
      </c>
      <c r="M1833" t="s">
        <v>125</v>
      </c>
      <c r="O1833" t="s">
        <v>125</v>
      </c>
      <c r="P1833" t="s">
        <v>125</v>
      </c>
      <c r="Q1833" t="s">
        <v>125</v>
      </c>
      <c r="R1833" t="s">
        <v>125</v>
      </c>
      <c r="S1833" t="s">
        <v>125</v>
      </c>
      <c r="T1833">
        <v>0</v>
      </c>
      <c r="V1833" t="s">
        <v>125</v>
      </c>
      <c r="AE1833" t="s">
        <v>125</v>
      </c>
      <c r="AF1833">
        <v>0</v>
      </c>
      <c r="AG1833" t="s">
        <v>125</v>
      </c>
      <c r="AH1833">
        <v>0</v>
      </c>
      <c r="AK1833">
        <v>0</v>
      </c>
    </row>
    <row r="1834" spans="1:37" x14ac:dyDescent="0.25">
      <c r="A1834" t="s">
        <v>79</v>
      </c>
      <c r="B1834">
        <v>7</v>
      </c>
      <c r="C1834">
        <v>3</v>
      </c>
      <c r="D1834">
        <v>3</v>
      </c>
      <c r="E1834">
        <v>15</v>
      </c>
      <c r="G1834">
        <v>733</v>
      </c>
      <c r="H1834" t="s">
        <v>63</v>
      </c>
      <c r="I1834" t="s">
        <v>139</v>
      </c>
      <c r="J1834" t="s">
        <v>155</v>
      </c>
      <c r="L1834">
        <v>0</v>
      </c>
      <c r="M1834" t="s">
        <v>125</v>
      </c>
      <c r="O1834" t="s">
        <v>125</v>
      </c>
      <c r="P1834" t="s">
        <v>125</v>
      </c>
      <c r="Q1834" t="s">
        <v>125</v>
      </c>
      <c r="R1834" t="s">
        <v>125</v>
      </c>
      <c r="S1834" t="s">
        <v>125</v>
      </c>
      <c r="T1834">
        <v>0</v>
      </c>
      <c r="V1834" t="s">
        <v>125</v>
      </c>
      <c r="AE1834" t="s">
        <v>125</v>
      </c>
      <c r="AF1834">
        <v>0</v>
      </c>
      <c r="AG1834" t="s">
        <v>125</v>
      </c>
      <c r="AH1834">
        <v>0</v>
      </c>
      <c r="AK1834">
        <v>0</v>
      </c>
    </row>
    <row r="1835" spans="1:37" x14ac:dyDescent="0.25">
      <c r="L1835">
        <v>0</v>
      </c>
    </row>
    <row r="1836" spans="1:37" x14ac:dyDescent="0.25">
      <c r="A1836" t="s">
        <v>70</v>
      </c>
      <c r="B1836">
        <v>7</v>
      </c>
      <c r="C1836">
        <v>3</v>
      </c>
      <c r="D1836">
        <v>4</v>
      </c>
      <c r="G1836">
        <v>73</v>
      </c>
      <c r="L1836">
        <v>0</v>
      </c>
      <c r="M1836" t="s">
        <v>125</v>
      </c>
      <c r="P1836" t="s">
        <v>125</v>
      </c>
      <c r="R1836" t="s">
        <v>125</v>
      </c>
      <c r="S1836" t="s">
        <v>63</v>
      </c>
      <c r="V1836" t="s">
        <v>125</v>
      </c>
      <c r="X1836" t="s">
        <v>125</v>
      </c>
      <c r="Y1836" t="s">
        <v>125</v>
      </c>
      <c r="Z1836" t="s">
        <v>125</v>
      </c>
      <c r="AA1836" t="s">
        <v>125</v>
      </c>
      <c r="AB1836" t="s">
        <v>125</v>
      </c>
      <c r="AC1836" t="s">
        <v>125</v>
      </c>
      <c r="AE1836" t="s">
        <v>125</v>
      </c>
      <c r="AF1836">
        <v>0</v>
      </c>
      <c r="AG1836" t="s">
        <v>125</v>
      </c>
      <c r="AH1836">
        <v>0</v>
      </c>
      <c r="AK1836">
        <v>0</v>
      </c>
    </row>
    <row r="1837" spans="1:37" x14ac:dyDescent="0.25">
      <c r="A1837" t="s">
        <v>79</v>
      </c>
      <c r="B1837">
        <v>7</v>
      </c>
      <c r="C1837">
        <v>3</v>
      </c>
      <c r="D1837">
        <v>4</v>
      </c>
      <c r="E1837">
        <v>1</v>
      </c>
      <c r="G1837">
        <v>734</v>
      </c>
      <c r="H1837" t="s">
        <v>63</v>
      </c>
      <c r="I1837" t="s">
        <v>80</v>
      </c>
      <c r="J1837" t="s">
        <v>141</v>
      </c>
      <c r="L1837">
        <v>0</v>
      </c>
      <c r="M1837" t="s">
        <v>125</v>
      </c>
      <c r="O1837" t="s">
        <v>125</v>
      </c>
      <c r="P1837" t="s">
        <v>125</v>
      </c>
      <c r="Q1837" t="s">
        <v>125</v>
      </c>
      <c r="R1837" t="s">
        <v>125</v>
      </c>
      <c r="S1837" t="s">
        <v>125</v>
      </c>
      <c r="T1837">
        <v>0</v>
      </c>
      <c r="V1837" t="s">
        <v>125</v>
      </c>
      <c r="AE1837" t="s">
        <v>125</v>
      </c>
      <c r="AF1837">
        <v>0</v>
      </c>
      <c r="AG1837" t="s">
        <v>125</v>
      </c>
      <c r="AH1837">
        <v>0</v>
      </c>
      <c r="AK1837">
        <v>0</v>
      </c>
    </row>
    <row r="1838" spans="1:37" x14ac:dyDescent="0.25">
      <c r="A1838" t="s">
        <v>79</v>
      </c>
      <c r="B1838">
        <v>7</v>
      </c>
      <c r="C1838">
        <v>3</v>
      </c>
      <c r="D1838">
        <v>4</v>
      </c>
      <c r="E1838">
        <v>2</v>
      </c>
      <c r="G1838">
        <v>734</v>
      </c>
      <c r="H1838" t="s">
        <v>63</v>
      </c>
      <c r="I1838" t="s">
        <v>88</v>
      </c>
      <c r="J1838" t="s">
        <v>142</v>
      </c>
      <c r="L1838">
        <v>0</v>
      </c>
      <c r="M1838" t="s">
        <v>125</v>
      </c>
      <c r="O1838" t="s">
        <v>125</v>
      </c>
      <c r="P1838" t="s">
        <v>125</v>
      </c>
      <c r="Q1838" t="s">
        <v>125</v>
      </c>
      <c r="R1838" t="s">
        <v>125</v>
      </c>
      <c r="S1838" t="s">
        <v>125</v>
      </c>
      <c r="T1838">
        <v>0</v>
      </c>
      <c r="V1838" t="s">
        <v>125</v>
      </c>
      <c r="AE1838" t="s">
        <v>125</v>
      </c>
      <c r="AF1838">
        <v>0</v>
      </c>
      <c r="AG1838" t="s">
        <v>125</v>
      </c>
      <c r="AH1838">
        <v>0</v>
      </c>
      <c r="AK1838">
        <v>0</v>
      </c>
    </row>
    <row r="1839" spans="1:37" x14ac:dyDescent="0.25">
      <c r="A1839" t="s">
        <v>79</v>
      </c>
      <c r="B1839">
        <v>7</v>
      </c>
      <c r="C1839">
        <v>3</v>
      </c>
      <c r="D1839">
        <v>4</v>
      </c>
      <c r="E1839">
        <v>3</v>
      </c>
      <c r="G1839">
        <v>734</v>
      </c>
      <c r="H1839" t="s">
        <v>63</v>
      </c>
      <c r="I1839" t="s">
        <v>95</v>
      </c>
      <c r="J1839" t="s">
        <v>143</v>
      </c>
      <c r="L1839">
        <v>0</v>
      </c>
      <c r="M1839" t="s">
        <v>125</v>
      </c>
      <c r="O1839" t="s">
        <v>125</v>
      </c>
      <c r="P1839" t="s">
        <v>125</v>
      </c>
      <c r="Q1839" t="s">
        <v>125</v>
      </c>
      <c r="R1839" t="s">
        <v>125</v>
      </c>
      <c r="S1839" t="s">
        <v>125</v>
      </c>
      <c r="T1839">
        <v>0</v>
      </c>
      <c r="V1839" t="s">
        <v>125</v>
      </c>
      <c r="AE1839" t="s">
        <v>125</v>
      </c>
      <c r="AF1839">
        <v>0</v>
      </c>
      <c r="AG1839" t="s">
        <v>125</v>
      </c>
      <c r="AH1839">
        <v>0</v>
      </c>
      <c r="AK1839">
        <v>0</v>
      </c>
    </row>
    <row r="1840" spans="1:37" x14ac:dyDescent="0.25">
      <c r="A1840" t="s">
        <v>79</v>
      </c>
      <c r="B1840">
        <v>7</v>
      </c>
      <c r="C1840">
        <v>3</v>
      </c>
      <c r="D1840">
        <v>4</v>
      </c>
      <c r="E1840">
        <v>4</v>
      </c>
      <c r="G1840">
        <v>734</v>
      </c>
      <c r="H1840" t="s">
        <v>63</v>
      </c>
      <c r="I1840" t="s">
        <v>102</v>
      </c>
      <c r="J1840" t="s">
        <v>144</v>
      </c>
      <c r="L1840">
        <v>0</v>
      </c>
      <c r="M1840" t="s">
        <v>125</v>
      </c>
      <c r="O1840" t="s">
        <v>125</v>
      </c>
      <c r="P1840" t="s">
        <v>125</v>
      </c>
      <c r="Q1840" t="s">
        <v>125</v>
      </c>
      <c r="R1840" t="s">
        <v>125</v>
      </c>
      <c r="S1840" t="s">
        <v>125</v>
      </c>
      <c r="T1840">
        <v>0</v>
      </c>
      <c r="V1840" t="s">
        <v>125</v>
      </c>
      <c r="AE1840" t="s">
        <v>125</v>
      </c>
      <c r="AF1840">
        <v>0</v>
      </c>
      <c r="AG1840" t="s">
        <v>125</v>
      </c>
      <c r="AH1840">
        <v>0</v>
      </c>
      <c r="AK1840">
        <v>0</v>
      </c>
    </row>
    <row r="1841" spans="1:37" x14ac:dyDescent="0.25">
      <c r="A1841" t="s">
        <v>79</v>
      </c>
      <c r="B1841">
        <v>7</v>
      </c>
      <c r="C1841">
        <v>3</v>
      </c>
      <c r="D1841">
        <v>4</v>
      </c>
      <c r="E1841">
        <v>5</v>
      </c>
      <c r="G1841">
        <v>734</v>
      </c>
      <c r="H1841" t="s">
        <v>63</v>
      </c>
      <c r="I1841" t="s">
        <v>109</v>
      </c>
      <c r="J1841" t="s">
        <v>145</v>
      </c>
      <c r="L1841">
        <v>0</v>
      </c>
      <c r="M1841" t="s">
        <v>125</v>
      </c>
      <c r="O1841" t="s">
        <v>125</v>
      </c>
      <c r="P1841" t="s">
        <v>125</v>
      </c>
      <c r="Q1841" t="s">
        <v>125</v>
      </c>
      <c r="R1841" t="s">
        <v>125</v>
      </c>
      <c r="S1841" t="s">
        <v>125</v>
      </c>
      <c r="T1841">
        <v>0</v>
      </c>
      <c r="V1841" t="s">
        <v>125</v>
      </c>
      <c r="AE1841" t="s">
        <v>125</v>
      </c>
      <c r="AF1841">
        <v>0</v>
      </c>
      <c r="AG1841" t="s">
        <v>125</v>
      </c>
      <c r="AH1841">
        <v>0</v>
      </c>
      <c r="AK1841">
        <v>0</v>
      </c>
    </row>
    <row r="1842" spans="1:37" x14ac:dyDescent="0.25">
      <c r="A1842" t="s">
        <v>79</v>
      </c>
      <c r="B1842">
        <v>7</v>
      </c>
      <c r="C1842">
        <v>3</v>
      </c>
      <c r="D1842">
        <v>4</v>
      </c>
      <c r="E1842">
        <v>6</v>
      </c>
      <c r="G1842">
        <v>734</v>
      </c>
      <c r="H1842" t="s">
        <v>63</v>
      </c>
      <c r="I1842" t="s">
        <v>116</v>
      </c>
      <c r="J1842" t="s">
        <v>146</v>
      </c>
      <c r="L1842">
        <v>0</v>
      </c>
      <c r="M1842" t="s">
        <v>125</v>
      </c>
      <c r="O1842" t="s">
        <v>125</v>
      </c>
      <c r="P1842" t="s">
        <v>125</v>
      </c>
      <c r="Q1842" t="s">
        <v>125</v>
      </c>
      <c r="R1842" t="s">
        <v>125</v>
      </c>
      <c r="S1842" t="s">
        <v>125</v>
      </c>
      <c r="T1842">
        <v>0</v>
      </c>
      <c r="V1842" t="s">
        <v>125</v>
      </c>
      <c r="AE1842" t="s">
        <v>125</v>
      </c>
      <c r="AF1842">
        <v>0</v>
      </c>
      <c r="AG1842" t="s">
        <v>125</v>
      </c>
      <c r="AH1842">
        <v>0</v>
      </c>
      <c r="AK1842">
        <v>0</v>
      </c>
    </row>
    <row r="1843" spans="1:37" x14ac:dyDescent="0.25">
      <c r="A1843" t="s">
        <v>79</v>
      </c>
      <c r="B1843">
        <v>7</v>
      </c>
      <c r="C1843">
        <v>3</v>
      </c>
      <c r="D1843">
        <v>4</v>
      </c>
      <c r="E1843">
        <v>7</v>
      </c>
      <c r="G1843">
        <v>734</v>
      </c>
      <c r="H1843" t="s">
        <v>63</v>
      </c>
      <c r="I1843" t="s">
        <v>123</v>
      </c>
      <c r="J1843" t="s">
        <v>147</v>
      </c>
      <c r="L1843">
        <v>0</v>
      </c>
      <c r="M1843" t="s">
        <v>125</v>
      </c>
      <c r="O1843" t="s">
        <v>125</v>
      </c>
      <c r="P1843" t="s">
        <v>125</v>
      </c>
      <c r="Q1843" t="s">
        <v>125</v>
      </c>
      <c r="R1843" t="s">
        <v>125</v>
      </c>
      <c r="S1843" t="s">
        <v>125</v>
      </c>
      <c r="T1843">
        <v>0</v>
      </c>
      <c r="V1843" t="s">
        <v>125</v>
      </c>
      <c r="AE1843" t="s">
        <v>125</v>
      </c>
      <c r="AF1843">
        <v>0</v>
      </c>
      <c r="AG1843" t="s">
        <v>125</v>
      </c>
      <c r="AH1843">
        <v>0</v>
      </c>
      <c r="AK1843">
        <v>0</v>
      </c>
    </row>
    <row r="1844" spans="1:37" x14ac:dyDescent="0.25">
      <c r="A1844" t="s">
        <v>79</v>
      </c>
      <c r="B1844">
        <v>7</v>
      </c>
      <c r="C1844">
        <v>3</v>
      </c>
      <c r="D1844">
        <v>4</v>
      </c>
      <c r="E1844">
        <v>8</v>
      </c>
      <c r="G1844">
        <v>734</v>
      </c>
      <c r="H1844" t="s">
        <v>63</v>
      </c>
      <c r="I1844" t="s">
        <v>126</v>
      </c>
      <c r="J1844" t="s">
        <v>148</v>
      </c>
      <c r="L1844">
        <v>0</v>
      </c>
      <c r="M1844" t="s">
        <v>125</v>
      </c>
      <c r="O1844" t="s">
        <v>125</v>
      </c>
      <c r="P1844" t="s">
        <v>125</v>
      </c>
      <c r="Q1844" t="s">
        <v>125</v>
      </c>
      <c r="R1844" t="s">
        <v>125</v>
      </c>
      <c r="S1844" t="s">
        <v>125</v>
      </c>
      <c r="T1844">
        <v>0</v>
      </c>
      <c r="V1844" t="s">
        <v>125</v>
      </c>
      <c r="AE1844" t="s">
        <v>125</v>
      </c>
      <c r="AF1844">
        <v>0</v>
      </c>
      <c r="AG1844" t="s">
        <v>125</v>
      </c>
      <c r="AH1844">
        <v>0</v>
      </c>
      <c r="AK1844">
        <v>0</v>
      </c>
    </row>
    <row r="1845" spans="1:37" x14ac:dyDescent="0.25">
      <c r="A1845" t="s">
        <v>79</v>
      </c>
      <c r="B1845">
        <v>7</v>
      </c>
      <c r="C1845">
        <v>3</v>
      </c>
      <c r="D1845">
        <v>4</v>
      </c>
      <c r="E1845">
        <v>9</v>
      </c>
      <c r="G1845">
        <v>734</v>
      </c>
      <c r="H1845" t="s">
        <v>63</v>
      </c>
      <c r="I1845" t="s">
        <v>74</v>
      </c>
      <c r="J1845" t="s">
        <v>149</v>
      </c>
      <c r="L1845">
        <v>0</v>
      </c>
      <c r="M1845" t="s">
        <v>125</v>
      </c>
      <c r="O1845" t="s">
        <v>125</v>
      </c>
      <c r="P1845" t="s">
        <v>125</v>
      </c>
      <c r="Q1845" t="s">
        <v>125</v>
      </c>
      <c r="R1845" t="s">
        <v>125</v>
      </c>
      <c r="S1845" t="s">
        <v>125</v>
      </c>
      <c r="T1845">
        <v>0</v>
      </c>
      <c r="V1845" t="s">
        <v>125</v>
      </c>
      <c r="AE1845" t="s">
        <v>125</v>
      </c>
      <c r="AF1845">
        <v>0</v>
      </c>
      <c r="AG1845" t="s">
        <v>125</v>
      </c>
      <c r="AH1845">
        <v>0</v>
      </c>
      <c r="AK1845">
        <v>0</v>
      </c>
    </row>
    <row r="1846" spans="1:37" x14ac:dyDescent="0.25">
      <c r="A1846" t="s">
        <v>79</v>
      </c>
      <c r="B1846">
        <v>7</v>
      </c>
      <c r="C1846">
        <v>3</v>
      </c>
      <c r="D1846">
        <v>4</v>
      </c>
      <c r="E1846">
        <v>10</v>
      </c>
      <c r="G1846">
        <v>734</v>
      </c>
      <c r="H1846" t="s">
        <v>63</v>
      </c>
      <c r="I1846" t="s">
        <v>129</v>
      </c>
      <c r="J1846" t="s">
        <v>150</v>
      </c>
      <c r="L1846">
        <v>0</v>
      </c>
      <c r="M1846" t="s">
        <v>125</v>
      </c>
      <c r="O1846" t="s">
        <v>125</v>
      </c>
      <c r="P1846" t="s">
        <v>125</v>
      </c>
      <c r="Q1846" t="s">
        <v>125</v>
      </c>
      <c r="R1846" t="s">
        <v>125</v>
      </c>
      <c r="S1846" t="s">
        <v>125</v>
      </c>
      <c r="T1846">
        <v>0</v>
      </c>
      <c r="V1846" t="s">
        <v>125</v>
      </c>
      <c r="AE1846" t="s">
        <v>125</v>
      </c>
      <c r="AF1846">
        <v>0</v>
      </c>
      <c r="AG1846" t="s">
        <v>125</v>
      </c>
      <c r="AH1846">
        <v>0</v>
      </c>
      <c r="AK1846">
        <v>0</v>
      </c>
    </row>
    <row r="1847" spans="1:37" x14ac:dyDescent="0.25">
      <c r="A1847" t="s">
        <v>79</v>
      </c>
      <c r="B1847">
        <v>7</v>
      </c>
      <c r="C1847">
        <v>3</v>
      </c>
      <c r="D1847">
        <v>4</v>
      </c>
      <c r="E1847">
        <v>11</v>
      </c>
      <c r="G1847">
        <v>734</v>
      </c>
      <c r="H1847" t="s">
        <v>63</v>
      </c>
      <c r="I1847" t="s">
        <v>131</v>
      </c>
      <c r="J1847" t="s">
        <v>151</v>
      </c>
      <c r="L1847">
        <v>0</v>
      </c>
      <c r="M1847" t="s">
        <v>125</v>
      </c>
      <c r="O1847" t="s">
        <v>125</v>
      </c>
      <c r="P1847" t="s">
        <v>125</v>
      </c>
      <c r="Q1847" t="s">
        <v>125</v>
      </c>
      <c r="R1847" t="s">
        <v>125</v>
      </c>
      <c r="S1847" t="s">
        <v>125</v>
      </c>
      <c r="T1847">
        <v>0</v>
      </c>
      <c r="V1847" t="s">
        <v>125</v>
      </c>
      <c r="AE1847" t="s">
        <v>125</v>
      </c>
      <c r="AF1847">
        <v>0</v>
      </c>
      <c r="AG1847" t="s">
        <v>125</v>
      </c>
      <c r="AH1847">
        <v>0</v>
      </c>
      <c r="AK1847">
        <v>0</v>
      </c>
    </row>
    <row r="1848" spans="1:37" x14ac:dyDescent="0.25">
      <c r="A1848" t="s">
        <v>79</v>
      </c>
      <c r="B1848">
        <v>7</v>
      </c>
      <c r="C1848">
        <v>3</v>
      </c>
      <c r="D1848">
        <v>4</v>
      </c>
      <c r="E1848">
        <v>12</v>
      </c>
      <c r="G1848">
        <v>734</v>
      </c>
      <c r="H1848" t="s">
        <v>63</v>
      </c>
      <c r="I1848" t="s">
        <v>133</v>
      </c>
      <c r="J1848" t="s">
        <v>152</v>
      </c>
      <c r="L1848">
        <v>0</v>
      </c>
      <c r="M1848" t="s">
        <v>125</v>
      </c>
      <c r="O1848" t="s">
        <v>125</v>
      </c>
      <c r="P1848" t="s">
        <v>125</v>
      </c>
      <c r="Q1848" t="s">
        <v>125</v>
      </c>
      <c r="R1848" t="s">
        <v>125</v>
      </c>
      <c r="S1848" t="s">
        <v>125</v>
      </c>
      <c r="T1848">
        <v>0</v>
      </c>
      <c r="V1848" t="s">
        <v>125</v>
      </c>
      <c r="AE1848" t="s">
        <v>125</v>
      </c>
      <c r="AF1848">
        <v>0</v>
      </c>
      <c r="AG1848" t="s">
        <v>125</v>
      </c>
      <c r="AH1848">
        <v>0</v>
      </c>
      <c r="AK1848">
        <v>0</v>
      </c>
    </row>
    <row r="1849" spans="1:37" x14ac:dyDescent="0.25">
      <c r="A1849" t="s">
        <v>79</v>
      </c>
      <c r="B1849">
        <v>7</v>
      </c>
      <c r="C1849">
        <v>3</v>
      </c>
      <c r="D1849">
        <v>4</v>
      </c>
      <c r="E1849">
        <v>13</v>
      </c>
      <c r="G1849">
        <v>734</v>
      </c>
      <c r="H1849" t="s">
        <v>63</v>
      </c>
      <c r="I1849" t="s">
        <v>135</v>
      </c>
      <c r="J1849" t="s">
        <v>153</v>
      </c>
      <c r="L1849">
        <v>0</v>
      </c>
      <c r="M1849" t="s">
        <v>125</v>
      </c>
      <c r="O1849" t="s">
        <v>125</v>
      </c>
      <c r="P1849" t="s">
        <v>125</v>
      </c>
      <c r="Q1849" t="s">
        <v>125</v>
      </c>
      <c r="R1849" t="s">
        <v>125</v>
      </c>
      <c r="S1849" t="s">
        <v>125</v>
      </c>
      <c r="T1849">
        <v>0</v>
      </c>
      <c r="V1849" t="s">
        <v>125</v>
      </c>
      <c r="AE1849" t="s">
        <v>125</v>
      </c>
      <c r="AF1849">
        <v>0</v>
      </c>
      <c r="AG1849" t="s">
        <v>125</v>
      </c>
      <c r="AH1849">
        <v>0</v>
      </c>
      <c r="AK1849">
        <v>0</v>
      </c>
    </row>
    <row r="1850" spans="1:37" x14ac:dyDescent="0.25">
      <c r="A1850" t="s">
        <v>79</v>
      </c>
      <c r="B1850">
        <v>7</v>
      </c>
      <c r="C1850">
        <v>3</v>
      </c>
      <c r="D1850">
        <v>4</v>
      </c>
      <c r="E1850">
        <v>14</v>
      </c>
      <c r="G1850">
        <v>734</v>
      </c>
      <c r="H1850" t="s">
        <v>63</v>
      </c>
      <c r="I1850" t="s">
        <v>137</v>
      </c>
      <c r="J1850" t="s">
        <v>154</v>
      </c>
      <c r="L1850">
        <v>0</v>
      </c>
      <c r="M1850" t="s">
        <v>125</v>
      </c>
      <c r="O1850" t="s">
        <v>125</v>
      </c>
      <c r="P1850" t="s">
        <v>125</v>
      </c>
      <c r="Q1850" t="s">
        <v>125</v>
      </c>
      <c r="R1850" t="s">
        <v>125</v>
      </c>
      <c r="S1850" t="s">
        <v>125</v>
      </c>
      <c r="T1850">
        <v>0</v>
      </c>
      <c r="V1850" t="s">
        <v>125</v>
      </c>
      <c r="AE1850" t="s">
        <v>125</v>
      </c>
      <c r="AF1850">
        <v>0</v>
      </c>
      <c r="AG1850" t="s">
        <v>125</v>
      </c>
      <c r="AH1850">
        <v>0</v>
      </c>
      <c r="AK1850">
        <v>0</v>
      </c>
    </row>
    <row r="1851" spans="1:37" x14ac:dyDescent="0.25">
      <c r="A1851" t="s">
        <v>79</v>
      </c>
      <c r="B1851">
        <v>7</v>
      </c>
      <c r="C1851">
        <v>3</v>
      </c>
      <c r="D1851">
        <v>4</v>
      </c>
      <c r="E1851">
        <v>15</v>
      </c>
      <c r="G1851">
        <v>734</v>
      </c>
      <c r="H1851" t="s">
        <v>63</v>
      </c>
      <c r="I1851" t="s">
        <v>139</v>
      </c>
      <c r="J1851" t="s">
        <v>155</v>
      </c>
      <c r="L1851">
        <v>0</v>
      </c>
      <c r="M1851" t="s">
        <v>125</v>
      </c>
      <c r="O1851" t="s">
        <v>125</v>
      </c>
      <c r="P1851" t="s">
        <v>125</v>
      </c>
      <c r="Q1851" t="s">
        <v>125</v>
      </c>
      <c r="R1851" t="s">
        <v>125</v>
      </c>
      <c r="S1851" t="s">
        <v>125</v>
      </c>
      <c r="T1851">
        <v>0</v>
      </c>
      <c r="V1851" t="s">
        <v>125</v>
      </c>
      <c r="AE1851" t="s">
        <v>125</v>
      </c>
      <c r="AF1851">
        <v>0</v>
      </c>
      <c r="AG1851" t="s">
        <v>125</v>
      </c>
      <c r="AH1851">
        <v>0</v>
      </c>
      <c r="AK1851">
        <v>0</v>
      </c>
    </row>
    <row r="1852" spans="1:37" x14ac:dyDescent="0.25">
      <c r="L1852">
        <v>0</v>
      </c>
    </row>
    <row r="1853" spans="1:37" x14ac:dyDescent="0.25">
      <c r="A1853" t="s">
        <v>70</v>
      </c>
      <c r="B1853">
        <v>7</v>
      </c>
      <c r="C1853">
        <v>3</v>
      </c>
      <c r="D1853">
        <v>5</v>
      </c>
      <c r="G1853">
        <v>73</v>
      </c>
      <c r="L1853">
        <v>0</v>
      </c>
      <c r="M1853" t="s">
        <v>125</v>
      </c>
      <c r="P1853" t="s">
        <v>125</v>
      </c>
      <c r="R1853" t="s">
        <v>125</v>
      </c>
      <c r="S1853" t="s">
        <v>63</v>
      </c>
      <c r="V1853" t="s">
        <v>125</v>
      </c>
      <c r="X1853" t="s">
        <v>125</v>
      </c>
      <c r="Y1853" t="s">
        <v>125</v>
      </c>
      <c r="Z1853" t="s">
        <v>125</v>
      </c>
      <c r="AA1853" t="s">
        <v>125</v>
      </c>
      <c r="AB1853" t="s">
        <v>125</v>
      </c>
      <c r="AC1853" t="s">
        <v>125</v>
      </c>
      <c r="AE1853" t="s">
        <v>125</v>
      </c>
      <c r="AF1853">
        <v>0</v>
      </c>
      <c r="AG1853" t="s">
        <v>125</v>
      </c>
      <c r="AH1853">
        <v>0</v>
      </c>
      <c r="AK1853">
        <v>0</v>
      </c>
    </row>
    <row r="1854" spans="1:37" x14ac:dyDescent="0.25">
      <c r="A1854" t="s">
        <v>79</v>
      </c>
      <c r="B1854">
        <v>7</v>
      </c>
      <c r="C1854">
        <v>3</v>
      </c>
      <c r="D1854">
        <v>5</v>
      </c>
      <c r="E1854">
        <v>1</v>
      </c>
      <c r="G1854">
        <v>735</v>
      </c>
      <c r="H1854" t="s">
        <v>63</v>
      </c>
      <c r="I1854" t="s">
        <v>80</v>
      </c>
      <c r="J1854" t="s">
        <v>141</v>
      </c>
      <c r="L1854">
        <v>0</v>
      </c>
      <c r="M1854" t="s">
        <v>125</v>
      </c>
      <c r="O1854" t="s">
        <v>125</v>
      </c>
      <c r="P1854" t="s">
        <v>125</v>
      </c>
      <c r="Q1854" t="s">
        <v>125</v>
      </c>
      <c r="R1854" t="s">
        <v>125</v>
      </c>
      <c r="S1854" t="s">
        <v>125</v>
      </c>
      <c r="T1854">
        <v>0</v>
      </c>
      <c r="V1854" t="s">
        <v>125</v>
      </c>
      <c r="AE1854" t="s">
        <v>125</v>
      </c>
      <c r="AF1854">
        <v>0</v>
      </c>
      <c r="AG1854" t="s">
        <v>125</v>
      </c>
      <c r="AH1854">
        <v>0</v>
      </c>
      <c r="AK1854">
        <v>0</v>
      </c>
    </row>
    <row r="1855" spans="1:37" x14ac:dyDescent="0.25">
      <c r="A1855" t="s">
        <v>79</v>
      </c>
      <c r="B1855">
        <v>7</v>
      </c>
      <c r="C1855">
        <v>3</v>
      </c>
      <c r="D1855">
        <v>5</v>
      </c>
      <c r="E1855">
        <v>2</v>
      </c>
      <c r="G1855">
        <v>735</v>
      </c>
      <c r="H1855" t="s">
        <v>63</v>
      </c>
      <c r="I1855" t="s">
        <v>88</v>
      </c>
      <c r="J1855" t="s">
        <v>142</v>
      </c>
      <c r="L1855">
        <v>0</v>
      </c>
      <c r="M1855" t="s">
        <v>125</v>
      </c>
      <c r="O1855" t="s">
        <v>125</v>
      </c>
      <c r="P1855" t="s">
        <v>125</v>
      </c>
      <c r="Q1855" t="s">
        <v>125</v>
      </c>
      <c r="R1855" t="s">
        <v>125</v>
      </c>
      <c r="S1855" t="s">
        <v>125</v>
      </c>
      <c r="T1855">
        <v>0</v>
      </c>
      <c r="V1855" t="s">
        <v>125</v>
      </c>
      <c r="AE1855" t="s">
        <v>125</v>
      </c>
      <c r="AF1855">
        <v>0</v>
      </c>
      <c r="AG1855" t="s">
        <v>125</v>
      </c>
      <c r="AH1855">
        <v>0</v>
      </c>
      <c r="AK1855">
        <v>0</v>
      </c>
    </row>
    <row r="1856" spans="1:37" x14ac:dyDescent="0.25">
      <c r="A1856" t="s">
        <v>79</v>
      </c>
      <c r="B1856">
        <v>7</v>
      </c>
      <c r="C1856">
        <v>3</v>
      </c>
      <c r="D1856">
        <v>5</v>
      </c>
      <c r="E1856">
        <v>3</v>
      </c>
      <c r="G1856">
        <v>735</v>
      </c>
      <c r="H1856" t="s">
        <v>63</v>
      </c>
      <c r="I1856" t="s">
        <v>95</v>
      </c>
      <c r="J1856" t="s">
        <v>143</v>
      </c>
      <c r="L1856">
        <v>0</v>
      </c>
      <c r="M1856" t="s">
        <v>125</v>
      </c>
      <c r="O1856" t="s">
        <v>125</v>
      </c>
      <c r="P1856" t="s">
        <v>125</v>
      </c>
      <c r="Q1856" t="s">
        <v>125</v>
      </c>
      <c r="R1856" t="s">
        <v>125</v>
      </c>
      <c r="S1856" t="s">
        <v>125</v>
      </c>
      <c r="T1856">
        <v>0</v>
      </c>
      <c r="V1856" t="s">
        <v>125</v>
      </c>
      <c r="AE1856" t="s">
        <v>125</v>
      </c>
      <c r="AF1856">
        <v>0</v>
      </c>
      <c r="AG1856" t="s">
        <v>125</v>
      </c>
      <c r="AH1856">
        <v>0</v>
      </c>
      <c r="AK1856">
        <v>0</v>
      </c>
    </row>
    <row r="1857" spans="1:37" x14ac:dyDescent="0.25">
      <c r="A1857" t="s">
        <v>79</v>
      </c>
      <c r="B1857">
        <v>7</v>
      </c>
      <c r="C1857">
        <v>3</v>
      </c>
      <c r="D1857">
        <v>5</v>
      </c>
      <c r="E1857">
        <v>4</v>
      </c>
      <c r="G1857">
        <v>735</v>
      </c>
      <c r="H1857" t="s">
        <v>63</v>
      </c>
      <c r="I1857" t="s">
        <v>102</v>
      </c>
      <c r="J1857" t="s">
        <v>144</v>
      </c>
      <c r="L1857">
        <v>0</v>
      </c>
      <c r="M1857" t="s">
        <v>125</v>
      </c>
      <c r="O1857" t="s">
        <v>125</v>
      </c>
      <c r="P1857" t="s">
        <v>125</v>
      </c>
      <c r="Q1857" t="s">
        <v>125</v>
      </c>
      <c r="R1857" t="s">
        <v>125</v>
      </c>
      <c r="S1857" t="s">
        <v>125</v>
      </c>
      <c r="T1857">
        <v>0</v>
      </c>
      <c r="V1857" t="s">
        <v>125</v>
      </c>
      <c r="AE1857" t="s">
        <v>125</v>
      </c>
      <c r="AF1857">
        <v>0</v>
      </c>
      <c r="AG1857" t="s">
        <v>125</v>
      </c>
      <c r="AH1857">
        <v>0</v>
      </c>
      <c r="AK1857">
        <v>0</v>
      </c>
    </row>
    <row r="1858" spans="1:37" x14ac:dyDescent="0.25">
      <c r="A1858" t="s">
        <v>79</v>
      </c>
      <c r="B1858">
        <v>7</v>
      </c>
      <c r="C1858">
        <v>3</v>
      </c>
      <c r="D1858">
        <v>5</v>
      </c>
      <c r="E1858">
        <v>5</v>
      </c>
      <c r="G1858">
        <v>735</v>
      </c>
      <c r="H1858" t="s">
        <v>63</v>
      </c>
      <c r="I1858" t="s">
        <v>109</v>
      </c>
      <c r="J1858" t="s">
        <v>145</v>
      </c>
      <c r="L1858">
        <v>0</v>
      </c>
      <c r="M1858" t="s">
        <v>125</v>
      </c>
      <c r="O1858" t="s">
        <v>125</v>
      </c>
      <c r="P1858" t="s">
        <v>125</v>
      </c>
      <c r="Q1858" t="s">
        <v>125</v>
      </c>
      <c r="R1858" t="s">
        <v>125</v>
      </c>
      <c r="S1858" t="s">
        <v>125</v>
      </c>
      <c r="T1858">
        <v>0</v>
      </c>
      <c r="V1858" t="s">
        <v>125</v>
      </c>
      <c r="AE1858" t="s">
        <v>125</v>
      </c>
      <c r="AF1858">
        <v>0</v>
      </c>
      <c r="AG1858" t="s">
        <v>125</v>
      </c>
      <c r="AH1858">
        <v>0</v>
      </c>
      <c r="AK1858">
        <v>0</v>
      </c>
    </row>
    <row r="1859" spans="1:37" x14ac:dyDescent="0.25">
      <c r="A1859" t="s">
        <v>79</v>
      </c>
      <c r="B1859">
        <v>7</v>
      </c>
      <c r="C1859">
        <v>3</v>
      </c>
      <c r="D1859">
        <v>5</v>
      </c>
      <c r="E1859">
        <v>6</v>
      </c>
      <c r="G1859">
        <v>735</v>
      </c>
      <c r="H1859" t="s">
        <v>63</v>
      </c>
      <c r="I1859" t="s">
        <v>116</v>
      </c>
      <c r="J1859" t="s">
        <v>146</v>
      </c>
      <c r="L1859">
        <v>0</v>
      </c>
      <c r="M1859" t="s">
        <v>125</v>
      </c>
      <c r="O1859" t="s">
        <v>125</v>
      </c>
      <c r="P1859" t="s">
        <v>125</v>
      </c>
      <c r="Q1859" t="s">
        <v>125</v>
      </c>
      <c r="R1859" t="s">
        <v>125</v>
      </c>
      <c r="S1859" t="s">
        <v>125</v>
      </c>
      <c r="T1859">
        <v>0</v>
      </c>
      <c r="V1859" t="s">
        <v>125</v>
      </c>
      <c r="AE1859" t="s">
        <v>125</v>
      </c>
      <c r="AF1859">
        <v>0</v>
      </c>
      <c r="AG1859" t="s">
        <v>125</v>
      </c>
      <c r="AH1859">
        <v>0</v>
      </c>
      <c r="AK1859">
        <v>0</v>
      </c>
    </row>
    <row r="1860" spans="1:37" x14ac:dyDescent="0.25">
      <c r="A1860" t="s">
        <v>79</v>
      </c>
      <c r="B1860">
        <v>7</v>
      </c>
      <c r="C1860">
        <v>3</v>
      </c>
      <c r="D1860">
        <v>5</v>
      </c>
      <c r="E1860">
        <v>7</v>
      </c>
      <c r="G1860">
        <v>735</v>
      </c>
      <c r="H1860" t="s">
        <v>63</v>
      </c>
      <c r="I1860" t="s">
        <v>123</v>
      </c>
      <c r="J1860" t="s">
        <v>147</v>
      </c>
      <c r="L1860">
        <v>0</v>
      </c>
      <c r="M1860" t="s">
        <v>125</v>
      </c>
      <c r="O1860" t="s">
        <v>125</v>
      </c>
      <c r="P1860" t="s">
        <v>125</v>
      </c>
      <c r="Q1860" t="s">
        <v>125</v>
      </c>
      <c r="R1860" t="s">
        <v>125</v>
      </c>
      <c r="S1860" t="s">
        <v>125</v>
      </c>
      <c r="T1860">
        <v>0</v>
      </c>
      <c r="V1860" t="s">
        <v>125</v>
      </c>
      <c r="AE1860" t="s">
        <v>125</v>
      </c>
      <c r="AF1860">
        <v>0</v>
      </c>
      <c r="AG1860" t="s">
        <v>125</v>
      </c>
      <c r="AH1860">
        <v>0</v>
      </c>
      <c r="AK1860">
        <v>0</v>
      </c>
    </row>
    <row r="1861" spans="1:37" x14ac:dyDescent="0.25">
      <c r="A1861" t="s">
        <v>79</v>
      </c>
      <c r="B1861">
        <v>7</v>
      </c>
      <c r="C1861">
        <v>3</v>
      </c>
      <c r="D1861">
        <v>5</v>
      </c>
      <c r="E1861">
        <v>8</v>
      </c>
      <c r="G1861">
        <v>735</v>
      </c>
      <c r="H1861" t="s">
        <v>63</v>
      </c>
      <c r="I1861" t="s">
        <v>126</v>
      </c>
      <c r="J1861" t="s">
        <v>148</v>
      </c>
      <c r="L1861">
        <v>0</v>
      </c>
      <c r="M1861" t="s">
        <v>125</v>
      </c>
      <c r="O1861" t="s">
        <v>125</v>
      </c>
      <c r="P1861" t="s">
        <v>125</v>
      </c>
      <c r="Q1861" t="s">
        <v>125</v>
      </c>
      <c r="R1861" t="s">
        <v>125</v>
      </c>
      <c r="S1861" t="s">
        <v>125</v>
      </c>
      <c r="T1861">
        <v>0</v>
      </c>
      <c r="V1861" t="s">
        <v>125</v>
      </c>
      <c r="AE1861" t="s">
        <v>125</v>
      </c>
      <c r="AF1861">
        <v>0</v>
      </c>
      <c r="AG1861" t="s">
        <v>125</v>
      </c>
      <c r="AH1861">
        <v>0</v>
      </c>
      <c r="AK1861">
        <v>0</v>
      </c>
    </row>
    <row r="1862" spans="1:37" x14ac:dyDescent="0.25">
      <c r="A1862" t="s">
        <v>79</v>
      </c>
      <c r="B1862">
        <v>7</v>
      </c>
      <c r="C1862">
        <v>3</v>
      </c>
      <c r="D1862">
        <v>5</v>
      </c>
      <c r="E1862">
        <v>9</v>
      </c>
      <c r="G1862">
        <v>735</v>
      </c>
      <c r="H1862" t="s">
        <v>63</v>
      </c>
      <c r="I1862" t="s">
        <v>74</v>
      </c>
      <c r="J1862" t="s">
        <v>149</v>
      </c>
      <c r="L1862">
        <v>0</v>
      </c>
      <c r="M1862" t="s">
        <v>125</v>
      </c>
      <c r="O1862" t="s">
        <v>125</v>
      </c>
      <c r="P1862" t="s">
        <v>125</v>
      </c>
      <c r="Q1862" t="s">
        <v>125</v>
      </c>
      <c r="R1862" t="s">
        <v>125</v>
      </c>
      <c r="S1862" t="s">
        <v>125</v>
      </c>
      <c r="T1862">
        <v>0</v>
      </c>
      <c r="V1862" t="s">
        <v>125</v>
      </c>
      <c r="AE1862" t="s">
        <v>125</v>
      </c>
      <c r="AF1862">
        <v>0</v>
      </c>
      <c r="AG1862" t="s">
        <v>125</v>
      </c>
      <c r="AH1862">
        <v>0</v>
      </c>
      <c r="AK1862">
        <v>0</v>
      </c>
    </row>
    <row r="1863" spans="1:37" x14ac:dyDescent="0.25">
      <c r="A1863" t="s">
        <v>79</v>
      </c>
      <c r="B1863">
        <v>7</v>
      </c>
      <c r="C1863">
        <v>3</v>
      </c>
      <c r="D1863">
        <v>5</v>
      </c>
      <c r="E1863">
        <v>10</v>
      </c>
      <c r="G1863">
        <v>735</v>
      </c>
      <c r="H1863" t="s">
        <v>63</v>
      </c>
      <c r="I1863" t="s">
        <v>129</v>
      </c>
      <c r="J1863" t="s">
        <v>150</v>
      </c>
      <c r="L1863">
        <v>0</v>
      </c>
      <c r="M1863" t="s">
        <v>125</v>
      </c>
      <c r="O1863" t="s">
        <v>125</v>
      </c>
      <c r="P1863" t="s">
        <v>125</v>
      </c>
      <c r="Q1863" t="s">
        <v>125</v>
      </c>
      <c r="R1863" t="s">
        <v>125</v>
      </c>
      <c r="S1863" t="s">
        <v>125</v>
      </c>
      <c r="T1863">
        <v>0</v>
      </c>
      <c r="V1863" t="s">
        <v>125</v>
      </c>
      <c r="AE1863" t="s">
        <v>125</v>
      </c>
      <c r="AF1863">
        <v>0</v>
      </c>
      <c r="AG1863" t="s">
        <v>125</v>
      </c>
      <c r="AH1863">
        <v>0</v>
      </c>
      <c r="AK1863">
        <v>0</v>
      </c>
    </row>
    <row r="1864" spans="1:37" x14ac:dyDescent="0.25">
      <c r="A1864" t="s">
        <v>79</v>
      </c>
      <c r="B1864">
        <v>7</v>
      </c>
      <c r="C1864">
        <v>3</v>
      </c>
      <c r="D1864">
        <v>5</v>
      </c>
      <c r="E1864">
        <v>11</v>
      </c>
      <c r="G1864">
        <v>735</v>
      </c>
      <c r="H1864" t="s">
        <v>63</v>
      </c>
      <c r="I1864" t="s">
        <v>131</v>
      </c>
      <c r="J1864" t="s">
        <v>151</v>
      </c>
      <c r="L1864">
        <v>0</v>
      </c>
      <c r="M1864" t="s">
        <v>125</v>
      </c>
      <c r="O1864" t="s">
        <v>125</v>
      </c>
      <c r="P1864" t="s">
        <v>125</v>
      </c>
      <c r="Q1864" t="s">
        <v>125</v>
      </c>
      <c r="R1864" t="s">
        <v>125</v>
      </c>
      <c r="S1864" t="s">
        <v>125</v>
      </c>
      <c r="T1864">
        <v>0</v>
      </c>
      <c r="V1864" t="s">
        <v>125</v>
      </c>
      <c r="AE1864" t="s">
        <v>125</v>
      </c>
      <c r="AF1864">
        <v>0</v>
      </c>
      <c r="AG1864" t="s">
        <v>125</v>
      </c>
      <c r="AH1864">
        <v>0</v>
      </c>
      <c r="AK1864">
        <v>0</v>
      </c>
    </row>
    <row r="1865" spans="1:37" x14ac:dyDescent="0.25">
      <c r="A1865" t="s">
        <v>79</v>
      </c>
      <c r="B1865">
        <v>7</v>
      </c>
      <c r="C1865">
        <v>3</v>
      </c>
      <c r="D1865">
        <v>5</v>
      </c>
      <c r="E1865">
        <v>12</v>
      </c>
      <c r="G1865">
        <v>735</v>
      </c>
      <c r="H1865" t="s">
        <v>63</v>
      </c>
      <c r="I1865" t="s">
        <v>133</v>
      </c>
      <c r="J1865" t="s">
        <v>152</v>
      </c>
      <c r="L1865">
        <v>0</v>
      </c>
      <c r="M1865" t="s">
        <v>125</v>
      </c>
      <c r="O1865" t="s">
        <v>125</v>
      </c>
      <c r="P1865" t="s">
        <v>125</v>
      </c>
      <c r="Q1865" t="s">
        <v>125</v>
      </c>
      <c r="R1865" t="s">
        <v>125</v>
      </c>
      <c r="S1865" t="s">
        <v>125</v>
      </c>
      <c r="T1865">
        <v>0</v>
      </c>
      <c r="V1865" t="s">
        <v>125</v>
      </c>
      <c r="AE1865" t="s">
        <v>125</v>
      </c>
      <c r="AF1865">
        <v>0</v>
      </c>
      <c r="AG1865" t="s">
        <v>125</v>
      </c>
      <c r="AH1865">
        <v>0</v>
      </c>
      <c r="AK1865">
        <v>0</v>
      </c>
    </row>
    <row r="1866" spans="1:37" x14ac:dyDescent="0.25">
      <c r="A1866" t="s">
        <v>79</v>
      </c>
      <c r="B1866">
        <v>7</v>
      </c>
      <c r="C1866">
        <v>3</v>
      </c>
      <c r="D1866">
        <v>5</v>
      </c>
      <c r="E1866">
        <v>13</v>
      </c>
      <c r="G1866">
        <v>735</v>
      </c>
      <c r="H1866" t="s">
        <v>63</v>
      </c>
      <c r="I1866" t="s">
        <v>135</v>
      </c>
      <c r="J1866" t="s">
        <v>153</v>
      </c>
      <c r="L1866">
        <v>0</v>
      </c>
      <c r="M1866" t="s">
        <v>125</v>
      </c>
      <c r="O1866" t="s">
        <v>125</v>
      </c>
      <c r="P1866" t="s">
        <v>125</v>
      </c>
      <c r="Q1866" t="s">
        <v>125</v>
      </c>
      <c r="R1866" t="s">
        <v>125</v>
      </c>
      <c r="S1866" t="s">
        <v>125</v>
      </c>
      <c r="T1866">
        <v>0</v>
      </c>
      <c r="V1866" t="s">
        <v>125</v>
      </c>
      <c r="AE1866" t="s">
        <v>125</v>
      </c>
      <c r="AF1866">
        <v>0</v>
      </c>
      <c r="AG1866" t="s">
        <v>125</v>
      </c>
      <c r="AH1866">
        <v>0</v>
      </c>
      <c r="AK1866">
        <v>0</v>
      </c>
    </row>
    <row r="1867" spans="1:37" x14ac:dyDescent="0.25">
      <c r="A1867" t="s">
        <v>79</v>
      </c>
      <c r="B1867">
        <v>7</v>
      </c>
      <c r="C1867">
        <v>3</v>
      </c>
      <c r="D1867">
        <v>5</v>
      </c>
      <c r="E1867">
        <v>14</v>
      </c>
      <c r="G1867">
        <v>735</v>
      </c>
      <c r="H1867" t="s">
        <v>63</v>
      </c>
      <c r="I1867" t="s">
        <v>137</v>
      </c>
      <c r="J1867" t="s">
        <v>154</v>
      </c>
      <c r="L1867">
        <v>0</v>
      </c>
      <c r="M1867" t="s">
        <v>125</v>
      </c>
      <c r="O1867" t="s">
        <v>125</v>
      </c>
      <c r="P1867" t="s">
        <v>125</v>
      </c>
      <c r="Q1867" t="s">
        <v>125</v>
      </c>
      <c r="R1867" t="s">
        <v>125</v>
      </c>
      <c r="S1867" t="s">
        <v>125</v>
      </c>
      <c r="T1867">
        <v>0</v>
      </c>
      <c r="V1867" t="s">
        <v>125</v>
      </c>
      <c r="AE1867" t="s">
        <v>125</v>
      </c>
      <c r="AF1867">
        <v>0</v>
      </c>
      <c r="AG1867" t="s">
        <v>125</v>
      </c>
      <c r="AH1867">
        <v>0</v>
      </c>
      <c r="AK1867">
        <v>0</v>
      </c>
    </row>
    <row r="1868" spans="1:37" x14ac:dyDescent="0.25">
      <c r="A1868" t="s">
        <v>79</v>
      </c>
      <c r="B1868">
        <v>7</v>
      </c>
      <c r="C1868">
        <v>3</v>
      </c>
      <c r="D1868">
        <v>5</v>
      </c>
      <c r="E1868">
        <v>15</v>
      </c>
      <c r="G1868">
        <v>735</v>
      </c>
      <c r="H1868" t="s">
        <v>63</v>
      </c>
      <c r="I1868" t="s">
        <v>139</v>
      </c>
      <c r="J1868" t="s">
        <v>155</v>
      </c>
      <c r="L1868">
        <v>0</v>
      </c>
      <c r="M1868" t="s">
        <v>125</v>
      </c>
      <c r="O1868" t="s">
        <v>125</v>
      </c>
      <c r="P1868" t="s">
        <v>125</v>
      </c>
      <c r="Q1868" t="s">
        <v>125</v>
      </c>
      <c r="R1868" t="s">
        <v>125</v>
      </c>
      <c r="S1868" t="s">
        <v>125</v>
      </c>
      <c r="T1868">
        <v>0</v>
      </c>
      <c r="V1868" t="s">
        <v>125</v>
      </c>
      <c r="AE1868" t="s">
        <v>125</v>
      </c>
      <c r="AF1868">
        <v>0</v>
      </c>
      <c r="AG1868" t="s">
        <v>125</v>
      </c>
      <c r="AH1868">
        <v>0</v>
      </c>
      <c r="AK1868">
        <v>0</v>
      </c>
    </row>
    <row r="1869" spans="1:37" x14ac:dyDescent="0.25">
      <c r="L1869">
        <v>0</v>
      </c>
    </row>
    <row r="1870" spans="1:37" x14ac:dyDescent="0.25">
      <c r="L1870">
        <v>0</v>
      </c>
    </row>
    <row r="1871" spans="1:37" x14ac:dyDescent="0.25">
      <c r="A1871" t="s">
        <v>56</v>
      </c>
      <c r="F1871">
        <v>8</v>
      </c>
      <c r="L1871">
        <v>8</v>
      </c>
      <c r="M1871" t="s">
        <v>123</v>
      </c>
      <c r="N1871" t="s">
        <v>2707</v>
      </c>
      <c r="P1871" t="s">
        <v>2708</v>
      </c>
      <c r="V1871" t="s">
        <v>2709</v>
      </c>
      <c r="Y1871" t="s">
        <v>2710</v>
      </c>
      <c r="AA1871" t="s">
        <v>2711</v>
      </c>
      <c r="AC1871" t="s">
        <v>63</v>
      </c>
      <c r="AE1871" t="s">
        <v>2712</v>
      </c>
      <c r="AF1871">
        <v>0</v>
      </c>
      <c r="AG1871" t="s">
        <v>2713</v>
      </c>
      <c r="AH1871">
        <v>0</v>
      </c>
      <c r="AK1871">
        <v>0</v>
      </c>
    </row>
    <row r="1872" spans="1:37" x14ac:dyDescent="0.25">
      <c r="L1872">
        <v>0</v>
      </c>
    </row>
    <row r="1873" spans="1:37" x14ac:dyDescent="0.25">
      <c r="A1873" t="s">
        <v>66</v>
      </c>
      <c r="B1873">
        <v>8</v>
      </c>
      <c r="C1873">
        <v>1</v>
      </c>
      <c r="G1873">
        <v>8</v>
      </c>
      <c r="H1873" t="s">
        <v>2707</v>
      </c>
      <c r="I1873" t="s">
        <v>2714</v>
      </c>
      <c r="M1873" t="s">
        <v>2715</v>
      </c>
      <c r="N1873" t="s">
        <v>2714</v>
      </c>
      <c r="P1873" t="s">
        <v>2716</v>
      </c>
      <c r="V1873" t="s">
        <v>2717</v>
      </c>
      <c r="Y1873" t="s">
        <v>2718</v>
      </c>
      <c r="AA1873" t="s">
        <v>2719</v>
      </c>
      <c r="AC1873" t="s">
        <v>63</v>
      </c>
      <c r="AE1873" t="s">
        <v>2720</v>
      </c>
      <c r="AF1873">
        <v>0</v>
      </c>
      <c r="AG1873" t="s">
        <v>2721</v>
      </c>
      <c r="AH1873">
        <v>0</v>
      </c>
      <c r="AK1873">
        <v>0</v>
      </c>
    </row>
    <row r="1874" spans="1:37" x14ac:dyDescent="0.25">
      <c r="L1874">
        <v>0</v>
      </c>
    </row>
    <row r="1875" spans="1:37" x14ac:dyDescent="0.25">
      <c r="A1875" t="s">
        <v>70</v>
      </c>
      <c r="B1875">
        <v>8</v>
      </c>
      <c r="C1875">
        <v>1</v>
      </c>
      <c r="D1875">
        <v>1</v>
      </c>
      <c r="G1875">
        <v>81</v>
      </c>
      <c r="M1875" t="s">
        <v>2722</v>
      </c>
      <c r="O1875" t="s">
        <v>2723</v>
      </c>
      <c r="P1875" t="s">
        <v>2724</v>
      </c>
      <c r="Q1875" t="s">
        <v>2725</v>
      </c>
      <c r="R1875" t="s">
        <v>382</v>
      </c>
      <c r="S1875" t="s">
        <v>2726</v>
      </c>
      <c r="V1875" t="s">
        <v>2717</v>
      </c>
      <c r="X1875" t="s">
        <v>2727</v>
      </c>
      <c r="Y1875" t="s">
        <v>2718</v>
      </c>
      <c r="Z1875" t="s">
        <v>2728</v>
      </c>
      <c r="AA1875" t="s">
        <v>2719</v>
      </c>
      <c r="AB1875" t="s">
        <v>63</v>
      </c>
      <c r="AC1875" t="s">
        <v>63</v>
      </c>
      <c r="AE1875" t="s">
        <v>2720</v>
      </c>
      <c r="AF1875">
        <v>0</v>
      </c>
      <c r="AG1875" t="s">
        <v>2721</v>
      </c>
      <c r="AH1875">
        <v>0</v>
      </c>
      <c r="AK1875">
        <v>0</v>
      </c>
    </row>
    <row r="1876" spans="1:37" x14ac:dyDescent="0.25">
      <c r="A1876" t="s">
        <v>79</v>
      </c>
      <c r="B1876">
        <v>8</v>
      </c>
      <c r="C1876">
        <v>1</v>
      </c>
      <c r="D1876">
        <v>1</v>
      </c>
      <c r="E1876">
        <v>1</v>
      </c>
      <c r="G1876">
        <v>811</v>
      </c>
      <c r="H1876" t="s">
        <v>2723</v>
      </c>
      <c r="I1876" t="s">
        <v>80</v>
      </c>
      <c r="J1876" t="s">
        <v>2729</v>
      </c>
      <c r="L1876">
        <v>0</v>
      </c>
      <c r="M1876" t="s">
        <v>2730</v>
      </c>
      <c r="O1876" t="s">
        <v>2731</v>
      </c>
      <c r="P1876" t="s">
        <v>2732</v>
      </c>
      <c r="Q1876" t="s">
        <v>2733</v>
      </c>
      <c r="R1876" t="s">
        <v>192</v>
      </c>
      <c r="S1876" t="s">
        <v>2734</v>
      </c>
      <c r="T1876">
        <v>2500</v>
      </c>
      <c r="U1876">
        <v>5500</v>
      </c>
      <c r="V1876" t="s">
        <v>2735</v>
      </c>
      <c r="AE1876" t="s">
        <v>2736</v>
      </c>
      <c r="AF1876">
        <v>0</v>
      </c>
      <c r="AG1876" t="s">
        <v>2737</v>
      </c>
      <c r="AH1876">
        <v>0</v>
      </c>
      <c r="AK1876">
        <v>0</v>
      </c>
    </row>
    <row r="1877" spans="1:37" x14ac:dyDescent="0.25">
      <c r="A1877" t="s">
        <v>79</v>
      </c>
      <c r="B1877">
        <v>8</v>
      </c>
      <c r="C1877">
        <v>1</v>
      </c>
      <c r="D1877">
        <v>1</v>
      </c>
      <c r="E1877">
        <v>2</v>
      </c>
      <c r="G1877">
        <v>811</v>
      </c>
      <c r="H1877" t="s">
        <v>2723</v>
      </c>
      <c r="I1877" t="s">
        <v>88</v>
      </c>
      <c r="J1877" t="s">
        <v>2738</v>
      </c>
      <c r="L1877">
        <v>0</v>
      </c>
      <c r="M1877" t="s">
        <v>2739</v>
      </c>
      <c r="O1877" t="s">
        <v>2740</v>
      </c>
      <c r="P1877" t="s">
        <v>2741</v>
      </c>
      <c r="Q1877" t="s">
        <v>80</v>
      </c>
      <c r="R1877" t="s">
        <v>382</v>
      </c>
      <c r="S1877" t="s">
        <v>2742</v>
      </c>
      <c r="T1877">
        <v>2500</v>
      </c>
      <c r="U1877">
        <v>5000</v>
      </c>
      <c r="V1877" t="s">
        <v>2743</v>
      </c>
      <c r="AE1877" t="s">
        <v>2744</v>
      </c>
      <c r="AF1877">
        <v>0</v>
      </c>
      <c r="AG1877" t="s">
        <v>2745</v>
      </c>
      <c r="AH1877">
        <v>0</v>
      </c>
      <c r="AK1877">
        <v>0</v>
      </c>
    </row>
    <row r="1878" spans="1:37" x14ac:dyDescent="0.25">
      <c r="A1878" t="s">
        <v>79</v>
      </c>
      <c r="B1878">
        <v>8</v>
      </c>
      <c r="C1878">
        <v>1</v>
      </c>
      <c r="D1878">
        <v>1</v>
      </c>
      <c r="E1878">
        <v>3</v>
      </c>
      <c r="G1878">
        <v>811</v>
      </c>
      <c r="H1878" t="s">
        <v>2723</v>
      </c>
      <c r="I1878" t="s">
        <v>95</v>
      </c>
      <c r="J1878" t="s">
        <v>2746</v>
      </c>
      <c r="L1878">
        <v>0</v>
      </c>
      <c r="M1878" t="s">
        <v>2747</v>
      </c>
      <c r="O1878" t="s">
        <v>2748</v>
      </c>
      <c r="P1878" t="s">
        <v>2749</v>
      </c>
      <c r="Q1878" t="s">
        <v>2733</v>
      </c>
      <c r="R1878" t="s">
        <v>192</v>
      </c>
      <c r="S1878" t="s">
        <v>2750</v>
      </c>
      <c r="T1878">
        <v>2500</v>
      </c>
      <c r="U1878">
        <v>5500</v>
      </c>
      <c r="V1878" t="s">
        <v>2751</v>
      </c>
      <c r="AE1878" t="s">
        <v>2752</v>
      </c>
      <c r="AF1878">
        <v>0</v>
      </c>
      <c r="AG1878" t="s">
        <v>2737</v>
      </c>
      <c r="AH1878">
        <v>0</v>
      </c>
      <c r="AK1878">
        <v>0</v>
      </c>
    </row>
    <row r="1879" spans="1:37" x14ac:dyDescent="0.25">
      <c r="A1879" t="s">
        <v>79</v>
      </c>
      <c r="B1879">
        <v>8</v>
      </c>
      <c r="C1879">
        <v>1</v>
      </c>
      <c r="D1879">
        <v>1</v>
      </c>
      <c r="E1879">
        <v>4</v>
      </c>
      <c r="G1879">
        <v>811</v>
      </c>
      <c r="H1879" t="s">
        <v>2723</v>
      </c>
      <c r="I1879" t="s">
        <v>102</v>
      </c>
      <c r="J1879" t="s">
        <v>2753</v>
      </c>
      <c r="L1879">
        <v>0</v>
      </c>
      <c r="M1879" t="s">
        <v>2754</v>
      </c>
      <c r="O1879" t="s">
        <v>2755</v>
      </c>
      <c r="P1879" t="s">
        <v>2756</v>
      </c>
      <c r="Q1879" t="s">
        <v>2757</v>
      </c>
      <c r="R1879" t="s">
        <v>192</v>
      </c>
      <c r="S1879" t="s">
        <v>2758</v>
      </c>
      <c r="T1879">
        <v>2500</v>
      </c>
      <c r="U1879">
        <v>13619</v>
      </c>
      <c r="V1879" t="s">
        <v>2759</v>
      </c>
      <c r="AE1879" t="s">
        <v>2760</v>
      </c>
      <c r="AF1879">
        <v>0</v>
      </c>
      <c r="AG1879" t="s">
        <v>2761</v>
      </c>
      <c r="AH1879">
        <v>0</v>
      </c>
      <c r="AK1879">
        <v>0</v>
      </c>
    </row>
    <row r="1880" spans="1:37" x14ac:dyDescent="0.25">
      <c r="A1880" t="s">
        <v>79</v>
      </c>
      <c r="B1880">
        <v>8</v>
      </c>
      <c r="C1880">
        <v>1</v>
      </c>
      <c r="D1880">
        <v>1</v>
      </c>
      <c r="E1880">
        <v>5</v>
      </c>
      <c r="G1880">
        <v>811</v>
      </c>
      <c r="H1880" t="s">
        <v>2723</v>
      </c>
      <c r="I1880" t="s">
        <v>109</v>
      </c>
      <c r="J1880" t="s">
        <v>2762</v>
      </c>
      <c r="L1880">
        <v>0</v>
      </c>
      <c r="M1880" t="s">
        <v>2763</v>
      </c>
      <c r="O1880" t="s">
        <v>2764</v>
      </c>
      <c r="P1880" t="s">
        <v>2765</v>
      </c>
      <c r="Q1880" t="s">
        <v>2733</v>
      </c>
      <c r="R1880" t="s">
        <v>192</v>
      </c>
      <c r="S1880" t="s">
        <v>686</v>
      </c>
      <c r="T1880">
        <v>2500</v>
      </c>
      <c r="U1880">
        <v>5500</v>
      </c>
      <c r="V1880" t="s">
        <v>2766</v>
      </c>
      <c r="AE1880" t="s">
        <v>2767</v>
      </c>
      <c r="AF1880">
        <v>0</v>
      </c>
      <c r="AG1880" t="s">
        <v>2737</v>
      </c>
      <c r="AH1880">
        <v>0</v>
      </c>
      <c r="AK1880">
        <v>0</v>
      </c>
    </row>
    <row r="1881" spans="1:37" x14ac:dyDescent="0.25">
      <c r="A1881" t="s">
        <v>79</v>
      </c>
      <c r="B1881">
        <v>8</v>
      </c>
      <c r="C1881">
        <v>1</v>
      </c>
      <c r="D1881">
        <v>1</v>
      </c>
      <c r="E1881">
        <v>6</v>
      </c>
      <c r="G1881">
        <v>811</v>
      </c>
      <c r="H1881" t="s">
        <v>2723</v>
      </c>
      <c r="I1881" t="s">
        <v>116</v>
      </c>
      <c r="J1881" t="s">
        <v>2768</v>
      </c>
      <c r="L1881">
        <v>0</v>
      </c>
      <c r="M1881" t="s">
        <v>2769</v>
      </c>
      <c r="O1881" t="s">
        <v>600</v>
      </c>
      <c r="P1881" t="s">
        <v>601</v>
      </c>
      <c r="Q1881" t="s">
        <v>2770</v>
      </c>
      <c r="R1881" t="s">
        <v>192</v>
      </c>
      <c r="S1881" t="s">
        <v>603</v>
      </c>
      <c r="T1881">
        <v>2500</v>
      </c>
      <c r="U1881">
        <v>80381</v>
      </c>
      <c r="V1881" t="s">
        <v>2771</v>
      </c>
      <c r="AE1881" t="s">
        <v>2772</v>
      </c>
      <c r="AF1881">
        <v>0</v>
      </c>
      <c r="AG1881" t="s">
        <v>2773</v>
      </c>
      <c r="AH1881">
        <v>0</v>
      </c>
      <c r="AK1881">
        <v>0</v>
      </c>
    </row>
    <row r="1882" spans="1:37" x14ac:dyDescent="0.25">
      <c r="A1882" t="s">
        <v>79</v>
      </c>
      <c r="B1882">
        <v>8</v>
      </c>
      <c r="C1882">
        <v>1</v>
      </c>
      <c r="D1882">
        <v>1</v>
      </c>
      <c r="E1882">
        <v>7</v>
      </c>
      <c r="G1882">
        <v>811</v>
      </c>
      <c r="H1882" t="s">
        <v>2723</v>
      </c>
      <c r="I1882" t="s">
        <v>123</v>
      </c>
      <c r="J1882" t="s">
        <v>2774</v>
      </c>
      <c r="L1882">
        <v>0</v>
      </c>
      <c r="M1882" t="s">
        <v>2775</v>
      </c>
      <c r="O1882" t="s">
        <v>787</v>
      </c>
      <c r="P1882" t="s">
        <v>788</v>
      </c>
      <c r="Q1882" t="s">
        <v>2776</v>
      </c>
      <c r="R1882" t="s">
        <v>192</v>
      </c>
      <c r="S1882" t="s">
        <v>790</v>
      </c>
      <c r="T1882">
        <v>2500</v>
      </c>
      <c r="U1882">
        <v>4688</v>
      </c>
      <c r="V1882" t="s">
        <v>2777</v>
      </c>
      <c r="AE1882" t="s">
        <v>2734</v>
      </c>
      <c r="AF1882">
        <v>0</v>
      </c>
      <c r="AG1882" t="s">
        <v>2778</v>
      </c>
      <c r="AH1882">
        <v>0</v>
      </c>
      <c r="AK1882">
        <v>0</v>
      </c>
    </row>
    <row r="1883" spans="1:37" x14ac:dyDescent="0.25">
      <c r="A1883" t="s">
        <v>79</v>
      </c>
      <c r="B1883">
        <v>8</v>
      </c>
      <c r="C1883">
        <v>1</v>
      </c>
      <c r="D1883">
        <v>1</v>
      </c>
      <c r="E1883">
        <v>8</v>
      </c>
      <c r="G1883">
        <v>811</v>
      </c>
      <c r="H1883" t="s">
        <v>2723</v>
      </c>
      <c r="I1883" t="s">
        <v>126</v>
      </c>
      <c r="J1883" t="s">
        <v>2779</v>
      </c>
      <c r="L1883">
        <v>0</v>
      </c>
      <c r="M1883" t="s">
        <v>2780</v>
      </c>
      <c r="O1883" t="s">
        <v>2781</v>
      </c>
      <c r="P1883" t="s">
        <v>2782</v>
      </c>
      <c r="Q1883" t="s">
        <v>57</v>
      </c>
      <c r="R1883" t="s">
        <v>382</v>
      </c>
      <c r="S1883" t="s">
        <v>630</v>
      </c>
      <c r="T1883">
        <v>2500</v>
      </c>
      <c r="U1883">
        <v>2500</v>
      </c>
      <c r="V1883" t="s">
        <v>630</v>
      </c>
      <c r="AE1883" t="s">
        <v>2783</v>
      </c>
      <c r="AF1883">
        <v>0</v>
      </c>
      <c r="AG1883" t="s">
        <v>2784</v>
      </c>
      <c r="AH1883">
        <v>0</v>
      </c>
      <c r="AK1883">
        <v>0</v>
      </c>
    </row>
    <row r="1884" spans="1:37" x14ac:dyDescent="0.25">
      <c r="A1884" t="s">
        <v>79</v>
      </c>
      <c r="B1884">
        <v>8</v>
      </c>
      <c r="C1884">
        <v>1</v>
      </c>
      <c r="D1884">
        <v>1</v>
      </c>
      <c r="E1884">
        <v>9</v>
      </c>
      <c r="G1884">
        <v>811</v>
      </c>
      <c r="H1884" t="s">
        <v>2723</v>
      </c>
      <c r="I1884" t="s">
        <v>74</v>
      </c>
      <c r="J1884" t="s">
        <v>2785</v>
      </c>
      <c r="L1884">
        <v>0</v>
      </c>
      <c r="M1884" t="s">
        <v>2786</v>
      </c>
      <c r="O1884" t="s">
        <v>2787</v>
      </c>
      <c r="P1884" t="s">
        <v>2788</v>
      </c>
      <c r="Q1884" t="s">
        <v>80</v>
      </c>
      <c r="R1884" t="s">
        <v>382</v>
      </c>
      <c r="S1884" t="s">
        <v>2789</v>
      </c>
      <c r="T1884">
        <v>2500</v>
      </c>
      <c r="U1884">
        <v>5000</v>
      </c>
      <c r="V1884" t="s">
        <v>2790</v>
      </c>
      <c r="AE1884" t="s">
        <v>2791</v>
      </c>
      <c r="AF1884">
        <v>0</v>
      </c>
      <c r="AG1884" t="s">
        <v>2745</v>
      </c>
      <c r="AH1884">
        <v>0</v>
      </c>
      <c r="AK1884">
        <v>0</v>
      </c>
    </row>
    <row r="1885" spans="1:37" x14ac:dyDescent="0.25">
      <c r="A1885" t="s">
        <v>79</v>
      </c>
      <c r="B1885">
        <v>8</v>
      </c>
      <c r="C1885">
        <v>1</v>
      </c>
      <c r="D1885">
        <v>1</v>
      </c>
      <c r="E1885">
        <v>10</v>
      </c>
      <c r="G1885">
        <v>811</v>
      </c>
      <c r="H1885" t="s">
        <v>2723</v>
      </c>
      <c r="I1885" t="s">
        <v>129</v>
      </c>
      <c r="J1885" t="s">
        <v>2792</v>
      </c>
      <c r="L1885">
        <v>0</v>
      </c>
      <c r="M1885" t="s">
        <v>2793</v>
      </c>
      <c r="O1885" t="s">
        <v>2794</v>
      </c>
      <c r="P1885" t="s">
        <v>2795</v>
      </c>
      <c r="Q1885" t="s">
        <v>80</v>
      </c>
      <c r="R1885" t="s">
        <v>382</v>
      </c>
      <c r="S1885" t="s">
        <v>2796</v>
      </c>
      <c r="T1885">
        <v>2500</v>
      </c>
      <c r="U1885">
        <v>5000</v>
      </c>
      <c r="V1885" t="s">
        <v>2797</v>
      </c>
      <c r="AE1885" t="s">
        <v>2798</v>
      </c>
      <c r="AF1885">
        <v>0</v>
      </c>
      <c r="AG1885" t="s">
        <v>2745</v>
      </c>
      <c r="AH1885">
        <v>0</v>
      </c>
      <c r="AK1885">
        <v>0</v>
      </c>
    </row>
    <row r="1886" spans="1:37" x14ac:dyDescent="0.25">
      <c r="A1886" t="s">
        <v>79</v>
      </c>
      <c r="B1886">
        <v>8</v>
      </c>
      <c r="C1886">
        <v>1</v>
      </c>
      <c r="D1886">
        <v>1</v>
      </c>
      <c r="E1886">
        <v>11</v>
      </c>
      <c r="G1886">
        <v>811</v>
      </c>
      <c r="H1886" t="s">
        <v>2723</v>
      </c>
      <c r="I1886" t="s">
        <v>131</v>
      </c>
      <c r="J1886" t="s">
        <v>2799</v>
      </c>
      <c r="L1886">
        <v>0</v>
      </c>
      <c r="M1886" t="s">
        <v>125</v>
      </c>
      <c r="O1886" t="s">
        <v>125</v>
      </c>
      <c r="P1886" t="s">
        <v>125</v>
      </c>
      <c r="Q1886" t="s">
        <v>125</v>
      </c>
      <c r="R1886" t="s">
        <v>125</v>
      </c>
      <c r="S1886" t="s">
        <v>125</v>
      </c>
      <c r="T1886">
        <v>2500</v>
      </c>
      <c r="V1886" t="s">
        <v>125</v>
      </c>
      <c r="AE1886" t="s">
        <v>125</v>
      </c>
      <c r="AF1886">
        <v>0</v>
      </c>
      <c r="AG1886" t="s">
        <v>125</v>
      </c>
      <c r="AH1886">
        <v>0</v>
      </c>
      <c r="AK1886">
        <v>0</v>
      </c>
    </row>
    <row r="1887" spans="1:37" x14ac:dyDescent="0.25">
      <c r="A1887" t="s">
        <v>79</v>
      </c>
      <c r="B1887">
        <v>8</v>
      </c>
      <c r="C1887">
        <v>1</v>
      </c>
      <c r="D1887">
        <v>1</v>
      </c>
      <c r="E1887">
        <v>12</v>
      </c>
      <c r="G1887">
        <v>811</v>
      </c>
      <c r="H1887" t="s">
        <v>2723</v>
      </c>
      <c r="I1887" t="s">
        <v>133</v>
      </c>
      <c r="J1887" t="s">
        <v>2800</v>
      </c>
      <c r="L1887">
        <v>0</v>
      </c>
      <c r="M1887" t="s">
        <v>125</v>
      </c>
      <c r="O1887" t="s">
        <v>125</v>
      </c>
      <c r="P1887" t="s">
        <v>125</v>
      </c>
      <c r="Q1887" t="s">
        <v>125</v>
      </c>
      <c r="R1887" t="s">
        <v>125</v>
      </c>
      <c r="S1887" t="s">
        <v>125</v>
      </c>
      <c r="T1887">
        <v>2500</v>
      </c>
      <c r="V1887" t="s">
        <v>125</v>
      </c>
      <c r="AE1887" t="s">
        <v>125</v>
      </c>
      <c r="AF1887">
        <v>0</v>
      </c>
      <c r="AG1887" t="s">
        <v>125</v>
      </c>
      <c r="AH1887">
        <v>0</v>
      </c>
      <c r="AK1887">
        <v>0</v>
      </c>
    </row>
    <row r="1888" spans="1:37" x14ac:dyDescent="0.25">
      <c r="A1888" t="s">
        <v>79</v>
      </c>
      <c r="B1888">
        <v>8</v>
      </c>
      <c r="C1888">
        <v>1</v>
      </c>
      <c r="D1888">
        <v>1</v>
      </c>
      <c r="E1888">
        <v>13</v>
      </c>
      <c r="G1888">
        <v>811</v>
      </c>
      <c r="H1888" t="s">
        <v>2723</v>
      </c>
      <c r="I1888" t="s">
        <v>135</v>
      </c>
      <c r="J1888" t="s">
        <v>2801</v>
      </c>
      <c r="L1888">
        <v>0</v>
      </c>
      <c r="M1888" t="s">
        <v>125</v>
      </c>
      <c r="O1888" t="s">
        <v>125</v>
      </c>
      <c r="P1888" t="s">
        <v>125</v>
      </c>
      <c r="Q1888" t="s">
        <v>125</v>
      </c>
      <c r="R1888" t="s">
        <v>125</v>
      </c>
      <c r="S1888" t="s">
        <v>125</v>
      </c>
      <c r="T1888">
        <v>2500</v>
      </c>
      <c r="V1888" t="s">
        <v>125</v>
      </c>
      <c r="AE1888" t="s">
        <v>125</v>
      </c>
      <c r="AF1888">
        <v>0</v>
      </c>
      <c r="AG1888" t="s">
        <v>125</v>
      </c>
      <c r="AH1888">
        <v>0</v>
      </c>
      <c r="AK1888">
        <v>0</v>
      </c>
    </row>
    <row r="1889" spans="1:37" x14ac:dyDescent="0.25">
      <c r="A1889" t="s">
        <v>79</v>
      </c>
      <c r="B1889">
        <v>8</v>
      </c>
      <c r="C1889">
        <v>1</v>
      </c>
      <c r="D1889">
        <v>1</v>
      </c>
      <c r="E1889">
        <v>14</v>
      </c>
      <c r="G1889">
        <v>811</v>
      </c>
      <c r="H1889" t="s">
        <v>2723</v>
      </c>
      <c r="I1889" t="s">
        <v>137</v>
      </c>
      <c r="J1889" t="s">
        <v>2802</v>
      </c>
      <c r="L1889">
        <v>0</v>
      </c>
      <c r="M1889" t="s">
        <v>125</v>
      </c>
      <c r="O1889" t="s">
        <v>125</v>
      </c>
      <c r="P1889" t="s">
        <v>125</v>
      </c>
      <c r="Q1889" t="s">
        <v>125</v>
      </c>
      <c r="R1889" t="s">
        <v>125</v>
      </c>
      <c r="S1889" t="s">
        <v>125</v>
      </c>
      <c r="T1889">
        <v>2500</v>
      </c>
      <c r="V1889" t="s">
        <v>125</v>
      </c>
      <c r="AE1889" t="s">
        <v>125</v>
      </c>
      <c r="AF1889">
        <v>0</v>
      </c>
      <c r="AG1889" t="s">
        <v>125</v>
      </c>
      <c r="AH1889">
        <v>0</v>
      </c>
      <c r="AK1889">
        <v>0</v>
      </c>
    </row>
    <row r="1890" spans="1:37" x14ac:dyDescent="0.25">
      <c r="A1890" t="s">
        <v>79</v>
      </c>
      <c r="B1890">
        <v>8</v>
      </c>
      <c r="C1890">
        <v>1</v>
      </c>
      <c r="D1890">
        <v>1</v>
      </c>
      <c r="E1890">
        <v>15</v>
      </c>
      <c r="G1890">
        <v>811</v>
      </c>
      <c r="H1890" t="s">
        <v>2723</v>
      </c>
      <c r="I1890" t="s">
        <v>139</v>
      </c>
      <c r="J1890" t="s">
        <v>2803</v>
      </c>
      <c r="L1890">
        <v>0</v>
      </c>
      <c r="M1890" t="s">
        <v>125</v>
      </c>
      <c r="O1890" t="s">
        <v>125</v>
      </c>
      <c r="P1890" t="s">
        <v>125</v>
      </c>
      <c r="Q1890" t="s">
        <v>125</v>
      </c>
      <c r="R1890" t="s">
        <v>125</v>
      </c>
      <c r="S1890" t="s">
        <v>125</v>
      </c>
      <c r="T1890">
        <v>2500</v>
      </c>
      <c r="V1890" t="s">
        <v>125</v>
      </c>
      <c r="AE1890" t="s">
        <v>125</v>
      </c>
      <c r="AF1890">
        <v>0</v>
      </c>
      <c r="AG1890" t="s">
        <v>125</v>
      </c>
      <c r="AH1890">
        <v>0</v>
      </c>
      <c r="AK1890">
        <v>0</v>
      </c>
    </row>
    <row r="1891" spans="1:37" x14ac:dyDescent="0.25">
      <c r="L1891">
        <v>0</v>
      </c>
    </row>
    <row r="1892" spans="1:37" x14ac:dyDescent="0.25">
      <c r="A1892" t="s">
        <v>70</v>
      </c>
      <c r="B1892">
        <v>8</v>
      </c>
      <c r="C1892">
        <v>1</v>
      </c>
      <c r="D1892">
        <v>2</v>
      </c>
      <c r="G1892">
        <v>81</v>
      </c>
      <c r="L1892">
        <v>0</v>
      </c>
      <c r="M1892" t="s">
        <v>125</v>
      </c>
      <c r="P1892" t="s">
        <v>125</v>
      </c>
      <c r="R1892" t="s">
        <v>125</v>
      </c>
      <c r="S1892" t="s">
        <v>63</v>
      </c>
      <c r="V1892" t="s">
        <v>125</v>
      </c>
      <c r="X1892" t="s">
        <v>125</v>
      </c>
      <c r="Y1892" t="s">
        <v>125</v>
      </c>
      <c r="Z1892" t="s">
        <v>125</v>
      </c>
      <c r="AA1892" t="s">
        <v>125</v>
      </c>
      <c r="AB1892" t="s">
        <v>125</v>
      </c>
      <c r="AC1892" t="s">
        <v>125</v>
      </c>
      <c r="AE1892" t="s">
        <v>125</v>
      </c>
      <c r="AF1892">
        <v>0</v>
      </c>
      <c r="AG1892" t="s">
        <v>125</v>
      </c>
      <c r="AH1892">
        <v>0</v>
      </c>
    </row>
    <row r="1893" spans="1:37" x14ac:dyDescent="0.25">
      <c r="A1893" t="s">
        <v>79</v>
      </c>
      <c r="B1893">
        <v>8</v>
      </c>
      <c r="C1893">
        <v>1</v>
      </c>
      <c r="D1893">
        <v>2</v>
      </c>
      <c r="E1893">
        <v>1</v>
      </c>
      <c r="G1893">
        <v>812</v>
      </c>
      <c r="H1893" t="s">
        <v>63</v>
      </c>
      <c r="I1893" t="s">
        <v>80</v>
      </c>
      <c r="J1893" t="s">
        <v>141</v>
      </c>
      <c r="L1893">
        <v>0</v>
      </c>
      <c r="M1893" t="s">
        <v>125</v>
      </c>
      <c r="O1893" t="s">
        <v>125</v>
      </c>
      <c r="P1893" t="s">
        <v>125</v>
      </c>
      <c r="Q1893" t="s">
        <v>125</v>
      </c>
      <c r="R1893" t="s">
        <v>125</v>
      </c>
      <c r="S1893" t="s">
        <v>125</v>
      </c>
      <c r="T1893">
        <v>0</v>
      </c>
      <c r="V1893" t="s">
        <v>125</v>
      </c>
      <c r="AE1893" t="s">
        <v>125</v>
      </c>
      <c r="AF1893">
        <v>0</v>
      </c>
      <c r="AG1893" t="s">
        <v>125</v>
      </c>
      <c r="AH1893">
        <v>0</v>
      </c>
      <c r="AK1893">
        <v>0</v>
      </c>
    </row>
    <row r="1894" spans="1:37" x14ac:dyDescent="0.25">
      <c r="A1894" t="s">
        <v>79</v>
      </c>
      <c r="B1894">
        <v>8</v>
      </c>
      <c r="C1894">
        <v>1</v>
      </c>
      <c r="D1894">
        <v>2</v>
      </c>
      <c r="E1894">
        <v>2</v>
      </c>
      <c r="G1894">
        <v>812</v>
      </c>
      <c r="H1894" t="s">
        <v>63</v>
      </c>
      <c r="I1894" t="s">
        <v>88</v>
      </c>
      <c r="J1894" t="s">
        <v>142</v>
      </c>
      <c r="L1894">
        <v>0</v>
      </c>
      <c r="M1894" t="s">
        <v>125</v>
      </c>
      <c r="O1894" t="s">
        <v>125</v>
      </c>
      <c r="P1894" t="s">
        <v>125</v>
      </c>
      <c r="Q1894" t="s">
        <v>125</v>
      </c>
      <c r="R1894" t="s">
        <v>125</v>
      </c>
      <c r="S1894" t="s">
        <v>125</v>
      </c>
      <c r="T1894">
        <v>0</v>
      </c>
      <c r="V1894" t="s">
        <v>125</v>
      </c>
      <c r="AE1894" t="s">
        <v>125</v>
      </c>
      <c r="AF1894">
        <v>0</v>
      </c>
      <c r="AG1894" t="s">
        <v>125</v>
      </c>
      <c r="AH1894">
        <v>0</v>
      </c>
      <c r="AK1894">
        <v>0</v>
      </c>
    </row>
    <row r="1895" spans="1:37" x14ac:dyDescent="0.25">
      <c r="A1895" t="s">
        <v>79</v>
      </c>
      <c r="B1895">
        <v>8</v>
      </c>
      <c r="C1895">
        <v>1</v>
      </c>
      <c r="D1895">
        <v>2</v>
      </c>
      <c r="E1895">
        <v>3</v>
      </c>
      <c r="G1895">
        <v>812</v>
      </c>
      <c r="H1895" t="s">
        <v>63</v>
      </c>
      <c r="I1895" t="s">
        <v>95</v>
      </c>
      <c r="J1895" t="s">
        <v>143</v>
      </c>
      <c r="L1895">
        <v>0</v>
      </c>
      <c r="M1895" t="s">
        <v>125</v>
      </c>
      <c r="O1895" t="s">
        <v>125</v>
      </c>
      <c r="P1895" t="s">
        <v>125</v>
      </c>
      <c r="Q1895" t="s">
        <v>125</v>
      </c>
      <c r="R1895" t="s">
        <v>125</v>
      </c>
      <c r="S1895" t="s">
        <v>125</v>
      </c>
      <c r="T1895">
        <v>0</v>
      </c>
      <c r="V1895" t="s">
        <v>125</v>
      </c>
      <c r="AE1895" t="s">
        <v>125</v>
      </c>
      <c r="AF1895">
        <v>0</v>
      </c>
      <c r="AG1895" t="s">
        <v>125</v>
      </c>
      <c r="AH1895">
        <v>0</v>
      </c>
      <c r="AK1895">
        <v>0</v>
      </c>
    </row>
    <row r="1896" spans="1:37" x14ac:dyDescent="0.25">
      <c r="A1896" t="s">
        <v>79</v>
      </c>
      <c r="B1896">
        <v>8</v>
      </c>
      <c r="C1896">
        <v>1</v>
      </c>
      <c r="D1896">
        <v>2</v>
      </c>
      <c r="E1896">
        <v>4</v>
      </c>
      <c r="G1896">
        <v>812</v>
      </c>
      <c r="H1896" t="s">
        <v>63</v>
      </c>
      <c r="I1896" t="s">
        <v>102</v>
      </c>
      <c r="J1896" t="s">
        <v>144</v>
      </c>
      <c r="L1896">
        <v>0</v>
      </c>
      <c r="M1896" t="s">
        <v>125</v>
      </c>
      <c r="O1896" t="s">
        <v>125</v>
      </c>
      <c r="P1896" t="s">
        <v>125</v>
      </c>
      <c r="Q1896" t="s">
        <v>125</v>
      </c>
      <c r="R1896" t="s">
        <v>125</v>
      </c>
      <c r="S1896" t="s">
        <v>125</v>
      </c>
      <c r="T1896">
        <v>0</v>
      </c>
      <c r="V1896" t="s">
        <v>125</v>
      </c>
      <c r="AE1896" t="s">
        <v>125</v>
      </c>
      <c r="AF1896">
        <v>0</v>
      </c>
      <c r="AG1896" t="s">
        <v>125</v>
      </c>
      <c r="AH1896">
        <v>0</v>
      </c>
      <c r="AK1896">
        <v>0</v>
      </c>
    </row>
    <row r="1897" spans="1:37" x14ac:dyDescent="0.25">
      <c r="A1897" t="s">
        <v>79</v>
      </c>
      <c r="B1897">
        <v>8</v>
      </c>
      <c r="C1897">
        <v>1</v>
      </c>
      <c r="D1897">
        <v>2</v>
      </c>
      <c r="E1897">
        <v>5</v>
      </c>
      <c r="G1897">
        <v>812</v>
      </c>
      <c r="H1897" t="s">
        <v>63</v>
      </c>
      <c r="I1897" t="s">
        <v>109</v>
      </c>
      <c r="J1897" t="s">
        <v>145</v>
      </c>
      <c r="L1897">
        <v>0</v>
      </c>
      <c r="M1897" t="s">
        <v>125</v>
      </c>
      <c r="O1897" t="s">
        <v>125</v>
      </c>
      <c r="P1897" t="s">
        <v>125</v>
      </c>
      <c r="Q1897" t="s">
        <v>125</v>
      </c>
      <c r="R1897" t="s">
        <v>125</v>
      </c>
      <c r="S1897" t="s">
        <v>125</v>
      </c>
      <c r="T1897">
        <v>0</v>
      </c>
      <c r="V1897" t="s">
        <v>125</v>
      </c>
      <c r="AE1897" t="s">
        <v>125</v>
      </c>
      <c r="AF1897">
        <v>0</v>
      </c>
      <c r="AG1897" t="s">
        <v>125</v>
      </c>
      <c r="AH1897">
        <v>0</v>
      </c>
      <c r="AK1897">
        <v>0</v>
      </c>
    </row>
    <row r="1898" spans="1:37" x14ac:dyDescent="0.25">
      <c r="A1898" t="s">
        <v>79</v>
      </c>
      <c r="B1898">
        <v>8</v>
      </c>
      <c r="C1898">
        <v>1</v>
      </c>
      <c r="D1898">
        <v>2</v>
      </c>
      <c r="E1898">
        <v>6</v>
      </c>
      <c r="G1898">
        <v>812</v>
      </c>
      <c r="H1898" t="s">
        <v>63</v>
      </c>
      <c r="I1898" t="s">
        <v>116</v>
      </c>
      <c r="J1898" t="s">
        <v>146</v>
      </c>
      <c r="L1898">
        <v>0</v>
      </c>
      <c r="M1898" t="s">
        <v>125</v>
      </c>
      <c r="O1898" t="s">
        <v>125</v>
      </c>
      <c r="P1898" t="s">
        <v>125</v>
      </c>
      <c r="Q1898" t="s">
        <v>125</v>
      </c>
      <c r="R1898" t="s">
        <v>125</v>
      </c>
      <c r="S1898" t="s">
        <v>125</v>
      </c>
      <c r="T1898">
        <v>0</v>
      </c>
      <c r="V1898" t="s">
        <v>125</v>
      </c>
      <c r="AE1898" t="s">
        <v>125</v>
      </c>
      <c r="AF1898">
        <v>0</v>
      </c>
      <c r="AG1898" t="s">
        <v>125</v>
      </c>
      <c r="AH1898">
        <v>0</v>
      </c>
      <c r="AK1898">
        <v>0</v>
      </c>
    </row>
    <row r="1899" spans="1:37" x14ac:dyDescent="0.25">
      <c r="A1899" t="s">
        <v>79</v>
      </c>
      <c r="B1899">
        <v>8</v>
      </c>
      <c r="C1899">
        <v>1</v>
      </c>
      <c r="D1899">
        <v>2</v>
      </c>
      <c r="E1899">
        <v>7</v>
      </c>
      <c r="G1899">
        <v>812</v>
      </c>
      <c r="H1899" t="s">
        <v>63</v>
      </c>
      <c r="I1899" t="s">
        <v>123</v>
      </c>
      <c r="J1899" t="s">
        <v>147</v>
      </c>
      <c r="L1899">
        <v>0</v>
      </c>
      <c r="M1899" t="s">
        <v>125</v>
      </c>
      <c r="O1899" t="s">
        <v>125</v>
      </c>
      <c r="P1899" t="s">
        <v>125</v>
      </c>
      <c r="Q1899" t="s">
        <v>125</v>
      </c>
      <c r="R1899" t="s">
        <v>125</v>
      </c>
      <c r="S1899" t="s">
        <v>125</v>
      </c>
      <c r="T1899">
        <v>0</v>
      </c>
      <c r="V1899" t="s">
        <v>125</v>
      </c>
      <c r="AE1899" t="s">
        <v>125</v>
      </c>
      <c r="AF1899">
        <v>0</v>
      </c>
      <c r="AG1899" t="s">
        <v>125</v>
      </c>
      <c r="AH1899">
        <v>0</v>
      </c>
      <c r="AK1899">
        <v>0</v>
      </c>
    </row>
    <row r="1900" spans="1:37" x14ac:dyDescent="0.25">
      <c r="A1900" t="s">
        <v>79</v>
      </c>
      <c r="B1900">
        <v>8</v>
      </c>
      <c r="C1900">
        <v>1</v>
      </c>
      <c r="D1900">
        <v>2</v>
      </c>
      <c r="E1900">
        <v>8</v>
      </c>
      <c r="G1900">
        <v>812</v>
      </c>
      <c r="H1900" t="s">
        <v>63</v>
      </c>
      <c r="I1900" t="s">
        <v>126</v>
      </c>
      <c r="J1900" t="s">
        <v>148</v>
      </c>
      <c r="L1900">
        <v>0</v>
      </c>
      <c r="M1900" t="s">
        <v>125</v>
      </c>
      <c r="O1900" t="s">
        <v>125</v>
      </c>
      <c r="P1900" t="s">
        <v>125</v>
      </c>
      <c r="Q1900" t="s">
        <v>125</v>
      </c>
      <c r="R1900" t="s">
        <v>125</v>
      </c>
      <c r="S1900" t="s">
        <v>125</v>
      </c>
      <c r="T1900">
        <v>0</v>
      </c>
      <c r="V1900" t="s">
        <v>125</v>
      </c>
      <c r="AE1900" t="s">
        <v>125</v>
      </c>
      <c r="AF1900">
        <v>0</v>
      </c>
      <c r="AG1900" t="s">
        <v>125</v>
      </c>
      <c r="AH1900">
        <v>0</v>
      </c>
      <c r="AK1900">
        <v>0</v>
      </c>
    </row>
    <row r="1901" spans="1:37" x14ac:dyDescent="0.25">
      <c r="A1901" t="s">
        <v>79</v>
      </c>
      <c r="B1901">
        <v>8</v>
      </c>
      <c r="C1901">
        <v>1</v>
      </c>
      <c r="D1901">
        <v>2</v>
      </c>
      <c r="E1901">
        <v>9</v>
      </c>
      <c r="G1901">
        <v>812</v>
      </c>
      <c r="H1901" t="s">
        <v>63</v>
      </c>
      <c r="I1901" t="s">
        <v>74</v>
      </c>
      <c r="J1901" t="s">
        <v>149</v>
      </c>
      <c r="L1901">
        <v>0</v>
      </c>
      <c r="M1901" t="s">
        <v>125</v>
      </c>
      <c r="O1901" t="s">
        <v>125</v>
      </c>
      <c r="P1901" t="s">
        <v>125</v>
      </c>
      <c r="Q1901" t="s">
        <v>125</v>
      </c>
      <c r="R1901" t="s">
        <v>125</v>
      </c>
      <c r="S1901" t="s">
        <v>125</v>
      </c>
      <c r="T1901">
        <v>0</v>
      </c>
      <c r="V1901" t="s">
        <v>125</v>
      </c>
      <c r="AE1901" t="s">
        <v>125</v>
      </c>
      <c r="AF1901">
        <v>0</v>
      </c>
      <c r="AG1901" t="s">
        <v>125</v>
      </c>
      <c r="AH1901">
        <v>0</v>
      </c>
      <c r="AK1901">
        <v>0</v>
      </c>
    </row>
    <row r="1902" spans="1:37" x14ac:dyDescent="0.25">
      <c r="A1902" t="s">
        <v>79</v>
      </c>
      <c r="B1902">
        <v>8</v>
      </c>
      <c r="C1902">
        <v>1</v>
      </c>
      <c r="D1902">
        <v>2</v>
      </c>
      <c r="E1902">
        <v>10</v>
      </c>
      <c r="G1902">
        <v>812</v>
      </c>
      <c r="H1902" t="s">
        <v>63</v>
      </c>
      <c r="I1902" t="s">
        <v>129</v>
      </c>
      <c r="J1902" t="s">
        <v>150</v>
      </c>
      <c r="L1902">
        <v>0</v>
      </c>
      <c r="M1902" t="s">
        <v>125</v>
      </c>
      <c r="O1902" t="s">
        <v>125</v>
      </c>
      <c r="P1902" t="s">
        <v>125</v>
      </c>
      <c r="Q1902" t="s">
        <v>125</v>
      </c>
      <c r="R1902" t="s">
        <v>125</v>
      </c>
      <c r="S1902" t="s">
        <v>125</v>
      </c>
      <c r="T1902">
        <v>0</v>
      </c>
      <c r="V1902" t="s">
        <v>125</v>
      </c>
      <c r="AE1902" t="s">
        <v>125</v>
      </c>
      <c r="AF1902">
        <v>0</v>
      </c>
      <c r="AG1902" t="s">
        <v>125</v>
      </c>
      <c r="AH1902">
        <v>0</v>
      </c>
      <c r="AK1902">
        <v>0</v>
      </c>
    </row>
    <row r="1903" spans="1:37" x14ac:dyDescent="0.25">
      <c r="A1903" t="s">
        <v>79</v>
      </c>
      <c r="B1903">
        <v>8</v>
      </c>
      <c r="C1903">
        <v>1</v>
      </c>
      <c r="D1903">
        <v>2</v>
      </c>
      <c r="E1903">
        <v>11</v>
      </c>
      <c r="G1903">
        <v>812</v>
      </c>
      <c r="H1903" t="s">
        <v>63</v>
      </c>
      <c r="I1903" t="s">
        <v>131</v>
      </c>
      <c r="J1903" t="s">
        <v>151</v>
      </c>
      <c r="L1903">
        <v>0</v>
      </c>
      <c r="M1903" t="s">
        <v>125</v>
      </c>
      <c r="O1903" t="s">
        <v>125</v>
      </c>
      <c r="P1903" t="s">
        <v>125</v>
      </c>
      <c r="Q1903" t="s">
        <v>125</v>
      </c>
      <c r="R1903" t="s">
        <v>125</v>
      </c>
      <c r="S1903" t="s">
        <v>125</v>
      </c>
      <c r="T1903">
        <v>0</v>
      </c>
      <c r="V1903" t="s">
        <v>125</v>
      </c>
      <c r="AE1903" t="s">
        <v>125</v>
      </c>
      <c r="AF1903">
        <v>0</v>
      </c>
      <c r="AG1903" t="s">
        <v>125</v>
      </c>
      <c r="AH1903">
        <v>0</v>
      </c>
      <c r="AK1903">
        <v>0</v>
      </c>
    </row>
    <row r="1904" spans="1:37" x14ac:dyDescent="0.25">
      <c r="A1904" t="s">
        <v>79</v>
      </c>
      <c r="B1904">
        <v>8</v>
      </c>
      <c r="C1904">
        <v>1</v>
      </c>
      <c r="D1904">
        <v>2</v>
      </c>
      <c r="E1904">
        <v>12</v>
      </c>
      <c r="G1904">
        <v>812</v>
      </c>
      <c r="H1904" t="s">
        <v>63</v>
      </c>
      <c r="I1904" t="s">
        <v>133</v>
      </c>
      <c r="J1904" t="s">
        <v>152</v>
      </c>
      <c r="L1904">
        <v>0</v>
      </c>
      <c r="M1904" t="s">
        <v>125</v>
      </c>
      <c r="O1904" t="s">
        <v>125</v>
      </c>
      <c r="P1904" t="s">
        <v>125</v>
      </c>
      <c r="Q1904" t="s">
        <v>125</v>
      </c>
      <c r="R1904" t="s">
        <v>125</v>
      </c>
      <c r="S1904" t="s">
        <v>125</v>
      </c>
      <c r="T1904">
        <v>0</v>
      </c>
      <c r="V1904" t="s">
        <v>125</v>
      </c>
      <c r="AE1904" t="s">
        <v>125</v>
      </c>
      <c r="AF1904">
        <v>0</v>
      </c>
      <c r="AG1904" t="s">
        <v>125</v>
      </c>
      <c r="AH1904">
        <v>0</v>
      </c>
      <c r="AK1904">
        <v>0</v>
      </c>
    </row>
    <row r="1905" spans="1:37" x14ac:dyDescent="0.25">
      <c r="A1905" t="s">
        <v>79</v>
      </c>
      <c r="B1905">
        <v>8</v>
      </c>
      <c r="C1905">
        <v>1</v>
      </c>
      <c r="D1905">
        <v>2</v>
      </c>
      <c r="E1905">
        <v>13</v>
      </c>
      <c r="G1905">
        <v>812</v>
      </c>
      <c r="H1905" t="s">
        <v>63</v>
      </c>
      <c r="I1905" t="s">
        <v>135</v>
      </c>
      <c r="J1905" t="s">
        <v>153</v>
      </c>
      <c r="L1905">
        <v>0</v>
      </c>
      <c r="M1905" t="s">
        <v>125</v>
      </c>
      <c r="O1905" t="s">
        <v>125</v>
      </c>
      <c r="P1905" t="s">
        <v>125</v>
      </c>
      <c r="Q1905" t="s">
        <v>125</v>
      </c>
      <c r="R1905" t="s">
        <v>125</v>
      </c>
      <c r="S1905" t="s">
        <v>125</v>
      </c>
      <c r="T1905">
        <v>0</v>
      </c>
      <c r="V1905" t="s">
        <v>125</v>
      </c>
      <c r="AE1905" t="s">
        <v>125</v>
      </c>
      <c r="AF1905">
        <v>0</v>
      </c>
      <c r="AG1905" t="s">
        <v>125</v>
      </c>
      <c r="AH1905">
        <v>0</v>
      </c>
      <c r="AK1905">
        <v>0</v>
      </c>
    </row>
    <row r="1906" spans="1:37" x14ac:dyDescent="0.25">
      <c r="A1906" t="s">
        <v>79</v>
      </c>
      <c r="B1906">
        <v>8</v>
      </c>
      <c r="C1906">
        <v>1</v>
      </c>
      <c r="D1906">
        <v>2</v>
      </c>
      <c r="E1906">
        <v>14</v>
      </c>
      <c r="G1906">
        <v>812</v>
      </c>
      <c r="H1906" t="s">
        <v>63</v>
      </c>
      <c r="I1906" t="s">
        <v>137</v>
      </c>
      <c r="J1906" t="s">
        <v>154</v>
      </c>
      <c r="L1906">
        <v>0</v>
      </c>
      <c r="M1906" t="s">
        <v>125</v>
      </c>
      <c r="O1906" t="s">
        <v>125</v>
      </c>
      <c r="P1906" t="s">
        <v>125</v>
      </c>
      <c r="Q1906" t="s">
        <v>125</v>
      </c>
      <c r="R1906" t="s">
        <v>125</v>
      </c>
      <c r="S1906" t="s">
        <v>125</v>
      </c>
      <c r="T1906">
        <v>0</v>
      </c>
      <c r="V1906" t="s">
        <v>125</v>
      </c>
      <c r="AE1906" t="s">
        <v>125</v>
      </c>
      <c r="AF1906">
        <v>0</v>
      </c>
      <c r="AG1906" t="s">
        <v>125</v>
      </c>
      <c r="AH1906">
        <v>0</v>
      </c>
      <c r="AK1906">
        <v>0</v>
      </c>
    </row>
    <row r="1907" spans="1:37" x14ac:dyDescent="0.25">
      <c r="A1907" t="s">
        <v>79</v>
      </c>
      <c r="B1907">
        <v>8</v>
      </c>
      <c r="C1907">
        <v>1</v>
      </c>
      <c r="D1907">
        <v>2</v>
      </c>
      <c r="E1907">
        <v>15</v>
      </c>
      <c r="G1907">
        <v>812</v>
      </c>
      <c r="H1907" t="s">
        <v>63</v>
      </c>
      <c r="I1907" t="s">
        <v>139</v>
      </c>
      <c r="J1907" t="s">
        <v>155</v>
      </c>
      <c r="L1907">
        <v>0</v>
      </c>
      <c r="M1907" t="s">
        <v>125</v>
      </c>
      <c r="O1907" t="s">
        <v>125</v>
      </c>
      <c r="P1907" t="s">
        <v>125</v>
      </c>
      <c r="Q1907" t="s">
        <v>125</v>
      </c>
      <c r="R1907" t="s">
        <v>125</v>
      </c>
      <c r="S1907" t="s">
        <v>125</v>
      </c>
      <c r="T1907">
        <v>0</v>
      </c>
      <c r="V1907" t="s">
        <v>125</v>
      </c>
      <c r="AE1907" t="s">
        <v>125</v>
      </c>
      <c r="AF1907">
        <v>0</v>
      </c>
      <c r="AG1907" t="s">
        <v>125</v>
      </c>
      <c r="AH1907">
        <v>0</v>
      </c>
      <c r="AK1907">
        <v>0</v>
      </c>
    </row>
    <row r="1908" spans="1:37" x14ac:dyDescent="0.25">
      <c r="L1908">
        <v>0</v>
      </c>
    </row>
    <row r="1909" spans="1:37" x14ac:dyDescent="0.25">
      <c r="A1909" t="s">
        <v>70</v>
      </c>
      <c r="B1909">
        <v>8</v>
      </c>
      <c r="C1909">
        <v>1</v>
      </c>
      <c r="D1909">
        <v>3</v>
      </c>
      <c r="G1909">
        <v>81</v>
      </c>
      <c r="L1909">
        <v>0</v>
      </c>
      <c r="M1909" t="s">
        <v>125</v>
      </c>
      <c r="P1909" t="s">
        <v>125</v>
      </c>
      <c r="R1909" t="s">
        <v>125</v>
      </c>
      <c r="S1909" t="s">
        <v>63</v>
      </c>
      <c r="V1909" t="s">
        <v>125</v>
      </c>
      <c r="X1909" t="s">
        <v>125</v>
      </c>
      <c r="Y1909" t="s">
        <v>125</v>
      </c>
      <c r="Z1909" t="s">
        <v>125</v>
      </c>
      <c r="AA1909" t="s">
        <v>125</v>
      </c>
      <c r="AB1909" t="s">
        <v>125</v>
      </c>
      <c r="AC1909" t="s">
        <v>125</v>
      </c>
      <c r="AE1909" t="s">
        <v>125</v>
      </c>
      <c r="AF1909">
        <v>0</v>
      </c>
      <c r="AG1909" t="s">
        <v>125</v>
      </c>
      <c r="AH1909">
        <v>0</v>
      </c>
    </row>
    <row r="1910" spans="1:37" x14ac:dyDescent="0.25">
      <c r="A1910" t="s">
        <v>79</v>
      </c>
      <c r="B1910">
        <v>8</v>
      </c>
      <c r="C1910">
        <v>1</v>
      </c>
      <c r="D1910">
        <v>3</v>
      </c>
      <c r="E1910">
        <v>1</v>
      </c>
      <c r="G1910">
        <v>813</v>
      </c>
      <c r="H1910" t="s">
        <v>63</v>
      </c>
      <c r="I1910" t="s">
        <v>80</v>
      </c>
      <c r="J1910" t="s">
        <v>141</v>
      </c>
      <c r="L1910">
        <v>0</v>
      </c>
      <c r="M1910" t="s">
        <v>125</v>
      </c>
      <c r="O1910" t="s">
        <v>125</v>
      </c>
      <c r="P1910" t="s">
        <v>125</v>
      </c>
      <c r="Q1910" t="s">
        <v>125</v>
      </c>
      <c r="R1910" t="s">
        <v>125</v>
      </c>
      <c r="S1910" t="s">
        <v>125</v>
      </c>
      <c r="T1910">
        <v>0</v>
      </c>
      <c r="V1910" t="s">
        <v>125</v>
      </c>
      <c r="AE1910" t="s">
        <v>125</v>
      </c>
      <c r="AF1910">
        <v>0</v>
      </c>
      <c r="AG1910" t="s">
        <v>125</v>
      </c>
      <c r="AH1910">
        <v>0</v>
      </c>
      <c r="AK1910">
        <v>0</v>
      </c>
    </row>
    <row r="1911" spans="1:37" x14ac:dyDescent="0.25">
      <c r="A1911" t="s">
        <v>79</v>
      </c>
      <c r="B1911">
        <v>8</v>
      </c>
      <c r="C1911">
        <v>1</v>
      </c>
      <c r="D1911">
        <v>3</v>
      </c>
      <c r="E1911">
        <v>2</v>
      </c>
      <c r="G1911">
        <v>813</v>
      </c>
      <c r="H1911" t="s">
        <v>63</v>
      </c>
      <c r="I1911" t="s">
        <v>88</v>
      </c>
      <c r="J1911" t="s">
        <v>142</v>
      </c>
      <c r="L1911">
        <v>0</v>
      </c>
      <c r="M1911" t="s">
        <v>125</v>
      </c>
      <c r="O1911" t="s">
        <v>125</v>
      </c>
      <c r="P1911" t="s">
        <v>125</v>
      </c>
      <c r="Q1911" t="s">
        <v>125</v>
      </c>
      <c r="R1911" t="s">
        <v>125</v>
      </c>
      <c r="S1911" t="s">
        <v>125</v>
      </c>
      <c r="T1911">
        <v>0</v>
      </c>
      <c r="V1911" t="s">
        <v>125</v>
      </c>
      <c r="AE1911" t="s">
        <v>125</v>
      </c>
      <c r="AF1911">
        <v>0</v>
      </c>
      <c r="AG1911" t="s">
        <v>125</v>
      </c>
      <c r="AH1911">
        <v>0</v>
      </c>
      <c r="AK1911">
        <v>0</v>
      </c>
    </row>
    <row r="1912" spans="1:37" x14ac:dyDescent="0.25">
      <c r="A1912" t="s">
        <v>79</v>
      </c>
      <c r="B1912">
        <v>8</v>
      </c>
      <c r="C1912">
        <v>1</v>
      </c>
      <c r="D1912">
        <v>3</v>
      </c>
      <c r="E1912">
        <v>3</v>
      </c>
      <c r="G1912">
        <v>813</v>
      </c>
      <c r="H1912" t="s">
        <v>63</v>
      </c>
      <c r="I1912" t="s">
        <v>95</v>
      </c>
      <c r="J1912" t="s">
        <v>143</v>
      </c>
      <c r="L1912">
        <v>0</v>
      </c>
      <c r="M1912" t="s">
        <v>125</v>
      </c>
      <c r="O1912" t="s">
        <v>125</v>
      </c>
      <c r="P1912" t="s">
        <v>125</v>
      </c>
      <c r="Q1912" t="s">
        <v>125</v>
      </c>
      <c r="R1912" t="s">
        <v>125</v>
      </c>
      <c r="S1912" t="s">
        <v>125</v>
      </c>
      <c r="T1912">
        <v>0</v>
      </c>
      <c r="V1912" t="s">
        <v>125</v>
      </c>
      <c r="AE1912" t="s">
        <v>125</v>
      </c>
      <c r="AF1912">
        <v>0</v>
      </c>
      <c r="AG1912" t="s">
        <v>125</v>
      </c>
      <c r="AH1912">
        <v>0</v>
      </c>
      <c r="AK1912">
        <v>0</v>
      </c>
    </row>
    <row r="1913" spans="1:37" x14ac:dyDescent="0.25">
      <c r="A1913" t="s">
        <v>79</v>
      </c>
      <c r="B1913">
        <v>8</v>
      </c>
      <c r="C1913">
        <v>1</v>
      </c>
      <c r="D1913">
        <v>3</v>
      </c>
      <c r="E1913">
        <v>4</v>
      </c>
      <c r="G1913">
        <v>813</v>
      </c>
      <c r="H1913" t="s">
        <v>63</v>
      </c>
      <c r="I1913" t="s">
        <v>102</v>
      </c>
      <c r="J1913" t="s">
        <v>144</v>
      </c>
      <c r="L1913">
        <v>0</v>
      </c>
      <c r="M1913" t="s">
        <v>125</v>
      </c>
      <c r="O1913" t="s">
        <v>125</v>
      </c>
      <c r="P1913" t="s">
        <v>125</v>
      </c>
      <c r="Q1913" t="s">
        <v>125</v>
      </c>
      <c r="R1913" t="s">
        <v>125</v>
      </c>
      <c r="S1913" t="s">
        <v>125</v>
      </c>
      <c r="T1913">
        <v>0</v>
      </c>
      <c r="V1913" t="s">
        <v>125</v>
      </c>
      <c r="AE1913" t="s">
        <v>125</v>
      </c>
      <c r="AF1913">
        <v>0</v>
      </c>
      <c r="AG1913" t="s">
        <v>125</v>
      </c>
      <c r="AH1913">
        <v>0</v>
      </c>
      <c r="AK1913">
        <v>0</v>
      </c>
    </row>
    <row r="1914" spans="1:37" x14ac:dyDescent="0.25">
      <c r="A1914" t="s">
        <v>79</v>
      </c>
      <c r="B1914">
        <v>8</v>
      </c>
      <c r="C1914">
        <v>1</v>
      </c>
      <c r="D1914">
        <v>3</v>
      </c>
      <c r="E1914">
        <v>5</v>
      </c>
      <c r="G1914">
        <v>813</v>
      </c>
      <c r="H1914" t="s">
        <v>63</v>
      </c>
      <c r="I1914" t="s">
        <v>109</v>
      </c>
      <c r="J1914" t="s">
        <v>145</v>
      </c>
      <c r="L1914">
        <v>0</v>
      </c>
      <c r="M1914" t="s">
        <v>125</v>
      </c>
      <c r="O1914" t="s">
        <v>125</v>
      </c>
      <c r="P1914" t="s">
        <v>125</v>
      </c>
      <c r="Q1914" t="s">
        <v>125</v>
      </c>
      <c r="R1914" t="s">
        <v>125</v>
      </c>
      <c r="S1914" t="s">
        <v>125</v>
      </c>
      <c r="T1914">
        <v>0</v>
      </c>
      <c r="V1914" t="s">
        <v>125</v>
      </c>
      <c r="AE1914" t="s">
        <v>125</v>
      </c>
      <c r="AF1914">
        <v>0</v>
      </c>
      <c r="AG1914" t="s">
        <v>125</v>
      </c>
      <c r="AH1914">
        <v>0</v>
      </c>
      <c r="AK1914">
        <v>0</v>
      </c>
    </row>
    <row r="1915" spans="1:37" x14ac:dyDescent="0.25">
      <c r="A1915" t="s">
        <v>79</v>
      </c>
      <c r="B1915">
        <v>8</v>
      </c>
      <c r="C1915">
        <v>1</v>
      </c>
      <c r="D1915">
        <v>3</v>
      </c>
      <c r="E1915">
        <v>6</v>
      </c>
      <c r="G1915">
        <v>813</v>
      </c>
      <c r="H1915" t="s">
        <v>63</v>
      </c>
      <c r="I1915" t="s">
        <v>116</v>
      </c>
      <c r="J1915" t="s">
        <v>146</v>
      </c>
      <c r="L1915">
        <v>0</v>
      </c>
      <c r="M1915" t="s">
        <v>125</v>
      </c>
      <c r="O1915" t="s">
        <v>125</v>
      </c>
      <c r="P1915" t="s">
        <v>125</v>
      </c>
      <c r="Q1915" t="s">
        <v>125</v>
      </c>
      <c r="R1915" t="s">
        <v>125</v>
      </c>
      <c r="S1915" t="s">
        <v>125</v>
      </c>
      <c r="T1915">
        <v>0</v>
      </c>
      <c r="V1915" t="s">
        <v>125</v>
      </c>
      <c r="AE1915" t="s">
        <v>125</v>
      </c>
      <c r="AF1915">
        <v>0</v>
      </c>
      <c r="AG1915" t="s">
        <v>125</v>
      </c>
      <c r="AH1915">
        <v>0</v>
      </c>
      <c r="AK1915">
        <v>0</v>
      </c>
    </row>
    <row r="1916" spans="1:37" x14ac:dyDescent="0.25">
      <c r="A1916" t="s">
        <v>79</v>
      </c>
      <c r="B1916">
        <v>8</v>
      </c>
      <c r="C1916">
        <v>1</v>
      </c>
      <c r="D1916">
        <v>3</v>
      </c>
      <c r="E1916">
        <v>7</v>
      </c>
      <c r="G1916">
        <v>813</v>
      </c>
      <c r="H1916" t="s">
        <v>63</v>
      </c>
      <c r="I1916" t="s">
        <v>123</v>
      </c>
      <c r="J1916" t="s">
        <v>147</v>
      </c>
      <c r="L1916">
        <v>0</v>
      </c>
      <c r="M1916" t="s">
        <v>125</v>
      </c>
      <c r="O1916" t="s">
        <v>125</v>
      </c>
      <c r="P1916" t="s">
        <v>125</v>
      </c>
      <c r="Q1916" t="s">
        <v>125</v>
      </c>
      <c r="R1916" t="s">
        <v>125</v>
      </c>
      <c r="S1916" t="s">
        <v>125</v>
      </c>
      <c r="T1916">
        <v>0</v>
      </c>
      <c r="V1916" t="s">
        <v>125</v>
      </c>
      <c r="AE1916" t="s">
        <v>125</v>
      </c>
      <c r="AF1916">
        <v>0</v>
      </c>
      <c r="AG1916" t="s">
        <v>125</v>
      </c>
      <c r="AH1916">
        <v>0</v>
      </c>
      <c r="AK1916">
        <v>0</v>
      </c>
    </row>
    <row r="1917" spans="1:37" x14ac:dyDescent="0.25">
      <c r="A1917" t="s">
        <v>79</v>
      </c>
      <c r="B1917">
        <v>8</v>
      </c>
      <c r="C1917">
        <v>1</v>
      </c>
      <c r="D1917">
        <v>3</v>
      </c>
      <c r="E1917">
        <v>8</v>
      </c>
      <c r="G1917">
        <v>813</v>
      </c>
      <c r="H1917" t="s">
        <v>63</v>
      </c>
      <c r="I1917" t="s">
        <v>126</v>
      </c>
      <c r="J1917" t="s">
        <v>148</v>
      </c>
      <c r="L1917">
        <v>0</v>
      </c>
      <c r="M1917" t="s">
        <v>125</v>
      </c>
      <c r="O1917" t="s">
        <v>125</v>
      </c>
      <c r="P1917" t="s">
        <v>125</v>
      </c>
      <c r="Q1917" t="s">
        <v>125</v>
      </c>
      <c r="R1917" t="s">
        <v>125</v>
      </c>
      <c r="S1917" t="s">
        <v>125</v>
      </c>
      <c r="T1917">
        <v>0</v>
      </c>
      <c r="V1917" t="s">
        <v>125</v>
      </c>
      <c r="AE1917" t="s">
        <v>125</v>
      </c>
      <c r="AF1917">
        <v>0</v>
      </c>
      <c r="AG1917" t="s">
        <v>125</v>
      </c>
      <c r="AH1917">
        <v>0</v>
      </c>
      <c r="AK1917">
        <v>0</v>
      </c>
    </row>
    <row r="1918" spans="1:37" x14ac:dyDescent="0.25">
      <c r="A1918" t="s">
        <v>79</v>
      </c>
      <c r="B1918">
        <v>8</v>
      </c>
      <c r="C1918">
        <v>1</v>
      </c>
      <c r="D1918">
        <v>3</v>
      </c>
      <c r="E1918">
        <v>9</v>
      </c>
      <c r="G1918">
        <v>813</v>
      </c>
      <c r="H1918" t="s">
        <v>63</v>
      </c>
      <c r="I1918" t="s">
        <v>74</v>
      </c>
      <c r="J1918" t="s">
        <v>149</v>
      </c>
      <c r="L1918">
        <v>0</v>
      </c>
      <c r="M1918" t="s">
        <v>125</v>
      </c>
      <c r="O1918" t="s">
        <v>125</v>
      </c>
      <c r="P1918" t="s">
        <v>125</v>
      </c>
      <c r="Q1918" t="s">
        <v>125</v>
      </c>
      <c r="R1918" t="s">
        <v>125</v>
      </c>
      <c r="S1918" t="s">
        <v>125</v>
      </c>
      <c r="T1918">
        <v>0</v>
      </c>
      <c r="V1918" t="s">
        <v>125</v>
      </c>
      <c r="AE1918" t="s">
        <v>125</v>
      </c>
      <c r="AF1918">
        <v>0</v>
      </c>
      <c r="AG1918" t="s">
        <v>125</v>
      </c>
      <c r="AH1918">
        <v>0</v>
      </c>
      <c r="AK1918">
        <v>0</v>
      </c>
    </row>
    <row r="1919" spans="1:37" x14ac:dyDescent="0.25">
      <c r="A1919" t="s">
        <v>79</v>
      </c>
      <c r="B1919">
        <v>8</v>
      </c>
      <c r="C1919">
        <v>1</v>
      </c>
      <c r="D1919">
        <v>3</v>
      </c>
      <c r="E1919">
        <v>10</v>
      </c>
      <c r="G1919">
        <v>813</v>
      </c>
      <c r="H1919" t="s">
        <v>63</v>
      </c>
      <c r="I1919" t="s">
        <v>129</v>
      </c>
      <c r="J1919" t="s">
        <v>150</v>
      </c>
      <c r="L1919">
        <v>0</v>
      </c>
      <c r="M1919" t="s">
        <v>125</v>
      </c>
      <c r="O1919" t="s">
        <v>125</v>
      </c>
      <c r="P1919" t="s">
        <v>125</v>
      </c>
      <c r="Q1919" t="s">
        <v>125</v>
      </c>
      <c r="R1919" t="s">
        <v>125</v>
      </c>
      <c r="S1919" t="s">
        <v>125</v>
      </c>
      <c r="T1919">
        <v>0</v>
      </c>
      <c r="V1919" t="s">
        <v>125</v>
      </c>
      <c r="AE1919" t="s">
        <v>125</v>
      </c>
      <c r="AF1919">
        <v>0</v>
      </c>
      <c r="AG1919" t="s">
        <v>125</v>
      </c>
      <c r="AH1919">
        <v>0</v>
      </c>
      <c r="AK1919">
        <v>0</v>
      </c>
    </row>
    <row r="1920" spans="1:37" x14ac:dyDescent="0.25">
      <c r="A1920" t="s">
        <v>79</v>
      </c>
      <c r="B1920">
        <v>8</v>
      </c>
      <c r="C1920">
        <v>1</v>
      </c>
      <c r="D1920">
        <v>3</v>
      </c>
      <c r="E1920">
        <v>11</v>
      </c>
      <c r="G1920">
        <v>813</v>
      </c>
      <c r="H1920" t="s">
        <v>63</v>
      </c>
      <c r="I1920" t="s">
        <v>131</v>
      </c>
      <c r="J1920" t="s">
        <v>151</v>
      </c>
      <c r="L1920">
        <v>0</v>
      </c>
      <c r="M1920" t="s">
        <v>125</v>
      </c>
      <c r="O1920" t="s">
        <v>125</v>
      </c>
      <c r="P1920" t="s">
        <v>125</v>
      </c>
      <c r="Q1920" t="s">
        <v>125</v>
      </c>
      <c r="R1920" t="s">
        <v>125</v>
      </c>
      <c r="S1920" t="s">
        <v>125</v>
      </c>
      <c r="T1920">
        <v>0</v>
      </c>
      <c r="V1920" t="s">
        <v>125</v>
      </c>
      <c r="AE1920" t="s">
        <v>125</v>
      </c>
      <c r="AF1920">
        <v>0</v>
      </c>
      <c r="AG1920" t="s">
        <v>125</v>
      </c>
      <c r="AH1920">
        <v>0</v>
      </c>
      <c r="AK1920">
        <v>0</v>
      </c>
    </row>
    <row r="1921" spans="1:37" x14ac:dyDescent="0.25">
      <c r="A1921" t="s">
        <v>79</v>
      </c>
      <c r="B1921">
        <v>8</v>
      </c>
      <c r="C1921">
        <v>1</v>
      </c>
      <c r="D1921">
        <v>3</v>
      </c>
      <c r="E1921">
        <v>12</v>
      </c>
      <c r="G1921">
        <v>813</v>
      </c>
      <c r="H1921" t="s">
        <v>63</v>
      </c>
      <c r="I1921" t="s">
        <v>133</v>
      </c>
      <c r="J1921" t="s">
        <v>152</v>
      </c>
      <c r="L1921">
        <v>0</v>
      </c>
      <c r="M1921" t="s">
        <v>125</v>
      </c>
      <c r="O1921" t="s">
        <v>125</v>
      </c>
      <c r="P1921" t="s">
        <v>125</v>
      </c>
      <c r="Q1921" t="s">
        <v>125</v>
      </c>
      <c r="R1921" t="s">
        <v>125</v>
      </c>
      <c r="S1921" t="s">
        <v>125</v>
      </c>
      <c r="T1921">
        <v>0</v>
      </c>
      <c r="V1921" t="s">
        <v>125</v>
      </c>
      <c r="AE1921" t="s">
        <v>125</v>
      </c>
      <c r="AF1921">
        <v>0</v>
      </c>
      <c r="AG1921" t="s">
        <v>125</v>
      </c>
      <c r="AH1921">
        <v>0</v>
      </c>
      <c r="AK1921">
        <v>0</v>
      </c>
    </row>
    <row r="1922" spans="1:37" x14ac:dyDescent="0.25">
      <c r="A1922" t="s">
        <v>79</v>
      </c>
      <c r="B1922">
        <v>8</v>
      </c>
      <c r="C1922">
        <v>1</v>
      </c>
      <c r="D1922">
        <v>3</v>
      </c>
      <c r="E1922">
        <v>13</v>
      </c>
      <c r="G1922">
        <v>813</v>
      </c>
      <c r="H1922" t="s">
        <v>63</v>
      </c>
      <c r="I1922" t="s">
        <v>135</v>
      </c>
      <c r="J1922" t="s">
        <v>153</v>
      </c>
      <c r="L1922">
        <v>0</v>
      </c>
      <c r="M1922" t="s">
        <v>125</v>
      </c>
      <c r="O1922" t="s">
        <v>125</v>
      </c>
      <c r="P1922" t="s">
        <v>125</v>
      </c>
      <c r="Q1922" t="s">
        <v>125</v>
      </c>
      <c r="R1922" t="s">
        <v>125</v>
      </c>
      <c r="S1922" t="s">
        <v>125</v>
      </c>
      <c r="T1922">
        <v>0</v>
      </c>
      <c r="V1922" t="s">
        <v>125</v>
      </c>
      <c r="AE1922" t="s">
        <v>125</v>
      </c>
      <c r="AF1922">
        <v>0</v>
      </c>
      <c r="AG1922" t="s">
        <v>125</v>
      </c>
      <c r="AH1922">
        <v>0</v>
      </c>
      <c r="AK1922">
        <v>0</v>
      </c>
    </row>
    <row r="1923" spans="1:37" x14ac:dyDescent="0.25">
      <c r="A1923" t="s">
        <v>79</v>
      </c>
      <c r="B1923">
        <v>8</v>
      </c>
      <c r="C1923">
        <v>1</v>
      </c>
      <c r="D1923">
        <v>3</v>
      </c>
      <c r="E1923">
        <v>14</v>
      </c>
      <c r="G1923">
        <v>813</v>
      </c>
      <c r="H1923" t="s">
        <v>63</v>
      </c>
      <c r="I1923" t="s">
        <v>137</v>
      </c>
      <c r="J1923" t="s">
        <v>154</v>
      </c>
      <c r="L1923">
        <v>0</v>
      </c>
      <c r="M1923" t="s">
        <v>125</v>
      </c>
      <c r="O1923" t="s">
        <v>125</v>
      </c>
      <c r="P1923" t="s">
        <v>125</v>
      </c>
      <c r="Q1923" t="s">
        <v>125</v>
      </c>
      <c r="R1923" t="s">
        <v>125</v>
      </c>
      <c r="S1923" t="s">
        <v>125</v>
      </c>
      <c r="T1923">
        <v>0</v>
      </c>
      <c r="V1923" t="s">
        <v>125</v>
      </c>
      <c r="AE1923" t="s">
        <v>125</v>
      </c>
      <c r="AF1923">
        <v>0</v>
      </c>
      <c r="AG1923" t="s">
        <v>125</v>
      </c>
      <c r="AH1923">
        <v>0</v>
      </c>
      <c r="AK1923">
        <v>0</v>
      </c>
    </row>
    <row r="1924" spans="1:37" x14ac:dyDescent="0.25">
      <c r="A1924" t="s">
        <v>79</v>
      </c>
      <c r="B1924">
        <v>8</v>
      </c>
      <c r="C1924">
        <v>1</v>
      </c>
      <c r="D1924">
        <v>3</v>
      </c>
      <c r="E1924">
        <v>15</v>
      </c>
      <c r="G1924">
        <v>813</v>
      </c>
      <c r="H1924" t="s">
        <v>63</v>
      </c>
      <c r="I1924" t="s">
        <v>139</v>
      </c>
      <c r="J1924" t="s">
        <v>155</v>
      </c>
      <c r="L1924">
        <v>0</v>
      </c>
      <c r="M1924" t="s">
        <v>125</v>
      </c>
      <c r="O1924" t="s">
        <v>125</v>
      </c>
      <c r="P1924" t="s">
        <v>125</v>
      </c>
      <c r="Q1924" t="s">
        <v>125</v>
      </c>
      <c r="R1924" t="s">
        <v>125</v>
      </c>
      <c r="S1924" t="s">
        <v>125</v>
      </c>
      <c r="T1924">
        <v>0</v>
      </c>
      <c r="V1924" t="s">
        <v>125</v>
      </c>
      <c r="AE1924" t="s">
        <v>125</v>
      </c>
      <c r="AF1924">
        <v>0</v>
      </c>
      <c r="AG1924" t="s">
        <v>125</v>
      </c>
      <c r="AH1924">
        <v>0</v>
      </c>
      <c r="AK1924">
        <v>0</v>
      </c>
    </row>
    <row r="1925" spans="1:37" x14ac:dyDescent="0.25">
      <c r="L1925">
        <v>0</v>
      </c>
    </row>
    <row r="1926" spans="1:37" x14ac:dyDescent="0.25">
      <c r="A1926" t="s">
        <v>70</v>
      </c>
      <c r="B1926">
        <v>8</v>
      </c>
      <c r="C1926">
        <v>1</v>
      </c>
      <c r="D1926">
        <v>4</v>
      </c>
      <c r="G1926">
        <v>81</v>
      </c>
      <c r="L1926">
        <v>0</v>
      </c>
      <c r="M1926" t="s">
        <v>125</v>
      </c>
      <c r="P1926" t="s">
        <v>125</v>
      </c>
      <c r="R1926" t="s">
        <v>125</v>
      </c>
      <c r="S1926" t="s">
        <v>63</v>
      </c>
      <c r="V1926" t="s">
        <v>125</v>
      </c>
      <c r="X1926" t="s">
        <v>125</v>
      </c>
      <c r="Y1926" t="s">
        <v>125</v>
      </c>
      <c r="Z1926" t="s">
        <v>125</v>
      </c>
      <c r="AA1926" t="s">
        <v>125</v>
      </c>
      <c r="AB1926" t="s">
        <v>125</v>
      </c>
      <c r="AC1926" t="s">
        <v>125</v>
      </c>
      <c r="AE1926" t="s">
        <v>125</v>
      </c>
      <c r="AF1926">
        <v>0</v>
      </c>
      <c r="AG1926" t="s">
        <v>125</v>
      </c>
      <c r="AH1926">
        <v>0</v>
      </c>
    </row>
    <row r="1927" spans="1:37" x14ac:dyDescent="0.25">
      <c r="A1927" t="s">
        <v>79</v>
      </c>
      <c r="B1927">
        <v>8</v>
      </c>
      <c r="C1927">
        <v>1</v>
      </c>
      <c r="D1927">
        <v>4</v>
      </c>
      <c r="E1927">
        <v>1</v>
      </c>
      <c r="G1927">
        <v>814</v>
      </c>
      <c r="H1927" t="s">
        <v>63</v>
      </c>
      <c r="I1927" t="s">
        <v>80</v>
      </c>
      <c r="J1927" t="s">
        <v>141</v>
      </c>
      <c r="L1927">
        <v>0</v>
      </c>
      <c r="M1927" t="s">
        <v>125</v>
      </c>
      <c r="O1927" t="s">
        <v>125</v>
      </c>
      <c r="P1927" t="s">
        <v>125</v>
      </c>
      <c r="Q1927" t="s">
        <v>125</v>
      </c>
      <c r="R1927" t="s">
        <v>125</v>
      </c>
      <c r="S1927" t="s">
        <v>125</v>
      </c>
      <c r="T1927">
        <v>0</v>
      </c>
      <c r="V1927" t="s">
        <v>125</v>
      </c>
      <c r="AE1927" t="s">
        <v>125</v>
      </c>
      <c r="AF1927">
        <v>0</v>
      </c>
      <c r="AG1927" t="s">
        <v>125</v>
      </c>
      <c r="AH1927">
        <v>0</v>
      </c>
      <c r="AK1927">
        <v>0</v>
      </c>
    </row>
    <row r="1928" spans="1:37" x14ac:dyDescent="0.25">
      <c r="A1928" t="s">
        <v>79</v>
      </c>
      <c r="B1928">
        <v>8</v>
      </c>
      <c r="C1928">
        <v>1</v>
      </c>
      <c r="D1928">
        <v>4</v>
      </c>
      <c r="E1928">
        <v>2</v>
      </c>
      <c r="G1928">
        <v>814</v>
      </c>
      <c r="H1928" t="s">
        <v>63</v>
      </c>
      <c r="I1928" t="s">
        <v>88</v>
      </c>
      <c r="J1928" t="s">
        <v>142</v>
      </c>
      <c r="L1928">
        <v>0</v>
      </c>
      <c r="M1928" t="s">
        <v>125</v>
      </c>
      <c r="O1928" t="s">
        <v>125</v>
      </c>
      <c r="P1928" t="s">
        <v>125</v>
      </c>
      <c r="Q1928" t="s">
        <v>125</v>
      </c>
      <c r="R1928" t="s">
        <v>125</v>
      </c>
      <c r="S1928" t="s">
        <v>125</v>
      </c>
      <c r="T1928">
        <v>0</v>
      </c>
      <c r="V1928" t="s">
        <v>125</v>
      </c>
      <c r="AE1928" t="s">
        <v>125</v>
      </c>
      <c r="AF1928">
        <v>0</v>
      </c>
      <c r="AG1928" t="s">
        <v>125</v>
      </c>
      <c r="AH1928">
        <v>0</v>
      </c>
      <c r="AK1928">
        <v>0</v>
      </c>
    </row>
    <row r="1929" spans="1:37" x14ac:dyDescent="0.25">
      <c r="A1929" t="s">
        <v>79</v>
      </c>
      <c r="B1929">
        <v>8</v>
      </c>
      <c r="C1929">
        <v>1</v>
      </c>
      <c r="D1929">
        <v>4</v>
      </c>
      <c r="E1929">
        <v>3</v>
      </c>
      <c r="G1929">
        <v>814</v>
      </c>
      <c r="H1929" t="s">
        <v>63</v>
      </c>
      <c r="I1929" t="s">
        <v>95</v>
      </c>
      <c r="J1929" t="s">
        <v>143</v>
      </c>
      <c r="L1929">
        <v>0</v>
      </c>
      <c r="M1929" t="s">
        <v>125</v>
      </c>
      <c r="O1929" t="s">
        <v>125</v>
      </c>
      <c r="P1929" t="s">
        <v>125</v>
      </c>
      <c r="Q1929" t="s">
        <v>125</v>
      </c>
      <c r="R1929" t="s">
        <v>125</v>
      </c>
      <c r="S1929" t="s">
        <v>125</v>
      </c>
      <c r="T1929">
        <v>0</v>
      </c>
      <c r="V1929" t="s">
        <v>125</v>
      </c>
      <c r="AE1929" t="s">
        <v>125</v>
      </c>
      <c r="AF1929">
        <v>0</v>
      </c>
      <c r="AG1929" t="s">
        <v>125</v>
      </c>
      <c r="AH1929">
        <v>0</v>
      </c>
      <c r="AK1929">
        <v>0</v>
      </c>
    </row>
    <row r="1930" spans="1:37" x14ac:dyDescent="0.25">
      <c r="A1930" t="s">
        <v>79</v>
      </c>
      <c r="B1930">
        <v>8</v>
      </c>
      <c r="C1930">
        <v>1</v>
      </c>
      <c r="D1930">
        <v>4</v>
      </c>
      <c r="E1930">
        <v>4</v>
      </c>
      <c r="G1930">
        <v>814</v>
      </c>
      <c r="H1930" t="s">
        <v>63</v>
      </c>
      <c r="I1930" t="s">
        <v>102</v>
      </c>
      <c r="J1930" t="s">
        <v>144</v>
      </c>
      <c r="L1930">
        <v>0</v>
      </c>
      <c r="M1930" t="s">
        <v>125</v>
      </c>
      <c r="O1930" t="s">
        <v>125</v>
      </c>
      <c r="P1930" t="s">
        <v>125</v>
      </c>
      <c r="Q1930" t="s">
        <v>125</v>
      </c>
      <c r="R1930" t="s">
        <v>125</v>
      </c>
      <c r="S1930" t="s">
        <v>125</v>
      </c>
      <c r="T1930">
        <v>0</v>
      </c>
      <c r="V1930" t="s">
        <v>125</v>
      </c>
      <c r="AE1930" t="s">
        <v>125</v>
      </c>
      <c r="AF1930">
        <v>0</v>
      </c>
      <c r="AG1930" t="s">
        <v>125</v>
      </c>
      <c r="AH1930">
        <v>0</v>
      </c>
      <c r="AK1930">
        <v>0</v>
      </c>
    </row>
    <row r="1931" spans="1:37" x14ac:dyDescent="0.25">
      <c r="A1931" t="s">
        <v>79</v>
      </c>
      <c r="B1931">
        <v>8</v>
      </c>
      <c r="C1931">
        <v>1</v>
      </c>
      <c r="D1931">
        <v>4</v>
      </c>
      <c r="E1931">
        <v>5</v>
      </c>
      <c r="G1931">
        <v>814</v>
      </c>
      <c r="H1931" t="s">
        <v>63</v>
      </c>
      <c r="I1931" t="s">
        <v>109</v>
      </c>
      <c r="J1931" t="s">
        <v>145</v>
      </c>
      <c r="L1931">
        <v>0</v>
      </c>
      <c r="M1931" t="s">
        <v>125</v>
      </c>
      <c r="O1931" t="s">
        <v>125</v>
      </c>
      <c r="P1931" t="s">
        <v>125</v>
      </c>
      <c r="Q1931" t="s">
        <v>125</v>
      </c>
      <c r="R1931" t="s">
        <v>125</v>
      </c>
      <c r="S1931" t="s">
        <v>125</v>
      </c>
      <c r="T1931">
        <v>0</v>
      </c>
      <c r="V1931" t="s">
        <v>125</v>
      </c>
      <c r="AE1931" t="s">
        <v>125</v>
      </c>
      <c r="AF1931">
        <v>0</v>
      </c>
      <c r="AG1931" t="s">
        <v>125</v>
      </c>
      <c r="AH1931">
        <v>0</v>
      </c>
      <c r="AK1931">
        <v>0</v>
      </c>
    </row>
    <row r="1932" spans="1:37" x14ac:dyDescent="0.25">
      <c r="A1932" t="s">
        <v>79</v>
      </c>
      <c r="B1932">
        <v>8</v>
      </c>
      <c r="C1932">
        <v>1</v>
      </c>
      <c r="D1932">
        <v>4</v>
      </c>
      <c r="E1932">
        <v>6</v>
      </c>
      <c r="G1932">
        <v>814</v>
      </c>
      <c r="H1932" t="s">
        <v>63</v>
      </c>
      <c r="I1932" t="s">
        <v>116</v>
      </c>
      <c r="J1932" t="s">
        <v>146</v>
      </c>
      <c r="L1932">
        <v>0</v>
      </c>
      <c r="M1932" t="s">
        <v>125</v>
      </c>
      <c r="O1932" t="s">
        <v>125</v>
      </c>
      <c r="P1932" t="s">
        <v>125</v>
      </c>
      <c r="Q1932" t="s">
        <v>125</v>
      </c>
      <c r="R1932" t="s">
        <v>125</v>
      </c>
      <c r="S1932" t="s">
        <v>125</v>
      </c>
      <c r="T1932">
        <v>0</v>
      </c>
      <c r="V1932" t="s">
        <v>125</v>
      </c>
      <c r="AE1932" t="s">
        <v>125</v>
      </c>
      <c r="AF1932">
        <v>0</v>
      </c>
      <c r="AG1932" t="s">
        <v>125</v>
      </c>
      <c r="AH1932">
        <v>0</v>
      </c>
      <c r="AK1932">
        <v>0</v>
      </c>
    </row>
    <row r="1933" spans="1:37" x14ac:dyDescent="0.25">
      <c r="A1933" t="s">
        <v>79</v>
      </c>
      <c r="B1933">
        <v>8</v>
      </c>
      <c r="C1933">
        <v>1</v>
      </c>
      <c r="D1933">
        <v>4</v>
      </c>
      <c r="E1933">
        <v>7</v>
      </c>
      <c r="G1933">
        <v>814</v>
      </c>
      <c r="H1933" t="s">
        <v>63</v>
      </c>
      <c r="I1933" t="s">
        <v>123</v>
      </c>
      <c r="J1933" t="s">
        <v>147</v>
      </c>
      <c r="L1933">
        <v>0</v>
      </c>
      <c r="M1933" t="s">
        <v>125</v>
      </c>
      <c r="O1933" t="s">
        <v>125</v>
      </c>
      <c r="P1933" t="s">
        <v>125</v>
      </c>
      <c r="Q1933" t="s">
        <v>125</v>
      </c>
      <c r="R1933" t="s">
        <v>125</v>
      </c>
      <c r="S1933" t="s">
        <v>125</v>
      </c>
      <c r="T1933">
        <v>0</v>
      </c>
      <c r="V1933" t="s">
        <v>125</v>
      </c>
      <c r="AE1933" t="s">
        <v>125</v>
      </c>
      <c r="AF1933">
        <v>0</v>
      </c>
      <c r="AG1933" t="s">
        <v>125</v>
      </c>
      <c r="AH1933">
        <v>0</v>
      </c>
      <c r="AK1933">
        <v>0</v>
      </c>
    </row>
    <row r="1934" spans="1:37" x14ac:dyDescent="0.25">
      <c r="A1934" t="s">
        <v>79</v>
      </c>
      <c r="B1934">
        <v>8</v>
      </c>
      <c r="C1934">
        <v>1</v>
      </c>
      <c r="D1934">
        <v>4</v>
      </c>
      <c r="E1934">
        <v>8</v>
      </c>
      <c r="G1934">
        <v>814</v>
      </c>
      <c r="H1934" t="s">
        <v>63</v>
      </c>
      <c r="I1934" t="s">
        <v>126</v>
      </c>
      <c r="J1934" t="s">
        <v>148</v>
      </c>
      <c r="L1934">
        <v>0</v>
      </c>
      <c r="M1934" t="s">
        <v>125</v>
      </c>
      <c r="O1934" t="s">
        <v>125</v>
      </c>
      <c r="P1934" t="s">
        <v>125</v>
      </c>
      <c r="Q1934" t="s">
        <v>125</v>
      </c>
      <c r="R1934" t="s">
        <v>125</v>
      </c>
      <c r="S1934" t="s">
        <v>125</v>
      </c>
      <c r="T1934">
        <v>0</v>
      </c>
      <c r="V1934" t="s">
        <v>125</v>
      </c>
      <c r="AE1934" t="s">
        <v>125</v>
      </c>
      <c r="AF1934">
        <v>0</v>
      </c>
      <c r="AG1934" t="s">
        <v>125</v>
      </c>
      <c r="AH1934">
        <v>0</v>
      </c>
      <c r="AK1934">
        <v>0</v>
      </c>
    </row>
    <row r="1935" spans="1:37" x14ac:dyDescent="0.25">
      <c r="A1935" t="s">
        <v>79</v>
      </c>
      <c r="B1935">
        <v>8</v>
      </c>
      <c r="C1935">
        <v>1</v>
      </c>
      <c r="D1935">
        <v>4</v>
      </c>
      <c r="E1935">
        <v>9</v>
      </c>
      <c r="G1935">
        <v>814</v>
      </c>
      <c r="H1935" t="s">
        <v>63</v>
      </c>
      <c r="I1935" t="s">
        <v>74</v>
      </c>
      <c r="J1935" t="s">
        <v>149</v>
      </c>
      <c r="L1935">
        <v>0</v>
      </c>
      <c r="M1935" t="s">
        <v>125</v>
      </c>
      <c r="O1935" t="s">
        <v>125</v>
      </c>
      <c r="P1935" t="s">
        <v>125</v>
      </c>
      <c r="Q1935" t="s">
        <v>125</v>
      </c>
      <c r="R1935" t="s">
        <v>125</v>
      </c>
      <c r="S1935" t="s">
        <v>125</v>
      </c>
      <c r="T1935">
        <v>0</v>
      </c>
      <c r="V1935" t="s">
        <v>125</v>
      </c>
      <c r="AE1935" t="s">
        <v>125</v>
      </c>
      <c r="AF1935">
        <v>0</v>
      </c>
      <c r="AG1935" t="s">
        <v>125</v>
      </c>
      <c r="AH1935">
        <v>0</v>
      </c>
      <c r="AK1935">
        <v>0</v>
      </c>
    </row>
    <row r="1936" spans="1:37" x14ac:dyDescent="0.25">
      <c r="A1936" t="s">
        <v>79</v>
      </c>
      <c r="B1936">
        <v>8</v>
      </c>
      <c r="C1936">
        <v>1</v>
      </c>
      <c r="D1936">
        <v>4</v>
      </c>
      <c r="E1936">
        <v>10</v>
      </c>
      <c r="G1936">
        <v>814</v>
      </c>
      <c r="H1936" t="s">
        <v>63</v>
      </c>
      <c r="I1936" t="s">
        <v>129</v>
      </c>
      <c r="J1936" t="s">
        <v>150</v>
      </c>
      <c r="L1936">
        <v>0</v>
      </c>
      <c r="M1936" t="s">
        <v>125</v>
      </c>
      <c r="O1936" t="s">
        <v>125</v>
      </c>
      <c r="P1936" t="s">
        <v>125</v>
      </c>
      <c r="Q1936" t="s">
        <v>125</v>
      </c>
      <c r="R1936" t="s">
        <v>125</v>
      </c>
      <c r="S1936" t="s">
        <v>125</v>
      </c>
      <c r="T1936">
        <v>0</v>
      </c>
      <c r="V1936" t="s">
        <v>125</v>
      </c>
      <c r="AE1936" t="s">
        <v>125</v>
      </c>
      <c r="AF1936">
        <v>0</v>
      </c>
      <c r="AG1936" t="s">
        <v>125</v>
      </c>
      <c r="AH1936">
        <v>0</v>
      </c>
      <c r="AK1936">
        <v>0</v>
      </c>
    </row>
    <row r="1937" spans="1:37" x14ac:dyDescent="0.25">
      <c r="A1937" t="s">
        <v>79</v>
      </c>
      <c r="B1937">
        <v>8</v>
      </c>
      <c r="C1937">
        <v>1</v>
      </c>
      <c r="D1937">
        <v>4</v>
      </c>
      <c r="E1937">
        <v>11</v>
      </c>
      <c r="G1937">
        <v>814</v>
      </c>
      <c r="H1937" t="s">
        <v>63</v>
      </c>
      <c r="I1937" t="s">
        <v>131</v>
      </c>
      <c r="J1937" t="s">
        <v>151</v>
      </c>
      <c r="L1937">
        <v>0</v>
      </c>
      <c r="M1937" t="s">
        <v>125</v>
      </c>
      <c r="O1937" t="s">
        <v>125</v>
      </c>
      <c r="P1937" t="s">
        <v>125</v>
      </c>
      <c r="Q1937" t="s">
        <v>125</v>
      </c>
      <c r="R1937" t="s">
        <v>125</v>
      </c>
      <c r="S1937" t="s">
        <v>125</v>
      </c>
      <c r="T1937">
        <v>0</v>
      </c>
      <c r="V1937" t="s">
        <v>125</v>
      </c>
      <c r="AE1937" t="s">
        <v>125</v>
      </c>
      <c r="AF1937">
        <v>0</v>
      </c>
      <c r="AG1937" t="s">
        <v>125</v>
      </c>
      <c r="AH1937">
        <v>0</v>
      </c>
      <c r="AK1937">
        <v>0</v>
      </c>
    </row>
    <row r="1938" spans="1:37" x14ac:dyDescent="0.25">
      <c r="A1938" t="s">
        <v>79</v>
      </c>
      <c r="B1938">
        <v>8</v>
      </c>
      <c r="C1938">
        <v>1</v>
      </c>
      <c r="D1938">
        <v>4</v>
      </c>
      <c r="E1938">
        <v>12</v>
      </c>
      <c r="G1938">
        <v>814</v>
      </c>
      <c r="H1938" t="s">
        <v>63</v>
      </c>
      <c r="I1938" t="s">
        <v>133</v>
      </c>
      <c r="J1938" t="s">
        <v>152</v>
      </c>
      <c r="L1938">
        <v>0</v>
      </c>
      <c r="M1938" t="s">
        <v>125</v>
      </c>
      <c r="O1938" t="s">
        <v>125</v>
      </c>
      <c r="P1938" t="s">
        <v>125</v>
      </c>
      <c r="Q1938" t="s">
        <v>125</v>
      </c>
      <c r="R1938" t="s">
        <v>125</v>
      </c>
      <c r="S1938" t="s">
        <v>125</v>
      </c>
      <c r="T1938">
        <v>0</v>
      </c>
      <c r="V1938" t="s">
        <v>125</v>
      </c>
      <c r="AE1938" t="s">
        <v>125</v>
      </c>
      <c r="AF1938">
        <v>0</v>
      </c>
      <c r="AG1938" t="s">
        <v>125</v>
      </c>
      <c r="AH1938">
        <v>0</v>
      </c>
      <c r="AK1938">
        <v>0</v>
      </c>
    </row>
    <row r="1939" spans="1:37" x14ac:dyDescent="0.25">
      <c r="A1939" t="s">
        <v>79</v>
      </c>
      <c r="B1939">
        <v>8</v>
      </c>
      <c r="C1939">
        <v>1</v>
      </c>
      <c r="D1939">
        <v>4</v>
      </c>
      <c r="E1939">
        <v>13</v>
      </c>
      <c r="G1939">
        <v>814</v>
      </c>
      <c r="H1939" t="s">
        <v>63</v>
      </c>
      <c r="I1939" t="s">
        <v>135</v>
      </c>
      <c r="J1939" t="s">
        <v>153</v>
      </c>
      <c r="L1939">
        <v>0</v>
      </c>
      <c r="M1939" t="s">
        <v>125</v>
      </c>
      <c r="O1939" t="s">
        <v>125</v>
      </c>
      <c r="P1939" t="s">
        <v>125</v>
      </c>
      <c r="Q1939" t="s">
        <v>125</v>
      </c>
      <c r="R1939" t="s">
        <v>125</v>
      </c>
      <c r="S1939" t="s">
        <v>125</v>
      </c>
      <c r="T1939">
        <v>0</v>
      </c>
      <c r="V1939" t="s">
        <v>125</v>
      </c>
      <c r="AE1939" t="s">
        <v>125</v>
      </c>
      <c r="AF1939">
        <v>0</v>
      </c>
      <c r="AG1939" t="s">
        <v>125</v>
      </c>
      <c r="AH1939">
        <v>0</v>
      </c>
      <c r="AK1939">
        <v>0</v>
      </c>
    </row>
    <row r="1940" spans="1:37" x14ac:dyDescent="0.25">
      <c r="A1940" t="s">
        <v>79</v>
      </c>
      <c r="B1940">
        <v>8</v>
      </c>
      <c r="C1940">
        <v>1</v>
      </c>
      <c r="D1940">
        <v>4</v>
      </c>
      <c r="E1940">
        <v>14</v>
      </c>
      <c r="G1940">
        <v>814</v>
      </c>
      <c r="H1940" t="s">
        <v>63</v>
      </c>
      <c r="I1940" t="s">
        <v>137</v>
      </c>
      <c r="J1940" t="s">
        <v>154</v>
      </c>
      <c r="L1940">
        <v>0</v>
      </c>
      <c r="M1940" t="s">
        <v>125</v>
      </c>
      <c r="O1940" t="s">
        <v>125</v>
      </c>
      <c r="P1940" t="s">
        <v>125</v>
      </c>
      <c r="Q1940" t="s">
        <v>125</v>
      </c>
      <c r="R1940" t="s">
        <v>125</v>
      </c>
      <c r="S1940" t="s">
        <v>125</v>
      </c>
      <c r="T1940">
        <v>0</v>
      </c>
      <c r="V1940" t="s">
        <v>125</v>
      </c>
      <c r="AE1940" t="s">
        <v>125</v>
      </c>
      <c r="AF1940">
        <v>0</v>
      </c>
      <c r="AG1940" t="s">
        <v>125</v>
      </c>
      <c r="AH1940">
        <v>0</v>
      </c>
      <c r="AK1940">
        <v>0</v>
      </c>
    </row>
    <row r="1941" spans="1:37" x14ac:dyDescent="0.25">
      <c r="A1941" t="s">
        <v>79</v>
      </c>
      <c r="B1941">
        <v>8</v>
      </c>
      <c r="C1941">
        <v>1</v>
      </c>
      <c r="D1941">
        <v>4</v>
      </c>
      <c r="E1941">
        <v>15</v>
      </c>
      <c r="G1941">
        <v>814</v>
      </c>
      <c r="H1941" t="s">
        <v>63</v>
      </c>
      <c r="I1941" t="s">
        <v>139</v>
      </c>
      <c r="J1941" t="s">
        <v>155</v>
      </c>
      <c r="L1941">
        <v>0</v>
      </c>
      <c r="M1941" t="s">
        <v>125</v>
      </c>
      <c r="O1941" t="s">
        <v>125</v>
      </c>
      <c r="P1941" t="s">
        <v>125</v>
      </c>
      <c r="Q1941" t="s">
        <v>125</v>
      </c>
      <c r="R1941" t="s">
        <v>125</v>
      </c>
      <c r="S1941" t="s">
        <v>125</v>
      </c>
      <c r="T1941">
        <v>0</v>
      </c>
      <c r="V1941" t="s">
        <v>125</v>
      </c>
      <c r="AE1941" t="s">
        <v>125</v>
      </c>
      <c r="AF1941">
        <v>0</v>
      </c>
      <c r="AG1941" t="s">
        <v>125</v>
      </c>
      <c r="AH1941">
        <v>0</v>
      </c>
      <c r="AK1941">
        <v>0</v>
      </c>
    </row>
    <row r="1942" spans="1:37" x14ac:dyDescent="0.25">
      <c r="L1942">
        <v>0</v>
      </c>
    </row>
    <row r="1943" spans="1:37" x14ac:dyDescent="0.25">
      <c r="A1943" t="s">
        <v>70</v>
      </c>
      <c r="B1943">
        <v>8</v>
      </c>
      <c r="C1943">
        <v>1</v>
      </c>
      <c r="D1943">
        <v>5</v>
      </c>
      <c r="G1943">
        <v>81</v>
      </c>
      <c r="L1943">
        <v>0</v>
      </c>
      <c r="M1943" t="s">
        <v>125</v>
      </c>
      <c r="P1943" t="s">
        <v>125</v>
      </c>
      <c r="R1943" t="s">
        <v>125</v>
      </c>
      <c r="S1943" t="s">
        <v>63</v>
      </c>
      <c r="V1943" t="s">
        <v>125</v>
      </c>
      <c r="X1943" t="s">
        <v>125</v>
      </c>
      <c r="Y1943" t="s">
        <v>125</v>
      </c>
      <c r="Z1943" t="s">
        <v>125</v>
      </c>
      <c r="AA1943" t="s">
        <v>125</v>
      </c>
      <c r="AB1943" t="s">
        <v>125</v>
      </c>
      <c r="AC1943" t="s">
        <v>125</v>
      </c>
      <c r="AE1943" t="s">
        <v>125</v>
      </c>
      <c r="AF1943">
        <v>0</v>
      </c>
      <c r="AG1943" t="s">
        <v>125</v>
      </c>
      <c r="AH1943">
        <v>0</v>
      </c>
    </row>
    <row r="1944" spans="1:37" x14ac:dyDescent="0.25">
      <c r="A1944" t="s">
        <v>79</v>
      </c>
      <c r="B1944">
        <v>8</v>
      </c>
      <c r="C1944">
        <v>1</v>
      </c>
      <c r="D1944">
        <v>5</v>
      </c>
      <c r="E1944">
        <v>1</v>
      </c>
      <c r="G1944">
        <v>815</v>
      </c>
      <c r="H1944" t="s">
        <v>63</v>
      </c>
      <c r="I1944" t="s">
        <v>80</v>
      </c>
      <c r="J1944" t="s">
        <v>141</v>
      </c>
      <c r="L1944">
        <v>0</v>
      </c>
      <c r="M1944" t="s">
        <v>125</v>
      </c>
      <c r="O1944" t="s">
        <v>125</v>
      </c>
      <c r="P1944" t="s">
        <v>125</v>
      </c>
      <c r="Q1944" t="s">
        <v>125</v>
      </c>
      <c r="R1944" t="s">
        <v>125</v>
      </c>
      <c r="S1944" t="s">
        <v>125</v>
      </c>
      <c r="T1944">
        <v>0</v>
      </c>
      <c r="V1944" t="s">
        <v>125</v>
      </c>
      <c r="AE1944" t="s">
        <v>125</v>
      </c>
      <c r="AF1944">
        <v>0</v>
      </c>
      <c r="AG1944" t="s">
        <v>125</v>
      </c>
      <c r="AH1944">
        <v>0</v>
      </c>
      <c r="AK1944">
        <v>0</v>
      </c>
    </row>
    <row r="1945" spans="1:37" x14ac:dyDescent="0.25">
      <c r="A1945" t="s">
        <v>79</v>
      </c>
      <c r="B1945">
        <v>8</v>
      </c>
      <c r="C1945">
        <v>1</v>
      </c>
      <c r="D1945">
        <v>5</v>
      </c>
      <c r="E1945">
        <v>2</v>
      </c>
      <c r="G1945">
        <v>815</v>
      </c>
      <c r="H1945" t="s">
        <v>63</v>
      </c>
      <c r="I1945" t="s">
        <v>88</v>
      </c>
      <c r="J1945" t="s">
        <v>142</v>
      </c>
      <c r="L1945">
        <v>0</v>
      </c>
      <c r="M1945" t="s">
        <v>125</v>
      </c>
      <c r="O1945" t="s">
        <v>125</v>
      </c>
      <c r="P1945" t="s">
        <v>125</v>
      </c>
      <c r="Q1945" t="s">
        <v>125</v>
      </c>
      <c r="R1945" t="s">
        <v>125</v>
      </c>
      <c r="S1945" t="s">
        <v>125</v>
      </c>
      <c r="T1945">
        <v>0</v>
      </c>
      <c r="V1945" t="s">
        <v>125</v>
      </c>
      <c r="AE1945" t="s">
        <v>125</v>
      </c>
      <c r="AF1945">
        <v>0</v>
      </c>
      <c r="AG1945" t="s">
        <v>125</v>
      </c>
      <c r="AH1945">
        <v>0</v>
      </c>
      <c r="AK1945">
        <v>0</v>
      </c>
    </row>
    <row r="1946" spans="1:37" x14ac:dyDescent="0.25">
      <c r="A1946" t="s">
        <v>79</v>
      </c>
      <c r="B1946">
        <v>8</v>
      </c>
      <c r="C1946">
        <v>1</v>
      </c>
      <c r="D1946">
        <v>5</v>
      </c>
      <c r="E1946">
        <v>3</v>
      </c>
      <c r="G1946">
        <v>815</v>
      </c>
      <c r="H1946" t="s">
        <v>63</v>
      </c>
      <c r="I1946" t="s">
        <v>95</v>
      </c>
      <c r="J1946" t="s">
        <v>143</v>
      </c>
      <c r="L1946">
        <v>0</v>
      </c>
      <c r="M1946" t="s">
        <v>125</v>
      </c>
      <c r="O1946" t="s">
        <v>125</v>
      </c>
      <c r="P1946" t="s">
        <v>125</v>
      </c>
      <c r="Q1946" t="s">
        <v>125</v>
      </c>
      <c r="R1946" t="s">
        <v>125</v>
      </c>
      <c r="S1946" t="s">
        <v>125</v>
      </c>
      <c r="T1946">
        <v>0</v>
      </c>
      <c r="V1946" t="s">
        <v>125</v>
      </c>
      <c r="AE1946" t="s">
        <v>125</v>
      </c>
      <c r="AF1946">
        <v>0</v>
      </c>
      <c r="AG1946" t="s">
        <v>125</v>
      </c>
      <c r="AH1946">
        <v>0</v>
      </c>
      <c r="AK1946">
        <v>0</v>
      </c>
    </row>
    <row r="1947" spans="1:37" x14ac:dyDescent="0.25">
      <c r="A1947" t="s">
        <v>79</v>
      </c>
      <c r="B1947">
        <v>8</v>
      </c>
      <c r="C1947">
        <v>1</v>
      </c>
      <c r="D1947">
        <v>5</v>
      </c>
      <c r="E1947">
        <v>4</v>
      </c>
      <c r="G1947">
        <v>815</v>
      </c>
      <c r="H1947" t="s">
        <v>63</v>
      </c>
      <c r="I1947" t="s">
        <v>102</v>
      </c>
      <c r="J1947" t="s">
        <v>144</v>
      </c>
      <c r="L1947">
        <v>0</v>
      </c>
      <c r="M1947" t="s">
        <v>125</v>
      </c>
      <c r="O1947" t="s">
        <v>125</v>
      </c>
      <c r="P1947" t="s">
        <v>125</v>
      </c>
      <c r="Q1947" t="s">
        <v>125</v>
      </c>
      <c r="R1947" t="s">
        <v>125</v>
      </c>
      <c r="S1947" t="s">
        <v>125</v>
      </c>
      <c r="T1947">
        <v>0</v>
      </c>
      <c r="V1947" t="s">
        <v>125</v>
      </c>
      <c r="AE1947" t="s">
        <v>125</v>
      </c>
      <c r="AF1947">
        <v>0</v>
      </c>
      <c r="AG1947" t="s">
        <v>125</v>
      </c>
      <c r="AH1947">
        <v>0</v>
      </c>
      <c r="AK1947">
        <v>0</v>
      </c>
    </row>
    <row r="1948" spans="1:37" x14ac:dyDescent="0.25">
      <c r="A1948" t="s">
        <v>79</v>
      </c>
      <c r="B1948">
        <v>8</v>
      </c>
      <c r="C1948">
        <v>1</v>
      </c>
      <c r="D1948">
        <v>5</v>
      </c>
      <c r="E1948">
        <v>5</v>
      </c>
      <c r="G1948">
        <v>815</v>
      </c>
      <c r="H1948" t="s">
        <v>63</v>
      </c>
      <c r="I1948" t="s">
        <v>109</v>
      </c>
      <c r="J1948" t="s">
        <v>145</v>
      </c>
      <c r="L1948">
        <v>0</v>
      </c>
      <c r="M1948" t="s">
        <v>125</v>
      </c>
      <c r="O1948" t="s">
        <v>125</v>
      </c>
      <c r="P1948" t="s">
        <v>125</v>
      </c>
      <c r="Q1948" t="s">
        <v>125</v>
      </c>
      <c r="R1948" t="s">
        <v>125</v>
      </c>
      <c r="S1948" t="s">
        <v>125</v>
      </c>
      <c r="T1948">
        <v>0</v>
      </c>
      <c r="V1948" t="s">
        <v>125</v>
      </c>
      <c r="AE1948" t="s">
        <v>125</v>
      </c>
      <c r="AF1948">
        <v>0</v>
      </c>
      <c r="AG1948" t="s">
        <v>125</v>
      </c>
      <c r="AH1948">
        <v>0</v>
      </c>
      <c r="AK1948">
        <v>0</v>
      </c>
    </row>
    <row r="1949" spans="1:37" x14ac:dyDescent="0.25">
      <c r="A1949" t="s">
        <v>79</v>
      </c>
      <c r="B1949">
        <v>8</v>
      </c>
      <c r="C1949">
        <v>1</v>
      </c>
      <c r="D1949">
        <v>5</v>
      </c>
      <c r="E1949">
        <v>6</v>
      </c>
      <c r="G1949">
        <v>815</v>
      </c>
      <c r="H1949" t="s">
        <v>63</v>
      </c>
      <c r="I1949" t="s">
        <v>116</v>
      </c>
      <c r="J1949" t="s">
        <v>146</v>
      </c>
      <c r="L1949">
        <v>0</v>
      </c>
      <c r="M1949" t="s">
        <v>125</v>
      </c>
      <c r="O1949" t="s">
        <v>125</v>
      </c>
      <c r="P1949" t="s">
        <v>125</v>
      </c>
      <c r="Q1949" t="s">
        <v>125</v>
      </c>
      <c r="R1949" t="s">
        <v>125</v>
      </c>
      <c r="S1949" t="s">
        <v>125</v>
      </c>
      <c r="T1949">
        <v>0</v>
      </c>
      <c r="V1949" t="s">
        <v>125</v>
      </c>
      <c r="AE1949" t="s">
        <v>125</v>
      </c>
      <c r="AF1949">
        <v>0</v>
      </c>
      <c r="AG1949" t="s">
        <v>125</v>
      </c>
      <c r="AH1949">
        <v>0</v>
      </c>
      <c r="AK1949">
        <v>0</v>
      </c>
    </row>
    <row r="1950" spans="1:37" x14ac:dyDescent="0.25">
      <c r="A1950" t="s">
        <v>79</v>
      </c>
      <c r="B1950">
        <v>8</v>
      </c>
      <c r="C1950">
        <v>1</v>
      </c>
      <c r="D1950">
        <v>5</v>
      </c>
      <c r="E1950">
        <v>7</v>
      </c>
      <c r="G1950">
        <v>815</v>
      </c>
      <c r="H1950" t="s">
        <v>63</v>
      </c>
      <c r="I1950" t="s">
        <v>123</v>
      </c>
      <c r="J1950" t="s">
        <v>147</v>
      </c>
      <c r="L1950">
        <v>0</v>
      </c>
      <c r="M1950" t="s">
        <v>125</v>
      </c>
      <c r="O1950" t="s">
        <v>125</v>
      </c>
      <c r="P1950" t="s">
        <v>125</v>
      </c>
      <c r="Q1950" t="s">
        <v>125</v>
      </c>
      <c r="R1950" t="s">
        <v>125</v>
      </c>
      <c r="S1950" t="s">
        <v>125</v>
      </c>
      <c r="T1950">
        <v>0</v>
      </c>
      <c r="V1950" t="s">
        <v>125</v>
      </c>
      <c r="AE1950" t="s">
        <v>125</v>
      </c>
      <c r="AF1950">
        <v>0</v>
      </c>
      <c r="AG1950" t="s">
        <v>125</v>
      </c>
      <c r="AH1950">
        <v>0</v>
      </c>
      <c r="AK1950">
        <v>0</v>
      </c>
    </row>
    <row r="1951" spans="1:37" x14ac:dyDescent="0.25">
      <c r="A1951" t="s">
        <v>79</v>
      </c>
      <c r="B1951">
        <v>8</v>
      </c>
      <c r="C1951">
        <v>1</v>
      </c>
      <c r="D1951">
        <v>5</v>
      </c>
      <c r="E1951">
        <v>8</v>
      </c>
      <c r="G1951">
        <v>815</v>
      </c>
      <c r="H1951" t="s">
        <v>63</v>
      </c>
      <c r="I1951" t="s">
        <v>126</v>
      </c>
      <c r="J1951" t="s">
        <v>148</v>
      </c>
      <c r="L1951">
        <v>0</v>
      </c>
      <c r="M1951" t="s">
        <v>125</v>
      </c>
      <c r="O1951" t="s">
        <v>125</v>
      </c>
      <c r="P1951" t="s">
        <v>125</v>
      </c>
      <c r="Q1951" t="s">
        <v>125</v>
      </c>
      <c r="R1951" t="s">
        <v>125</v>
      </c>
      <c r="S1951" t="s">
        <v>125</v>
      </c>
      <c r="T1951">
        <v>0</v>
      </c>
      <c r="V1951" t="s">
        <v>125</v>
      </c>
      <c r="AE1951" t="s">
        <v>125</v>
      </c>
      <c r="AF1951">
        <v>0</v>
      </c>
      <c r="AG1951" t="s">
        <v>125</v>
      </c>
      <c r="AH1951">
        <v>0</v>
      </c>
      <c r="AK1951">
        <v>0</v>
      </c>
    </row>
    <row r="1952" spans="1:37" x14ac:dyDescent="0.25">
      <c r="A1952" t="s">
        <v>79</v>
      </c>
      <c r="B1952">
        <v>8</v>
      </c>
      <c r="C1952">
        <v>1</v>
      </c>
      <c r="D1952">
        <v>5</v>
      </c>
      <c r="E1952">
        <v>9</v>
      </c>
      <c r="G1952">
        <v>815</v>
      </c>
      <c r="H1952" t="s">
        <v>63</v>
      </c>
      <c r="I1952" t="s">
        <v>74</v>
      </c>
      <c r="J1952" t="s">
        <v>149</v>
      </c>
      <c r="L1952">
        <v>0</v>
      </c>
      <c r="M1952" t="s">
        <v>125</v>
      </c>
      <c r="O1952" t="s">
        <v>125</v>
      </c>
      <c r="P1952" t="s">
        <v>125</v>
      </c>
      <c r="Q1952" t="s">
        <v>125</v>
      </c>
      <c r="R1952" t="s">
        <v>125</v>
      </c>
      <c r="S1952" t="s">
        <v>125</v>
      </c>
      <c r="T1952">
        <v>0</v>
      </c>
      <c r="V1952" t="s">
        <v>125</v>
      </c>
      <c r="AE1952" t="s">
        <v>125</v>
      </c>
      <c r="AF1952">
        <v>0</v>
      </c>
      <c r="AG1952" t="s">
        <v>125</v>
      </c>
      <c r="AH1952">
        <v>0</v>
      </c>
      <c r="AK1952">
        <v>0</v>
      </c>
    </row>
    <row r="1953" spans="1:37" x14ac:dyDescent="0.25">
      <c r="A1953" t="s">
        <v>79</v>
      </c>
      <c r="B1953">
        <v>8</v>
      </c>
      <c r="C1953">
        <v>1</v>
      </c>
      <c r="D1953">
        <v>5</v>
      </c>
      <c r="E1953">
        <v>10</v>
      </c>
      <c r="G1953">
        <v>815</v>
      </c>
      <c r="H1953" t="s">
        <v>63</v>
      </c>
      <c r="I1953" t="s">
        <v>129</v>
      </c>
      <c r="J1953" t="s">
        <v>150</v>
      </c>
      <c r="L1953">
        <v>0</v>
      </c>
      <c r="M1953" t="s">
        <v>125</v>
      </c>
      <c r="O1953" t="s">
        <v>125</v>
      </c>
      <c r="P1953" t="s">
        <v>125</v>
      </c>
      <c r="Q1953" t="s">
        <v>125</v>
      </c>
      <c r="R1953" t="s">
        <v>125</v>
      </c>
      <c r="S1953" t="s">
        <v>125</v>
      </c>
      <c r="T1953">
        <v>0</v>
      </c>
      <c r="V1953" t="s">
        <v>125</v>
      </c>
      <c r="AE1953" t="s">
        <v>125</v>
      </c>
      <c r="AF1953">
        <v>0</v>
      </c>
      <c r="AG1953" t="s">
        <v>125</v>
      </c>
      <c r="AH1953">
        <v>0</v>
      </c>
      <c r="AK1953">
        <v>0</v>
      </c>
    </row>
    <row r="1954" spans="1:37" x14ac:dyDescent="0.25">
      <c r="A1954" t="s">
        <v>79</v>
      </c>
      <c r="B1954">
        <v>8</v>
      </c>
      <c r="C1954">
        <v>1</v>
      </c>
      <c r="D1954">
        <v>5</v>
      </c>
      <c r="E1954">
        <v>11</v>
      </c>
      <c r="G1954">
        <v>815</v>
      </c>
      <c r="H1954" t="s">
        <v>63</v>
      </c>
      <c r="I1954" t="s">
        <v>131</v>
      </c>
      <c r="J1954" t="s">
        <v>151</v>
      </c>
      <c r="L1954">
        <v>0</v>
      </c>
      <c r="M1954" t="s">
        <v>125</v>
      </c>
      <c r="O1954" t="s">
        <v>125</v>
      </c>
      <c r="P1954" t="s">
        <v>125</v>
      </c>
      <c r="Q1954" t="s">
        <v>125</v>
      </c>
      <c r="R1954" t="s">
        <v>125</v>
      </c>
      <c r="S1954" t="s">
        <v>125</v>
      </c>
      <c r="T1954">
        <v>0</v>
      </c>
      <c r="V1954" t="s">
        <v>125</v>
      </c>
      <c r="AE1954" t="s">
        <v>125</v>
      </c>
      <c r="AF1954">
        <v>0</v>
      </c>
      <c r="AG1954" t="s">
        <v>125</v>
      </c>
      <c r="AH1954">
        <v>0</v>
      </c>
      <c r="AK1954">
        <v>0</v>
      </c>
    </row>
    <row r="1955" spans="1:37" x14ac:dyDescent="0.25">
      <c r="A1955" t="s">
        <v>79</v>
      </c>
      <c r="B1955">
        <v>8</v>
      </c>
      <c r="C1955">
        <v>1</v>
      </c>
      <c r="D1955">
        <v>5</v>
      </c>
      <c r="E1955">
        <v>12</v>
      </c>
      <c r="G1955">
        <v>815</v>
      </c>
      <c r="H1955" t="s">
        <v>63</v>
      </c>
      <c r="I1955" t="s">
        <v>133</v>
      </c>
      <c r="J1955" t="s">
        <v>152</v>
      </c>
      <c r="L1955">
        <v>0</v>
      </c>
      <c r="M1955" t="s">
        <v>125</v>
      </c>
      <c r="O1955" t="s">
        <v>125</v>
      </c>
      <c r="P1955" t="s">
        <v>125</v>
      </c>
      <c r="Q1955" t="s">
        <v>125</v>
      </c>
      <c r="R1955" t="s">
        <v>125</v>
      </c>
      <c r="S1955" t="s">
        <v>125</v>
      </c>
      <c r="T1955">
        <v>0</v>
      </c>
      <c r="V1955" t="s">
        <v>125</v>
      </c>
      <c r="AE1955" t="s">
        <v>125</v>
      </c>
      <c r="AF1955">
        <v>0</v>
      </c>
      <c r="AG1955" t="s">
        <v>125</v>
      </c>
      <c r="AH1955">
        <v>0</v>
      </c>
      <c r="AK1955">
        <v>0</v>
      </c>
    </row>
    <row r="1956" spans="1:37" x14ac:dyDescent="0.25">
      <c r="A1956" t="s">
        <v>79</v>
      </c>
      <c r="B1956">
        <v>8</v>
      </c>
      <c r="C1956">
        <v>1</v>
      </c>
      <c r="D1956">
        <v>5</v>
      </c>
      <c r="E1956">
        <v>13</v>
      </c>
      <c r="G1956">
        <v>815</v>
      </c>
      <c r="H1956" t="s">
        <v>63</v>
      </c>
      <c r="I1956" t="s">
        <v>135</v>
      </c>
      <c r="J1956" t="s">
        <v>153</v>
      </c>
      <c r="L1956">
        <v>0</v>
      </c>
      <c r="M1956" t="s">
        <v>125</v>
      </c>
      <c r="O1956" t="s">
        <v>125</v>
      </c>
      <c r="P1956" t="s">
        <v>125</v>
      </c>
      <c r="Q1956" t="s">
        <v>125</v>
      </c>
      <c r="R1956" t="s">
        <v>125</v>
      </c>
      <c r="S1956" t="s">
        <v>125</v>
      </c>
      <c r="T1956">
        <v>0</v>
      </c>
      <c r="V1956" t="s">
        <v>125</v>
      </c>
      <c r="AE1956" t="s">
        <v>125</v>
      </c>
      <c r="AF1956">
        <v>0</v>
      </c>
      <c r="AG1956" t="s">
        <v>125</v>
      </c>
      <c r="AH1956">
        <v>0</v>
      </c>
      <c r="AK1956">
        <v>0</v>
      </c>
    </row>
    <row r="1957" spans="1:37" x14ac:dyDescent="0.25">
      <c r="A1957" t="s">
        <v>79</v>
      </c>
      <c r="B1957">
        <v>8</v>
      </c>
      <c r="C1957">
        <v>1</v>
      </c>
      <c r="D1957">
        <v>5</v>
      </c>
      <c r="E1957">
        <v>14</v>
      </c>
      <c r="G1957">
        <v>815</v>
      </c>
      <c r="H1957" t="s">
        <v>63</v>
      </c>
      <c r="I1957" t="s">
        <v>137</v>
      </c>
      <c r="J1957" t="s">
        <v>154</v>
      </c>
      <c r="L1957">
        <v>0</v>
      </c>
      <c r="M1957" t="s">
        <v>125</v>
      </c>
      <c r="O1957" t="s">
        <v>125</v>
      </c>
      <c r="P1957" t="s">
        <v>125</v>
      </c>
      <c r="Q1957" t="s">
        <v>125</v>
      </c>
      <c r="R1957" t="s">
        <v>125</v>
      </c>
      <c r="S1957" t="s">
        <v>125</v>
      </c>
      <c r="T1957">
        <v>0</v>
      </c>
      <c r="V1957" t="s">
        <v>125</v>
      </c>
      <c r="AE1957" t="s">
        <v>125</v>
      </c>
      <c r="AF1957">
        <v>0</v>
      </c>
      <c r="AG1957" t="s">
        <v>125</v>
      </c>
      <c r="AH1957">
        <v>0</v>
      </c>
      <c r="AK1957">
        <v>0</v>
      </c>
    </row>
    <row r="1958" spans="1:37" x14ac:dyDescent="0.25">
      <c r="A1958" t="s">
        <v>79</v>
      </c>
      <c r="B1958">
        <v>8</v>
      </c>
      <c r="C1958">
        <v>1</v>
      </c>
      <c r="D1958">
        <v>5</v>
      </c>
      <c r="E1958">
        <v>15</v>
      </c>
      <c r="G1958">
        <v>815</v>
      </c>
      <c r="H1958" t="s">
        <v>63</v>
      </c>
      <c r="I1958" t="s">
        <v>139</v>
      </c>
      <c r="J1958" t="s">
        <v>155</v>
      </c>
      <c r="L1958">
        <v>0</v>
      </c>
      <c r="M1958" t="s">
        <v>125</v>
      </c>
      <c r="O1958" t="s">
        <v>125</v>
      </c>
      <c r="P1958" t="s">
        <v>125</v>
      </c>
      <c r="Q1958" t="s">
        <v>125</v>
      </c>
      <c r="R1958" t="s">
        <v>125</v>
      </c>
      <c r="S1958" t="s">
        <v>125</v>
      </c>
      <c r="T1958">
        <v>0</v>
      </c>
      <c r="V1958" t="s">
        <v>125</v>
      </c>
      <c r="AE1958" t="s">
        <v>125</v>
      </c>
      <c r="AF1958">
        <v>0</v>
      </c>
      <c r="AG1958" t="s">
        <v>125</v>
      </c>
      <c r="AH1958">
        <v>0</v>
      </c>
      <c r="AK1958">
        <v>0</v>
      </c>
    </row>
    <row r="1959" spans="1:37" x14ac:dyDescent="0.25">
      <c r="L1959">
        <v>0</v>
      </c>
    </row>
    <row r="1960" spans="1:37" x14ac:dyDescent="0.25">
      <c r="L1960">
        <v>0</v>
      </c>
    </row>
    <row r="1961" spans="1:37" x14ac:dyDescent="0.25">
      <c r="A1961" t="s">
        <v>66</v>
      </c>
      <c r="B1961">
        <v>8</v>
      </c>
      <c r="C1961">
        <v>2</v>
      </c>
      <c r="G1961">
        <v>8</v>
      </c>
      <c r="H1961" t="s">
        <v>2707</v>
      </c>
      <c r="I1961" t="s">
        <v>2804</v>
      </c>
      <c r="M1961" t="s">
        <v>2805</v>
      </c>
      <c r="N1961" t="s">
        <v>2804</v>
      </c>
      <c r="P1961" t="s">
        <v>2806</v>
      </c>
      <c r="V1961" t="s">
        <v>2807</v>
      </c>
      <c r="Y1961" t="s">
        <v>2808</v>
      </c>
      <c r="AA1961" t="s">
        <v>2809</v>
      </c>
      <c r="AC1961" t="s">
        <v>63</v>
      </c>
      <c r="AE1961" t="s">
        <v>2810</v>
      </c>
      <c r="AF1961">
        <v>0</v>
      </c>
      <c r="AG1961" t="s">
        <v>2811</v>
      </c>
      <c r="AH1961">
        <v>0</v>
      </c>
      <c r="AK1961">
        <v>0</v>
      </c>
    </row>
    <row r="1962" spans="1:37" x14ac:dyDescent="0.25">
      <c r="L1962">
        <v>0</v>
      </c>
    </row>
    <row r="1963" spans="1:37" x14ac:dyDescent="0.25">
      <c r="A1963" t="s">
        <v>70</v>
      </c>
      <c r="B1963">
        <v>8</v>
      </c>
      <c r="C1963">
        <v>2</v>
      </c>
      <c r="D1963">
        <v>1</v>
      </c>
      <c r="G1963">
        <v>82</v>
      </c>
      <c r="M1963" t="s">
        <v>2812</v>
      </c>
      <c r="O1963" t="s">
        <v>2813</v>
      </c>
      <c r="P1963" t="s">
        <v>2814</v>
      </c>
      <c r="Q1963" t="s">
        <v>2815</v>
      </c>
      <c r="R1963" t="s">
        <v>382</v>
      </c>
      <c r="S1963" t="s">
        <v>2816</v>
      </c>
      <c r="V1963" t="s">
        <v>2807</v>
      </c>
      <c r="X1963" t="s">
        <v>2817</v>
      </c>
      <c r="Y1963" t="s">
        <v>2808</v>
      </c>
      <c r="Z1963" t="s">
        <v>2818</v>
      </c>
      <c r="AA1963" t="s">
        <v>2809</v>
      </c>
      <c r="AB1963" t="s">
        <v>63</v>
      </c>
      <c r="AC1963" t="s">
        <v>63</v>
      </c>
      <c r="AE1963" t="s">
        <v>2810</v>
      </c>
      <c r="AF1963">
        <v>0</v>
      </c>
      <c r="AG1963" t="s">
        <v>2811</v>
      </c>
      <c r="AH1963">
        <v>0</v>
      </c>
      <c r="AK1963">
        <v>0</v>
      </c>
    </row>
    <row r="1964" spans="1:37" x14ac:dyDescent="0.25">
      <c r="A1964" t="s">
        <v>79</v>
      </c>
      <c r="B1964">
        <v>8</v>
      </c>
      <c r="C1964">
        <v>2</v>
      </c>
      <c r="D1964">
        <v>1</v>
      </c>
      <c r="E1964">
        <v>1</v>
      </c>
      <c r="G1964">
        <v>821</v>
      </c>
      <c r="H1964" t="s">
        <v>2813</v>
      </c>
      <c r="I1964" t="s">
        <v>80</v>
      </c>
      <c r="J1964" t="s">
        <v>2819</v>
      </c>
      <c r="L1964">
        <v>0</v>
      </c>
      <c r="M1964" t="s">
        <v>2820</v>
      </c>
      <c r="O1964" t="s">
        <v>2821</v>
      </c>
      <c r="P1964" t="s">
        <v>2822</v>
      </c>
      <c r="Q1964" t="s">
        <v>2823</v>
      </c>
      <c r="R1964" t="s">
        <v>192</v>
      </c>
      <c r="S1964" t="s">
        <v>2824</v>
      </c>
      <c r="T1964">
        <v>2000</v>
      </c>
      <c r="U1964">
        <v>5380</v>
      </c>
      <c r="V1964" t="s">
        <v>2825</v>
      </c>
      <c r="AE1964" t="s">
        <v>2826</v>
      </c>
      <c r="AF1964">
        <v>0</v>
      </c>
      <c r="AG1964" t="s">
        <v>2827</v>
      </c>
      <c r="AH1964">
        <v>0</v>
      </c>
      <c r="AK1964">
        <v>0</v>
      </c>
    </row>
    <row r="1965" spans="1:37" x14ac:dyDescent="0.25">
      <c r="A1965" t="s">
        <v>79</v>
      </c>
      <c r="B1965">
        <v>8</v>
      </c>
      <c r="C1965">
        <v>2</v>
      </c>
      <c r="D1965">
        <v>1</v>
      </c>
      <c r="E1965">
        <v>2</v>
      </c>
      <c r="G1965">
        <v>821</v>
      </c>
      <c r="H1965" t="s">
        <v>2813</v>
      </c>
      <c r="I1965" t="s">
        <v>88</v>
      </c>
      <c r="J1965" t="s">
        <v>2828</v>
      </c>
      <c r="L1965">
        <v>0</v>
      </c>
      <c r="M1965" t="s">
        <v>2829</v>
      </c>
      <c r="O1965" t="s">
        <v>2830</v>
      </c>
      <c r="P1965" t="s">
        <v>2831</v>
      </c>
      <c r="Q1965" t="s">
        <v>2832</v>
      </c>
      <c r="R1965" t="s">
        <v>382</v>
      </c>
      <c r="S1965" t="s">
        <v>2833</v>
      </c>
      <c r="T1965">
        <v>2000</v>
      </c>
      <c r="U1965">
        <v>5120</v>
      </c>
      <c r="V1965" t="s">
        <v>2834</v>
      </c>
      <c r="AE1965" t="s">
        <v>2835</v>
      </c>
      <c r="AF1965">
        <v>0</v>
      </c>
      <c r="AG1965" t="s">
        <v>2836</v>
      </c>
      <c r="AH1965">
        <v>0</v>
      </c>
      <c r="AK1965">
        <v>0</v>
      </c>
    </row>
    <row r="1966" spans="1:37" x14ac:dyDescent="0.25">
      <c r="A1966" t="s">
        <v>79</v>
      </c>
      <c r="B1966">
        <v>8</v>
      </c>
      <c r="C1966">
        <v>2</v>
      </c>
      <c r="D1966">
        <v>1</v>
      </c>
      <c r="E1966">
        <v>3</v>
      </c>
      <c r="G1966">
        <v>821</v>
      </c>
      <c r="H1966" t="s">
        <v>2813</v>
      </c>
      <c r="I1966" t="s">
        <v>95</v>
      </c>
      <c r="J1966" t="s">
        <v>2837</v>
      </c>
      <c r="L1966">
        <v>0</v>
      </c>
      <c r="M1966" t="s">
        <v>2838</v>
      </c>
      <c r="O1966" t="s">
        <v>2839</v>
      </c>
      <c r="P1966" t="s">
        <v>2840</v>
      </c>
      <c r="Q1966" t="s">
        <v>2841</v>
      </c>
      <c r="R1966" t="s">
        <v>382</v>
      </c>
      <c r="S1966" t="s">
        <v>2842</v>
      </c>
      <c r="T1966">
        <v>2000</v>
      </c>
      <c r="U1966">
        <v>1340</v>
      </c>
      <c r="V1966" t="s">
        <v>2843</v>
      </c>
      <c r="AE1966" t="s">
        <v>2844</v>
      </c>
      <c r="AF1966">
        <v>0</v>
      </c>
      <c r="AG1966" t="s">
        <v>2845</v>
      </c>
      <c r="AH1966">
        <v>0</v>
      </c>
      <c r="AK1966">
        <v>0</v>
      </c>
    </row>
    <row r="1967" spans="1:37" x14ac:dyDescent="0.25">
      <c r="A1967" t="s">
        <v>79</v>
      </c>
      <c r="B1967">
        <v>8</v>
      </c>
      <c r="C1967">
        <v>2</v>
      </c>
      <c r="D1967">
        <v>1</v>
      </c>
      <c r="E1967">
        <v>4</v>
      </c>
      <c r="G1967">
        <v>821</v>
      </c>
      <c r="H1967" t="s">
        <v>2813</v>
      </c>
      <c r="I1967" t="s">
        <v>102</v>
      </c>
      <c r="J1967" t="s">
        <v>2846</v>
      </c>
      <c r="L1967">
        <v>0</v>
      </c>
      <c r="M1967" t="s">
        <v>2847</v>
      </c>
      <c r="O1967" t="s">
        <v>2848</v>
      </c>
      <c r="P1967" t="s">
        <v>2849</v>
      </c>
      <c r="Q1967" t="s">
        <v>2850</v>
      </c>
      <c r="R1967" t="s">
        <v>382</v>
      </c>
      <c r="S1967" t="s">
        <v>2851</v>
      </c>
      <c r="T1967">
        <v>2000</v>
      </c>
      <c r="U1967">
        <v>1660</v>
      </c>
      <c r="V1967" t="s">
        <v>2852</v>
      </c>
      <c r="AE1967" t="s">
        <v>2853</v>
      </c>
      <c r="AF1967">
        <v>0</v>
      </c>
      <c r="AG1967" t="s">
        <v>2854</v>
      </c>
      <c r="AH1967">
        <v>0</v>
      </c>
      <c r="AK1967">
        <v>0</v>
      </c>
    </row>
    <row r="1968" spans="1:37" x14ac:dyDescent="0.25">
      <c r="A1968" t="s">
        <v>79</v>
      </c>
      <c r="B1968">
        <v>8</v>
      </c>
      <c r="C1968">
        <v>2</v>
      </c>
      <c r="D1968">
        <v>1</v>
      </c>
      <c r="E1968">
        <v>5</v>
      </c>
      <c r="G1968">
        <v>821</v>
      </c>
      <c r="H1968" t="s">
        <v>2813</v>
      </c>
      <c r="I1968" t="s">
        <v>109</v>
      </c>
      <c r="J1968" t="s">
        <v>2855</v>
      </c>
      <c r="L1968">
        <v>0</v>
      </c>
      <c r="M1968" t="s">
        <v>2856</v>
      </c>
      <c r="O1968" t="s">
        <v>2857</v>
      </c>
      <c r="P1968" t="s">
        <v>2858</v>
      </c>
      <c r="Q1968" t="s">
        <v>2823</v>
      </c>
      <c r="R1968" t="s">
        <v>192</v>
      </c>
      <c r="S1968" t="s">
        <v>2859</v>
      </c>
      <c r="T1968">
        <v>2000</v>
      </c>
      <c r="U1968">
        <v>5380</v>
      </c>
      <c r="V1968" t="s">
        <v>2860</v>
      </c>
      <c r="AE1968" t="s">
        <v>2861</v>
      </c>
      <c r="AF1968">
        <v>0</v>
      </c>
      <c r="AG1968" t="s">
        <v>2827</v>
      </c>
      <c r="AH1968">
        <v>0</v>
      </c>
      <c r="AK1968">
        <v>0</v>
      </c>
    </row>
    <row r="1969" spans="1:37" x14ac:dyDescent="0.25">
      <c r="A1969" t="s">
        <v>79</v>
      </c>
      <c r="B1969">
        <v>8</v>
      </c>
      <c r="C1969">
        <v>2</v>
      </c>
      <c r="D1969">
        <v>1</v>
      </c>
      <c r="E1969">
        <v>6</v>
      </c>
      <c r="G1969">
        <v>821</v>
      </c>
      <c r="H1969" t="s">
        <v>2813</v>
      </c>
      <c r="I1969" t="s">
        <v>116</v>
      </c>
      <c r="J1969" t="s">
        <v>2862</v>
      </c>
      <c r="L1969">
        <v>0</v>
      </c>
      <c r="M1969" t="s">
        <v>2863</v>
      </c>
      <c r="O1969" t="s">
        <v>2748</v>
      </c>
      <c r="P1969" t="s">
        <v>2749</v>
      </c>
      <c r="Q1969" t="s">
        <v>2823</v>
      </c>
      <c r="R1969" t="s">
        <v>192</v>
      </c>
      <c r="S1969" t="s">
        <v>2750</v>
      </c>
      <c r="T1969">
        <v>2000</v>
      </c>
      <c r="U1969">
        <v>5380</v>
      </c>
      <c r="V1969" t="s">
        <v>2864</v>
      </c>
      <c r="AE1969" t="s">
        <v>2865</v>
      </c>
      <c r="AF1969">
        <v>0</v>
      </c>
      <c r="AG1969" t="s">
        <v>2827</v>
      </c>
      <c r="AH1969">
        <v>0</v>
      </c>
      <c r="AK1969">
        <v>0</v>
      </c>
    </row>
    <row r="1970" spans="1:37" x14ac:dyDescent="0.25">
      <c r="A1970" t="s">
        <v>79</v>
      </c>
      <c r="B1970">
        <v>8</v>
      </c>
      <c r="C1970">
        <v>2</v>
      </c>
      <c r="D1970">
        <v>1</v>
      </c>
      <c r="E1970">
        <v>7</v>
      </c>
      <c r="G1970">
        <v>821</v>
      </c>
      <c r="H1970" t="s">
        <v>2813</v>
      </c>
      <c r="I1970" t="s">
        <v>123</v>
      </c>
      <c r="J1970" t="s">
        <v>2866</v>
      </c>
      <c r="L1970">
        <v>0</v>
      </c>
      <c r="M1970" t="s">
        <v>125</v>
      </c>
      <c r="O1970" t="s">
        <v>125</v>
      </c>
      <c r="P1970" t="s">
        <v>125</v>
      </c>
      <c r="Q1970" t="s">
        <v>125</v>
      </c>
      <c r="R1970" t="s">
        <v>125</v>
      </c>
      <c r="S1970" t="s">
        <v>125</v>
      </c>
      <c r="T1970">
        <v>2000</v>
      </c>
      <c r="V1970" t="s">
        <v>125</v>
      </c>
      <c r="AE1970" t="s">
        <v>125</v>
      </c>
      <c r="AF1970">
        <v>0</v>
      </c>
      <c r="AG1970" t="s">
        <v>125</v>
      </c>
      <c r="AH1970">
        <v>0</v>
      </c>
      <c r="AK1970">
        <v>0</v>
      </c>
    </row>
    <row r="1971" spans="1:37" x14ac:dyDescent="0.25">
      <c r="A1971" t="s">
        <v>79</v>
      </c>
      <c r="B1971">
        <v>8</v>
      </c>
      <c r="C1971">
        <v>2</v>
      </c>
      <c r="D1971">
        <v>1</v>
      </c>
      <c r="E1971">
        <v>8</v>
      </c>
      <c r="G1971">
        <v>821</v>
      </c>
      <c r="H1971" t="s">
        <v>2813</v>
      </c>
      <c r="I1971" t="s">
        <v>126</v>
      </c>
      <c r="J1971" t="s">
        <v>2867</v>
      </c>
      <c r="L1971">
        <v>0</v>
      </c>
      <c r="M1971" t="s">
        <v>125</v>
      </c>
      <c r="O1971" t="s">
        <v>125</v>
      </c>
      <c r="P1971" t="s">
        <v>125</v>
      </c>
      <c r="Q1971" t="s">
        <v>125</v>
      </c>
      <c r="R1971" t="s">
        <v>125</v>
      </c>
      <c r="S1971" t="s">
        <v>125</v>
      </c>
      <c r="T1971">
        <v>2000</v>
      </c>
      <c r="V1971" t="s">
        <v>125</v>
      </c>
      <c r="AE1971" t="s">
        <v>125</v>
      </c>
      <c r="AF1971">
        <v>0</v>
      </c>
      <c r="AG1971" t="s">
        <v>125</v>
      </c>
      <c r="AH1971">
        <v>0</v>
      </c>
      <c r="AK1971">
        <v>0</v>
      </c>
    </row>
    <row r="1972" spans="1:37" x14ac:dyDescent="0.25">
      <c r="A1972" t="s">
        <v>79</v>
      </c>
      <c r="B1972">
        <v>8</v>
      </c>
      <c r="C1972">
        <v>2</v>
      </c>
      <c r="D1972">
        <v>1</v>
      </c>
      <c r="E1972">
        <v>9</v>
      </c>
      <c r="G1972">
        <v>821</v>
      </c>
      <c r="H1972" t="s">
        <v>2813</v>
      </c>
      <c r="I1972" t="s">
        <v>74</v>
      </c>
      <c r="J1972" t="s">
        <v>2868</v>
      </c>
      <c r="L1972">
        <v>0</v>
      </c>
      <c r="M1972" t="s">
        <v>125</v>
      </c>
      <c r="O1972" t="s">
        <v>125</v>
      </c>
      <c r="P1972" t="s">
        <v>125</v>
      </c>
      <c r="Q1972" t="s">
        <v>125</v>
      </c>
      <c r="R1972" t="s">
        <v>125</v>
      </c>
      <c r="S1972" t="s">
        <v>125</v>
      </c>
      <c r="T1972">
        <v>2000</v>
      </c>
      <c r="V1972" t="s">
        <v>125</v>
      </c>
      <c r="AE1972" t="s">
        <v>125</v>
      </c>
      <c r="AF1972">
        <v>0</v>
      </c>
      <c r="AG1972" t="s">
        <v>125</v>
      </c>
      <c r="AH1972">
        <v>0</v>
      </c>
      <c r="AK1972">
        <v>0</v>
      </c>
    </row>
    <row r="1973" spans="1:37" x14ac:dyDescent="0.25">
      <c r="A1973" t="s">
        <v>79</v>
      </c>
      <c r="B1973">
        <v>8</v>
      </c>
      <c r="C1973">
        <v>2</v>
      </c>
      <c r="D1973">
        <v>1</v>
      </c>
      <c r="E1973">
        <v>10</v>
      </c>
      <c r="G1973">
        <v>821</v>
      </c>
      <c r="H1973" t="s">
        <v>2813</v>
      </c>
      <c r="I1973" t="s">
        <v>129</v>
      </c>
      <c r="J1973" t="s">
        <v>2869</v>
      </c>
      <c r="L1973">
        <v>0</v>
      </c>
      <c r="M1973" t="s">
        <v>125</v>
      </c>
      <c r="O1973" t="s">
        <v>125</v>
      </c>
      <c r="P1973" t="s">
        <v>125</v>
      </c>
      <c r="Q1973" t="s">
        <v>125</v>
      </c>
      <c r="R1973" t="s">
        <v>125</v>
      </c>
      <c r="S1973" t="s">
        <v>125</v>
      </c>
      <c r="T1973">
        <v>2000</v>
      </c>
      <c r="V1973" t="s">
        <v>125</v>
      </c>
      <c r="AE1973" t="s">
        <v>125</v>
      </c>
      <c r="AF1973">
        <v>0</v>
      </c>
      <c r="AG1973" t="s">
        <v>125</v>
      </c>
      <c r="AH1973">
        <v>0</v>
      </c>
      <c r="AK1973">
        <v>0</v>
      </c>
    </row>
    <row r="1974" spans="1:37" x14ac:dyDescent="0.25">
      <c r="A1974" t="s">
        <v>79</v>
      </c>
      <c r="B1974">
        <v>8</v>
      </c>
      <c r="C1974">
        <v>2</v>
      </c>
      <c r="D1974">
        <v>1</v>
      </c>
      <c r="E1974">
        <v>11</v>
      </c>
      <c r="G1974">
        <v>821</v>
      </c>
      <c r="H1974" t="s">
        <v>2813</v>
      </c>
      <c r="I1974" t="s">
        <v>131</v>
      </c>
      <c r="J1974" t="s">
        <v>2870</v>
      </c>
      <c r="L1974">
        <v>0</v>
      </c>
      <c r="M1974" t="s">
        <v>125</v>
      </c>
      <c r="O1974" t="s">
        <v>125</v>
      </c>
      <c r="P1974" t="s">
        <v>125</v>
      </c>
      <c r="Q1974" t="s">
        <v>125</v>
      </c>
      <c r="R1974" t="s">
        <v>125</v>
      </c>
      <c r="S1974" t="s">
        <v>125</v>
      </c>
      <c r="T1974">
        <v>2000</v>
      </c>
      <c r="V1974" t="s">
        <v>125</v>
      </c>
      <c r="AE1974" t="s">
        <v>125</v>
      </c>
      <c r="AF1974">
        <v>0</v>
      </c>
      <c r="AG1974" t="s">
        <v>125</v>
      </c>
      <c r="AH1974">
        <v>0</v>
      </c>
      <c r="AK1974">
        <v>0</v>
      </c>
    </row>
    <row r="1975" spans="1:37" x14ac:dyDescent="0.25">
      <c r="A1975" t="s">
        <v>79</v>
      </c>
      <c r="B1975">
        <v>8</v>
      </c>
      <c r="C1975">
        <v>2</v>
      </c>
      <c r="D1975">
        <v>1</v>
      </c>
      <c r="E1975">
        <v>12</v>
      </c>
      <c r="G1975">
        <v>821</v>
      </c>
      <c r="H1975" t="s">
        <v>2813</v>
      </c>
      <c r="I1975" t="s">
        <v>133</v>
      </c>
      <c r="J1975" t="s">
        <v>2871</v>
      </c>
      <c r="L1975">
        <v>0</v>
      </c>
      <c r="M1975" t="s">
        <v>125</v>
      </c>
      <c r="O1975" t="s">
        <v>125</v>
      </c>
      <c r="P1975" t="s">
        <v>125</v>
      </c>
      <c r="Q1975" t="s">
        <v>125</v>
      </c>
      <c r="R1975" t="s">
        <v>125</v>
      </c>
      <c r="S1975" t="s">
        <v>125</v>
      </c>
      <c r="T1975">
        <v>2000</v>
      </c>
      <c r="V1975" t="s">
        <v>125</v>
      </c>
      <c r="AE1975" t="s">
        <v>125</v>
      </c>
      <c r="AF1975">
        <v>0</v>
      </c>
      <c r="AG1975" t="s">
        <v>125</v>
      </c>
      <c r="AH1975">
        <v>0</v>
      </c>
      <c r="AK1975">
        <v>0</v>
      </c>
    </row>
    <row r="1976" spans="1:37" x14ac:dyDescent="0.25">
      <c r="A1976" t="s">
        <v>79</v>
      </c>
      <c r="B1976">
        <v>8</v>
      </c>
      <c r="C1976">
        <v>2</v>
      </c>
      <c r="D1976">
        <v>1</v>
      </c>
      <c r="E1976">
        <v>13</v>
      </c>
      <c r="G1976">
        <v>821</v>
      </c>
      <c r="H1976" t="s">
        <v>2813</v>
      </c>
      <c r="I1976" t="s">
        <v>135</v>
      </c>
      <c r="J1976" t="s">
        <v>2872</v>
      </c>
      <c r="L1976">
        <v>0</v>
      </c>
      <c r="M1976" t="s">
        <v>125</v>
      </c>
      <c r="O1976" t="s">
        <v>125</v>
      </c>
      <c r="P1976" t="s">
        <v>125</v>
      </c>
      <c r="Q1976" t="s">
        <v>125</v>
      </c>
      <c r="R1976" t="s">
        <v>125</v>
      </c>
      <c r="S1976" t="s">
        <v>125</v>
      </c>
      <c r="T1976">
        <v>2000</v>
      </c>
      <c r="V1976" t="s">
        <v>125</v>
      </c>
      <c r="AE1976" t="s">
        <v>125</v>
      </c>
      <c r="AF1976">
        <v>0</v>
      </c>
      <c r="AG1976" t="s">
        <v>125</v>
      </c>
      <c r="AH1976">
        <v>0</v>
      </c>
      <c r="AK1976">
        <v>0</v>
      </c>
    </row>
    <row r="1977" spans="1:37" x14ac:dyDescent="0.25">
      <c r="A1977" t="s">
        <v>79</v>
      </c>
      <c r="B1977">
        <v>8</v>
      </c>
      <c r="C1977">
        <v>2</v>
      </c>
      <c r="D1977">
        <v>1</v>
      </c>
      <c r="E1977">
        <v>14</v>
      </c>
      <c r="G1977">
        <v>821</v>
      </c>
      <c r="H1977" t="s">
        <v>2813</v>
      </c>
      <c r="I1977" t="s">
        <v>137</v>
      </c>
      <c r="J1977" t="s">
        <v>2873</v>
      </c>
      <c r="L1977">
        <v>0</v>
      </c>
      <c r="M1977" t="s">
        <v>125</v>
      </c>
      <c r="O1977" t="s">
        <v>125</v>
      </c>
      <c r="P1977" t="s">
        <v>125</v>
      </c>
      <c r="Q1977" t="s">
        <v>125</v>
      </c>
      <c r="R1977" t="s">
        <v>125</v>
      </c>
      <c r="S1977" t="s">
        <v>125</v>
      </c>
      <c r="T1977">
        <v>2000</v>
      </c>
      <c r="V1977" t="s">
        <v>125</v>
      </c>
      <c r="AE1977" t="s">
        <v>125</v>
      </c>
      <c r="AF1977">
        <v>0</v>
      </c>
      <c r="AG1977" t="s">
        <v>125</v>
      </c>
      <c r="AH1977">
        <v>0</v>
      </c>
      <c r="AK1977">
        <v>0</v>
      </c>
    </row>
    <row r="1978" spans="1:37" x14ac:dyDescent="0.25">
      <c r="A1978" t="s">
        <v>79</v>
      </c>
      <c r="B1978">
        <v>8</v>
      </c>
      <c r="C1978">
        <v>2</v>
      </c>
      <c r="D1978">
        <v>1</v>
      </c>
      <c r="E1978">
        <v>15</v>
      </c>
      <c r="G1978">
        <v>821</v>
      </c>
      <c r="H1978" t="s">
        <v>2813</v>
      </c>
      <c r="I1978" t="s">
        <v>139</v>
      </c>
      <c r="J1978" t="s">
        <v>2874</v>
      </c>
      <c r="L1978">
        <v>0</v>
      </c>
      <c r="M1978" t="s">
        <v>125</v>
      </c>
      <c r="O1978" t="s">
        <v>125</v>
      </c>
      <c r="P1978" t="s">
        <v>125</v>
      </c>
      <c r="Q1978" t="s">
        <v>125</v>
      </c>
      <c r="R1978" t="s">
        <v>125</v>
      </c>
      <c r="S1978" t="s">
        <v>125</v>
      </c>
      <c r="T1978">
        <v>2000</v>
      </c>
      <c r="V1978" t="s">
        <v>125</v>
      </c>
      <c r="AE1978" t="s">
        <v>125</v>
      </c>
      <c r="AF1978">
        <v>0</v>
      </c>
      <c r="AG1978" t="s">
        <v>125</v>
      </c>
      <c r="AH1978">
        <v>0</v>
      </c>
      <c r="AK1978">
        <v>0</v>
      </c>
    </row>
    <row r="1979" spans="1:37" x14ac:dyDescent="0.25">
      <c r="L1979">
        <v>0</v>
      </c>
    </row>
    <row r="1980" spans="1:37" x14ac:dyDescent="0.25">
      <c r="A1980" t="s">
        <v>70</v>
      </c>
      <c r="B1980">
        <v>8</v>
      </c>
      <c r="C1980">
        <v>2</v>
      </c>
      <c r="D1980">
        <v>2</v>
      </c>
      <c r="G1980">
        <v>82</v>
      </c>
      <c r="L1980">
        <v>0</v>
      </c>
      <c r="M1980" t="s">
        <v>125</v>
      </c>
      <c r="P1980" t="s">
        <v>125</v>
      </c>
      <c r="R1980" t="s">
        <v>125</v>
      </c>
      <c r="S1980" t="s">
        <v>63</v>
      </c>
      <c r="V1980" t="s">
        <v>125</v>
      </c>
      <c r="X1980" t="s">
        <v>125</v>
      </c>
      <c r="Y1980" t="s">
        <v>125</v>
      </c>
      <c r="Z1980" t="s">
        <v>125</v>
      </c>
      <c r="AA1980" t="s">
        <v>125</v>
      </c>
      <c r="AB1980" t="s">
        <v>125</v>
      </c>
      <c r="AC1980" t="s">
        <v>125</v>
      </c>
      <c r="AE1980" t="s">
        <v>125</v>
      </c>
      <c r="AF1980">
        <v>0</v>
      </c>
      <c r="AG1980" t="s">
        <v>125</v>
      </c>
      <c r="AH1980">
        <v>0</v>
      </c>
    </row>
    <row r="1981" spans="1:37" x14ac:dyDescent="0.25">
      <c r="A1981" t="s">
        <v>79</v>
      </c>
      <c r="B1981">
        <v>8</v>
      </c>
      <c r="C1981">
        <v>2</v>
      </c>
      <c r="D1981">
        <v>2</v>
      </c>
      <c r="E1981">
        <v>1</v>
      </c>
      <c r="G1981">
        <v>822</v>
      </c>
      <c r="H1981" t="s">
        <v>63</v>
      </c>
      <c r="I1981" t="s">
        <v>80</v>
      </c>
      <c r="J1981" t="s">
        <v>141</v>
      </c>
      <c r="L1981">
        <v>0</v>
      </c>
      <c r="M1981" t="s">
        <v>125</v>
      </c>
      <c r="O1981" t="s">
        <v>125</v>
      </c>
      <c r="P1981" t="s">
        <v>125</v>
      </c>
      <c r="Q1981" t="s">
        <v>125</v>
      </c>
      <c r="R1981" t="s">
        <v>125</v>
      </c>
      <c r="S1981" t="s">
        <v>125</v>
      </c>
      <c r="T1981">
        <v>0</v>
      </c>
      <c r="V1981" t="s">
        <v>125</v>
      </c>
      <c r="AE1981" t="s">
        <v>125</v>
      </c>
      <c r="AF1981">
        <v>0</v>
      </c>
      <c r="AG1981" t="s">
        <v>125</v>
      </c>
      <c r="AH1981">
        <v>0</v>
      </c>
      <c r="AK1981">
        <v>0</v>
      </c>
    </row>
    <row r="1982" spans="1:37" x14ac:dyDescent="0.25">
      <c r="A1982" t="s">
        <v>79</v>
      </c>
      <c r="B1982">
        <v>8</v>
      </c>
      <c r="C1982">
        <v>2</v>
      </c>
      <c r="D1982">
        <v>2</v>
      </c>
      <c r="E1982">
        <v>2</v>
      </c>
      <c r="G1982">
        <v>822</v>
      </c>
      <c r="H1982" t="s">
        <v>63</v>
      </c>
      <c r="I1982" t="s">
        <v>88</v>
      </c>
      <c r="J1982" t="s">
        <v>142</v>
      </c>
      <c r="L1982">
        <v>0</v>
      </c>
      <c r="M1982" t="s">
        <v>125</v>
      </c>
      <c r="O1982" t="s">
        <v>125</v>
      </c>
      <c r="P1982" t="s">
        <v>125</v>
      </c>
      <c r="Q1982" t="s">
        <v>125</v>
      </c>
      <c r="R1982" t="s">
        <v>125</v>
      </c>
      <c r="S1982" t="s">
        <v>125</v>
      </c>
      <c r="T1982">
        <v>0</v>
      </c>
      <c r="V1982" t="s">
        <v>125</v>
      </c>
      <c r="AE1982" t="s">
        <v>125</v>
      </c>
      <c r="AF1982">
        <v>0</v>
      </c>
      <c r="AG1982" t="s">
        <v>125</v>
      </c>
      <c r="AH1982">
        <v>0</v>
      </c>
      <c r="AK1982">
        <v>0</v>
      </c>
    </row>
    <row r="1983" spans="1:37" x14ac:dyDescent="0.25">
      <c r="A1983" t="s">
        <v>79</v>
      </c>
      <c r="B1983">
        <v>8</v>
      </c>
      <c r="C1983">
        <v>2</v>
      </c>
      <c r="D1983">
        <v>2</v>
      </c>
      <c r="E1983">
        <v>3</v>
      </c>
      <c r="G1983">
        <v>822</v>
      </c>
      <c r="H1983" t="s">
        <v>63</v>
      </c>
      <c r="I1983" t="s">
        <v>95</v>
      </c>
      <c r="J1983" t="s">
        <v>143</v>
      </c>
      <c r="L1983">
        <v>0</v>
      </c>
      <c r="M1983" t="s">
        <v>125</v>
      </c>
      <c r="O1983" t="s">
        <v>125</v>
      </c>
      <c r="P1983" t="s">
        <v>125</v>
      </c>
      <c r="Q1983" t="s">
        <v>125</v>
      </c>
      <c r="R1983" t="s">
        <v>125</v>
      </c>
      <c r="S1983" t="s">
        <v>125</v>
      </c>
      <c r="T1983">
        <v>0</v>
      </c>
      <c r="V1983" t="s">
        <v>125</v>
      </c>
      <c r="AE1983" t="s">
        <v>125</v>
      </c>
      <c r="AF1983">
        <v>0</v>
      </c>
      <c r="AG1983" t="s">
        <v>125</v>
      </c>
      <c r="AH1983">
        <v>0</v>
      </c>
      <c r="AK1983">
        <v>0</v>
      </c>
    </row>
    <row r="1984" spans="1:37" x14ac:dyDescent="0.25">
      <c r="A1984" t="s">
        <v>79</v>
      </c>
      <c r="B1984">
        <v>8</v>
      </c>
      <c r="C1984">
        <v>2</v>
      </c>
      <c r="D1984">
        <v>2</v>
      </c>
      <c r="E1984">
        <v>4</v>
      </c>
      <c r="G1984">
        <v>822</v>
      </c>
      <c r="H1984" t="s">
        <v>63</v>
      </c>
      <c r="I1984" t="s">
        <v>102</v>
      </c>
      <c r="J1984" t="s">
        <v>144</v>
      </c>
      <c r="L1984">
        <v>0</v>
      </c>
      <c r="M1984" t="s">
        <v>125</v>
      </c>
      <c r="O1984" t="s">
        <v>125</v>
      </c>
      <c r="P1984" t="s">
        <v>125</v>
      </c>
      <c r="Q1984" t="s">
        <v>125</v>
      </c>
      <c r="R1984" t="s">
        <v>125</v>
      </c>
      <c r="S1984" t="s">
        <v>125</v>
      </c>
      <c r="T1984">
        <v>0</v>
      </c>
      <c r="V1984" t="s">
        <v>125</v>
      </c>
      <c r="AE1984" t="s">
        <v>125</v>
      </c>
      <c r="AF1984">
        <v>0</v>
      </c>
      <c r="AG1984" t="s">
        <v>125</v>
      </c>
      <c r="AH1984">
        <v>0</v>
      </c>
      <c r="AK1984">
        <v>0</v>
      </c>
    </row>
    <row r="1985" spans="1:37" x14ac:dyDescent="0.25">
      <c r="A1985" t="s">
        <v>79</v>
      </c>
      <c r="B1985">
        <v>8</v>
      </c>
      <c r="C1985">
        <v>2</v>
      </c>
      <c r="D1985">
        <v>2</v>
      </c>
      <c r="E1985">
        <v>5</v>
      </c>
      <c r="G1985">
        <v>822</v>
      </c>
      <c r="H1985" t="s">
        <v>63</v>
      </c>
      <c r="I1985" t="s">
        <v>109</v>
      </c>
      <c r="J1985" t="s">
        <v>145</v>
      </c>
      <c r="L1985">
        <v>0</v>
      </c>
      <c r="M1985" t="s">
        <v>125</v>
      </c>
      <c r="O1985" t="s">
        <v>125</v>
      </c>
      <c r="P1985" t="s">
        <v>125</v>
      </c>
      <c r="Q1985" t="s">
        <v>125</v>
      </c>
      <c r="R1985" t="s">
        <v>125</v>
      </c>
      <c r="S1985" t="s">
        <v>125</v>
      </c>
      <c r="T1985">
        <v>0</v>
      </c>
      <c r="V1985" t="s">
        <v>125</v>
      </c>
      <c r="AE1985" t="s">
        <v>125</v>
      </c>
      <c r="AF1985">
        <v>0</v>
      </c>
      <c r="AG1985" t="s">
        <v>125</v>
      </c>
      <c r="AH1985">
        <v>0</v>
      </c>
      <c r="AK1985">
        <v>0</v>
      </c>
    </row>
    <row r="1986" spans="1:37" x14ac:dyDescent="0.25">
      <c r="A1986" t="s">
        <v>79</v>
      </c>
      <c r="B1986">
        <v>8</v>
      </c>
      <c r="C1986">
        <v>2</v>
      </c>
      <c r="D1986">
        <v>2</v>
      </c>
      <c r="E1986">
        <v>6</v>
      </c>
      <c r="G1986">
        <v>822</v>
      </c>
      <c r="H1986" t="s">
        <v>63</v>
      </c>
      <c r="I1986" t="s">
        <v>116</v>
      </c>
      <c r="J1986" t="s">
        <v>146</v>
      </c>
      <c r="L1986">
        <v>0</v>
      </c>
      <c r="M1986" t="s">
        <v>125</v>
      </c>
      <c r="O1986" t="s">
        <v>125</v>
      </c>
      <c r="P1986" t="s">
        <v>125</v>
      </c>
      <c r="Q1986" t="s">
        <v>125</v>
      </c>
      <c r="R1986" t="s">
        <v>125</v>
      </c>
      <c r="S1986" t="s">
        <v>125</v>
      </c>
      <c r="T1986">
        <v>0</v>
      </c>
      <c r="V1986" t="s">
        <v>125</v>
      </c>
      <c r="AE1986" t="s">
        <v>125</v>
      </c>
      <c r="AF1986">
        <v>0</v>
      </c>
      <c r="AG1986" t="s">
        <v>125</v>
      </c>
      <c r="AH1986">
        <v>0</v>
      </c>
      <c r="AK1986">
        <v>0</v>
      </c>
    </row>
    <row r="1987" spans="1:37" x14ac:dyDescent="0.25">
      <c r="A1987" t="s">
        <v>79</v>
      </c>
      <c r="B1987">
        <v>8</v>
      </c>
      <c r="C1987">
        <v>2</v>
      </c>
      <c r="D1987">
        <v>2</v>
      </c>
      <c r="E1987">
        <v>7</v>
      </c>
      <c r="G1987">
        <v>822</v>
      </c>
      <c r="H1987" t="s">
        <v>63</v>
      </c>
      <c r="I1987" t="s">
        <v>123</v>
      </c>
      <c r="J1987" t="s">
        <v>147</v>
      </c>
      <c r="L1987">
        <v>0</v>
      </c>
      <c r="M1987" t="s">
        <v>125</v>
      </c>
      <c r="O1987" t="s">
        <v>125</v>
      </c>
      <c r="P1987" t="s">
        <v>125</v>
      </c>
      <c r="Q1987" t="s">
        <v>125</v>
      </c>
      <c r="R1987" t="s">
        <v>125</v>
      </c>
      <c r="S1987" t="s">
        <v>125</v>
      </c>
      <c r="T1987">
        <v>0</v>
      </c>
      <c r="V1987" t="s">
        <v>125</v>
      </c>
      <c r="AE1987" t="s">
        <v>125</v>
      </c>
      <c r="AF1987">
        <v>0</v>
      </c>
      <c r="AG1987" t="s">
        <v>125</v>
      </c>
      <c r="AH1987">
        <v>0</v>
      </c>
      <c r="AK1987">
        <v>0</v>
      </c>
    </row>
    <row r="1988" spans="1:37" x14ac:dyDescent="0.25">
      <c r="A1988" t="s">
        <v>79</v>
      </c>
      <c r="B1988">
        <v>8</v>
      </c>
      <c r="C1988">
        <v>2</v>
      </c>
      <c r="D1988">
        <v>2</v>
      </c>
      <c r="E1988">
        <v>8</v>
      </c>
      <c r="G1988">
        <v>822</v>
      </c>
      <c r="H1988" t="s">
        <v>63</v>
      </c>
      <c r="I1988" t="s">
        <v>126</v>
      </c>
      <c r="J1988" t="s">
        <v>148</v>
      </c>
      <c r="L1988">
        <v>0</v>
      </c>
      <c r="M1988" t="s">
        <v>125</v>
      </c>
      <c r="O1988" t="s">
        <v>125</v>
      </c>
      <c r="P1988" t="s">
        <v>125</v>
      </c>
      <c r="Q1988" t="s">
        <v>125</v>
      </c>
      <c r="R1988" t="s">
        <v>125</v>
      </c>
      <c r="S1988" t="s">
        <v>125</v>
      </c>
      <c r="T1988">
        <v>0</v>
      </c>
      <c r="V1988" t="s">
        <v>125</v>
      </c>
      <c r="AE1988" t="s">
        <v>125</v>
      </c>
      <c r="AF1988">
        <v>0</v>
      </c>
      <c r="AG1988" t="s">
        <v>125</v>
      </c>
      <c r="AH1988">
        <v>0</v>
      </c>
      <c r="AK1988">
        <v>0</v>
      </c>
    </row>
    <row r="1989" spans="1:37" x14ac:dyDescent="0.25">
      <c r="A1989" t="s">
        <v>79</v>
      </c>
      <c r="B1989">
        <v>8</v>
      </c>
      <c r="C1989">
        <v>2</v>
      </c>
      <c r="D1989">
        <v>2</v>
      </c>
      <c r="E1989">
        <v>9</v>
      </c>
      <c r="G1989">
        <v>822</v>
      </c>
      <c r="H1989" t="s">
        <v>63</v>
      </c>
      <c r="I1989" t="s">
        <v>74</v>
      </c>
      <c r="J1989" t="s">
        <v>149</v>
      </c>
      <c r="L1989">
        <v>0</v>
      </c>
      <c r="M1989" t="s">
        <v>125</v>
      </c>
      <c r="O1989" t="s">
        <v>125</v>
      </c>
      <c r="P1989" t="s">
        <v>125</v>
      </c>
      <c r="Q1989" t="s">
        <v>125</v>
      </c>
      <c r="R1989" t="s">
        <v>125</v>
      </c>
      <c r="S1989" t="s">
        <v>125</v>
      </c>
      <c r="T1989">
        <v>0</v>
      </c>
      <c r="V1989" t="s">
        <v>125</v>
      </c>
      <c r="AE1989" t="s">
        <v>125</v>
      </c>
      <c r="AF1989">
        <v>0</v>
      </c>
      <c r="AG1989" t="s">
        <v>125</v>
      </c>
      <c r="AH1989">
        <v>0</v>
      </c>
      <c r="AK1989">
        <v>0</v>
      </c>
    </row>
    <row r="1990" spans="1:37" x14ac:dyDescent="0.25">
      <c r="A1990" t="s">
        <v>79</v>
      </c>
      <c r="B1990">
        <v>8</v>
      </c>
      <c r="C1990">
        <v>2</v>
      </c>
      <c r="D1990">
        <v>2</v>
      </c>
      <c r="E1990">
        <v>10</v>
      </c>
      <c r="G1990">
        <v>822</v>
      </c>
      <c r="H1990" t="s">
        <v>63</v>
      </c>
      <c r="I1990" t="s">
        <v>129</v>
      </c>
      <c r="J1990" t="s">
        <v>150</v>
      </c>
      <c r="L1990">
        <v>0</v>
      </c>
      <c r="M1990" t="s">
        <v>125</v>
      </c>
      <c r="O1990" t="s">
        <v>125</v>
      </c>
      <c r="P1990" t="s">
        <v>125</v>
      </c>
      <c r="Q1990" t="s">
        <v>125</v>
      </c>
      <c r="R1990" t="s">
        <v>125</v>
      </c>
      <c r="S1990" t="s">
        <v>125</v>
      </c>
      <c r="T1990">
        <v>0</v>
      </c>
      <c r="V1990" t="s">
        <v>125</v>
      </c>
      <c r="AE1990" t="s">
        <v>125</v>
      </c>
      <c r="AF1990">
        <v>0</v>
      </c>
      <c r="AG1990" t="s">
        <v>125</v>
      </c>
      <c r="AH1990">
        <v>0</v>
      </c>
      <c r="AK1990">
        <v>0</v>
      </c>
    </row>
    <row r="1991" spans="1:37" x14ac:dyDescent="0.25">
      <c r="A1991" t="s">
        <v>79</v>
      </c>
      <c r="B1991">
        <v>8</v>
      </c>
      <c r="C1991">
        <v>2</v>
      </c>
      <c r="D1991">
        <v>2</v>
      </c>
      <c r="E1991">
        <v>11</v>
      </c>
      <c r="G1991">
        <v>822</v>
      </c>
      <c r="H1991" t="s">
        <v>63</v>
      </c>
      <c r="I1991" t="s">
        <v>131</v>
      </c>
      <c r="J1991" t="s">
        <v>151</v>
      </c>
      <c r="L1991">
        <v>0</v>
      </c>
      <c r="M1991" t="s">
        <v>125</v>
      </c>
      <c r="O1991" t="s">
        <v>125</v>
      </c>
      <c r="P1991" t="s">
        <v>125</v>
      </c>
      <c r="Q1991" t="s">
        <v>125</v>
      </c>
      <c r="R1991" t="s">
        <v>125</v>
      </c>
      <c r="S1991" t="s">
        <v>125</v>
      </c>
      <c r="T1991">
        <v>0</v>
      </c>
      <c r="V1991" t="s">
        <v>125</v>
      </c>
      <c r="AE1991" t="s">
        <v>125</v>
      </c>
      <c r="AF1991">
        <v>0</v>
      </c>
      <c r="AG1991" t="s">
        <v>125</v>
      </c>
      <c r="AH1991">
        <v>0</v>
      </c>
      <c r="AK1991">
        <v>0</v>
      </c>
    </row>
    <row r="1992" spans="1:37" x14ac:dyDescent="0.25">
      <c r="A1992" t="s">
        <v>79</v>
      </c>
      <c r="B1992">
        <v>8</v>
      </c>
      <c r="C1992">
        <v>2</v>
      </c>
      <c r="D1992">
        <v>2</v>
      </c>
      <c r="E1992">
        <v>12</v>
      </c>
      <c r="G1992">
        <v>822</v>
      </c>
      <c r="H1992" t="s">
        <v>63</v>
      </c>
      <c r="I1992" t="s">
        <v>133</v>
      </c>
      <c r="J1992" t="s">
        <v>152</v>
      </c>
      <c r="L1992">
        <v>0</v>
      </c>
      <c r="M1992" t="s">
        <v>125</v>
      </c>
      <c r="O1992" t="s">
        <v>125</v>
      </c>
      <c r="P1992" t="s">
        <v>125</v>
      </c>
      <c r="Q1992" t="s">
        <v>125</v>
      </c>
      <c r="R1992" t="s">
        <v>125</v>
      </c>
      <c r="S1992" t="s">
        <v>125</v>
      </c>
      <c r="T1992">
        <v>0</v>
      </c>
      <c r="V1992" t="s">
        <v>125</v>
      </c>
      <c r="AE1992" t="s">
        <v>125</v>
      </c>
      <c r="AF1992">
        <v>0</v>
      </c>
      <c r="AG1992" t="s">
        <v>125</v>
      </c>
      <c r="AH1992">
        <v>0</v>
      </c>
      <c r="AK1992">
        <v>0</v>
      </c>
    </row>
    <row r="1993" spans="1:37" x14ac:dyDescent="0.25">
      <c r="A1993" t="s">
        <v>79</v>
      </c>
      <c r="B1993">
        <v>8</v>
      </c>
      <c r="C1993">
        <v>2</v>
      </c>
      <c r="D1993">
        <v>2</v>
      </c>
      <c r="E1993">
        <v>13</v>
      </c>
      <c r="G1993">
        <v>822</v>
      </c>
      <c r="H1993" t="s">
        <v>63</v>
      </c>
      <c r="I1993" t="s">
        <v>135</v>
      </c>
      <c r="J1993" t="s">
        <v>153</v>
      </c>
      <c r="L1993">
        <v>0</v>
      </c>
      <c r="M1993" t="s">
        <v>125</v>
      </c>
      <c r="O1993" t="s">
        <v>125</v>
      </c>
      <c r="P1993" t="s">
        <v>125</v>
      </c>
      <c r="Q1993" t="s">
        <v>125</v>
      </c>
      <c r="R1993" t="s">
        <v>125</v>
      </c>
      <c r="S1993" t="s">
        <v>125</v>
      </c>
      <c r="T1993">
        <v>0</v>
      </c>
      <c r="V1993" t="s">
        <v>125</v>
      </c>
      <c r="AE1993" t="s">
        <v>125</v>
      </c>
      <c r="AF1993">
        <v>0</v>
      </c>
      <c r="AG1993" t="s">
        <v>125</v>
      </c>
      <c r="AH1993">
        <v>0</v>
      </c>
      <c r="AK1993">
        <v>0</v>
      </c>
    </row>
    <row r="1994" spans="1:37" x14ac:dyDescent="0.25">
      <c r="A1994" t="s">
        <v>79</v>
      </c>
      <c r="B1994">
        <v>8</v>
      </c>
      <c r="C1994">
        <v>2</v>
      </c>
      <c r="D1994">
        <v>2</v>
      </c>
      <c r="E1994">
        <v>14</v>
      </c>
      <c r="G1994">
        <v>822</v>
      </c>
      <c r="H1994" t="s">
        <v>63</v>
      </c>
      <c r="I1994" t="s">
        <v>137</v>
      </c>
      <c r="J1994" t="s">
        <v>154</v>
      </c>
      <c r="L1994">
        <v>0</v>
      </c>
      <c r="M1994" t="s">
        <v>125</v>
      </c>
      <c r="O1994" t="s">
        <v>125</v>
      </c>
      <c r="P1994" t="s">
        <v>125</v>
      </c>
      <c r="Q1994" t="s">
        <v>125</v>
      </c>
      <c r="R1994" t="s">
        <v>125</v>
      </c>
      <c r="S1994" t="s">
        <v>125</v>
      </c>
      <c r="T1994">
        <v>0</v>
      </c>
      <c r="V1994" t="s">
        <v>125</v>
      </c>
      <c r="AE1994" t="s">
        <v>125</v>
      </c>
      <c r="AF1994">
        <v>0</v>
      </c>
      <c r="AG1994" t="s">
        <v>125</v>
      </c>
      <c r="AH1994">
        <v>0</v>
      </c>
      <c r="AK1994">
        <v>0</v>
      </c>
    </row>
    <row r="1995" spans="1:37" x14ac:dyDescent="0.25">
      <c r="A1995" t="s">
        <v>79</v>
      </c>
      <c r="B1995">
        <v>8</v>
      </c>
      <c r="C1995">
        <v>2</v>
      </c>
      <c r="D1995">
        <v>2</v>
      </c>
      <c r="E1995">
        <v>15</v>
      </c>
      <c r="G1995">
        <v>822</v>
      </c>
      <c r="H1995" t="s">
        <v>63</v>
      </c>
      <c r="I1995" t="s">
        <v>139</v>
      </c>
      <c r="J1995" t="s">
        <v>155</v>
      </c>
      <c r="L1995">
        <v>0</v>
      </c>
      <c r="M1995" t="s">
        <v>125</v>
      </c>
      <c r="O1995" t="s">
        <v>125</v>
      </c>
      <c r="P1995" t="s">
        <v>125</v>
      </c>
      <c r="Q1995" t="s">
        <v>125</v>
      </c>
      <c r="R1995" t="s">
        <v>125</v>
      </c>
      <c r="S1995" t="s">
        <v>125</v>
      </c>
      <c r="T1995">
        <v>0</v>
      </c>
      <c r="V1995" t="s">
        <v>125</v>
      </c>
      <c r="AE1995" t="s">
        <v>125</v>
      </c>
      <c r="AF1995">
        <v>0</v>
      </c>
      <c r="AG1995" t="s">
        <v>125</v>
      </c>
      <c r="AH1995">
        <v>0</v>
      </c>
      <c r="AK1995">
        <v>0</v>
      </c>
    </row>
    <row r="1996" spans="1:37" x14ac:dyDescent="0.25">
      <c r="L1996">
        <v>0</v>
      </c>
    </row>
    <row r="1997" spans="1:37" x14ac:dyDescent="0.25">
      <c r="A1997" t="s">
        <v>70</v>
      </c>
      <c r="B1997">
        <v>8</v>
      </c>
      <c r="C1997">
        <v>2</v>
      </c>
      <c r="D1997">
        <v>3</v>
      </c>
      <c r="G1997">
        <v>82</v>
      </c>
      <c r="L1997">
        <v>0</v>
      </c>
      <c r="M1997" t="s">
        <v>125</v>
      </c>
      <c r="P1997" t="s">
        <v>125</v>
      </c>
      <c r="R1997" t="s">
        <v>125</v>
      </c>
      <c r="S1997" t="s">
        <v>63</v>
      </c>
      <c r="V1997" t="s">
        <v>125</v>
      </c>
      <c r="X1997" t="s">
        <v>125</v>
      </c>
      <c r="Y1997" t="s">
        <v>125</v>
      </c>
      <c r="Z1997" t="s">
        <v>125</v>
      </c>
      <c r="AA1997" t="s">
        <v>125</v>
      </c>
      <c r="AB1997" t="s">
        <v>125</v>
      </c>
      <c r="AC1997" t="s">
        <v>125</v>
      </c>
      <c r="AE1997" t="s">
        <v>125</v>
      </c>
      <c r="AF1997">
        <v>0</v>
      </c>
      <c r="AG1997" t="s">
        <v>125</v>
      </c>
      <c r="AH1997">
        <v>0</v>
      </c>
    </row>
    <row r="1998" spans="1:37" x14ac:dyDescent="0.25">
      <c r="A1998" t="s">
        <v>79</v>
      </c>
      <c r="B1998">
        <v>8</v>
      </c>
      <c r="C1998">
        <v>2</v>
      </c>
      <c r="D1998">
        <v>3</v>
      </c>
      <c r="E1998">
        <v>1</v>
      </c>
      <c r="G1998">
        <v>823</v>
      </c>
      <c r="H1998" t="s">
        <v>63</v>
      </c>
      <c r="I1998" t="s">
        <v>80</v>
      </c>
      <c r="J1998" t="s">
        <v>141</v>
      </c>
      <c r="L1998">
        <v>0</v>
      </c>
      <c r="M1998" t="s">
        <v>125</v>
      </c>
      <c r="O1998" t="s">
        <v>125</v>
      </c>
      <c r="P1998" t="s">
        <v>125</v>
      </c>
      <c r="Q1998" t="s">
        <v>125</v>
      </c>
      <c r="R1998" t="s">
        <v>125</v>
      </c>
      <c r="S1998" t="s">
        <v>125</v>
      </c>
      <c r="T1998">
        <v>0</v>
      </c>
      <c r="V1998" t="s">
        <v>125</v>
      </c>
      <c r="AE1998" t="s">
        <v>125</v>
      </c>
      <c r="AF1998">
        <v>0</v>
      </c>
      <c r="AG1998" t="s">
        <v>125</v>
      </c>
      <c r="AH1998">
        <v>0</v>
      </c>
      <c r="AK1998">
        <v>0</v>
      </c>
    </row>
    <row r="1999" spans="1:37" x14ac:dyDescent="0.25">
      <c r="A1999" t="s">
        <v>79</v>
      </c>
      <c r="B1999">
        <v>8</v>
      </c>
      <c r="C1999">
        <v>2</v>
      </c>
      <c r="D1999">
        <v>3</v>
      </c>
      <c r="E1999">
        <v>2</v>
      </c>
      <c r="G1999">
        <v>823</v>
      </c>
      <c r="H1999" t="s">
        <v>63</v>
      </c>
      <c r="I1999" t="s">
        <v>88</v>
      </c>
      <c r="J1999" t="s">
        <v>142</v>
      </c>
      <c r="L1999">
        <v>0</v>
      </c>
      <c r="M1999" t="s">
        <v>125</v>
      </c>
      <c r="O1999" t="s">
        <v>125</v>
      </c>
      <c r="P1999" t="s">
        <v>125</v>
      </c>
      <c r="Q1999" t="s">
        <v>125</v>
      </c>
      <c r="R1999" t="s">
        <v>125</v>
      </c>
      <c r="S1999" t="s">
        <v>125</v>
      </c>
      <c r="T1999">
        <v>0</v>
      </c>
      <c r="V1999" t="s">
        <v>125</v>
      </c>
      <c r="AE1999" t="s">
        <v>125</v>
      </c>
      <c r="AF1999">
        <v>0</v>
      </c>
      <c r="AG1999" t="s">
        <v>125</v>
      </c>
      <c r="AH1999">
        <v>0</v>
      </c>
      <c r="AK1999">
        <v>0</v>
      </c>
    </row>
    <row r="2000" spans="1:37" x14ac:dyDescent="0.25">
      <c r="A2000" t="s">
        <v>79</v>
      </c>
      <c r="B2000">
        <v>8</v>
      </c>
      <c r="C2000">
        <v>2</v>
      </c>
      <c r="D2000">
        <v>3</v>
      </c>
      <c r="E2000">
        <v>3</v>
      </c>
      <c r="G2000">
        <v>823</v>
      </c>
      <c r="H2000" t="s">
        <v>63</v>
      </c>
      <c r="I2000" t="s">
        <v>95</v>
      </c>
      <c r="J2000" t="s">
        <v>143</v>
      </c>
      <c r="L2000">
        <v>0</v>
      </c>
      <c r="M2000" t="s">
        <v>125</v>
      </c>
      <c r="O2000" t="s">
        <v>125</v>
      </c>
      <c r="P2000" t="s">
        <v>125</v>
      </c>
      <c r="Q2000" t="s">
        <v>125</v>
      </c>
      <c r="R2000" t="s">
        <v>125</v>
      </c>
      <c r="S2000" t="s">
        <v>125</v>
      </c>
      <c r="T2000">
        <v>0</v>
      </c>
      <c r="V2000" t="s">
        <v>125</v>
      </c>
      <c r="AE2000" t="s">
        <v>125</v>
      </c>
      <c r="AF2000">
        <v>0</v>
      </c>
      <c r="AG2000" t="s">
        <v>125</v>
      </c>
      <c r="AH2000">
        <v>0</v>
      </c>
      <c r="AK2000">
        <v>0</v>
      </c>
    </row>
    <row r="2001" spans="1:37" x14ac:dyDescent="0.25">
      <c r="A2001" t="s">
        <v>79</v>
      </c>
      <c r="B2001">
        <v>8</v>
      </c>
      <c r="C2001">
        <v>2</v>
      </c>
      <c r="D2001">
        <v>3</v>
      </c>
      <c r="E2001">
        <v>4</v>
      </c>
      <c r="G2001">
        <v>823</v>
      </c>
      <c r="H2001" t="s">
        <v>63</v>
      </c>
      <c r="I2001" t="s">
        <v>102</v>
      </c>
      <c r="J2001" t="s">
        <v>144</v>
      </c>
      <c r="L2001">
        <v>0</v>
      </c>
      <c r="M2001" t="s">
        <v>125</v>
      </c>
      <c r="O2001" t="s">
        <v>125</v>
      </c>
      <c r="P2001" t="s">
        <v>125</v>
      </c>
      <c r="Q2001" t="s">
        <v>125</v>
      </c>
      <c r="R2001" t="s">
        <v>125</v>
      </c>
      <c r="S2001" t="s">
        <v>125</v>
      </c>
      <c r="T2001">
        <v>0</v>
      </c>
      <c r="V2001" t="s">
        <v>125</v>
      </c>
      <c r="AE2001" t="s">
        <v>125</v>
      </c>
      <c r="AF2001">
        <v>0</v>
      </c>
      <c r="AG2001" t="s">
        <v>125</v>
      </c>
      <c r="AH2001">
        <v>0</v>
      </c>
      <c r="AK2001">
        <v>0</v>
      </c>
    </row>
    <row r="2002" spans="1:37" x14ac:dyDescent="0.25">
      <c r="A2002" t="s">
        <v>79</v>
      </c>
      <c r="B2002">
        <v>8</v>
      </c>
      <c r="C2002">
        <v>2</v>
      </c>
      <c r="D2002">
        <v>3</v>
      </c>
      <c r="E2002">
        <v>5</v>
      </c>
      <c r="G2002">
        <v>823</v>
      </c>
      <c r="H2002" t="s">
        <v>63</v>
      </c>
      <c r="I2002" t="s">
        <v>109</v>
      </c>
      <c r="J2002" t="s">
        <v>145</v>
      </c>
      <c r="L2002">
        <v>0</v>
      </c>
      <c r="M2002" t="s">
        <v>125</v>
      </c>
      <c r="O2002" t="s">
        <v>125</v>
      </c>
      <c r="P2002" t="s">
        <v>125</v>
      </c>
      <c r="Q2002" t="s">
        <v>125</v>
      </c>
      <c r="R2002" t="s">
        <v>125</v>
      </c>
      <c r="S2002" t="s">
        <v>125</v>
      </c>
      <c r="T2002">
        <v>0</v>
      </c>
      <c r="V2002" t="s">
        <v>125</v>
      </c>
      <c r="AE2002" t="s">
        <v>125</v>
      </c>
      <c r="AF2002">
        <v>0</v>
      </c>
      <c r="AG2002" t="s">
        <v>125</v>
      </c>
      <c r="AH2002">
        <v>0</v>
      </c>
      <c r="AK2002">
        <v>0</v>
      </c>
    </row>
    <row r="2003" spans="1:37" x14ac:dyDescent="0.25">
      <c r="A2003" t="s">
        <v>79</v>
      </c>
      <c r="B2003">
        <v>8</v>
      </c>
      <c r="C2003">
        <v>2</v>
      </c>
      <c r="D2003">
        <v>3</v>
      </c>
      <c r="E2003">
        <v>6</v>
      </c>
      <c r="G2003">
        <v>823</v>
      </c>
      <c r="H2003" t="s">
        <v>63</v>
      </c>
      <c r="I2003" t="s">
        <v>116</v>
      </c>
      <c r="J2003" t="s">
        <v>146</v>
      </c>
      <c r="L2003">
        <v>0</v>
      </c>
      <c r="M2003" t="s">
        <v>125</v>
      </c>
      <c r="O2003" t="s">
        <v>125</v>
      </c>
      <c r="P2003" t="s">
        <v>125</v>
      </c>
      <c r="Q2003" t="s">
        <v>125</v>
      </c>
      <c r="R2003" t="s">
        <v>125</v>
      </c>
      <c r="S2003" t="s">
        <v>125</v>
      </c>
      <c r="T2003">
        <v>0</v>
      </c>
      <c r="V2003" t="s">
        <v>125</v>
      </c>
      <c r="AE2003" t="s">
        <v>125</v>
      </c>
      <c r="AF2003">
        <v>0</v>
      </c>
      <c r="AG2003" t="s">
        <v>125</v>
      </c>
      <c r="AH2003">
        <v>0</v>
      </c>
      <c r="AK2003">
        <v>0</v>
      </c>
    </row>
    <row r="2004" spans="1:37" x14ac:dyDescent="0.25">
      <c r="A2004" t="s">
        <v>79</v>
      </c>
      <c r="B2004">
        <v>8</v>
      </c>
      <c r="C2004">
        <v>2</v>
      </c>
      <c r="D2004">
        <v>3</v>
      </c>
      <c r="E2004">
        <v>7</v>
      </c>
      <c r="G2004">
        <v>823</v>
      </c>
      <c r="H2004" t="s">
        <v>63</v>
      </c>
      <c r="I2004" t="s">
        <v>123</v>
      </c>
      <c r="J2004" t="s">
        <v>147</v>
      </c>
      <c r="L2004">
        <v>0</v>
      </c>
      <c r="M2004" t="s">
        <v>125</v>
      </c>
      <c r="O2004" t="s">
        <v>125</v>
      </c>
      <c r="P2004" t="s">
        <v>125</v>
      </c>
      <c r="Q2004" t="s">
        <v>125</v>
      </c>
      <c r="R2004" t="s">
        <v>125</v>
      </c>
      <c r="S2004" t="s">
        <v>125</v>
      </c>
      <c r="T2004">
        <v>0</v>
      </c>
      <c r="V2004" t="s">
        <v>125</v>
      </c>
      <c r="AE2004" t="s">
        <v>125</v>
      </c>
      <c r="AF2004">
        <v>0</v>
      </c>
      <c r="AG2004" t="s">
        <v>125</v>
      </c>
      <c r="AH2004">
        <v>0</v>
      </c>
      <c r="AK2004">
        <v>0</v>
      </c>
    </row>
    <row r="2005" spans="1:37" x14ac:dyDescent="0.25">
      <c r="A2005" t="s">
        <v>79</v>
      </c>
      <c r="B2005">
        <v>8</v>
      </c>
      <c r="C2005">
        <v>2</v>
      </c>
      <c r="D2005">
        <v>3</v>
      </c>
      <c r="E2005">
        <v>8</v>
      </c>
      <c r="G2005">
        <v>823</v>
      </c>
      <c r="H2005" t="s">
        <v>63</v>
      </c>
      <c r="I2005" t="s">
        <v>126</v>
      </c>
      <c r="J2005" t="s">
        <v>148</v>
      </c>
      <c r="L2005">
        <v>0</v>
      </c>
      <c r="M2005" t="s">
        <v>125</v>
      </c>
      <c r="O2005" t="s">
        <v>125</v>
      </c>
      <c r="P2005" t="s">
        <v>125</v>
      </c>
      <c r="Q2005" t="s">
        <v>125</v>
      </c>
      <c r="R2005" t="s">
        <v>125</v>
      </c>
      <c r="S2005" t="s">
        <v>125</v>
      </c>
      <c r="T2005">
        <v>0</v>
      </c>
      <c r="V2005" t="s">
        <v>125</v>
      </c>
      <c r="AE2005" t="s">
        <v>125</v>
      </c>
      <c r="AF2005">
        <v>0</v>
      </c>
      <c r="AG2005" t="s">
        <v>125</v>
      </c>
      <c r="AH2005">
        <v>0</v>
      </c>
      <c r="AK2005">
        <v>0</v>
      </c>
    </row>
    <row r="2006" spans="1:37" x14ac:dyDescent="0.25">
      <c r="A2006" t="s">
        <v>79</v>
      </c>
      <c r="B2006">
        <v>8</v>
      </c>
      <c r="C2006">
        <v>2</v>
      </c>
      <c r="D2006">
        <v>3</v>
      </c>
      <c r="E2006">
        <v>9</v>
      </c>
      <c r="G2006">
        <v>823</v>
      </c>
      <c r="H2006" t="s">
        <v>63</v>
      </c>
      <c r="I2006" t="s">
        <v>74</v>
      </c>
      <c r="J2006" t="s">
        <v>149</v>
      </c>
      <c r="L2006">
        <v>0</v>
      </c>
      <c r="M2006" t="s">
        <v>125</v>
      </c>
      <c r="O2006" t="s">
        <v>125</v>
      </c>
      <c r="P2006" t="s">
        <v>125</v>
      </c>
      <c r="Q2006" t="s">
        <v>125</v>
      </c>
      <c r="R2006" t="s">
        <v>125</v>
      </c>
      <c r="S2006" t="s">
        <v>125</v>
      </c>
      <c r="T2006">
        <v>0</v>
      </c>
      <c r="V2006" t="s">
        <v>125</v>
      </c>
      <c r="AE2006" t="s">
        <v>125</v>
      </c>
      <c r="AF2006">
        <v>0</v>
      </c>
      <c r="AG2006" t="s">
        <v>125</v>
      </c>
      <c r="AH2006">
        <v>0</v>
      </c>
      <c r="AK2006">
        <v>0</v>
      </c>
    </row>
    <row r="2007" spans="1:37" x14ac:dyDescent="0.25">
      <c r="A2007" t="s">
        <v>79</v>
      </c>
      <c r="B2007">
        <v>8</v>
      </c>
      <c r="C2007">
        <v>2</v>
      </c>
      <c r="D2007">
        <v>3</v>
      </c>
      <c r="E2007">
        <v>10</v>
      </c>
      <c r="G2007">
        <v>823</v>
      </c>
      <c r="H2007" t="s">
        <v>63</v>
      </c>
      <c r="I2007" t="s">
        <v>129</v>
      </c>
      <c r="J2007" t="s">
        <v>150</v>
      </c>
      <c r="L2007">
        <v>0</v>
      </c>
      <c r="M2007" t="s">
        <v>125</v>
      </c>
      <c r="O2007" t="s">
        <v>125</v>
      </c>
      <c r="P2007" t="s">
        <v>125</v>
      </c>
      <c r="Q2007" t="s">
        <v>125</v>
      </c>
      <c r="R2007" t="s">
        <v>125</v>
      </c>
      <c r="S2007" t="s">
        <v>125</v>
      </c>
      <c r="T2007">
        <v>0</v>
      </c>
      <c r="V2007" t="s">
        <v>125</v>
      </c>
      <c r="AE2007" t="s">
        <v>125</v>
      </c>
      <c r="AF2007">
        <v>0</v>
      </c>
      <c r="AG2007" t="s">
        <v>125</v>
      </c>
      <c r="AH2007">
        <v>0</v>
      </c>
      <c r="AK2007">
        <v>0</v>
      </c>
    </row>
    <row r="2008" spans="1:37" x14ac:dyDescent="0.25">
      <c r="A2008" t="s">
        <v>79</v>
      </c>
      <c r="B2008">
        <v>8</v>
      </c>
      <c r="C2008">
        <v>2</v>
      </c>
      <c r="D2008">
        <v>3</v>
      </c>
      <c r="E2008">
        <v>11</v>
      </c>
      <c r="G2008">
        <v>823</v>
      </c>
      <c r="H2008" t="s">
        <v>63</v>
      </c>
      <c r="I2008" t="s">
        <v>131</v>
      </c>
      <c r="J2008" t="s">
        <v>151</v>
      </c>
      <c r="L2008">
        <v>0</v>
      </c>
      <c r="M2008" t="s">
        <v>125</v>
      </c>
      <c r="O2008" t="s">
        <v>125</v>
      </c>
      <c r="P2008" t="s">
        <v>125</v>
      </c>
      <c r="Q2008" t="s">
        <v>125</v>
      </c>
      <c r="R2008" t="s">
        <v>125</v>
      </c>
      <c r="S2008" t="s">
        <v>125</v>
      </c>
      <c r="T2008">
        <v>0</v>
      </c>
      <c r="V2008" t="s">
        <v>125</v>
      </c>
      <c r="AE2008" t="s">
        <v>125</v>
      </c>
      <c r="AF2008">
        <v>0</v>
      </c>
      <c r="AG2008" t="s">
        <v>125</v>
      </c>
      <c r="AH2008">
        <v>0</v>
      </c>
      <c r="AK2008">
        <v>0</v>
      </c>
    </row>
    <row r="2009" spans="1:37" x14ac:dyDescent="0.25">
      <c r="A2009" t="s">
        <v>79</v>
      </c>
      <c r="B2009">
        <v>8</v>
      </c>
      <c r="C2009">
        <v>2</v>
      </c>
      <c r="D2009">
        <v>3</v>
      </c>
      <c r="E2009">
        <v>12</v>
      </c>
      <c r="G2009">
        <v>823</v>
      </c>
      <c r="H2009" t="s">
        <v>63</v>
      </c>
      <c r="I2009" t="s">
        <v>133</v>
      </c>
      <c r="J2009" t="s">
        <v>152</v>
      </c>
      <c r="L2009">
        <v>0</v>
      </c>
      <c r="M2009" t="s">
        <v>125</v>
      </c>
      <c r="O2009" t="s">
        <v>125</v>
      </c>
      <c r="P2009" t="s">
        <v>125</v>
      </c>
      <c r="Q2009" t="s">
        <v>125</v>
      </c>
      <c r="R2009" t="s">
        <v>125</v>
      </c>
      <c r="S2009" t="s">
        <v>125</v>
      </c>
      <c r="T2009">
        <v>0</v>
      </c>
      <c r="V2009" t="s">
        <v>125</v>
      </c>
      <c r="AE2009" t="s">
        <v>125</v>
      </c>
      <c r="AF2009">
        <v>0</v>
      </c>
      <c r="AG2009" t="s">
        <v>125</v>
      </c>
      <c r="AH2009">
        <v>0</v>
      </c>
      <c r="AK2009">
        <v>0</v>
      </c>
    </row>
    <row r="2010" spans="1:37" x14ac:dyDescent="0.25">
      <c r="A2010" t="s">
        <v>79</v>
      </c>
      <c r="B2010">
        <v>8</v>
      </c>
      <c r="C2010">
        <v>2</v>
      </c>
      <c r="D2010">
        <v>3</v>
      </c>
      <c r="E2010">
        <v>13</v>
      </c>
      <c r="G2010">
        <v>823</v>
      </c>
      <c r="H2010" t="s">
        <v>63</v>
      </c>
      <c r="I2010" t="s">
        <v>135</v>
      </c>
      <c r="J2010" t="s">
        <v>153</v>
      </c>
      <c r="L2010">
        <v>0</v>
      </c>
      <c r="M2010" t="s">
        <v>125</v>
      </c>
      <c r="O2010" t="s">
        <v>125</v>
      </c>
      <c r="P2010" t="s">
        <v>125</v>
      </c>
      <c r="Q2010" t="s">
        <v>125</v>
      </c>
      <c r="R2010" t="s">
        <v>125</v>
      </c>
      <c r="S2010" t="s">
        <v>125</v>
      </c>
      <c r="T2010">
        <v>0</v>
      </c>
      <c r="V2010" t="s">
        <v>125</v>
      </c>
      <c r="AE2010" t="s">
        <v>125</v>
      </c>
      <c r="AF2010">
        <v>0</v>
      </c>
      <c r="AG2010" t="s">
        <v>125</v>
      </c>
      <c r="AH2010">
        <v>0</v>
      </c>
      <c r="AK2010">
        <v>0</v>
      </c>
    </row>
    <row r="2011" spans="1:37" x14ac:dyDescent="0.25">
      <c r="A2011" t="s">
        <v>79</v>
      </c>
      <c r="B2011">
        <v>8</v>
      </c>
      <c r="C2011">
        <v>2</v>
      </c>
      <c r="D2011">
        <v>3</v>
      </c>
      <c r="E2011">
        <v>14</v>
      </c>
      <c r="G2011">
        <v>823</v>
      </c>
      <c r="H2011" t="s">
        <v>63</v>
      </c>
      <c r="I2011" t="s">
        <v>137</v>
      </c>
      <c r="J2011" t="s">
        <v>154</v>
      </c>
      <c r="L2011">
        <v>0</v>
      </c>
      <c r="M2011" t="s">
        <v>125</v>
      </c>
      <c r="O2011" t="s">
        <v>125</v>
      </c>
      <c r="P2011" t="s">
        <v>125</v>
      </c>
      <c r="Q2011" t="s">
        <v>125</v>
      </c>
      <c r="R2011" t="s">
        <v>125</v>
      </c>
      <c r="S2011" t="s">
        <v>125</v>
      </c>
      <c r="T2011">
        <v>0</v>
      </c>
      <c r="V2011" t="s">
        <v>125</v>
      </c>
      <c r="AE2011" t="s">
        <v>125</v>
      </c>
      <c r="AF2011">
        <v>0</v>
      </c>
      <c r="AG2011" t="s">
        <v>125</v>
      </c>
      <c r="AH2011">
        <v>0</v>
      </c>
      <c r="AK2011">
        <v>0</v>
      </c>
    </row>
    <row r="2012" spans="1:37" x14ac:dyDescent="0.25">
      <c r="A2012" t="s">
        <v>79</v>
      </c>
      <c r="B2012">
        <v>8</v>
      </c>
      <c r="C2012">
        <v>2</v>
      </c>
      <c r="D2012">
        <v>3</v>
      </c>
      <c r="E2012">
        <v>15</v>
      </c>
      <c r="G2012">
        <v>823</v>
      </c>
      <c r="H2012" t="s">
        <v>63</v>
      </c>
      <c r="I2012" t="s">
        <v>139</v>
      </c>
      <c r="J2012" t="s">
        <v>155</v>
      </c>
      <c r="L2012">
        <v>0</v>
      </c>
      <c r="M2012" t="s">
        <v>125</v>
      </c>
      <c r="O2012" t="s">
        <v>125</v>
      </c>
      <c r="P2012" t="s">
        <v>125</v>
      </c>
      <c r="Q2012" t="s">
        <v>125</v>
      </c>
      <c r="R2012" t="s">
        <v>125</v>
      </c>
      <c r="S2012" t="s">
        <v>125</v>
      </c>
      <c r="T2012">
        <v>0</v>
      </c>
      <c r="V2012" t="s">
        <v>125</v>
      </c>
      <c r="AE2012" t="s">
        <v>125</v>
      </c>
      <c r="AF2012">
        <v>0</v>
      </c>
      <c r="AG2012" t="s">
        <v>125</v>
      </c>
      <c r="AH2012">
        <v>0</v>
      </c>
      <c r="AK2012">
        <v>0</v>
      </c>
    </row>
    <row r="2013" spans="1:37" x14ac:dyDescent="0.25">
      <c r="L2013">
        <v>0</v>
      </c>
    </row>
    <row r="2014" spans="1:37" x14ac:dyDescent="0.25">
      <c r="A2014" t="s">
        <v>70</v>
      </c>
      <c r="B2014">
        <v>8</v>
      </c>
      <c r="C2014">
        <v>2</v>
      </c>
      <c r="D2014">
        <v>4</v>
      </c>
      <c r="G2014">
        <v>82</v>
      </c>
      <c r="L2014">
        <v>0</v>
      </c>
      <c r="M2014" t="s">
        <v>125</v>
      </c>
      <c r="P2014" t="s">
        <v>125</v>
      </c>
      <c r="R2014" t="s">
        <v>125</v>
      </c>
      <c r="S2014" t="s">
        <v>63</v>
      </c>
      <c r="V2014" t="s">
        <v>125</v>
      </c>
      <c r="X2014" t="s">
        <v>125</v>
      </c>
      <c r="Y2014" t="s">
        <v>125</v>
      </c>
      <c r="Z2014" t="s">
        <v>125</v>
      </c>
      <c r="AA2014" t="s">
        <v>125</v>
      </c>
      <c r="AB2014" t="s">
        <v>125</v>
      </c>
      <c r="AC2014" t="s">
        <v>125</v>
      </c>
      <c r="AE2014" t="s">
        <v>125</v>
      </c>
      <c r="AF2014">
        <v>0</v>
      </c>
      <c r="AG2014" t="s">
        <v>125</v>
      </c>
      <c r="AH2014">
        <v>0</v>
      </c>
    </row>
    <row r="2015" spans="1:37" x14ac:dyDescent="0.25">
      <c r="A2015" t="s">
        <v>79</v>
      </c>
      <c r="B2015">
        <v>8</v>
      </c>
      <c r="C2015">
        <v>2</v>
      </c>
      <c r="D2015">
        <v>4</v>
      </c>
      <c r="E2015">
        <v>1</v>
      </c>
      <c r="G2015">
        <v>824</v>
      </c>
      <c r="H2015" t="s">
        <v>63</v>
      </c>
      <c r="I2015" t="s">
        <v>80</v>
      </c>
      <c r="J2015" t="s">
        <v>141</v>
      </c>
      <c r="L2015">
        <v>0</v>
      </c>
      <c r="M2015" t="s">
        <v>125</v>
      </c>
      <c r="O2015" t="s">
        <v>125</v>
      </c>
      <c r="P2015" t="s">
        <v>125</v>
      </c>
      <c r="Q2015" t="s">
        <v>125</v>
      </c>
      <c r="R2015" t="s">
        <v>125</v>
      </c>
      <c r="S2015" t="s">
        <v>125</v>
      </c>
      <c r="T2015">
        <v>0</v>
      </c>
      <c r="V2015" t="s">
        <v>125</v>
      </c>
      <c r="AE2015" t="s">
        <v>125</v>
      </c>
      <c r="AF2015">
        <v>0</v>
      </c>
      <c r="AG2015" t="s">
        <v>125</v>
      </c>
      <c r="AH2015">
        <v>0</v>
      </c>
      <c r="AK2015">
        <v>0</v>
      </c>
    </row>
    <row r="2016" spans="1:37" x14ac:dyDescent="0.25">
      <c r="A2016" t="s">
        <v>79</v>
      </c>
      <c r="B2016">
        <v>8</v>
      </c>
      <c r="C2016">
        <v>2</v>
      </c>
      <c r="D2016">
        <v>4</v>
      </c>
      <c r="E2016">
        <v>2</v>
      </c>
      <c r="G2016">
        <v>824</v>
      </c>
      <c r="H2016" t="s">
        <v>63</v>
      </c>
      <c r="I2016" t="s">
        <v>88</v>
      </c>
      <c r="J2016" t="s">
        <v>142</v>
      </c>
      <c r="L2016">
        <v>0</v>
      </c>
      <c r="M2016" t="s">
        <v>125</v>
      </c>
      <c r="O2016" t="s">
        <v>125</v>
      </c>
      <c r="P2016" t="s">
        <v>125</v>
      </c>
      <c r="Q2016" t="s">
        <v>125</v>
      </c>
      <c r="R2016" t="s">
        <v>125</v>
      </c>
      <c r="S2016" t="s">
        <v>125</v>
      </c>
      <c r="T2016">
        <v>0</v>
      </c>
      <c r="V2016" t="s">
        <v>125</v>
      </c>
      <c r="AE2016" t="s">
        <v>125</v>
      </c>
      <c r="AF2016">
        <v>0</v>
      </c>
      <c r="AG2016" t="s">
        <v>125</v>
      </c>
      <c r="AH2016">
        <v>0</v>
      </c>
      <c r="AK2016">
        <v>0</v>
      </c>
    </row>
    <row r="2017" spans="1:37" x14ac:dyDescent="0.25">
      <c r="A2017" t="s">
        <v>79</v>
      </c>
      <c r="B2017">
        <v>8</v>
      </c>
      <c r="C2017">
        <v>2</v>
      </c>
      <c r="D2017">
        <v>4</v>
      </c>
      <c r="E2017">
        <v>3</v>
      </c>
      <c r="G2017">
        <v>824</v>
      </c>
      <c r="H2017" t="s">
        <v>63</v>
      </c>
      <c r="I2017" t="s">
        <v>95</v>
      </c>
      <c r="J2017" t="s">
        <v>143</v>
      </c>
      <c r="L2017">
        <v>0</v>
      </c>
      <c r="M2017" t="s">
        <v>125</v>
      </c>
      <c r="O2017" t="s">
        <v>125</v>
      </c>
      <c r="P2017" t="s">
        <v>125</v>
      </c>
      <c r="Q2017" t="s">
        <v>125</v>
      </c>
      <c r="R2017" t="s">
        <v>125</v>
      </c>
      <c r="S2017" t="s">
        <v>125</v>
      </c>
      <c r="T2017">
        <v>0</v>
      </c>
      <c r="V2017" t="s">
        <v>125</v>
      </c>
      <c r="AE2017" t="s">
        <v>125</v>
      </c>
      <c r="AF2017">
        <v>0</v>
      </c>
      <c r="AG2017" t="s">
        <v>125</v>
      </c>
      <c r="AH2017">
        <v>0</v>
      </c>
      <c r="AK2017">
        <v>0</v>
      </c>
    </row>
    <row r="2018" spans="1:37" x14ac:dyDescent="0.25">
      <c r="A2018" t="s">
        <v>79</v>
      </c>
      <c r="B2018">
        <v>8</v>
      </c>
      <c r="C2018">
        <v>2</v>
      </c>
      <c r="D2018">
        <v>4</v>
      </c>
      <c r="E2018">
        <v>4</v>
      </c>
      <c r="G2018">
        <v>824</v>
      </c>
      <c r="H2018" t="s">
        <v>63</v>
      </c>
      <c r="I2018" t="s">
        <v>102</v>
      </c>
      <c r="J2018" t="s">
        <v>144</v>
      </c>
      <c r="L2018">
        <v>0</v>
      </c>
      <c r="M2018" t="s">
        <v>125</v>
      </c>
      <c r="O2018" t="s">
        <v>125</v>
      </c>
      <c r="P2018" t="s">
        <v>125</v>
      </c>
      <c r="Q2018" t="s">
        <v>125</v>
      </c>
      <c r="R2018" t="s">
        <v>125</v>
      </c>
      <c r="S2018" t="s">
        <v>125</v>
      </c>
      <c r="T2018">
        <v>0</v>
      </c>
      <c r="V2018" t="s">
        <v>125</v>
      </c>
      <c r="AE2018" t="s">
        <v>125</v>
      </c>
      <c r="AF2018">
        <v>0</v>
      </c>
      <c r="AG2018" t="s">
        <v>125</v>
      </c>
      <c r="AH2018">
        <v>0</v>
      </c>
      <c r="AK2018">
        <v>0</v>
      </c>
    </row>
    <row r="2019" spans="1:37" x14ac:dyDescent="0.25">
      <c r="A2019" t="s">
        <v>79</v>
      </c>
      <c r="B2019">
        <v>8</v>
      </c>
      <c r="C2019">
        <v>2</v>
      </c>
      <c r="D2019">
        <v>4</v>
      </c>
      <c r="E2019">
        <v>5</v>
      </c>
      <c r="G2019">
        <v>824</v>
      </c>
      <c r="H2019" t="s">
        <v>63</v>
      </c>
      <c r="I2019" t="s">
        <v>109</v>
      </c>
      <c r="J2019" t="s">
        <v>145</v>
      </c>
      <c r="L2019">
        <v>0</v>
      </c>
      <c r="M2019" t="s">
        <v>125</v>
      </c>
      <c r="O2019" t="s">
        <v>125</v>
      </c>
      <c r="P2019" t="s">
        <v>125</v>
      </c>
      <c r="Q2019" t="s">
        <v>125</v>
      </c>
      <c r="R2019" t="s">
        <v>125</v>
      </c>
      <c r="S2019" t="s">
        <v>125</v>
      </c>
      <c r="T2019">
        <v>0</v>
      </c>
      <c r="V2019" t="s">
        <v>125</v>
      </c>
      <c r="AE2019" t="s">
        <v>125</v>
      </c>
      <c r="AF2019">
        <v>0</v>
      </c>
      <c r="AG2019" t="s">
        <v>125</v>
      </c>
      <c r="AH2019">
        <v>0</v>
      </c>
      <c r="AK2019">
        <v>0</v>
      </c>
    </row>
    <row r="2020" spans="1:37" x14ac:dyDescent="0.25">
      <c r="A2020" t="s">
        <v>79</v>
      </c>
      <c r="B2020">
        <v>8</v>
      </c>
      <c r="C2020">
        <v>2</v>
      </c>
      <c r="D2020">
        <v>4</v>
      </c>
      <c r="E2020">
        <v>6</v>
      </c>
      <c r="G2020">
        <v>824</v>
      </c>
      <c r="H2020" t="s">
        <v>63</v>
      </c>
      <c r="I2020" t="s">
        <v>116</v>
      </c>
      <c r="J2020" t="s">
        <v>146</v>
      </c>
      <c r="L2020">
        <v>0</v>
      </c>
      <c r="M2020" t="s">
        <v>125</v>
      </c>
      <c r="O2020" t="s">
        <v>125</v>
      </c>
      <c r="P2020" t="s">
        <v>125</v>
      </c>
      <c r="Q2020" t="s">
        <v>125</v>
      </c>
      <c r="R2020" t="s">
        <v>125</v>
      </c>
      <c r="S2020" t="s">
        <v>125</v>
      </c>
      <c r="T2020">
        <v>0</v>
      </c>
      <c r="V2020" t="s">
        <v>125</v>
      </c>
      <c r="AE2020" t="s">
        <v>125</v>
      </c>
      <c r="AF2020">
        <v>0</v>
      </c>
      <c r="AG2020" t="s">
        <v>125</v>
      </c>
      <c r="AH2020">
        <v>0</v>
      </c>
      <c r="AK2020">
        <v>0</v>
      </c>
    </row>
    <row r="2021" spans="1:37" x14ac:dyDescent="0.25">
      <c r="A2021" t="s">
        <v>79</v>
      </c>
      <c r="B2021">
        <v>8</v>
      </c>
      <c r="C2021">
        <v>2</v>
      </c>
      <c r="D2021">
        <v>4</v>
      </c>
      <c r="E2021">
        <v>7</v>
      </c>
      <c r="G2021">
        <v>824</v>
      </c>
      <c r="H2021" t="s">
        <v>63</v>
      </c>
      <c r="I2021" t="s">
        <v>123</v>
      </c>
      <c r="J2021" t="s">
        <v>147</v>
      </c>
      <c r="L2021">
        <v>0</v>
      </c>
      <c r="M2021" t="s">
        <v>125</v>
      </c>
      <c r="O2021" t="s">
        <v>125</v>
      </c>
      <c r="P2021" t="s">
        <v>125</v>
      </c>
      <c r="Q2021" t="s">
        <v>125</v>
      </c>
      <c r="R2021" t="s">
        <v>125</v>
      </c>
      <c r="S2021" t="s">
        <v>125</v>
      </c>
      <c r="T2021">
        <v>0</v>
      </c>
      <c r="V2021" t="s">
        <v>125</v>
      </c>
      <c r="AE2021" t="s">
        <v>125</v>
      </c>
      <c r="AF2021">
        <v>0</v>
      </c>
      <c r="AG2021" t="s">
        <v>125</v>
      </c>
      <c r="AH2021">
        <v>0</v>
      </c>
      <c r="AK2021">
        <v>0</v>
      </c>
    </row>
    <row r="2022" spans="1:37" x14ac:dyDescent="0.25">
      <c r="A2022" t="s">
        <v>79</v>
      </c>
      <c r="B2022">
        <v>8</v>
      </c>
      <c r="C2022">
        <v>2</v>
      </c>
      <c r="D2022">
        <v>4</v>
      </c>
      <c r="E2022">
        <v>8</v>
      </c>
      <c r="G2022">
        <v>824</v>
      </c>
      <c r="H2022" t="s">
        <v>63</v>
      </c>
      <c r="I2022" t="s">
        <v>126</v>
      </c>
      <c r="J2022" t="s">
        <v>148</v>
      </c>
      <c r="L2022">
        <v>0</v>
      </c>
      <c r="M2022" t="s">
        <v>125</v>
      </c>
      <c r="O2022" t="s">
        <v>125</v>
      </c>
      <c r="P2022" t="s">
        <v>125</v>
      </c>
      <c r="Q2022" t="s">
        <v>125</v>
      </c>
      <c r="R2022" t="s">
        <v>125</v>
      </c>
      <c r="S2022" t="s">
        <v>125</v>
      </c>
      <c r="T2022">
        <v>0</v>
      </c>
      <c r="V2022" t="s">
        <v>125</v>
      </c>
      <c r="AE2022" t="s">
        <v>125</v>
      </c>
      <c r="AF2022">
        <v>0</v>
      </c>
      <c r="AG2022" t="s">
        <v>125</v>
      </c>
      <c r="AH2022">
        <v>0</v>
      </c>
      <c r="AK2022">
        <v>0</v>
      </c>
    </row>
    <row r="2023" spans="1:37" x14ac:dyDescent="0.25">
      <c r="A2023" t="s">
        <v>79</v>
      </c>
      <c r="B2023">
        <v>8</v>
      </c>
      <c r="C2023">
        <v>2</v>
      </c>
      <c r="D2023">
        <v>4</v>
      </c>
      <c r="E2023">
        <v>9</v>
      </c>
      <c r="G2023">
        <v>824</v>
      </c>
      <c r="H2023" t="s">
        <v>63</v>
      </c>
      <c r="I2023" t="s">
        <v>74</v>
      </c>
      <c r="J2023" t="s">
        <v>149</v>
      </c>
      <c r="L2023">
        <v>0</v>
      </c>
      <c r="M2023" t="s">
        <v>125</v>
      </c>
      <c r="O2023" t="s">
        <v>125</v>
      </c>
      <c r="P2023" t="s">
        <v>125</v>
      </c>
      <c r="Q2023" t="s">
        <v>125</v>
      </c>
      <c r="R2023" t="s">
        <v>125</v>
      </c>
      <c r="S2023" t="s">
        <v>125</v>
      </c>
      <c r="T2023">
        <v>0</v>
      </c>
      <c r="V2023" t="s">
        <v>125</v>
      </c>
      <c r="AE2023" t="s">
        <v>125</v>
      </c>
      <c r="AF2023">
        <v>0</v>
      </c>
      <c r="AG2023" t="s">
        <v>125</v>
      </c>
      <c r="AH2023">
        <v>0</v>
      </c>
      <c r="AK2023">
        <v>0</v>
      </c>
    </row>
    <row r="2024" spans="1:37" x14ac:dyDescent="0.25">
      <c r="A2024" t="s">
        <v>79</v>
      </c>
      <c r="B2024">
        <v>8</v>
      </c>
      <c r="C2024">
        <v>2</v>
      </c>
      <c r="D2024">
        <v>4</v>
      </c>
      <c r="E2024">
        <v>10</v>
      </c>
      <c r="G2024">
        <v>824</v>
      </c>
      <c r="H2024" t="s">
        <v>63</v>
      </c>
      <c r="I2024" t="s">
        <v>129</v>
      </c>
      <c r="J2024" t="s">
        <v>150</v>
      </c>
      <c r="L2024">
        <v>0</v>
      </c>
      <c r="M2024" t="s">
        <v>125</v>
      </c>
      <c r="O2024" t="s">
        <v>125</v>
      </c>
      <c r="P2024" t="s">
        <v>125</v>
      </c>
      <c r="Q2024" t="s">
        <v>125</v>
      </c>
      <c r="R2024" t="s">
        <v>125</v>
      </c>
      <c r="S2024" t="s">
        <v>125</v>
      </c>
      <c r="T2024">
        <v>0</v>
      </c>
      <c r="V2024" t="s">
        <v>125</v>
      </c>
      <c r="AE2024" t="s">
        <v>125</v>
      </c>
      <c r="AF2024">
        <v>0</v>
      </c>
      <c r="AG2024" t="s">
        <v>125</v>
      </c>
      <c r="AH2024">
        <v>0</v>
      </c>
      <c r="AK2024">
        <v>0</v>
      </c>
    </row>
    <row r="2025" spans="1:37" x14ac:dyDescent="0.25">
      <c r="A2025" t="s">
        <v>79</v>
      </c>
      <c r="B2025">
        <v>8</v>
      </c>
      <c r="C2025">
        <v>2</v>
      </c>
      <c r="D2025">
        <v>4</v>
      </c>
      <c r="E2025">
        <v>11</v>
      </c>
      <c r="G2025">
        <v>824</v>
      </c>
      <c r="H2025" t="s">
        <v>63</v>
      </c>
      <c r="I2025" t="s">
        <v>131</v>
      </c>
      <c r="J2025" t="s">
        <v>151</v>
      </c>
      <c r="L2025">
        <v>0</v>
      </c>
      <c r="M2025" t="s">
        <v>125</v>
      </c>
      <c r="O2025" t="s">
        <v>125</v>
      </c>
      <c r="P2025" t="s">
        <v>125</v>
      </c>
      <c r="Q2025" t="s">
        <v>125</v>
      </c>
      <c r="R2025" t="s">
        <v>125</v>
      </c>
      <c r="S2025" t="s">
        <v>125</v>
      </c>
      <c r="T2025">
        <v>0</v>
      </c>
      <c r="V2025" t="s">
        <v>125</v>
      </c>
      <c r="AE2025" t="s">
        <v>125</v>
      </c>
      <c r="AF2025">
        <v>0</v>
      </c>
      <c r="AG2025" t="s">
        <v>125</v>
      </c>
      <c r="AH2025">
        <v>0</v>
      </c>
      <c r="AK2025">
        <v>0</v>
      </c>
    </row>
    <row r="2026" spans="1:37" x14ac:dyDescent="0.25">
      <c r="A2026" t="s">
        <v>79</v>
      </c>
      <c r="B2026">
        <v>8</v>
      </c>
      <c r="C2026">
        <v>2</v>
      </c>
      <c r="D2026">
        <v>4</v>
      </c>
      <c r="E2026">
        <v>12</v>
      </c>
      <c r="G2026">
        <v>824</v>
      </c>
      <c r="H2026" t="s">
        <v>63</v>
      </c>
      <c r="I2026" t="s">
        <v>133</v>
      </c>
      <c r="J2026" t="s">
        <v>152</v>
      </c>
      <c r="L2026">
        <v>0</v>
      </c>
      <c r="M2026" t="s">
        <v>125</v>
      </c>
      <c r="O2026" t="s">
        <v>125</v>
      </c>
      <c r="P2026" t="s">
        <v>125</v>
      </c>
      <c r="Q2026" t="s">
        <v>125</v>
      </c>
      <c r="R2026" t="s">
        <v>125</v>
      </c>
      <c r="S2026" t="s">
        <v>125</v>
      </c>
      <c r="T2026">
        <v>0</v>
      </c>
      <c r="V2026" t="s">
        <v>125</v>
      </c>
      <c r="AE2026" t="s">
        <v>125</v>
      </c>
      <c r="AF2026">
        <v>0</v>
      </c>
      <c r="AG2026" t="s">
        <v>125</v>
      </c>
      <c r="AH2026">
        <v>0</v>
      </c>
      <c r="AK2026">
        <v>0</v>
      </c>
    </row>
    <row r="2027" spans="1:37" x14ac:dyDescent="0.25">
      <c r="A2027" t="s">
        <v>79</v>
      </c>
      <c r="B2027">
        <v>8</v>
      </c>
      <c r="C2027">
        <v>2</v>
      </c>
      <c r="D2027">
        <v>4</v>
      </c>
      <c r="E2027">
        <v>13</v>
      </c>
      <c r="G2027">
        <v>824</v>
      </c>
      <c r="H2027" t="s">
        <v>63</v>
      </c>
      <c r="I2027" t="s">
        <v>135</v>
      </c>
      <c r="J2027" t="s">
        <v>153</v>
      </c>
      <c r="L2027">
        <v>0</v>
      </c>
      <c r="M2027" t="s">
        <v>125</v>
      </c>
      <c r="O2027" t="s">
        <v>125</v>
      </c>
      <c r="P2027" t="s">
        <v>125</v>
      </c>
      <c r="Q2027" t="s">
        <v>125</v>
      </c>
      <c r="R2027" t="s">
        <v>125</v>
      </c>
      <c r="S2027" t="s">
        <v>125</v>
      </c>
      <c r="T2027">
        <v>0</v>
      </c>
      <c r="V2027" t="s">
        <v>125</v>
      </c>
      <c r="AE2027" t="s">
        <v>125</v>
      </c>
      <c r="AF2027">
        <v>0</v>
      </c>
      <c r="AG2027" t="s">
        <v>125</v>
      </c>
      <c r="AH2027">
        <v>0</v>
      </c>
      <c r="AK2027">
        <v>0</v>
      </c>
    </row>
    <row r="2028" spans="1:37" x14ac:dyDescent="0.25">
      <c r="A2028" t="s">
        <v>79</v>
      </c>
      <c r="B2028">
        <v>8</v>
      </c>
      <c r="C2028">
        <v>2</v>
      </c>
      <c r="D2028">
        <v>4</v>
      </c>
      <c r="E2028">
        <v>14</v>
      </c>
      <c r="G2028">
        <v>824</v>
      </c>
      <c r="H2028" t="s">
        <v>63</v>
      </c>
      <c r="I2028" t="s">
        <v>137</v>
      </c>
      <c r="J2028" t="s">
        <v>154</v>
      </c>
      <c r="L2028">
        <v>0</v>
      </c>
      <c r="M2028" t="s">
        <v>125</v>
      </c>
      <c r="O2028" t="s">
        <v>125</v>
      </c>
      <c r="P2028" t="s">
        <v>125</v>
      </c>
      <c r="Q2028" t="s">
        <v>125</v>
      </c>
      <c r="R2028" t="s">
        <v>125</v>
      </c>
      <c r="S2028" t="s">
        <v>125</v>
      </c>
      <c r="T2028">
        <v>0</v>
      </c>
      <c r="V2028" t="s">
        <v>125</v>
      </c>
      <c r="AE2028" t="s">
        <v>125</v>
      </c>
      <c r="AF2028">
        <v>0</v>
      </c>
      <c r="AG2028" t="s">
        <v>125</v>
      </c>
      <c r="AH2028">
        <v>0</v>
      </c>
      <c r="AK2028">
        <v>0</v>
      </c>
    </row>
    <row r="2029" spans="1:37" x14ac:dyDescent="0.25">
      <c r="A2029" t="s">
        <v>79</v>
      </c>
      <c r="B2029">
        <v>8</v>
      </c>
      <c r="C2029">
        <v>2</v>
      </c>
      <c r="D2029">
        <v>4</v>
      </c>
      <c r="E2029">
        <v>15</v>
      </c>
      <c r="G2029">
        <v>824</v>
      </c>
      <c r="H2029" t="s">
        <v>63</v>
      </c>
      <c r="I2029" t="s">
        <v>139</v>
      </c>
      <c r="J2029" t="s">
        <v>155</v>
      </c>
      <c r="L2029">
        <v>0</v>
      </c>
      <c r="M2029" t="s">
        <v>125</v>
      </c>
      <c r="O2029" t="s">
        <v>125</v>
      </c>
      <c r="P2029" t="s">
        <v>125</v>
      </c>
      <c r="Q2029" t="s">
        <v>125</v>
      </c>
      <c r="R2029" t="s">
        <v>125</v>
      </c>
      <c r="S2029" t="s">
        <v>125</v>
      </c>
      <c r="T2029">
        <v>0</v>
      </c>
      <c r="V2029" t="s">
        <v>125</v>
      </c>
      <c r="AE2029" t="s">
        <v>125</v>
      </c>
      <c r="AF2029">
        <v>0</v>
      </c>
      <c r="AG2029" t="s">
        <v>125</v>
      </c>
      <c r="AH2029">
        <v>0</v>
      </c>
      <c r="AK2029">
        <v>0</v>
      </c>
    </row>
    <row r="2030" spans="1:37" x14ac:dyDescent="0.25">
      <c r="L2030">
        <v>0</v>
      </c>
    </row>
    <row r="2031" spans="1:37" x14ac:dyDescent="0.25">
      <c r="A2031" t="s">
        <v>70</v>
      </c>
      <c r="B2031">
        <v>8</v>
      </c>
      <c r="C2031">
        <v>2</v>
      </c>
      <c r="D2031">
        <v>5</v>
      </c>
      <c r="G2031">
        <v>82</v>
      </c>
      <c r="L2031">
        <v>0</v>
      </c>
      <c r="M2031" t="s">
        <v>125</v>
      </c>
      <c r="P2031" t="s">
        <v>125</v>
      </c>
      <c r="R2031" t="s">
        <v>125</v>
      </c>
      <c r="S2031" t="s">
        <v>63</v>
      </c>
      <c r="V2031" t="s">
        <v>125</v>
      </c>
      <c r="X2031" t="s">
        <v>125</v>
      </c>
      <c r="Y2031" t="s">
        <v>125</v>
      </c>
      <c r="Z2031" t="s">
        <v>125</v>
      </c>
      <c r="AA2031" t="s">
        <v>125</v>
      </c>
      <c r="AB2031" t="s">
        <v>125</v>
      </c>
      <c r="AC2031" t="s">
        <v>125</v>
      </c>
      <c r="AE2031" t="s">
        <v>125</v>
      </c>
      <c r="AF2031">
        <v>0</v>
      </c>
      <c r="AG2031" t="s">
        <v>125</v>
      </c>
      <c r="AH2031">
        <v>0</v>
      </c>
    </row>
    <row r="2032" spans="1:37" x14ac:dyDescent="0.25">
      <c r="A2032" t="s">
        <v>79</v>
      </c>
      <c r="B2032">
        <v>8</v>
      </c>
      <c r="C2032">
        <v>2</v>
      </c>
      <c r="D2032">
        <v>5</v>
      </c>
      <c r="E2032">
        <v>1</v>
      </c>
      <c r="G2032">
        <v>825</v>
      </c>
      <c r="H2032" t="s">
        <v>63</v>
      </c>
      <c r="I2032" t="s">
        <v>80</v>
      </c>
      <c r="J2032" t="s">
        <v>141</v>
      </c>
      <c r="L2032">
        <v>0</v>
      </c>
      <c r="M2032" t="s">
        <v>125</v>
      </c>
      <c r="O2032" t="s">
        <v>125</v>
      </c>
      <c r="P2032" t="s">
        <v>125</v>
      </c>
      <c r="Q2032" t="s">
        <v>125</v>
      </c>
      <c r="R2032" t="s">
        <v>125</v>
      </c>
      <c r="S2032" t="s">
        <v>125</v>
      </c>
      <c r="T2032">
        <v>0</v>
      </c>
      <c r="V2032" t="s">
        <v>125</v>
      </c>
      <c r="AE2032" t="s">
        <v>125</v>
      </c>
      <c r="AF2032">
        <v>0</v>
      </c>
      <c r="AG2032" t="s">
        <v>125</v>
      </c>
      <c r="AH2032">
        <v>0</v>
      </c>
      <c r="AK2032">
        <v>0</v>
      </c>
    </row>
    <row r="2033" spans="1:37" x14ac:dyDescent="0.25">
      <c r="A2033" t="s">
        <v>79</v>
      </c>
      <c r="B2033">
        <v>8</v>
      </c>
      <c r="C2033">
        <v>2</v>
      </c>
      <c r="D2033">
        <v>5</v>
      </c>
      <c r="E2033">
        <v>2</v>
      </c>
      <c r="G2033">
        <v>825</v>
      </c>
      <c r="H2033" t="s">
        <v>63</v>
      </c>
      <c r="I2033" t="s">
        <v>88</v>
      </c>
      <c r="J2033" t="s">
        <v>142</v>
      </c>
      <c r="L2033">
        <v>0</v>
      </c>
      <c r="M2033" t="s">
        <v>125</v>
      </c>
      <c r="O2033" t="s">
        <v>125</v>
      </c>
      <c r="P2033" t="s">
        <v>125</v>
      </c>
      <c r="Q2033" t="s">
        <v>125</v>
      </c>
      <c r="R2033" t="s">
        <v>125</v>
      </c>
      <c r="S2033" t="s">
        <v>125</v>
      </c>
      <c r="T2033">
        <v>0</v>
      </c>
      <c r="V2033" t="s">
        <v>125</v>
      </c>
      <c r="AE2033" t="s">
        <v>125</v>
      </c>
      <c r="AF2033">
        <v>0</v>
      </c>
      <c r="AG2033" t="s">
        <v>125</v>
      </c>
      <c r="AH2033">
        <v>0</v>
      </c>
      <c r="AK2033">
        <v>0</v>
      </c>
    </row>
    <row r="2034" spans="1:37" x14ac:dyDescent="0.25">
      <c r="A2034" t="s">
        <v>79</v>
      </c>
      <c r="B2034">
        <v>8</v>
      </c>
      <c r="C2034">
        <v>2</v>
      </c>
      <c r="D2034">
        <v>5</v>
      </c>
      <c r="E2034">
        <v>3</v>
      </c>
      <c r="G2034">
        <v>825</v>
      </c>
      <c r="H2034" t="s">
        <v>63</v>
      </c>
      <c r="I2034" t="s">
        <v>95</v>
      </c>
      <c r="J2034" t="s">
        <v>143</v>
      </c>
      <c r="L2034">
        <v>0</v>
      </c>
      <c r="M2034" t="s">
        <v>125</v>
      </c>
      <c r="O2034" t="s">
        <v>125</v>
      </c>
      <c r="P2034" t="s">
        <v>125</v>
      </c>
      <c r="Q2034" t="s">
        <v>125</v>
      </c>
      <c r="R2034" t="s">
        <v>125</v>
      </c>
      <c r="S2034" t="s">
        <v>125</v>
      </c>
      <c r="T2034">
        <v>0</v>
      </c>
      <c r="V2034" t="s">
        <v>125</v>
      </c>
      <c r="AE2034" t="s">
        <v>125</v>
      </c>
      <c r="AF2034">
        <v>0</v>
      </c>
      <c r="AG2034" t="s">
        <v>125</v>
      </c>
      <c r="AH2034">
        <v>0</v>
      </c>
      <c r="AK2034">
        <v>0</v>
      </c>
    </row>
    <row r="2035" spans="1:37" x14ac:dyDescent="0.25">
      <c r="A2035" t="s">
        <v>79</v>
      </c>
      <c r="B2035">
        <v>8</v>
      </c>
      <c r="C2035">
        <v>2</v>
      </c>
      <c r="D2035">
        <v>5</v>
      </c>
      <c r="E2035">
        <v>4</v>
      </c>
      <c r="G2035">
        <v>825</v>
      </c>
      <c r="H2035" t="s">
        <v>63</v>
      </c>
      <c r="I2035" t="s">
        <v>102</v>
      </c>
      <c r="J2035" t="s">
        <v>144</v>
      </c>
      <c r="L2035">
        <v>0</v>
      </c>
      <c r="M2035" t="s">
        <v>125</v>
      </c>
      <c r="O2035" t="s">
        <v>125</v>
      </c>
      <c r="P2035" t="s">
        <v>125</v>
      </c>
      <c r="Q2035" t="s">
        <v>125</v>
      </c>
      <c r="R2035" t="s">
        <v>125</v>
      </c>
      <c r="S2035" t="s">
        <v>125</v>
      </c>
      <c r="T2035">
        <v>0</v>
      </c>
      <c r="V2035" t="s">
        <v>125</v>
      </c>
      <c r="AE2035" t="s">
        <v>125</v>
      </c>
      <c r="AF2035">
        <v>0</v>
      </c>
      <c r="AG2035" t="s">
        <v>125</v>
      </c>
      <c r="AH2035">
        <v>0</v>
      </c>
      <c r="AK2035">
        <v>0</v>
      </c>
    </row>
    <row r="2036" spans="1:37" x14ac:dyDescent="0.25">
      <c r="A2036" t="s">
        <v>79</v>
      </c>
      <c r="B2036">
        <v>8</v>
      </c>
      <c r="C2036">
        <v>2</v>
      </c>
      <c r="D2036">
        <v>5</v>
      </c>
      <c r="E2036">
        <v>5</v>
      </c>
      <c r="G2036">
        <v>825</v>
      </c>
      <c r="H2036" t="s">
        <v>63</v>
      </c>
      <c r="I2036" t="s">
        <v>109</v>
      </c>
      <c r="J2036" t="s">
        <v>145</v>
      </c>
      <c r="L2036">
        <v>0</v>
      </c>
      <c r="M2036" t="s">
        <v>125</v>
      </c>
      <c r="O2036" t="s">
        <v>125</v>
      </c>
      <c r="P2036" t="s">
        <v>125</v>
      </c>
      <c r="Q2036" t="s">
        <v>125</v>
      </c>
      <c r="R2036" t="s">
        <v>125</v>
      </c>
      <c r="S2036" t="s">
        <v>125</v>
      </c>
      <c r="T2036">
        <v>0</v>
      </c>
      <c r="V2036" t="s">
        <v>125</v>
      </c>
      <c r="AE2036" t="s">
        <v>125</v>
      </c>
      <c r="AF2036">
        <v>0</v>
      </c>
      <c r="AG2036" t="s">
        <v>125</v>
      </c>
      <c r="AH2036">
        <v>0</v>
      </c>
      <c r="AK2036">
        <v>0</v>
      </c>
    </row>
    <row r="2037" spans="1:37" x14ac:dyDescent="0.25">
      <c r="A2037" t="s">
        <v>79</v>
      </c>
      <c r="B2037">
        <v>8</v>
      </c>
      <c r="C2037">
        <v>2</v>
      </c>
      <c r="D2037">
        <v>5</v>
      </c>
      <c r="E2037">
        <v>6</v>
      </c>
      <c r="G2037">
        <v>825</v>
      </c>
      <c r="H2037" t="s">
        <v>63</v>
      </c>
      <c r="I2037" t="s">
        <v>116</v>
      </c>
      <c r="J2037" t="s">
        <v>146</v>
      </c>
      <c r="L2037">
        <v>0</v>
      </c>
      <c r="M2037" t="s">
        <v>125</v>
      </c>
      <c r="O2037" t="s">
        <v>125</v>
      </c>
      <c r="P2037" t="s">
        <v>125</v>
      </c>
      <c r="Q2037" t="s">
        <v>125</v>
      </c>
      <c r="R2037" t="s">
        <v>125</v>
      </c>
      <c r="S2037" t="s">
        <v>125</v>
      </c>
      <c r="T2037">
        <v>0</v>
      </c>
      <c r="V2037" t="s">
        <v>125</v>
      </c>
      <c r="AE2037" t="s">
        <v>125</v>
      </c>
      <c r="AF2037">
        <v>0</v>
      </c>
      <c r="AG2037" t="s">
        <v>125</v>
      </c>
      <c r="AH2037">
        <v>0</v>
      </c>
      <c r="AK2037">
        <v>0</v>
      </c>
    </row>
    <row r="2038" spans="1:37" x14ac:dyDescent="0.25">
      <c r="A2038" t="s">
        <v>79</v>
      </c>
      <c r="B2038">
        <v>8</v>
      </c>
      <c r="C2038">
        <v>2</v>
      </c>
      <c r="D2038">
        <v>5</v>
      </c>
      <c r="E2038">
        <v>7</v>
      </c>
      <c r="G2038">
        <v>825</v>
      </c>
      <c r="H2038" t="s">
        <v>63</v>
      </c>
      <c r="I2038" t="s">
        <v>123</v>
      </c>
      <c r="J2038" t="s">
        <v>147</v>
      </c>
      <c r="L2038">
        <v>0</v>
      </c>
      <c r="M2038" t="s">
        <v>125</v>
      </c>
      <c r="O2038" t="s">
        <v>125</v>
      </c>
      <c r="P2038" t="s">
        <v>125</v>
      </c>
      <c r="Q2038" t="s">
        <v>125</v>
      </c>
      <c r="R2038" t="s">
        <v>125</v>
      </c>
      <c r="S2038" t="s">
        <v>125</v>
      </c>
      <c r="T2038">
        <v>0</v>
      </c>
      <c r="V2038" t="s">
        <v>125</v>
      </c>
      <c r="AE2038" t="s">
        <v>125</v>
      </c>
      <c r="AF2038">
        <v>0</v>
      </c>
      <c r="AG2038" t="s">
        <v>125</v>
      </c>
      <c r="AH2038">
        <v>0</v>
      </c>
      <c r="AK2038">
        <v>0</v>
      </c>
    </row>
    <row r="2039" spans="1:37" x14ac:dyDescent="0.25">
      <c r="A2039" t="s">
        <v>79</v>
      </c>
      <c r="B2039">
        <v>8</v>
      </c>
      <c r="C2039">
        <v>2</v>
      </c>
      <c r="D2039">
        <v>5</v>
      </c>
      <c r="E2039">
        <v>8</v>
      </c>
      <c r="G2039">
        <v>825</v>
      </c>
      <c r="H2039" t="s">
        <v>63</v>
      </c>
      <c r="I2039" t="s">
        <v>126</v>
      </c>
      <c r="J2039" t="s">
        <v>148</v>
      </c>
      <c r="L2039">
        <v>0</v>
      </c>
      <c r="M2039" t="s">
        <v>125</v>
      </c>
      <c r="O2039" t="s">
        <v>125</v>
      </c>
      <c r="P2039" t="s">
        <v>125</v>
      </c>
      <c r="Q2039" t="s">
        <v>125</v>
      </c>
      <c r="R2039" t="s">
        <v>125</v>
      </c>
      <c r="S2039" t="s">
        <v>125</v>
      </c>
      <c r="T2039">
        <v>0</v>
      </c>
      <c r="V2039" t="s">
        <v>125</v>
      </c>
      <c r="AE2039" t="s">
        <v>125</v>
      </c>
      <c r="AF2039">
        <v>0</v>
      </c>
      <c r="AG2039" t="s">
        <v>125</v>
      </c>
      <c r="AH2039">
        <v>0</v>
      </c>
      <c r="AK2039">
        <v>0</v>
      </c>
    </row>
    <row r="2040" spans="1:37" x14ac:dyDescent="0.25">
      <c r="A2040" t="s">
        <v>79</v>
      </c>
      <c r="B2040">
        <v>8</v>
      </c>
      <c r="C2040">
        <v>2</v>
      </c>
      <c r="D2040">
        <v>5</v>
      </c>
      <c r="E2040">
        <v>9</v>
      </c>
      <c r="G2040">
        <v>825</v>
      </c>
      <c r="H2040" t="s">
        <v>63</v>
      </c>
      <c r="I2040" t="s">
        <v>74</v>
      </c>
      <c r="J2040" t="s">
        <v>149</v>
      </c>
      <c r="L2040">
        <v>0</v>
      </c>
      <c r="M2040" t="s">
        <v>125</v>
      </c>
      <c r="O2040" t="s">
        <v>125</v>
      </c>
      <c r="P2040" t="s">
        <v>125</v>
      </c>
      <c r="Q2040" t="s">
        <v>125</v>
      </c>
      <c r="R2040" t="s">
        <v>125</v>
      </c>
      <c r="S2040" t="s">
        <v>125</v>
      </c>
      <c r="T2040">
        <v>0</v>
      </c>
      <c r="V2040" t="s">
        <v>125</v>
      </c>
      <c r="AE2040" t="s">
        <v>125</v>
      </c>
      <c r="AF2040">
        <v>0</v>
      </c>
      <c r="AG2040" t="s">
        <v>125</v>
      </c>
      <c r="AH2040">
        <v>0</v>
      </c>
      <c r="AK2040">
        <v>0</v>
      </c>
    </row>
    <row r="2041" spans="1:37" x14ac:dyDescent="0.25">
      <c r="A2041" t="s">
        <v>79</v>
      </c>
      <c r="B2041">
        <v>8</v>
      </c>
      <c r="C2041">
        <v>2</v>
      </c>
      <c r="D2041">
        <v>5</v>
      </c>
      <c r="E2041">
        <v>10</v>
      </c>
      <c r="G2041">
        <v>825</v>
      </c>
      <c r="H2041" t="s">
        <v>63</v>
      </c>
      <c r="I2041" t="s">
        <v>129</v>
      </c>
      <c r="J2041" t="s">
        <v>150</v>
      </c>
      <c r="L2041">
        <v>0</v>
      </c>
      <c r="M2041" t="s">
        <v>125</v>
      </c>
      <c r="O2041" t="s">
        <v>125</v>
      </c>
      <c r="P2041" t="s">
        <v>125</v>
      </c>
      <c r="Q2041" t="s">
        <v>125</v>
      </c>
      <c r="R2041" t="s">
        <v>125</v>
      </c>
      <c r="S2041" t="s">
        <v>125</v>
      </c>
      <c r="T2041">
        <v>0</v>
      </c>
      <c r="V2041" t="s">
        <v>125</v>
      </c>
      <c r="AE2041" t="s">
        <v>125</v>
      </c>
      <c r="AF2041">
        <v>0</v>
      </c>
      <c r="AG2041" t="s">
        <v>125</v>
      </c>
      <c r="AH2041">
        <v>0</v>
      </c>
      <c r="AK2041">
        <v>0</v>
      </c>
    </row>
    <row r="2042" spans="1:37" x14ac:dyDescent="0.25">
      <c r="A2042" t="s">
        <v>79</v>
      </c>
      <c r="B2042">
        <v>8</v>
      </c>
      <c r="C2042">
        <v>2</v>
      </c>
      <c r="D2042">
        <v>5</v>
      </c>
      <c r="E2042">
        <v>11</v>
      </c>
      <c r="G2042">
        <v>825</v>
      </c>
      <c r="H2042" t="s">
        <v>63</v>
      </c>
      <c r="I2042" t="s">
        <v>131</v>
      </c>
      <c r="J2042" t="s">
        <v>151</v>
      </c>
      <c r="L2042">
        <v>0</v>
      </c>
      <c r="M2042" t="s">
        <v>125</v>
      </c>
      <c r="O2042" t="s">
        <v>125</v>
      </c>
      <c r="P2042" t="s">
        <v>125</v>
      </c>
      <c r="Q2042" t="s">
        <v>125</v>
      </c>
      <c r="R2042" t="s">
        <v>125</v>
      </c>
      <c r="S2042" t="s">
        <v>125</v>
      </c>
      <c r="T2042">
        <v>0</v>
      </c>
      <c r="V2042" t="s">
        <v>125</v>
      </c>
      <c r="AE2042" t="s">
        <v>125</v>
      </c>
      <c r="AF2042">
        <v>0</v>
      </c>
      <c r="AG2042" t="s">
        <v>125</v>
      </c>
      <c r="AH2042">
        <v>0</v>
      </c>
      <c r="AK2042">
        <v>0</v>
      </c>
    </row>
    <row r="2043" spans="1:37" x14ac:dyDescent="0.25">
      <c r="A2043" t="s">
        <v>79</v>
      </c>
      <c r="B2043">
        <v>8</v>
      </c>
      <c r="C2043">
        <v>2</v>
      </c>
      <c r="D2043">
        <v>5</v>
      </c>
      <c r="E2043">
        <v>12</v>
      </c>
      <c r="G2043">
        <v>825</v>
      </c>
      <c r="H2043" t="s">
        <v>63</v>
      </c>
      <c r="I2043" t="s">
        <v>133</v>
      </c>
      <c r="J2043" t="s">
        <v>152</v>
      </c>
      <c r="L2043">
        <v>0</v>
      </c>
      <c r="M2043" t="s">
        <v>125</v>
      </c>
      <c r="O2043" t="s">
        <v>125</v>
      </c>
      <c r="P2043" t="s">
        <v>125</v>
      </c>
      <c r="Q2043" t="s">
        <v>125</v>
      </c>
      <c r="R2043" t="s">
        <v>125</v>
      </c>
      <c r="S2043" t="s">
        <v>125</v>
      </c>
      <c r="T2043">
        <v>0</v>
      </c>
      <c r="V2043" t="s">
        <v>125</v>
      </c>
      <c r="AE2043" t="s">
        <v>125</v>
      </c>
      <c r="AF2043">
        <v>0</v>
      </c>
      <c r="AG2043" t="s">
        <v>125</v>
      </c>
      <c r="AH2043">
        <v>0</v>
      </c>
      <c r="AK2043">
        <v>0</v>
      </c>
    </row>
    <row r="2044" spans="1:37" x14ac:dyDescent="0.25">
      <c r="A2044" t="s">
        <v>79</v>
      </c>
      <c r="B2044">
        <v>8</v>
      </c>
      <c r="C2044">
        <v>2</v>
      </c>
      <c r="D2044">
        <v>5</v>
      </c>
      <c r="E2044">
        <v>13</v>
      </c>
      <c r="G2044">
        <v>825</v>
      </c>
      <c r="H2044" t="s">
        <v>63</v>
      </c>
      <c r="I2044" t="s">
        <v>135</v>
      </c>
      <c r="J2044" t="s">
        <v>153</v>
      </c>
      <c r="L2044">
        <v>0</v>
      </c>
      <c r="M2044" t="s">
        <v>125</v>
      </c>
      <c r="O2044" t="s">
        <v>125</v>
      </c>
      <c r="P2044" t="s">
        <v>125</v>
      </c>
      <c r="Q2044" t="s">
        <v>125</v>
      </c>
      <c r="R2044" t="s">
        <v>125</v>
      </c>
      <c r="S2044" t="s">
        <v>125</v>
      </c>
      <c r="T2044">
        <v>0</v>
      </c>
      <c r="V2044" t="s">
        <v>125</v>
      </c>
      <c r="AE2044" t="s">
        <v>125</v>
      </c>
      <c r="AF2044">
        <v>0</v>
      </c>
      <c r="AG2044" t="s">
        <v>125</v>
      </c>
      <c r="AH2044">
        <v>0</v>
      </c>
      <c r="AK2044">
        <v>0</v>
      </c>
    </row>
    <row r="2045" spans="1:37" x14ac:dyDescent="0.25">
      <c r="A2045" t="s">
        <v>79</v>
      </c>
      <c r="B2045">
        <v>8</v>
      </c>
      <c r="C2045">
        <v>2</v>
      </c>
      <c r="D2045">
        <v>5</v>
      </c>
      <c r="E2045">
        <v>14</v>
      </c>
      <c r="G2045">
        <v>825</v>
      </c>
      <c r="H2045" t="s">
        <v>63</v>
      </c>
      <c r="I2045" t="s">
        <v>137</v>
      </c>
      <c r="J2045" t="s">
        <v>154</v>
      </c>
      <c r="L2045">
        <v>0</v>
      </c>
      <c r="M2045" t="s">
        <v>125</v>
      </c>
      <c r="O2045" t="s">
        <v>125</v>
      </c>
      <c r="P2045" t="s">
        <v>125</v>
      </c>
      <c r="Q2045" t="s">
        <v>125</v>
      </c>
      <c r="R2045" t="s">
        <v>125</v>
      </c>
      <c r="S2045" t="s">
        <v>125</v>
      </c>
      <c r="T2045">
        <v>0</v>
      </c>
      <c r="V2045" t="s">
        <v>125</v>
      </c>
      <c r="AE2045" t="s">
        <v>125</v>
      </c>
      <c r="AF2045">
        <v>0</v>
      </c>
      <c r="AG2045" t="s">
        <v>125</v>
      </c>
      <c r="AH2045">
        <v>0</v>
      </c>
      <c r="AK2045">
        <v>0</v>
      </c>
    </row>
    <row r="2046" spans="1:37" x14ac:dyDescent="0.25">
      <c r="A2046" t="s">
        <v>79</v>
      </c>
      <c r="B2046">
        <v>8</v>
      </c>
      <c r="C2046">
        <v>2</v>
      </c>
      <c r="D2046">
        <v>5</v>
      </c>
      <c r="E2046">
        <v>15</v>
      </c>
      <c r="G2046">
        <v>825</v>
      </c>
      <c r="H2046" t="s">
        <v>63</v>
      </c>
      <c r="I2046" t="s">
        <v>139</v>
      </c>
      <c r="J2046" t="s">
        <v>155</v>
      </c>
      <c r="L2046">
        <v>0</v>
      </c>
      <c r="M2046" t="s">
        <v>125</v>
      </c>
      <c r="O2046" t="s">
        <v>125</v>
      </c>
      <c r="P2046" t="s">
        <v>125</v>
      </c>
      <c r="Q2046" t="s">
        <v>125</v>
      </c>
      <c r="R2046" t="s">
        <v>125</v>
      </c>
      <c r="S2046" t="s">
        <v>125</v>
      </c>
      <c r="T2046">
        <v>0</v>
      </c>
      <c r="V2046" t="s">
        <v>125</v>
      </c>
      <c r="AE2046" t="s">
        <v>125</v>
      </c>
      <c r="AF2046">
        <v>0</v>
      </c>
      <c r="AG2046" t="s">
        <v>125</v>
      </c>
      <c r="AH2046">
        <v>0</v>
      </c>
      <c r="AK2046">
        <v>0</v>
      </c>
    </row>
    <row r="2047" spans="1:37" x14ac:dyDescent="0.25">
      <c r="L2047">
        <v>0</v>
      </c>
    </row>
    <row r="2048" spans="1:37" x14ac:dyDescent="0.25">
      <c r="L2048">
        <v>0</v>
      </c>
    </row>
    <row r="2049" spans="1:37" x14ac:dyDescent="0.25">
      <c r="A2049" t="s">
        <v>66</v>
      </c>
      <c r="B2049">
        <v>8</v>
      </c>
      <c r="C2049">
        <v>3</v>
      </c>
      <c r="G2049">
        <v>8</v>
      </c>
      <c r="H2049" t="s">
        <v>2707</v>
      </c>
      <c r="I2049" t="s">
        <v>2875</v>
      </c>
      <c r="M2049" t="s">
        <v>2876</v>
      </c>
      <c r="N2049" t="s">
        <v>2875</v>
      </c>
      <c r="P2049" t="s">
        <v>2877</v>
      </c>
      <c r="V2049" t="s">
        <v>2878</v>
      </c>
      <c r="Y2049" t="s">
        <v>2879</v>
      </c>
      <c r="AA2049" t="s">
        <v>2880</v>
      </c>
      <c r="AC2049" t="s">
        <v>63</v>
      </c>
      <c r="AE2049" t="s">
        <v>2881</v>
      </c>
      <c r="AF2049">
        <v>0</v>
      </c>
      <c r="AG2049" t="s">
        <v>2882</v>
      </c>
      <c r="AH2049">
        <v>0</v>
      </c>
      <c r="AK2049">
        <v>0</v>
      </c>
    </row>
    <row r="2050" spans="1:37" x14ac:dyDescent="0.25">
      <c r="L2050">
        <v>0</v>
      </c>
    </row>
    <row r="2051" spans="1:37" x14ac:dyDescent="0.25">
      <c r="A2051" t="s">
        <v>70</v>
      </c>
      <c r="B2051">
        <v>8</v>
      </c>
      <c r="C2051">
        <v>3</v>
      </c>
      <c r="D2051">
        <v>1</v>
      </c>
      <c r="G2051">
        <v>83</v>
      </c>
      <c r="M2051" t="s">
        <v>2883</v>
      </c>
      <c r="O2051" t="s">
        <v>2884</v>
      </c>
      <c r="P2051" t="s">
        <v>2885</v>
      </c>
      <c r="Q2051" t="s">
        <v>2886</v>
      </c>
      <c r="R2051" t="s">
        <v>382</v>
      </c>
      <c r="S2051" t="s">
        <v>2887</v>
      </c>
      <c r="V2051" t="s">
        <v>2878</v>
      </c>
      <c r="X2051" t="s">
        <v>2888</v>
      </c>
      <c r="Y2051" t="s">
        <v>2879</v>
      </c>
      <c r="Z2051" t="s">
        <v>2889</v>
      </c>
      <c r="AA2051" t="s">
        <v>2880</v>
      </c>
      <c r="AB2051" t="s">
        <v>63</v>
      </c>
      <c r="AC2051" t="s">
        <v>63</v>
      </c>
      <c r="AE2051" t="s">
        <v>2881</v>
      </c>
      <c r="AF2051">
        <v>0</v>
      </c>
      <c r="AG2051" t="s">
        <v>2882</v>
      </c>
      <c r="AH2051">
        <v>0</v>
      </c>
      <c r="AK2051">
        <v>0</v>
      </c>
    </row>
    <row r="2052" spans="1:37" x14ac:dyDescent="0.25">
      <c r="A2052" t="s">
        <v>79</v>
      </c>
      <c r="B2052">
        <v>8</v>
      </c>
      <c r="C2052">
        <v>3</v>
      </c>
      <c r="D2052">
        <v>1</v>
      </c>
      <c r="E2052">
        <v>1</v>
      </c>
      <c r="G2052">
        <v>831</v>
      </c>
      <c r="H2052" t="s">
        <v>2884</v>
      </c>
      <c r="I2052" t="s">
        <v>80</v>
      </c>
      <c r="J2052" t="s">
        <v>2890</v>
      </c>
      <c r="L2052">
        <v>0</v>
      </c>
      <c r="M2052" t="s">
        <v>2891</v>
      </c>
      <c r="O2052" t="s">
        <v>2892</v>
      </c>
      <c r="P2052" t="s">
        <v>2893</v>
      </c>
      <c r="Q2052" t="s">
        <v>139</v>
      </c>
      <c r="R2052" t="s">
        <v>382</v>
      </c>
      <c r="S2052" t="s">
        <v>2894</v>
      </c>
      <c r="T2052">
        <v>25</v>
      </c>
      <c r="U2052">
        <v>400</v>
      </c>
      <c r="V2052" t="s">
        <v>2895</v>
      </c>
      <c r="AE2052" t="s">
        <v>2896</v>
      </c>
      <c r="AF2052">
        <v>0</v>
      </c>
      <c r="AG2052" t="s">
        <v>2897</v>
      </c>
      <c r="AH2052">
        <v>0</v>
      </c>
      <c r="AK2052">
        <v>0</v>
      </c>
    </row>
    <row r="2053" spans="1:37" x14ac:dyDescent="0.25">
      <c r="A2053" t="s">
        <v>79</v>
      </c>
      <c r="B2053">
        <v>8</v>
      </c>
      <c r="C2053">
        <v>3</v>
      </c>
      <c r="D2053">
        <v>1</v>
      </c>
      <c r="E2053">
        <v>2</v>
      </c>
      <c r="G2053">
        <v>831</v>
      </c>
      <c r="H2053" t="s">
        <v>2884</v>
      </c>
      <c r="I2053" t="s">
        <v>88</v>
      </c>
      <c r="J2053" t="s">
        <v>2898</v>
      </c>
      <c r="L2053">
        <v>0</v>
      </c>
      <c r="M2053" t="s">
        <v>2899</v>
      </c>
      <c r="O2053" t="s">
        <v>2900</v>
      </c>
      <c r="P2053" t="s">
        <v>2901</v>
      </c>
      <c r="Q2053" t="s">
        <v>2902</v>
      </c>
      <c r="R2053" t="s">
        <v>382</v>
      </c>
      <c r="S2053" t="s">
        <v>2903</v>
      </c>
      <c r="T2053">
        <v>25</v>
      </c>
      <c r="U2053">
        <v>44</v>
      </c>
      <c r="V2053" t="s">
        <v>2904</v>
      </c>
      <c r="AE2053" t="s">
        <v>2905</v>
      </c>
      <c r="AF2053">
        <v>0</v>
      </c>
      <c r="AG2053" t="s">
        <v>2906</v>
      </c>
      <c r="AH2053">
        <v>0</v>
      </c>
      <c r="AK2053">
        <v>0</v>
      </c>
    </row>
    <row r="2054" spans="1:37" x14ac:dyDescent="0.25">
      <c r="A2054" t="s">
        <v>79</v>
      </c>
      <c r="B2054">
        <v>8</v>
      </c>
      <c r="C2054">
        <v>3</v>
      </c>
      <c r="D2054">
        <v>1</v>
      </c>
      <c r="E2054">
        <v>3</v>
      </c>
      <c r="G2054">
        <v>831</v>
      </c>
      <c r="H2054" t="s">
        <v>2884</v>
      </c>
      <c r="I2054" t="s">
        <v>95</v>
      </c>
      <c r="J2054" t="s">
        <v>2907</v>
      </c>
      <c r="L2054">
        <v>0</v>
      </c>
      <c r="M2054" t="s">
        <v>2908</v>
      </c>
      <c r="O2054" t="s">
        <v>2909</v>
      </c>
      <c r="P2054" t="s">
        <v>2910</v>
      </c>
      <c r="Q2054" t="s">
        <v>88</v>
      </c>
      <c r="R2054" t="s">
        <v>382</v>
      </c>
      <c r="S2054" t="s">
        <v>2911</v>
      </c>
      <c r="T2054">
        <v>25</v>
      </c>
      <c r="U2054">
        <v>75</v>
      </c>
      <c r="V2054" t="s">
        <v>2912</v>
      </c>
      <c r="AE2054" t="s">
        <v>2913</v>
      </c>
      <c r="AF2054">
        <v>0</v>
      </c>
      <c r="AG2054" t="s">
        <v>2914</v>
      </c>
      <c r="AH2054">
        <v>0</v>
      </c>
      <c r="AK2054">
        <v>0</v>
      </c>
    </row>
    <row r="2055" spans="1:37" x14ac:dyDescent="0.25">
      <c r="A2055" t="s">
        <v>79</v>
      </c>
      <c r="B2055">
        <v>8</v>
      </c>
      <c r="C2055">
        <v>3</v>
      </c>
      <c r="D2055">
        <v>1</v>
      </c>
      <c r="E2055">
        <v>4</v>
      </c>
      <c r="G2055">
        <v>831</v>
      </c>
      <c r="H2055" t="s">
        <v>2884</v>
      </c>
      <c r="I2055" t="s">
        <v>102</v>
      </c>
      <c r="J2055" t="s">
        <v>2915</v>
      </c>
      <c r="L2055">
        <v>0</v>
      </c>
      <c r="M2055" t="s">
        <v>2916</v>
      </c>
      <c r="O2055" t="s">
        <v>2917</v>
      </c>
      <c r="P2055" t="s">
        <v>2918</v>
      </c>
      <c r="Q2055" t="s">
        <v>139</v>
      </c>
      <c r="R2055" t="s">
        <v>382</v>
      </c>
      <c r="S2055" t="s">
        <v>2919</v>
      </c>
      <c r="T2055">
        <v>25</v>
      </c>
      <c r="U2055">
        <v>400</v>
      </c>
      <c r="V2055" t="s">
        <v>2920</v>
      </c>
      <c r="AE2055" t="s">
        <v>2921</v>
      </c>
      <c r="AF2055">
        <v>0</v>
      </c>
      <c r="AG2055" t="s">
        <v>2897</v>
      </c>
      <c r="AH2055">
        <v>0</v>
      </c>
      <c r="AK2055">
        <v>0</v>
      </c>
    </row>
    <row r="2056" spans="1:37" x14ac:dyDescent="0.25">
      <c r="A2056" t="s">
        <v>79</v>
      </c>
      <c r="B2056">
        <v>8</v>
      </c>
      <c r="C2056">
        <v>3</v>
      </c>
      <c r="D2056">
        <v>1</v>
      </c>
      <c r="E2056">
        <v>5</v>
      </c>
      <c r="G2056">
        <v>831</v>
      </c>
      <c r="H2056" t="s">
        <v>2884</v>
      </c>
      <c r="I2056" t="s">
        <v>109</v>
      </c>
      <c r="J2056" t="s">
        <v>2922</v>
      </c>
      <c r="L2056">
        <v>0</v>
      </c>
      <c r="M2056" t="s">
        <v>2923</v>
      </c>
      <c r="O2056" t="s">
        <v>2924</v>
      </c>
      <c r="P2056" t="s">
        <v>2925</v>
      </c>
      <c r="Q2056" t="s">
        <v>2926</v>
      </c>
      <c r="R2056" t="s">
        <v>382</v>
      </c>
      <c r="S2056" t="s">
        <v>2927</v>
      </c>
      <c r="T2056">
        <v>25</v>
      </c>
      <c r="U2056">
        <v>475</v>
      </c>
      <c r="V2056" t="s">
        <v>2928</v>
      </c>
      <c r="AE2056" t="s">
        <v>2929</v>
      </c>
      <c r="AF2056">
        <v>0</v>
      </c>
      <c r="AG2056" t="s">
        <v>2930</v>
      </c>
      <c r="AH2056">
        <v>0</v>
      </c>
      <c r="AK2056">
        <v>0</v>
      </c>
    </row>
    <row r="2057" spans="1:37" x14ac:dyDescent="0.25">
      <c r="A2057" t="s">
        <v>79</v>
      </c>
      <c r="B2057">
        <v>8</v>
      </c>
      <c r="C2057">
        <v>3</v>
      </c>
      <c r="D2057">
        <v>1</v>
      </c>
      <c r="E2057">
        <v>6</v>
      </c>
      <c r="G2057">
        <v>831</v>
      </c>
      <c r="H2057" t="s">
        <v>2884</v>
      </c>
      <c r="I2057" t="s">
        <v>116</v>
      </c>
      <c r="J2057" t="s">
        <v>2931</v>
      </c>
      <c r="L2057">
        <v>0</v>
      </c>
      <c r="M2057" t="s">
        <v>2932</v>
      </c>
      <c r="O2057" t="s">
        <v>2933</v>
      </c>
      <c r="P2057" t="s">
        <v>2934</v>
      </c>
      <c r="Q2057" t="s">
        <v>2935</v>
      </c>
      <c r="R2057" t="s">
        <v>1221</v>
      </c>
      <c r="S2057" t="s">
        <v>2936</v>
      </c>
      <c r="T2057">
        <v>25</v>
      </c>
      <c r="U2057">
        <v>10</v>
      </c>
      <c r="V2057" t="s">
        <v>2937</v>
      </c>
      <c r="AE2057" t="s">
        <v>2938</v>
      </c>
      <c r="AF2057">
        <v>0</v>
      </c>
      <c r="AG2057" t="s">
        <v>2939</v>
      </c>
      <c r="AH2057">
        <v>0</v>
      </c>
      <c r="AK2057">
        <v>0</v>
      </c>
    </row>
    <row r="2058" spans="1:37" x14ac:dyDescent="0.25">
      <c r="A2058" t="s">
        <v>79</v>
      </c>
      <c r="B2058">
        <v>8</v>
      </c>
      <c r="C2058">
        <v>3</v>
      </c>
      <c r="D2058">
        <v>1</v>
      </c>
      <c r="E2058">
        <v>7</v>
      </c>
      <c r="G2058">
        <v>831</v>
      </c>
      <c r="H2058" t="s">
        <v>2884</v>
      </c>
      <c r="I2058" t="s">
        <v>123</v>
      </c>
      <c r="J2058" t="s">
        <v>2940</v>
      </c>
      <c r="L2058">
        <v>0</v>
      </c>
      <c r="M2058" t="s">
        <v>2941</v>
      </c>
      <c r="O2058" t="s">
        <v>2942</v>
      </c>
      <c r="P2058" t="s">
        <v>2943</v>
      </c>
      <c r="Q2058" t="s">
        <v>2944</v>
      </c>
      <c r="R2058" t="s">
        <v>192</v>
      </c>
      <c r="S2058" t="s">
        <v>2945</v>
      </c>
      <c r="T2058">
        <v>25</v>
      </c>
      <c r="U2058">
        <v>281</v>
      </c>
      <c r="V2058" t="s">
        <v>2946</v>
      </c>
      <c r="AE2058" t="s">
        <v>2947</v>
      </c>
      <c r="AF2058">
        <v>0</v>
      </c>
      <c r="AG2058" t="s">
        <v>2948</v>
      </c>
      <c r="AH2058">
        <v>0</v>
      </c>
      <c r="AK2058">
        <v>0</v>
      </c>
    </row>
    <row r="2059" spans="1:37" x14ac:dyDescent="0.25">
      <c r="A2059" t="s">
        <v>79</v>
      </c>
      <c r="B2059">
        <v>8</v>
      </c>
      <c r="C2059">
        <v>3</v>
      </c>
      <c r="D2059">
        <v>1</v>
      </c>
      <c r="E2059">
        <v>8</v>
      </c>
      <c r="G2059">
        <v>831</v>
      </c>
      <c r="H2059" t="s">
        <v>2884</v>
      </c>
      <c r="I2059" t="s">
        <v>126</v>
      </c>
      <c r="J2059" t="s">
        <v>2949</v>
      </c>
      <c r="L2059">
        <v>0</v>
      </c>
      <c r="M2059" t="s">
        <v>2950</v>
      </c>
      <c r="O2059" t="s">
        <v>2951</v>
      </c>
      <c r="P2059" t="s">
        <v>2952</v>
      </c>
      <c r="Q2059" t="s">
        <v>2953</v>
      </c>
      <c r="R2059" t="s">
        <v>382</v>
      </c>
      <c r="S2059" t="s">
        <v>2954</v>
      </c>
      <c r="T2059">
        <v>25</v>
      </c>
      <c r="U2059">
        <v>425</v>
      </c>
      <c r="V2059" t="s">
        <v>2955</v>
      </c>
      <c r="AE2059" t="s">
        <v>2956</v>
      </c>
      <c r="AF2059">
        <v>0</v>
      </c>
      <c r="AG2059" t="s">
        <v>2957</v>
      </c>
      <c r="AH2059">
        <v>0</v>
      </c>
      <c r="AK2059">
        <v>0</v>
      </c>
    </row>
    <row r="2060" spans="1:37" x14ac:dyDescent="0.25">
      <c r="A2060" t="s">
        <v>79</v>
      </c>
      <c r="B2060">
        <v>8</v>
      </c>
      <c r="C2060">
        <v>3</v>
      </c>
      <c r="D2060">
        <v>1</v>
      </c>
      <c r="E2060">
        <v>9</v>
      </c>
      <c r="G2060">
        <v>831</v>
      </c>
      <c r="H2060" t="s">
        <v>2884</v>
      </c>
      <c r="I2060" t="s">
        <v>74</v>
      </c>
      <c r="J2060" t="s">
        <v>2958</v>
      </c>
      <c r="L2060">
        <v>0</v>
      </c>
      <c r="M2060" t="s">
        <v>2959</v>
      </c>
      <c r="O2060" t="s">
        <v>2960</v>
      </c>
      <c r="P2060" t="s">
        <v>2961</v>
      </c>
      <c r="Q2060" t="s">
        <v>2962</v>
      </c>
      <c r="R2060" t="s">
        <v>229</v>
      </c>
      <c r="S2060" t="s">
        <v>2963</v>
      </c>
      <c r="T2060">
        <v>25</v>
      </c>
      <c r="U2060">
        <v>3993</v>
      </c>
      <c r="V2060" t="s">
        <v>2964</v>
      </c>
      <c r="AE2060" t="s">
        <v>2965</v>
      </c>
      <c r="AF2060">
        <v>0</v>
      </c>
      <c r="AG2060" t="s">
        <v>2966</v>
      </c>
      <c r="AH2060">
        <v>0</v>
      </c>
      <c r="AK2060">
        <v>0</v>
      </c>
    </row>
    <row r="2061" spans="1:37" x14ac:dyDescent="0.25">
      <c r="A2061" t="s">
        <v>79</v>
      </c>
      <c r="B2061">
        <v>8</v>
      </c>
      <c r="C2061">
        <v>3</v>
      </c>
      <c r="D2061">
        <v>1</v>
      </c>
      <c r="E2061">
        <v>10</v>
      </c>
      <c r="G2061">
        <v>831</v>
      </c>
      <c r="H2061" t="s">
        <v>2884</v>
      </c>
      <c r="I2061" t="s">
        <v>129</v>
      </c>
      <c r="J2061" t="s">
        <v>2967</v>
      </c>
      <c r="L2061">
        <v>0</v>
      </c>
      <c r="M2061" t="s">
        <v>2968</v>
      </c>
      <c r="O2061" t="s">
        <v>2969</v>
      </c>
      <c r="P2061" t="s">
        <v>2970</v>
      </c>
      <c r="Q2061" t="s">
        <v>2962</v>
      </c>
      <c r="R2061" t="s">
        <v>229</v>
      </c>
      <c r="S2061" t="s">
        <v>2971</v>
      </c>
      <c r="T2061">
        <v>25</v>
      </c>
      <c r="U2061">
        <v>3993</v>
      </c>
      <c r="V2061" t="s">
        <v>2972</v>
      </c>
      <c r="AE2061" t="s">
        <v>2973</v>
      </c>
      <c r="AF2061">
        <v>0</v>
      </c>
      <c r="AG2061" t="s">
        <v>2966</v>
      </c>
      <c r="AH2061">
        <v>0</v>
      </c>
      <c r="AK2061">
        <v>0</v>
      </c>
    </row>
    <row r="2062" spans="1:37" x14ac:dyDescent="0.25">
      <c r="A2062" t="s">
        <v>79</v>
      </c>
      <c r="B2062">
        <v>8</v>
      </c>
      <c r="C2062">
        <v>3</v>
      </c>
      <c r="D2062">
        <v>1</v>
      </c>
      <c r="E2062">
        <v>11</v>
      </c>
      <c r="G2062">
        <v>831</v>
      </c>
      <c r="H2062" t="s">
        <v>2884</v>
      </c>
      <c r="I2062" t="s">
        <v>131</v>
      </c>
      <c r="J2062" t="s">
        <v>2974</v>
      </c>
      <c r="L2062">
        <v>0</v>
      </c>
      <c r="M2062" t="s">
        <v>125</v>
      </c>
      <c r="O2062" t="s">
        <v>125</v>
      </c>
      <c r="P2062" t="s">
        <v>125</v>
      </c>
      <c r="Q2062" t="s">
        <v>125</v>
      </c>
      <c r="R2062" t="s">
        <v>125</v>
      </c>
      <c r="S2062" t="s">
        <v>125</v>
      </c>
      <c r="T2062">
        <v>25</v>
      </c>
      <c r="V2062" t="s">
        <v>125</v>
      </c>
      <c r="AE2062" t="s">
        <v>125</v>
      </c>
      <c r="AF2062">
        <v>0</v>
      </c>
      <c r="AG2062" t="s">
        <v>125</v>
      </c>
      <c r="AH2062">
        <v>0</v>
      </c>
      <c r="AK2062">
        <v>0</v>
      </c>
    </row>
    <row r="2063" spans="1:37" x14ac:dyDescent="0.25">
      <c r="A2063" t="s">
        <v>79</v>
      </c>
      <c r="B2063">
        <v>8</v>
      </c>
      <c r="C2063">
        <v>3</v>
      </c>
      <c r="D2063">
        <v>1</v>
      </c>
      <c r="E2063">
        <v>12</v>
      </c>
      <c r="G2063">
        <v>831</v>
      </c>
      <c r="H2063" t="s">
        <v>2884</v>
      </c>
      <c r="I2063" t="s">
        <v>133</v>
      </c>
      <c r="J2063" t="s">
        <v>2975</v>
      </c>
      <c r="L2063">
        <v>0</v>
      </c>
      <c r="M2063" t="s">
        <v>125</v>
      </c>
      <c r="O2063" t="s">
        <v>125</v>
      </c>
      <c r="P2063" t="s">
        <v>125</v>
      </c>
      <c r="Q2063" t="s">
        <v>125</v>
      </c>
      <c r="R2063" t="s">
        <v>125</v>
      </c>
      <c r="S2063" t="s">
        <v>125</v>
      </c>
      <c r="T2063">
        <v>25</v>
      </c>
      <c r="V2063" t="s">
        <v>125</v>
      </c>
      <c r="AE2063" t="s">
        <v>125</v>
      </c>
      <c r="AF2063">
        <v>0</v>
      </c>
      <c r="AG2063" t="s">
        <v>125</v>
      </c>
      <c r="AH2063">
        <v>0</v>
      </c>
      <c r="AK2063">
        <v>0</v>
      </c>
    </row>
    <row r="2064" spans="1:37" x14ac:dyDescent="0.25">
      <c r="A2064" t="s">
        <v>79</v>
      </c>
      <c r="B2064">
        <v>8</v>
      </c>
      <c r="C2064">
        <v>3</v>
      </c>
      <c r="D2064">
        <v>1</v>
      </c>
      <c r="E2064">
        <v>13</v>
      </c>
      <c r="G2064">
        <v>831</v>
      </c>
      <c r="H2064" t="s">
        <v>2884</v>
      </c>
      <c r="I2064" t="s">
        <v>135</v>
      </c>
      <c r="J2064" t="s">
        <v>2976</v>
      </c>
      <c r="L2064">
        <v>0</v>
      </c>
      <c r="M2064" t="s">
        <v>125</v>
      </c>
      <c r="O2064" t="s">
        <v>125</v>
      </c>
      <c r="P2064" t="s">
        <v>125</v>
      </c>
      <c r="Q2064" t="s">
        <v>125</v>
      </c>
      <c r="R2064" t="s">
        <v>125</v>
      </c>
      <c r="S2064" t="s">
        <v>125</v>
      </c>
      <c r="T2064">
        <v>25</v>
      </c>
      <c r="V2064" t="s">
        <v>125</v>
      </c>
      <c r="AE2064" t="s">
        <v>125</v>
      </c>
      <c r="AF2064">
        <v>0</v>
      </c>
      <c r="AG2064" t="s">
        <v>125</v>
      </c>
      <c r="AH2064">
        <v>0</v>
      </c>
      <c r="AK2064">
        <v>0</v>
      </c>
    </row>
    <row r="2065" spans="1:37" x14ac:dyDescent="0.25">
      <c r="A2065" t="s">
        <v>79</v>
      </c>
      <c r="B2065">
        <v>8</v>
      </c>
      <c r="C2065">
        <v>3</v>
      </c>
      <c r="D2065">
        <v>1</v>
      </c>
      <c r="E2065">
        <v>14</v>
      </c>
      <c r="G2065">
        <v>831</v>
      </c>
      <c r="H2065" t="s">
        <v>2884</v>
      </c>
      <c r="I2065" t="s">
        <v>137</v>
      </c>
      <c r="J2065" t="s">
        <v>2977</v>
      </c>
      <c r="L2065">
        <v>0</v>
      </c>
      <c r="M2065" t="s">
        <v>125</v>
      </c>
      <c r="O2065" t="s">
        <v>125</v>
      </c>
      <c r="P2065" t="s">
        <v>125</v>
      </c>
      <c r="Q2065" t="s">
        <v>125</v>
      </c>
      <c r="R2065" t="s">
        <v>125</v>
      </c>
      <c r="S2065" t="s">
        <v>125</v>
      </c>
      <c r="T2065">
        <v>25</v>
      </c>
      <c r="V2065" t="s">
        <v>125</v>
      </c>
      <c r="AE2065" t="s">
        <v>125</v>
      </c>
      <c r="AF2065">
        <v>0</v>
      </c>
      <c r="AG2065" t="s">
        <v>125</v>
      </c>
      <c r="AH2065">
        <v>0</v>
      </c>
      <c r="AK2065">
        <v>0</v>
      </c>
    </row>
    <row r="2066" spans="1:37" x14ac:dyDescent="0.25">
      <c r="A2066" t="s">
        <v>79</v>
      </c>
      <c r="B2066">
        <v>8</v>
      </c>
      <c r="C2066">
        <v>3</v>
      </c>
      <c r="D2066">
        <v>1</v>
      </c>
      <c r="E2066">
        <v>15</v>
      </c>
      <c r="G2066">
        <v>831</v>
      </c>
      <c r="H2066" t="s">
        <v>2884</v>
      </c>
      <c r="I2066" t="s">
        <v>139</v>
      </c>
      <c r="J2066" t="s">
        <v>2978</v>
      </c>
      <c r="L2066">
        <v>0</v>
      </c>
      <c r="M2066" t="s">
        <v>125</v>
      </c>
      <c r="O2066" t="s">
        <v>125</v>
      </c>
      <c r="P2066" t="s">
        <v>125</v>
      </c>
      <c r="Q2066" t="s">
        <v>125</v>
      </c>
      <c r="R2066" t="s">
        <v>125</v>
      </c>
      <c r="S2066" t="s">
        <v>125</v>
      </c>
      <c r="T2066">
        <v>25</v>
      </c>
      <c r="V2066" t="s">
        <v>125</v>
      </c>
      <c r="AE2066" t="s">
        <v>125</v>
      </c>
      <c r="AF2066">
        <v>0</v>
      </c>
      <c r="AG2066" t="s">
        <v>125</v>
      </c>
      <c r="AH2066">
        <v>0</v>
      </c>
      <c r="AK2066">
        <v>0</v>
      </c>
    </row>
    <row r="2067" spans="1:37" x14ac:dyDescent="0.25">
      <c r="L2067">
        <v>0</v>
      </c>
    </row>
    <row r="2068" spans="1:37" x14ac:dyDescent="0.25">
      <c r="A2068" t="s">
        <v>70</v>
      </c>
      <c r="B2068">
        <v>8</v>
      </c>
      <c r="C2068">
        <v>3</v>
      </c>
      <c r="D2068">
        <v>2</v>
      </c>
      <c r="G2068">
        <v>83</v>
      </c>
      <c r="L2068">
        <v>0</v>
      </c>
      <c r="M2068" t="s">
        <v>125</v>
      </c>
      <c r="P2068" t="s">
        <v>125</v>
      </c>
      <c r="R2068" t="s">
        <v>125</v>
      </c>
      <c r="S2068" t="s">
        <v>63</v>
      </c>
      <c r="V2068" t="s">
        <v>125</v>
      </c>
      <c r="X2068" t="s">
        <v>125</v>
      </c>
      <c r="Y2068" t="s">
        <v>125</v>
      </c>
      <c r="Z2068" t="s">
        <v>125</v>
      </c>
      <c r="AA2068" t="s">
        <v>125</v>
      </c>
      <c r="AB2068" t="s">
        <v>125</v>
      </c>
      <c r="AC2068" t="s">
        <v>125</v>
      </c>
      <c r="AE2068" t="s">
        <v>125</v>
      </c>
      <c r="AF2068">
        <v>0</v>
      </c>
      <c r="AG2068" t="s">
        <v>125</v>
      </c>
      <c r="AH2068">
        <v>0</v>
      </c>
    </row>
    <row r="2069" spans="1:37" x14ac:dyDescent="0.25">
      <c r="A2069" t="s">
        <v>79</v>
      </c>
      <c r="B2069">
        <v>8</v>
      </c>
      <c r="C2069">
        <v>3</v>
      </c>
      <c r="D2069">
        <v>2</v>
      </c>
      <c r="E2069">
        <v>1</v>
      </c>
      <c r="G2069">
        <v>832</v>
      </c>
      <c r="H2069" t="s">
        <v>63</v>
      </c>
      <c r="I2069" t="s">
        <v>80</v>
      </c>
      <c r="J2069" t="s">
        <v>141</v>
      </c>
      <c r="L2069">
        <v>0</v>
      </c>
      <c r="M2069" t="s">
        <v>125</v>
      </c>
      <c r="O2069" t="s">
        <v>125</v>
      </c>
      <c r="P2069" t="s">
        <v>125</v>
      </c>
      <c r="Q2069" t="s">
        <v>125</v>
      </c>
      <c r="R2069" t="s">
        <v>125</v>
      </c>
      <c r="S2069" t="s">
        <v>125</v>
      </c>
      <c r="T2069">
        <v>0</v>
      </c>
      <c r="V2069" t="s">
        <v>125</v>
      </c>
      <c r="AE2069" t="s">
        <v>125</v>
      </c>
      <c r="AF2069">
        <v>0</v>
      </c>
      <c r="AG2069" t="s">
        <v>125</v>
      </c>
      <c r="AH2069">
        <v>0</v>
      </c>
      <c r="AK2069">
        <v>0</v>
      </c>
    </row>
    <row r="2070" spans="1:37" x14ac:dyDescent="0.25">
      <c r="A2070" t="s">
        <v>79</v>
      </c>
      <c r="B2070">
        <v>8</v>
      </c>
      <c r="C2070">
        <v>3</v>
      </c>
      <c r="D2070">
        <v>2</v>
      </c>
      <c r="E2070">
        <v>2</v>
      </c>
      <c r="G2070">
        <v>832</v>
      </c>
      <c r="H2070" t="s">
        <v>63</v>
      </c>
      <c r="I2070" t="s">
        <v>88</v>
      </c>
      <c r="J2070" t="s">
        <v>142</v>
      </c>
      <c r="L2070">
        <v>0</v>
      </c>
      <c r="M2070" t="s">
        <v>125</v>
      </c>
      <c r="O2070" t="s">
        <v>125</v>
      </c>
      <c r="P2070" t="s">
        <v>125</v>
      </c>
      <c r="Q2070" t="s">
        <v>125</v>
      </c>
      <c r="R2070" t="s">
        <v>125</v>
      </c>
      <c r="S2070" t="s">
        <v>125</v>
      </c>
      <c r="T2070">
        <v>0</v>
      </c>
      <c r="V2070" t="s">
        <v>125</v>
      </c>
      <c r="AE2070" t="s">
        <v>125</v>
      </c>
      <c r="AF2070">
        <v>0</v>
      </c>
      <c r="AG2070" t="s">
        <v>125</v>
      </c>
      <c r="AH2070">
        <v>0</v>
      </c>
      <c r="AK2070">
        <v>0</v>
      </c>
    </row>
    <row r="2071" spans="1:37" x14ac:dyDescent="0.25">
      <c r="A2071" t="s">
        <v>79</v>
      </c>
      <c r="B2071">
        <v>8</v>
      </c>
      <c r="C2071">
        <v>3</v>
      </c>
      <c r="D2071">
        <v>2</v>
      </c>
      <c r="E2071">
        <v>3</v>
      </c>
      <c r="G2071">
        <v>832</v>
      </c>
      <c r="H2071" t="s">
        <v>63</v>
      </c>
      <c r="I2071" t="s">
        <v>95</v>
      </c>
      <c r="J2071" t="s">
        <v>143</v>
      </c>
      <c r="L2071">
        <v>0</v>
      </c>
      <c r="M2071" t="s">
        <v>125</v>
      </c>
      <c r="O2071" t="s">
        <v>125</v>
      </c>
      <c r="P2071" t="s">
        <v>125</v>
      </c>
      <c r="Q2071" t="s">
        <v>125</v>
      </c>
      <c r="R2071" t="s">
        <v>125</v>
      </c>
      <c r="S2071" t="s">
        <v>125</v>
      </c>
      <c r="T2071">
        <v>0</v>
      </c>
      <c r="V2071" t="s">
        <v>125</v>
      </c>
      <c r="AE2071" t="s">
        <v>125</v>
      </c>
      <c r="AF2071">
        <v>0</v>
      </c>
      <c r="AG2071" t="s">
        <v>125</v>
      </c>
      <c r="AH2071">
        <v>0</v>
      </c>
      <c r="AK2071">
        <v>0</v>
      </c>
    </row>
    <row r="2072" spans="1:37" x14ac:dyDescent="0.25">
      <c r="A2072" t="s">
        <v>79</v>
      </c>
      <c r="B2072">
        <v>8</v>
      </c>
      <c r="C2072">
        <v>3</v>
      </c>
      <c r="D2072">
        <v>2</v>
      </c>
      <c r="E2072">
        <v>4</v>
      </c>
      <c r="G2072">
        <v>832</v>
      </c>
      <c r="H2072" t="s">
        <v>63</v>
      </c>
      <c r="I2072" t="s">
        <v>102</v>
      </c>
      <c r="J2072" t="s">
        <v>144</v>
      </c>
      <c r="L2072">
        <v>0</v>
      </c>
      <c r="M2072" t="s">
        <v>125</v>
      </c>
      <c r="O2072" t="s">
        <v>125</v>
      </c>
      <c r="P2072" t="s">
        <v>125</v>
      </c>
      <c r="Q2072" t="s">
        <v>125</v>
      </c>
      <c r="R2072" t="s">
        <v>125</v>
      </c>
      <c r="S2072" t="s">
        <v>125</v>
      </c>
      <c r="T2072">
        <v>0</v>
      </c>
      <c r="V2072" t="s">
        <v>125</v>
      </c>
      <c r="AE2072" t="s">
        <v>125</v>
      </c>
      <c r="AF2072">
        <v>0</v>
      </c>
      <c r="AG2072" t="s">
        <v>125</v>
      </c>
      <c r="AH2072">
        <v>0</v>
      </c>
      <c r="AK2072">
        <v>0</v>
      </c>
    </row>
    <row r="2073" spans="1:37" x14ac:dyDescent="0.25">
      <c r="A2073" t="s">
        <v>79</v>
      </c>
      <c r="B2073">
        <v>8</v>
      </c>
      <c r="C2073">
        <v>3</v>
      </c>
      <c r="D2073">
        <v>2</v>
      </c>
      <c r="E2073">
        <v>5</v>
      </c>
      <c r="G2073">
        <v>832</v>
      </c>
      <c r="H2073" t="s">
        <v>63</v>
      </c>
      <c r="I2073" t="s">
        <v>109</v>
      </c>
      <c r="J2073" t="s">
        <v>145</v>
      </c>
      <c r="L2073">
        <v>0</v>
      </c>
      <c r="M2073" t="s">
        <v>125</v>
      </c>
      <c r="O2073" t="s">
        <v>125</v>
      </c>
      <c r="P2073" t="s">
        <v>125</v>
      </c>
      <c r="Q2073" t="s">
        <v>125</v>
      </c>
      <c r="R2073" t="s">
        <v>125</v>
      </c>
      <c r="S2073" t="s">
        <v>125</v>
      </c>
      <c r="T2073">
        <v>0</v>
      </c>
      <c r="V2073" t="s">
        <v>125</v>
      </c>
      <c r="AE2073" t="s">
        <v>125</v>
      </c>
      <c r="AF2073">
        <v>0</v>
      </c>
      <c r="AG2073" t="s">
        <v>125</v>
      </c>
      <c r="AH2073">
        <v>0</v>
      </c>
      <c r="AK2073">
        <v>0</v>
      </c>
    </row>
    <row r="2074" spans="1:37" x14ac:dyDescent="0.25">
      <c r="A2074" t="s">
        <v>79</v>
      </c>
      <c r="B2074">
        <v>8</v>
      </c>
      <c r="C2074">
        <v>3</v>
      </c>
      <c r="D2074">
        <v>2</v>
      </c>
      <c r="E2074">
        <v>6</v>
      </c>
      <c r="G2074">
        <v>832</v>
      </c>
      <c r="H2074" t="s">
        <v>63</v>
      </c>
      <c r="I2074" t="s">
        <v>116</v>
      </c>
      <c r="J2074" t="s">
        <v>146</v>
      </c>
      <c r="L2074">
        <v>0</v>
      </c>
      <c r="M2074" t="s">
        <v>125</v>
      </c>
      <c r="O2074" t="s">
        <v>125</v>
      </c>
      <c r="P2074" t="s">
        <v>125</v>
      </c>
      <c r="Q2074" t="s">
        <v>125</v>
      </c>
      <c r="R2074" t="s">
        <v>125</v>
      </c>
      <c r="S2074" t="s">
        <v>125</v>
      </c>
      <c r="T2074">
        <v>0</v>
      </c>
      <c r="V2074" t="s">
        <v>125</v>
      </c>
      <c r="AE2074" t="s">
        <v>125</v>
      </c>
      <c r="AF2074">
        <v>0</v>
      </c>
      <c r="AG2074" t="s">
        <v>125</v>
      </c>
      <c r="AH2074">
        <v>0</v>
      </c>
      <c r="AK2074">
        <v>0</v>
      </c>
    </row>
    <row r="2075" spans="1:37" x14ac:dyDescent="0.25">
      <c r="A2075" t="s">
        <v>79</v>
      </c>
      <c r="B2075">
        <v>8</v>
      </c>
      <c r="C2075">
        <v>3</v>
      </c>
      <c r="D2075">
        <v>2</v>
      </c>
      <c r="E2075">
        <v>7</v>
      </c>
      <c r="G2075">
        <v>832</v>
      </c>
      <c r="H2075" t="s">
        <v>63</v>
      </c>
      <c r="I2075" t="s">
        <v>123</v>
      </c>
      <c r="J2075" t="s">
        <v>147</v>
      </c>
      <c r="L2075">
        <v>0</v>
      </c>
      <c r="M2075" t="s">
        <v>125</v>
      </c>
      <c r="O2075" t="s">
        <v>125</v>
      </c>
      <c r="P2075" t="s">
        <v>125</v>
      </c>
      <c r="Q2075" t="s">
        <v>125</v>
      </c>
      <c r="R2075" t="s">
        <v>125</v>
      </c>
      <c r="S2075" t="s">
        <v>125</v>
      </c>
      <c r="T2075">
        <v>0</v>
      </c>
      <c r="V2075" t="s">
        <v>125</v>
      </c>
      <c r="AE2075" t="s">
        <v>125</v>
      </c>
      <c r="AF2075">
        <v>0</v>
      </c>
      <c r="AG2075" t="s">
        <v>125</v>
      </c>
      <c r="AH2075">
        <v>0</v>
      </c>
      <c r="AK2075">
        <v>0</v>
      </c>
    </row>
    <row r="2076" spans="1:37" x14ac:dyDescent="0.25">
      <c r="A2076" t="s">
        <v>79</v>
      </c>
      <c r="B2076">
        <v>8</v>
      </c>
      <c r="C2076">
        <v>3</v>
      </c>
      <c r="D2076">
        <v>2</v>
      </c>
      <c r="E2076">
        <v>8</v>
      </c>
      <c r="G2076">
        <v>832</v>
      </c>
      <c r="H2076" t="s">
        <v>63</v>
      </c>
      <c r="I2076" t="s">
        <v>126</v>
      </c>
      <c r="J2076" t="s">
        <v>148</v>
      </c>
      <c r="L2076">
        <v>0</v>
      </c>
      <c r="M2076" t="s">
        <v>125</v>
      </c>
      <c r="O2076" t="s">
        <v>125</v>
      </c>
      <c r="P2076" t="s">
        <v>125</v>
      </c>
      <c r="Q2076" t="s">
        <v>125</v>
      </c>
      <c r="R2076" t="s">
        <v>125</v>
      </c>
      <c r="S2076" t="s">
        <v>125</v>
      </c>
      <c r="T2076">
        <v>0</v>
      </c>
      <c r="V2076" t="s">
        <v>125</v>
      </c>
      <c r="AE2076" t="s">
        <v>125</v>
      </c>
      <c r="AF2076">
        <v>0</v>
      </c>
      <c r="AG2076" t="s">
        <v>125</v>
      </c>
      <c r="AH2076">
        <v>0</v>
      </c>
      <c r="AK2076">
        <v>0</v>
      </c>
    </row>
    <row r="2077" spans="1:37" x14ac:dyDescent="0.25">
      <c r="A2077" t="s">
        <v>79</v>
      </c>
      <c r="B2077">
        <v>8</v>
      </c>
      <c r="C2077">
        <v>3</v>
      </c>
      <c r="D2077">
        <v>2</v>
      </c>
      <c r="E2077">
        <v>9</v>
      </c>
      <c r="G2077">
        <v>832</v>
      </c>
      <c r="H2077" t="s">
        <v>63</v>
      </c>
      <c r="I2077" t="s">
        <v>74</v>
      </c>
      <c r="J2077" t="s">
        <v>149</v>
      </c>
      <c r="L2077">
        <v>0</v>
      </c>
      <c r="M2077" t="s">
        <v>125</v>
      </c>
      <c r="O2077" t="s">
        <v>125</v>
      </c>
      <c r="P2077" t="s">
        <v>125</v>
      </c>
      <c r="Q2077" t="s">
        <v>125</v>
      </c>
      <c r="R2077" t="s">
        <v>125</v>
      </c>
      <c r="S2077" t="s">
        <v>125</v>
      </c>
      <c r="T2077">
        <v>0</v>
      </c>
      <c r="V2077" t="s">
        <v>125</v>
      </c>
      <c r="AE2077" t="s">
        <v>125</v>
      </c>
      <c r="AF2077">
        <v>0</v>
      </c>
      <c r="AG2077" t="s">
        <v>125</v>
      </c>
      <c r="AH2077">
        <v>0</v>
      </c>
      <c r="AK2077">
        <v>0</v>
      </c>
    </row>
    <row r="2078" spans="1:37" x14ac:dyDescent="0.25">
      <c r="A2078" t="s">
        <v>79</v>
      </c>
      <c r="B2078">
        <v>8</v>
      </c>
      <c r="C2078">
        <v>3</v>
      </c>
      <c r="D2078">
        <v>2</v>
      </c>
      <c r="E2078">
        <v>10</v>
      </c>
      <c r="G2078">
        <v>832</v>
      </c>
      <c r="H2078" t="s">
        <v>63</v>
      </c>
      <c r="I2078" t="s">
        <v>129</v>
      </c>
      <c r="J2078" t="s">
        <v>150</v>
      </c>
      <c r="L2078">
        <v>0</v>
      </c>
      <c r="M2078" t="s">
        <v>125</v>
      </c>
      <c r="O2078" t="s">
        <v>125</v>
      </c>
      <c r="P2078" t="s">
        <v>125</v>
      </c>
      <c r="Q2078" t="s">
        <v>125</v>
      </c>
      <c r="R2078" t="s">
        <v>125</v>
      </c>
      <c r="S2078" t="s">
        <v>125</v>
      </c>
      <c r="T2078">
        <v>0</v>
      </c>
      <c r="V2078" t="s">
        <v>125</v>
      </c>
      <c r="AE2078" t="s">
        <v>125</v>
      </c>
      <c r="AF2078">
        <v>0</v>
      </c>
      <c r="AG2078" t="s">
        <v>125</v>
      </c>
      <c r="AH2078">
        <v>0</v>
      </c>
      <c r="AK2078">
        <v>0</v>
      </c>
    </row>
    <row r="2079" spans="1:37" x14ac:dyDescent="0.25">
      <c r="A2079" t="s">
        <v>79</v>
      </c>
      <c r="B2079">
        <v>8</v>
      </c>
      <c r="C2079">
        <v>3</v>
      </c>
      <c r="D2079">
        <v>2</v>
      </c>
      <c r="E2079">
        <v>11</v>
      </c>
      <c r="G2079">
        <v>832</v>
      </c>
      <c r="H2079" t="s">
        <v>63</v>
      </c>
      <c r="I2079" t="s">
        <v>131</v>
      </c>
      <c r="J2079" t="s">
        <v>151</v>
      </c>
      <c r="L2079">
        <v>0</v>
      </c>
      <c r="M2079" t="s">
        <v>125</v>
      </c>
      <c r="O2079" t="s">
        <v>125</v>
      </c>
      <c r="P2079" t="s">
        <v>125</v>
      </c>
      <c r="Q2079" t="s">
        <v>125</v>
      </c>
      <c r="R2079" t="s">
        <v>125</v>
      </c>
      <c r="S2079" t="s">
        <v>125</v>
      </c>
      <c r="T2079">
        <v>0</v>
      </c>
      <c r="V2079" t="s">
        <v>125</v>
      </c>
      <c r="AE2079" t="s">
        <v>125</v>
      </c>
      <c r="AF2079">
        <v>0</v>
      </c>
      <c r="AG2079" t="s">
        <v>125</v>
      </c>
      <c r="AH2079">
        <v>0</v>
      </c>
      <c r="AK2079">
        <v>0</v>
      </c>
    </row>
    <row r="2080" spans="1:37" x14ac:dyDescent="0.25">
      <c r="A2080" t="s">
        <v>79</v>
      </c>
      <c r="B2080">
        <v>8</v>
      </c>
      <c r="C2080">
        <v>3</v>
      </c>
      <c r="D2080">
        <v>2</v>
      </c>
      <c r="E2080">
        <v>12</v>
      </c>
      <c r="G2080">
        <v>832</v>
      </c>
      <c r="H2080" t="s">
        <v>63</v>
      </c>
      <c r="I2080" t="s">
        <v>133</v>
      </c>
      <c r="J2080" t="s">
        <v>152</v>
      </c>
      <c r="L2080">
        <v>0</v>
      </c>
      <c r="M2080" t="s">
        <v>125</v>
      </c>
      <c r="O2080" t="s">
        <v>125</v>
      </c>
      <c r="P2080" t="s">
        <v>125</v>
      </c>
      <c r="Q2080" t="s">
        <v>125</v>
      </c>
      <c r="R2080" t="s">
        <v>125</v>
      </c>
      <c r="S2080" t="s">
        <v>125</v>
      </c>
      <c r="T2080">
        <v>0</v>
      </c>
      <c r="V2080" t="s">
        <v>125</v>
      </c>
      <c r="AE2080" t="s">
        <v>125</v>
      </c>
      <c r="AF2080">
        <v>0</v>
      </c>
      <c r="AG2080" t="s">
        <v>125</v>
      </c>
      <c r="AH2080">
        <v>0</v>
      </c>
      <c r="AK2080">
        <v>0</v>
      </c>
    </row>
    <row r="2081" spans="1:37" x14ac:dyDescent="0.25">
      <c r="A2081" t="s">
        <v>79</v>
      </c>
      <c r="B2081">
        <v>8</v>
      </c>
      <c r="C2081">
        <v>3</v>
      </c>
      <c r="D2081">
        <v>2</v>
      </c>
      <c r="E2081">
        <v>13</v>
      </c>
      <c r="G2081">
        <v>832</v>
      </c>
      <c r="H2081" t="s">
        <v>63</v>
      </c>
      <c r="I2081" t="s">
        <v>135</v>
      </c>
      <c r="J2081" t="s">
        <v>153</v>
      </c>
      <c r="L2081">
        <v>0</v>
      </c>
      <c r="M2081" t="s">
        <v>125</v>
      </c>
      <c r="O2081" t="s">
        <v>125</v>
      </c>
      <c r="P2081" t="s">
        <v>125</v>
      </c>
      <c r="Q2081" t="s">
        <v>125</v>
      </c>
      <c r="R2081" t="s">
        <v>125</v>
      </c>
      <c r="S2081" t="s">
        <v>125</v>
      </c>
      <c r="T2081">
        <v>0</v>
      </c>
      <c r="V2081" t="s">
        <v>125</v>
      </c>
      <c r="AE2081" t="s">
        <v>125</v>
      </c>
      <c r="AF2081">
        <v>0</v>
      </c>
      <c r="AG2081" t="s">
        <v>125</v>
      </c>
      <c r="AH2081">
        <v>0</v>
      </c>
      <c r="AK2081">
        <v>0</v>
      </c>
    </row>
    <row r="2082" spans="1:37" x14ac:dyDescent="0.25">
      <c r="A2082" t="s">
        <v>79</v>
      </c>
      <c r="B2082">
        <v>8</v>
      </c>
      <c r="C2082">
        <v>3</v>
      </c>
      <c r="D2082">
        <v>2</v>
      </c>
      <c r="E2082">
        <v>14</v>
      </c>
      <c r="G2082">
        <v>832</v>
      </c>
      <c r="H2082" t="s">
        <v>63</v>
      </c>
      <c r="I2082" t="s">
        <v>137</v>
      </c>
      <c r="J2082" t="s">
        <v>154</v>
      </c>
      <c r="L2082">
        <v>0</v>
      </c>
      <c r="M2082" t="s">
        <v>125</v>
      </c>
      <c r="O2082" t="s">
        <v>125</v>
      </c>
      <c r="P2082" t="s">
        <v>125</v>
      </c>
      <c r="Q2082" t="s">
        <v>125</v>
      </c>
      <c r="R2082" t="s">
        <v>125</v>
      </c>
      <c r="S2082" t="s">
        <v>125</v>
      </c>
      <c r="T2082">
        <v>0</v>
      </c>
      <c r="V2082" t="s">
        <v>125</v>
      </c>
      <c r="AE2082" t="s">
        <v>125</v>
      </c>
      <c r="AF2082">
        <v>0</v>
      </c>
      <c r="AG2082" t="s">
        <v>125</v>
      </c>
      <c r="AH2082">
        <v>0</v>
      </c>
      <c r="AK2082">
        <v>0</v>
      </c>
    </row>
    <row r="2083" spans="1:37" x14ac:dyDescent="0.25">
      <c r="A2083" t="s">
        <v>79</v>
      </c>
      <c r="B2083">
        <v>8</v>
      </c>
      <c r="C2083">
        <v>3</v>
      </c>
      <c r="D2083">
        <v>2</v>
      </c>
      <c r="E2083">
        <v>15</v>
      </c>
      <c r="G2083">
        <v>832</v>
      </c>
      <c r="H2083" t="s">
        <v>63</v>
      </c>
      <c r="I2083" t="s">
        <v>139</v>
      </c>
      <c r="J2083" t="s">
        <v>155</v>
      </c>
      <c r="L2083">
        <v>0</v>
      </c>
      <c r="M2083" t="s">
        <v>125</v>
      </c>
      <c r="O2083" t="s">
        <v>125</v>
      </c>
      <c r="P2083" t="s">
        <v>125</v>
      </c>
      <c r="Q2083" t="s">
        <v>125</v>
      </c>
      <c r="R2083" t="s">
        <v>125</v>
      </c>
      <c r="S2083" t="s">
        <v>125</v>
      </c>
      <c r="T2083">
        <v>0</v>
      </c>
      <c r="V2083" t="s">
        <v>125</v>
      </c>
      <c r="AE2083" t="s">
        <v>125</v>
      </c>
      <c r="AF2083">
        <v>0</v>
      </c>
      <c r="AG2083" t="s">
        <v>125</v>
      </c>
      <c r="AH2083">
        <v>0</v>
      </c>
      <c r="AK2083">
        <v>0</v>
      </c>
    </row>
    <row r="2084" spans="1:37" x14ac:dyDescent="0.25">
      <c r="L2084">
        <v>0</v>
      </c>
    </row>
    <row r="2085" spans="1:37" x14ac:dyDescent="0.25">
      <c r="A2085" t="s">
        <v>70</v>
      </c>
      <c r="B2085">
        <v>8</v>
      </c>
      <c r="C2085">
        <v>3</v>
      </c>
      <c r="D2085">
        <v>3</v>
      </c>
      <c r="G2085">
        <v>83</v>
      </c>
      <c r="L2085">
        <v>0</v>
      </c>
      <c r="M2085" t="s">
        <v>125</v>
      </c>
      <c r="P2085" t="s">
        <v>125</v>
      </c>
      <c r="R2085" t="s">
        <v>125</v>
      </c>
      <c r="S2085" t="s">
        <v>63</v>
      </c>
      <c r="V2085" t="s">
        <v>125</v>
      </c>
      <c r="X2085" t="s">
        <v>125</v>
      </c>
      <c r="Y2085" t="s">
        <v>125</v>
      </c>
      <c r="Z2085" t="s">
        <v>125</v>
      </c>
      <c r="AA2085" t="s">
        <v>125</v>
      </c>
      <c r="AB2085" t="s">
        <v>125</v>
      </c>
      <c r="AC2085" t="s">
        <v>125</v>
      </c>
      <c r="AE2085" t="s">
        <v>125</v>
      </c>
      <c r="AF2085">
        <v>0</v>
      </c>
      <c r="AG2085" t="s">
        <v>125</v>
      </c>
      <c r="AH2085">
        <v>0</v>
      </c>
    </row>
    <row r="2086" spans="1:37" x14ac:dyDescent="0.25">
      <c r="A2086" t="s">
        <v>79</v>
      </c>
      <c r="B2086">
        <v>8</v>
      </c>
      <c r="C2086">
        <v>3</v>
      </c>
      <c r="D2086">
        <v>3</v>
      </c>
      <c r="E2086">
        <v>1</v>
      </c>
      <c r="G2086">
        <v>833</v>
      </c>
      <c r="H2086" t="s">
        <v>63</v>
      </c>
      <c r="I2086" t="s">
        <v>80</v>
      </c>
      <c r="J2086" t="s">
        <v>141</v>
      </c>
      <c r="L2086">
        <v>0</v>
      </c>
      <c r="M2086" t="s">
        <v>125</v>
      </c>
      <c r="O2086" t="s">
        <v>125</v>
      </c>
      <c r="P2086" t="s">
        <v>125</v>
      </c>
      <c r="Q2086" t="s">
        <v>125</v>
      </c>
      <c r="R2086" t="s">
        <v>125</v>
      </c>
      <c r="S2086" t="s">
        <v>125</v>
      </c>
      <c r="T2086">
        <v>0</v>
      </c>
      <c r="V2086" t="s">
        <v>125</v>
      </c>
      <c r="AE2086" t="s">
        <v>125</v>
      </c>
      <c r="AF2086">
        <v>0</v>
      </c>
      <c r="AG2086" t="s">
        <v>125</v>
      </c>
      <c r="AH2086">
        <v>0</v>
      </c>
      <c r="AK2086">
        <v>0</v>
      </c>
    </row>
    <row r="2087" spans="1:37" x14ac:dyDescent="0.25">
      <c r="A2087" t="s">
        <v>79</v>
      </c>
      <c r="B2087">
        <v>8</v>
      </c>
      <c r="C2087">
        <v>3</v>
      </c>
      <c r="D2087">
        <v>3</v>
      </c>
      <c r="E2087">
        <v>2</v>
      </c>
      <c r="G2087">
        <v>833</v>
      </c>
      <c r="H2087" t="s">
        <v>63</v>
      </c>
      <c r="I2087" t="s">
        <v>88</v>
      </c>
      <c r="J2087" t="s">
        <v>142</v>
      </c>
      <c r="L2087">
        <v>0</v>
      </c>
      <c r="M2087" t="s">
        <v>125</v>
      </c>
      <c r="O2087" t="s">
        <v>125</v>
      </c>
      <c r="P2087" t="s">
        <v>125</v>
      </c>
      <c r="Q2087" t="s">
        <v>125</v>
      </c>
      <c r="R2087" t="s">
        <v>125</v>
      </c>
      <c r="S2087" t="s">
        <v>125</v>
      </c>
      <c r="T2087">
        <v>0</v>
      </c>
      <c r="V2087" t="s">
        <v>125</v>
      </c>
      <c r="AE2087" t="s">
        <v>125</v>
      </c>
      <c r="AF2087">
        <v>0</v>
      </c>
      <c r="AG2087" t="s">
        <v>125</v>
      </c>
      <c r="AH2087">
        <v>0</v>
      </c>
      <c r="AK2087">
        <v>0</v>
      </c>
    </row>
    <row r="2088" spans="1:37" x14ac:dyDescent="0.25">
      <c r="A2088" t="s">
        <v>79</v>
      </c>
      <c r="B2088">
        <v>8</v>
      </c>
      <c r="C2088">
        <v>3</v>
      </c>
      <c r="D2088">
        <v>3</v>
      </c>
      <c r="E2088">
        <v>3</v>
      </c>
      <c r="G2088">
        <v>833</v>
      </c>
      <c r="H2088" t="s">
        <v>63</v>
      </c>
      <c r="I2088" t="s">
        <v>95</v>
      </c>
      <c r="J2088" t="s">
        <v>143</v>
      </c>
      <c r="L2088">
        <v>0</v>
      </c>
      <c r="M2088" t="s">
        <v>125</v>
      </c>
      <c r="O2088" t="s">
        <v>125</v>
      </c>
      <c r="P2088" t="s">
        <v>125</v>
      </c>
      <c r="Q2088" t="s">
        <v>125</v>
      </c>
      <c r="R2088" t="s">
        <v>125</v>
      </c>
      <c r="S2088" t="s">
        <v>125</v>
      </c>
      <c r="T2088">
        <v>0</v>
      </c>
      <c r="V2088" t="s">
        <v>125</v>
      </c>
      <c r="AE2088" t="s">
        <v>125</v>
      </c>
      <c r="AF2088">
        <v>0</v>
      </c>
      <c r="AG2088" t="s">
        <v>125</v>
      </c>
      <c r="AH2088">
        <v>0</v>
      </c>
      <c r="AK2088">
        <v>0</v>
      </c>
    </row>
    <row r="2089" spans="1:37" x14ac:dyDescent="0.25">
      <c r="A2089" t="s">
        <v>79</v>
      </c>
      <c r="B2089">
        <v>8</v>
      </c>
      <c r="C2089">
        <v>3</v>
      </c>
      <c r="D2089">
        <v>3</v>
      </c>
      <c r="E2089">
        <v>4</v>
      </c>
      <c r="G2089">
        <v>833</v>
      </c>
      <c r="H2089" t="s">
        <v>63</v>
      </c>
      <c r="I2089" t="s">
        <v>102</v>
      </c>
      <c r="J2089" t="s">
        <v>144</v>
      </c>
      <c r="L2089">
        <v>0</v>
      </c>
      <c r="M2089" t="s">
        <v>125</v>
      </c>
      <c r="O2089" t="s">
        <v>125</v>
      </c>
      <c r="P2089" t="s">
        <v>125</v>
      </c>
      <c r="Q2089" t="s">
        <v>125</v>
      </c>
      <c r="R2089" t="s">
        <v>125</v>
      </c>
      <c r="S2089" t="s">
        <v>125</v>
      </c>
      <c r="T2089">
        <v>0</v>
      </c>
      <c r="V2089" t="s">
        <v>125</v>
      </c>
      <c r="AE2089" t="s">
        <v>125</v>
      </c>
      <c r="AF2089">
        <v>0</v>
      </c>
      <c r="AG2089" t="s">
        <v>125</v>
      </c>
      <c r="AH2089">
        <v>0</v>
      </c>
      <c r="AK2089">
        <v>0</v>
      </c>
    </row>
    <row r="2090" spans="1:37" x14ac:dyDescent="0.25">
      <c r="A2090" t="s">
        <v>79</v>
      </c>
      <c r="B2090">
        <v>8</v>
      </c>
      <c r="C2090">
        <v>3</v>
      </c>
      <c r="D2090">
        <v>3</v>
      </c>
      <c r="E2090">
        <v>5</v>
      </c>
      <c r="G2090">
        <v>833</v>
      </c>
      <c r="H2090" t="s">
        <v>63</v>
      </c>
      <c r="I2090" t="s">
        <v>109</v>
      </c>
      <c r="J2090" t="s">
        <v>145</v>
      </c>
      <c r="L2090">
        <v>0</v>
      </c>
      <c r="M2090" t="s">
        <v>125</v>
      </c>
      <c r="O2090" t="s">
        <v>125</v>
      </c>
      <c r="P2090" t="s">
        <v>125</v>
      </c>
      <c r="Q2090" t="s">
        <v>125</v>
      </c>
      <c r="R2090" t="s">
        <v>125</v>
      </c>
      <c r="S2090" t="s">
        <v>125</v>
      </c>
      <c r="T2090">
        <v>0</v>
      </c>
      <c r="V2090" t="s">
        <v>125</v>
      </c>
      <c r="AE2090" t="s">
        <v>125</v>
      </c>
      <c r="AF2090">
        <v>0</v>
      </c>
      <c r="AG2090" t="s">
        <v>125</v>
      </c>
      <c r="AH2090">
        <v>0</v>
      </c>
      <c r="AK2090">
        <v>0</v>
      </c>
    </row>
    <row r="2091" spans="1:37" x14ac:dyDescent="0.25">
      <c r="A2091" t="s">
        <v>79</v>
      </c>
      <c r="B2091">
        <v>8</v>
      </c>
      <c r="C2091">
        <v>3</v>
      </c>
      <c r="D2091">
        <v>3</v>
      </c>
      <c r="E2091">
        <v>6</v>
      </c>
      <c r="G2091">
        <v>833</v>
      </c>
      <c r="H2091" t="s">
        <v>63</v>
      </c>
      <c r="I2091" t="s">
        <v>116</v>
      </c>
      <c r="J2091" t="s">
        <v>146</v>
      </c>
      <c r="L2091">
        <v>0</v>
      </c>
      <c r="M2091" t="s">
        <v>125</v>
      </c>
      <c r="O2091" t="s">
        <v>125</v>
      </c>
      <c r="P2091" t="s">
        <v>125</v>
      </c>
      <c r="Q2091" t="s">
        <v>125</v>
      </c>
      <c r="R2091" t="s">
        <v>125</v>
      </c>
      <c r="S2091" t="s">
        <v>125</v>
      </c>
      <c r="T2091">
        <v>0</v>
      </c>
      <c r="V2091" t="s">
        <v>125</v>
      </c>
      <c r="AE2091" t="s">
        <v>125</v>
      </c>
      <c r="AF2091">
        <v>0</v>
      </c>
      <c r="AG2091" t="s">
        <v>125</v>
      </c>
      <c r="AH2091">
        <v>0</v>
      </c>
      <c r="AK2091">
        <v>0</v>
      </c>
    </row>
    <row r="2092" spans="1:37" x14ac:dyDescent="0.25">
      <c r="A2092" t="s">
        <v>79</v>
      </c>
      <c r="B2092">
        <v>8</v>
      </c>
      <c r="C2092">
        <v>3</v>
      </c>
      <c r="D2092">
        <v>3</v>
      </c>
      <c r="E2092">
        <v>7</v>
      </c>
      <c r="G2092">
        <v>833</v>
      </c>
      <c r="H2092" t="s">
        <v>63</v>
      </c>
      <c r="I2092" t="s">
        <v>123</v>
      </c>
      <c r="J2092" t="s">
        <v>147</v>
      </c>
      <c r="L2092">
        <v>0</v>
      </c>
      <c r="M2092" t="s">
        <v>125</v>
      </c>
      <c r="O2092" t="s">
        <v>125</v>
      </c>
      <c r="P2092" t="s">
        <v>125</v>
      </c>
      <c r="Q2092" t="s">
        <v>125</v>
      </c>
      <c r="R2092" t="s">
        <v>125</v>
      </c>
      <c r="S2092" t="s">
        <v>125</v>
      </c>
      <c r="T2092">
        <v>0</v>
      </c>
      <c r="V2092" t="s">
        <v>125</v>
      </c>
      <c r="AE2092" t="s">
        <v>125</v>
      </c>
      <c r="AF2092">
        <v>0</v>
      </c>
      <c r="AG2092" t="s">
        <v>125</v>
      </c>
      <c r="AH2092">
        <v>0</v>
      </c>
      <c r="AK2092">
        <v>0</v>
      </c>
    </row>
    <row r="2093" spans="1:37" x14ac:dyDescent="0.25">
      <c r="A2093" t="s">
        <v>79</v>
      </c>
      <c r="B2093">
        <v>8</v>
      </c>
      <c r="C2093">
        <v>3</v>
      </c>
      <c r="D2093">
        <v>3</v>
      </c>
      <c r="E2093">
        <v>8</v>
      </c>
      <c r="G2093">
        <v>833</v>
      </c>
      <c r="H2093" t="s">
        <v>63</v>
      </c>
      <c r="I2093" t="s">
        <v>126</v>
      </c>
      <c r="J2093" t="s">
        <v>148</v>
      </c>
      <c r="L2093">
        <v>0</v>
      </c>
      <c r="M2093" t="s">
        <v>125</v>
      </c>
      <c r="O2093" t="s">
        <v>125</v>
      </c>
      <c r="P2093" t="s">
        <v>125</v>
      </c>
      <c r="Q2093" t="s">
        <v>125</v>
      </c>
      <c r="R2093" t="s">
        <v>125</v>
      </c>
      <c r="S2093" t="s">
        <v>125</v>
      </c>
      <c r="T2093">
        <v>0</v>
      </c>
      <c r="V2093" t="s">
        <v>125</v>
      </c>
      <c r="AE2093" t="s">
        <v>125</v>
      </c>
      <c r="AF2093">
        <v>0</v>
      </c>
      <c r="AG2093" t="s">
        <v>125</v>
      </c>
      <c r="AH2093">
        <v>0</v>
      </c>
      <c r="AK2093">
        <v>0</v>
      </c>
    </row>
    <row r="2094" spans="1:37" x14ac:dyDescent="0.25">
      <c r="A2094" t="s">
        <v>79</v>
      </c>
      <c r="B2094">
        <v>8</v>
      </c>
      <c r="C2094">
        <v>3</v>
      </c>
      <c r="D2094">
        <v>3</v>
      </c>
      <c r="E2094">
        <v>9</v>
      </c>
      <c r="G2094">
        <v>833</v>
      </c>
      <c r="H2094" t="s">
        <v>63</v>
      </c>
      <c r="I2094" t="s">
        <v>74</v>
      </c>
      <c r="J2094" t="s">
        <v>149</v>
      </c>
      <c r="L2094">
        <v>0</v>
      </c>
      <c r="M2094" t="s">
        <v>125</v>
      </c>
      <c r="O2094" t="s">
        <v>125</v>
      </c>
      <c r="P2094" t="s">
        <v>125</v>
      </c>
      <c r="Q2094" t="s">
        <v>125</v>
      </c>
      <c r="R2094" t="s">
        <v>125</v>
      </c>
      <c r="S2094" t="s">
        <v>125</v>
      </c>
      <c r="T2094">
        <v>0</v>
      </c>
      <c r="V2094" t="s">
        <v>125</v>
      </c>
      <c r="AE2094" t="s">
        <v>125</v>
      </c>
      <c r="AF2094">
        <v>0</v>
      </c>
      <c r="AG2094" t="s">
        <v>125</v>
      </c>
      <c r="AH2094">
        <v>0</v>
      </c>
      <c r="AK2094">
        <v>0</v>
      </c>
    </row>
    <row r="2095" spans="1:37" x14ac:dyDescent="0.25">
      <c r="A2095" t="s">
        <v>79</v>
      </c>
      <c r="B2095">
        <v>8</v>
      </c>
      <c r="C2095">
        <v>3</v>
      </c>
      <c r="D2095">
        <v>3</v>
      </c>
      <c r="E2095">
        <v>10</v>
      </c>
      <c r="G2095">
        <v>833</v>
      </c>
      <c r="H2095" t="s">
        <v>63</v>
      </c>
      <c r="I2095" t="s">
        <v>129</v>
      </c>
      <c r="J2095" t="s">
        <v>150</v>
      </c>
      <c r="L2095">
        <v>0</v>
      </c>
      <c r="M2095" t="s">
        <v>125</v>
      </c>
      <c r="O2095" t="s">
        <v>125</v>
      </c>
      <c r="P2095" t="s">
        <v>125</v>
      </c>
      <c r="Q2095" t="s">
        <v>125</v>
      </c>
      <c r="R2095" t="s">
        <v>125</v>
      </c>
      <c r="S2095" t="s">
        <v>125</v>
      </c>
      <c r="T2095">
        <v>0</v>
      </c>
      <c r="V2095" t="s">
        <v>125</v>
      </c>
      <c r="AE2095" t="s">
        <v>125</v>
      </c>
      <c r="AF2095">
        <v>0</v>
      </c>
      <c r="AG2095" t="s">
        <v>125</v>
      </c>
      <c r="AH2095">
        <v>0</v>
      </c>
      <c r="AK2095">
        <v>0</v>
      </c>
    </row>
    <row r="2096" spans="1:37" x14ac:dyDescent="0.25">
      <c r="A2096" t="s">
        <v>79</v>
      </c>
      <c r="B2096">
        <v>8</v>
      </c>
      <c r="C2096">
        <v>3</v>
      </c>
      <c r="D2096">
        <v>3</v>
      </c>
      <c r="E2096">
        <v>11</v>
      </c>
      <c r="G2096">
        <v>833</v>
      </c>
      <c r="H2096" t="s">
        <v>63</v>
      </c>
      <c r="I2096" t="s">
        <v>131</v>
      </c>
      <c r="J2096" t="s">
        <v>151</v>
      </c>
      <c r="L2096">
        <v>0</v>
      </c>
      <c r="M2096" t="s">
        <v>125</v>
      </c>
      <c r="O2096" t="s">
        <v>125</v>
      </c>
      <c r="P2096" t="s">
        <v>125</v>
      </c>
      <c r="Q2096" t="s">
        <v>125</v>
      </c>
      <c r="R2096" t="s">
        <v>125</v>
      </c>
      <c r="S2096" t="s">
        <v>125</v>
      </c>
      <c r="T2096">
        <v>0</v>
      </c>
      <c r="V2096" t="s">
        <v>125</v>
      </c>
      <c r="AE2096" t="s">
        <v>125</v>
      </c>
      <c r="AF2096">
        <v>0</v>
      </c>
      <c r="AG2096" t="s">
        <v>125</v>
      </c>
      <c r="AH2096">
        <v>0</v>
      </c>
      <c r="AK2096">
        <v>0</v>
      </c>
    </row>
    <row r="2097" spans="1:37" x14ac:dyDescent="0.25">
      <c r="A2097" t="s">
        <v>79</v>
      </c>
      <c r="B2097">
        <v>8</v>
      </c>
      <c r="C2097">
        <v>3</v>
      </c>
      <c r="D2097">
        <v>3</v>
      </c>
      <c r="E2097">
        <v>12</v>
      </c>
      <c r="G2097">
        <v>833</v>
      </c>
      <c r="H2097" t="s">
        <v>63</v>
      </c>
      <c r="I2097" t="s">
        <v>133</v>
      </c>
      <c r="J2097" t="s">
        <v>152</v>
      </c>
      <c r="L2097">
        <v>0</v>
      </c>
      <c r="M2097" t="s">
        <v>125</v>
      </c>
      <c r="O2097" t="s">
        <v>125</v>
      </c>
      <c r="P2097" t="s">
        <v>125</v>
      </c>
      <c r="Q2097" t="s">
        <v>125</v>
      </c>
      <c r="R2097" t="s">
        <v>125</v>
      </c>
      <c r="S2097" t="s">
        <v>125</v>
      </c>
      <c r="T2097">
        <v>0</v>
      </c>
      <c r="V2097" t="s">
        <v>125</v>
      </c>
      <c r="AE2097" t="s">
        <v>125</v>
      </c>
      <c r="AF2097">
        <v>0</v>
      </c>
      <c r="AG2097" t="s">
        <v>125</v>
      </c>
      <c r="AH2097">
        <v>0</v>
      </c>
      <c r="AK2097">
        <v>0</v>
      </c>
    </row>
    <row r="2098" spans="1:37" x14ac:dyDescent="0.25">
      <c r="A2098" t="s">
        <v>79</v>
      </c>
      <c r="B2098">
        <v>8</v>
      </c>
      <c r="C2098">
        <v>3</v>
      </c>
      <c r="D2098">
        <v>3</v>
      </c>
      <c r="E2098">
        <v>13</v>
      </c>
      <c r="G2098">
        <v>833</v>
      </c>
      <c r="H2098" t="s">
        <v>63</v>
      </c>
      <c r="I2098" t="s">
        <v>135</v>
      </c>
      <c r="J2098" t="s">
        <v>153</v>
      </c>
      <c r="L2098">
        <v>0</v>
      </c>
      <c r="M2098" t="s">
        <v>125</v>
      </c>
      <c r="O2098" t="s">
        <v>125</v>
      </c>
      <c r="P2098" t="s">
        <v>125</v>
      </c>
      <c r="Q2098" t="s">
        <v>125</v>
      </c>
      <c r="R2098" t="s">
        <v>125</v>
      </c>
      <c r="S2098" t="s">
        <v>125</v>
      </c>
      <c r="T2098">
        <v>0</v>
      </c>
      <c r="V2098" t="s">
        <v>125</v>
      </c>
      <c r="AE2098" t="s">
        <v>125</v>
      </c>
      <c r="AF2098">
        <v>0</v>
      </c>
      <c r="AG2098" t="s">
        <v>125</v>
      </c>
      <c r="AH2098">
        <v>0</v>
      </c>
      <c r="AK2098">
        <v>0</v>
      </c>
    </row>
    <row r="2099" spans="1:37" x14ac:dyDescent="0.25">
      <c r="A2099" t="s">
        <v>79</v>
      </c>
      <c r="B2099">
        <v>8</v>
      </c>
      <c r="C2099">
        <v>3</v>
      </c>
      <c r="D2099">
        <v>3</v>
      </c>
      <c r="E2099">
        <v>14</v>
      </c>
      <c r="G2099">
        <v>833</v>
      </c>
      <c r="H2099" t="s">
        <v>63</v>
      </c>
      <c r="I2099" t="s">
        <v>137</v>
      </c>
      <c r="J2099" t="s">
        <v>154</v>
      </c>
      <c r="L2099">
        <v>0</v>
      </c>
      <c r="M2099" t="s">
        <v>125</v>
      </c>
      <c r="O2099" t="s">
        <v>125</v>
      </c>
      <c r="P2099" t="s">
        <v>125</v>
      </c>
      <c r="Q2099" t="s">
        <v>125</v>
      </c>
      <c r="R2099" t="s">
        <v>125</v>
      </c>
      <c r="S2099" t="s">
        <v>125</v>
      </c>
      <c r="T2099">
        <v>0</v>
      </c>
      <c r="V2099" t="s">
        <v>125</v>
      </c>
      <c r="AE2099" t="s">
        <v>125</v>
      </c>
      <c r="AF2099">
        <v>0</v>
      </c>
      <c r="AG2099" t="s">
        <v>125</v>
      </c>
      <c r="AH2099">
        <v>0</v>
      </c>
      <c r="AK2099">
        <v>0</v>
      </c>
    </row>
    <row r="2100" spans="1:37" x14ac:dyDescent="0.25">
      <c r="A2100" t="s">
        <v>79</v>
      </c>
      <c r="B2100">
        <v>8</v>
      </c>
      <c r="C2100">
        <v>3</v>
      </c>
      <c r="D2100">
        <v>3</v>
      </c>
      <c r="E2100">
        <v>15</v>
      </c>
      <c r="G2100">
        <v>833</v>
      </c>
      <c r="H2100" t="s">
        <v>63</v>
      </c>
      <c r="I2100" t="s">
        <v>139</v>
      </c>
      <c r="J2100" t="s">
        <v>155</v>
      </c>
      <c r="L2100">
        <v>0</v>
      </c>
      <c r="M2100" t="s">
        <v>125</v>
      </c>
      <c r="O2100" t="s">
        <v>125</v>
      </c>
      <c r="P2100" t="s">
        <v>125</v>
      </c>
      <c r="Q2100" t="s">
        <v>125</v>
      </c>
      <c r="R2100" t="s">
        <v>125</v>
      </c>
      <c r="S2100" t="s">
        <v>125</v>
      </c>
      <c r="T2100">
        <v>0</v>
      </c>
      <c r="V2100" t="s">
        <v>125</v>
      </c>
      <c r="AE2100" t="s">
        <v>125</v>
      </c>
      <c r="AF2100">
        <v>0</v>
      </c>
      <c r="AG2100" t="s">
        <v>125</v>
      </c>
      <c r="AH2100">
        <v>0</v>
      </c>
      <c r="AK2100">
        <v>0</v>
      </c>
    </row>
    <row r="2101" spans="1:37" x14ac:dyDescent="0.25">
      <c r="L2101">
        <v>0</v>
      </c>
    </row>
    <row r="2102" spans="1:37" x14ac:dyDescent="0.25">
      <c r="A2102" t="s">
        <v>70</v>
      </c>
      <c r="B2102">
        <v>8</v>
      </c>
      <c r="C2102">
        <v>3</v>
      </c>
      <c r="D2102">
        <v>4</v>
      </c>
      <c r="G2102">
        <v>83</v>
      </c>
      <c r="L2102">
        <v>0</v>
      </c>
      <c r="M2102" t="s">
        <v>125</v>
      </c>
      <c r="P2102" t="s">
        <v>125</v>
      </c>
      <c r="R2102" t="s">
        <v>125</v>
      </c>
      <c r="S2102" t="s">
        <v>63</v>
      </c>
      <c r="V2102" t="s">
        <v>125</v>
      </c>
      <c r="X2102" t="s">
        <v>125</v>
      </c>
      <c r="Y2102" t="s">
        <v>125</v>
      </c>
      <c r="Z2102" t="s">
        <v>125</v>
      </c>
      <c r="AA2102" t="s">
        <v>125</v>
      </c>
      <c r="AB2102" t="s">
        <v>125</v>
      </c>
      <c r="AC2102" t="s">
        <v>125</v>
      </c>
      <c r="AE2102" t="s">
        <v>125</v>
      </c>
      <c r="AF2102">
        <v>0</v>
      </c>
      <c r="AG2102" t="s">
        <v>125</v>
      </c>
      <c r="AH2102">
        <v>0</v>
      </c>
    </row>
    <row r="2103" spans="1:37" x14ac:dyDescent="0.25">
      <c r="A2103" t="s">
        <v>79</v>
      </c>
      <c r="B2103">
        <v>8</v>
      </c>
      <c r="C2103">
        <v>3</v>
      </c>
      <c r="D2103">
        <v>4</v>
      </c>
      <c r="E2103">
        <v>1</v>
      </c>
      <c r="G2103">
        <v>834</v>
      </c>
      <c r="H2103" t="s">
        <v>63</v>
      </c>
      <c r="I2103" t="s">
        <v>80</v>
      </c>
      <c r="J2103" t="s">
        <v>141</v>
      </c>
      <c r="L2103">
        <v>0</v>
      </c>
      <c r="M2103" t="s">
        <v>125</v>
      </c>
      <c r="O2103" t="s">
        <v>125</v>
      </c>
      <c r="P2103" t="s">
        <v>125</v>
      </c>
      <c r="Q2103" t="s">
        <v>125</v>
      </c>
      <c r="R2103" t="s">
        <v>125</v>
      </c>
      <c r="S2103" t="s">
        <v>125</v>
      </c>
      <c r="T2103">
        <v>0</v>
      </c>
      <c r="V2103" t="s">
        <v>125</v>
      </c>
      <c r="AE2103" t="s">
        <v>125</v>
      </c>
      <c r="AF2103">
        <v>0</v>
      </c>
      <c r="AG2103" t="s">
        <v>125</v>
      </c>
      <c r="AH2103">
        <v>0</v>
      </c>
      <c r="AK2103">
        <v>0</v>
      </c>
    </row>
    <row r="2104" spans="1:37" x14ac:dyDescent="0.25">
      <c r="A2104" t="s">
        <v>79</v>
      </c>
      <c r="B2104">
        <v>8</v>
      </c>
      <c r="C2104">
        <v>3</v>
      </c>
      <c r="D2104">
        <v>4</v>
      </c>
      <c r="E2104">
        <v>2</v>
      </c>
      <c r="G2104">
        <v>834</v>
      </c>
      <c r="H2104" t="s">
        <v>63</v>
      </c>
      <c r="I2104" t="s">
        <v>88</v>
      </c>
      <c r="J2104" t="s">
        <v>142</v>
      </c>
      <c r="L2104">
        <v>0</v>
      </c>
      <c r="M2104" t="s">
        <v>125</v>
      </c>
      <c r="O2104" t="s">
        <v>125</v>
      </c>
      <c r="P2104" t="s">
        <v>125</v>
      </c>
      <c r="Q2104" t="s">
        <v>125</v>
      </c>
      <c r="R2104" t="s">
        <v>125</v>
      </c>
      <c r="S2104" t="s">
        <v>125</v>
      </c>
      <c r="T2104">
        <v>0</v>
      </c>
      <c r="V2104" t="s">
        <v>125</v>
      </c>
      <c r="AE2104" t="s">
        <v>125</v>
      </c>
      <c r="AF2104">
        <v>0</v>
      </c>
      <c r="AG2104" t="s">
        <v>125</v>
      </c>
      <c r="AH2104">
        <v>0</v>
      </c>
      <c r="AK2104">
        <v>0</v>
      </c>
    </row>
    <row r="2105" spans="1:37" x14ac:dyDescent="0.25">
      <c r="A2105" t="s">
        <v>79</v>
      </c>
      <c r="B2105">
        <v>8</v>
      </c>
      <c r="C2105">
        <v>3</v>
      </c>
      <c r="D2105">
        <v>4</v>
      </c>
      <c r="E2105">
        <v>3</v>
      </c>
      <c r="G2105">
        <v>834</v>
      </c>
      <c r="H2105" t="s">
        <v>63</v>
      </c>
      <c r="I2105" t="s">
        <v>95</v>
      </c>
      <c r="J2105" t="s">
        <v>143</v>
      </c>
      <c r="L2105">
        <v>0</v>
      </c>
      <c r="M2105" t="s">
        <v>125</v>
      </c>
      <c r="O2105" t="s">
        <v>125</v>
      </c>
      <c r="P2105" t="s">
        <v>125</v>
      </c>
      <c r="Q2105" t="s">
        <v>125</v>
      </c>
      <c r="R2105" t="s">
        <v>125</v>
      </c>
      <c r="S2105" t="s">
        <v>125</v>
      </c>
      <c r="T2105">
        <v>0</v>
      </c>
      <c r="V2105" t="s">
        <v>125</v>
      </c>
      <c r="AE2105" t="s">
        <v>125</v>
      </c>
      <c r="AF2105">
        <v>0</v>
      </c>
      <c r="AG2105" t="s">
        <v>125</v>
      </c>
      <c r="AH2105">
        <v>0</v>
      </c>
      <c r="AK2105">
        <v>0</v>
      </c>
    </row>
    <row r="2106" spans="1:37" x14ac:dyDescent="0.25">
      <c r="A2106" t="s">
        <v>79</v>
      </c>
      <c r="B2106">
        <v>8</v>
      </c>
      <c r="C2106">
        <v>3</v>
      </c>
      <c r="D2106">
        <v>4</v>
      </c>
      <c r="E2106">
        <v>4</v>
      </c>
      <c r="G2106">
        <v>834</v>
      </c>
      <c r="H2106" t="s">
        <v>63</v>
      </c>
      <c r="I2106" t="s">
        <v>102</v>
      </c>
      <c r="J2106" t="s">
        <v>144</v>
      </c>
      <c r="L2106">
        <v>0</v>
      </c>
      <c r="M2106" t="s">
        <v>125</v>
      </c>
      <c r="O2106" t="s">
        <v>125</v>
      </c>
      <c r="P2106" t="s">
        <v>125</v>
      </c>
      <c r="Q2106" t="s">
        <v>125</v>
      </c>
      <c r="R2106" t="s">
        <v>125</v>
      </c>
      <c r="S2106" t="s">
        <v>125</v>
      </c>
      <c r="T2106">
        <v>0</v>
      </c>
      <c r="V2106" t="s">
        <v>125</v>
      </c>
      <c r="AE2106" t="s">
        <v>125</v>
      </c>
      <c r="AF2106">
        <v>0</v>
      </c>
      <c r="AG2106" t="s">
        <v>125</v>
      </c>
      <c r="AH2106">
        <v>0</v>
      </c>
      <c r="AK2106">
        <v>0</v>
      </c>
    </row>
    <row r="2107" spans="1:37" x14ac:dyDescent="0.25">
      <c r="A2107" t="s">
        <v>79</v>
      </c>
      <c r="B2107">
        <v>8</v>
      </c>
      <c r="C2107">
        <v>3</v>
      </c>
      <c r="D2107">
        <v>4</v>
      </c>
      <c r="E2107">
        <v>5</v>
      </c>
      <c r="G2107">
        <v>834</v>
      </c>
      <c r="H2107" t="s">
        <v>63</v>
      </c>
      <c r="I2107" t="s">
        <v>109</v>
      </c>
      <c r="J2107" t="s">
        <v>145</v>
      </c>
      <c r="L2107">
        <v>0</v>
      </c>
      <c r="M2107" t="s">
        <v>125</v>
      </c>
      <c r="O2107" t="s">
        <v>125</v>
      </c>
      <c r="P2107" t="s">
        <v>125</v>
      </c>
      <c r="Q2107" t="s">
        <v>125</v>
      </c>
      <c r="R2107" t="s">
        <v>125</v>
      </c>
      <c r="S2107" t="s">
        <v>125</v>
      </c>
      <c r="T2107">
        <v>0</v>
      </c>
      <c r="V2107" t="s">
        <v>125</v>
      </c>
      <c r="AE2107" t="s">
        <v>125</v>
      </c>
      <c r="AF2107">
        <v>0</v>
      </c>
      <c r="AG2107" t="s">
        <v>125</v>
      </c>
      <c r="AH2107">
        <v>0</v>
      </c>
      <c r="AK2107">
        <v>0</v>
      </c>
    </row>
    <row r="2108" spans="1:37" x14ac:dyDescent="0.25">
      <c r="A2108" t="s">
        <v>79</v>
      </c>
      <c r="B2108">
        <v>8</v>
      </c>
      <c r="C2108">
        <v>3</v>
      </c>
      <c r="D2108">
        <v>4</v>
      </c>
      <c r="E2108">
        <v>6</v>
      </c>
      <c r="G2108">
        <v>834</v>
      </c>
      <c r="H2108" t="s">
        <v>63</v>
      </c>
      <c r="I2108" t="s">
        <v>116</v>
      </c>
      <c r="J2108" t="s">
        <v>146</v>
      </c>
      <c r="L2108">
        <v>0</v>
      </c>
      <c r="M2108" t="s">
        <v>125</v>
      </c>
      <c r="O2108" t="s">
        <v>125</v>
      </c>
      <c r="P2108" t="s">
        <v>125</v>
      </c>
      <c r="Q2108" t="s">
        <v>125</v>
      </c>
      <c r="R2108" t="s">
        <v>125</v>
      </c>
      <c r="S2108" t="s">
        <v>125</v>
      </c>
      <c r="T2108">
        <v>0</v>
      </c>
      <c r="V2108" t="s">
        <v>125</v>
      </c>
      <c r="AE2108" t="s">
        <v>125</v>
      </c>
      <c r="AF2108">
        <v>0</v>
      </c>
      <c r="AG2108" t="s">
        <v>125</v>
      </c>
      <c r="AH2108">
        <v>0</v>
      </c>
      <c r="AK2108">
        <v>0</v>
      </c>
    </row>
    <row r="2109" spans="1:37" x14ac:dyDescent="0.25">
      <c r="A2109" t="s">
        <v>79</v>
      </c>
      <c r="B2109">
        <v>8</v>
      </c>
      <c r="C2109">
        <v>3</v>
      </c>
      <c r="D2109">
        <v>4</v>
      </c>
      <c r="E2109">
        <v>7</v>
      </c>
      <c r="G2109">
        <v>834</v>
      </c>
      <c r="H2109" t="s">
        <v>63</v>
      </c>
      <c r="I2109" t="s">
        <v>123</v>
      </c>
      <c r="J2109" t="s">
        <v>147</v>
      </c>
      <c r="L2109">
        <v>0</v>
      </c>
      <c r="M2109" t="s">
        <v>125</v>
      </c>
      <c r="O2109" t="s">
        <v>125</v>
      </c>
      <c r="P2109" t="s">
        <v>125</v>
      </c>
      <c r="Q2109" t="s">
        <v>125</v>
      </c>
      <c r="R2109" t="s">
        <v>125</v>
      </c>
      <c r="S2109" t="s">
        <v>125</v>
      </c>
      <c r="T2109">
        <v>0</v>
      </c>
      <c r="V2109" t="s">
        <v>125</v>
      </c>
      <c r="AE2109" t="s">
        <v>125</v>
      </c>
      <c r="AF2109">
        <v>0</v>
      </c>
      <c r="AG2109" t="s">
        <v>125</v>
      </c>
      <c r="AH2109">
        <v>0</v>
      </c>
      <c r="AK2109">
        <v>0</v>
      </c>
    </row>
    <row r="2110" spans="1:37" x14ac:dyDescent="0.25">
      <c r="A2110" t="s">
        <v>79</v>
      </c>
      <c r="B2110">
        <v>8</v>
      </c>
      <c r="C2110">
        <v>3</v>
      </c>
      <c r="D2110">
        <v>4</v>
      </c>
      <c r="E2110">
        <v>8</v>
      </c>
      <c r="G2110">
        <v>834</v>
      </c>
      <c r="H2110" t="s">
        <v>63</v>
      </c>
      <c r="I2110" t="s">
        <v>126</v>
      </c>
      <c r="J2110" t="s">
        <v>148</v>
      </c>
      <c r="L2110">
        <v>0</v>
      </c>
      <c r="M2110" t="s">
        <v>125</v>
      </c>
      <c r="O2110" t="s">
        <v>125</v>
      </c>
      <c r="P2110" t="s">
        <v>125</v>
      </c>
      <c r="Q2110" t="s">
        <v>125</v>
      </c>
      <c r="R2110" t="s">
        <v>125</v>
      </c>
      <c r="S2110" t="s">
        <v>125</v>
      </c>
      <c r="T2110">
        <v>0</v>
      </c>
      <c r="V2110" t="s">
        <v>125</v>
      </c>
      <c r="AE2110" t="s">
        <v>125</v>
      </c>
      <c r="AF2110">
        <v>0</v>
      </c>
      <c r="AG2110" t="s">
        <v>125</v>
      </c>
      <c r="AH2110">
        <v>0</v>
      </c>
      <c r="AK2110">
        <v>0</v>
      </c>
    </row>
    <row r="2111" spans="1:37" x14ac:dyDescent="0.25">
      <c r="A2111" t="s">
        <v>79</v>
      </c>
      <c r="B2111">
        <v>8</v>
      </c>
      <c r="C2111">
        <v>3</v>
      </c>
      <c r="D2111">
        <v>4</v>
      </c>
      <c r="E2111">
        <v>9</v>
      </c>
      <c r="G2111">
        <v>834</v>
      </c>
      <c r="H2111" t="s">
        <v>63</v>
      </c>
      <c r="I2111" t="s">
        <v>74</v>
      </c>
      <c r="J2111" t="s">
        <v>149</v>
      </c>
      <c r="L2111">
        <v>0</v>
      </c>
      <c r="M2111" t="s">
        <v>125</v>
      </c>
      <c r="O2111" t="s">
        <v>125</v>
      </c>
      <c r="P2111" t="s">
        <v>125</v>
      </c>
      <c r="Q2111" t="s">
        <v>125</v>
      </c>
      <c r="R2111" t="s">
        <v>125</v>
      </c>
      <c r="S2111" t="s">
        <v>125</v>
      </c>
      <c r="T2111">
        <v>0</v>
      </c>
      <c r="V2111" t="s">
        <v>125</v>
      </c>
      <c r="AE2111" t="s">
        <v>125</v>
      </c>
      <c r="AF2111">
        <v>0</v>
      </c>
      <c r="AG2111" t="s">
        <v>125</v>
      </c>
      <c r="AH2111">
        <v>0</v>
      </c>
      <c r="AK2111">
        <v>0</v>
      </c>
    </row>
    <row r="2112" spans="1:37" x14ac:dyDescent="0.25">
      <c r="A2112" t="s">
        <v>79</v>
      </c>
      <c r="B2112">
        <v>8</v>
      </c>
      <c r="C2112">
        <v>3</v>
      </c>
      <c r="D2112">
        <v>4</v>
      </c>
      <c r="E2112">
        <v>10</v>
      </c>
      <c r="G2112">
        <v>834</v>
      </c>
      <c r="H2112" t="s">
        <v>63</v>
      </c>
      <c r="I2112" t="s">
        <v>129</v>
      </c>
      <c r="J2112" t="s">
        <v>150</v>
      </c>
      <c r="L2112">
        <v>0</v>
      </c>
      <c r="M2112" t="s">
        <v>125</v>
      </c>
      <c r="O2112" t="s">
        <v>125</v>
      </c>
      <c r="P2112" t="s">
        <v>125</v>
      </c>
      <c r="Q2112" t="s">
        <v>125</v>
      </c>
      <c r="R2112" t="s">
        <v>125</v>
      </c>
      <c r="S2112" t="s">
        <v>125</v>
      </c>
      <c r="T2112">
        <v>0</v>
      </c>
      <c r="V2112" t="s">
        <v>125</v>
      </c>
      <c r="AE2112" t="s">
        <v>125</v>
      </c>
      <c r="AF2112">
        <v>0</v>
      </c>
      <c r="AG2112" t="s">
        <v>125</v>
      </c>
      <c r="AH2112">
        <v>0</v>
      </c>
      <c r="AK2112">
        <v>0</v>
      </c>
    </row>
    <row r="2113" spans="1:37" x14ac:dyDescent="0.25">
      <c r="A2113" t="s">
        <v>79</v>
      </c>
      <c r="B2113">
        <v>8</v>
      </c>
      <c r="C2113">
        <v>3</v>
      </c>
      <c r="D2113">
        <v>4</v>
      </c>
      <c r="E2113">
        <v>11</v>
      </c>
      <c r="G2113">
        <v>834</v>
      </c>
      <c r="H2113" t="s">
        <v>63</v>
      </c>
      <c r="I2113" t="s">
        <v>131</v>
      </c>
      <c r="J2113" t="s">
        <v>151</v>
      </c>
      <c r="L2113">
        <v>0</v>
      </c>
      <c r="M2113" t="s">
        <v>125</v>
      </c>
      <c r="O2113" t="s">
        <v>125</v>
      </c>
      <c r="P2113" t="s">
        <v>125</v>
      </c>
      <c r="Q2113" t="s">
        <v>125</v>
      </c>
      <c r="R2113" t="s">
        <v>125</v>
      </c>
      <c r="S2113" t="s">
        <v>125</v>
      </c>
      <c r="T2113">
        <v>0</v>
      </c>
      <c r="V2113" t="s">
        <v>125</v>
      </c>
      <c r="AE2113" t="s">
        <v>125</v>
      </c>
      <c r="AF2113">
        <v>0</v>
      </c>
      <c r="AG2113" t="s">
        <v>125</v>
      </c>
      <c r="AH2113">
        <v>0</v>
      </c>
      <c r="AK2113">
        <v>0</v>
      </c>
    </row>
    <row r="2114" spans="1:37" x14ac:dyDescent="0.25">
      <c r="A2114" t="s">
        <v>79</v>
      </c>
      <c r="B2114">
        <v>8</v>
      </c>
      <c r="C2114">
        <v>3</v>
      </c>
      <c r="D2114">
        <v>4</v>
      </c>
      <c r="E2114">
        <v>12</v>
      </c>
      <c r="G2114">
        <v>834</v>
      </c>
      <c r="H2114" t="s">
        <v>63</v>
      </c>
      <c r="I2114" t="s">
        <v>133</v>
      </c>
      <c r="J2114" t="s">
        <v>152</v>
      </c>
      <c r="L2114">
        <v>0</v>
      </c>
      <c r="M2114" t="s">
        <v>125</v>
      </c>
      <c r="O2114" t="s">
        <v>125</v>
      </c>
      <c r="P2114" t="s">
        <v>125</v>
      </c>
      <c r="Q2114" t="s">
        <v>125</v>
      </c>
      <c r="R2114" t="s">
        <v>125</v>
      </c>
      <c r="S2114" t="s">
        <v>125</v>
      </c>
      <c r="T2114">
        <v>0</v>
      </c>
      <c r="V2114" t="s">
        <v>125</v>
      </c>
      <c r="AE2114" t="s">
        <v>125</v>
      </c>
      <c r="AF2114">
        <v>0</v>
      </c>
      <c r="AG2114" t="s">
        <v>125</v>
      </c>
      <c r="AH2114">
        <v>0</v>
      </c>
      <c r="AK2114">
        <v>0</v>
      </c>
    </row>
    <row r="2115" spans="1:37" x14ac:dyDescent="0.25">
      <c r="A2115" t="s">
        <v>79</v>
      </c>
      <c r="B2115">
        <v>8</v>
      </c>
      <c r="C2115">
        <v>3</v>
      </c>
      <c r="D2115">
        <v>4</v>
      </c>
      <c r="E2115">
        <v>13</v>
      </c>
      <c r="G2115">
        <v>834</v>
      </c>
      <c r="H2115" t="s">
        <v>63</v>
      </c>
      <c r="I2115" t="s">
        <v>135</v>
      </c>
      <c r="J2115" t="s">
        <v>153</v>
      </c>
      <c r="L2115">
        <v>0</v>
      </c>
      <c r="M2115" t="s">
        <v>125</v>
      </c>
      <c r="O2115" t="s">
        <v>125</v>
      </c>
      <c r="P2115" t="s">
        <v>125</v>
      </c>
      <c r="Q2115" t="s">
        <v>125</v>
      </c>
      <c r="R2115" t="s">
        <v>125</v>
      </c>
      <c r="S2115" t="s">
        <v>125</v>
      </c>
      <c r="T2115">
        <v>0</v>
      </c>
      <c r="V2115" t="s">
        <v>125</v>
      </c>
      <c r="AE2115" t="s">
        <v>125</v>
      </c>
      <c r="AF2115">
        <v>0</v>
      </c>
      <c r="AG2115" t="s">
        <v>125</v>
      </c>
      <c r="AH2115">
        <v>0</v>
      </c>
      <c r="AK2115">
        <v>0</v>
      </c>
    </row>
    <row r="2116" spans="1:37" x14ac:dyDescent="0.25">
      <c r="A2116" t="s">
        <v>79</v>
      </c>
      <c r="B2116">
        <v>8</v>
      </c>
      <c r="C2116">
        <v>3</v>
      </c>
      <c r="D2116">
        <v>4</v>
      </c>
      <c r="E2116">
        <v>14</v>
      </c>
      <c r="G2116">
        <v>834</v>
      </c>
      <c r="H2116" t="s">
        <v>63</v>
      </c>
      <c r="I2116" t="s">
        <v>137</v>
      </c>
      <c r="J2116" t="s">
        <v>154</v>
      </c>
      <c r="L2116">
        <v>0</v>
      </c>
      <c r="M2116" t="s">
        <v>125</v>
      </c>
      <c r="O2116" t="s">
        <v>125</v>
      </c>
      <c r="P2116" t="s">
        <v>125</v>
      </c>
      <c r="Q2116" t="s">
        <v>125</v>
      </c>
      <c r="R2116" t="s">
        <v>125</v>
      </c>
      <c r="S2116" t="s">
        <v>125</v>
      </c>
      <c r="T2116">
        <v>0</v>
      </c>
      <c r="V2116" t="s">
        <v>125</v>
      </c>
      <c r="AE2116" t="s">
        <v>125</v>
      </c>
      <c r="AF2116">
        <v>0</v>
      </c>
      <c r="AG2116" t="s">
        <v>125</v>
      </c>
      <c r="AH2116">
        <v>0</v>
      </c>
      <c r="AK2116">
        <v>0</v>
      </c>
    </row>
    <row r="2117" spans="1:37" x14ac:dyDescent="0.25">
      <c r="A2117" t="s">
        <v>79</v>
      </c>
      <c r="B2117">
        <v>8</v>
      </c>
      <c r="C2117">
        <v>3</v>
      </c>
      <c r="D2117">
        <v>4</v>
      </c>
      <c r="E2117">
        <v>15</v>
      </c>
      <c r="G2117">
        <v>834</v>
      </c>
      <c r="H2117" t="s">
        <v>63</v>
      </c>
      <c r="I2117" t="s">
        <v>139</v>
      </c>
      <c r="J2117" t="s">
        <v>155</v>
      </c>
      <c r="L2117">
        <v>0</v>
      </c>
      <c r="M2117" t="s">
        <v>125</v>
      </c>
      <c r="O2117" t="s">
        <v>125</v>
      </c>
      <c r="P2117" t="s">
        <v>125</v>
      </c>
      <c r="Q2117" t="s">
        <v>125</v>
      </c>
      <c r="R2117" t="s">
        <v>125</v>
      </c>
      <c r="S2117" t="s">
        <v>125</v>
      </c>
      <c r="T2117">
        <v>0</v>
      </c>
      <c r="V2117" t="s">
        <v>125</v>
      </c>
      <c r="AE2117" t="s">
        <v>125</v>
      </c>
      <c r="AF2117">
        <v>0</v>
      </c>
      <c r="AG2117" t="s">
        <v>125</v>
      </c>
      <c r="AH2117">
        <v>0</v>
      </c>
      <c r="AK2117">
        <v>0</v>
      </c>
    </row>
    <row r="2118" spans="1:37" x14ac:dyDescent="0.25">
      <c r="L2118">
        <v>0</v>
      </c>
    </row>
    <row r="2119" spans="1:37" x14ac:dyDescent="0.25">
      <c r="A2119" t="s">
        <v>70</v>
      </c>
      <c r="B2119">
        <v>8</v>
      </c>
      <c r="C2119">
        <v>3</v>
      </c>
      <c r="D2119">
        <v>5</v>
      </c>
      <c r="G2119">
        <v>83</v>
      </c>
      <c r="L2119">
        <v>0</v>
      </c>
      <c r="M2119" t="s">
        <v>125</v>
      </c>
      <c r="P2119" t="s">
        <v>125</v>
      </c>
      <c r="R2119" t="s">
        <v>125</v>
      </c>
      <c r="S2119" t="s">
        <v>63</v>
      </c>
      <c r="V2119" t="s">
        <v>125</v>
      </c>
      <c r="X2119" t="s">
        <v>125</v>
      </c>
      <c r="Y2119" t="s">
        <v>125</v>
      </c>
      <c r="Z2119" t="s">
        <v>125</v>
      </c>
      <c r="AA2119" t="s">
        <v>125</v>
      </c>
      <c r="AB2119" t="s">
        <v>125</v>
      </c>
      <c r="AC2119" t="s">
        <v>125</v>
      </c>
      <c r="AE2119" t="s">
        <v>125</v>
      </c>
      <c r="AF2119">
        <v>0</v>
      </c>
      <c r="AG2119" t="s">
        <v>125</v>
      </c>
      <c r="AH2119">
        <v>0</v>
      </c>
    </row>
    <row r="2120" spans="1:37" x14ac:dyDescent="0.25">
      <c r="A2120" t="s">
        <v>79</v>
      </c>
      <c r="B2120">
        <v>8</v>
      </c>
      <c r="C2120">
        <v>3</v>
      </c>
      <c r="D2120">
        <v>5</v>
      </c>
      <c r="E2120">
        <v>1</v>
      </c>
      <c r="G2120">
        <v>835</v>
      </c>
      <c r="H2120" t="s">
        <v>63</v>
      </c>
      <c r="I2120" t="s">
        <v>80</v>
      </c>
      <c r="J2120" t="s">
        <v>141</v>
      </c>
      <c r="L2120">
        <v>0</v>
      </c>
      <c r="M2120" t="s">
        <v>125</v>
      </c>
      <c r="O2120" t="s">
        <v>125</v>
      </c>
      <c r="P2120" t="s">
        <v>125</v>
      </c>
      <c r="Q2120" t="s">
        <v>125</v>
      </c>
      <c r="R2120" t="s">
        <v>125</v>
      </c>
      <c r="S2120" t="s">
        <v>125</v>
      </c>
      <c r="T2120">
        <v>0</v>
      </c>
      <c r="V2120" t="s">
        <v>125</v>
      </c>
      <c r="AE2120" t="s">
        <v>125</v>
      </c>
      <c r="AF2120">
        <v>0</v>
      </c>
      <c r="AG2120" t="s">
        <v>125</v>
      </c>
      <c r="AH2120">
        <v>0</v>
      </c>
      <c r="AK2120">
        <v>0</v>
      </c>
    </row>
    <row r="2121" spans="1:37" x14ac:dyDescent="0.25">
      <c r="A2121" t="s">
        <v>79</v>
      </c>
      <c r="B2121">
        <v>8</v>
      </c>
      <c r="C2121">
        <v>3</v>
      </c>
      <c r="D2121">
        <v>5</v>
      </c>
      <c r="E2121">
        <v>2</v>
      </c>
      <c r="G2121">
        <v>835</v>
      </c>
      <c r="H2121" t="s">
        <v>63</v>
      </c>
      <c r="I2121" t="s">
        <v>88</v>
      </c>
      <c r="J2121" t="s">
        <v>142</v>
      </c>
      <c r="L2121">
        <v>0</v>
      </c>
      <c r="M2121" t="s">
        <v>125</v>
      </c>
      <c r="O2121" t="s">
        <v>125</v>
      </c>
      <c r="P2121" t="s">
        <v>125</v>
      </c>
      <c r="Q2121" t="s">
        <v>125</v>
      </c>
      <c r="R2121" t="s">
        <v>125</v>
      </c>
      <c r="S2121" t="s">
        <v>125</v>
      </c>
      <c r="T2121">
        <v>0</v>
      </c>
      <c r="V2121" t="s">
        <v>125</v>
      </c>
      <c r="AE2121" t="s">
        <v>125</v>
      </c>
      <c r="AF2121">
        <v>0</v>
      </c>
      <c r="AG2121" t="s">
        <v>125</v>
      </c>
      <c r="AH2121">
        <v>0</v>
      </c>
      <c r="AK2121">
        <v>0</v>
      </c>
    </row>
    <row r="2122" spans="1:37" x14ac:dyDescent="0.25">
      <c r="A2122" t="s">
        <v>79</v>
      </c>
      <c r="B2122">
        <v>8</v>
      </c>
      <c r="C2122">
        <v>3</v>
      </c>
      <c r="D2122">
        <v>5</v>
      </c>
      <c r="E2122">
        <v>3</v>
      </c>
      <c r="G2122">
        <v>835</v>
      </c>
      <c r="H2122" t="s">
        <v>63</v>
      </c>
      <c r="I2122" t="s">
        <v>95</v>
      </c>
      <c r="J2122" t="s">
        <v>143</v>
      </c>
      <c r="L2122">
        <v>0</v>
      </c>
      <c r="M2122" t="s">
        <v>125</v>
      </c>
      <c r="O2122" t="s">
        <v>125</v>
      </c>
      <c r="P2122" t="s">
        <v>125</v>
      </c>
      <c r="Q2122" t="s">
        <v>125</v>
      </c>
      <c r="R2122" t="s">
        <v>125</v>
      </c>
      <c r="S2122" t="s">
        <v>125</v>
      </c>
      <c r="T2122">
        <v>0</v>
      </c>
      <c r="V2122" t="s">
        <v>125</v>
      </c>
      <c r="AE2122" t="s">
        <v>125</v>
      </c>
      <c r="AF2122">
        <v>0</v>
      </c>
      <c r="AG2122" t="s">
        <v>125</v>
      </c>
      <c r="AH2122">
        <v>0</v>
      </c>
      <c r="AK2122">
        <v>0</v>
      </c>
    </row>
    <row r="2123" spans="1:37" x14ac:dyDescent="0.25">
      <c r="A2123" t="s">
        <v>79</v>
      </c>
      <c r="B2123">
        <v>8</v>
      </c>
      <c r="C2123">
        <v>3</v>
      </c>
      <c r="D2123">
        <v>5</v>
      </c>
      <c r="E2123">
        <v>4</v>
      </c>
      <c r="G2123">
        <v>835</v>
      </c>
      <c r="H2123" t="s">
        <v>63</v>
      </c>
      <c r="I2123" t="s">
        <v>102</v>
      </c>
      <c r="J2123" t="s">
        <v>144</v>
      </c>
      <c r="L2123">
        <v>0</v>
      </c>
      <c r="M2123" t="s">
        <v>125</v>
      </c>
      <c r="O2123" t="s">
        <v>125</v>
      </c>
      <c r="P2123" t="s">
        <v>125</v>
      </c>
      <c r="Q2123" t="s">
        <v>125</v>
      </c>
      <c r="R2123" t="s">
        <v>125</v>
      </c>
      <c r="S2123" t="s">
        <v>125</v>
      </c>
      <c r="T2123">
        <v>0</v>
      </c>
      <c r="V2123" t="s">
        <v>125</v>
      </c>
      <c r="AE2123" t="s">
        <v>125</v>
      </c>
      <c r="AF2123">
        <v>0</v>
      </c>
      <c r="AG2123" t="s">
        <v>125</v>
      </c>
      <c r="AH2123">
        <v>0</v>
      </c>
      <c r="AK2123">
        <v>0</v>
      </c>
    </row>
    <row r="2124" spans="1:37" x14ac:dyDescent="0.25">
      <c r="A2124" t="s">
        <v>79</v>
      </c>
      <c r="B2124">
        <v>8</v>
      </c>
      <c r="C2124">
        <v>3</v>
      </c>
      <c r="D2124">
        <v>5</v>
      </c>
      <c r="E2124">
        <v>5</v>
      </c>
      <c r="G2124">
        <v>835</v>
      </c>
      <c r="H2124" t="s">
        <v>63</v>
      </c>
      <c r="I2124" t="s">
        <v>109</v>
      </c>
      <c r="J2124" t="s">
        <v>145</v>
      </c>
      <c r="L2124">
        <v>0</v>
      </c>
      <c r="M2124" t="s">
        <v>125</v>
      </c>
      <c r="O2124" t="s">
        <v>125</v>
      </c>
      <c r="P2124" t="s">
        <v>125</v>
      </c>
      <c r="Q2124" t="s">
        <v>125</v>
      </c>
      <c r="R2124" t="s">
        <v>125</v>
      </c>
      <c r="S2124" t="s">
        <v>125</v>
      </c>
      <c r="T2124">
        <v>0</v>
      </c>
      <c r="V2124" t="s">
        <v>125</v>
      </c>
      <c r="AE2124" t="s">
        <v>125</v>
      </c>
      <c r="AF2124">
        <v>0</v>
      </c>
      <c r="AG2124" t="s">
        <v>125</v>
      </c>
      <c r="AH2124">
        <v>0</v>
      </c>
      <c r="AK2124">
        <v>0</v>
      </c>
    </row>
    <row r="2125" spans="1:37" x14ac:dyDescent="0.25">
      <c r="A2125" t="s">
        <v>79</v>
      </c>
      <c r="B2125">
        <v>8</v>
      </c>
      <c r="C2125">
        <v>3</v>
      </c>
      <c r="D2125">
        <v>5</v>
      </c>
      <c r="E2125">
        <v>6</v>
      </c>
      <c r="G2125">
        <v>835</v>
      </c>
      <c r="H2125" t="s">
        <v>63</v>
      </c>
      <c r="I2125" t="s">
        <v>116</v>
      </c>
      <c r="J2125" t="s">
        <v>146</v>
      </c>
      <c r="L2125">
        <v>0</v>
      </c>
      <c r="M2125" t="s">
        <v>125</v>
      </c>
      <c r="O2125" t="s">
        <v>125</v>
      </c>
      <c r="P2125" t="s">
        <v>125</v>
      </c>
      <c r="Q2125" t="s">
        <v>125</v>
      </c>
      <c r="R2125" t="s">
        <v>125</v>
      </c>
      <c r="S2125" t="s">
        <v>125</v>
      </c>
      <c r="T2125">
        <v>0</v>
      </c>
      <c r="V2125" t="s">
        <v>125</v>
      </c>
      <c r="AE2125" t="s">
        <v>125</v>
      </c>
      <c r="AF2125">
        <v>0</v>
      </c>
      <c r="AG2125" t="s">
        <v>125</v>
      </c>
      <c r="AH2125">
        <v>0</v>
      </c>
      <c r="AK2125">
        <v>0</v>
      </c>
    </row>
    <row r="2126" spans="1:37" x14ac:dyDescent="0.25">
      <c r="A2126" t="s">
        <v>79</v>
      </c>
      <c r="B2126">
        <v>8</v>
      </c>
      <c r="C2126">
        <v>3</v>
      </c>
      <c r="D2126">
        <v>5</v>
      </c>
      <c r="E2126">
        <v>7</v>
      </c>
      <c r="G2126">
        <v>835</v>
      </c>
      <c r="H2126" t="s">
        <v>63</v>
      </c>
      <c r="I2126" t="s">
        <v>123</v>
      </c>
      <c r="J2126" t="s">
        <v>147</v>
      </c>
      <c r="L2126">
        <v>0</v>
      </c>
      <c r="M2126" t="s">
        <v>125</v>
      </c>
      <c r="O2126" t="s">
        <v>125</v>
      </c>
      <c r="P2126" t="s">
        <v>125</v>
      </c>
      <c r="Q2126" t="s">
        <v>125</v>
      </c>
      <c r="R2126" t="s">
        <v>125</v>
      </c>
      <c r="S2126" t="s">
        <v>125</v>
      </c>
      <c r="T2126">
        <v>0</v>
      </c>
      <c r="V2126" t="s">
        <v>125</v>
      </c>
      <c r="AE2126" t="s">
        <v>125</v>
      </c>
      <c r="AF2126">
        <v>0</v>
      </c>
      <c r="AG2126" t="s">
        <v>125</v>
      </c>
      <c r="AH2126">
        <v>0</v>
      </c>
      <c r="AK2126">
        <v>0</v>
      </c>
    </row>
    <row r="2127" spans="1:37" x14ac:dyDescent="0.25">
      <c r="A2127" t="s">
        <v>79</v>
      </c>
      <c r="B2127">
        <v>8</v>
      </c>
      <c r="C2127">
        <v>3</v>
      </c>
      <c r="D2127">
        <v>5</v>
      </c>
      <c r="E2127">
        <v>8</v>
      </c>
      <c r="G2127">
        <v>835</v>
      </c>
      <c r="H2127" t="s">
        <v>63</v>
      </c>
      <c r="I2127" t="s">
        <v>126</v>
      </c>
      <c r="J2127" t="s">
        <v>148</v>
      </c>
      <c r="L2127">
        <v>0</v>
      </c>
      <c r="M2127" t="s">
        <v>125</v>
      </c>
      <c r="O2127" t="s">
        <v>125</v>
      </c>
      <c r="P2127" t="s">
        <v>125</v>
      </c>
      <c r="Q2127" t="s">
        <v>125</v>
      </c>
      <c r="R2127" t="s">
        <v>125</v>
      </c>
      <c r="S2127" t="s">
        <v>125</v>
      </c>
      <c r="T2127">
        <v>0</v>
      </c>
      <c r="V2127" t="s">
        <v>125</v>
      </c>
      <c r="AE2127" t="s">
        <v>125</v>
      </c>
      <c r="AF2127">
        <v>0</v>
      </c>
      <c r="AG2127" t="s">
        <v>125</v>
      </c>
      <c r="AH2127">
        <v>0</v>
      </c>
      <c r="AK2127">
        <v>0</v>
      </c>
    </row>
    <row r="2128" spans="1:37" x14ac:dyDescent="0.25">
      <c r="A2128" t="s">
        <v>79</v>
      </c>
      <c r="B2128">
        <v>8</v>
      </c>
      <c r="C2128">
        <v>3</v>
      </c>
      <c r="D2128">
        <v>5</v>
      </c>
      <c r="E2128">
        <v>9</v>
      </c>
      <c r="G2128">
        <v>835</v>
      </c>
      <c r="H2128" t="s">
        <v>63</v>
      </c>
      <c r="I2128" t="s">
        <v>74</v>
      </c>
      <c r="J2128" t="s">
        <v>149</v>
      </c>
      <c r="L2128">
        <v>0</v>
      </c>
      <c r="M2128" t="s">
        <v>125</v>
      </c>
      <c r="O2128" t="s">
        <v>125</v>
      </c>
      <c r="P2128" t="s">
        <v>125</v>
      </c>
      <c r="Q2128" t="s">
        <v>125</v>
      </c>
      <c r="R2128" t="s">
        <v>125</v>
      </c>
      <c r="S2128" t="s">
        <v>125</v>
      </c>
      <c r="T2128">
        <v>0</v>
      </c>
      <c r="V2128" t="s">
        <v>125</v>
      </c>
      <c r="AE2128" t="s">
        <v>125</v>
      </c>
      <c r="AF2128">
        <v>0</v>
      </c>
      <c r="AG2128" t="s">
        <v>125</v>
      </c>
      <c r="AH2128">
        <v>0</v>
      </c>
      <c r="AK2128">
        <v>0</v>
      </c>
    </row>
    <row r="2129" spans="1:37" x14ac:dyDescent="0.25">
      <c r="A2129" t="s">
        <v>79</v>
      </c>
      <c r="B2129">
        <v>8</v>
      </c>
      <c r="C2129">
        <v>3</v>
      </c>
      <c r="D2129">
        <v>5</v>
      </c>
      <c r="E2129">
        <v>10</v>
      </c>
      <c r="G2129">
        <v>835</v>
      </c>
      <c r="H2129" t="s">
        <v>63</v>
      </c>
      <c r="I2129" t="s">
        <v>129</v>
      </c>
      <c r="J2129" t="s">
        <v>150</v>
      </c>
      <c r="L2129">
        <v>0</v>
      </c>
      <c r="M2129" t="s">
        <v>125</v>
      </c>
      <c r="O2129" t="s">
        <v>125</v>
      </c>
      <c r="P2129" t="s">
        <v>125</v>
      </c>
      <c r="Q2129" t="s">
        <v>125</v>
      </c>
      <c r="R2129" t="s">
        <v>125</v>
      </c>
      <c r="S2129" t="s">
        <v>125</v>
      </c>
      <c r="T2129">
        <v>0</v>
      </c>
      <c r="V2129" t="s">
        <v>125</v>
      </c>
      <c r="AE2129" t="s">
        <v>125</v>
      </c>
      <c r="AF2129">
        <v>0</v>
      </c>
      <c r="AG2129" t="s">
        <v>125</v>
      </c>
      <c r="AH2129">
        <v>0</v>
      </c>
      <c r="AK2129">
        <v>0</v>
      </c>
    </row>
    <row r="2130" spans="1:37" x14ac:dyDescent="0.25">
      <c r="A2130" t="s">
        <v>79</v>
      </c>
      <c r="B2130">
        <v>8</v>
      </c>
      <c r="C2130">
        <v>3</v>
      </c>
      <c r="D2130">
        <v>5</v>
      </c>
      <c r="E2130">
        <v>11</v>
      </c>
      <c r="G2130">
        <v>835</v>
      </c>
      <c r="H2130" t="s">
        <v>63</v>
      </c>
      <c r="I2130" t="s">
        <v>131</v>
      </c>
      <c r="J2130" t="s">
        <v>151</v>
      </c>
      <c r="L2130">
        <v>0</v>
      </c>
      <c r="M2130" t="s">
        <v>125</v>
      </c>
      <c r="O2130" t="s">
        <v>125</v>
      </c>
      <c r="P2130" t="s">
        <v>125</v>
      </c>
      <c r="Q2130" t="s">
        <v>125</v>
      </c>
      <c r="R2130" t="s">
        <v>125</v>
      </c>
      <c r="S2130" t="s">
        <v>125</v>
      </c>
      <c r="T2130">
        <v>0</v>
      </c>
      <c r="V2130" t="s">
        <v>125</v>
      </c>
      <c r="AE2130" t="s">
        <v>125</v>
      </c>
      <c r="AF2130">
        <v>0</v>
      </c>
      <c r="AG2130" t="s">
        <v>125</v>
      </c>
      <c r="AH2130">
        <v>0</v>
      </c>
      <c r="AK2130">
        <v>0</v>
      </c>
    </row>
    <row r="2131" spans="1:37" x14ac:dyDescent="0.25">
      <c r="A2131" t="s">
        <v>79</v>
      </c>
      <c r="B2131">
        <v>8</v>
      </c>
      <c r="C2131">
        <v>3</v>
      </c>
      <c r="D2131">
        <v>5</v>
      </c>
      <c r="E2131">
        <v>12</v>
      </c>
      <c r="G2131">
        <v>835</v>
      </c>
      <c r="H2131" t="s">
        <v>63</v>
      </c>
      <c r="I2131" t="s">
        <v>133</v>
      </c>
      <c r="J2131" t="s">
        <v>152</v>
      </c>
      <c r="L2131">
        <v>0</v>
      </c>
      <c r="M2131" t="s">
        <v>125</v>
      </c>
      <c r="O2131" t="s">
        <v>125</v>
      </c>
      <c r="P2131" t="s">
        <v>125</v>
      </c>
      <c r="Q2131" t="s">
        <v>125</v>
      </c>
      <c r="R2131" t="s">
        <v>125</v>
      </c>
      <c r="S2131" t="s">
        <v>125</v>
      </c>
      <c r="T2131">
        <v>0</v>
      </c>
      <c r="V2131" t="s">
        <v>125</v>
      </c>
      <c r="AE2131" t="s">
        <v>125</v>
      </c>
      <c r="AF2131">
        <v>0</v>
      </c>
      <c r="AG2131" t="s">
        <v>125</v>
      </c>
      <c r="AH2131">
        <v>0</v>
      </c>
      <c r="AK2131">
        <v>0</v>
      </c>
    </row>
    <row r="2132" spans="1:37" x14ac:dyDescent="0.25">
      <c r="A2132" t="s">
        <v>79</v>
      </c>
      <c r="B2132">
        <v>8</v>
      </c>
      <c r="C2132">
        <v>3</v>
      </c>
      <c r="D2132">
        <v>5</v>
      </c>
      <c r="E2132">
        <v>13</v>
      </c>
      <c r="G2132">
        <v>835</v>
      </c>
      <c r="H2132" t="s">
        <v>63</v>
      </c>
      <c r="I2132" t="s">
        <v>135</v>
      </c>
      <c r="J2132" t="s">
        <v>153</v>
      </c>
      <c r="L2132">
        <v>0</v>
      </c>
      <c r="M2132" t="s">
        <v>125</v>
      </c>
      <c r="O2132" t="s">
        <v>125</v>
      </c>
      <c r="P2132" t="s">
        <v>125</v>
      </c>
      <c r="Q2132" t="s">
        <v>125</v>
      </c>
      <c r="R2132" t="s">
        <v>125</v>
      </c>
      <c r="S2132" t="s">
        <v>125</v>
      </c>
      <c r="T2132">
        <v>0</v>
      </c>
      <c r="V2132" t="s">
        <v>125</v>
      </c>
      <c r="AE2132" t="s">
        <v>125</v>
      </c>
      <c r="AF2132">
        <v>0</v>
      </c>
      <c r="AG2132" t="s">
        <v>125</v>
      </c>
      <c r="AH2132">
        <v>0</v>
      </c>
      <c r="AK2132">
        <v>0</v>
      </c>
    </row>
    <row r="2133" spans="1:37" x14ac:dyDescent="0.25">
      <c r="A2133" t="s">
        <v>79</v>
      </c>
      <c r="B2133">
        <v>8</v>
      </c>
      <c r="C2133">
        <v>3</v>
      </c>
      <c r="D2133">
        <v>5</v>
      </c>
      <c r="E2133">
        <v>14</v>
      </c>
      <c r="G2133">
        <v>835</v>
      </c>
      <c r="H2133" t="s">
        <v>63</v>
      </c>
      <c r="I2133" t="s">
        <v>137</v>
      </c>
      <c r="J2133" t="s">
        <v>154</v>
      </c>
      <c r="L2133">
        <v>0</v>
      </c>
      <c r="M2133" t="s">
        <v>125</v>
      </c>
      <c r="O2133" t="s">
        <v>125</v>
      </c>
      <c r="P2133" t="s">
        <v>125</v>
      </c>
      <c r="Q2133" t="s">
        <v>125</v>
      </c>
      <c r="R2133" t="s">
        <v>125</v>
      </c>
      <c r="S2133" t="s">
        <v>125</v>
      </c>
      <c r="T2133">
        <v>0</v>
      </c>
      <c r="V2133" t="s">
        <v>125</v>
      </c>
      <c r="AE2133" t="s">
        <v>125</v>
      </c>
      <c r="AF2133">
        <v>0</v>
      </c>
      <c r="AG2133" t="s">
        <v>125</v>
      </c>
      <c r="AH2133">
        <v>0</v>
      </c>
      <c r="AK2133">
        <v>0</v>
      </c>
    </row>
    <row r="2134" spans="1:37" x14ac:dyDescent="0.25">
      <c r="A2134" t="s">
        <v>79</v>
      </c>
      <c r="B2134">
        <v>8</v>
      </c>
      <c r="C2134">
        <v>3</v>
      </c>
      <c r="D2134">
        <v>5</v>
      </c>
      <c r="E2134">
        <v>15</v>
      </c>
      <c r="G2134">
        <v>835</v>
      </c>
      <c r="H2134" t="s">
        <v>63</v>
      </c>
      <c r="I2134" t="s">
        <v>139</v>
      </c>
      <c r="J2134" t="s">
        <v>155</v>
      </c>
      <c r="L2134">
        <v>0</v>
      </c>
      <c r="M2134" t="s">
        <v>125</v>
      </c>
      <c r="O2134" t="s">
        <v>125</v>
      </c>
      <c r="P2134" t="s">
        <v>125</v>
      </c>
      <c r="Q2134" t="s">
        <v>125</v>
      </c>
      <c r="R2134" t="s">
        <v>125</v>
      </c>
      <c r="S2134" t="s">
        <v>125</v>
      </c>
      <c r="T2134">
        <v>0</v>
      </c>
      <c r="V2134" t="s">
        <v>125</v>
      </c>
      <c r="AE2134" t="s">
        <v>125</v>
      </c>
      <c r="AF2134">
        <v>0</v>
      </c>
      <c r="AG2134" t="s">
        <v>125</v>
      </c>
      <c r="AH2134">
        <v>0</v>
      </c>
      <c r="AK2134">
        <v>0</v>
      </c>
    </row>
    <row r="2135" spans="1:37" x14ac:dyDescent="0.25">
      <c r="L2135">
        <v>0</v>
      </c>
    </row>
    <row r="2136" spans="1:37" x14ac:dyDescent="0.25">
      <c r="L2136">
        <v>0</v>
      </c>
    </row>
    <row r="2137" spans="1:37" x14ac:dyDescent="0.25">
      <c r="A2137" t="s">
        <v>56</v>
      </c>
      <c r="F2137">
        <v>9</v>
      </c>
      <c r="L2137">
        <v>9</v>
      </c>
      <c r="M2137" t="s">
        <v>126</v>
      </c>
      <c r="N2137" t="s">
        <v>2979</v>
      </c>
      <c r="P2137" t="s">
        <v>2980</v>
      </c>
      <c r="V2137" t="s">
        <v>2981</v>
      </c>
      <c r="Y2137" t="s">
        <v>2982</v>
      </c>
      <c r="AA2137" t="s">
        <v>2983</v>
      </c>
      <c r="AC2137" t="s">
        <v>2984</v>
      </c>
      <c r="AE2137" t="s">
        <v>2985</v>
      </c>
      <c r="AF2137">
        <v>0</v>
      </c>
      <c r="AG2137" t="s">
        <v>2986</v>
      </c>
      <c r="AH2137">
        <v>0</v>
      </c>
      <c r="AK2137">
        <v>0</v>
      </c>
    </row>
    <row r="2138" spans="1:37" x14ac:dyDescent="0.25">
      <c r="L2138">
        <v>0</v>
      </c>
    </row>
    <row r="2139" spans="1:37" x14ac:dyDescent="0.25">
      <c r="A2139" t="s">
        <v>66</v>
      </c>
      <c r="B2139">
        <v>9</v>
      </c>
      <c r="C2139">
        <v>1</v>
      </c>
      <c r="G2139">
        <v>9</v>
      </c>
      <c r="H2139" t="s">
        <v>2979</v>
      </c>
      <c r="I2139" t="s">
        <v>2987</v>
      </c>
      <c r="M2139" t="s">
        <v>2988</v>
      </c>
      <c r="N2139" t="s">
        <v>2987</v>
      </c>
      <c r="P2139" t="s">
        <v>2989</v>
      </c>
      <c r="V2139" t="s">
        <v>2990</v>
      </c>
      <c r="Y2139" t="s">
        <v>2991</v>
      </c>
      <c r="AA2139" t="s">
        <v>2992</v>
      </c>
      <c r="AC2139" t="s">
        <v>2993</v>
      </c>
      <c r="AE2139" t="s">
        <v>2994</v>
      </c>
      <c r="AF2139">
        <v>0</v>
      </c>
      <c r="AG2139" t="s">
        <v>2995</v>
      </c>
      <c r="AH2139">
        <v>0</v>
      </c>
      <c r="AK2139">
        <v>0</v>
      </c>
    </row>
    <row r="2140" spans="1:37" x14ac:dyDescent="0.25">
      <c r="L2140">
        <v>0</v>
      </c>
    </row>
    <row r="2141" spans="1:37" x14ac:dyDescent="0.25">
      <c r="A2141" t="s">
        <v>70</v>
      </c>
      <c r="B2141">
        <v>9</v>
      </c>
      <c r="C2141">
        <v>1</v>
      </c>
      <c r="D2141">
        <v>1</v>
      </c>
      <c r="G2141">
        <v>91</v>
      </c>
      <c r="M2141" t="s">
        <v>2996</v>
      </c>
      <c r="O2141" t="s">
        <v>2997</v>
      </c>
      <c r="P2141" t="s">
        <v>2998</v>
      </c>
      <c r="Q2141" t="s">
        <v>2999</v>
      </c>
      <c r="R2141" t="s">
        <v>179</v>
      </c>
      <c r="S2141" t="s">
        <v>3000</v>
      </c>
      <c r="V2141" t="s">
        <v>2990</v>
      </c>
      <c r="X2141" t="s">
        <v>3001</v>
      </c>
      <c r="Y2141" t="s">
        <v>2991</v>
      </c>
      <c r="Z2141" t="s">
        <v>3002</v>
      </c>
      <c r="AA2141" t="s">
        <v>2992</v>
      </c>
      <c r="AB2141" t="s">
        <v>3003</v>
      </c>
      <c r="AC2141" t="s">
        <v>2993</v>
      </c>
      <c r="AE2141" t="s">
        <v>2994</v>
      </c>
      <c r="AF2141">
        <v>0</v>
      </c>
      <c r="AG2141" t="s">
        <v>2995</v>
      </c>
      <c r="AH2141">
        <v>0</v>
      </c>
      <c r="AK2141">
        <v>0</v>
      </c>
    </row>
    <row r="2142" spans="1:37" x14ac:dyDescent="0.25">
      <c r="A2142" t="s">
        <v>79</v>
      </c>
      <c r="B2142">
        <v>9</v>
      </c>
      <c r="C2142">
        <v>1</v>
      </c>
      <c r="D2142">
        <v>1</v>
      </c>
      <c r="E2142">
        <v>1</v>
      </c>
      <c r="G2142">
        <v>911</v>
      </c>
      <c r="H2142" t="s">
        <v>2997</v>
      </c>
      <c r="I2142" t="s">
        <v>80</v>
      </c>
      <c r="J2142" t="s">
        <v>3004</v>
      </c>
      <c r="L2142">
        <v>0</v>
      </c>
      <c r="M2142" t="s">
        <v>3005</v>
      </c>
      <c r="O2142" t="s">
        <v>3006</v>
      </c>
      <c r="P2142" t="s">
        <v>3007</v>
      </c>
      <c r="Q2142" t="s">
        <v>3008</v>
      </c>
      <c r="R2142" t="s">
        <v>268</v>
      </c>
      <c r="S2142" t="s">
        <v>3009</v>
      </c>
      <c r="T2142">
        <v>34</v>
      </c>
      <c r="U2142">
        <v>2</v>
      </c>
      <c r="V2142" t="s">
        <v>3010</v>
      </c>
      <c r="AE2142" t="s">
        <v>3011</v>
      </c>
      <c r="AF2142">
        <v>0</v>
      </c>
      <c r="AG2142" t="s">
        <v>3012</v>
      </c>
      <c r="AH2142">
        <v>0</v>
      </c>
      <c r="AK2142">
        <v>0</v>
      </c>
    </row>
    <row r="2143" spans="1:37" x14ac:dyDescent="0.25">
      <c r="A2143" t="s">
        <v>79</v>
      </c>
      <c r="B2143">
        <v>9</v>
      </c>
      <c r="C2143">
        <v>1</v>
      </c>
      <c r="D2143">
        <v>1</v>
      </c>
      <c r="E2143">
        <v>2</v>
      </c>
      <c r="G2143">
        <v>911</v>
      </c>
      <c r="H2143" t="s">
        <v>2997</v>
      </c>
      <c r="I2143" t="s">
        <v>88</v>
      </c>
      <c r="J2143" t="s">
        <v>3013</v>
      </c>
      <c r="L2143">
        <v>0</v>
      </c>
      <c r="M2143" t="s">
        <v>3014</v>
      </c>
      <c r="O2143" t="s">
        <v>3015</v>
      </c>
      <c r="P2143" t="s">
        <v>3016</v>
      </c>
      <c r="Q2143" t="s">
        <v>3017</v>
      </c>
      <c r="R2143" t="s">
        <v>268</v>
      </c>
      <c r="S2143" t="s">
        <v>3018</v>
      </c>
      <c r="T2143">
        <v>34</v>
      </c>
      <c r="U2143">
        <v>0</v>
      </c>
      <c r="V2143" t="s">
        <v>922</v>
      </c>
      <c r="AE2143" t="s">
        <v>3019</v>
      </c>
      <c r="AF2143">
        <v>0</v>
      </c>
      <c r="AG2143" t="s">
        <v>3020</v>
      </c>
      <c r="AH2143">
        <v>0</v>
      </c>
      <c r="AK2143">
        <v>0</v>
      </c>
    </row>
    <row r="2144" spans="1:37" x14ac:dyDescent="0.25">
      <c r="A2144" t="s">
        <v>79</v>
      </c>
      <c r="B2144">
        <v>9</v>
      </c>
      <c r="C2144">
        <v>1</v>
      </c>
      <c r="D2144">
        <v>1</v>
      </c>
      <c r="E2144">
        <v>3</v>
      </c>
      <c r="G2144">
        <v>911</v>
      </c>
      <c r="H2144" t="s">
        <v>2997</v>
      </c>
      <c r="I2144" t="s">
        <v>95</v>
      </c>
      <c r="J2144" t="s">
        <v>3021</v>
      </c>
      <c r="L2144">
        <v>0</v>
      </c>
      <c r="M2144" t="s">
        <v>3022</v>
      </c>
      <c r="O2144" t="s">
        <v>3023</v>
      </c>
      <c r="P2144" t="s">
        <v>3024</v>
      </c>
      <c r="Q2144" t="s">
        <v>554</v>
      </c>
      <c r="R2144" t="s">
        <v>179</v>
      </c>
      <c r="S2144" t="s">
        <v>3025</v>
      </c>
      <c r="T2144">
        <v>34</v>
      </c>
      <c r="U2144">
        <v>35</v>
      </c>
      <c r="V2144" t="s">
        <v>3026</v>
      </c>
      <c r="AE2144" t="s">
        <v>3027</v>
      </c>
      <c r="AF2144">
        <v>0</v>
      </c>
      <c r="AG2144" t="s">
        <v>3028</v>
      </c>
      <c r="AH2144">
        <v>0</v>
      </c>
      <c r="AK2144">
        <v>0</v>
      </c>
    </row>
    <row r="2145" spans="1:37" x14ac:dyDescent="0.25">
      <c r="A2145" t="s">
        <v>79</v>
      </c>
      <c r="B2145">
        <v>9</v>
      </c>
      <c r="C2145">
        <v>1</v>
      </c>
      <c r="D2145">
        <v>1</v>
      </c>
      <c r="E2145">
        <v>4</v>
      </c>
      <c r="G2145">
        <v>911</v>
      </c>
      <c r="H2145" t="s">
        <v>2997</v>
      </c>
      <c r="I2145" t="s">
        <v>102</v>
      </c>
      <c r="J2145" t="s">
        <v>3029</v>
      </c>
      <c r="L2145">
        <v>0</v>
      </c>
      <c r="M2145" t="s">
        <v>3030</v>
      </c>
      <c r="O2145" t="s">
        <v>3031</v>
      </c>
      <c r="P2145" t="s">
        <v>3032</v>
      </c>
      <c r="Q2145" t="s">
        <v>3033</v>
      </c>
      <c r="R2145" t="s">
        <v>229</v>
      </c>
      <c r="S2145" t="s">
        <v>3034</v>
      </c>
      <c r="T2145">
        <v>34</v>
      </c>
      <c r="U2145">
        <v>13</v>
      </c>
      <c r="V2145" t="s">
        <v>3035</v>
      </c>
      <c r="AE2145" t="s">
        <v>3036</v>
      </c>
      <c r="AF2145">
        <v>0</v>
      </c>
      <c r="AG2145" t="s">
        <v>3037</v>
      </c>
      <c r="AH2145">
        <v>0</v>
      </c>
      <c r="AK2145">
        <v>0</v>
      </c>
    </row>
    <row r="2146" spans="1:37" x14ac:dyDescent="0.25">
      <c r="A2146" t="s">
        <v>79</v>
      </c>
      <c r="B2146">
        <v>9</v>
      </c>
      <c r="C2146">
        <v>1</v>
      </c>
      <c r="D2146">
        <v>1</v>
      </c>
      <c r="E2146">
        <v>5</v>
      </c>
      <c r="G2146">
        <v>911</v>
      </c>
      <c r="H2146" t="s">
        <v>2997</v>
      </c>
      <c r="I2146" t="s">
        <v>109</v>
      </c>
      <c r="J2146" t="s">
        <v>3038</v>
      </c>
      <c r="L2146">
        <v>0</v>
      </c>
      <c r="M2146" t="s">
        <v>3039</v>
      </c>
      <c r="O2146" t="s">
        <v>294</v>
      </c>
      <c r="P2146" t="s">
        <v>295</v>
      </c>
      <c r="Q2146" t="s">
        <v>3033</v>
      </c>
      <c r="R2146" t="s">
        <v>229</v>
      </c>
      <c r="S2146" t="s">
        <v>297</v>
      </c>
      <c r="T2146">
        <v>34</v>
      </c>
      <c r="U2146">
        <v>13</v>
      </c>
      <c r="V2146" t="s">
        <v>3040</v>
      </c>
      <c r="AE2146" t="s">
        <v>3041</v>
      </c>
      <c r="AF2146">
        <v>0</v>
      </c>
      <c r="AG2146" t="s">
        <v>3037</v>
      </c>
      <c r="AH2146">
        <v>0</v>
      </c>
      <c r="AK2146">
        <v>0</v>
      </c>
    </row>
    <row r="2147" spans="1:37" x14ac:dyDescent="0.25">
      <c r="A2147" t="s">
        <v>79</v>
      </c>
      <c r="B2147">
        <v>9</v>
      </c>
      <c r="C2147">
        <v>1</v>
      </c>
      <c r="D2147">
        <v>1</v>
      </c>
      <c r="E2147">
        <v>6</v>
      </c>
      <c r="G2147">
        <v>911</v>
      </c>
      <c r="H2147" t="s">
        <v>2997</v>
      </c>
      <c r="I2147" t="s">
        <v>116</v>
      </c>
      <c r="J2147" t="s">
        <v>3042</v>
      </c>
      <c r="L2147">
        <v>0</v>
      </c>
      <c r="M2147" t="s">
        <v>3043</v>
      </c>
      <c r="O2147" t="s">
        <v>3044</v>
      </c>
      <c r="P2147" t="s">
        <v>3045</v>
      </c>
      <c r="Q2147" t="s">
        <v>3046</v>
      </c>
      <c r="R2147" t="s">
        <v>248</v>
      </c>
      <c r="S2147" t="s">
        <v>3047</v>
      </c>
      <c r="T2147">
        <v>34</v>
      </c>
      <c r="U2147">
        <v>0</v>
      </c>
      <c r="V2147" t="s">
        <v>3048</v>
      </c>
      <c r="AE2147" t="s">
        <v>3049</v>
      </c>
      <c r="AF2147">
        <v>0</v>
      </c>
      <c r="AG2147" t="s">
        <v>3050</v>
      </c>
      <c r="AH2147">
        <v>0</v>
      </c>
      <c r="AK2147">
        <v>0</v>
      </c>
    </row>
    <row r="2148" spans="1:37" x14ac:dyDescent="0.25">
      <c r="A2148" t="s">
        <v>79</v>
      </c>
      <c r="B2148">
        <v>9</v>
      </c>
      <c r="C2148">
        <v>1</v>
      </c>
      <c r="D2148">
        <v>1</v>
      </c>
      <c r="E2148">
        <v>7</v>
      </c>
      <c r="G2148">
        <v>911</v>
      </c>
      <c r="H2148" t="s">
        <v>2997</v>
      </c>
      <c r="I2148" t="s">
        <v>123</v>
      </c>
      <c r="J2148" t="s">
        <v>3051</v>
      </c>
      <c r="L2148">
        <v>0</v>
      </c>
      <c r="M2148" t="s">
        <v>3052</v>
      </c>
      <c r="O2148" t="s">
        <v>3053</v>
      </c>
      <c r="P2148" t="s">
        <v>3054</v>
      </c>
      <c r="Q2148" t="s">
        <v>3055</v>
      </c>
      <c r="R2148" t="s">
        <v>258</v>
      </c>
      <c r="S2148" t="s">
        <v>3056</v>
      </c>
      <c r="T2148">
        <v>34</v>
      </c>
      <c r="U2148">
        <v>6</v>
      </c>
      <c r="V2148" t="s">
        <v>1789</v>
      </c>
      <c r="AE2148" t="s">
        <v>3057</v>
      </c>
      <c r="AF2148">
        <v>0</v>
      </c>
      <c r="AG2148" t="s">
        <v>3058</v>
      </c>
      <c r="AH2148">
        <v>0</v>
      </c>
      <c r="AK2148">
        <v>0</v>
      </c>
    </row>
    <row r="2149" spans="1:37" x14ac:dyDescent="0.25">
      <c r="A2149" t="s">
        <v>79</v>
      </c>
      <c r="B2149">
        <v>9</v>
      </c>
      <c r="C2149">
        <v>1</v>
      </c>
      <c r="D2149">
        <v>1</v>
      </c>
      <c r="E2149">
        <v>8</v>
      </c>
      <c r="G2149">
        <v>911</v>
      </c>
      <c r="H2149" t="s">
        <v>2997</v>
      </c>
      <c r="I2149" t="s">
        <v>126</v>
      </c>
      <c r="J2149" t="s">
        <v>3059</v>
      </c>
      <c r="L2149">
        <v>0</v>
      </c>
      <c r="M2149" t="s">
        <v>3060</v>
      </c>
      <c r="O2149" t="s">
        <v>3061</v>
      </c>
      <c r="P2149" t="s">
        <v>3062</v>
      </c>
      <c r="Q2149" t="s">
        <v>3063</v>
      </c>
      <c r="R2149" t="s">
        <v>248</v>
      </c>
      <c r="S2149" t="s">
        <v>3064</v>
      </c>
      <c r="T2149">
        <v>34</v>
      </c>
      <c r="U2149">
        <v>2</v>
      </c>
      <c r="V2149" t="s">
        <v>270</v>
      </c>
      <c r="AE2149" t="s">
        <v>3065</v>
      </c>
      <c r="AF2149">
        <v>0</v>
      </c>
      <c r="AG2149" t="s">
        <v>3066</v>
      </c>
      <c r="AH2149">
        <v>0</v>
      </c>
      <c r="AK2149">
        <v>0</v>
      </c>
    </row>
    <row r="2150" spans="1:37" x14ac:dyDescent="0.25">
      <c r="A2150" t="s">
        <v>79</v>
      </c>
      <c r="B2150">
        <v>9</v>
      </c>
      <c r="C2150">
        <v>1</v>
      </c>
      <c r="D2150">
        <v>1</v>
      </c>
      <c r="E2150">
        <v>9</v>
      </c>
      <c r="G2150">
        <v>911</v>
      </c>
      <c r="H2150" t="s">
        <v>2997</v>
      </c>
      <c r="I2150" t="s">
        <v>74</v>
      </c>
      <c r="J2150" t="s">
        <v>3067</v>
      </c>
      <c r="L2150">
        <v>0</v>
      </c>
      <c r="M2150" t="s">
        <v>3068</v>
      </c>
      <c r="O2150" t="s">
        <v>3069</v>
      </c>
      <c r="P2150" t="s">
        <v>3070</v>
      </c>
      <c r="Q2150" t="s">
        <v>1255</v>
      </c>
      <c r="R2150" t="s">
        <v>258</v>
      </c>
      <c r="S2150" t="s">
        <v>764</v>
      </c>
      <c r="T2150">
        <v>34</v>
      </c>
      <c r="U2150">
        <v>5</v>
      </c>
      <c r="V2150" t="s">
        <v>2156</v>
      </c>
      <c r="AE2150" t="s">
        <v>3071</v>
      </c>
      <c r="AF2150">
        <v>0</v>
      </c>
      <c r="AG2150" t="s">
        <v>3072</v>
      </c>
      <c r="AH2150">
        <v>0</v>
      </c>
      <c r="AK2150">
        <v>0</v>
      </c>
    </row>
    <row r="2151" spans="1:37" x14ac:dyDescent="0.25">
      <c r="A2151" t="s">
        <v>79</v>
      </c>
      <c r="B2151">
        <v>9</v>
      </c>
      <c r="C2151">
        <v>1</v>
      </c>
      <c r="D2151">
        <v>1</v>
      </c>
      <c r="E2151">
        <v>10</v>
      </c>
      <c r="G2151">
        <v>911</v>
      </c>
      <c r="H2151" t="s">
        <v>2997</v>
      </c>
      <c r="I2151" t="s">
        <v>129</v>
      </c>
      <c r="J2151" t="s">
        <v>3073</v>
      </c>
      <c r="L2151">
        <v>0</v>
      </c>
      <c r="M2151" t="s">
        <v>125</v>
      </c>
      <c r="O2151" t="s">
        <v>125</v>
      </c>
      <c r="P2151" t="s">
        <v>125</v>
      </c>
      <c r="Q2151" t="s">
        <v>125</v>
      </c>
      <c r="R2151" t="s">
        <v>125</v>
      </c>
      <c r="S2151" t="s">
        <v>125</v>
      </c>
      <c r="T2151">
        <v>34</v>
      </c>
      <c r="V2151" t="s">
        <v>125</v>
      </c>
      <c r="AE2151" t="s">
        <v>125</v>
      </c>
      <c r="AF2151">
        <v>0</v>
      </c>
      <c r="AG2151" t="s">
        <v>125</v>
      </c>
      <c r="AH2151">
        <v>0</v>
      </c>
      <c r="AK2151">
        <v>0</v>
      </c>
    </row>
    <row r="2152" spans="1:37" x14ac:dyDescent="0.25">
      <c r="A2152" t="s">
        <v>79</v>
      </c>
      <c r="B2152">
        <v>9</v>
      </c>
      <c r="C2152">
        <v>1</v>
      </c>
      <c r="D2152">
        <v>1</v>
      </c>
      <c r="E2152">
        <v>11</v>
      </c>
      <c r="G2152">
        <v>911</v>
      </c>
      <c r="H2152" t="s">
        <v>2997</v>
      </c>
      <c r="I2152" t="s">
        <v>131</v>
      </c>
      <c r="J2152" t="s">
        <v>3074</v>
      </c>
      <c r="L2152">
        <v>0</v>
      </c>
      <c r="M2152" t="s">
        <v>125</v>
      </c>
      <c r="O2152" t="s">
        <v>125</v>
      </c>
      <c r="P2152" t="s">
        <v>125</v>
      </c>
      <c r="Q2152" t="s">
        <v>125</v>
      </c>
      <c r="R2152" t="s">
        <v>125</v>
      </c>
      <c r="S2152" t="s">
        <v>125</v>
      </c>
      <c r="T2152">
        <v>34</v>
      </c>
      <c r="V2152" t="s">
        <v>125</v>
      </c>
      <c r="AE2152" t="s">
        <v>125</v>
      </c>
      <c r="AF2152">
        <v>0</v>
      </c>
      <c r="AG2152" t="s">
        <v>125</v>
      </c>
      <c r="AH2152">
        <v>0</v>
      </c>
      <c r="AK2152">
        <v>0</v>
      </c>
    </row>
    <row r="2153" spans="1:37" x14ac:dyDescent="0.25">
      <c r="A2153" t="s">
        <v>79</v>
      </c>
      <c r="B2153">
        <v>9</v>
      </c>
      <c r="C2153">
        <v>1</v>
      </c>
      <c r="D2153">
        <v>1</v>
      </c>
      <c r="E2153">
        <v>12</v>
      </c>
      <c r="G2153">
        <v>911</v>
      </c>
      <c r="H2153" t="s">
        <v>2997</v>
      </c>
      <c r="I2153" t="s">
        <v>133</v>
      </c>
      <c r="J2153" t="s">
        <v>3075</v>
      </c>
      <c r="L2153">
        <v>0</v>
      </c>
      <c r="M2153" t="s">
        <v>125</v>
      </c>
      <c r="O2153" t="s">
        <v>125</v>
      </c>
      <c r="P2153" t="s">
        <v>125</v>
      </c>
      <c r="Q2153" t="s">
        <v>125</v>
      </c>
      <c r="R2153" t="s">
        <v>125</v>
      </c>
      <c r="S2153" t="s">
        <v>125</v>
      </c>
      <c r="T2153">
        <v>34</v>
      </c>
      <c r="V2153" t="s">
        <v>125</v>
      </c>
      <c r="AE2153" t="s">
        <v>125</v>
      </c>
      <c r="AF2153">
        <v>0</v>
      </c>
      <c r="AG2153" t="s">
        <v>125</v>
      </c>
      <c r="AH2153">
        <v>0</v>
      </c>
      <c r="AK2153">
        <v>0</v>
      </c>
    </row>
    <row r="2154" spans="1:37" x14ac:dyDescent="0.25">
      <c r="A2154" t="s">
        <v>79</v>
      </c>
      <c r="B2154">
        <v>9</v>
      </c>
      <c r="C2154">
        <v>1</v>
      </c>
      <c r="D2154">
        <v>1</v>
      </c>
      <c r="E2154">
        <v>13</v>
      </c>
      <c r="G2154">
        <v>911</v>
      </c>
      <c r="H2154" t="s">
        <v>2997</v>
      </c>
      <c r="I2154" t="s">
        <v>135</v>
      </c>
      <c r="J2154" t="s">
        <v>3076</v>
      </c>
      <c r="L2154">
        <v>0</v>
      </c>
      <c r="M2154" t="s">
        <v>125</v>
      </c>
      <c r="O2154" t="s">
        <v>125</v>
      </c>
      <c r="P2154" t="s">
        <v>125</v>
      </c>
      <c r="Q2154" t="s">
        <v>125</v>
      </c>
      <c r="R2154" t="s">
        <v>125</v>
      </c>
      <c r="S2154" t="s">
        <v>125</v>
      </c>
      <c r="T2154">
        <v>34</v>
      </c>
      <c r="V2154" t="s">
        <v>125</v>
      </c>
      <c r="AE2154" t="s">
        <v>125</v>
      </c>
      <c r="AF2154">
        <v>0</v>
      </c>
      <c r="AG2154" t="s">
        <v>125</v>
      </c>
      <c r="AH2154">
        <v>0</v>
      </c>
      <c r="AK2154">
        <v>0</v>
      </c>
    </row>
    <row r="2155" spans="1:37" x14ac:dyDescent="0.25">
      <c r="A2155" t="s">
        <v>79</v>
      </c>
      <c r="B2155">
        <v>9</v>
      </c>
      <c r="C2155">
        <v>1</v>
      </c>
      <c r="D2155">
        <v>1</v>
      </c>
      <c r="E2155">
        <v>14</v>
      </c>
      <c r="G2155">
        <v>911</v>
      </c>
      <c r="H2155" t="s">
        <v>2997</v>
      </c>
      <c r="I2155" t="s">
        <v>137</v>
      </c>
      <c r="J2155" t="s">
        <v>3077</v>
      </c>
      <c r="L2155">
        <v>0</v>
      </c>
      <c r="M2155" t="s">
        <v>125</v>
      </c>
      <c r="O2155" t="s">
        <v>125</v>
      </c>
      <c r="P2155" t="s">
        <v>125</v>
      </c>
      <c r="Q2155" t="s">
        <v>125</v>
      </c>
      <c r="R2155" t="s">
        <v>125</v>
      </c>
      <c r="S2155" t="s">
        <v>125</v>
      </c>
      <c r="T2155">
        <v>34</v>
      </c>
      <c r="V2155" t="s">
        <v>125</v>
      </c>
      <c r="AE2155" t="s">
        <v>125</v>
      </c>
      <c r="AF2155">
        <v>0</v>
      </c>
      <c r="AG2155" t="s">
        <v>125</v>
      </c>
      <c r="AH2155">
        <v>0</v>
      </c>
      <c r="AK2155">
        <v>0</v>
      </c>
    </row>
    <row r="2156" spans="1:37" x14ac:dyDescent="0.25">
      <c r="A2156" t="s">
        <v>79</v>
      </c>
      <c r="B2156">
        <v>9</v>
      </c>
      <c r="C2156">
        <v>1</v>
      </c>
      <c r="D2156">
        <v>1</v>
      </c>
      <c r="E2156">
        <v>15</v>
      </c>
      <c r="G2156">
        <v>911</v>
      </c>
      <c r="H2156" t="s">
        <v>2997</v>
      </c>
      <c r="I2156" t="s">
        <v>139</v>
      </c>
      <c r="J2156" t="s">
        <v>3078</v>
      </c>
      <c r="L2156">
        <v>0</v>
      </c>
      <c r="M2156" t="s">
        <v>125</v>
      </c>
      <c r="O2156" t="s">
        <v>125</v>
      </c>
      <c r="P2156" t="s">
        <v>125</v>
      </c>
      <c r="Q2156" t="s">
        <v>125</v>
      </c>
      <c r="R2156" t="s">
        <v>125</v>
      </c>
      <c r="S2156" t="s">
        <v>125</v>
      </c>
      <c r="T2156">
        <v>34</v>
      </c>
      <c r="V2156" t="s">
        <v>125</v>
      </c>
      <c r="AE2156" t="s">
        <v>125</v>
      </c>
      <c r="AF2156">
        <v>0</v>
      </c>
      <c r="AG2156" t="s">
        <v>125</v>
      </c>
      <c r="AH2156">
        <v>0</v>
      </c>
      <c r="AK2156">
        <v>0</v>
      </c>
    </row>
    <row r="2157" spans="1:37" x14ac:dyDescent="0.25">
      <c r="L2157">
        <v>0</v>
      </c>
    </row>
    <row r="2158" spans="1:37" x14ac:dyDescent="0.25">
      <c r="A2158" t="s">
        <v>70</v>
      </c>
      <c r="B2158">
        <v>9</v>
      </c>
      <c r="C2158">
        <v>1</v>
      </c>
      <c r="D2158">
        <v>2</v>
      </c>
      <c r="G2158">
        <v>91</v>
      </c>
      <c r="L2158">
        <v>0</v>
      </c>
      <c r="M2158" t="s">
        <v>125</v>
      </c>
      <c r="P2158" t="s">
        <v>125</v>
      </c>
      <c r="R2158" t="s">
        <v>125</v>
      </c>
      <c r="S2158" t="s">
        <v>63</v>
      </c>
      <c r="V2158" t="s">
        <v>125</v>
      </c>
      <c r="X2158" t="s">
        <v>125</v>
      </c>
      <c r="Y2158" t="s">
        <v>125</v>
      </c>
      <c r="Z2158" t="s">
        <v>125</v>
      </c>
      <c r="AA2158" t="s">
        <v>125</v>
      </c>
      <c r="AB2158" t="s">
        <v>125</v>
      </c>
      <c r="AC2158" t="s">
        <v>125</v>
      </c>
      <c r="AE2158" t="s">
        <v>125</v>
      </c>
      <c r="AF2158">
        <v>0</v>
      </c>
      <c r="AG2158" t="s">
        <v>125</v>
      </c>
      <c r="AH2158">
        <v>0</v>
      </c>
      <c r="AK2158">
        <v>0</v>
      </c>
    </row>
    <row r="2159" spans="1:37" x14ac:dyDescent="0.25">
      <c r="A2159" t="s">
        <v>79</v>
      </c>
      <c r="B2159">
        <v>9</v>
      </c>
      <c r="C2159">
        <v>1</v>
      </c>
      <c r="D2159">
        <v>2</v>
      </c>
      <c r="E2159">
        <v>1</v>
      </c>
      <c r="G2159">
        <v>912</v>
      </c>
      <c r="H2159" t="s">
        <v>63</v>
      </c>
      <c r="I2159" t="s">
        <v>80</v>
      </c>
      <c r="J2159" t="s">
        <v>141</v>
      </c>
      <c r="L2159">
        <v>0</v>
      </c>
      <c r="M2159" t="s">
        <v>125</v>
      </c>
      <c r="O2159" t="s">
        <v>125</v>
      </c>
      <c r="P2159" t="s">
        <v>125</v>
      </c>
      <c r="Q2159" t="s">
        <v>125</v>
      </c>
      <c r="R2159" t="s">
        <v>125</v>
      </c>
      <c r="S2159" t="s">
        <v>125</v>
      </c>
      <c r="T2159">
        <v>0</v>
      </c>
      <c r="V2159" t="s">
        <v>125</v>
      </c>
      <c r="AE2159" t="s">
        <v>125</v>
      </c>
      <c r="AF2159">
        <v>0</v>
      </c>
      <c r="AG2159" t="s">
        <v>125</v>
      </c>
      <c r="AH2159">
        <v>0</v>
      </c>
      <c r="AK2159">
        <v>0</v>
      </c>
    </row>
    <row r="2160" spans="1:37" x14ac:dyDescent="0.25">
      <c r="A2160" t="s">
        <v>79</v>
      </c>
      <c r="B2160">
        <v>9</v>
      </c>
      <c r="C2160">
        <v>1</v>
      </c>
      <c r="D2160">
        <v>2</v>
      </c>
      <c r="E2160">
        <v>2</v>
      </c>
      <c r="G2160">
        <v>912</v>
      </c>
      <c r="H2160" t="s">
        <v>63</v>
      </c>
      <c r="I2160" t="s">
        <v>88</v>
      </c>
      <c r="J2160" t="s">
        <v>142</v>
      </c>
      <c r="L2160">
        <v>0</v>
      </c>
      <c r="M2160" t="s">
        <v>125</v>
      </c>
      <c r="O2160" t="s">
        <v>125</v>
      </c>
      <c r="P2160" t="s">
        <v>125</v>
      </c>
      <c r="Q2160" t="s">
        <v>125</v>
      </c>
      <c r="R2160" t="s">
        <v>125</v>
      </c>
      <c r="S2160" t="s">
        <v>125</v>
      </c>
      <c r="T2160">
        <v>0</v>
      </c>
      <c r="V2160" t="s">
        <v>125</v>
      </c>
      <c r="AE2160" t="s">
        <v>125</v>
      </c>
      <c r="AF2160">
        <v>0</v>
      </c>
      <c r="AG2160" t="s">
        <v>125</v>
      </c>
      <c r="AH2160">
        <v>0</v>
      </c>
      <c r="AK2160">
        <v>0</v>
      </c>
    </row>
    <row r="2161" spans="1:37" x14ac:dyDescent="0.25">
      <c r="A2161" t="s">
        <v>79</v>
      </c>
      <c r="B2161">
        <v>9</v>
      </c>
      <c r="C2161">
        <v>1</v>
      </c>
      <c r="D2161">
        <v>2</v>
      </c>
      <c r="E2161">
        <v>3</v>
      </c>
      <c r="G2161">
        <v>912</v>
      </c>
      <c r="H2161" t="s">
        <v>63</v>
      </c>
      <c r="I2161" t="s">
        <v>95</v>
      </c>
      <c r="J2161" t="s">
        <v>143</v>
      </c>
      <c r="L2161">
        <v>0</v>
      </c>
      <c r="M2161" t="s">
        <v>125</v>
      </c>
      <c r="O2161" t="s">
        <v>125</v>
      </c>
      <c r="P2161" t="s">
        <v>125</v>
      </c>
      <c r="Q2161" t="s">
        <v>125</v>
      </c>
      <c r="R2161" t="s">
        <v>125</v>
      </c>
      <c r="S2161" t="s">
        <v>125</v>
      </c>
      <c r="T2161">
        <v>0</v>
      </c>
      <c r="V2161" t="s">
        <v>125</v>
      </c>
      <c r="AE2161" t="s">
        <v>125</v>
      </c>
      <c r="AF2161">
        <v>0</v>
      </c>
      <c r="AG2161" t="s">
        <v>125</v>
      </c>
      <c r="AH2161">
        <v>0</v>
      </c>
      <c r="AK2161">
        <v>0</v>
      </c>
    </row>
    <row r="2162" spans="1:37" x14ac:dyDescent="0.25">
      <c r="A2162" t="s">
        <v>79</v>
      </c>
      <c r="B2162">
        <v>9</v>
      </c>
      <c r="C2162">
        <v>1</v>
      </c>
      <c r="D2162">
        <v>2</v>
      </c>
      <c r="E2162">
        <v>4</v>
      </c>
      <c r="G2162">
        <v>912</v>
      </c>
      <c r="H2162" t="s">
        <v>63</v>
      </c>
      <c r="I2162" t="s">
        <v>102</v>
      </c>
      <c r="J2162" t="s">
        <v>144</v>
      </c>
      <c r="L2162">
        <v>0</v>
      </c>
      <c r="M2162" t="s">
        <v>125</v>
      </c>
      <c r="O2162" t="s">
        <v>125</v>
      </c>
      <c r="P2162" t="s">
        <v>125</v>
      </c>
      <c r="Q2162" t="s">
        <v>125</v>
      </c>
      <c r="R2162" t="s">
        <v>125</v>
      </c>
      <c r="S2162" t="s">
        <v>125</v>
      </c>
      <c r="T2162">
        <v>0</v>
      </c>
      <c r="V2162" t="s">
        <v>125</v>
      </c>
      <c r="AE2162" t="s">
        <v>125</v>
      </c>
      <c r="AF2162">
        <v>0</v>
      </c>
      <c r="AG2162" t="s">
        <v>125</v>
      </c>
      <c r="AH2162">
        <v>0</v>
      </c>
      <c r="AK2162">
        <v>0</v>
      </c>
    </row>
    <row r="2163" spans="1:37" x14ac:dyDescent="0.25">
      <c r="A2163" t="s">
        <v>79</v>
      </c>
      <c r="B2163">
        <v>9</v>
      </c>
      <c r="C2163">
        <v>1</v>
      </c>
      <c r="D2163">
        <v>2</v>
      </c>
      <c r="E2163">
        <v>5</v>
      </c>
      <c r="G2163">
        <v>912</v>
      </c>
      <c r="H2163" t="s">
        <v>63</v>
      </c>
      <c r="I2163" t="s">
        <v>109</v>
      </c>
      <c r="J2163" t="s">
        <v>145</v>
      </c>
      <c r="L2163">
        <v>0</v>
      </c>
      <c r="M2163" t="s">
        <v>125</v>
      </c>
      <c r="O2163" t="s">
        <v>125</v>
      </c>
      <c r="P2163" t="s">
        <v>125</v>
      </c>
      <c r="Q2163" t="s">
        <v>125</v>
      </c>
      <c r="R2163" t="s">
        <v>125</v>
      </c>
      <c r="S2163" t="s">
        <v>125</v>
      </c>
      <c r="T2163">
        <v>0</v>
      </c>
      <c r="V2163" t="s">
        <v>125</v>
      </c>
      <c r="AE2163" t="s">
        <v>125</v>
      </c>
      <c r="AF2163">
        <v>0</v>
      </c>
      <c r="AG2163" t="s">
        <v>125</v>
      </c>
      <c r="AH2163">
        <v>0</v>
      </c>
      <c r="AK2163">
        <v>0</v>
      </c>
    </row>
    <row r="2164" spans="1:37" x14ac:dyDescent="0.25">
      <c r="A2164" t="s">
        <v>79</v>
      </c>
      <c r="B2164">
        <v>9</v>
      </c>
      <c r="C2164">
        <v>1</v>
      </c>
      <c r="D2164">
        <v>2</v>
      </c>
      <c r="E2164">
        <v>6</v>
      </c>
      <c r="G2164">
        <v>912</v>
      </c>
      <c r="H2164" t="s">
        <v>63</v>
      </c>
      <c r="I2164" t="s">
        <v>116</v>
      </c>
      <c r="J2164" t="s">
        <v>146</v>
      </c>
      <c r="L2164">
        <v>0</v>
      </c>
      <c r="M2164" t="s">
        <v>125</v>
      </c>
      <c r="O2164" t="s">
        <v>125</v>
      </c>
      <c r="P2164" t="s">
        <v>125</v>
      </c>
      <c r="Q2164" t="s">
        <v>125</v>
      </c>
      <c r="R2164" t="s">
        <v>125</v>
      </c>
      <c r="S2164" t="s">
        <v>125</v>
      </c>
      <c r="T2164">
        <v>0</v>
      </c>
      <c r="V2164" t="s">
        <v>125</v>
      </c>
      <c r="AE2164" t="s">
        <v>125</v>
      </c>
      <c r="AF2164">
        <v>0</v>
      </c>
      <c r="AG2164" t="s">
        <v>125</v>
      </c>
      <c r="AH2164">
        <v>0</v>
      </c>
      <c r="AK2164">
        <v>0</v>
      </c>
    </row>
    <row r="2165" spans="1:37" x14ac:dyDescent="0.25">
      <c r="A2165" t="s">
        <v>79</v>
      </c>
      <c r="B2165">
        <v>9</v>
      </c>
      <c r="C2165">
        <v>1</v>
      </c>
      <c r="D2165">
        <v>2</v>
      </c>
      <c r="E2165">
        <v>7</v>
      </c>
      <c r="G2165">
        <v>912</v>
      </c>
      <c r="H2165" t="s">
        <v>63</v>
      </c>
      <c r="I2165" t="s">
        <v>123</v>
      </c>
      <c r="J2165" t="s">
        <v>147</v>
      </c>
      <c r="L2165">
        <v>0</v>
      </c>
      <c r="M2165" t="s">
        <v>125</v>
      </c>
      <c r="O2165" t="s">
        <v>125</v>
      </c>
      <c r="P2165" t="s">
        <v>125</v>
      </c>
      <c r="Q2165" t="s">
        <v>125</v>
      </c>
      <c r="R2165" t="s">
        <v>125</v>
      </c>
      <c r="S2165" t="s">
        <v>125</v>
      </c>
      <c r="T2165">
        <v>0</v>
      </c>
      <c r="V2165" t="s">
        <v>125</v>
      </c>
      <c r="AE2165" t="s">
        <v>125</v>
      </c>
      <c r="AF2165">
        <v>0</v>
      </c>
      <c r="AG2165" t="s">
        <v>125</v>
      </c>
      <c r="AH2165">
        <v>0</v>
      </c>
      <c r="AK2165">
        <v>0</v>
      </c>
    </row>
    <row r="2166" spans="1:37" x14ac:dyDescent="0.25">
      <c r="A2166" t="s">
        <v>79</v>
      </c>
      <c r="B2166">
        <v>9</v>
      </c>
      <c r="C2166">
        <v>1</v>
      </c>
      <c r="D2166">
        <v>2</v>
      </c>
      <c r="E2166">
        <v>8</v>
      </c>
      <c r="G2166">
        <v>912</v>
      </c>
      <c r="H2166" t="s">
        <v>63</v>
      </c>
      <c r="I2166" t="s">
        <v>126</v>
      </c>
      <c r="J2166" t="s">
        <v>148</v>
      </c>
      <c r="L2166">
        <v>0</v>
      </c>
      <c r="M2166" t="s">
        <v>125</v>
      </c>
      <c r="O2166" t="s">
        <v>125</v>
      </c>
      <c r="P2166" t="s">
        <v>125</v>
      </c>
      <c r="Q2166" t="s">
        <v>125</v>
      </c>
      <c r="R2166" t="s">
        <v>125</v>
      </c>
      <c r="S2166" t="s">
        <v>125</v>
      </c>
      <c r="T2166">
        <v>0</v>
      </c>
      <c r="V2166" t="s">
        <v>125</v>
      </c>
      <c r="AE2166" t="s">
        <v>125</v>
      </c>
      <c r="AF2166">
        <v>0</v>
      </c>
      <c r="AG2166" t="s">
        <v>125</v>
      </c>
      <c r="AH2166">
        <v>0</v>
      </c>
      <c r="AK2166">
        <v>0</v>
      </c>
    </row>
    <row r="2167" spans="1:37" x14ac:dyDescent="0.25">
      <c r="A2167" t="s">
        <v>79</v>
      </c>
      <c r="B2167">
        <v>9</v>
      </c>
      <c r="C2167">
        <v>1</v>
      </c>
      <c r="D2167">
        <v>2</v>
      </c>
      <c r="E2167">
        <v>9</v>
      </c>
      <c r="G2167">
        <v>912</v>
      </c>
      <c r="H2167" t="s">
        <v>63</v>
      </c>
      <c r="I2167" t="s">
        <v>74</v>
      </c>
      <c r="J2167" t="s">
        <v>149</v>
      </c>
      <c r="L2167">
        <v>0</v>
      </c>
      <c r="M2167" t="s">
        <v>125</v>
      </c>
      <c r="O2167" t="s">
        <v>125</v>
      </c>
      <c r="P2167" t="s">
        <v>125</v>
      </c>
      <c r="Q2167" t="s">
        <v>125</v>
      </c>
      <c r="R2167" t="s">
        <v>125</v>
      </c>
      <c r="S2167" t="s">
        <v>125</v>
      </c>
      <c r="T2167">
        <v>0</v>
      </c>
      <c r="V2167" t="s">
        <v>125</v>
      </c>
      <c r="AE2167" t="s">
        <v>125</v>
      </c>
      <c r="AF2167">
        <v>0</v>
      </c>
      <c r="AG2167" t="s">
        <v>125</v>
      </c>
      <c r="AH2167">
        <v>0</v>
      </c>
      <c r="AK2167">
        <v>0</v>
      </c>
    </row>
    <row r="2168" spans="1:37" x14ac:dyDescent="0.25">
      <c r="A2168" t="s">
        <v>79</v>
      </c>
      <c r="B2168">
        <v>9</v>
      </c>
      <c r="C2168">
        <v>1</v>
      </c>
      <c r="D2168">
        <v>2</v>
      </c>
      <c r="E2168">
        <v>10</v>
      </c>
      <c r="G2168">
        <v>912</v>
      </c>
      <c r="H2168" t="s">
        <v>63</v>
      </c>
      <c r="I2168" t="s">
        <v>129</v>
      </c>
      <c r="J2168" t="s">
        <v>150</v>
      </c>
      <c r="L2168">
        <v>0</v>
      </c>
      <c r="M2168" t="s">
        <v>125</v>
      </c>
      <c r="O2168" t="s">
        <v>125</v>
      </c>
      <c r="P2168" t="s">
        <v>125</v>
      </c>
      <c r="Q2168" t="s">
        <v>125</v>
      </c>
      <c r="R2168" t="s">
        <v>125</v>
      </c>
      <c r="S2168" t="s">
        <v>125</v>
      </c>
      <c r="T2168">
        <v>0</v>
      </c>
      <c r="V2168" t="s">
        <v>125</v>
      </c>
      <c r="AE2168" t="s">
        <v>125</v>
      </c>
      <c r="AF2168">
        <v>0</v>
      </c>
      <c r="AG2168" t="s">
        <v>125</v>
      </c>
      <c r="AH2168">
        <v>0</v>
      </c>
      <c r="AK2168">
        <v>0</v>
      </c>
    </row>
    <row r="2169" spans="1:37" x14ac:dyDescent="0.25">
      <c r="A2169" t="s">
        <v>79</v>
      </c>
      <c r="B2169">
        <v>9</v>
      </c>
      <c r="C2169">
        <v>1</v>
      </c>
      <c r="D2169">
        <v>2</v>
      </c>
      <c r="E2169">
        <v>11</v>
      </c>
      <c r="G2169">
        <v>912</v>
      </c>
      <c r="H2169" t="s">
        <v>63</v>
      </c>
      <c r="I2169" t="s">
        <v>131</v>
      </c>
      <c r="J2169" t="s">
        <v>151</v>
      </c>
      <c r="L2169">
        <v>0</v>
      </c>
      <c r="M2169" t="s">
        <v>125</v>
      </c>
      <c r="O2169" t="s">
        <v>125</v>
      </c>
      <c r="P2169" t="s">
        <v>125</v>
      </c>
      <c r="Q2169" t="s">
        <v>125</v>
      </c>
      <c r="R2169" t="s">
        <v>125</v>
      </c>
      <c r="S2169" t="s">
        <v>125</v>
      </c>
      <c r="T2169">
        <v>0</v>
      </c>
      <c r="V2169" t="s">
        <v>125</v>
      </c>
      <c r="AE2169" t="s">
        <v>125</v>
      </c>
      <c r="AF2169">
        <v>0</v>
      </c>
      <c r="AG2169" t="s">
        <v>125</v>
      </c>
      <c r="AH2169">
        <v>0</v>
      </c>
      <c r="AK2169">
        <v>0</v>
      </c>
    </row>
    <row r="2170" spans="1:37" x14ac:dyDescent="0.25">
      <c r="A2170" t="s">
        <v>79</v>
      </c>
      <c r="B2170">
        <v>9</v>
      </c>
      <c r="C2170">
        <v>1</v>
      </c>
      <c r="D2170">
        <v>2</v>
      </c>
      <c r="E2170">
        <v>12</v>
      </c>
      <c r="G2170">
        <v>912</v>
      </c>
      <c r="H2170" t="s">
        <v>63</v>
      </c>
      <c r="I2170" t="s">
        <v>133</v>
      </c>
      <c r="J2170" t="s">
        <v>152</v>
      </c>
      <c r="L2170">
        <v>0</v>
      </c>
      <c r="M2170" t="s">
        <v>125</v>
      </c>
      <c r="O2170" t="s">
        <v>125</v>
      </c>
      <c r="P2170" t="s">
        <v>125</v>
      </c>
      <c r="Q2170" t="s">
        <v>125</v>
      </c>
      <c r="R2170" t="s">
        <v>125</v>
      </c>
      <c r="S2170" t="s">
        <v>125</v>
      </c>
      <c r="T2170">
        <v>0</v>
      </c>
      <c r="V2170" t="s">
        <v>125</v>
      </c>
      <c r="AE2170" t="s">
        <v>125</v>
      </c>
      <c r="AF2170">
        <v>0</v>
      </c>
      <c r="AG2170" t="s">
        <v>125</v>
      </c>
      <c r="AH2170">
        <v>0</v>
      </c>
      <c r="AK2170">
        <v>0</v>
      </c>
    </row>
    <row r="2171" spans="1:37" x14ac:dyDescent="0.25">
      <c r="A2171" t="s">
        <v>79</v>
      </c>
      <c r="B2171">
        <v>9</v>
      </c>
      <c r="C2171">
        <v>1</v>
      </c>
      <c r="D2171">
        <v>2</v>
      </c>
      <c r="E2171">
        <v>13</v>
      </c>
      <c r="G2171">
        <v>912</v>
      </c>
      <c r="H2171" t="s">
        <v>63</v>
      </c>
      <c r="I2171" t="s">
        <v>135</v>
      </c>
      <c r="J2171" t="s">
        <v>153</v>
      </c>
      <c r="L2171">
        <v>0</v>
      </c>
      <c r="M2171" t="s">
        <v>125</v>
      </c>
      <c r="O2171" t="s">
        <v>125</v>
      </c>
      <c r="P2171" t="s">
        <v>125</v>
      </c>
      <c r="Q2171" t="s">
        <v>125</v>
      </c>
      <c r="R2171" t="s">
        <v>125</v>
      </c>
      <c r="S2171" t="s">
        <v>125</v>
      </c>
      <c r="T2171">
        <v>0</v>
      </c>
      <c r="V2171" t="s">
        <v>125</v>
      </c>
      <c r="AE2171" t="s">
        <v>125</v>
      </c>
      <c r="AF2171">
        <v>0</v>
      </c>
      <c r="AG2171" t="s">
        <v>125</v>
      </c>
      <c r="AH2171">
        <v>0</v>
      </c>
      <c r="AK2171">
        <v>0</v>
      </c>
    </row>
    <row r="2172" spans="1:37" x14ac:dyDescent="0.25">
      <c r="A2172" t="s">
        <v>79</v>
      </c>
      <c r="B2172">
        <v>9</v>
      </c>
      <c r="C2172">
        <v>1</v>
      </c>
      <c r="D2172">
        <v>2</v>
      </c>
      <c r="E2172">
        <v>14</v>
      </c>
      <c r="G2172">
        <v>912</v>
      </c>
      <c r="H2172" t="s">
        <v>63</v>
      </c>
      <c r="I2172" t="s">
        <v>137</v>
      </c>
      <c r="J2172" t="s">
        <v>154</v>
      </c>
      <c r="L2172">
        <v>0</v>
      </c>
      <c r="M2172" t="s">
        <v>125</v>
      </c>
      <c r="O2172" t="s">
        <v>125</v>
      </c>
      <c r="P2172" t="s">
        <v>125</v>
      </c>
      <c r="Q2172" t="s">
        <v>125</v>
      </c>
      <c r="R2172" t="s">
        <v>125</v>
      </c>
      <c r="S2172" t="s">
        <v>125</v>
      </c>
      <c r="T2172">
        <v>0</v>
      </c>
      <c r="V2172" t="s">
        <v>125</v>
      </c>
      <c r="AE2172" t="s">
        <v>125</v>
      </c>
      <c r="AF2172">
        <v>0</v>
      </c>
      <c r="AG2172" t="s">
        <v>125</v>
      </c>
      <c r="AH2172">
        <v>0</v>
      </c>
      <c r="AK2172">
        <v>0</v>
      </c>
    </row>
    <row r="2173" spans="1:37" x14ac:dyDescent="0.25">
      <c r="A2173" t="s">
        <v>79</v>
      </c>
      <c r="B2173">
        <v>9</v>
      </c>
      <c r="C2173">
        <v>1</v>
      </c>
      <c r="D2173">
        <v>2</v>
      </c>
      <c r="E2173">
        <v>15</v>
      </c>
      <c r="G2173">
        <v>912</v>
      </c>
      <c r="H2173" t="s">
        <v>63</v>
      </c>
      <c r="I2173" t="s">
        <v>139</v>
      </c>
      <c r="J2173" t="s">
        <v>155</v>
      </c>
      <c r="L2173">
        <v>0</v>
      </c>
      <c r="M2173" t="s">
        <v>125</v>
      </c>
      <c r="O2173" t="s">
        <v>125</v>
      </c>
      <c r="P2173" t="s">
        <v>125</v>
      </c>
      <c r="Q2173" t="s">
        <v>125</v>
      </c>
      <c r="R2173" t="s">
        <v>125</v>
      </c>
      <c r="S2173" t="s">
        <v>125</v>
      </c>
      <c r="T2173">
        <v>0</v>
      </c>
      <c r="V2173" t="s">
        <v>125</v>
      </c>
      <c r="AE2173" t="s">
        <v>125</v>
      </c>
      <c r="AF2173">
        <v>0</v>
      </c>
      <c r="AG2173" t="s">
        <v>125</v>
      </c>
      <c r="AH2173">
        <v>0</v>
      </c>
      <c r="AK2173">
        <v>0</v>
      </c>
    </row>
    <row r="2174" spans="1:37" x14ac:dyDescent="0.25">
      <c r="L2174">
        <v>0</v>
      </c>
    </row>
    <row r="2175" spans="1:37" x14ac:dyDescent="0.25">
      <c r="A2175" t="s">
        <v>70</v>
      </c>
      <c r="B2175">
        <v>9</v>
      </c>
      <c r="C2175">
        <v>1</v>
      </c>
      <c r="D2175">
        <v>3</v>
      </c>
      <c r="G2175">
        <v>91</v>
      </c>
      <c r="L2175">
        <v>0</v>
      </c>
      <c r="M2175" t="s">
        <v>125</v>
      </c>
      <c r="P2175" t="s">
        <v>125</v>
      </c>
      <c r="R2175" t="s">
        <v>125</v>
      </c>
      <c r="S2175" t="s">
        <v>63</v>
      </c>
      <c r="V2175" t="s">
        <v>125</v>
      </c>
      <c r="X2175" t="s">
        <v>125</v>
      </c>
      <c r="Y2175" t="s">
        <v>125</v>
      </c>
      <c r="Z2175" t="s">
        <v>125</v>
      </c>
      <c r="AA2175" t="s">
        <v>125</v>
      </c>
      <c r="AB2175" t="s">
        <v>125</v>
      </c>
      <c r="AC2175" t="s">
        <v>125</v>
      </c>
      <c r="AE2175" t="s">
        <v>125</v>
      </c>
      <c r="AF2175">
        <v>0</v>
      </c>
      <c r="AG2175" t="s">
        <v>125</v>
      </c>
      <c r="AH2175">
        <v>0</v>
      </c>
      <c r="AK2175">
        <v>0</v>
      </c>
    </row>
    <row r="2176" spans="1:37" x14ac:dyDescent="0.25">
      <c r="A2176" t="s">
        <v>79</v>
      </c>
      <c r="B2176">
        <v>9</v>
      </c>
      <c r="C2176">
        <v>1</v>
      </c>
      <c r="D2176">
        <v>3</v>
      </c>
      <c r="E2176">
        <v>1</v>
      </c>
      <c r="G2176">
        <v>913</v>
      </c>
      <c r="H2176" t="s">
        <v>63</v>
      </c>
      <c r="I2176" t="s">
        <v>80</v>
      </c>
      <c r="J2176" t="s">
        <v>141</v>
      </c>
      <c r="L2176">
        <v>0</v>
      </c>
      <c r="M2176" t="s">
        <v>125</v>
      </c>
      <c r="O2176" t="s">
        <v>125</v>
      </c>
      <c r="P2176" t="s">
        <v>125</v>
      </c>
      <c r="Q2176" t="s">
        <v>125</v>
      </c>
      <c r="R2176" t="s">
        <v>125</v>
      </c>
      <c r="S2176" t="s">
        <v>125</v>
      </c>
      <c r="T2176">
        <v>0</v>
      </c>
      <c r="V2176" t="s">
        <v>125</v>
      </c>
      <c r="AE2176" t="s">
        <v>125</v>
      </c>
      <c r="AF2176">
        <v>0</v>
      </c>
      <c r="AG2176" t="s">
        <v>125</v>
      </c>
      <c r="AH2176">
        <v>0</v>
      </c>
      <c r="AK2176">
        <v>0</v>
      </c>
    </row>
    <row r="2177" spans="1:37" x14ac:dyDescent="0.25">
      <c r="A2177" t="s">
        <v>79</v>
      </c>
      <c r="B2177">
        <v>9</v>
      </c>
      <c r="C2177">
        <v>1</v>
      </c>
      <c r="D2177">
        <v>3</v>
      </c>
      <c r="E2177">
        <v>2</v>
      </c>
      <c r="G2177">
        <v>913</v>
      </c>
      <c r="H2177" t="s">
        <v>63</v>
      </c>
      <c r="I2177" t="s">
        <v>88</v>
      </c>
      <c r="J2177" t="s">
        <v>142</v>
      </c>
      <c r="L2177">
        <v>0</v>
      </c>
      <c r="M2177" t="s">
        <v>125</v>
      </c>
      <c r="O2177" t="s">
        <v>125</v>
      </c>
      <c r="P2177" t="s">
        <v>125</v>
      </c>
      <c r="Q2177" t="s">
        <v>125</v>
      </c>
      <c r="R2177" t="s">
        <v>125</v>
      </c>
      <c r="S2177" t="s">
        <v>125</v>
      </c>
      <c r="T2177">
        <v>0</v>
      </c>
      <c r="V2177" t="s">
        <v>125</v>
      </c>
      <c r="AE2177" t="s">
        <v>125</v>
      </c>
      <c r="AF2177">
        <v>0</v>
      </c>
      <c r="AG2177" t="s">
        <v>125</v>
      </c>
      <c r="AH2177">
        <v>0</v>
      </c>
      <c r="AK2177">
        <v>0</v>
      </c>
    </row>
    <row r="2178" spans="1:37" x14ac:dyDescent="0.25">
      <c r="A2178" t="s">
        <v>79</v>
      </c>
      <c r="B2178">
        <v>9</v>
      </c>
      <c r="C2178">
        <v>1</v>
      </c>
      <c r="D2178">
        <v>3</v>
      </c>
      <c r="E2178">
        <v>3</v>
      </c>
      <c r="G2178">
        <v>913</v>
      </c>
      <c r="H2178" t="s">
        <v>63</v>
      </c>
      <c r="I2178" t="s">
        <v>95</v>
      </c>
      <c r="J2178" t="s">
        <v>143</v>
      </c>
      <c r="L2178">
        <v>0</v>
      </c>
      <c r="M2178" t="s">
        <v>125</v>
      </c>
      <c r="O2178" t="s">
        <v>125</v>
      </c>
      <c r="P2178" t="s">
        <v>125</v>
      </c>
      <c r="Q2178" t="s">
        <v>125</v>
      </c>
      <c r="R2178" t="s">
        <v>125</v>
      </c>
      <c r="S2178" t="s">
        <v>125</v>
      </c>
      <c r="T2178">
        <v>0</v>
      </c>
      <c r="V2178" t="s">
        <v>125</v>
      </c>
      <c r="AE2178" t="s">
        <v>125</v>
      </c>
      <c r="AF2178">
        <v>0</v>
      </c>
      <c r="AG2178" t="s">
        <v>125</v>
      </c>
      <c r="AH2178">
        <v>0</v>
      </c>
      <c r="AK2178">
        <v>0</v>
      </c>
    </row>
    <row r="2179" spans="1:37" x14ac:dyDescent="0.25">
      <c r="A2179" t="s">
        <v>79</v>
      </c>
      <c r="B2179">
        <v>9</v>
      </c>
      <c r="C2179">
        <v>1</v>
      </c>
      <c r="D2179">
        <v>3</v>
      </c>
      <c r="E2179">
        <v>4</v>
      </c>
      <c r="G2179">
        <v>913</v>
      </c>
      <c r="H2179" t="s">
        <v>63</v>
      </c>
      <c r="I2179" t="s">
        <v>102</v>
      </c>
      <c r="J2179" t="s">
        <v>144</v>
      </c>
      <c r="L2179">
        <v>0</v>
      </c>
      <c r="M2179" t="s">
        <v>125</v>
      </c>
      <c r="O2179" t="s">
        <v>125</v>
      </c>
      <c r="P2179" t="s">
        <v>125</v>
      </c>
      <c r="Q2179" t="s">
        <v>125</v>
      </c>
      <c r="R2179" t="s">
        <v>125</v>
      </c>
      <c r="S2179" t="s">
        <v>125</v>
      </c>
      <c r="T2179">
        <v>0</v>
      </c>
      <c r="V2179" t="s">
        <v>125</v>
      </c>
      <c r="AE2179" t="s">
        <v>125</v>
      </c>
      <c r="AF2179">
        <v>0</v>
      </c>
      <c r="AG2179" t="s">
        <v>125</v>
      </c>
      <c r="AH2179">
        <v>0</v>
      </c>
      <c r="AK2179">
        <v>0</v>
      </c>
    </row>
    <row r="2180" spans="1:37" x14ac:dyDescent="0.25">
      <c r="A2180" t="s">
        <v>79</v>
      </c>
      <c r="B2180">
        <v>9</v>
      </c>
      <c r="C2180">
        <v>1</v>
      </c>
      <c r="D2180">
        <v>3</v>
      </c>
      <c r="E2180">
        <v>5</v>
      </c>
      <c r="G2180">
        <v>913</v>
      </c>
      <c r="H2180" t="s">
        <v>63</v>
      </c>
      <c r="I2180" t="s">
        <v>109</v>
      </c>
      <c r="J2180" t="s">
        <v>145</v>
      </c>
      <c r="L2180">
        <v>0</v>
      </c>
      <c r="M2180" t="s">
        <v>125</v>
      </c>
      <c r="O2180" t="s">
        <v>125</v>
      </c>
      <c r="P2180" t="s">
        <v>125</v>
      </c>
      <c r="Q2180" t="s">
        <v>125</v>
      </c>
      <c r="R2180" t="s">
        <v>125</v>
      </c>
      <c r="S2180" t="s">
        <v>125</v>
      </c>
      <c r="T2180">
        <v>0</v>
      </c>
      <c r="V2180" t="s">
        <v>125</v>
      </c>
      <c r="AE2180" t="s">
        <v>125</v>
      </c>
      <c r="AF2180">
        <v>0</v>
      </c>
      <c r="AG2180" t="s">
        <v>125</v>
      </c>
      <c r="AH2180">
        <v>0</v>
      </c>
      <c r="AK2180">
        <v>0</v>
      </c>
    </row>
    <row r="2181" spans="1:37" x14ac:dyDescent="0.25">
      <c r="A2181" t="s">
        <v>79</v>
      </c>
      <c r="B2181">
        <v>9</v>
      </c>
      <c r="C2181">
        <v>1</v>
      </c>
      <c r="D2181">
        <v>3</v>
      </c>
      <c r="E2181">
        <v>6</v>
      </c>
      <c r="G2181">
        <v>913</v>
      </c>
      <c r="H2181" t="s">
        <v>63</v>
      </c>
      <c r="I2181" t="s">
        <v>116</v>
      </c>
      <c r="J2181" t="s">
        <v>146</v>
      </c>
      <c r="L2181">
        <v>0</v>
      </c>
      <c r="M2181" t="s">
        <v>125</v>
      </c>
      <c r="O2181" t="s">
        <v>125</v>
      </c>
      <c r="P2181" t="s">
        <v>125</v>
      </c>
      <c r="Q2181" t="s">
        <v>125</v>
      </c>
      <c r="R2181" t="s">
        <v>125</v>
      </c>
      <c r="S2181" t="s">
        <v>125</v>
      </c>
      <c r="T2181">
        <v>0</v>
      </c>
      <c r="V2181" t="s">
        <v>125</v>
      </c>
      <c r="AE2181" t="s">
        <v>125</v>
      </c>
      <c r="AF2181">
        <v>0</v>
      </c>
      <c r="AG2181" t="s">
        <v>125</v>
      </c>
      <c r="AH2181">
        <v>0</v>
      </c>
      <c r="AK2181">
        <v>0</v>
      </c>
    </row>
    <row r="2182" spans="1:37" x14ac:dyDescent="0.25">
      <c r="A2182" t="s">
        <v>79</v>
      </c>
      <c r="B2182">
        <v>9</v>
      </c>
      <c r="C2182">
        <v>1</v>
      </c>
      <c r="D2182">
        <v>3</v>
      </c>
      <c r="E2182">
        <v>7</v>
      </c>
      <c r="G2182">
        <v>913</v>
      </c>
      <c r="H2182" t="s">
        <v>63</v>
      </c>
      <c r="I2182" t="s">
        <v>123</v>
      </c>
      <c r="J2182" t="s">
        <v>147</v>
      </c>
      <c r="L2182">
        <v>0</v>
      </c>
      <c r="M2182" t="s">
        <v>125</v>
      </c>
      <c r="O2182" t="s">
        <v>125</v>
      </c>
      <c r="P2182" t="s">
        <v>125</v>
      </c>
      <c r="Q2182" t="s">
        <v>125</v>
      </c>
      <c r="R2182" t="s">
        <v>125</v>
      </c>
      <c r="S2182" t="s">
        <v>125</v>
      </c>
      <c r="T2182">
        <v>0</v>
      </c>
      <c r="V2182" t="s">
        <v>125</v>
      </c>
      <c r="AE2182" t="s">
        <v>125</v>
      </c>
      <c r="AF2182">
        <v>0</v>
      </c>
      <c r="AG2182" t="s">
        <v>125</v>
      </c>
      <c r="AH2182">
        <v>0</v>
      </c>
      <c r="AK2182">
        <v>0</v>
      </c>
    </row>
    <row r="2183" spans="1:37" x14ac:dyDescent="0.25">
      <c r="A2183" t="s">
        <v>79</v>
      </c>
      <c r="B2183">
        <v>9</v>
      </c>
      <c r="C2183">
        <v>1</v>
      </c>
      <c r="D2183">
        <v>3</v>
      </c>
      <c r="E2183">
        <v>8</v>
      </c>
      <c r="G2183">
        <v>913</v>
      </c>
      <c r="H2183" t="s">
        <v>63</v>
      </c>
      <c r="I2183" t="s">
        <v>126</v>
      </c>
      <c r="J2183" t="s">
        <v>148</v>
      </c>
      <c r="L2183">
        <v>0</v>
      </c>
      <c r="M2183" t="s">
        <v>125</v>
      </c>
      <c r="O2183" t="s">
        <v>125</v>
      </c>
      <c r="P2183" t="s">
        <v>125</v>
      </c>
      <c r="Q2183" t="s">
        <v>125</v>
      </c>
      <c r="R2183" t="s">
        <v>125</v>
      </c>
      <c r="S2183" t="s">
        <v>125</v>
      </c>
      <c r="T2183">
        <v>0</v>
      </c>
      <c r="V2183" t="s">
        <v>125</v>
      </c>
      <c r="AE2183" t="s">
        <v>125</v>
      </c>
      <c r="AF2183">
        <v>0</v>
      </c>
      <c r="AG2183" t="s">
        <v>125</v>
      </c>
      <c r="AH2183">
        <v>0</v>
      </c>
      <c r="AK2183">
        <v>0</v>
      </c>
    </row>
    <row r="2184" spans="1:37" x14ac:dyDescent="0.25">
      <c r="A2184" t="s">
        <v>79</v>
      </c>
      <c r="B2184">
        <v>9</v>
      </c>
      <c r="C2184">
        <v>1</v>
      </c>
      <c r="D2184">
        <v>3</v>
      </c>
      <c r="E2184">
        <v>9</v>
      </c>
      <c r="G2184">
        <v>913</v>
      </c>
      <c r="H2184" t="s">
        <v>63</v>
      </c>
      <c r="I2184" t="s">
        <v>74</v>
      </c>
      <c r="J2184" t="s">
        <v>149</v>
      </c>
      <c r="L2184">
        <v>0</v>
      </c>
      <c r="M2184" t="s">
        <v>125</v>
      </c>
      <c r="O2184" t="s">
        <v>125</v>
      </c>
      <c r="P2184" t="s">
        <v>125</v>
      </c>
      <c r="Q2184" t="s">
        <v>125</v>
      </c>
      <c r="R2184" t="s">
        <v>125</v>
      </c>
      <c r="S2184" t="s">
        <v>125</v>
      </c>
      <c r="T2184">
        <v>0</v>
      </c>
      <c r="V2184" t="s">
        <v>125</v>
      </c>
      <c r="AE2184" t="s">
        <v>125</v>
      </c>
      <c r="AF2184">
        <v>0</v>
      </c>
      <c r="AG2184" t="s">
        <v>125</v>
      </c>
      <c r="AH2184">
        <v>0</v>
      </c>
      <c r="AK2184">
        <v>0</v>
      </c>
    </row>
    <row r="2185" spans="1:37" x14ac:dyDescent="0.25">
      <c r="A2185" t="s">
        <v>79</v>
      </c>
      <c r="B2185">
        <v>9</v>
      </c>
      <c r="C2185">
        <v>1</v>
      </c>
      <c r="D2185">
        <v>3</v>
      </c>
      <c r="E2185">
        <v>10</v>
      </c>
      <c r="G2185">
        <v>913</v>
      </c>
      <c r="H2185" t="s">
        <v>63</v>
      </c>
      <c r="I2185" t="s">
        <v>129</v>
      </c>
      <c r="J2185" t="s">
        <v>150</v>
      </c>
      <c r="L2185">
        <v>0</v>
      </c>
      <c r="M2185" t="s">
        <v>125</v>
      </c>
      <c r="O2185" t="s">
        <v>125</v>
      </c>
      <c r="P2185" t="s">
        <v>125</v>
      </c>
      <c r="Q2185" t="s">
        <v>125</v>
      </c>
      <c r="R2185" t="s">
        <v>125</v>
      </c>
      <c r="S2185" t="s">
        <v>125</v>
      </c>
      <c r="T2185">
        <v>0</v>
      </c>
      <c r="V2185" t="s">
        <v>125</v>
      </c>
      <c r="AE2185" t="s">
        <v>125</v>
      </c>
      <c r="AF2185">
        <v>0</v>
      </c>
      <c r="AG2185" t="s">
        <v>125</v>
      </c>
      <c r="AH2185">
        <v>0</v>
      </c>
      <c r="AK2185">
        <v>0</v>
      </c>
    </row>
    <row r="2186" spans="1:37" x14ac:dyDescent="0.25">
      <c r="A2186" t="s">
        <v>79</v>
      </c>
      <c r="B2186">
        <v>9</v>
      </c>
      <c r="C2186">
        <v>1</v>
      </c>
      <c r="D2186">
        <v>3</v>
      </c>
      <c r="E2186">
        <v>11</v>
      </c>
      <c r="G2186">
        <v>913</v>
      </c>
      <c r="H2186" t="s">
        <v>63</v>
      </c>
      <c r="I2186" t="s">
        <v>131</v>
      </c>
      <c r="J2186" t="s">
        <v>151</v>
      </c>
      <c r="L2186">
        <v>0</v>
      </c>
      <c r="M2186" t="s">
        <v>125</v>
      </c>
      <c r="O2186" t="s">
        <v>125</v>
      </c>
      <c r="P2186" t="s">
        <v>125</v>
      </c>
      <c r="Q2186" t="s">
        <v>125</v>
      </c>
      <c r="R2186" t="s">
        <v>125</v>
      </c>
      <c r="S2186" t="s">
        <v>125</v>
      </c>
      <c r="T2186">
        <v>0</v>
      </c>
      <c r="V2186" t="s">
        <v>125</v>
      </c>
      <c r="AE2186" t="s">
        <v>125</v>
      </c>
      <c r="AF2186">
        <v>0</v>
      </c>
      <c r="AG2186" t="s">
        <v>125</v>
      </c>
      <c r="AH2186">
        <v>0</v>
      </c>
      <c r="AK2186">
        <v>0</v>
      </c>
    </row>
    <row r="2187" spans="1:37" x14ac:dyDescent="0.25">
      <c r="A2187" t="s">
        <v>79</v>
      </c>
      <c r="B2187">
        <v>9</v>
      </c>
      <c r="C2187">
        <v>1</v>
      </c>
      <c r="D2187">
        <v>3</v>
      </c>
      <c r="E2187">
        <v>12</v>
      </c>
      <c r="G2187">
        <v>913</v>
      </c>
      <c r="H2187" t="s">
        <v>63</v>
      </c>
      <c r="I2187" t="s">
        <v>133</v>
      </c>
      <c r="J2187" t="s">
        <v>152</v>
      </c>
      <c r="L2187">
        <v>0</v>
      </c>
      <c r="M2187" t="s">
        <v>125</v>
      </c>
      <c r="O2187" t="s">
        <v>125</v>
      </c>
      <c r="P2187" t="s">
        <v>125</v>
      </c>
      <c r="Q2187" t="s">
        <v>125</v>
      </c>
      <c r="R2187" t="s">
        <v>125</v>
      </c>
      <c r="S2187" t="s">
        <v>125</v>
      </c>
      <c r="T2187">
        <v>0</v>
      </c>
      <c r="V2187" t="s">
        <v>125</v>
      </c>
      <c r="AE2187" t="s">
        <v>125</v>
      </c>
      <c r="AF2187">
        <v>0</v>
      </c>
      <c r="AG2187" t="s">
        <v>125</v>
      </c>
      <c r="AH2187">
        <v>0</v>
      </c>
      <c r="AK2187">
        <v>0</v>
      </c>
    </row>
    <row r="2188" spans="1:37" x14ac:dyDescent="0.25">
      <c r="A2188" t="s">
        <v>79</v>
      </c>
      <c r="B2188">
        <v>9</v>
      </c>
      <c r="C2188">
        <v>1</v>
      </c>
      <c r="D2188">
        <v>3</v>
      </c>
      <c r="E2188">
        <v>13</v>
      </c>
      <c r="G2188">
        <v>913</v>
      </c>
      <c r="H2188" t="s">
        <v>63</v>
      </c>
      <c r="I2188" t="s">
        <v>135</v>
      </c>
      <c r="J2188" t="s">
        <v>153</v>
      </c>
      <c r="L2188">
        <v>0</v>
      </c>
      <c r="M2188" t="s">
        <v>125</v>
      </c>
      <c r="O2188" t="s">
        <v>125</v>
      </c>
      <c r="P2188" t="s">
        <v>125</v>
      </c>
      <c r="Q2188" t="s">
        <v>125</v>
      </c>
      <c r="R2188" t="s">
        <v>125</v>
      </c>
      <c r="S2188" t="s">
        <v>125</v>
      </c>
      <c r="T2188">
        <v>0</v>
      </c>
      <c r="V2188" t="s">
        <v>125</v>
      </c>
      <c r="AE2188" t="s">
        <v>125</v>
      </c>
      <c r="AF2188">
        <v>0</v>
      </c>
      <c r="AG2188" t="s">
        <v>125</v>
      </c>
      <c r="AH2188">
        <v>0</v>
      </c>
      <c r="AK2188">
        <v>0</v>
      </c>
    </row>
    <row r="2189" spans="1:37" x14ac:dyDescent="0.25">
      <c r="A2189" t="s">
        <v>79</v>
      </c>
      <c r="B2189">
        <v>9</v>
      </c>
      <c r="C2189">
        <v>1</v>
      </c>
      <c r="D2189">
        <v>3</v>
      </c>
      <c r="E2189">
        <v>14</v>
      </c>
      <c r="G2189">
        <v>913</v>
      </c>
      <c r="H2189" t="s">
        <v>63</v>
      </c>
      <c r="I2189" t="s">
        <v>137</v>
      </c>
      <c r="J2189" t="s">
        <v>154</v>
      </c>
      <c r="L2189">
        <v>0</v>
      </c>
      <c r="M2189" t="s">
        <v>125</v>
      </c>
      <c r="O2189" t="s">
        <v>125</v>
      </c>
      <c r="P2189" t="s">
        <v>125</v>
      </c>
      <c r="Q2189" t="s">
        <v>125</v>
      </c>
      <c r="R2189" t="s">
        <v>125</v>
      </c>
      <c r="S2189" t="s">
        <v>125</v>
      </c>
      <c r="T2189">
        <v>0</v>
      </c>
      <c r="V2189" t="s">
        <v>125</v>
      </c>
      <c r="AE2189" t="s">
        <v>125</v>
      </c>
      <c r="AF2189">
        <v>0</v>
      </c>
      <c r="AG2189" t="s">
        <v>125</v>
      </c>
      <c r="AH2189">
        <v>0</v>
      </c>
      <c r="AK2189">
        <v>0</v>
      </c>
    </row>
    <row r="2190" spans="1:37" x14ac:dyDescent="0.25">
      <c r="A2190" t="s">
        <v>79</v>
      </c>
      <c r="B2190">
        <v>9</v>
      </c>
      <c r="C2190">
        <v>1</v>
      </c>
      <c r="D2190">
        <v>3</v>
      </c>
      <c r="E2190">
        <v>15</v>
      </c>
      <c r="G2190">
        <v>913</v>
      </c>
      <c r="H2190" t="s">
        <v>63</v>
      </c>
      <c r="I2190" t="s">
        <v>139</v>
      </c>
      <c r="J2190" t="s">
        <v>155</v>
      </c>
      <c r="L2190">
        <v>0</v>
      </c>
      <c r="M2190" t="s">
        <v>125</v>
      </c>
      <c r="O2190" t="s">
        <v>125</v>
      </c>
      <c r="P2190" t="s">
        <v>125</v>
      </c>
      <c r="Q2190" t="s">
        <v>125</v>
      </c>
      <c r="R2190" t="s">
        <v>125</v>
      </c>
      <c r="S2190" t="s">
        <v>125</v>
      </c>
      <c r="T2190">
        <v>0</v>
      </c>
      <c r="V2190" t="s">
        <v>125</v>
      </c>
      <c r="AE2190" t="s">
        <v>125</v>
      </c>
      <c r="AF2190">
        <v>0</v>
      </c>
      <c r="AG2190" t="s">
        <v>125</v>
      </c>
      <c r="AH2190">
        <v>0</v>
      </c>
      <c r="AK2190">
        <v>0</v>
      </c>
    </row>
    <row r="2191" spans="1:37" x14ac:dyDescent="0.25">
      <c r="L2191">
        <v>0</v>
      </c>
    </row>
    <row r="2192" spans="1:37" x14ac:dyDescent="0.25">
      <c r="A2192" t="s">
        <v>70</v>
      </c>
      <c r="B2192">
        <v>9</v>
      </c>
      <c r="C2192">
        <v>1</v>
      </c>
      <c r="D2192">
        <v>4</v>
      </c>
      <c r="G2192">
        <v>91</v>
      </c>
      <c r="L2192">
        <v>0</v>
      </c>
      <c r="M2192" t="s">
        <v>125</v>
      </c>
      <c r="P2192" t="s">
        <v>125</v>
      </c>
      <c r="R2192" t="s">
        <v>125</v>
      </c>
      <c r="S2192" t="s">
        <v>63</v>
      </c>
      <c r="V2192" t="s">
        <v>125</v>
      </c>
      <c r="X2192" t="s">
        <v>125</v>
      </c>
      <c r="Y2192" t="s">
        <v>125</v>
      </c>
      <c r="Z2192" t="s">
        <v>125</v>
      </c>
      <c r="AA2192" t="s">
        <v>125</v>
      </c>
      <c r="AB2192" t="s">
        <v>125</v>
      </c>
      <c r="AC2192" t="s">
        <v>125</v>
      </c>
      <c r="AE2192" t="s">
        <v>125</v>
      </c>
      <c r="AF2192">
        <v>0</v>
      </c>
      <c r="AG2192" t="s">
        <v>125</v>
      </c>
      <c r="AH2192">
        <v>0</v>
      </c>
      <c r="AK2192">
        <v>0</v>
      </c>
    </row>
    <row r="2193" spans="1:37" x14ac:dyDescent="0.25">
      <c r="A2193" t="s">
        <v>79</v>
      </c>
      <c r="B2193">
        <v>9</v>
      </c>
      <c r="C2193">
        <v>1</v>
      </c>
      <c r="D2193">
        <v>4</v>
      </c>
      <c r="E2193">
        <v>1</v>
      </c>
      <c r="G2193">
        <v>914</v>
      </c>
      <c r="H2193" t="s">
        <v>63</v>
      </c>
      <c r="I2193" t="s">
        <v>80</v>
      </c>
      <c r="J2193" t="s">
        <v>141</v>
      </c>
      <c r="L2193">
        <v>0</v>
      </c>
      <c r="M2193" t="s">
        <v>125</v>
      </c>
      <c r="O2193" t="s">
        <v>125</v>
      </c>
      <c r="P2193" t="s">
        <v>125</v>
      </c>
      <c r="Q2193" t="s">
        <v>125</v>
      </c>
      <c r="R2193" t="s">
        <v>125</v>
      </c>
      <c r="S2193" t="s">
        <v>125</v>
      </c>
      <c r="T2193">
        <v>0</v>
      </c>
      <c r="V2193" t="s">
        <v>125</v>
      </c>
      <c r="AE2193" t="s">
        <v>125</v>
      </c>
      <c r="AF2193">
        <v>0</v>
      </c>
      <c r="AG2193" t="s">
        <v>125</v>
      </c>
      <c r="AH2193">
        <v>0</v>
      </c>
      <c r="AK2193">
        <v>0</v>
      </c>
    </row>
    <row r="2194" spans="1:37" x14ac:dyDescent="0.25">
      <c r="A2194" t="s">
        <v>79</v>
      </c>
      <c r="B2194">
        <v>9</v>
      </c>
      <c r="C2194">
        <v>1</v>
      </c>
      <c r="D2194">
        <v>4</v>
      </c>
      <c r="E2194">
        <v>2</v>
      </c>
      <c r="G2194">
        <v>914</v>
      </c>
      <c r="H2194" t="s">
        <v>63</v>
      </c>
      <c r="I2194" t="s">
        <v>88</v>
      </c>
      <c r="J2194" t="s">
        <v>142</v>
      </c>
      <c r="L2194">
        <v>0</v>
      </c>
      <c r="M2194" t="s">
        <v>125</v>
      </c>
      <c r="O2194" t="s">
        <v>125</v>
      </c>
      <c r="P2194" t="s">
        <v>125</v>
      </c>
      <c r="Q2194" t="s">
        <v>125</v>
      </c>
      <c r="R2194" t="s">
        <v>125</v>
      </c>
      <c r="S2194" t="s">
        <v>125</v>
      </c>
      <c r="T2194">
        <v>0</v>
      </c>
      <c r="V2194" t="s">
        <v>125</v>
      </c>
      <c r="AE2194" t="s">
        <v>125</v>
      </c>
      <c r="AF2194">
        <v>0</v>
      </c>
      <c r="AG2194" t="s">
        <v>125</v>
      </c>
      <c r="AH2194">
        <v>0</v>
      </c>
      <c r="AK2194">
        <v>0</v>
      </c>
    </row>
    <row r="2195" spans="1:37" x14ac:dyDescent="0.25">
      <c r="A2195" t="s">
        <v>79</v>
      </c>
      <c r="B2195">
        <v>9</v>
      </c>
      <c r="C2195">
        <v>1</v>
      </c>
      <c r="D2195">
        <v>4</v>
      </c>
      <c r="E2195">
        <v>3</v>
      </c>
      <c r="G2195">
        <v>914</v>
      </c>
      <c r="H2195" t="s">
        <v>63</v>
      </c>
      <c r="I2195" t="s">
        <v>95</v>
      </c>
      <c r="J2195" t="s">
        <v>143</v>
      </c>
      <c r="L2195">
        <v>0</v>
      </c>
      <c r="M2195" t="s">
        <v>125</v>
      </c>
      <c r="O2195" t="s">
        <v>125</v>
      </c>
      <c r="P2195" t="s">
        <v>125</v>
      </c>
      <c r="Q2195" t="s">
        <v>125</v>
      </c>
      <c r="R2195" t="s">
        <v>125</v>
      </c>
      <c r="S2195" t="s">
        <v>125</v>
      </c>
      <c r="T2195">
        <v>0</v>
      </c>
      <c r="V2195" t="s">
        <v>125</v>
      </c>
      <c r="AE2195" t="s">
        <v>125</v>
      </c>
      <c r="AF2195">
        <v>0</v>
      </c>
      <c r="AG2195" t="s">
        <v>125</v>
      </c>
      <c r="AH2195">
        <v>0</v>
      </c>
      <c r="AK2195">
        <v>0</v>
      </c>
    </row>
    <row r="2196" spans="1:37" x14ac:dyDescent="0.25">
      <c r="A2196" t="s">
        <v>79</v>
      </c>
      <c r="B2196">
        <v>9</v>
      </c>
      <c r="C2196">
        <v>1</v>
      </c>
      <c r="D2196">
        <v>4</v>
      </c>
      <c r="E2196">
        <v>4</v>
      </c>
      <c r="G2196">
        <v>914</v>
      </c>
      <c r="H2196" t="s">
        <v>63</v>
      </c>
      <c r="I2196" t="s">
        <v>102</v>
      </c>
      <c r="J2196" t="s">
        <v>144</v>
      </c>
      <c r="L2196">
        <v>0</v>
      </c>
      <c r="M2196" t="s">
        <v>125</v>
      </c>
      <c r="O2196" t="s">
        <v>125</v>
      </c>
      <c r="P2196" t="s">
        <v>125</v>
      </c>
      <c r="Q2196" t="s">
        <v>125</v>
      </c>
      <c r="R2196" t="s">
        <v>125</v>
      </c>
      <c r="S2196" t="s">
        <v>125</v>
      </c>
      <c r="T2196">
        <v>0</v>
      </c>
      <c r="V2196" t="s">
        <v>125</v>
      </c>
      <c r="AE2196" t="s">
        <v>125</v>
      </c>
      <c r="AF2196">
        <v>0</v>
      </c>
      <c r="AG2196" t="s">
        <v>125</v>
      </c>
      <c r="AH2196">
        <v>0</v>
      </c>
      <c r="AK2196">
        <v>0</v>
      </c>
    </row>
    <row r="2197" spans="1:37" x14ac:dyDescent="0.25">
      <c r="A2197" t="s">
        <v>79</v>
      </c>
      <c r="B2197">
        <v>9</v>
      </c>
      <c r="C2197">
        <v>1</v>
      </c>
      <c r="D2197">
        <v>4</v>
      </c>
      <c r="E2197">
        <v>5</v>
      </c>
      <c r="G2197">
        <v>914</v>
      </c>
      <c r="H2197" t="s">
        <v>63</v>
      </c>
      <c r="I2197" t="s">
        <v>109</v>
      </c>
      <c r="J2197" t="s">
        <v>145</v>
      </c>
      <c r="L2197">
        <v>0</v>
      </c>
      <c r="M2197" t="s">
        <v>125</v>
      </c>
      <c r="O2197" t="s">
        <v>125</v>
      </c>
      <c r="P2197" t="s">
        <v>125</v>
      </c>
      <c r="Q2197" t="s">
        <v>125</v>
      </c>
      <c r="R2197" t="s">
        <v>125</v>
      </c>
      <c r="S2197" t="s">
        <v>125</v>
      </c>
      <c r="T2197">
        <v>0</v>
      </c>
      <c r="V2197" t="s">
        <v>125</v>
      </c>
      <c r="AE2197" t="s">
        <v>125</v>
      </c>
      <c r="AF2197">
        <v>0</v>
      </c>
      <c r="AG2197" t="s">
        <v>125</v>
      </c>
      <c r="AH2197">
        <v>0</v>
      </c>
      <c r="AK2197">
        <v>0</v>
      </c>
    </row>
    <row r="2198" spans="1:37" x14ac:dyDescent="0.25">
      <c r="A2198" t="s">
        <v>79</v>
      </c>
      <c r="B2198">
        <v>9</v>
      </c>
      <c r="C2198">
        <v>1</v>
      </c>
      <c r="D2198">
        <v>4</v>
      </c>
      <c r="E2198">
        <v>6</v>
      </c>
      <c r="G2198">
        <v>914</v>
      </c>
      <c r="H2198" t="s">
        <v>63</v>
      </c>
      <c r="I2198" t="s">
        <v>116</v>
      </c>
      <c r="J2198" t="s">
        <v>146</v>
      </c>
      <c r="L2198">
        <v>0</v>
      </c>
      <c r="M2198" t="s">
        <v>125</v>
      </c>
      <c r="O2198" t="s">
        <v>125</v>
      </c>
      <c r="P2198" t="s">
        <v>125</v>
      </c>
      <c r="Q2198" t="s">
        <v>125</v>
      </c>
      <c r="R2198" t="s">
        <v>125</v>
      </c>
      <c r="S2198" t="s">
        <v>125</v>
      </c>
      <c r="T2198">
        <v>0</v>
      </c>
      <c r="V2198" t="s">
        <v>125</v>
      </c>
      <c r="AE2198" t="s">
        <v>125</v>
      </c>
      <c r="AF2198">
        <v>0</v>
      </c>
      <c r="AG2198" t="s">
        <v>125</v>
      </c>
      <c r="AH2198">
        <v>0</v>
      </c>
      <c r="AK2198">
        <v>0</v>
      </c>
    </row>
    <row r="2199" spans="1:37" x14ac:dyDescent="0.25">
      <c r="A2199" t="s">
        <v>79</v>
      </c>
      <c r="B2199">
        <v>9</v>
      </c>
      <c r="C2199">
        <v>1</v>
      </c>
      <c r="D2199">
        <v>4</v>
      </c>
      <c r="E2199">
        <v>7</v>
      </c>
      <c r="G2199">
        <v>914</v>
      </c>
      <c r="H2199" t="s">
        <v>63</v>
      </c>
      <c r="I2199" t="s">
        <v>123</v>
      </c>
      <c r="J2199" t="s">
        <v>147</v>
      </c>
      <c r="L2199">
        <v>0</v>
      </c>
      <c r="M2199" t="s">
        <v>125</v>
      </c>
      <c r="O2199" t="s">
        <v>125</v>
      </c>
      <c r="P2199" t="s">
        <v>125</v>
      </c>
      <c r="Q2199" t="s">
        <v>125</v>
      </c>
      <c r="R2199" t="s">
        <v>125</v>
      </c>
      <c r="S2199" t="s">
        <v>125</v>
      </c>
      <c r="T2199">
        <v>0</v>
      </c>
      <c r="V2199" t="s">
        <v>125</v>
      </c>
      <c r="AE2199" t="s">
        <v>125</v>
      </c>
      <c r="AF2199">
        <v>0</v>
      </c>
      <c r="AG2199" t="s">
        <v>125</v>
      </c>
      <c r="AH2199">
        <v>0</v>
      </c>
      <c r="AK2199">
        <v>0</v>
      </c>
    </row>
    <row r="2200" spans="1:37" x14ac:dyDescent="0.25">
      <c r="A2200" t="s">
        <v>79</v>
      </c>
      <c r="B2200">
        <v>9</v>
      </c>
      <c r="C2200">
        <v>1</v>
      </c>
      <c r="D2200">
        <v>4</v>
      </c>
      <c r="E2200">
        <v>8</v>
      </c>
      <c r="G2200">
        <v>914</v>
      </c>
      <c r="H2200" t="s">
        <v>63</v>
      </c>
      <c r="I2200" t="s">
        <v>126</v>
      </c>
      <c r="J2200" t="s">
        <v>148</v>
      </c>
      <c r="L2200">
        <v>0</v>
      </c>
      <c r="M2200" t="s">
        <v>125</v>
      </c>
      <c r="O2200" t="s">
        <v>125</v>
      </c>
      <c r="P2200" t="s">
        <v>125</v>
      </c>
      <c r="Q2200" t="s">
        <v>125</v>
      </c>
      <c r="R2200" t="s">
        <v>125</v>
      </c>
      <c r="S2200" t="s">
        <v>125</v>
      </c>
      <c r="T2200">
        <v>0</v>
      </c>
      <c r="V2200" t="s">
        <v>125</v>
      </c>
      <c r="AE2200" t="s">
        <v>125</v>
      </c>
      <c r="AF2200">
        <v>0</v>
      </c>
      <c r="AG2200" t="s">
        <v>125</v>
      </c>
      <c r="AH2200">
        <v>0</v>
      </c>
      <c r="AK2200">
        <v>0</v>
      </c>
    </row>
    <row r="2201" spans="1:37" x14ac:dyDescent="0.25">
      <c r="A2201" t="s">
        <v>79</v>
      </c>
      <c r="B2201">
        <v>9</v>
      </c>
      <c r="C2201">
        <v>1</v>
      </c>
      <c r="D2201">
        <v>4</v>
      </c>
      <c r="E2201">
        <v>9</v>
      </c>
      <c r="G2201">
        <v>914</v>
      </c>
      <c r="H2201" t="s">
        <v>63</v>
      </c>
      <c r="I2201" t="s">
        <v>74</v>
      </c>
      <c r="J2201" t="s">
        <v>149</v>
      </c>
      <c r="L2201">
        <v>0</v>
      </c>
      <c r="M2201" t="s">
        <v>125</v>
      </c>
      <c r="O2201" t="s">
        <v>125</v>
      </c>
      <c r="P2201" t="s">
        <v>125</v>
      </c>
      <c r="Q2201" t="s">
        <v>125</v>
      </c>
      <c r="R2201" t="s">
        <v>125</v>
      </c>
      <c r="S2201" t="s">
        <v>125</v>
      </c>
      <c r="T2201">
        <v>0</v>
      </c>
      <c r="V2201" t="s">
        <v>125</v>
      </c>
      <c r="AE2201" t="s">
        <v>125</v>
      </c>
      <c r="AF2201">
        <v>0</v>
      </c>
      <c r="AG2201" t="s">
        <v>125</v>
      </c>
      <c r="AH2201">
        <v>0</v>
      </c>
      <c r="AK2201">
        <v>0</v>
      </c>
    </row>
    <row r="2202" spans="1:37" x14ac:dyDescent="0.25">
      <c r="A2202" t="s">
        <v>79</v>
      </c>
      <c r="B2202">
        <v>9</v>
      </c>
      <c r="C2202">
        <v>1</v>
      </c>
      <c r="D2202">
        <v>4</v>
      </c>
      <c r="E2202">
        <v>10</v>
      </c>
      <c r="G2202">
        <v>914</v>
      </c>
      <c r="H2202" t="s">
        <v>63</v>
      </c>
      <c r="I2202" t="s">
        <v>129</v>
      </c>
      <c r="J2202" t="s">
        <v>150</v>
      </c>
      <c r="L2202">
        <v>0</v>
      </c>
      <c r="M2202" t="s">
        <v>125</v>
      </c>
      <c r="O2202" t="s">
        <v>125</v>
      </c>
      <c r="P2202" t="s">
        <v>125</v>
      </c>
      <c r="Q2202" t="s">
        <v>125</v>
      </c>
      <c r="R2202" t="s">
        <v>125</v>
      </c>
      <c r="S2202" t="s">
        <v>125</v>
      </c>
      <c r="T2202">
        <v>0</v>
      </c>
      <c r="V2202" t="s">
        <v>125</v>
      </c>
      <c r="AE2202" t="s">
        <v>125</v>
      </c>
      <c r="AF2202">
        <v>0</v>
      </c>
      <c r="AG2202" t="s">
        <v>125</v>
      </c>
      <c r="AH2202">
        <v>0</v>
      </c>
      <c r="AK2202">
        <v>0</v>
      </c>
    </row>
    <row r="2203" spans="1:37" x14ac:dyDescent="0.25">
      <c r="A2203" t="s">
        <v>79</v>
      </c>
      <c r="B2203">
        <v>9</v>
      </c>
      <c r="C2203">
        <v>1</v>
      </c>
      <c r="D2203">
        <v>4</v>
      </c>
      <c r="E2203">
        <v>11</v>
      </c>
      <c r="G2203">
        <v>914</v>
      </c>
      <c r="H2203" t="s">
        <v>63</v>
      </c>
      <c r="I2203" t="s">
        <v>131</v>
      </c>
      <c r="J2203" t="s">
        <v>151</v>
      </c>
      <c r="L2203">
        <v>0</v>
      </c>
      <c r="M2203" t="s">
        <v>125</v>
      </c>
      <c r="O2203" t="s">
        <v>125</v>
      </c>
      <c r="P2203" t="s">
        <v>125</v>
      </c>
      <c r="Q2203" t="s">
        <v>125</v>
      </c>
      <c r="R2203" t="s">
        <v>125</v>
      </c>
      <c r="S2203" t="s">
        <v>125</v>
      </c>
      <c r="T2203">
        <v>0</v>
      </c>
      <c r="V2203" t="s">
        <v>125</v>
      </c>
      <c r="AE2203" t="s">
        <v>125</v>
      </c>
      <c r="AF2203">
        <v>0</v>
      </c>
      <c r="AG2203" t="s">
        <v>125</v>
      </c>
      <c r="AH2203">
        <v>0</v>
      </c>
      <c r="AK2203">
        <v>0</v>
      </c>
    </row>
    <row r="2204" spans="1:37" x14ac:dyDescent="0.25">
      <c r="A2204" t="s">
        <v>79</v>
      </c>
      <c r="B2204">
        <v>9</v>
      </c>
      <c r="C2204">
        <v>1</v>
      </c>
      <c r="D2204">
        <v>4</v>
      </c>
      <c r="E2204">
        <v>12</v>
      </c>
      <c r="G2204">
        <v>914</v>
      </c>
      <c r="H2204" t="s">
        <v>63</v>
      </c>
      <c r="I2204" t="s">
        <v>133</v>
      </c>
      <c r="J2204" t="s">
        <v>152</v>
      </c>
      <c r="L2204">
        <v>0</v>
      </c>
      <c r="M2204" t="s">
        <v>125</v>
      </c>
      <c r="O2204" t="s">
        <v>125</v>
      </c>
      <c r="P2204" t="s">
        <v>125</v>
      </c>
      <c r="Q2204" t="s">
        <v>125</v>
      </c>
      <c r="R2204" t="s">
        <v>125</v>
      </c>
      <c r="S2204" t="s">
        <v>125</v>
      </c>
      <c r="T2204">
        <v>0</v>
      </c>
      <c r="V2204" t="s">
        <v>125</v>
      </c>
      <c r="AE2204" t="s">
        <v>125</v>
      </c>
      <c r="AF2204">
        <v>0</v>
      </c>
      <c r="AG2204" t="s">
        <v>125</v>
      </c>
      <c r="AH2204">
        <v>0</v>
      </c>
      <c r="AK2204">
        <v>0</v>
      </c>
    </row>
    <row r="2205" spans="1:37" x14ac:dyDescent="0.25">
      <c r="A2205" t="s">
        <v>79</v>
      </c>
      <c r="B2205">
        <v>9</v>
      </c>
      <c r="C2205">
        <v>1</v>
      </c>
      <c r="D2205">
        <v>4</v>
      </c>
      <c r="E2205">
        <v>13</v>
      </c>
      <c r="G2205">
        <v>914</v>
      </c>
      <c r="H2205" t="s">
        <v>63</v>
      </c>
      <c r="I2205" t="s">
        <v>135</v>
      </c>
      <c r="J2205" t="s">
        <v>153</v>
      </c>
      <c r="L2205">
        <v>0</v>
      </c>
      <c r="M2205" t="s">
        <v>125</v>
      </c>
      <c r="O2205" t="s">
        <v>125</v>
      </c>
      <c r="P2205" t="s">
        <v>125</v>
      </c>
      <c r="Q2205" t="s">
        <v>125</v>
      </c>
      <c r="R2205" t="s">
        <v>125</v>
      </c>
      <c r="S2205" t="s">
        <v>125</v>
      </c>
      <c r="T2205">
        <v>0</v>
      </c>
      <c r="V2205" t="s">
        <v>125</v>
      </c>
      <c r="AE2205" t="s">
        <v>125</v>
      </c>
      <c r="AF2205">
        <v>0</v>
      </c>
      <c r="AG2205" t="s">
        <v>125</v>
      </c>
      <c r="AH2205">
        <v>0</v>
      </c>
      <c r="AK2205">
        <v>0</v>
      </c>
    </row>
    <row r="2206" spans="1:37" x14ac:dyDescent="0.25">
      <c r="A2206" t="s">
        <v>79</v>
      </c>
      <c r="B2206">
        <v>9</v>
      </c>
      <c r="C2206">
        <v>1</v>
      </c>
      <c r="D2206">
        <v>4</v>
      </c>
      <c r="E2206">
        <v>14</v>
      </c>
      <c r="G2206">
        <v>914</v>
      </c>
      <c r="H2206" t="s">
        <v>63</v>
      </c>
      <c r="I2206" t="s">
        <v>137</v>
      </c>
      <c r="J2206" t="s">
        <v>154</v>
      </c>
      <c r="L2206">
        <v>0</v>
      </c>
      <c r="M2206" t="s">
        <v>125</v>
      </c>
      <c r="O2206" t="s">
        <v>125</v>
      </c>
      <c r="P2206" t="s">
        <v>125</v>
      </c>
      <c r="Q2206" t="s">
        <v>125</v>
      </c>
      <c r="R2206" t="s">
        <v>125</v>
      </c>
      <c r="S2206" t="s">
        <v>125</v>
      </c>
      <c r="T2206">
        <v>0</v>
      </c>
      <c r="V2206" t="s">
        <v>125</v>
      </c>
      <c r="AE2206" t="s">
        <v>125</v>
      </c>
      <c r="AF2206">
        <v>0</v>
      </c>
      <c r="AG2206" t="s">
        <v>125</v>
      </c>
      <c r="AH2206">
        <v>0</v>
      </c>
      <c r="AK2206">
        <v>0</v>
      </c>
    </row>
    <row r="2207" spans="1:37" x14ac:dyDescent="0.25">
      <c r="A2207" t="s">
        <v>79</v>
      </c>
      <c r="B2207">
        <v>9</v>
      </c>
      <c r="C2207">
        <v>1</v>
      </c>
      <c r="D2207">
        <v>4</v>
      </c>
      <c r="E2207">
        <v>15</v>
      </c>
      <c r="G2207">
        <v>914</v>
      </c>
      <c r="H2207" t="s">
        <v>63</v>
      </c>
      <c r="I2207" t="s">
        <v>139</v>
      </c>
      <c r="J2207" t="s">
        <v>155</v>
      </c>
      <c r="L2207">
        <v>0</v>
      </c>
      <c r="M2207" t="s">
        <v>125</v>
      </c>
      <c r="O2207" t="s">
        <v>125</v>
      </c>
      <c r="P2207" t="s">
        <v>125</v>
      </c>
      <c r="Q2207" t="s">
        <v>125</v>
      </c>
      <c r="R2207" t="s">
        <v>125</v>
      </c>
      <c r="S2207" t="s">
        <v>125</v>
      </c>
      <c r="T2207">
        <v>0</v>
      </c>
      <c r="V2207" t="s">
        <v>125</v>
      </c>
      <c r="AE2207" t="s">
        <v>125</v>
      </c>
      <c r="AF2207">
        <v>0</v>
      </c>
      <c r="AG2207" t="s">
        <v>125</v>
      </c>
      <c r="AH2207">
        <v>0</v>
      </c>
      <c r="AK2207">
        <v>0</v>
      </c>
    </row>
    <row r="2208" spans="1:37" x14ac:dyDescent="0.25">
      <c r="L2208">
        <v>0</v>
      </c>
    </row>
    <row r="2209" spans="1:37" x14ac:dyDescent="0.25">
      <c r="A2209" t="s">
        <v>70</v>
      </c>
      <c r="B2209">
        <v>9</v>
      </c>
      <c r="C2209">
        <v>1</v>
      </c>
      <c r="D2209">
        <v>5</v>
      </c>
      <c r="G2209">
        <v>91</v>
      </c>
      <c r="L2209">
        <v>0</v>
      </c>
      <c r="M2209" t="s">
        <v>125</v>
      </c>
      <c r="P2209" t="s">
        <v>125</v>
      </c>
      <c r="R2209" t="s">
        <v>125</v>
      </c>
      <c r="S2209" t="s">
        <v>63</v>
      </c>
      <c r="V2209" t="s">
        <v>125</v>
      </c>
      <c r="X2209" t="s">
        <v>125</v>
      </c>
      <c r="Y2209" t="s">
        <v>125</v>
      </c>
      <c r="Z2209" t="s">
        <v>125</v>
      </c>
      <c r="AA2209" t="s">
        <v>125</v>
      </c>
      <c r="AB2209" t="s">
        <v>125</v>
      </c>
      <c r="AC2209" t="s">
        <v>125</v>
      </c>
      <c r="AE2209" t="s">
        <v>125</v>
      </c>
      <c r="AF2209">
        <v>0</v>
      </c>
      <c r="AG2209" t="s">
        <v>125</v>
      </c>
      <c r="AH2209">
        <v>0</v>
      </c>
      <c r="AK2209">
        <v>0</v>
      </c>
    </row>
    <row r="2210" spans="1:37" x14ac:dyDescent="0.25">
      <c r="A2210" t="s">
        <v>79</v>
      </c>
      <c r="B2210">
        <v>9</v>
      </c>
      <c r="C2210">
        <v>1</v>
      </c>
      <c r="D2210">
        <v>5</v>
      </c>
      <c r="E2210">
        <v>1</v>
      </c>
      <c r="G2210">
        <v>915</v>
      </c>
      <c r="H2210" t="s">
        <v>63</v>
      </c>
      <c r="I2210" t="s">
        <v>80</v>
      </c>
      <c r="J2210" t="s">
        <v>141</v>
      </c>
      <c r="L2210">
        <v>0</v>
      </c>
      <c r="M2210" t="s">
        <v>125</v>
      </c>
      <c r="O2210" t="s">
        <v>125</v>
      </c>
      <c r="P2210" t="s">
        <v>125</v>
      </c>
      <c r="Q2210" t="s">
        <v>125</v>
      </c>
      <c r="R2210" t="s">
        <v>125</v>
      </c>
      <c r="S2210" t="s">
        <v>125</v>
      </c>
      <c r="T2210">
        <v>0</v>
      </c>
      <c r="V2210" t="s">
        <v>125</v>
      </c>
      <c r="AE2210" t="s">
        <v>125</v>
      </c>
      <c r="AF2210">
        <v>0</v>
      </c>
      <c r="AG2210" t="s">
        <v>125</v>
      </c>
      <c r="AH2210">
        <v>0</v>
      </c>
      <c r="AK2210">
        <v>0</v>
      </c>
    </row>
    <row r="2211" spans="1:37" x14ac:dyDescent="0.25">
      <c r="A2211" t="s">
        <v>79</v>
      </c>
      <c r="B2211">
        <v>9</v>
      </c>
      <c r="C2211">
        <v>1</v>
      </c>
      <c r="D2211">
        <v>5</v>
      </c>
      <c r="E2211">
        <v>2</v>
      </c>
      <c r="G2211">
        <v>915</v>
      </c>
      <c r="H2211" t="s">
        <v>63</v>
      </c>
      <c r="I2211" t="s">
        <v>88</v>
      </c>
      <c r="J2211" t="s">
        <v>142</v>
      </c>
      <c r="L2211">
        <v>0</v>
      </c>
      <c r="M2211" t="s">
        <v>125</v>
      </c>
      <c r="O2211" t="s">
        <v>125</v>
      </c>
      <c r="P2211" t="s">
        <v>125</v>
      </c>
      <c r="Q2211" t="s">
        <v>125</v>
      </c>
      <c r="R2211" t="s">
        <v>125</v>
      </c>
      <c r="S2211" t="s">
        <v>125</v>
      </c>
      <c r="T2211">
        <v>0</v>
      </c>
      <c r="V2211" t="s">
        <v>125</v>
      </c>
      <c r="AE2211" t="s">
        <v>125</v>
      </c>
      <c r="AF2211">
        <v>0</v>
      </c>
      <c r="AG2211" t="s">
        <v>125</v>
      </c>
      <c r="AH2211">
        <v>0</v>
      </c>
      <c r="AK2211">
        <v>0</v>
      </c>
    </row>
    <row r="2212" spans="1:37" x14ac:dyDescent="0.25">
      <c r="A2212" t="s">
        <v>79</v>
      </c>
      <c r="B2212">
        <v>9</v>
      </c>
      <c r="C2212">
        <v>1</v>
      </c>
      <c r="D2212">
        <v>5</v>
      </c>
      <c r="E2212">
        <v>3</v>
      </c>
      <c r="G2212">
        <v>915</v>
      </c>
      <c r="H2212" t="s">
        <v>63</v>
      </c>
      <c r="I2212" t="s">
        <v>95</v>
      </c>
      <c r="J2212" t="s">
        <v>143</v>
      </c>
      <c r="L2212">
        <v>0</v>
      </c>
      <c r="M2212" t="s">
        <v>125</v>
      </c>
      <c r="O2212" t="s">
        <v>125</v>
      </c>
      <c r="P2212" t="s">
        <v>125</v>
      </c>
      <c r="Q2212" t="s">
        <v>125</v>
      </c>
      <c r="R2212" t="s">
        <v>125</v>
      </c>
      <c r="S2212" t="s">
        <v>125</v>
      </c>
      <c r="T2212">
        <v>0</v>
      </c>
      <c r="V2212" t="s">
        <v>125</v>
      </c>
      <c r="AE2212" t="s">
        <v>125</v>
      </c>
      <c r="AF2212">
        <v>0</v>
      </c>
      <c r="AG2212" t="s">
        <v>125</v>
      </c>
      <c r="AH2212">
        <v>0</v>
      </c>
      <c r="AK2212">
        <v>0</v>
      </c>
    </row>
    <row r="2213" spans="1:37" x14ac:dyDescent="0.25">
      <c r="A2213" t="s">
        <v>79</v>
      </c>
      <c r="B2213">
        <v>9</v>
      </c>
      <c r="C2213">
        <v>1</v>
      </c>
      <c r="D2213">
        <v>5</v>
      </c>
      <c r="E2213">
        <v>4</v>
      </c>
      <c r="G2213">
        <v>915</v>
      </c>
      <c r="H2213" t="s">
        <v>63</v>
      </c>
      <c r="I2213" t="s">
        <v>102</v>
      </c>
      <c r="J2213" t="s">
        <v>144</v>
      </c>
      <c r="L2213">
        <v>0</v>
      </c>
      <c r="M2213" t="s">
        <v>125</v>
      </c>
      <c r="O2213" t="s">
        <v>125</v>
      </c>
      <c r="P2213" t="s">
        <v>125</v>
      </c>
      <c r="Q2213" t="s">
        <v>125</v>
      </c>
      <c r="R2213" t="s">
        <v>125</v>
      </c>
      <c r="S2213" t="s">
        <v>125</v>
      </c>
      <c r="T2213">
        <v>0</v>
      </c>
      <c r="V2213" t="s">
        <v>125</v>
      </c>
      <c r="AE2213" t="s">
        <v>125</v>
      </c>
      <c r="AF2213">
        <v>0</v>
      </c>
      <c r="AG2213" t="s">
        <v>125</v>
      </c>
      <c r="AH2213">
        <v>0</v>
      </c>
      <c r="AK2213">
        <v>0</v>
      </c>
    </row>
    <row r="2214" spans="1:37" x14ac:dyDescent="0.25">
      <c r="A2214" t="s">
        <v>79</v>
      </c>
      <c r="B2214">
        <v>9</v>
      </c>
      <c r="C2214">
        <v>1</v>
      </c>
      <c r="D2214">
        <v>5</v>
      </c>
      <c r="E2214">
        <v>5</v>
      </c>
      <c r="G2214">
        <v>915</v>
      </c>
      <c r="H2214" t="s">
        <v>63</v>
      </c>
      <c r="I2214" t="s">
        <v>109</v>
      </c>
      <c r="J2214" t="s">
        <v>145</v>
      </c>
      <c r="L2214">
        <v>0</v>
      </c>
      <c r="M2214" t="s">
        <v>125</v>
      </c>
      <c r="O2214" t="s">
        <v>125</v>
      </c>
      <c r="P2214" t="s">
        <v>125</v>
      </c>
      <c r="Q2214" t="s">
        <v>125</v>
      </c>
      <c r="R2214" t="s">
        <v>125</v>
      </c>
      <c r="S2214" t="s">
        <v>125</v>
      </c>
      <c r="T2214">
        <v>0</v>
      </c>
      <c r="V2214" t="s">
        <v>125</v>
      </c>
      <c r="AE2214" t="s">
        <v>125</v>
      </c>
      <c r="AF2214">
        <v>0</v>
      </c>
      <c r="AG2214" t="s">
        <v>125</v>
      </c>
      <c r="AH2214">
        <v>0</v>
      </c>
      <c r="AK2214">
        <v>0</v>
      </c>
    </row>
    <row r="2215" spans="1:37" x14ac:dyDescent="0.25">
      <c r="A2215" t="s">
        <v>79</v>
      </c>
      <c r="B2215">
        <v>9</v>
      </c>
      <c r="C2215">
        <v>1</v>
      </c>
      <c r="D2215">
        <v>5</v>
      </c>
      <c r="E2215">
        <v>6</v>
      </c>
      <c r="G2215">
        <v>915</v>
      </c>
      <c r="H2215" t="s">
        <v>63</v>
      </c>
      <c r="I2215" t="s">
        <v>116</v>
      </c>
      <c r="J2215" t="s">
        <v>146</v>
      </c>
      <c r="L2215">
        <v>0</v>
      </c>
      <c r="M2215" t="s">
        <v>125</v>
      </c>
      <c r="O2215" t="s">
        <v>125</v>
      </c>
      <c r="P2215" t="s">
        <v>125</v>
      </c>
      <c r="Q2215" t="s">
        <v>125</v>
      </c>
      <c r="R2215" t="s">
        <v>125</v>
      </c>
      <c r="S2215" t="s">
        <v>125</v>
      </c>
      <c r="T2215">
        <v>0</v>
      </c>
      <c r="V2215" t="s">
        <v>125</v>
      </c>
      <c r="AE2215" t="s">
        <v>125</v>
      </c>
      <c r="AF2215">
        <v>0</v>
      </c>
      <c r="AG2215" t="s">
        <v>125</v>
      </c>
      <c r="AH2215">
        <v>0</v>
      </c>
      <c r="AK2215">
        <v>0</v>
      </c>
    </row>
    <row r="2216" spans="1:37" x14ac:dyDescent="0.25">
      <c r="A2216" t="s">
        <v>79</v>
      </c>
      <c r="B2216">
        <v>9</v>
      </c>
      <c r="C2216">
        <v>1</v>
      </c>
      <c r="D2216">
        <v>5</v>
      </c>
      <c r="E2216">
        <v>7</v>
      </c>
      <c r="G2216">
        <v>915</v>
      </c>
      <c r="H2216" t="s">
        <v>63</v>
      </c>
      <c r="I2216" t="s">
        <v>123</v>
      </c>
      <c r="J2216" t="s">
        <v>147</v>
      </c>
      <c r="L2216">
        <v>0</v>
      </c>
      <c r="M2216" t="s">
        <v>125</v>
      </c>
      <c r="O2216" t="s">
        <v>125</v>
      </c>
      <c r="P2216" t="s">
        <v>125</v>
      </c>
      <c r="Q2216" t="s">
        <v>125</v>
      </c>
      <c r="R2216" t="s">
        <v>125</v>
      </c>
      <c r="S2216" t="s">
        <v>125</v>
      </c>
      <c r="T2216">
        <v>0</v>
      </c>
      <c r="V2216" t="s">
        <v>125</v>
      </c>
      <c r="AE2216" t="s">
        <v>125</v>
      </c>
      <c r="AF2216">
        <v>0</v>
      </c>
      <c r="AG2216" t="s">
        <v>125</v>
      </c>
      <c r="AH2216">
        <v>0</v>
      </c>
      <c r="AK2216">
        <v>0</v>
      </c>
    </row>
    <row r="2217" spans="1:37" x14ac:dyDescent="0.25">
      <c r="A2217" t="s">
        <v>79</v>
      </c>
      <c r="B2217">
        <v>9</v>
      </c>
      <c r="C2217">
        <v>1</v>
      </c>
      <c r="D2217">
        <v>5</v>
      </c>
      <c r="E2217">
        <v>8</v>
      </c>
      <c r="G2217">
        <v>915</v>
      </c>
      <c r="H2217" t="s">
        <v>63</v>
      </c>
      <c r="I2217" t="s">
        <v>126</v>
      </c>
      <c r="J2217" t="s">
        <v>148</v>
      </c>
      <c r="L2217">
        <v>0</v>
      </c>
      <c r="M2217" t="s">
        <v>125</v>
      </c>
      <c r="O2217" t="s">
        <v>125</v>
      </c>
      <c r="P2217" t="s">
        <v>125</v>
      </c>
      <c r="Q2217" t="s">
        <v>125</v>
      </c>
      <c r="R2217" t="s">
        <v>125</v>
      </c>
      <c r="S2217" t="s">
        <v>125</v>
      </c>
      <c r="T2217">
        <v>0</v>
      </c>
      <c r="V2217" t="s">
        <v>125</v>
      </c>
      <c r="AE2217" t="s">
        <v>125</v>
      </c>
      <c r="AF2217">
        <v>0</v>
      </c>
      <c r="AG2217" t="s">
        <v>125</v>
      </c>
      <c r="AH2217">
        <v>0</v>
      </c>
      <c r="AK2217">
        <v>0</v>
      </c>
    </row>
    <row r="2218" spans="1:37" x14ac:dyDescent="0.25">
      <c r="A2218" t="s">
        <v>79</v>
      </c>
      <c r="B2218">
        <v>9</v>
      </c>
      <c r="C2218">
        <v>1</v>
      </c>
      <c r="D2218">
        <v>5</v>
      </c>
      <c r="E2218">
        <v>9</v>
      </c>
      <c r="G2218">
        <v>915</v>
      </c>
      <c r="H2218" t="s">
        <v>63</v>
      </c>
      <c r="I2218" t="s">
        <v>74</v>
      </c>
      <c r="J2218" t="s">
        <v>149</v>
      </c>
      <c r="L2218">
        <v>0</v>
      </c>
      <c r="M2218" t="s">
        <v>125</v>
      </c>
      <c r="O2218" t="s">
        <v>125</v>
      </c>
      <c r="P2218" t="s">
        <v>125</v>
      </c>
      <c r="Q2218" t="s">
        <v>125</v>
      </c>
      <c r="R2218" t="s">
        <v>125</v>
      </c>
      <c r="S2218" t="s">
        <v>125</v>
      </c>
      <c r="T2218">
        <v>0</v>
      </c>
      <c r="V2218" t="s">
        <v>125</v>
      </c>
      <c r="AE2218" t="s">
        <v>125</v>
      </c>
      <c r="AF2218">
        <v>0</v>
      </c>
      <c r="AG2218" t="s">
        <v>125</v>
      </c>
      <c r="AH2218">
        <v>0</v>
      </c>
      <c r="AK2218">
        <v>0</v>
      </c>
    </row>
    <row r="2219" spans="1:37" x14ac:dyDescent="0.25">
      <c r="A2219" t="s">
        <v>79</v>
      </c>
      <c r="B2219">
        <v>9</v>
      </c>
      <c r="C2219">
        <v>1</v>
      </c>
      <c r="D2219">
        <v>5</v>
      </c>
      <c r="E2219">
        <v>10</v>
      </c>
      <c r="G2219">
        <v>915</v>
      </c>
      <c r="H2219" t="s">
        <v>63</v>
      </c>
      <c r="I2219" t="s">
        <v>129</v>
      </c>
      <c r="J2219" t="s">
        <v>150</v>
      </c>
      <c r="L2219">
        <v>0</v>
      </c>
      <c r="M2219" t="s">
        <v>125</v>
      </c>
      <c r="O2219" t="s">
        <v>125</v>
      </c>
      <c r="P2219" t="s">
        <v>125</v>
      </c>
      <c r="Q2219" t="s">
        <v>125</v>
      </c>
      <c r="R2219" t="s">
        <v>125</v>
      </c>
      <c r="S2219" t="s">
        <v>125</v>
      </c>
      <c r="T2219">
        <v>0</v>
      </c>
      <c r="V2219" t="s">
        <v>125</v>
      </c>
      <c r="AE2219" t="s">
        <v>125</v>
      </c>
      <c r="AF2219">
        <v>0</v>
      </c>
      <c r="AG2219" t="s">
        <v>125</v>
      </c>
      <c r="AH2219">
        <v>0</v>
      </c>
      <c r="AK2219">
        <v>0</v>
      </c>
    </row>
    <row r="2220" spans="1:37" x14ac:dyDescent="0.25">
      <c r="A2220" t="s">
        <v>79</v>
      </c>
      <c r="B2220">
        <v>9</v>
      </c>
      <c r="C2220">
        <v>1</v>
      </c>
      <c r="D2220">
        <v>5</v>
      </c>
      <c r="E2220">
        <v>11</v>
      </c>
      <c r="G2220">
        <v>915</v>
      </c>
      <c r="H2220" t="s">
        <v>63</v>
      </c>
      <c r="I2220" t="s">
        <v>131</v>
      </c>
      <c r="J2220" t="s">
        <v>151</v>
      </c>
      <c r="L2220">
        <v>0</v>
      </c>
      <c r="M2220" t="s">
        <v>125</v>
      </c>
      <c r="O2220" t="s">
        <v>125</v>
      </c>
      <c r="P2220" t="s">
        <v>125</v>
      </c>
      <c r="Q2220" t="s">
        <v>125</v>
      </c>
      <c r="R2220" t="s">
        <v>125</v>
      </c>
      <c r="S2220" t="s">
        <v>125</v>
      </c>
      <c r="T2220">
        <v>0</v>
      </c>
      <c r="V2220" t="s">
        <v>125</v>
      </c>
      <c r="AE2220" t="s">
        <v>125</v>
      </c>
      <c r="AF2220">
        <v>0</v>
      </c>
      <c r="AG2220" t="s">
        <v>125</v>
      </c>
      <c r="AH2220">
        <v>0</v>
      </c>
      <c r="AK2220">
        <v>0</v>
      </c>
    </row>
    <row r="2221" spans="1:37" x14ac:dyDescent="0.25">
      <c r="A2221" t="s">
        <v>79</v>
      </c>
      <c r="B2221">
        <v>9</v>
      </c>
      <c r="C2221">
        <v>1</v>
      </c>
      <c r="D2221">
        <v>5</v>
      </c>
      <c r="E2221">
        <v>12</v>
      </c>
      <c r="G2221">
        <v>915</v>
      </c>
      <c r="H2221" t="s">
        <v>63</v>
      </c>
      <c r="I2221" t="s">
        <v>133</v>
      </c>
      <c r="J2221" t="s">
        <v>152</v>
      </c>
      <c r="L2221">
        <v>0</v>
      </c>
      <c r="M2221" t="s">
        <v>125</v>
      </c>
      <c r="O2221" t="s">
        <v>125</v>
      </c>
      <c r="P2221" t="s">
        <v>125</v>
      </c>
      <c r="Q2221" t="s">
        <v>125</v>
      </c>
      <c r="R2221" t="s">
        <v>125</v>
      </c>
      <c r="S2221" t="s">
        <v>125</v>
      </c>
      <c r="T2221">
        <v>0</v>
      </c>
      <c r="V2221" t="s">
        <v>125</v>
      </c>
      <c r="AE2221" t="s">
        <v>125</v>
      </c>
      <c r="AF2221">
        <v>0</v>
      </c>
      <c r="AG2221" t="s">
        <v>125</v>
      </c>
      <c r="AH2221">
        <v>0</v>
      </c>
      <c r="AK2221">
        <v>0</v>
      </c>
    </row>
    <row r="2222" spans="1:37" x14ac:dyDescent="0.25">
      <c r="A2222" t="s">
        <v>79</v>
      </c>
      <c r="B2222">
        <v>9</v>
      </c>
      <c r="C2222">
        <v>1</v>
      </c>
      <c r="D2222">
        <v>5</v>
      </c>
      <c r="E2222">
        <v>13</v>
      </c>
      <c r="G2222">
        <v>915</v>
      </c>
      <c r="H2222" t="s">
        <v>63</v>
      </c>
      <c r="I2222" t="s">
        <v>135</v>
      </c>
      <c r="J2222" t="s">
        <v>153</v>
      </c>
      <c r="L2222">
        <v>0</v>
      </c>
      <c r="M2222" t="s">
        <v>125</v>
      </c>
      <c r="O2222" t="s">
        <v>125</v>
      </c>
      <c r="P2222" t="s">
        <v>125</v>
      </c>
      <c r="Q2222" t="s">
        <v>125</v>
      </c>
      <c r="R2222" t="s">
        <v>125</v>
      </c>
      <c r="S2222" t="s">
        <v>125</v>
      </c>
      <c r="T2222">
        <v>0</v>
      </c>
      <c r="V2222" t="s">
        <v>125</v>
      </c>
      <c r="AE2222" t="s">
        <v>125</v>
      </c>
      <c r="AF2222">
        <v>0</v>
      </c>
      <c r="AG2222" t="s">
        <v>125</v>
      </c>
      <c r="AH2222">
        <v>0</v>
      </c>
      <c r="AK2222">
        <v>0</v>
      </c>
    </row>
    <row r="2223" spans="1:37" x14ac:dyDescent="0.25">
      <c r="A2223" t="s">
        <v>79</v>
      </c>
      <c r="B2223">
        <v>9</v>
      </c>
      <c r="C2223">
        <v>1</v>
      </c>
      <c r="D2223">
        <v>5</v>
      </c>
      <c r="E2223">
        <v>14</v>
      </c>
      <c r="G2223">
        <v>915</v>
      </c>
      <c r="H2223" t="s">
        <v>63</v>
      </c>
      <c r="I2223" t="s">
        <v>137</v>
      </c>
      <c r="J2223" t="s">
        <v>154</v>
      </c>
      <c r="L2223">
        <v>0</v>
      </c>
      <c r="M2223" t="s">
        <v>125</v>
      </c>
      <c r="O2223" t="s">
        <v>125</v>
      </c>
      <c r="P2223" t="s">
        <v>125</v>
      </c>
      <c r="Q2223" t="s">
        <v>125</v>
      </c>
      <c r="R2223" t="s">
        <v>125</v>
      </c>
      <c r="S2223" t="s">
        <v>125</v>
      </c>
      <c r="T2223">
        <v>0</v>
      </c>
      <c r="V2223" t="s">
        <v>125</v>
      </c>
      <c r="AE2223" t="s">
        <v>125</v>
      </c>
      <c r="AF2223">
        <v>0</v>
      </c>
      <c r="AG2223" t="s">
        <v>125</v>
      </c>
      <c r="AH2223">
        <v>0</v>
      </c>
      <c r="AK2223">
        <v>0</v>
      </c>
    </row>
    <row r="2224" spans="1:37" x14ac:dyDescent="0.25">
      <c r="A2224" t="s">
        <v>79</v>
      </c>
      <c r="B2224">
        <v>9</v>
      </c>
      <c r="C2224">
        <v>1</v>
      </c>
      <c r="D2224">
        <v>5</v>
      </c>
      <c r="E2224">
        <v>15</v>
      </c>
      <c r="G2224">
        <v>915</v>
      </c>
      <c r="H2224" t="s">
        <v>63</v>
      </c>
      <c r="I2224" t="s">
        <v>139</v>
      </c>
      <c r="J2224" t="s">
        <v>155</v>
      </c>
      <c r="L2224">
        <v>0</v>
      </c>
      <c r="M2224" t="s">
        <v>125</v>
      </c>
      <c r="O2224" t="s">
        <v>125</v>
      </c>
      <c r="P2224" t="s">
        <v>125</v>
      </c>
      <c r="Q2224" t="s">
        <v>125</v>
      </c>
      <c r="R2224" t="s">
        <v>125</v>
      </c>
      <c r="S2224" t="s">
        <v>125</v>
      </c>
      <c r="T2224">
        <v>0</v>
      </c>
      <c r="V2224" t="s">
        <v>125</v>
      </c>
      <c r="AE2224" t="s">
        <v>125</v>
      </c>
      <c r="AF2224">
        <v>0</v>
      </c>
      <c r="AG2224" t="s">
        <v>125</v>
      </c>
      <c r="AH2224">
        <v>0</v>
      </c>
      <c r="AK2224">
        <v>0</v>
      </c>
    </row>
    <row r="2225" spans="1:37" x14ac:dyDescent="0.25">
      <c r="L2225">
        <v>0</v>
      </c>
    </row>
    <row r="2226" spans="1:37" x14ac:dyDescent="0.25">
      <c r="L2226">
        <v>0</v>
      </c>
    </row>
    <row r="2227" spans="1:37" x14ac:dyDescent="0.25">
      <c r="A2227" t="s">
        <v>66</v>
      </c>
      <c r="B2227">
        <v>9</v>
      </c>
      <c r="C2227">
        <v>2</v>
      </c>
      <c r="G2227">
        <v>9</v>
      </c>
      <c r="H2227" t="s">
        <v>2979</v>
      </c>
      <c r="I2227" t="s">
        <v>3079</v>
      </c>
      <c r="M2227" t="s">
        <v>3080</v>
      </c>
      <c r="N2227" t="s">
        <v>3079</v>
      </c>
      <c r="P2227" t="s">
        <v>3081</v>
      </c>
      <c r="V2227" t="s">
        <v>3082</v>
      </c>
      <c r="Y2227" t="s">
        <v>3083</v>
      </c>
      <c r="AA2227" t="s">
        <v>3084</v>
      </c>
      <c r="AC2227" t="s">
        <v>3085</v>
      </c>
      <c r="AE2227" t="s">
        <v>3086</v>
      </c>
      <c r="AF2227">
        <v>0</v>
      </c>
      <c r="AG2227" t="s">
        <v>3087</v>
      </c>
      <c r="AH2227">
        <v>0</v>
      </c>
      <c r="AK2227">
        <v>0</v>
      </c>
    </row>
    <row r="2228" spans="1:37" x14ac:dyDescent="0.25">
      <c r="L2228">
        <v>0</v>
      </c>
    </row>
    <row r="2229" spans="1:37" x14ac:dyDescent="0.25">
      <c r="A2229" t="s">
        <v>70</v>
      </c>
      <c r="B2229">
        <v>9</v>
      </c>
      <c r="C2229">
        <v>2</v>
      </c>
      <c r="D2229">
        <v>1</v>
      </c>
      <c r="G2229">
        <v>92</v>
      </c>
      <c r="M2229" t="s">
        <v>3088</v>
      </c>
      <c r="O2229" t="s">
        <v>3089</v>
      </c>
      <c r="P2229" t="s">
        <v>3090</v>
      </c>
      <c r="Q2229" t="s">
        <v>3091</v>
      </c>
      <c r="R2229" t="s">
        <v>179</v>
      </c>
      <c r="S2229" t="s">
        <v>3092</v>
      </c>
      <c r="V2229" t="s">
        <v>3093</v>
      </c>
      <c r="X2229" t="s">
        <v>3094</v>
      </c>
      <c r="Y2229" t="s">
        <v>3095</v>
      </c>
      <c r="Z2229" t="s">
        <v>3096</v>
      </c>
      <c r="AA2229" t="s">
        <v>3097</v>
      </c>
      <c r="AB2229" t="s">
        <v>3098</v>
      </c>
      <c r="AC2229" t="s">
        <v>3099</v>
      </c>
      <c r="AE2229" t="s">
        <v>3100</v>
      </c>
      <c r="AF2229">
        <v>0</v>
      </c>
      <c r="AG2229" t="s">
        <v>3101</v>
      </c>
      <c r="AH2229">
        <v>0</v>
      </c>
      <c r="AK2229">
        <v>0</v>
      </c>
    </row>
    <row r="2230" spans="1:37" x14ac:dyDescent="0.25">
      <c r="A2230" t="s">
        <v>79</v>
      </c>
      <c r="B2230">
        <v>9</v>
      </c>
      <c r="C2230">
        <v>2</v>
      </c>
      <c r="D2230">
        <v>1</v>
      </c>
      <c r="E2230">
        <v>1</v>
      </c>
      <c r="G2230">
        <v>921</v>
      </c>
      <c r="H2230" t="s">
        <v>3089</v>
      </c>
      <c r="I2230" t="s">
        <v>80</v>
      </c>
      <c r="J2230" t="s">
        <v>3102</v>
      </c>
      <c r="L2230">
        <v>0</v>
      </c>
      <c r="M2230" t="s">
        <v>3103</v>
      </c>
      <c r="O2230" t="s">
        <v>3104</v>
      </c>
      <c r="P2230" t="s">
        <v>3105</v>
      </c>
      <c r="Q2230" t="s">
        <v>3106</v>
      </c>
      <c r="R2230" t="s">
        <v>210</v>
      </c>
      <c r="S2230" t="s">
        <v>260</v>
      </c>
      <c r="T2230">
        <v>1393</v>
      </c>
      <c r="U2230">
        <v>697</v>
      </c>
      <c r="V2230" t="s">
        <v>1045</v>
      </c>
      <c r="AE2230" t="s">
        <v>2577</v>
      </c>
      <c r="AF2230">
        <v>0</v>
      </c>
      <c r="AG2230" t="s">
        <v>3107</v>
      </c>
      <c r="AH2230">
        <v>0</v>
      </c>
      <c r="AK2230">
        <v>0</v>
      </c>
    </row>
    <row r="2231" spans="1:37" x14ac:dyDescent="0.25">
      <c r="A2231" t="s">
        <v>79</v>
      </c>
      <c r="B2231">
        <v>9</v>
      </c>
      <c r="C2231">
        <v>2</v>
      </c>
      <c r="D2231">
        <v>1</v>
      </c>
      <c r="E2231">
        <v>2</v>
      </c>
      <c r="G2231">
        <v>921</v>
      </c>
      <c r="H2231" t="s">
        <v>3089</v>
      </c>
      <c r="I2231" t="s">
        <v>88</v>
      </c>
      <c r="J2231" t="s">
        <v>3108</v>
      </c>
      <c r="L2231">
        <v>0</v>
      </c>
      <c r="M2231" t="s">
        <v>3109</v>
      </c>
      <c r="O2231" t="s">
        <v>3110</v>
      </c>
      <c r="P2231" t="s">
        <v>3111</v>
      </c>
      <c r="Q2231" t="s">
        <v>1086</v>
      </c>
      <c r="R2231" t="s">
        <v>1221</v>
      </c>
      <c r="S2231" t="s">
        <v>3112</v>
      </c>
      <c r="T2231">
        <v>1393</v>
      </c>
      <c r="U2231">
        <v>293</v>
      </c>
      <c r="V2231" t="s">
        <v>3113</v>
      </c>
      <c r="AE2231" t="s">
        <v>3114</v>
      </c>
      <c r="AF2231">
        <v>0</v>
      </c>
      <c r="AG2231" t="s">
        <v>3115</v>
      </c>
      <c r="AH2231">
        <v>0</v>
      </c>
      <c r="AK2231">
        <v>0</v>
      </c>
    </row>
    <row r="2232" spans="1:37" x14ac:dyDescent="0.25">
      <c r="A2232" t="s">
        <v>79</v>
      </c>
      <c r="B2232">
        <v>9</v>
      </c>
      <c r="C2232">
        <v>2</v>
      </c>
      <c r="D2232">
        <v>1</v>
      </c>
      <c r="E2232">
        <v>3</v>
      </c>
      <c r="G2232">
        <v>921</v>
      </c>
      <c r="H2232" t="s">
        <v>3089</v>
      </c>
      <c r="I2232" t="s">
        <v>95</v>
      </c>
      <c r="J2232" t="s">
        <v>3116</v>
      </c>
      <c r="L2232">
        <v>0</v>
      </c>
      <c r="M2232" t="s">
        <v>3117</v>
      </c>
      <c r="O2232" t="s">
        <v>3118</v>
      </c>
      <c r="P2232" t="s">
        <v>3119</v>
      </c>
      <c r="Q2232" t="s">
        <v>3120</v>
      </c>
      <c r="R2232" t="s">
        <v>268</v>
      </c>
      <c r="S2232" t="s">
        <v>3121</v>
      </c>
      <c r="T2232">
        <v>1393</v>
      </c>
      <c r="U2232">
        <v>74</v>
      </c>
      <c r="V2232" t="s">
        <v>3122</v>
      </c>
      <c r="AE2232" t="s">
        <v>3123</v>
      </c>
      <c r="AF2232">
        <v>0</v>
      </c>
      <c r="AG2232" t="s">
        <v>3124</v>
      </c>
      <c r="AH2232">
        <v>0</v>
      </c>
      <c r="AK2232">
        <v>0</v>
      </c>
    </row>
    <row r="2233" spans="1:37" x14ac:dyDescent="0.25">
      <c r="A2233" t="s">
        <v>79</v>
      </c>
      <c r="B2233">
        <v>9</v>
      </c>
      <c r="C2233">
        <v>2</v>
      </c>
      <c r="D2233">
        <v>1</v>
      </c>
      <c r="E2233">
        <v>4</v>
      </c>
      <c r="G2233">
        <v>921</v>
      </c>
      <c r="H2233" t="s">
        <v>3089</v>
      </c>
      <c r="I2233" t="s">
        <v>102</v>
      </c>
      <c r="J2233" t="s">
        <v>3125</v>
      </c>
      <c r="L2233">
        <v>0</v>
      </c>
      <c r="M2233" t="s">
        <v>3126</v>
      </c>
      <c r="O2233" t="s">
        <v>1319</v>
      </c>
      <c r="P2233" t="s">
        <v>1320</v>
      </c>
      <c r="Q2233" t="s">
        <v>3127</v>
      </c>
      <c r="R2233" t="s">
        <v>229</v>
      </c>
      <c r="S2233" t="s">
        <v>1322</v>
      </c>
      <c r="T2233">
        <v>1393</v>
      </c>
      <c r="U2233">
        <v>378</v>
      </c>
      <c r="V2233" t="s">
        <v>3128</v>
      </c>
      <c r="AE2233" t="s">
        <v>3129</v>
      </c>
      <c r="AF2233">
        <v>0</v>
      </c>
      <c r="AG2233" t="s">
        <v>3130</v>
      </c>
      <c r="AH2233">
        <v>0</v>
      </c>
      <c r="AK2233">
        <v>0</v>
      </c>
    </row>
    <row r="2234" spans="1:37" x14ac:dyDescent="0.25">
      <c r="A2234" t="s">
        <v>79</v>
      </c>
      <c r="B2234">
        <v>9</v>
      </c>
      <c r="C2234">
        <v>2</v>
      </c>
      <c r="D2234">
        <v>1</v>
      </c>
      <c r="E2234">
        <v>5</v>
      </c>
      <c r="G2234">
        <v>921</v>
      </c>
      <c r="H2234" t="s">
        <v>3089</v>
      </c>
      <c r="I2234" t="s">
        <v>109</v>
      </c>
      <c r="J2234" t="s">
        <v>3131</v>
      </c>
      <c r="L2234">
        <v>0</v>
      </c>
      <c r="M2234" t="s">
        <v>3132</v>
      </c>
      <c r="O2234" t="s">
        <v>294</v>
      </c>
      <c r="P2234" t="s">
        <v>295</v>
      </c>
      <c r="Q2234" t="s">
        <v>3133</v>
      </c>
      <c r="R2234" t="s">
        <v>229</v>
      </c>
      <c r="S2234" t="s">
        <v>297</v>
      </c>
      <c r="T2234">
        <v>1393</v>
      </c>
      <c r="U2234">
        <v>190</v>
      </c>
      <c r="V2234" t="s">
        <v>3134</v>
      </c>
      <c r="AE2234" t="s">
        <v>3135</v>
      </c>
      <c r="AF2234">
        <v>0</v>
      </c>
      <c r="AG2234" t="s">
        <v>3136</v>
      </c>
      <c r="AH2234">
        <v>0</v>
      </c>
      <c r="AK2234">
        <v>0</v>
      </c>
    </row>
    <row r="2235" spans="1:37" x14ac:dyDescent="0.25">
      <c r="A2235" t="s">
        <v>79</v>
      </c>
      <c r="B2235">
        <v>9</v>
      </c>
      <c r="C2235">
        <v>2</v>
      </c>
      <c r="D2235">
        <v>1</v>
      </c>
      <c r="E2235">
        <v>6</v>
      </c>
      <c r="G2235">
        <v>921</v>
      </c>
      <c r="H2235" t="s">
        <v>3089</v>
      </c>
      <c r="I2235" t="s">
        <v>116</v>
      </c>
      <c r="J2235" t="s">
        <v>3137</v>
      </c>
      <c r="L2235">
        <v>0</v>
      </c>
      <c r="M2235" t="s">
        <v>125</v>
      </c>
      <c r="O2235" t="s">
        <v>125</v>
      </c>
      <c r="P2235" t="s">
        <v>125</v>
      </c>
      <c r="Q2235" t="s">
        <v>125</v>
      </c>
      <c r="R2235" t="s">
        <v>125</v>
      </c>
      <c r="S2235" t="s">
        <v>125</v>
      </c>
      <c r="T2235">
        <v>1393</v>
      </c>
      <c r="V2235" t="s">
        <v>125</v>
      </c>
      <c r="AE2235" t="s">
        <v>125</v>
      </c>
      <c r="AF2235">
        <v>0</v>
      </c>
      <c r="AG2235" t="s">
        <v>125</v>
      </c>
      <c r="AH2235">
        <v>0</v>
      </c>
      <c r="AK2235">
        <v>0</v>
      </c>
    </row>
    <row r="2236" spans="1:37" x14ac:dyDescent="0.25">
      <c r="A2236" t="s">
        <v>79</v>
      </c>
      <c r="B2236">
        <v>9</v>
      </c>
      <c r="C2236">
        <v>2</v>
      </c>
      <c r="D2236">
        <v>1</v>
      </c>
      <c r="E2236">
        <v>7</v>
      </c>
      <c r="G2236">
        <v>921</v>
      </c>
      <c r="H2236" t="s">
        <v>3089</v>
      </c>
      <c r="I2236" t="s">
        <v>123</v>
      </c>
      <c r="J2236" t="s">
        <v>3138</v>
      </c>
      <c r="L2236">
        <v>0</v>
      </c>
      <c r="M2236" t="s">
        <v>125</v>
      </c>
      <c r="O2236" t="s">
        <v>125</v>
      </c>
      <c r="P2236" t="s">
        <v>125</v>
      </c>
      <c r="Q2236" t="s">
        <v>125</v>
      </c>
      <c r="R2236" t="s">
        <v>125</v>
      </c>
      <c r="S2236" t="s">
        <v>125</v>
      </c>
      <c r="T2236">
        <v>1393</v>
      </c>
      <c r="V2236" t="s">
        <v>125</v>
      </c>
      <c r="AE2236" t="s">
        <v>125</v>
      </c>
      <c r="AF2236">
        <v>0</v>
      </c>
      <c r="AG2236" t="s">
        <v>125</v>
      </c>
      <c r="AH2236">
        <v>0</v>
      </c>
      <c r="AK2236">
        <v>0</v>
      </c>
    </row>
    <row r="2237" spans="1:37" x14ac:dyDescent="0.25">
      <c r="A2237" t="s">
        <v>79</v>
      </c>
      <c r="B2237">
        <v>9</v>
      </c>
      <c r="C2237">
        <v>2</v>
      </c>
      <c r="D2237">
        <v>1</v>
      </c>
      <c r="E2237">
        <v>8</v>
      </c>
      <c r="G2237">
        <v>921</v>
      </c>
      <c r="H2237" t="s">
        <v>3089</v>
      </c>
      <c r="I2237" t="s">
        <v>126</v>
      </c>
      <c r="J2237" t="s">
        <v>3139</v>
      </c>
      <c r="L2237">
        <v>0</v>
      </c>
      <c r="M2237" t="s">
        <v>125</v>
      </c>
      <c r="O2237" t="s">
        <v>125</v>
      </c>
      <c r="P2237" t="s">
        <v>125</v>
      </c>
      <c r="Q2237" t="s">
        <v>125</v>
      </c>
      <c r="R2237" t="s">
        <v>125</v>
      </c>
      <c r="S2237" t="s">
        <v>125</v>
      </c>
      <c r="T2237">
        <v>1393</v>
      </c>
      <c r="V2237" t="s">
        <v>125</v>
      </c>
      <c r="AE2237" t="s">
        <v>125</v>
      </c>
      <c r="AF2237">
        <v>0</v>
      </c>
      <c r="AG2237" t="s">
        <v>125</v>
      </c>
      <c r="AH2237">
        <v>0</v>
      </c>
      <c r="AK2237">
        <v>0</v>
      </c>
    </row>
    <row r="2238" spans="1:37" x14ac:dyDescent="0.25">
      <c r="A2238" t="s">
        <v>79</v>
      </c>
      <c r="B2238">
        <v>9</v>
      </c>
      <c r="C2238">
        <v>2</v>
      </c>
      <c r="D2238">
        <v>1</v>
      </c>
      <c r="E2238">
        <v>9</v>
      </c>
      <c r="G2238">
        <v>921</v>
      </c>
      <c r="H2238" t="s">
        <v>3089</v>
      </c>
      <c r="I2238" t="s">
        <v>74</v>
      </c>
      <c r="J2238" t="s">
        <v>3140</v>
      </c>
      <c r="L2238">
        <v>0</v>
      </c>
      <c r="M2238" t="s">
        <v>125</v>
      </c>
      <c r="O2238" t="s">
        <v>125</v>
      </c>
      <c r="P2238" t="s">
        <v>125</v>
      </c>
      <c r="Q2238" t="s">
        <v>125</v>
      </c>
      <c r="R2238" t="s">
        <v>125</v>
      </c>
      <c r="S2238" t="s">
        <v>125</v>
      </c>
      <c r="T2238">
        <v>1393</v>
      </c>
      <c r="V2238" t="s">
        <v>125</v>
      </c>
      <c r="AE2238" t="s">
        <v>125</v>
      </c>
      <c r="AF2238">
        <v>0</v>
      </c>
      <c r="AG2238" t="s">
        <v>125</v>
      </c>
      <c r="AH2238">
        <v>0</v>
      </c>
      <c r="AK2238">
        <v>0</v>
      </c>
    </row>
    <row r="2239" spans="1:37" x14ac:dyDescent="0.25">
      <c r="A2239" t="s">
        <v>79</v>
      </c>
      <c r="B2239">
        <v>9</v>
      </c>
      <c r="C2239">
        <v>2</v>
      </c>
      <c r="D2239">
        <v>1</v>
      </c>
      <c r="E2239">
        <v>10</v>
      </c>
      <c r="G2239">
        <v>921</v>
      </c>
      <c r="H2239" t="s">
        <v>3089</v>
      </c>
      <c r="I2239" t="s">
        <v>129</v>
      </c>
      <c r="J2239" t="s">
        <v>3141</v>
      </c>
      <c r="L2239">
        <v>0</v>
      </c>
      <c r="M2239" t="s">
        <v>125</v>
      </c>
      <c r="O2239" t="s">
        <v>125</v>
      </c>
      <c r="P2239" t="s">
        <v>125</v>
      </c>
      <c r="Q2239" t="s">
        <v>125</v>
      </c>
      <c r="R2239" t="s">
        <v>125</v>
      </c>
      <c r="S2239" t="s">
        <v>125</v>
      </c>
      <c r="T2239">
        <v>1393</v>
      </c>
      <c r="V2239" t="s">
        <v>125</v>
      </c>
      <c r="AE2239" t="s">
        <v>125</v>
      </c>
      <c r="AF2239">
        <v>0</v>
      </c>
      <c r="AG2239" t="s">
        <v>125</v>
      </c>
      <c r="AH2239">
        <v>0</v>
      </c>
      <c r="AK2239">
        <v>0</v>
      </c>
    </row>
    <row r="2240" spans="1:37" x14ac:dyDescent="0.25">
      <c r="A2240" t="s">
        <v>79</v>
      </c>
      <c r="B2240">
        <v>9</v>
      </c>
      <c r="C2240">
        <v>2</v>
      </c>
      <c r="D2240">
        <v>1</v>
      </c>
      <c r="E2240">
        <v>11</v>
      </c>
      <c r="G2240">
        <v>921</v>
      </c>
      <c r="H2240" t="s">
        <v>3089</v>
      </c>
      <c r="I2240" t="s">
        <v>131</v>
      </c>
      <c r="J2240" t="s">
        <v>3142</v>
      </c>
      <c r="L2240">
        <v>0</v>
      </c>
      <c r="M2240" t="s">
        <v>125</v>
      </c>
      <c r="O2240" t="s">
        <v>125</v>
      </c>
      <c r="P2240" t="s">
        <v>125</v>
      </c>
      <c r="Q2240" t="s">
        <v>125</v>
      </c>
      <c r="R2240" t="s">
        <v>125</v>
      </c>
      <c r="S2240" t="s">
        <v>125</v>
      </c>
      <c r="T2240">
        <v>1393</v>
      </c>
      <c r="V2240" t="s">
        <v>125</v>
      </c>
      <c r="AE2240" t="s">
        <v>125</v>
      </c>
      <c r="AF2240">
        <v>0</v>
      </c>
      <c r="AG2240" t="s">
        <v>125</v>
      </c>
      <c r="AH2240">
        <v>0</v>
      </c>
      <c r="AK2240">
        <v>0</v>
      </c>
    </row>
    <row r="2241" spans="1:37" x14ac:dyDescent="0.25">
      <c r="A2241" t="s">
        <v>79</v>
      </c>
      <c r="B2241">
        <v>9</v>
      </c>
      <c r="C2241">
        <v>2</v>
      </c>
      <c r="D2241">
        <v>1</v>
      </c>
      <c r="E2241">
        <v>12</v>
      </c>
      <c r="G2241">
        <v>921</v>
      </c>
      <c r="H2241" t="s">
        <v>3089</v>
      </c>
      <c r="I2241" t="s">
        <v>133</v>
      </c>
      <c r="J2241" t="s">
        <v>3143</v>
      </c>
      <c r="L2241">
        <v>0</v>
      </c>
      <c r="M2241" t="s">
        <v>125</v>
      </c>
      <c r="O2241" t="s">
        <v>125</v>
      </c>
      <c r="P2241" t="s">
        <v>125</v>
      </c>
      <c r="Q2241" t="s">
        <v>125</v>
      </c>
      <c r="R2241" t="s">
        <v>125</v>
      </c>
      <c r="S2241" t="s">
        <v>125</v>
      </c>
      <c r="T2241">
        <v>1393</v>
      </c>
      <c r="V2241" t="s">
        <v>125</v>
      </c>
      <c r="AE2241" t="s">
        <v>125</v>
      </c>
      <c r="AF2241">
        <v>0</v>
      </c>
      <c r="AG2241" t="s">
        <v>125</v>
      </c>
      <c r="AH2241">
        <v>0</v>
      </c>
      <c r="AK2241">
        <v>0</v>
      </c>
    </row>
    <row r="2242" spans="1:37" x14ac:dyDescent="0.25">
      <c r="A2242" t="s">
        <v>79</v>
      </c>
      <c r="B2242">
        <v>9</v>
      </c>
      <c r="C2242">
        <v>2</v>
      </c>
      <c r="D2242">
        <v>1</v>
      </c>
      <c r="E2242">
        <v>13</v>
      </c>
      <c r="G2242">
        <v>921</v>
      </c>
      <c r="H2242" t="s">
        <v>3089</v>
      </c>
      <c r="I2242" t="s">
        <v>135</v>
      </c>
      <c r="J2242" t="s">
        <v>3144</v>
      </c>
      <c r="L2242">
        <v>0</v>
      </c>
      <c r="M2242" t="s">
        <v>125</v>
      </c>
      <c r="O2242" t="s">
        <v>125</v>
      </c>
      <c r="P2242" t="s">
        <v>125</v>
      </c>
      <c r="Q2242" t="s">
        <v>125</v>
      </c>
      <c r="R2242" t="s">
        <v>125</v>
      </c>
      <c r="S2242" t="s">
        <v>125</v>
      </c>
      <c r="T2242">
        <v>1393</v>
      </c>
      <c r="V2242" t="s">
        <v>125</v>
      </c>
      <c r="AE2242" t="s">
        <v>125</v>
      </c>
      <c r="AF2242">
        <v>0</v>
      </c>
      <c r="AG2242" t="s">
        <v>125</v>
      </c>
      <c r="AH2242">
        <v>0</v>
      </c>
      <c r="AK2242">
        <v>0</v>
      </c>
    </row>
    <row r="2243" spans="1:37" x14ac:dyDescent="0.25">
      <c r="A2243" t="s">
        <v>79</v>
      </c>
      <c r="B2243">
        <v>9</v>
      </c>
      <c r="C2243">
        <v>2</v>
      </c>
      <c r="D2243">
        <v>1</v>
      </c>
      <c r="E2243">
        <v>14</v>
      </c>
      <c r="G2243">
        <v>921</v>
      </c>
      <c r="H2243" t="s">
        <v>3089</v>
      </c>
      <c r="I2243" t="s">
        <v>137</v>
      </c>
      <c r="J2243" t="s">
        <v>3145</v>
      </c>
      <c r="L2243">
        <v>0</v>
      </c>
      <c r="M2243" t="s">
        <v>125</v>
      </c>
      <c r="O2243" t="s">
        <v>125</v>
      </c>
      <c r="P2243" t="s">
        <v>125</v>
      </c>
      <c r="Q2243" t="s">
        <v>125</v>
      </c>
      <c r="R2243" t="s">
        <v>125</v>
      </c>
      <c r="S2243" t="s">
        <v>125</v>
      </c>
      <c r="T2243">
        <v>1393</v>
      </c>
      <c r="V2243" t="s">
        <v>125</v>
      </c>
      <c r="AE2243" t="s">
        <v>125</v>
      </c>
      <c r="AF2243">
        <v>0</v>
      </c>
      <c r="AG2243" t="s">
        <v>125</v>
      </c>
      <c r="AH2243">
        <v>0</v>
      </c>
      <c r="AK2243">
        <v>0</v>
      </c>
    </row>
    <row r="2244" spans="1:37" x14ac:dyDescent="0.25">
      <c r="A2244" t="s">
        <v>79</v>
      </c>
      <c r="B2244">
        <v>9</v>
      </c>
      <c r="C2244">
        <v>2</v>
      </c>
      <c r="D2244">
        <v>1</v>
      </c>
      <c r="E2244">
        <v>15</v>
      </c>
      <c r="G2244">
        <v>921</v>
      </c>
      <c r="H2244" t="s">
        <v>3089</v>
      </c>
      <c r="I2244" t="s">
        <v>139</v>
      </c>
      <c r="J2244" t="s">
        <v>3146</v>
      </c>
      <c r="L2244">
        <v>0</v>
      </c>
      <c r="M2244" t="s">
        <v>125</v>
      </c>
      <c r="O2244" t="s">
        <v>125</v>
      </c>
      <c r="P2244" t="s">
        <v>125</v>
      </c>
      <c r="Q2244" t="s">
        <v>125</v>
      </c>
      <c r="R2244" t="s">
        <v>125</v>
      </c>
      <c r="S2244" t="s">
        <v>125</v>
      </c>
      <c r="T2244">
        <v>1393</v>
      </c>
      <c r="V2244" t="s">
        <v>125</v>
      </c>
      <c r="AE2244" t="s">
        <v>125</v>
      </c>
      <c r="AF2244">
        <v>0</v>
      </c>
      <c r="AG2244" t="s">
        <v>125</v>
      </c>
      <c r="AH2244">
        <v>0</v>
      </c>
      <c r="AK2244">
        <v>0</v>
      </c>
    </row>
    <row r="2245" spans="1:37" x14ac:dyDescent="0.25">
      <c r="L2245">
        <v>0</v>
      </c>
    </row>
    <row r="2246" spans="1:37" x14ac:dyDescent="0.25">
      <c r="A2246" t="s">
        <v>70</v>
      </c>
      <c r="B2246">
        <v>9</v>
      </c>
      <c r="C2246">
        <v>2</v>
      </c>
      <c r="D2246">
        <v>2</v>
      </c>
      <c r="G2246">
        <v>92</v>
      </c>
      <c r="M2246" t="s">
        <v>3147</v>
      </c>
      <c r="O2246" t="s">
        <v>3148</v>
      </c>
      <c r="P2246" t="s">
        <v>3149</v>
      </c>
      <c r="Q2246" t="s">
        <v>3150</v>
      </c>
      <c r="R2246" t="s">
        <v>179</v>
      </c>
      <c r="S2246" t="s">
        <v>3151</v>
      </c>
      <c r="V2246" t="s">
        <v>3152</v>
      </c>
      <c r="X2246" t="s">
        <v>3153</v>
      </c>
      <c r="Y2246" t="s">
        <v>3154</v>
      </c>
      <c r="Z2246" t="s">
        <v>3155</v>
      </c>
      <c r="AA2246" t="s">
        <v>3156</v>
      </c>
      <c r="AB2246" t="s">
        <v>3157</v>
      </c>
      <c r="AC2246" t="s">
        <v>3158</v>
      </c>
      <c r="AE2246" t="s">
        <v>3159</v>
      </c>
      <c r="AF2246">
        <v>0</v>
      </c>
      <c r="AG2246" t="s">
        <v>3160</v>
      </c>
      <c r="AH2246">
        <v>0</v>
      </c>
      <c r="AK2246">
        <v>0</v>
      </c>
    </row>
    <row r="2247" spans="1:37" x14ac:dyDescent="0.25">
      <c r="A2247" t="s">
        <v>79</v>
      </c>
      <c r="B2247">
        <v>9</v>
      </c>
      <c r="C2247">
        <v>2</v>
      </c>
      <c r="D2247">
        <v>2</v>
      </c>
      <c r="E2247">
        <v>1</v>
      </c>
      <c r="G2247">
        <v>922</v>
      </c>
      <c r="H2247" t="s">
        <v>3148</v>
      </c>
      <c r="I2247" t="s">
        <v>80</v>
      </c>
      <c r="J2247" t="s">
        <v>3161</v>
      </c>
      <c r="L2247">
        <v>0</v>
      </c>
      <c r="M2247" t="s">
        <v>3162</v>
      </c>
      <c r="O2247" t="s">
        <v>3104</v>
      </c>
      <c r="P2247" t="s">
        <v>3105</v>
      </c>
      <c r="Q2247" t="s">
        <v>3106</v>
      </c>
      <c r="R2247" t="s">
        <v>210</v>
      </c>
      <c r="S2247" t="s">
        <v>260</v>
      </c>
      <c r="T2247">
        <v>469</v>
      </c>
      <c r="U2247">
        <v>234</v>
      </c>
      <c r="V2247" t="s">
        <v>1045</v>
      </c>
      <c r="AE2247" t="s">
        <v>2577</v>
      </c>
      <c r="AF2247">
        <v>0</v>
      </c>
      <c r="AG2247" t="s">
        <v>3163</v>
      </c>
      <c r="AH2247">
        <v>0</v>
      </c>
      <c r="AK2247">
        <v>0</v>
      </c>
    </row>
    <row r="2248" spans="1:37" x14ac:dyDescent="0.25">
      <c r="A2248" t="s">
        <v>79</v>
      </c>
      <c r="B2248">
        <v>9</v>
      </c>
      <c r="C2248">
        <v>2</v>
      </c>
      <c r="D2248">
        <v>2</v>
      </c>
      <c r="E2248">
        <v>2</v>
      </c>
      <c r="G2248">
        <v>922</v>
      </c>
      <c r="H2248" t="s">
        <v>3148</v>
      </c>
      <c r="I2248" t="s">
        <v>88</v>
      </c>
      <c r="J2248" t="s">
        <v>3164</v>
      </c>
      <c r="L2248">
        <v>0</v>
      </c>
      <c r="M2248" t="s">
        <v>3165</v>
      </c>
      <c r="O2248" t="s">
        <v>3110</v>
      </c>
      <c r="P2248" t="s">
        <v>3111</v>
      </c>
      <c r="Q2248" t="s">
        <v>1086</v>
      </c>
      <c r="R2248" t="s">
        <v>1221</v>
      </c>
      <c r="S2248" t="s">
        <v>3112</v>
      </c>
      <c r="T2248">
        <v>469</v>
      </c>
      <c r="U2248">
        <v>98</v>
      </c>
      <c r="V2248" t="s">
        <v>3113</v>
      </c>
      <c r="AE2248" t="s">
        <v>3114</v>
      </c>
      <c r="AF2248">
        <v>0</v>
      </c>
      <c r="AG2248" t="s">
        <v>3166</v>
      </c>
      <c r="AH2248">
        <v>0</v>
      </c>
      <c r="AK2248">
        <v>0</v>
      </c>
    </row>
    <row r="2249" spans="1:37" x14ac:dyDescent="0.25">
      <c r="A2249" t="s">
        <v>79</v>
      </c>
      <c r="B2249">
        <v>9</v>
      </c>
      <c r="C2249">
        <v>2</v>
      </c>
      <c r="D2249">
        <v>2</v>
      </c>
      <c r="E2249">
        <v>3</v>
      </c>
      <c r="G2249">
        <v>922</v>
      </c>
      <c r="H2249" t="s">
        <v>3148</v>
      </c>
      <c r="I2249" t="s">
        <v>95</v>
      </c>
      <c r="J2249" t="s">
        <v>3167</v>
      </c>
      <c r="L2249">
        <v>0</v>
      </c>
      <c r="M2249" t="s">
        <v>3168</v>
      </c>
      <c r="O2249" t="s">
        <v>3118</v>
      </c>
      <c r="P2249" t="s">
        <v>3119</v>
      </c>
      <c r="Q2249" t="s">
        <v>3169</v>
      </c>
      <c r="R2249" t="s">
        <v>268</v>
      </c>
      <c r="S2249" t="s">
        <v>3121</v>
      </c>
      <c r="T2249">
        <v>469</v>
      </c>
      <c r="U2249">
        <v>20</v>
      </c>
      <c r="V2249" t="s">
        <v>3170</v>
      </c>
      <c r="AE2249" t="s">
        <v>3171</v>
      </c>
      <c r="AF2249">
        <v>0</v>
      </c>
      <c r="AG2249" t="s">
        <v>3172</v>
      </c>
      <c r="AH2249">
        <v>0</v>
      </c>
      <c r="AK2249">
        <v>0</v>
      </c>
    </row>
    <row r="2250" spans="1:37" x14ac:dyDescent="0.25">
      <c r="A2250" t="s">
        <v>79</v>
      </c>
      <c r="B2250">
        <v>9</v>
      </c>
      <c r="C2250">
        <v>2</v>
      </c>
      <c r="D2250">
        <v>2</v>
      </c>
      <c r="E2250">
        <v>4</v>
      </c>
      <c r="G2250">
        <v>922</v>
      </c>
      <c r="H2250" t="s">
        <v>3148</v>
      </c>
      <c r="I2250" t="s">
        <v>102</v>
      </c>
      <c r="J2250" t="s">
        <v>3173</v>
      </c>
      <c r="L2250">
        <v>0</v>
      </c>
      <c r="M2250" t="s">
        <v>3174</v>
      </c>
      <c r="O2250" t="s">
        <v>1319</v>
      </c>
      <c r="P2250" t="s">
        <v>1320</v>
      </c>
      <c r="Q2250" t="s">
        <v>3175</v>
      </c>
      <c r="R2250" t="s">
        <v>229</v>
      </c>
      <c r="S2250" t="s">
        <v>1322</v>
      </c>
      <c r="T2250">
        <v>469</v>
      </c>
      <c r="U2250">
        <v>263</v>
      </c>
      <c r="V2250" t="s">
        <v>3176</v>
      </c>
      <c r="AE2250" t="s">
        <v>3177</v>
      </c>
      <c r="AF2250">
        <v>0</v>
      </c>
      <c r="AG2250" t="s">
        <v>3178</v>
      </c>
      <c r="AH2250">
        <v>0</v>
      </c>
      <c r="AK2250">
        <v>0</v>
      </c>
    </row>
    <row r="2251" spans="1:37" x14ac:dyDescent="0.25">
      <c r="A2251" t="s">
        <v>79</v>
      </c>
      <c r="B2251">
        <v>9</v>
      </c>
      <c r="C2251">
        <v>2</v>
      </c>
      <c r="D2251">
        <v>2</v>
      </c>
      <c r="E2251">
        <v>5</v>
      </c>
      <c r="G2251">
        <v>922</v>
      </c>
      <c r="H2251" t="s">
        <v>3148</v>
      </c>
      <c r="I2251" t="s">
        <v>109</v>
      </c>
      <c r="J2251" t="s">
        <v>3179</v>
      </c>
      <c r="L2251">
        <v>0</v>
      </c>
      <c r="M2251" t="s">
        <v>3180</v>
      </c>
      <c r="O2251" t="s">
        <v>294</v>
      </c>
      <c r="P2251" t="s">
        <v>295</v>
      </c>
      <c r="Q2251" t="s">
        <v>3181</v>
      </c>
      <c r="R2251" t="s">
        <v>229</v>
      </c>
      <c r="S2251" t="s">
        <v>297</v>
      </c>
      <c r="T2251">
        <v>469</v>
      </c>
      <c r="U2251">
        <v>131</v>
      </c>
      <c r="V2251" t="s">
        <v>3182</v>
      </c>
      <c r="AE2251" t="s">
        <v>3183</v>
      </c>
      <c r="AF2251">
        <v>0</v>
      </c>
      <c r="AG2251" t="s">
        <v>3184</v>
      </c>
      <c r="AH2251">
        <v>0</v>
      </c>
      <c r="AK2251">
        <v>0</v>
      </c>
    </row>
    <row r="2252" spans="1:37" x14ac:dyDescent="0.25">
      <c r="A2252" t="s">
        <v>79</v>
      </c>
      <c r="B2252">
        <v>9</v>
      </c>
      <c r="C2252">
        <v>2</v>
      </c>
      <c r="D2252">
        <v>2</v>
      </c>
      <c r="E2252">
        <v>6</v>
      </c>
      <c r="G2252">
        <v>922</v>
      </c>
      <c r="H2252" t="s">
        <v>3148</v>
      </c>
      <c r="I2252" t="s">
        <v>116</v>
      </c>
      <c r="J2252" t="s">
        <v>3185</v>
      </c>
      <c r="L2252">
        <v>0</v>
      </c>
      <c r="M2252" t="s">
        <v>125</v>
      </c>
      <c r="O2252" t="s">
        <v>125</v>
      </c>
      <c r="P2252" t="s">
        <v>125</v>
      </c>
      <c r="Q2252" t="s">
        <v>125</v>
      </c>
      <c r="R2252" t="s">
        <v>125</v>
      </c>
      <c r="S2252" t="s">
        <v>125</v>
      </c>
      <c r="T2252">
        <v>469</v>
      </c>
      <c r="V2252" t="s">
        <v>125</v>
      </c>
      <c r="AE2252" t="s">
        <v>125</v>
      </c>
      <c r="AF2252">
        <v>0</v>
      </c>
      <c r="AG2252" t="s">
        <v>125</v>
      </c>
      <c r="AH2252">
        <v>0</v>
      </c>
      <c r="AK2252">
        <v>0</v>
      </c>
    </row>
    <row r="2253" spans="1:37" x14ac:dyDescent="0.25">
      <c r="A2253" t="s">
        <v>79</v>
      </c>
      <c r="B2253">
        <v>9</v>
      </c>
      <c r="C2253">
        <v>2</v>
      </c>
      <c r="D2253">
        <v>2</v>
      </c>
      <c r="E2253">
        <v>7</v>
      </c>
      <c r="G2253">
        <v>922</v>
      </c>
      <c r="H2253" t="s">
        <v>3148</v>
      </c>
      <c r="I2253" t="s">
        <v>123</v>
      </c>
      <c r="J2253" t="s">
        <v>3186</v>
      </c>
      <c r="L2253">
        <v>0</v>
      </c>
      <c r="M2253" t="s">
        <v>125</v>
      </c>
      <c r="O2253" t="s">
        <v>125</v>
      </c>
      <c r="P2253" t="s">
        <v>125</v>
      </c>
      <c r="Q2253" t="s">
        <v>125</v>
      </c>
      <c r="R2253" t="s">
        <v>125</v>
      </c>
      <c r="S2253" t="s">
        <v>125</v>
      </c>
      <c r="T2253">
        <v>469</v>
      </c>
      <c r="V2253" t="s">
        <v>125</v>
      </c>
      <c r="AE2253" t="s">
        <v>125</v>
      </c>
      <c r="AF2253">
        <v>0</v>
      </c>
      <c r="AG2253" t="s">
        <v>125</v>
      </c>
      <c r="AH2253">
        <v>0</v>
      </c>
      <c r="AK2253">
        <v>0</v>
      </c>
    </row>
    <row r="2254" spans="1:37" x14ac:dyDescent="0.25">
      <c r="A2254" t="s">
        <v>79</v>
      </c>
      <c r="B2254">
        <v>9</v>
      </c>
      <c r="C2254">
        <v>2</v>
      </c>
      <c r="D2254">
        <v>2</v>
      </c>
      <c r="E2254">
        <v>8</v>
      </c>
      <c r="G2254">
        <v>922</v>
      </c>
      <c r="H2254" t="s">
        <v>3148</v>
      </c>
      <c r="I2254" t="s">
        <v>126</v>
      </c>
      <c r="J2254" t="s">
        <v>3187</v>
      </c>
      <c r="L2254">
        <v>0</v>
      </c>
      <c r="M2254" t="s">
        <v>125</v>
      </c>
      <c r="O2254" t="s">
        <v>125</v>
      </c>
      <c r="P2254" t="s">
        <v>125</v>
      </c>
      <c r="Q2254" t="s">
        <v>125</v>
      </c>
      <c r="R2254" t="s">
        <v>125</v>
      </c>
      <c r="S2254" t="s">
        <v>125</v>
      </c>
      <c r="T2254">
        <v>469</v>
      </c>
      <c r="V2254" t="s">
        <v>125</v>
      </c>
      <c r="AE2254" t="s">
        <v>125</v>
      </c>
      <c r="AF2254">
        <v>0</v>
      </c>
      <c r="AG2254" t="s">
        <v>125</v>
      </c>
      <c r="AH2254">
        <v>0</v>
      </c>
      <c r="AK2254">
        <v>0</v>
      </c>
    </row>
    <row r="2255" spans="1:37" x14ac:dyDescent="0.25">
      <c r="A2255" t="s">
        <v>79</v>
      </c>
      <c r="B2255">
        <v>9</v>
      </c>
      <c r="C2255">
        <v>2</v>
      </c>
      <c r="D2255">
        <v>2</v>
      </c>
      <c r="E2255">
        <v>9</v>
      </c>
      <c r="G2255">
        <v>922</v>
      </c>
      <c r="H2255" t="s">
        <v>3148</v>
      </c>
      <c r="I2255" t="s">
        <v>74</v>
      </c>
      <c r="J2255" t="s">
        <v>3188</v>
      </c>
      <c r="L2255">
        <v>0</v>
      </c>
      <c r="M2255" t="s">
        <v>125</v>
      </c>
      <c r="O2255" t="s">
        <v>125</v>
      </c>
      <c r="P2255" t="s">
        <v>125</v>
      </c>
      <c r="Q2255" t="s">
        <v>125</v>
      </c>
      <c r="R2255" t="s">
        <v>125</v>
      </c>
      <c r="S2255" t="s">
        <v>125</v>
      </c>
      <c r="T2255">
        <v>469</v>
      </c>
      <c r="V2255" t="s">
        <v>125</v>
      </c>
      <c r="AE2255" t="s">
        <v>125</v>
      </c>
      <c r="AF2255">
        <v>0</v>
      </c>
      <c r="AG2255" t="s">
        <v>125</v>
      </c>
      <c r="AH2255">
        <v>0</v>
      </c>
      <c r="AK2255">
        <v>0</v>
      </c>
    </row>
    <row r="2256" spans="1:37" x14ac:dyDescent="0.25">
      <c r="A2256" t="s">
        <v>79</v>
      </c>
      <c r="B2256">
        <v>9</v>
      </c>
      <c r="C2256">
        <v>2</v>
      </c>
      <c r="D2256">
        <v>2</v>
      </c>
      <c r="E2256">
        <v>10</v>
      </c>
      <c r="G2256">
        <v>922</v>
      </c>
      <c r="H2256" t="s">
        <v>3148</v>
      </c>
      <c r="I2256" t="s">
        <v>129</v>
      </c>
      <c r="J2256" t="s">
        <v>3189</v>
      </c>
      <c r="L2256">
        <v>0</v>
      </c>
      <c r="M2256" t="s">
        <v>125</v>
      </c>
      <c r="O2256" t="s">
        <v>125</v>
      </c>
      <c r="P2256" t="s">
        <v>125</v>
      </c>
      <c r="Q2256" t="s">
        <v>125</v>
      </c>
      <c r="R2256" t="s">
        <v>125</v>
      </c>
      <c r="S2256" t="s">
        <v>125</v>
      </c>
      <c r="T2256">
        <v>469</v>
      </c>
      <c r="V2256" t="s">
        <v>125</v>
      </c>
      <c r="AE2256" t="s">
        <v>125</v>
      </c>
      <c r="AF2256">
        <v>0</v>
      </c>
      <c r="AG2256" t="s">
        <v>125</v>
      </c>
      <c r="AH2256">
        <v>0</v>
      </c>
      <c r="AK2256">
        <v>0</v>
      </c>
    </row>
    <row r="2257" spans="1:37" x14ac:dyDescent="0.25">
      <c r="A2257" t="s">
        <v>79</v>
      </c>
      <c r="B2257">
        <v>9</v>
      </c>
      <c r="C2257">
        <v>2</v>
      </c>
      <c r="D2257">
        <v>2</v>
      </c>
      <c r="E2257">
        <v>11</v>
      </c>
      <c r="G2257">
        <v>922</v>
      </c>
      <c r="H2257" t="s">
        <v>3148</v>
      </c>
      <c r="I2257" t="s">
        <v>131</v>
      </c>
      <c r="J2257" t="s">
        <v>3190</v>
      </c>
      <c r="L2257">
        <v>0</v>
      </c>
      <c r="M2257" t="s">
        <v>125</v>
      </c>
      <c r="O2257" t="s">
        <v>125</v>
      </c>
      <c r="P2257" t="s">
        <v>125</v>
      </c>
      <c r="Q2257" t="s">
        <v>125</v>
      </c>
      <c r="R2257" t="s">
        <v>125</v>
      </c>
      <c r="S2257" t="s">
        <v>125</v>
      </c>
      <c r="T2257">
        <v>469</v>
      </c>
      <c r="V2257" t="s">
        <v>125</v>
      </c>
      <c r="AE2257" t="s">
        <v>125</v>
      </c>
      <c r="AF2257">
        <v>0</v>
      </c>
      <c r="AG2257" t="s">
        <v>125</v>
      </c>
      <c r="AH2257">
        <v>0</v>
      </c>
      <c r="AK2257">
        <v>0</v>
      </c>
    </row>
    <row r="2258" spans="1:37" x14ac:dyDescent="0.25">
      <c r="A2258" t="s">
        <v>79</v>
      </c>
      <c r="B2258">
        <v>9</v>
      </c>
      <c r="C2258">
        <v>2</v>
      </c>
      <c r="D2258">
        <v>2</v>
      </c>
      <c r="E2258">
        <v>12</v>
      </c>
      <c r="G2258">
        <v>922</v>
      </c>
      <c r="H2258" t="s">
        <v>3148</v>
      </c>
      <c r="I2258" t="s">
        <v>133</v>
      </c>
      <c r="J2258" t="s">
        <v>3191</v>
      </c>
      <c r="L2258">
        <v>0</v>
      </c>
      <c r="M2258" t="s">
        <v>125</v>
      </c>
      <c r="O2258" t="s">
        <v>125</v>
      </c>
      <c r="P2258" t="s">
        <v>125</v>
      </c>
      <c r="Q2258" t="s">
        <v>125</v>
      </c>
      <c r="R2258" t="s">
        <v>125</v>
      </c>
      <c r="S2258" t="s">
        <v>125</v>
      </c>
      <c r="T2258">
        <v>469</v>
      </c>
      <c r="V2258" t="s">
        <v>125</v>
      </c>
      <c r="AE2258" t="s">
        <v>125</v>
      </c>
      <c r="AF2258">
        <v>0</v>
      </c>
      <c r="AG2258" t="s">
        <v>125</v>
      </c>
      <c r="AH2258">
        <v>0</v>
      </c>
      <c r="AK2258">
        <v>0</v>
      </c>
    </row>
    <row r="2259" spans="1:37" x14ac:dyDescent="0.25">
      <c r="A2259" t="s">
        <v>79</v>
      </c>
      <c r="B2259">
        <v>9</v>
      </c>
      <c r="C2259">
        <v>2</v>
      </c>
      <c r="D2259">
        <v>2</v>
      </c>
      <c r="E2259">
        <v>13</v>
      </c>
      <c r="G2259">
        <v>922</v>
      </c>
      <c r="H2259" t="s">
        <v>3148</v>
      </c>
      <c r="I2259" t="s">
        <v>135</v>
      </c>
      <c r="J2259" t="s">
        <v>3192</v>
      </c>
      <c r="L2259">
        <v>0</v>
      </c>
      <c r="M2259" t="s">
        <v>125</v>
      </c>
      <c r="O2259" t="s">
        <v>125</v>
      </c>
      <c r="P2259" t="s">
        <v>125</v>
      </c>
      <c r="Q2259" t="s">
        <v>125</v>
      </c>
      <c r="R2259" t="s">
        <v>125</v>
      </c>
      <c r="S2259" t="s">
        <v>125</v>
      </c>
      <c r="T2259">
        <v>469</v>
      </c>
      <c r="V2259" t="s">
        <v>125</v>
      </c>
      <c r="AE2259" t="s">
        <v>125</v>
      </c>
      <c r="AF2259">
        <v>0</v>
      </c>
      <c r="AG2259" t="s">
        <v>125</v>
      </c>
      <c r="AH2259">
        <v>0</v>
      </c>
      <c r="AK2259">
        <v>0</v>
      </c>
    </row>
    <row r="2260" spans="1:37" x14ac:dyDescent="0.25">
      <c r="A2260" t="s">
        <v>79</v>
      </c>
      <c r="B2260">
        <v>9</v>
      </c>
      <c r="C2260">
        <v>2</v>
      </c>
      <c r="D2260">
        <v>2</v>
      </c>
      <c r="E2260">
        <v>14</v>
      </c>
      <c r="G2260">
        <v>922</v>
      </c>
      <c r="H2260" t="s">
        <v>3148</v>
      </c>
      <c r="I2260" t="s">
        <v>137</v>
      </c>
      <c r="J2260" t="s">
        <v>3193</v>
      </c>
      <c r="L2260">
        <v>0</v>
      </c>
      <c r="M2260" t="s">
        <v>125</v>
      </c>
      <c r="O2260" t="s">
        <v>125</v>
      </c>
      <c r="P2260" t="s">
        <v>125</v>
      </c>
      <c r="Q2260" t="s">
        <v>125</v>
      </c>
      <c r="R2260" t="s">
        <v>125</v>
      </c>
      <c r="S2260" t="s">
        <v>125</v>
      </c>
      <c r="T2260">
        <v>469</v>
      </c>
      <c r="V2260" t="s">
        <v>125</v>
      </c>
      <c r="AE2260" t="s">
        <v>125</v>
      </c>
      <c r="AF2260">
        <v>0</v>
      </c>
      <c r="AG2260" t="s">
        <v>125</v>
      </c>
      <c r="AH2260">
        <v>0</v>
      </c>
      <c r="AK2260">
        <v>0</v>
      </c>
    </row>
    <row r="2261" spans="1:37" x14ac:dyDescent="0.25">
      <c r="A2261" t="s">
        <v>79</v>
      </c>
      <c r="B2261">
        <v>9</v>
      </c>
      <c r="C2261">
        <v>2</v>
      </c>
      <c r="D2261">
        <v>2</v>
      </c>
      <c r="E2261">
        <v>15</v>
      </c>
      <c r="G2261">
        <v>922</v>
      </c>
      <c r="H2261" t="s">
        <v>3148</v>
      </c>
      <c r="I2261" t="s">
        <v>139</v>
      </c>
      <c r="J2261" t="s">
        <v>3194</v>
      </c>
      <c r="L2261">
        <v>0</v>
      </c>
      <c r="M2261" t="s">
        <v>125</v>
      </c>
      <c r="O2261" t="s">
        <v>125</v>
      </c>
      <c r="P2261" t="s">
        <v>125</v>
      </c>
      <c r="Q2261" t="s">
        <v>125</v>
      </c>
      <c r="R2261" t="s">
        <v>125</v>
      </c>
      <c r="S2261" t="s">
        <v>125</v>
      </c>
      <c r="T2261">
        <v>469</v>
      </c>
      <c r="V2261" t="s">
        <v>125</v>
      </c>
      <c r="AE2261" t="s">
        <v>125</v>
      </c>
      <c r="AF2261">
        <v>0</v>
      </c>
      <c r="AG2261" t="s">
        <v>125</v>
      </c>
      <c r="AH2261">
        <v>0</v>
      </c>
      <c r="AK2261">
        <v>0</v>
      </c>
    </row>
    <row r="2262" spans="1:37" x14ac:dyDescent="0.25">
      <c r="L2262">
        <v>0</v>
      </c>
    </row>
    <row r="2263" spans="1:37" x14ac:dyDescent="0.25">
      <c r="A2263" t="s">
        <v>70</v>
      </c>
      <c r="B2263">
        <v>9</v>
      </c>
      <c r="C2263">
        <v>2</v>
      </c>
      <c r="D2263">
        <v>3</v>
      </c>
      <c r="G2263">
        <v>92</v>
      </c>
      <c r="L2263">
        <v>0</v>
      </c>
      <c r="M2263" t="s">
        <v>125</v>
      </c>
      <c r="P2263" t="s">
        <v>125</v>
      </c>
      <c r="R2263" t="s">
        <v>125</v>
      </c>
      <c r="S2263" t="s">
        <v>63</v>
      </c>
      <c r="V2263" t="s">
        <v>125</v>
      </c>
      <c r="X2263" t="s">
        <v>125</v>
      </c>
      <c r="Y2263" t="s">
        <v>125</v>
      </c>
      <c r="Z2263" t="s">
        <v>125</v>
      </c>
      <c r="AA2263" t="s">
        <v>125</v>
      </c>
      <c r="AB2263" t="s">
        <v>125</v>
      </c>
      <c r="AC2263" t="s">
        <v>125</v>
      </c>
      <c r="AE2263" t="s">
        <v>125</v>
      </c>
      <c r="AF2263">
        <v>0</v>
      </c>
      <c r="AG2263" t="s">
        <v>125</v>
      </c>
      <c r="AH2263">
        <v>0</v>
      </c>
      <c r="AK2263">
        <v>0</v>
      </c>
    </row>
    <row r="2264" spans="1:37" x14ac:dyDescent="0.25">
      <c r="A2264" t="s">
        <v>79</v>
      </c>
      <c r="B2264">
        <v>9</v>
      </c>
      <c r="C2264">
        <v>2</v>
      </c>
      <c r="D2264">
        <v>3</v>
      </c>
      <c r="E2264">
        <v>1</v>
      </c>
      <c r="G2264">
        <v>923</v>
      </c>
      <c r="H2264" t="s">
        <v>63</v>
      </c>
      <c r="I2264" t="s">
        <v>80</v>
      </c>
      <c r="J2264" t="s">
        <v>141</v>
      </c>
      <c r="L2264">
        <v>0</v>
      </c>
      <c r="M2264" t="s">
        <v>125</v>
      </c>
      <c r="O2264" t="s">
        <v>125</v>
      </c>
      <c r="P2264" t="s">
        <v>125</v>
      </c>
      <c r="Q2264" t="s">
        <v>125</v>
      </c>
      <c r="R2264" t="s">
        <v>125</v>
      </c>
      <c r="S2264" t="s">
        <v>125</v>
      </c>
      <c r="T2264">
        <v>0</v>
      </c>
      <c r="V2264" t="s">
        <v>125</v>
      </c>
      <c r="AE2264" t="s">
        <v>125</v>
      </c>
      <c r="AF2264">
        <v>0</v>
      </c>
      <c r="AG2264" t="s">
        <v>125</v>
      </c>
      <c r="AH2264">
        <v>0</v>
      </c>
      <c r="AK2264">
        <v>0</v>
      </c>
    </row>
    <row r="2265" spans="1:37" x14ac:dyDescent="0.25">
      <c r="A2265" t="s">
        <v>79</v>
      </c>
      <c r="B2265">
        <v>9</v>
      </c>
      <c r="C2265">
        <v>2</v>
      </c>
      <c r="D2265">
        <v>3</v>
      </c>
      <c r="E2265">
        <v>2</v>
      </c>
      <c r="G2265">
        <v>923</v>
      </c>
      <c r="H2265" t="s">
        <v>63</v>
      </c>
      <c r="I2265" t="s">
        <v>88</v>
      </c>
      <c r="J2265" t="s">
        <v>142</v>
      </c>
      <c r="L2265">
        <v>0</v>
      </c>
      <c r="M2265" t="s">
        <v>125</v>
      </c>
      <c r="O2265" t="s">
        <v>125</v>
      </c>
      <c r="P2265" t="s">
        <v>125</v>
      </c>
      <c r="Q2265" t="s">
        <v>125</v>
      </c>
      <c r="R2265" t="s">
        <v>125</v>
      </c>
      <c r="S2265" t="s">
        <v>125</v>
      </c>
      <c r="T2265">
        <v>0</v>
      </c>
      <c r="V2265" t="s">
        <v>125</v>
      </c>
      <c r="AE2265" t="s">
        <v>125</v>
      </c>
      <c r="AF2265">
        <v>0</v>
      </c>
      <c r="AG2265" t="s">
        <v>125</v>
      </c>
      <c r="AH2265">
        <v>0</v>
      </c>
      <c r="AK2265">
        <v>0</v>
      </c>
    </row>
    <row r="2266" spans="1:37" x14ac:dyDescent="0.25">
      <c r="A2266" t="s">
        <v>79</v>
      </c>
      <c r="B2266">
        <v>9</v>
      </c>
      <c r="C2266">
        <v>2</v>
      </c>
      <c r="D2266">
        <v>3</v>
      </c>
      <c r="E2266">
        <v>3</v>
      </c>
      <c r="G2266">
        <v>923</v>
      </c>
      <c r="H2266" t="s">
        <v>63</v>
      </c>
      <c r="I2266" t="s">
        <v>95</v>
      </c>
      <c r="J2266" t="s">
        <v>143</v>
      </c>
      <c r="L2266">
        <v>0</v>
      </c>
      <c r="M2266" t="s">
        <v>125</v>
      </c>
      <c r="O2266" t="s">
        <v>125</v>
      </c>
      <c r="P2266" t="s">
        <v>125</v>
      </c>
      <c r="Q2266" t="s">
        <v>125</v>
      </c>
      <c r="R2266" t="s">
        <v>125</v>
      </c>
      <c r="S2266" t="s">
        <v>125</v>
      </c>
      <c r="T2266">
        <v>0</v>
      </c>
      <c r="V2266" t="s">
        <v>125</v>
      </c>
      <c r="AE2266" t="s">
        <v>125</v>
      </c>
      <c r="AF2266">
        <v>0</v>
      </c>
      <c r="AG2266" t="s">
        <v>125</v>
      </c>
      <c r="AH2266">
        <v>0</v>
      </c>
      <c r="AK2266">
        <v>0</v>
      </c>
    </row>
    <row r="2267" spans="1:37" x14ac:dyDescent="0.25">
      <c r="A2267" t="s">
        <v>79</v>
      </c>
      <c r="B2267">
        <v>9</v>
      </c>
      <c r="C2267">
        <v>2</v>
      </c>
      <c r="D2267">
        <v>3</v>
      </c>
      <c r="E2267">
        <v>4</v>
      </c>
      <c r="G2267">
        <v>923</v>
      </c>
      <c r="H2267" t="s">
        <v>63</v>
      </c>
      <c r="I2267" t="s">
        <v>102</v>
      </c>
      <c r="J2267" t="s">
        <v>144</v>
      </c>
      <c r="L2267">
        <v>0</v>
      </c>
      <c r="M2267" t="s">
        <v>125</v>
      </c>
      <c r="O2267" t="s">
        <v>125</v>
      </c>
      <c r="P2267" t="s">
        <v>125</v>
      </c>
      <c r="Q2267" t="s">
        <v>125</v>
      </c>
      <c r="R2267" t="s">
        <v>125</v>
      </c>
      <c r="S2267" t="s">
        <v>125</v>
      </c>
      <c r="T2267">
        <v>0</v>
      </c>
      <c r="V2267" t="s">
        <v>125</v>
      </c>
      <c r="AE2267" t="s">
        <v>125</v>
      </c>
      <c r="AF2267">
        <v>0</v>
      </c>
      <c r="AG2267" t="s">
        <v>125</v>
      </c>
      <c r="AH2267">
        <v>0</v>
      </c>
      <c r="AK2267">
        <v>0</v>
      </c>
    </row>
    <row r="2268" spans="1:37" x14ac:dyDescent="0.25">
      <c r="A2268" t="s">
        <v>79</v>
      </c>
      <c r="B2268">
        <v>9</v>
      </c>
      <c r="C2268">
        <v>2</v>
      </c>
      <c r="D2268">
        <v>3</v>
      </c>
      <c r="E2268">
        <v>5</v>
      </c>
      <c r="G2268">
        <v>923</v>
      </c>
      <c r="H2268" t="s">
        <v>63</v>
      </c>
      <c r="I2268" t="s">
        <v>109</v>
      </c>
      <c r="J2268" t="s">
        <v>145</v>
      </c>
      <c r="L2268">
        <v>0</v>
      </c>
      <c r="M2268" t="s">
        <v>125</v>
      </c>
      <c r="O2268" t="s">
        <v>125</v>
      </c>
      <c r="P2268" t="s">
        <v>125</v>
      </c>
      <c r="Q2268" t="s">
        <v>125</v>
      </c>
      <c r="R2268" t="s">
        <v>125</v>
      </c>
      <c r="S2268" t="s">
        <v>125</v>
      </c>
      <c r="T2268">
        <v>0</v>
      </c>
      <c r="V2268" t="s">
        <v>125</v>
      </c>
      <c r="AE2268" t="s">
        <v>125</v>
      </c>
      <c r="AF2268">
        <v>0</v>
      </c>
      <c r="AG2268" t="s">
        <v>125</v>
      </c>
      <c r="AH2268">
        <v>0</v>
      </c>
      <c r="AK2268">
        <v>0</v>
      </c>
    </row>
    <row r="2269" spans="1:37" x14ac:dyDescent="0.25">
      <c r="A2269" t="s">
        <v>79</v>
      </c>
      <c r="B2269">
        <v>9</v>
      </c>
      <c r="C2269">
        <v>2</v>
      </c>
      <c r="D2269">
        <v>3</v>
      </c>
      <c r="E2269">
        <v>6</v>
      </c>
      <c r="G2269">
        <v>923</v>
      </c>
      <c r="H2269" t="s">
        <v>63</v>
      </c>
      <c r="I2269" t="s">
        <v>116</v>
      </c>
      <c r="J2269" t="s">
        <v>146</v>
      </c>
      <c r="L2269">
        <v>0</v>
      </c>
      <c r="M2269" t="s">
        <v>125</v>
      </c>
      <c r="O2269" t="s">
        <v>125</v>
      </c>
      <c r="P2269" t="s">
        <v>125</v>
      </c>
      <c r="Q2269" t="s">
        <v>125</v>
      </c>
      <c r="R2269" t="s">
        <v>125</v>
      </c>
      <c r="S2269" t="s">
        <v>125</v>
      </c>
      <c r="T2269">
        <v>0</v>
      </c>
      <c r="V2269" t="s">
        <v>125</v>
      </c>
      <c r="AE2269" t="s">
        <v>125</v>
      </c>
      <c r="AF2269">
        <v>0</v>
      </c>
      <c r="AG2269" t="s">
        <v>125</v>
      </c>
      <c r="AH2269">
        <v>0</v>
      </c>
      <c r="AK2269">
        <v>0</v>
      </c>
    </row>
    <row r="2270" spans="1:37" x14ac:dyDescent="0.25">
      <c r="A2270" t="s">
        <v>79</v>
      </c>
      <c r="B2270">
        <v>9</v>
      </c>
      <c r="C2270">
        <v>2</v>
      </c>
      <c r="D2270">
        <v>3</v>
      </c>
      <c r="E2270">
        <v>7</v>
      </c>
      <c r="G2270">
        <v>923</v>
      </c>
      <c r="H2270" t="s">
        <v>63</v>
      </c>
      <c r="I2270" t="s">
        <v>123</v>
      </c>
      <c r="J2270" t="s">
        <v>147</v>
      </c>
      <c r="L2270">
        <v>0</v>
      </c>
      <c r="M2270" t="s">
        <v>125</v>
      </c>
      <c r="O2270" t="s">
        <v>125</v>
      </c>
      <c r="P2270" t="s">
        <v>125</v>
      </c>
      <c r="Q2270" t="s">
        <v>125</v>
      </c>
      <c r="R2270" t="s">
        <v>125</v>
      </c>
      <c r="S2270" t="s">
        <v>125</v>
      </c>
      <c r="T2270">
        <v>0</v>
      </c>
      <c r="V2270" t="s">
        <v>125</v>
      </c>
      <c r="AE2270" t="s">
        <v>125</v>
      </c>
      <c r="AF2270">
        <v>0</v>
      </c>
      <c r="AG2270" t="s">
        <v>125</v>
      </c>
      <c r="AH2270">
        <v>0</v>
      </c>
      <c r="AK2270">
        <v>0</v>
      </c>
    </row>
    <row r="2271" spans="1:37" x14ac:dyDescent="0.25">
      <c r="A2271" t="s">
        <v>79</v>
      </c>
      <c r="B2271">
        <v>9</v>
      </c>
      <c r="C2271">
        <v>2</v>
      </c>
      <c r="D2271">
        <v>3</v>
      </c>
      <c r="E2271">
        <v>8</v>
      </c>
      <c r="G2271">
        <v>923</v>
      </c>
      <c r="H2271" t="s">
        <v>63</v>
      </c>
      <c r="I2271" t="s">
        <v>126</v>
      </c>
      <c r="J2271" t="s">
        <v>148</v>
      </c>
      <c r="L2271">
        <v>0</v>
      </c>
      <c r="M2271" t="s">
        <v>125</v>
      </c>
      <c r="O2271" t="s">
        <v>125</v>
      </c>
      <c r="P2271" t="s">
        <v>125</v>
      </c>
      <c r="Q2271" t="s">
        <v>125</v>
      </c>
      <c r="R2271" t="s">
        <v>125</v>
      </c>
      <c r="S2271" t="s">
        <v>125</v>
      </c>
      <c r="T2271">
        <v>0</v>
      </c>
      <c r="V2271" t="s">
        <v>125</v>
      </c>
      <c r="AE2271" t="s">
        <v>125</v>
      </c>
      <c r="AF2271">
        <v>0</v>
      </c>
      <c r="AG2271" t="s">
        <v>125</v>
      </c>
      <c r="AH2271">
        <v>0</v>
      </c>
      <c r="AK2271">
        <v>0</v>
      </c>
    </row>
    <row r="2272" spans="1:37" x14ac:dyDescent="0.25">
      <c r="A2272" t="s">
        <v>79</v>
      </c>
      <c r="B2272">
        <v>9</v>
      </c>
      <c r="C2272">
        <v>2</v>
      </c>
      <c r="D2272">
        <v>3</v>
      </c>
      <c r="E2272">
        <v>9</v>
      </c>
      <c r="G2272">
        <v>923</v>
      </c>
      <c r="H2272" t="s">
        <v>63</v>
      </c>
      <c r="I2272" t="s">
        <v>74</v>
      </c>
      <c r="J2272" t="s">
        <v>149</v>
      </c>
      <c r="L2272">
        <v>0</v>
      </c>
      <c r="M2272" t="s">
        <v>125</v>
      </c>
      <c r="O2272" t="s">
        <v>125</v>
      </c>
      <c r="P2272" t="s">
        <v>125</v>
      </c>
      <c r="Q2272" t="s">
        <v>125</v>
      </c>
      <c r="R2272" t="s">
        <v>125</v>
      </c>
      <c r="S2272" t="s">
        <v>125</v>
      </c>
      <c r="T2272">
        <v>0</v>
      </c>
      <c r="V2272" t="s">
        <v>125</v>
      </c>
      <c r="AE2272" t="s">
        <v>125</v>
      </c>
      <c r="AF2272">
        <v>0</v>
      </c>
      <c r="AG2272" t="s">
        <v>125</v>
      </c>
      <c r="AH2272">
        <v>0</v>
      </c>
      <c r="AK2272">
        <v>0</v>
      </c>
    </row>
    <row r="2273" spans="1:37" x14ac:dyDescent="0.25">
      <c r="A2273" t="s">
        <v>79</v>
      </c>
      <c r="B2273">
        <v>9</v>
      </c>
      <c r="C2273">
        <v>2</v>
      </c>
      <c r="D2273">
        <v>3</v>
      </c>
      <c r="E2273">
        <v>10</v>
      </c>
      <c r="G2273">
        <v>923</v>
      </c>
      <c r="H2273" t="s">
        <v>63</v>
      </c>
      <c r="I2273" t="s">
        <v>129</v>
      </c>
      <c r="J2273" t="s">
        <v>150</v>
      </c>
      <c r="L2273">
        <v>0</v>
      </c>
      <c r="M2273" t="s">
        <v>125</v>
      </c>
      <c r="O2273" t="s">
        <v>125</v>
      </c>
      <c r="P2273" t="s">
        <v>125</v>
      </c>
      <c r="Q2273" t="s">
        <v>125</v>
      </c>
      <c r="R2273" t="s">
        <v>125</v>
      </c>
      <c r="S2273" t="s">
        <v>125</v>
      </c>
      <c r="T2273">
        <v>0</v>
      </c>
      <c r="V2273" t="s">
        <v>125</v>
      </c>
      <c r="AE2273" t="s">
        <v>125</v>
      </c>
      <c r="AF2273">
        <v>0</v>
      </c>
      <c r="AG2273" t="s">
        <v>125</v>
      </c>
      <c r="AH2273">
        <v>0</v>
      </c>
      <c r="AK2273">
        <v>0</v>
      </c>
    </row>
    <row r="2274" spans="1:37" x14ac:dyDescent="0.25">
      <c r="A2274" t="s">
        <v>79</v>
      </c>
      <c r="B2274">
        <v>9</v>
      </c>
      <c r="C2274">
        <v>2</v>
      </c>
      <c r="D2274">
        <v>3</v>
      </c>
      <c r="E2274">
        <v>11</v>
      </c>
      <c r="G2274">
        <v>923</v>
      </c>
      <c r="H2274" t="s">
        <v>63</v>
      </c>
      <c r="I2274" t="s">
        <v>131</v>
      </c>
      <c r="J2274" t="s">
        <v>151</v>
      </c>
      <c r="L2274">
        <v>0</v>
      </c>
      <c r="M2274" t="s">
        <v>125</v>
      </c>
      <c r="O2274" t="s">
        <v>125</v>
      </c>
      <c r="P2274" t="s">
        <v>125</v>
      </c>
      <c r="Q2274" t="s">
        <v>125</v>
      </c>
      <c r="R2274" t="s">
        <v>125</v>
      </c>
      <c r="S2274" t="s">
        <v>125</v>
      </c>
      <c r="T2274">
        <v>0</v>
      </c>
      <c r="V2274" t="s">
        <v>125</v>
      </c>
      <c r="AE2274" t="s">
        <v>125</v>
      </c>
      <c r="AF2274">
        <v>0</v>
      </c>
      <c r="AG2274" t="s">
        <v>125</v>
      </c>
      <c r="AH2274">
        <v>0</v>
      </c>
      <c r="AK2274">
        <v>0</v>
      </c>
    </row>
    <row r="2275" spans="1:37" x14ac:dyDescent="0.25">
      <c r="A2275" t="s">
        <v>79</v>
      </c>
      <c r="B2275">
        <v>9</v>
      </c>
      <c r="C2275">
        <v>2</v>
      </c>
      <c r="D2275">
        <v>3</v>
      </c>
      <c r="E2275">
        <v>12</v>
      </c>
      <c r="G2275">
        <v>923</v>
      </c>
      <c r="H2275" t="s">
        <v>63</v>
      </c>
      <c r="I2275" t="s">
        <v>133</v>
      </c>
      <c r="J2275" t="s">
        <v>152</v>
      </c>
      <c r="L2275">
        <v>0</v>
      </c>
      <c r="M2275" t="s">
        <v>125</v>
      </c>
      <c r="O2275" t="s">
        <v>125</v>
      </c>
      <c r="P2275" t="s">
        <v>125</v>
      </c>
      <c r="Q2275" t="s">
        <v>125</v>
      </c>
      <c r="R2275" t="s">
        <v>125</v>
      </c>
      <c r="S2275" t="s">
        <v>125</v>
      </c>
      <c r="T2275">
        <v>0</v>
      </c>
      <c r="V2275" t="s">
        <v>125</v>
      </c>
      <c r="AE2275" t="s">
        <v>125</v>
      </c>
      <c r="AF2275">
        <v>0</v>
      </c>
      <c r="AG2275" t="s">
        <v>125</v>
      </c>
      <c r="AH2275">
        <v>0</v>
      </c>
      <c r="AK2275">
        <v>0</v>
      </c>
    </row>
    <row r="2276" spans="1:37" x14ac:dyDescent="0.25">
      <c r="A2276" t="s">
        <v>79</v>
      </c>
      <c r="B2276">
        <v>9</v>
      </c>
      <c r="C2276">
        <v>2</v>
      </c>
      <c r="D2276">
        <v>3</v>
      </c>
      <c r="E2276">
        <v>13</v>
      </c>
      <c r="G2276">
        <v>923</v>
      </c>
      <c r="H2276" t="s">
        <v>63</v>
      </c>
      <c r="I2276" t="s">
        <v>135</v>
      </c>
      <c r="J2276" t="s">
        <v>153</v>
      </c>
      <c r="L2276">
        <v>0</v>
      </c>
      <c r="M2276" t="s">
        <v>125</v>
      </c>
      <c r="O2276" t="s">
        <v>125</v>
      </c>
      <c r="P2276" t="s">
        <v>125</v>
      </c>
      <c r="Q2276" t="s">
        <v>125</v>
      </c>
      <c r="R2276" t="s">
        <v>125</v>
      </c>
      <c r="S2276" t="s">
        <v>125</v>
      </c>
      <c r="T2276">
        <v>0</v>
      </c>
      <c r="V2276" t="s">
        <v>125</v>
      </c>
      <c r="AE2276" t="s">
        <v>125</v>
      </c>
      <c r="AF2276">
        <v>0</v>
      </c>
      <c r="AG2276" t="s">
        <v>125</v>
      </c>
      <c r="AH2276">
        <v>0</v>
      </c>
      <c r="AK2276">
        <v>0</v>
      </c>
    </row>
    <row r="2277" spans="1:37" x14ac:dyDescent="0.25">
      <c r="A2277" t="s">
        <v>79</v>
      </c>
      <c r="B2277">
        <v>9</v>
      </c>
      <c r="C2277">
        <v>2</v>
      </c>
      <c r="D2277">
        <v>3</v>
      </c>
      <c r="E2277">
        <v>14</v>
      </c>
      <c r="G2277">
        <v>923</v>
      </c>
      <c r="H2277" t="s">
        <v>63</v>
      </c>
      <c r="I2277" t="s">
        <v>137</v>
      </c>
      <c r="J2277" t="s">
        <v>154</v>
      </c>
      <c r="L2277">
        <v>0</v>
      </c>
      <c r="M2277" t="s">
        <v>125</v>
      </c>
      <c r="O2277" t="s">
        <v>125</v>
      </c>
      <c r="P2277" t="s">
        <v>125</v>
      </c>
      <c r="Q2277" t="s">
        <v>125</v>
      </c>
      <c r="R2277" t="s">
        <v>125</v>
      </c>
      <c r="S2277" t="s">
        <v>125</v>
      </c>
      <c r="T2277">
        <v>0</v>
      </c>
      <c r="V2277" t="s">
        <v>125</v>
      </c>
      <c r="AE2277" t="s">
        <v>125</v>
      </c>
      <c r="AF2277">
        <v>0</v>
      </c>
      <c r="AG2277" t="s">
        <v>125</v>
      </c>
      <c r="AH2277">
        <v>0</v>
      </c>
      <c r="AK2277">
        <v>0</v>
      </c>
    </row>
    <row r="2278" spans="1:37" x14ac:dyDescent="0.25">
      <c r="A2278" t="s">
        <v>79</v>
      </c>
      <c r="B2278">
        <v>9</v>
      </c>
      <c r="C2278">
        <v>2</v>
      </c>
      <c r="D2278">
        <v>3</v>
      </c>
      <c r="E2278">
        <v>15</v>
      </c>
      <c r="G2278">
        <v>923</v>
      </c>
      <c r="H2278" t="s">
        <v>63</v>
      </c>
      <c r="I2278" t="s">
        <v>139</v>
      </c>
      <c r="J2278" t="s">
        <v>155</v>
      </c>
      <c r="L2278">
        <v>0</v>
      </c>
      <c r="M2278" t="s">
        <v>125</v>
      </c>
      <c r="O2278" t="s">
        <v>125</v>
      </c>
      <c r="P2278" t="s">
        <v>125</v>
      </c>
      <c r="Q2278" t="s">
        <v>125</v>
      </c>
      <c r="R2278" t="s">
        <v>125</v>
      </c>
      <c r="S2278" t="s">
        <v>125</v>
      </c>
      <c r="T2278">
        <v>0</v>
      </c>
      <c r="V2278" t="s">
        <v>125</v>
      </c>
      <c r="AE2278" t="s">
        <v>125</v>
      </c>
      <c r="AF2278">
        <v>0</v>
      </c>
      <c r="AG2278" t="s">
        <v>125</v>
      </c>
      <c r="AH2278">
        <v>0</v>
      </c>
      <c r="AK2278">
        <v>0</v>
      </c>
    </row>
    <row r="2279" spans="1:37" x14ac:dyDescent="0.25">
      <c r="L2279">
        <v>0</v>
      </c>
    </row>
    <row r="2280" spans="1:37" x14ac:dyDescent="0.25">
      <c r="A2280" t="s">
        <v>70</v>
      </c>
      <c r="B2280">
        <v>9</v>
      </c>
      <c r="C2280">
        <v>2</v>
      </c>
      <c r="D2280">
        <v>4</v>
      </c>
      <c r="G2280">
        <v>92</v>
      </c>
      <c r="L2280">
        <v>0</v>
      </c>
      <c r="M2280" t="s">
        <v>125</v>
      </c>
      <c r="P2280" t="s">
        <v>125</v>
      </c>
      <c r="R2280" t="s">
        <v>125</v>
      </c>
      <c r="S2280" t="s">
        <v>63</v>
      </c>
      <c r="V2280" t="s">
        <v>125</v>
      </c>
      <c r="X2280" t="s">
        <v>125</v>
      </c>
      <c r="Y2280" t="s">
        <v>125</v>
      </c>
      <c r="Z2280" t="s">
        <v>125</v>
      </c>
      <c r="AA2280" t="s">
        <v>125</v>
      </c>
      <c r="AB2280" t="s">
        <v>125</v>
      </c>
      <c r="AC2280" t="s">
        <v>125</v>
      </c>
      <c r="AE2280" t="s">
        <v>125</v>
      </c>
      <c r="AF2280">
        <v>0</v>
      </c>
      <c r="AG2280" t="s">
        <v>125</v>
      </c>
      <c r="AH2280">
        <v>0</v>
      </c>
      <c r="AK2280">
        <v>0</v>
      </c>
    </row>
    <row r="2281" spans="1:37" x14ac:dyDescent="0.25">
      <c r="A2281" t="s">
        <v>79</v>
      </c>
      <c r="B2281">
        <v>9</v>
      </c>
      <c r="C2281">
        <v>2</v>
      </c>
      <c r="D2281">
        <v>4</v>
      </c>
      <c r="E2281">
        <v>1</v>
      </c>
      <c r="G2281">
        <v>924</v>
      </c>
      <c r="H2281" t="s">
        <v>63</v>
      </c>
      <c r="I2281" t="s">
        <v>80</v>
      </c>
      <c r="J2281" t="s">
        <v>141</v>
      </c>
      <c r="L2281">
        <v>0</v>
      </c>
      <c r="M2281" t="s">
        <v>125</v>
      </c>
      <c r="O2281" t="s">
        <v>125</v>
      </c>
      <c r="P2281" t="s">
        <v>125</v>
      </c>
      <c r="Q2281" t="s">
        <v>125</v>
      </c>
      <c r="R2281" t="s">
        <v>125</v>
      </c>
      <c r="S2281" t="s">
        <v>125</v>
      </c>
      <c r="T2281">
        <v>0</v>
      </c>
      <c r="V2281" t="s">
        <v>125</v>
      </c>
      <c r="AE2281" t="s">
        <v>125</v>
      </c>
      <c r="AF2281">
        <v>0</v>
      </c>
      <c r="AG2281" t="s">
        <v>125</v>
      </c>
      <c r="AH2281">
        <v>0</v>
      </c>
      <c r="AK2281">
        <v>0</v>
      </c>
    </row>
    <row r="2282" spans="1:37" x14ac:dyDescent="0.25">
      <c r="A2282" t="s">
        <v>79</v>
      </c>
      <c r="B2282">
        <v>9</v>
      </c>
      <c r="C2282">
        <v>2</v>
      </c>
      <c r="D2282">
        <v>4</v>
      </c>
      <c r="E2282">
        <v>2</v>
      </c>
      <c r="G2282">
        <v>924</v>
      </c>
      <c r="H2282" t="s">
        <v>63</v>
      </c>
      <c r="I2282" t="s">
        <v>88</v>
      </c>
      <c r="J2282" t="s">
        <v>142</v>
      </c>
      <c r="L2282">
        <v>0</v>
      </c>
      <c r="M2282" t="s">
        <v>125</v>
      </c>
      <c r="O2282" t="s">
        <v>125</v>
      </c>
      <c r="P2282" t="s">
        <v>125</v>
      </c>
      <c r="Q2282" t="s">
        <v>125</v>
      </c>
      <c r="R2282" t="s">
        <v>125</v>
      </c>
      <c r="S2282" t="s">
        <v>125</v>
      </c>
      <c r="T2282">
        <v>0</v>
      </c>
      <c r="V2282" t="s">
        <v>125</v>
      </c>
      <c r="AE2282" t="s">
        <v>125</v>
      </c>
      <c r="AF2282">
        <v>0</v>
      </c>
      <c r="AG2282" t="s">
        <v>125</v>
      </c>
      <c r="AH2282">
        <v>0</v>
      </c>
      <c r="AK2282">
        <v>0</v>
      </c>
    </row>
    <row r="2283" spans="1:37" x14ac:dyDescent="0.25">
      <c r="A2283" t="s">
        <v>79</v>
      </c>
      <c r="B2283">
        <v>9</v>
      </c>
      <c r="C2283">
        <v>2</v>
      </c>
      <c r="D2283">
        <v>4</v>
      </c>
      <c r="E2283">
        <v>3</v>
      </c>
      <c r="G2283">
        <v>924</v>
      </c>
      <c r="H2283" t="s">
        <v>63</v>
      </c>
      <c r="I2283" t="s">
        <v>95</v>
      </c>
      <c r="J2283" t="s">
        <v>143</v>
      </c>
      <c r="L2283">
        <v>0</v>
      </c>
      <c r="M2283" t="s">
        <v>125</v>
      </c>
      <c r="O2283" t="s">
        <v>125</v>
      </c>
      <c r="P2283" t="s">
        <v>125</v>
      </c>
      <c r="Q2283" t="s">
        <v>125</v>
      </c>
      <c r="R2283" t="s">
        <v>125</v>
      </c>
      <c r="S2283" t="s">
        <v>125</v>
      </c>
      <c r="T2283">
        <v>0</v>
      </c>
      <c r="V2283" t="s">
        <v>125</v>
      </c>
      <c r="AE2283" t="s">
        <v>125</v>
      </c>
      <c r="AF2283">
        <v>0</v>
      </c>
      <c r="AG2283" t="s">
        <v>125</v>
      </c>
      <c r="AH2283">
        <v>0</v>
      </c>
      <c r="AK2283">
        <v>0</v>
      </c>
    </row>
    <row r="2284" spans="1:37" x14ac:dyDescent="0.25">
      <c r="A2284" t="s">
        <v>79</v>
      </c>
      <c r="B2284">
        <v>9</v>
      </c>
      <c r="C2284">
        <v>2</v>
      </c>
      <c r="D2284">
        <v>4</v>
      </c>
      <c r="E2284">
        <v>4</v>
      </c>
      <c r="G2284">
        <v>924</v>
      </c>
      <c r="H2284" t="s">
        <v>63</v>
      </c>
      <c r="I2284" t="s">
        <v>102</v>
      </c>
      <c r="J2284" t="s">
        <v>144</v>
      </c>
      <c r="L2284">
        <v>0</v>
      </c>
      <c r="M2284" t="s">
        <v>125</v>
      </c>
      <c r="O2284" t="s">
        <v>125</v>
      </c>
      <c r="P2284" t="s">
        <v>125</v>
      </c>
      <c r="Q2284" t="s">
        <v>125</v>
      </c>
      <c r="R2284" t="s">
        <v>125</v>
      </c>
      <c r="S2284" t="s">
        <v>125</v>
      </c>
      <c r="T2284">
        <v>0</v>
      </c>
      <c r="V2284" t="s">
        <v>125</v>
      </c>
      <c r="AE2284" t="s">
        <v>125</v>
      </c>
      <c r="AF2284">
        <v>0</v>
      </c>
      <c r="AG2284" t="s">
        <v>125</v>
      </c>
      <c r="AH2284">
        <v>0</v>
      </c>
      <c r="AK2284">
        <v>0</v>
      </c>
    </row>
    <row r="2285" spans="1:37" x14ac:dyDescent="0.25">
      <c r="A2285" t="s">
        <v>79</v>
      </c>
      <c r="B2285">
        <v>9</v>
      </c>
      <c r="C2285">
        <v>2</v>
      </c>
      <c r="D2285">
        <v>4</v>
      </c>
      <c r="E2285">
        <v>5</v>
      </c>
      <c r="G2285">
        <v>924</v>
      </c>
      <c r="H2285" t="s">
        <v>63</v>
      </c>
      <c r="I2285" t="s">
        <v>109</v>
      </c>
      <c r="J2285" t="s">
        <v>145</v>
      </c>
      <c r="L2285">
        <v>0</v>
      </c>
      <c r="M2285" t="s">
        <v>125</v>
      </c>
      <c r="O2285" t="s">
        <v>125</v>
      </c>
      <c r="P2285" t="s">
        <v>125</v>
      </c>
      <c r="Q2285" t="s">
        <v>125</v>
      </c>
      <c r="R2285" t="s">
        <v>125</v>
      </c>
      <c r="S2285" t="s">
        <v>125</v>
      </c>
      <c r="T2285">
        <v>0</v>
      </c>
      <c r="V2285" t="s">
        <v>125</v>
      </c>
      <c r="AE2285" t="s">
        <v>125</v>
      </c>
      <c r="AF2285">
        <v>0</v>
      </c>
      <c r="AG2285" t="s">
        <v>125</v>
      </c>
      <c r="AH2285">
        <v>0</v>
      </c>
      <c r="AK2285">
        <v>0</v>
      </c>
    </row>
    <row r="2286" spans="1:37" x14ac:dyDescent="0.25">
      <c r="A2286" t="s">
        <v>79</v>
      </c>
      <c r="B2286">
        <v>9</v>
      </c>
      <c r="C2286">
        <v>2</v>
      </c>
      <c r="D2286">
        <v>4</v>
      </c>
      <c r="E2286">
        <v>6</v>
      </c>
      <c r="G2286">
        <v>924</v>
      </c>
      <c r="H2286" t="s">
        <v>63</v>
      </c>
      <c r="I2286" t="s">
        <v>116</v>
      </c>
      <c r="J2286" t="s">
        <v>146</v>
      </c>
      <c r="L2286">
        <v>0</v>
      </c>
      <c r="M2286" t="s">
        <v>125</v>
      </c>
      <c r="O2286" t="s">
        <v>125</v>
      </c>
      <c r="P2286" t="s">
        <v>125</v>
      </c>
      <c r="Q2286" t="s">
        <v>125</v>
      </c>
      <c r="R2286" t="s">
        <v>125</v>
      </c>
      <c r="S2286" t="s">
        <v>125</v>
      </c>
      <c r="T2286">
        <v>0</v>
      </c>
      <c r="V2286" t="s">
        <v>125</v>
      </c>
      <c r="AE2286" t="s">
        <v>125</v>
      </c>
      <c r="AF2286">
        <v>0</v>
      </c>
      <c r="AG2286" t="s">
        <v>125</v>
      </c>
      <c r="AH2286">
        <v>0</v>
      </c>
      <c r="AK2286">
        <v>0</v>
      </c>
    </row>
    <row r="2287" spans="1:37" x14ac:dyDescent="0.25">
      <c r="A2287" t="s">
        <v>79</v>
      </c>
      <c r="B2287">
        <v>9</v>
      </c>
      <c r="C2287">
        <v>2</v>
      </c>
      <c r="D2287">
        <v>4</v>
      </c>
      <c r="E2287">
        <v>7</v>
      </c>
      <c r="G2287">
        <v>924</v>
      </c>
      <c r="H2287" t="s">
        <v>63</v>
      </c>
      <c r="I2287" t="s">
        <v>123</v>
      </c>
      <c r="J2287" t="s">
        <v>147</v>
      </c>
      <c r="L2287">
        <v>0</v>
      </c>
      <c r="M2287" t="s">
        <v>125</v>
      </c>
      <c r="O2287" t="s">
        <v>125</v>
      </c>
      <c r="P2287" t="s">
        <v>125</v>
      </c>
      <c r="Q2287" t="s">
        <v>125</v>
      </c>
      <c r="R2287" t="s">
        <v>125</v>
      </c>
      <c r="S2287" t="s">
        <v>125</v>
      </c>
      <c r="T2287">
        <v>0</v>
      </c>
      <c r="V2287" t="s">
        <v>125</v>
      </c>
      <c r="AE2287" t="s">
        <v>125</v>
      </c>
      <c r="AF2287">
        <v>0</v>
      </c>
      <c r="AG2287" t="s">
        <v>125</v>
      </c>
      <c r="AH2287">
        <v>0</v>
      </c>
      <c r="AK2287">
        <v>0</v>
      </c>
    </row>
    <row r="2288" spans="1:37" x14ac:dyDescent="0.25">
      <c r="A2288" t="s">
        <v>79</v>
      </c>
      <c r="B2288">
        <v>9</v>
      </c>
      <c r="C2288">
        <v>2</v>
      </c>
      <c r="D2288">
        <v>4</v>
      </c>
      <c r="E2288">
        <v>8</v>
      </c>
      <c r="G2288">
        <v>924</v>
      </c>
      <c r="H2288" t="s">
        <v>63</v>
      </c>
      <c r="I2288" t="s">
        <v>126</v>
      </c>
      <c r="J2288" t="s">
        <v>148</v>
      </c>
      <c r="L2288">
        <v>0</v>
      </c>
      <c r="M2288" t="s">
        <v>125</v>
      </c>
      <c r="O2288" t="s">
        <v>125</v>
      </c>
      <c r="P2288" t="s">
        <v>125</v>
      </c>
      <c r="Q2288" t="s">
        <v>125</v>
      </c>
      <c r="R2288" t="s">
        <v>125</v>
      </c>
      <c r="S2288" t="s">
        <v>125</v>
      </c>
      <c r="T2288">
        <v>0</v>
      </c>
      <c r="V2288" t="s">
        <v>125</v>
      </c>
      <c r="AE2288" t="s">
        <v>125</v>
      </c>
      <c r="AF2288">
        <v>0</v>
      </c>
      <c r="AG2288" t="s">
        <v>125</v>
      </c>
      <c r="AH2288">
        <v>0</v>
      </c>
      <c r="AK2288">
        <v>0</v>
      </c>
    </row>
    <row r="2289" spans="1:37" x14ac:dyDescent="0.25">
      <c r="A2289" t="s">
        <v>79</v>
      </c>
      <c r="B2289">
        <v>9</v>
      </c>
      <c r="C2289">
        <v>2</v>
      </c>
      <c r="D2289">
        <v>4</v>
      </c>
      <c r="E2289">
        <v>9</v>
      </c>
      <c r="G2289">
        <v>924</v>
      </c>
      <c r="H2289" t="s">
        <v>63</v>
      </c>
      <c r="I2289" t="s">
        <v>74</v>
      </c>
      <c r="J2289" t="s">
        <v>149</v>
      </c>
      <c r="L2289">
        <v>0</v>
      </c>
      <c r="M2289" t="s">
        <v>125</v>
      </c>
      <c r="O2289" t="s">
        <v>125</v>
      </c>
      <c r="P2289" t="s">
        <v>125</v>
      </c>
      <c r="Q2289" t="s">
        <v>125</v>
      </c>
      <c r="R2289" t="s">
        <v>125</v>
      </c>
      <c r="S2289" t="s">
        <v>125</v>
      </c>
      <c r="T2289">
        <v>0</v>
      </c>
      <c r="V2289" t="s">
        <v>125</v>
      </c>
      <c r="AE2289" t="s">
        <v>125</v>
      </c>
      <c r="AF2289">
        <v>0</v>
      </c>
      <c r="AG2289" t="s">
        <v>125</v>
      </c>
      <c r="AH2289">
        <v>0</v>
      </c>
      <c r="AK2289">
        <v>0</v>
      </c>
    </row>
    <row r="2290" spans="1:37" x14ac:dyDescent="0.25">
      <c r="A2290" t="s">
        <v>79</v>
      </c>
      <c r="B2290">
        <v>9</v>
      </c>
      <c r="C2290">
        <v>2</v>
      </c>
      <c r="D2290">
        <v>4</v>
      </c>
      <c r="E2290">
        <v>10</v>
      </c>
      <c r="G2290">
        <v>924</v>
      </c>
      <c r="H2290" t="s">
        <v>63</v>
      </c>
      <c r="I2290" t="s">
        <v>129</v>
      </c>
      <c r="J2290" t="s">
        <v>150</v>
      </c>
      <c r="L2290">
        <v>0</v>
      </c>
      <c r="M2290" t="s">
        <v>125</v>
      </c>
      <c r="O2290" t="s">
        <v>125</v>
      </c>
      <c r="P2290" t="s">
        <v>125</v>
      </c>
      <c r="Q2290" t="s">
        <v>125</v>
      </c>
      <c r="R2290" t="s">
        <v>125</v>
      </c>
      <c r="S2290" t="s">
        <v>125</v>
      </c>
      <c r="T2290">
        <v>0</v>
      </c>
      <c r="V2290" t="s">
        <v>125</v>
      </c>
      <c r="AE2290" t="s">
        <v>125</v>
      </c>
      <c r="AF2290">
        <v>0</v>
      </c>
      <c r="AG2290" t="s">
        <v>125</v>
      </c>
      <c r="AH2290">
        <v>0</v>
      </c>
      <c r="AK2290">
        <v>0</v>
      </c>
    </row>
    <row r="2291" spans="1:37" x14ac:dyDescent="0.25">
      <c r="A2291" t="s">
        <v>79</v>
      </c>
      <c r="B2291">
        <v>9</v>
      </c>
      <c r="C2291">
        <v>2</v>
      </c>
      <c r="D2291">
        <v>4</v>
      </c>
      <c r="E2291">
        <v>11</v>
      </c>
      <c r="G2291">
        <v>924</v>
      </c>
      <c r="H2291" t="s">
        <v>63</v>
      </c>
      <c r="I2291" t="s">
        <v>131</v>
      </c>
      <c r="J2291" t="s">
        <v>151</v>
      </c>
      <c r="L2291">
        <v>0</v>
      </c>
      <c r="M2291" t="s">
        <v>125</v>
      </c>
      <c r="O2291" t="s">
        <v>125</v>
      </c>
      <c r="P2291" t="s">
        <v>125</v>
      </c>
      <c r="Q2291" t="s">
        <v>125</v>
      </c>
      <c r="R2291" t="s">
        <v>125</v>
      </c>
      <c r="S2291" t="s">
        <v>125</v>
      </c>
      <c r="T2291">
        <v>0</v>
      </c>
      <c r="V2291" t="s">
        <v>125</v>
      </c>
      <c r="AE2291" t="s">
        <v>125</v>
      </c>
      <c r="AF2291">
        <v>0</v>
      </c>
      <c r="AG2291" t="s">
        <v>125</v>
      </c>
      <c r="AH2291">
        <v>0</v>
      </c>
      <c r="AK2291">
        <v>0</v>
      </c>
    </row>
    <row r="2292" spans="1:37" x14ac:dyDescent="0.25">
      <c r="A2292" t="s">
        <v>79</v>
      </c>
      <c r="B2292">
        <v>9</v>
      </c>
      <c r="C2292">
        <v>2</v>
      </c>
      <c r="D2292">
        <v>4</v>
      </c>
      <c r="E2292">
        <v>12</v>
      </c>
      <c r="G2292">
        <v>924</v>
      </c>
      <c r="H2292" t="s">
        <v>63</v>
      </c>
      <c r="I2292" t="s">
        <v>133</v>
      </c>
      <c r="J2292" t="s">
        <v>152</v>
      </c>
      <c r="L2292">
        <v>0</v>
      </c>
      <c r="M2292" t="s">
        <v>125</v>
      </c>
      <c r="O2292" t="s">
        <v>125</v>
      </c>
      <c r="P2292" t="s">
        <v>125</v>
      </c>
      <c r="Q2292" t="s">
        <v>125</v>
      </c>
      <c r="R2292" t="s">
        <v>125</v>
      </c>
      <c r="S2292" t="s">
        <v>125</v>
      </c>
      <c r="T2292">
        <v>0</v>
      </c>
      <c r="V2292" t="s">
        <v>125</v>
      </c>
      <c r="AE2292" t="s">
        <v>125</v>
      </c>
      <c r="AF2292">
        <v>0</v>
      </c>
      <c r="AG2292" t="s">
        <v>125</v>
      </c>
      <c r="AH2292">
        <v>0</v>
      </c>
      <c r="AK2292">
        <v>0</v>
      </c>
    </row>
    <row r="2293" spans="1:37" x14ac:dyDescent="0.25">
      <c r="A2293" t="s">
        <v>79</v>
      </c>
      <c r="B2293">
        <v>9</v>
      </c>
      <c r="C2293">
        <v>2</v>
      </c>
      <c r="D2293">
        <v>4</v>
      </c>
      <c r="E2293">
        <v>13</v>
      </c>
      <c r="G2293">
        <v>924</v>
      </c>
      <c r="H2293" t="s">
        <v>63</v>
      </c>
      <c r="I2293" t="s">
        <v>135</v>
      </c>
      <c r="J2293" t="s">
        <v>153</v>
      </c>
      <c r="L2293">
        <v>0</v>
      </c>
      <c r="M2293" t="s">
        <v>125</v>
      </c>
      <c r="O2293" t="s">
        <v>125</v>
      </c>
      <c r="P2293" t="s">
        <v>125</v>
      </c>
      <c r="Q2293" t="s">
        <v>125</v>
      </c>
      <c r="R2293" t="s">
        <v>125</v>
      </c>
      <c r="S2293" t="s">
        <v>125</v>
      </c>
      <c r="T2293">
        <v>0</v>
      </c>
      <c r="V2293" t="s">
        <v>125</v>
      </c>
      <c r="AE2293" t="s">
        <v>125</v>
      </c>
      <c r="AF2293">
        <v>0</v>
      </c>
      <c r="AG2293" t="s">
        <v>125</v>
      </c>
      <c r="AH2293">
        <v>0</v>
      </c>
      <c r="AK2293">
        <v>0</v>
      </c>
    </row>
    <row r="2294" spans="1:37" x14ac:dyDescent="0.25">
      <c r="A2294" t="s">
        <v>79</v>
      </c>
      <c r="B2294">
        <v>9</v>
      </c>
      <c r="C2294">
        <v>2</v>
      </c>
      <c r="D2294">
        <v>4</v>
      </c>
      <c r="E2294">
        <v>14</v>
      </c>
      <c r="G2294">
        <v>924</v>
      </c>
      <c r="H2294" t="s">
        <v>63</v>
      </c>
      <c r="I2294" t="s">
        <v>137</v>
      </c>
      <c r="J2294" t="s">
        <v>154</v>
      </c>
      <c r="L2294">
        <v>0</v>
      </c>
      <c r="M2294" t="s">
        <v>125</v>
      </c>
      <c r="O2294" t="s">
        <v>125</v>
      </c>
      <c r="P2294" t="s">
        <v>125</v>
      </c>
      <c r="Q2294" t="s">
        <v>125</v>
      </c>
      <c r="R2294" t="s">
        <v>125</v>
      </c>
      <c r="S2294" t="s">
        <v>125</v>
      </c>
      <c r="T2294">
        <v>0</v>
      </c>
      <c r="V2294" t="s">
        <v>125</v>
      </c>
      <c r="AE2294" t="s">
        <v>125</v>
      </c>
      <c r="AF2294">
        <v>0</v>
      </c>
      <c r="AG2294" t="s">
        <v>125</v>
      </c>
      <c r="AH2294">
        <v>0</v>
      </c>
      <c r="AK2294">
        <v>0</v>
      </c>
    </row>
    <row r="2295" spans="1:37" x14ac:dyDescent="0.25">
      <c r="A2295" t="s">
        <v>79</v>
      </c>
      <c r="B2295">
        <v>9</v>
      </c>
      <c r="C2295">
        <v>2</v>
      </c>
      <c r="D2295">
        <v>4</v>
      </c>
      <c r="E2295">
        <v>15</v>
      </c>
      <c r="G2295">
        <v>924</v>
      </c>
      <c r="H2295" t="s">
        <v>63</v>
      </c>
      <c r="I2295" t="s">
        <v>139</v>
      </c>
      <c r="J2295" t="s">
        <v>155</v>
      </c>
      <c r="L2295">
        <v>0</v>
      </c>
      <c r="M2295" t="s">
        <v>125</v>
      </c>
      <c r="O2295" t="s">
        <v>125</v>
      </c>
      <c r="P2295" t="s">
        <v>125</v>
      </c>
      <c r="Q2295" t="s">
        <v>125</v>
      </c>
      <c r="R2295" t="s">
        <v>125</v>
      </c>
      <c r="S2295" t="s">
        <v>125</v>
      </c>
      <c r="T2295">
        <v>0</v>
      </c>
      <c r="V2295" t="s">
        <v>125</v>
      </c>
      <c r="AE2295" t="s">
        <v>125</v>
      </c>
      <c r="AF2295">
        <v>0</v>
      </c>
      <c r="AG2295" t="s">
        <v>125</v>
      </c>
      <c r="AH2295">
        <v>0</v>
      </c>
      <c r="AK2295">
        <v>0</v>
      </c>
    </row>
    <row r="2296" spans="1:37" x14ac:dyDescent="0.25">
      <c r="L2296">
        <v>0</v>
      </c>
    </row>
    <row r="2297" spans="1:37" x14ac:dyDescent="0.25">
      <c r="A2297" t="s">
        <v>70</v>
      </c>
      <c r="B2297">
        <v>9</v>
      </c>
      <c r="C2297">
        <v>2</v>
      </c>
      <c r="D2297">
        <v>5</v>
      </c>
      <c r="G2297">
        <v>92</v>
      </c>
      <c r="L2297">
        <v>0</v>
      </c>
      <c r="M2297" t="s">
        <v>125</v>
      </c>
      <c r="P2297" t="s">
        <v>125</v>
      </c>
      <c r="R2297" t="s">
        <v>125</v>
      </c>
      <c r="S2297" t="s">
        <v>63</v>
      </c>
      <c r="V2297" t="s">
        <v>125</v>
      </c>
      <c r="X2297" t="s">
        <v>125</v>
      </c>
      <c r="Y2297" t="s">
        <v>125</v>
      </c>
      <c r="Z2297" t="s">
        <v>125</v>
      </c>
      <c r="AA2297" t="s">
        <v>125</v>
      </c>
      <c r="AB2297" t="s">
        <v>125</v>
      </c>
      <c r="AC2297" t="s">
        <v>125</v>
      </c>
      <c r="AE2297" t="s">
        <v>125</v>
      </c>
      <c r="AF2297">
        <v>0</v>
      </c>
      <c r="AG2297" t="s">
        <v>125</v>
      </c>
      <c r="AH2297">
        <v>0</v>
      </c>
      <c r="AK2297">
        <v>0</v>
      </c>
    </row>
    <row r="2298" spans="1:37" x14ac:dyDescent="0.25">
      <c r="A2298" t="s">
        <v>79</v>
      </c>
      <c r="B2298">
        <v>9</v>
      </c>
      <c r="C2298">
        <v>2</v>
      </c>
      <c r="D2298">
        <v>5</v>
      </c>
      <c r="E2298">
        <v>1</v>
      </c>
      <c r="G2298">
        <v>925</v>
      </c>
      <c r="H2298" t="s">
        <v>63</v>
      </c>
      <c r="I2298" t="s">
        <v>80</v>
      </c>
      <c r="J2298" t="s">
        <v>141</v>
      </c>
      <c r="L2298">
        <v>0</v>
      </c>
      <c r="M2298" t="s">
        <v>125</v>
      </c>
      <c r="O2298" t="s">
        <v>125</v>
      </c>
      <c r="P2298" t="s">
        <v>125</v>
      </c>
      <c r="Q2298" t="s">
        <v>125</v>
      </c>
      <c r="R2298" t="s">
        <v>125</v>
      </c>
      <c r="S2298" t="s">
        <v>125</v>
      </c>
      <c r="T2298">
        <v>0</v>
      </c>
      <c r="V2298" t="s">
        <v>125</v>
      </c>
      <c r="AE2298" t="s">
        <v>125</v>
      </c>
      <c r="AF2298">
        <v>0</v>
      </c>
      <c r="AG2298" t="s">
        <v>125</v>
      </c>
      <c r="AH2298">
        <v>0</v>
      </c>
      <c r="AK2298">
        <v>0</v>
      </c>
    </row>
    <row r="2299" spans="1:37" x14ac:dyDescent="0.25">
      <c r="A2299" t="s">
        <v>79</v>
      </c>
      <c r="B2299">
        <v>9</v>
      </c>
      <c r="C2299">
        <v>2</v>
      </c>
      <c r="D2299">
        <v>5</v>
      </c>
      <c r="E2299">
        <v>2</v>
      </c>
      <c r="G2299">
        <v>925</v>
      </c>
      <c r="H2299" t="s">
        <v>63</v>
      </c>
      <c r="I2299" t="s">
        <v>88</v>
      </c>
      <c r="J2299" t="s">
        <v>142</v>
      </c>
      <c r="L2299">
        <v>0</v>
      </c>
      <c r="M2299" t="s">
        <v>125</v>
      </c>
      <c r="O2299" t="s">
        <v>125</v>
      </c>
      <c r="P2299" t="s">
        <v>125</v>
      </c>
      <c r="Q2299" t="s">
        <v>125</v>
      </c>
      <c r="R2299" t="s">
        <v>125</v>
      </c>
      <c r="S2299" t="s">
        <v>125</v>
      </c>
      <c r="T2299">
        <v>0</v>
      </c>
      <c r="V2299" t="s">
        <v>125</v>
      </c>
      <c r="AE2299" t="s">
        <v>125</v>
      </c>
      <c r="AF2299">
        <v>0</v>
      </c>
      <c r="AG2299" t="s">
        <v>125</v>
      </c>
      <c r="AH2299">
        <v>0</v>
      </c>
      <c r="AK2299">
        <v>0</v>
      </c>
    </row>
    <row r="2300" spans="1:37" x14ac:dyDescent="0.25">
      <c r="A2300" t="s">
        <v>79</v>
      </c>
      <c r="B2300">
        <v>9</v>
      </c>
      <c r="C2300">
        <v>2</v>
      </c>
      <c r="D2300">
        <v>5</v>
      </c>
      <c r="E2300">
        <v>3</v>
      </c>
      <c r="G2300">
        <v>925</v>
      </c>
      <c r="H2300" t="s">
        <v>63</v>
      </c>
      <c r="I2300" t="s">
        <v>95</v>
      </c>
      <c r="J2300" t="s">
        <v>143</v>
      </c>
      <c r="L2300">
        <v>0</v>
      </c>
      <c r="M2300" t="s">
        <v>125</v>
      </c>
      <c r="O2300" t="s">
        <v>125</v>
      </c>
      <c r="P2300" t="s">
        <v>125</v>
      </c>
      <c r="Q2300" t="s">
        <v>125</v>
      </c>
      <c r="R2300" t="s">
        <v>125</v>
      </c>
      <c r="S2300" t="s">
        <v>125</v>
      </c>
      <c r="T2300">
        <v>0</v>
      </c>
      <c r="V2300" t="s">
        <v>125</v>
      </c>
      <c r="AE2300" t="s">
        <v>125</v>
      </c>
      <c r="AF2300">
        <v>0</v>
      </c>
      <c r="AG2300" t="s">
        <v>125</v>
      </c>
      <c r="AH2300">
        <v>0</v>
      </c>
      <c r="AK2300">
        <v>0</v>
      </c>
    </row>
    <row r="2301" spans="1:37" x14ac:dyDescent="0.25">
      <c r="A2301" t="s">
        <v>79</v>
      </c>
      <c r="B2301">
        <v>9</v>
      </c>
      <c r="C2301">
        <v>2</v>
      </c>
      <c r="D2301">
        <v>5</v>
      </c>
      <c r="E2301">
        <v>4</v>
      </c>
      <c r="G2301">
        <v>925</v>
      </c>
      <c r="H2301" t="s">
        <v>63</v>
      </c>
      <c r="I2301" t="s">
        <v>102</v>
      </c>
      <c r="J2301" t="s">
        <v>144</v>
      </c>
      <c r="L2301">
        <v>0</v>
      </c>
      <c r="M2301" t="s">
        <v>125</v>
      </c>
      <c r="O2301" t="s">
        <v>125</v>
      </c>
      <c r="P2301" t="s">
        <v>125</v>
      </c>
      <c r="Q2301" t="s">
        <v>125</v>
      </c>
      <c r="R2301" t="s">
        <v>125</v>
      </c>
      <c r="S2301" t="s">
        <v>125</v>
      </c>
      <c r="T2301">
        <v>0</v>
      </c>
      <c r="V2301" t="s">
        <v>125</v>
      </c>
      <c r="AE2301" t="s">
        <v>125</v>
      </c>
      <c r="AF2301">
        <v>0</v>
      </c>
      <c r="AG2301" t="s">
        <v>125</v>
      </c>
      <c r="AH2301">
        <v>0</v>
      </c>
      <c r="AK2301">
        <v>0</v>
      </c>
    </row>
    <row r="2302" spans="1:37" x14ac:dyDescent="0.25">
      <c r="A2302" t="s">
        <v>79</v>
      </c>
      <c r="B2302">
        <v>9</v>
      </c>
      <c r="C2302">
        <v>2</v>
      </c>
      <c r="D2302">
        <v>5</v>
      </c>
      <c r="E2302">
        <v>5</v>
      </c>
      <c r="G2302">
        <v>925</v>
      </c>
      <c r="H2302" t="s">
        <v>63</v>
      </c>
      <c r="I2302" t="s">
        <v>109</v>
      </c>
      <c r="J2302" t="s">
        <v>145</v>
      </c>
      <c r="L2302">
        <v>0</v>
      </c>
      <c r="M2302" t="s">
        <v>125</v>
      </c>
      <c r="O2302" t="s">
        <v>125</v>
      </c>
      <c r="P2302" t="s">
        <v>125</v>
      </c>
      <c r="Q2302" t="s">
        <v>125</v>
      </c>
      <c r="R2302" t="s">
        <v>125</v>
      </c>
      <c r="S2302" t="s">
        <v>125</v>
      </c>
      <c r="T2302">
        <v>0</v>
      </c>
      <c r="V2302" t="s">
        <v>125</v>
      </c>
      <c r="AE2302" t="s">
        <v>125</v>
      </c>
      <c r="AF2302">
        <v>0</v>
      </c>
      <c r="AG2302" t="s">
        <v>125</v>
      </c>
      <c r="AH2302">
        <v>0</v>
      </c>
      <c r="AK2302">
        <v>0</v>
      </c>
    </row>
    <row r="2303" spans="1:37" x14ac:dyDescent="0.25">
      <c r="A2303" t="s">
        <v>79</v>
      </c>
      <c r="B2303">
        <v>9</v>
      </c>
      <c r="C2303">
        <v>2</v>
      </c>
      <c r="D2303">
        <v>5</v>
      </c>
      <c r="E2303">
        <v>6</v>
      </c>
      <c r="G2303">
        <v>925</v>
      </c>
      <c r="H2303" t="s">
        <v>63</v>
      </c>
      <c r="I2303" t="s">
        <v>116</v>
      </c>
      <c r="J2303" t="s">
        <v>146</v>
      </c>
      <c r="L2303">
        <v>0</v>
      </c>
      <c r="M2303" t="s">
        <v>125</v>
      </c>
      <c r="O2303" t="s">
        <v>125</v>
      </c>
      <c r="P2303" t="s">
        <v>125</v>
      </c>
      <c r="Q2303" t="s">
        <v>125</v>
      </c>
      <c r="R2303" t="s">
        <v>125</v>
      </c>
      <c r="S2303" t="s">
        <v>125</v>
      </c>
      <c r="T2303">
        <v>0</v>
      </c>
      <c r="V2303" t="s">
        <v>125</v>
      </c>
      <c r="AE2303" t="s">
        <v>125</v>
      </c>
      <c r="AF2303">
        <v>0</v>
      </c>
      <c r="AG2303" t="s">
        <v>125</v>
      </c>
      <c r="AH2303">
        <v>0</v>
      </c>
      <c r="AK2303">
        <v>0</v>
      </c>
    </row>
    <row r="2304" spans="1:37" x14ac:dyDescent="0.25">
      <c r="A2304" t="s">
        <v>79</v>
      </c>
      <c r="B2304">
        <v>9</v>
      </c>
      <c r="C2304">
        <v>2</v>
      </c>
      <c r="D2304">
        <v>5</v>
      </c>
      <c r="E2304">
        <v>7</v>
      </c>
      <c r="G2304">
        <v>925</v>
      </c>
      <c r="H2304" t="s">
        <v>63</v>
      </c>
      <c r="I2304" t="s">
        <v>123</v>
      </c>
      <c r="J2304" t="s">
        <v>147</v>
      </c>
      <c r="L2304">
        <v>0</v>
      </c>
      <c r="M2304" t="s">
        <v>125</v>
      </c>
      <c r="O2304" t="s">
        <v>125</v>
      </c>
      <c r="P2304" t="s">
        <v>125</v>
      </c>
      <c r="Q2304" t="s">
        <v>125</v>
      </c>
      <c r="R2304" t="s">
        <v>125</v>
      </c>
      <c r="S2304" t="s">
        <v>125</v>
      </c>
      <c r="T2304">
        <v>0</v>
      </c>
      <c r="V2304" t="s">
        <v>125</v>
      </c>
      <c r="AE2304" t="s">
        <v>125</v>
      </c>
      <c r="AF2304">
        <v>0</v>
      </c>
      <c r="AG2304" t="s">
        <v>125</v>
      </c>
      <c r="AH2304">
        <v>0</v>
      </c>
      <c r="AK2304">
        <v>0</v>
      </c>
    </row>
    <row r="2305" spans="1:37" x14ac:dyDescent="0.25">
      <c r="A2305" t="s">
        <v>79</v>
      </c>
      <c r="B2305">
        <v>9</v>
      </c>
      <c r="C2305">
        <v>2</v>
      </c>
      <c r="D2305">
        <v>5</v>
      </c>
      <c r="E2305">
        <v>8</v>
      </c>
      <c r="G2305">
        <v>925</v>
      </c>
      <c r="H2305" t="s">
        <v>63</v>
      </c>
      <c r="I2305" t="s">
        <v>126</v>
      </c>
      <c r="J2305" t="s">
        <v>148</v>
      </c>
      <c r="L2305">
        <v>0</v>
      </c>
      <c r="M2305" t="s">
        <v>125</v>
      </c>
      <c r="O2305" t="s">
        <v>125</v>
      </c>
      <c r="P2305" t="s">
        <v>125</v>
      </c>
      <c r="Q2305" t="s">
        <v>125</v>
      </c>
      <c r="R2305" t="s">
        <v>125</v>
      </c>
      <c r="S2305" t="s">
        <v>125</v>
      </c>
      <c r="T2305">
        <v>0</v>
      </c>
      <c r="V2305" t="s">
        <v>125</v>
      </c>
      <c r="AE2305" t="s">
        <v>125</v>
      </c>
      <c r="AF2305">
        <v>0</v>
      </c>
      <c r="AG2305" t="s">
        <v>125</v>
      </c>
      <c r="AH2305">
        <v>0</v>
      </c>
      <c r="AK2305">
        <v>0</v>
      </c>
    </row>
    <row r="2306" spans="1:37" x14ac:dyDescent="0.25">
      <c r="A2306" t="s">
        <v>79</v>
      </c>
      <c r="B2306">
        <v>9</v>
      </c>
      <c r="C2306">
        <v>2</v>
      </c>
      <c r="D2306">
        <v>5</v>
      </c>
      <c r="E2306">
        <v>9</v>
      </c>
      <c r="G2306">
        <v>925</v>
      </c>
      <c r="H2306" t="s">
        <v>63</v>
      </c>
      <c r="I2306" t="s">
        <v>74</v>
      </c>
      <c r="J2306" t="s">
        <v>149</v>
      </c>
      <c r="L2306">
        <v>0</v>
      </c>
      <c r="M2306" t="s">
        <v>125</v>
      </c>
      <c r="O2306" t="s">
        <v>125</v>
      </c>
      <c r="P2306" t="s">
        <v>125</v>
      </c>
      <c r="Q2306" t="s">
        <v>125</v>
      </c>
      <c r="R2306" t="s">
        <v>125</v>
      </c>
      <c r="S2306" t="s">
        <v>125</v>
      </c>
      <c r="T2306">
        <v>0</v>
      </c>
      <c r="V2306" t="s">
        <v>125</v>
      </c>
      <c r="AE2306" t="s">
        <v>125</v>
      </c>
      <c r="AF2306">
        <v>0</v>
      </c>
      <c r="AG2306" t="s">
        <v>125</v>
      </c>
      <c r="AH2306">
        <v>0</v>
      </c>
      <c r="AK2306">
        <v>0</v>
      </c>
    </row>
    <row r="2307" spans="1:37" x14ac:dyDescent="0.25">
      <c r="A2307" t="s">
        <v>79</v>
      </c>
      <c r="B2307">
        <v>9</v>
      </c>
      <c r="C2307">
        <v>2</v>
      </c>
      <c r="D2307">
        <v>5</v>
      </c>
      <c r="E2307">
        <v>10</v>
      </c>
      <c r="G2307">
        <v>925</v>
      </c>
      <c r="H2307" t="s">
        <v>63</v>
      </c>
      <c r="I2307" t="s">
        <v>129</v>
      </c>
      <c r="J2307" t="s">
        <v>150</v>
      </c>
      <c r="L2307">
        <v>0</v>
      </c>
      <c r="M2307" t="s">
        <v>125</v>
      </c>
      <c r="O2307" t="s">
        <v>125</v>
      </c>
      <c r="P2307" t="s">
        <v>125</v>
      </c>
      <c r="Q2307" t="s">
        <v>125</v>
      </c>
      <c r="R2307" t="s">
        <v>125</v>
      </c>
      <c r="S2307" t="s">
        <v>125</v>
      </c>
      <c r="T2307">
        <v>0</v>
      </c>
      <c r="V2307" t="s">
        <v>125</v>
      </c>
      <c r="AE2307" t="s">
        <v>125</v>
      </c>
      <c r="AF2307">
        <v>0</v>
      </c>
      <c r="AG2307" t="s">
        <v>125</v>
      </c>
      <c r="AH2307">
        <v>0</v>
      </c>
      <c r="AK2307">
        <v>0</v>
      </c>
    </row>
    <row r="2308" spans="1:37" x14ac:dyDescent="0.25">
      <c r="A2308" t="s">
        <v>79</v>
      </c>
      <c r="B2308">
        <v>9</v>
      </c>
      <c r="C2308">
        <v>2</v>
      </c>
      <c r="D2308">
        <v>5</v>
      </c>
      <c r="E2308">
        <v>11</v>
      </c>
      <c r="G2308">
        <v>925</v>
      </c>
      <c r="H2308" t="s">
        <v>63</v>
      </c>
      <c r="I2308" t="s">
        <v>131</v>
      </c>
      <c r="J2308" t="s">
        <v>151</v>
      </c>
      <c r="L2308">
        <v>0</v>
      </c>
      <c r="M2308" t="s">
        <v>125</v>
      </c>
      <c r="O2308" t="s">
        <v>125</v>
      </c>
      <c r="P2308" t="s">
        <v>125</v>
      </c>
      <c r="Q2308" t="s">
        <v>125</v>
      </c>
      <c r="R2308" t="s">
        <v>125</v>
      </c>
      <c r="S2308" t="s">
        <v>125</v>
      </c>
      <c r="T2308">
        <v>0</v>
      </c>
      <c r="V2308" t="s">
        <v>125</v>
      </c>
      <c r="AE2308" t="s">
        <v>125</v>
      </c>
      <c r="AF2308">
        <v>0</v>
      </c>
      <c r="AG2308" t="s">
        <v>125</v>
      </c>
      <c r="AH2308">
        <v>0</v>
      </c>
      <c r="AK2308">
        <v>0</v>
      </c>
    </row>
    <row r="2309" spans="1:37" x14ac:dyDescent="0.25">
      <c r="A2309" t="s">
        <v>79</v>
      </c>
      <c r="B2309">
        <v>9</v>
      </c>
      <c r="C2309">
        <v>2</v>
      </c>
      <c r="D2309">
        <v>5</v>
      </c>
      <c r="E2309">
        <v>12</v>
      </c>
      <c r="G2309">
        <v>925</v>
      </c>
      <c r="H2309" t="s">
        <v>63</v>
      </c>
      <c r="I2309" t="s">
        <v>133</v>
      </c>
      <c r="J2309" t="s">
        <v>152</v>
      </c>
      <c r="L2309">
        <v>0</v>
      </c>
      <c r="M2309" t="s">
        <v>125</v>
      </c>
      <c r="O2309" t="s">
        <v>125</v>
      </c>
      <c r="P2309" t="s">
        <v>125</v>
      </c>
      <c r="Q2309" t="s">
        <v>125</v>
      </c>
      <c r="R2309" t="s">
        <v>125</v>
      </c>
      <c r="S2309" t="s">
        <v>125</v>
      </c>
      <c r="T2309">
        <v>0</v>
      </c>
      <c r="V2309" t="s">
        <v>125</v>
      </c>
      <c r="AE2309" t="s">
        <v>125</v>
      </c>
      <c r="AF2309">
        <v>0</v>
      </c>
      <c r="AG2309" t="s">
        <v>125</v>
      </c>
      <c r="AH2309">
        <v>0</v>
      </c>
      <c r="AK2309">
        <v>0</v>
      </c>
    </row>
    <row r="2310" spans="1:37" x14ac:dyDescent="0.25">
      <c r="A2310" t="s">
        <v>79</v>
      </c>
      <c r="B2310">
        <v>9</v>
      </c>
      <c r="C2310">
        <v>2</v>
      </c>
      <c r="D2310">
        <v>5</v>
      </c>
      <c r="E2310">
        <v>13</v>
      </c>
      <c r="G2310">
        <v>925</v>
      </c>
      <c r="H2310" t="s">
        <v>63</v>
      </c>
      <c r="I2310" t="s">
        <v>135</v>
      </c>
      <c r="J2310" t="s">
        <v>153</v>
      </c>
      <c r="L2310">
        <v>0</v>
      </c>
      <c r="M2310" t="s">
        <v>125</v>
      </c>
      <c r="O2310" t="s">
        <v>125</v>
      </c>
      <c r="P2310" t="s">
        <v>125</v>
      </c>
      <c r="Q2310" t="s">
        <v>125</v>
      </c>
      <c r="R2310" t="s">
        <v>125</v>
      </c>
      <c r="S2310" t="s">
        <v>125</v>
      </c>
      <c r="T2310">
        <v>0</v>
      </c>
      <c r="V2310" t="s">
        <v>125</v>
      </c>
      <c r="AE2310" t="s">
        <v>125</v>
      </c>
      <c r="AF2310">
        <v>0</v>
      </c>
      <c r="AG2310" t="s">
        <v>125</v>
      </c>
      <c r="AH2310">
        <v>0</v>
      </c>
      <c r="AK2310">
        <v>0</v>
      </c>
    </row>
    <row r="2311" spans="1:37" x14ac:dyDescent="0.25">
      <c r="A2311" t="s">
        <v>79</v>
      </c>
      <c r="B2311">
        <v>9</v>
      </c>
      <c r="C2311">
        <v>2</v>
      </c>
      <c r="D2311">
        <v>5</v>
      </c>
      <c r="E2311">
        <v>14</v>
      </c>
      <c r="G2311">
        <v>925</v>
      </c>
      <c r="H2311" t="s">
        <v>63</v>
      </c>
      <c r="I2311" t="s">
        <v>137</v>
      </c>
      <c r="J2311" t="s">
        <v>154</v>
      </c>
      <c r="L2311">
        <v>0</v>
      </c>
      <c r="M2311" t="s">
        <v>125</v>
      </c>
      <c r="O2311" t="s">
        <v>125</v>
      </c>
      <c r="P2311" t="s">
        <v>125</v>
      </c>
      <c r="Q2311" t="s">
        <v>125</v>
      </c>
      <c r="R2311" t="s">
        <v>125</v>
      </c>
      <c r="S2311" t="s">
        <v>125</v>
      </c>
      <c r="T2311">
        <v>0</v>
      </c>
      <c r="V2311" t="s">
        <v>125</v>
      </c>
      <c r="AE2311" t="s">
        <v>125</v>
      </c>
      <c r="AF2311">
        <v>0</v>
      </c>
      <c r="AG2311" t="s">
        <v>125</v>
      </c>
      <c r="AH2311">
        <v>0</v>
      </c>
      <c r="AK2311">
        <v>0</v>
      </c>
    </row>
    <row r="2312" spans="1:37" x14ac:dyDescent="0.25">
      <c r="A2312" t="s">
        <v>79</v>
      </c>
      <c r="B2312">
        <v>9</v>
      </c>
      <c r="C2312">
        <v>2</v>
      </c>
      <c r="D2312">
        <v>5</v>
      </c>
      <c r="E2312">
        <v>15</v>
      </c>
      <c r="G2312">
        <v>925</v>
      </c>
      <c r="H2312" t="s">
        <v>63</v>
      </c>
      <c r="I2312" t="s">
        <v>139</v>
      </c>
      <c r="J2312" t="s">
        <v>155</v>
      </c>
      <c r="L2312">
        <v>0</v>
      </c>
      <c r="M2312" t="s">
        <v>125</v>
      </c>
      <c r="O2312" t="s">
        <v>125</v>
      </c>
      <c r="P2312" t="s">
        <v>125</v>
      </c>
      <c r="Q2312" t="s">
        <v>125</v>
      </c>
      <c r="R2312" t="s">
        <v>125</v>
      </c>
      <c r="S2312" t="s">
        <v>125</v>
      </c>
      <c r="T2312">
        <v>0</v>
      </c>
      <c r="V2312" t="s">
        <v>125</v>
      </c>
      <c r="AE2312" t="s">
        <v>125</v>
      </c>
      <c r="AF2312">
        <v>0</v>
      </c>
      <c r="AG2312" t="s">
        <v>125</v>
      </c>
      <c r="AH2312">
        <v>0</v>
      </c>
      <c r="AK2312">
        <v>0</v>
      </c>
    </row>
    <row r="2313" spans="1:37" x14ac:dyDescent="0.25">
      <c r="L2313">
        <v>0</v>
      </c>
    </row>
    <row r="2314" spans="1:37" x14ac:dyDescent="0.25">
      <c r="L2314">
        <v>0</v>
      </c>
    </row>
    <row r="2315" spans="1:37" x14ac:dyDescent="0.25">
      <c r="A2315" t="s">
        <v>66</v>
      </c>
      <c r="B2315">
        <v>9</v>
      </c>
      <c r="C2315">
        <v>3</v>
      </c>
      <c r="G2315">
        <v>9</v>
      </c>
      <c r="H2315" t="s">
        <v>2979</v>
      </c>
      <c r="I2315" t="s">
        <v>3195</v>
      </c>
      <c r="L2315">
        <v>0</v>
      </c>
      <c r="M2315" t="s">
        <v>125</v>
      </c>
      <c r="N2315" t="s">
        <v>125</v>
      </c>
      <c r="V2315" t="s">
        <v>63</v>
      </c>
      <c r="Y2315" t="s">
        <v>63</v>
      </c>
      <c r="AA2315" t="s">
        <v>63</v>
      </c>
      <c r="AC2315" t="s">
        <v>63</v>
      </c>
      <c r="AE2315" t="s">
        <v>63</v>
      </c>
      <c r="AF2315">
        <v>0</v>
      </c>
      <c r="AG2315" t="s">
        <v>63</v>
      </c>
      <c r="AH2315">
        <v>0</v>
      </c>
      <c r="AK2315">
        <v>0</v>
      </c>
    </row>
    <row r="2316" spans="1:37" x14ac:dyDescent="0.25">
      <c r="L2316">
        <v>0</v>
      </c>
    </row>
    <row r="2317" spans="1:37" x14ac:dyDescent="0.25">
      <c r="A2317" t="s">
        <v>70</v>
      </c>
      <c r="B2317">
        <v>9</v>
      </c>
      <c r="C2317">
        <v>3</v>
      </c>
      <c r="D2317">
        <v>1</v>
      </c>
      <c r="G2317">
        <v>93</v>
      </c>
      <c r="L2317">
        <v>0</v>
      </c>
      <c r="M2317" t="s">
        <v>125</v>
      </c>
      <c r="P2317" t="s">
        <v>125</v>
      </c>
      <c r="R2317" t="s">
        <v>125</v>
      </c>
      <c r="S2317" t="s">
        <v>63</v>
      </c>
      <c r="V2317" t="s">
        <v>125</v>
      </c>
      <c r="X2317" t="s">
        <v>125</v>
      </c>
      <c r="Y2317" t="s">
        <v>125</v>
      </c>
      <c r="Z2317" t="s">
        <v>125</v>
      </c>
      <c r="AA2317" t="s">
        <v>125</v>
      </c>
      <c r="AB2317" t="s">
        <v>125</v>
      </c>
      <c r="AC2317" t="s">
        <v>125</v>
      </c>
      <c r="AE2317" t="s">
        <v>125</v>
      </c>
      <c r="AF2317">
        <v>0</v>
      </c>
      <c r="AG2317" t="s">
        <v>125</v>
      </c>
      <c r="AH2317">
        <v>0</v>
      </c>
      <c r="AK2317">
        <v>0</v>
      </c>
    </row>
    <row r="2318" spans="1:37" x14ac:dyDescent="0.25">
      <c r="A2318" t="s">
        <v>79</v>
      </c>
      <c r="B2318">
        <v>9</v>
      </c>
      <c r="C2318">
        <v>3</v>
      </c>
      <c r="D2318">
        <v>1</v>
      </c>
      <c r="E2318">
        <v>1</v>
      </c>
      <c r="G2318">
        <v>931</v>
      </c>
      <c r="H2318" t="s">
        <v>63</v>
      </c>
      <c r="I2318" t="s">
        <v>80</v>
      </c>
      <c r="J2318" t="s">
        <v>141</v>
      </c>
      <c r="L2318">
        <v>0</v>
      </c>
      <c r="M2318" t="s">
        <v>125</v>
      </c>
      <c r="O2318" t="s">
        <v>125</v>
      </c>
      <c r="P2318" t="s">
        <v>125</v>
      </c>
      <c r="Q2318" t="s">
        <v>125</v>
      </c>
      <c r="R2318" t="s">
        <v>125</v>
      </c>
      <c r="S2318" t="s">
        <v>125</v>
      </c>
      <c r="T2318">
        <v>0</v>
      </c>
      <c r="V2318" t="s">
        <v>125</v>
      </c>
      <c r="AE2318" t="s">
        <v>125</v>
      </c>
      <c r="AF2318">
        <v>0</v>
      </c>
      <c r="AG2318" t="s">
        <v>125</v>
      </c>
      <c r="AH2318">
        <v>0</v>
      </c>
      <c r="AK2318">
        <v>0</v>
      </c>
    </row>
    <row r="2319" spans="1:37" x14ac:dyDescent="0.25">
      <c r="A2319" t="s">
        <v>79</v>
      </c>
      <c r="B2319">
        <v>9</v>
      </c>
      <c r="C2319">
        <v>3</v>
      </c>
      <c r="D2319">
        <v>1</v>
      </c>
      <c r="E2319">
        <v>2</v>
      </c>
      <c r="G2319">
        <v>931</v>
      </c>
      <c r="H2319" t="s">
        <v>63</v>
      </c>
      <c r="I2319" t="s">
        <v>88</v>
      </c>
      <c r="J2319" t="s">
        <v>142</v>
      </c>
      <c r="L2319">
        <v>0</v>
      </c>
      <c r="M2319" t="s">
        <v>125</v>
      </c>
      <c r="O2319" t="s">
        <v>125</v>
      </c>
      <c r="P2319" t="s">
        <v>125</v>
      </c>
      <c r="Q2319" t="s">
        <v>125</v>
      </c>
      <c r="R2319" t="s">
        <v>125</v>
      </c>
      <c r="S2319" t="s">
        <v>125</v>
      </c>
      <c r="T2319">
        <v>0</v>
      </c>
      <c r="V2319" t="s">
        <v>125</v>
      </c>
      <c r="AE2319" t="s">
        <v>125</v>
      </c>
      <c r="AF2319">
        <v>0</v>
      </c>
      <c r="AG2319" t="s">
        <v>125</v>
      </c>
      <c r="AH2319">
        <v>0</v>
      </c>
      <c r="AK2319">
        <v>0</v>
      </c>
    </row>
    <row r="2320" spans="1:37" x14ac:dyDescent="0.25">
      <c r="A2320" t="s">
        <v>79</v>
      </c>
      <c r="B2320">
        <v>9</v>
      </c>
      <c r="C2320">
        <v>3</v>
      </c>
      <c r="D2320">
        <v>1</v>
      </c>
      <c r="E2320">
        <v>3</v>
      </c>
      <c r="G2320">
        <v>931</v>
      </c>
      <c r="H2320" t="s">
        <v>63</v>
      </c>
      <c r="I2320" t="s">
        <v>95</v>
      </c>
      <c r="J2320" t="s">
        <v>143</v>
      </c>
      <c r="L2320">
        <v>0</v>
      </c>
      <c r="M2320" t="s">
        <v>125</v>
      </c>
      <c r="O2320" t="s">
        <v>125</v>
      </c>
      <c r="P2320" t="s">
        <v>125</v>
      </c>
      <c r="Q2320" t="s">
        <v>125</v>
      </c>
      <c r="R2320" t="s">
        <v>125</v>
      </c>
      <c r="S2320" t="s">
        <v>125</v>
      </c>
      <c r="T2320">
        <v>0</v>
      </c>
      <c r="V2320" t="s">
        <v>125</v>
      </c>
      <c r="AE2320" t="s">
        <v>125</v>
      </c>
      <c r="AF2320">
        <v>0</v>
      </c>
      <c r="AG2320" t="s">
        <v>125</v>
      </c>
      <c r="AH2320">
        <v>0</v>
      </c>
      <c r="AK2320">
        <v>0</v>
      </c>
    </row>
    <row r="2321" spans="1:37" x14ac:dyDescent="0.25">
      <c r="A2321" t="s">
        <v>79</v>
      </c>
      <c r="B2321">
        <v>9</v>
      </c>
      <c r="C2321">
        <v>3</v>
      </c>
      <c r="D2321">
        <v>1</v>
      </c>
      <c r="E2321">
        <v>4</v>
      </c>
      <c r="G2321">
        <v>931</v>
      </c>
      <c r="H2321" t="s">
        <v>63</v>
      </c>
      <c r="I2321" t="s">
        <v>102</v>
      </c>
      <c r="J2321" t="s">
        <v>144</v>
      </c>
      <c r="L2321">
        <v>0</v>
      </c>
      <c r="M2321" t="s">
        <v>125</v>
      </c>
      <c r="O2321" t="s">
        <v>125</v>
      </c>
      <c r="P2321" t="s">
        <v>125</v>
      </c>
      <c r="Q2321" t="s">
        <v>125</v>
      </c>
      <c r="R2321" t="s">
        <v>125</v>
      </c>
      <c r="S2321" t="s">
        <v>125</v>
      </c>
      <c r="T2321">
        <v>0</v>
      </c>
      <c r="V2321" t="s">
        <v>125</v>
      </c>
      <c r="AE2321" t="s">
        <v>125</v>
      </c>
      <c r="AF2321">
        <v>0</v>
      </c>
      <c r="AG2321" t="s">
        <v>125</v>
      </c>
      <c r="AH2321">
        <v>0</v>
      </c>
      <c r="AK2321">
        <v>0</v>
      </c>
    </row>
    <row r="2322" spans="1:37" x14ac:dyDescent="0.25">
      <c r="A2322" t="s">
        <v>79</v>
      </c>
      <c r="B2322">
        <v>9</v>
      </c>
      <c r="C2322">
        <v>3</v>
      </c>
      <c r="D2322">
        <v>1</v>
      </c>
      <c r="E2322">
        <v>5</v>
      </c>
      <c r="G2322">
        <v>931</v>
      </c>
      <c r="H2322" t="s">
        <v>63</v>
      </c>
      <c r="I2322" t="s">
        <v>109</v>
      </c>
      <c r="J2322" t="s">
        <v>145</v>
      </c>
      <c r="L2322">
        <v>0</v>
      </c>
      <c r="M2322" t="s">
        <v>125</v>
      </c>
      <c r="O2322" t="s">
        <v>125</v>
      </c>
      <c r="P2322" t="s">
        <v>125</v>
      </c>
      <c r="Q2322" t="s">
        <v>125</v>
      </c>
      <c r="R2322" t="s">
        <v>125</v>
      </c>
      <c r="S2322" t="s">
        <v>125</v>
      </c>
      <c r="T2322">
        <v>0</v>
      </c>
      <c r="V2322" t="s">
        <v>125</v>
      </c>
      <c r="AE2322" t="s">
        <v>125</v>
      </c>
      <c r="AF2322">
        <v>0</v>
      </c>
      <c r="AG2322" t="s">
        <v>125</v>
      </c>
      <c r="AH2322">
        <v>0</v>
      </c>
      <c r="AK2322">
        <v>0</v>
      </c>
    </row>
    <row r="2323" spans="1:37" x14ac:dyDescent="0.25">
      <c r="A2323" t="s">
        <v>79</v>
      </c>
      <c r="B2323">
        <v>9</v>
      </c>
      <c r="C2323">
        <v>3</v>
      </c>
      <c r="D2323">
        <v>1</v>
      </c>
      <c r="E2323">
        <v>6</v>
      </c>
      <c r="G2323">
        <v>931</v>
      </c>
      <c r="H2323" t="s">
        <v>63</v>
      </c>
      <c r="I2323" t="s">
        <v>116</v>
      </c>
      <c r="J2323" t="s">
        <v>146</v>
      </c>
      <c r="L2323">
        <v>0</v>
      </c>
      <c r="M2323" t="s">
        <v>125</v>
      </c>
      <c r="O2323" t="s">
        <v>125</v>
      </c>
      <c r="P2323" t="s">
        <v>125</v>
      </c>
      <c r="Q2323" t="s">
        <v>125</v>
      </c>
      <c r="R2323" t="s">
        <v>125</v>
      </c>
      <c r="S2323" t="s">
        <v>125</v>
      </c>
      <c r="T2323">
        <v>0</v>
      </c>
      <c r="V2323" t="s">
        <v>125</v>
      </c>
      <c r="AE2323" t="s">
        <v>125</v>
      </c>
      <c r="AF2323">
        <v>0</v>
      </c>
      <c r="AG2323" t="s">
        <v>125</v>
      </c>
      <c r="AH2323">
        <v>0</v>
      </c>
      <c r="AK2323">
        <v>0</v>
      </c>
    </row>
    <row r="2324" spans="1:37" x14ac:dyDescent="0.25">
      <c r="A2324" t="s">
        <v>79</v>
      </c>
      <c r="B2324">
        <v>9</v>
      </c>
      <c r="C2324">
        <v>3</v>
      </c>
      <c r="D2324">
        <v>1</v>
      </c>
      <c r="E2324">
        <v>7</v>
      </c>
      <c r="G2324">
        <v>931</v>
      </c>
      <c r="H2324" t="s">
        <v>63</v>
      </c>
      <c r="I2324" t="s">
        <v>123</v>
      </c>
      <c r="J2324" t="s">
        <v>147</v>
      </c>
      <c r="L2324">
        <v>0</v>
      </c>
      <c r="M2324" t="s">
        <v>125</v>
      </c>
      <c r="O2324" t="s">
        <v>125</v>
      </c>
      <c r="P2324" t="s">
        <v>125</v>
      </c>
      <c r="Q2324" t="s">
        <v>125</v>
      </c>
      <c r="R2324" t="s">
        <v>125</v>
      </c>
      <c r="S2324" t="s">
        <v>125</v>
      </c>
      <c r="T2324">
        <v>0</v>
      </c>
      <c r="V2324" t="s">
        <v>125</v>
      </c>
      <c r="AE2324" t="s">
        <v>125</v>
      </c>
      <c r="AF2324">
        <v>0</v>
      </c>
      <c r="AG2324" t="s">
        <v>125</v>
      </c>
      <c r="AH2324">
        <v>0</v>
      </c>
      <c r="AK2324">
        <v>0</v>
      </c>
    </row>
    <row r="2325" spans="1:37" x14ac:dyDescent="0.25">
      <c r="A2325" t="s">
        <v>79</v>
      </c>
      <c r="B2325">
        <v>9</v>
      </c>
      <c r="C2325">
        <v>3</v>
      </c>
      <c r="D2325">
        <v>1</v>
      </c>
      <c r="E2325">
        <v>8</v>
      </c>
      <c r="G2325">
        <v>931</v>
      </c>
      <c r="H2325" t="s">
        <v>63</v>
      </c>
      <c r="I2325" t="s">
        <v>126</v>
      </c>
      <c r="J2325" t="s">
        <v>148</v>
      </c>
      <c r="L2325">
        <v>0</v>
      </c>
      <c r="M2325" t="s">
        <v>125</v>
      </c>
      <c r="O2325" t="s">
        <v>125</v>
      </c>
      <c r="P2325" t="s">
        <v>125</v>
      </c>
      <c r="Q2325" t="s">
        <v>125</v>
      </c>
      <c r="R2325" t="s">
        <v>125</v>
      </c>
      <c r="S2325" t="s">
        <v>125</v>
      </c>
      <c r="T2325">
        <v>0</v>
      </c>
      <c r="V2325" t="s">
        <v>125</v>
      </c>
      <c r="AE2325" t="s">
        <v>125</v>
      </c>
      <c r="AF2325">
        <v>0</v>
      </c>
      <c r="AG2325" t="s">
        <v>125</v>
      </c>
      <c r="AH2325">
        <v>0</v>
      </c>
      <c r="AK2325">
        <v>0</v>
      </c>
    </row>
    <row r="2326" spans="1:37" x14ac:dyDescent="0.25">
      <c r="A2326" t="s">
        <v>79</v>
      </c>
      <c r="B2326">
        <v>9</v>
      </c>
      <c r="C2326">
        <v>3</v>
      </c>
      <c r="D2326">
        <v>1</v>
      </c>
      <c r="E2326">
        <v>9</v>
      </c>
      <c r="G2326">
        <v>931</v>
      </c>
      <c r="H2326" t="s">
        <v>63</v>
      </c>
      <c r="I2326" t="s">
        <v>74</v>
      </c>
      <c r="J2326" t="s">
        <v>149</v>
      </c>
      <c r="L2326">
        <v>0</v>
      </c>
      <c r="M2326" t="s">
        <v>125</v>
      </c>
      <c r="O2326" t="s">
        <v>125</v>
      </c>
      <c r="P2326" t="s">
        <v>125</v>
      </c>
      <c r="Q2326" t="s">
        <v>125</v>
      </c>
      <c r="R2326" t="s">
        <v>125</v>
      </c>
      <c r="S2326" t="s">
        <v>125</v>
      </c>
      <c r="T2326">
        <v>0</v>
      </c>
      <c r="V2326" t="s">
        <v>125</v>
      </c>
      <c r="AE2326" t="s">
        <v>125</v>
      </c>
      <c r="AF2326">
        <v>0</v>
      </c>
      <c r="AG2326" t="s">
        <v>125</v>
      </c>
      <c r="AH2326">
        <v>0</v>
      </c>
      <c r="AK2326">
        <v>0</v>
      </c>
    </row>
    <row r="2327" spans="1:37" x14ac:dyDescent="0.25">
      <c r="A2327" t="s">
        <v>79</v>
      </c>
      <c r="B2327">
        <v>9</v>
      </c>
      <c r="C2327">
        <v>3</v>
      </c>
      <c r="D2327">
        <v>1</v>
      </c>
      <c r="E2327">
        <v>10</v>
      </c>
      <c r="G2327">
        <v>931</v>
      </c>
      <c r="H2327" t="s">
        <v>63</v>
      </c>
      <c r="I2327" t="s">
        <v>129</v>
      </c>
      <c r="J2327" t="s">
        <v>150</v>
      </c>
      <c r="L2327">
        <v>0</v>
      </c>
      <c r="M2327" t="s">
        <v>125</v>
      </c>
      <c r="O2327" t="s">
        <v>125</v>
      </c>
      <c r="P2327" t="s">
        <v>125</v>
      </c>
      <c r="Q2327" t="s">
        <v>125</v>
      </c>
      <c r="R2327" t="s">
        <v>125</v>
      </c>
      <c r="S2327" t="s">
        <v>125</v>
      </c>
      <c r="T2327">
        <v>0</v>
      </c>
      <c r="V2327" t="s">
        <v>125</v>
      </c>
      <c r="AE2327" t="s">
        <v>125</v>
      </c>
      <c r="AF2327">
        <v>0</v>
      </c>
      <c r="AG2327" t="s">
        <v>125</v>
      </c>
      <c r="AH2327">
        <v>0</v>
      </c>
      <c r="AK2327">
        <v>0</v>
      </c>
    </row>
    <row r="2328" spans="1:37" x14ac:dyDescent="0.25">
      <c r="A2328" t="s">
        <v>79</v>
      </c>
      <c r="B2328">
        <v>9</v>
      </c>
      <c r="C2328">
        <v>3</v>
      </c>
      <c r="D2328">
        <v>1</v>
      </c>
      <c r="E2328">
        <v>11</v>
      </c>
      <c r="G2328">
        <v>931</v>
      </c>
      <c r="H2328" t="s">
        <v>63</v>
      </c>
      <c r="I2328" t="s">
        <v>131</v>
      </c>
      <c r="J2328" t="s">
        <v>151</v>
      </c>
      <c r="L2328">
        <v>0</v>
      </c>
      <c r="M2328" t="s">
        <v>125</v>
      </c>
      <c r="O2328" t="s">
        <v>125</v>
      </c>
      <c r="P2328" t="s">
        <v>125</v>
      </c>
      <c r="Q2328" t="s">
        <v>125</v>
      </c>
      <c r="R2328" t="s">
        <v>125</v>
      </c>
      <c r="S2328" t="s">
        <v>125</v>
      </c>
      <c r="T2328">
        <v>0</v>
      </c>
      <c r="V2328" t="s">
        <v>125</v>
      </c>
      <c r="AE2328" t="s">
        <v>125</v>
      </c>
      <c r="AF2328">
        <v>0</v>
      </c>
      <c r="AG2328" t="s">
        <v>125</v>
      </c>
      <c r="AH2328">
        <v>0</v>
      </c>
      <c r="AK2328">
        <v>0</v>
      </c>
    </row>
    <row r="2329" spans="1:37" x14ac:dyDescent="0.25">
      <c r="A2329" t="s">
        <v>79</v>
      </c>
      <c r="B2329">
        <v>9</v>
      </c>
      <c r="C2329">
        <v>3</v>
      </c>
      <c r="D2329">
        <v>1</v>
      </c>
      <c r="E2329">
        <v>12</v>
      </c>
      <c r="G2329">
        <v>931</v>
      </c>
      <c r="H2329" t="s">
        <v>63</v>
      </c>
      <c r="I2329" t="s">
        <v>133</v>
      </c>
      <c r="J2329" t="s">
        <v>152</v>
      </c>
      <c r="L2329">
        <v>0</v>
      </c>
      <c r="M2329" t="s">
        <v>125</v>
      </c>
      <c r="O2329" t="s">
        <v>125</v>
      </c>
      <c r="P2329" t="s">
        <v>125</v>
      </c>
      <c r="Q2329" t="s">
        <v>125</v>
      </c>
      <c r="R2329" t="s">
        <v>125</v>
      </c>
      <c r="S2329" t="s">
        <v>125</v>
      </c>
      <c r="T2329">
        <v>0</v>
      </c>
      <c r="V2329" t="s">
        <v>125</v>
      </c>
      <c r="AE2329" t="s">
        <v>125</v>
      </c>
      <c r="AF2329">
        <v>0</v>
      </c>
      <c r="AG2329" t="s">
        <v>125</v>
      </c>
      <c r="AH2329">
        <v>0</v>
      </c>
      <c r="AK2329">
        <v>0</v>
      </c>
    </row>
    <row r="2330" spans="1:37" x14ac:dyDescent="0.25">
      <c r="A2330" t="s">
        <v>79</v>
      </c>
      <c r="B2330">
        <v>9</v>
      </c>
      <c r="C2330">
        <v>3</v>
      </c>
      <c r="D2330">
        <v>1</v>
      </c>
      <c r="E2330">
        <v>13</v>
      </c>
      <c r="G2330">
        <v>931</v>
      </c>
      <c r="H2330" t="s">
        <v>63</v>
      </c>
      <c r="I2330" t="s">
        <v>135</v>
      </c>
      <c r="J2330" t="s">
        <v>153</v>
      </c>
      <c r="L2330">
        <v>0</v>
      </c>
      <c r="M2330" t="s">
        <v>125</v>
      </c>
      <c r="O2330" t="s">
        <v>125</v>
      </c>
      <c r="P2330" t="s">
        <v>125</v>
      </c>
      <c r="Q2330" t="s">
        <v>125</v>
      </c>
      <c r="R2330" t="s">
        <v>125</v>
      </c>
      <c r="S2330" t="s">
        <v>125</v>
      </c>
      <c r="T2330">
        <v>0</v>
      </c>
      <c r="V2330" t="s">
        <v>125</v>
      </c>
      <c r="AE2330" t="s">
        <v>125</v>
      </c>
      <c r="AF2330">
        <v>0</v>
      </c>
      <c r="AG2330" t="s">
        <v>125</v>
      </c>
      <c r="AH2330">
        <v>0</v>
      </c>
      <c r="AK2330">
        <v>0</v>
      </c>
    </row>
    <row r="2331" spans="1:37" x14ac:dyDescent="0.25">
      <c r="A2331" t="s">
        <v>79</v>
      </c>
      <c r="B2331">
        <v>9</v>
      </c>
      <c r="C2331">
        <v>3</v>
      </c>
      <c r="D2331">
        <v>1</v>
      </c>
      <c r="E2331">
        <v>14</v>
      </c>
      <c r="G2331">
        <v>931</v>
      </c>
      <c r="H2331" t="s">
        <v>63</v>
      </c>
      <c r="I2331" t="s">
        <v>137</v>
      </c>
      <c r="J2331" t="s">
        <v>154</v>
      </c>
      <c r="L2331">
        <v>0</v>
      </c>
      <c r="M2331" t="s">
        <v>125</v>
      </c>
      <c r="O2331" t="s">
        <v>125</v>
      </c>
      <c r="P2331" t="s">
        <v>125</v>
      </c>
      <c r="Q2331" t="s">
        <v>125</v>
      </c>
      <c r="R2331" t="s">
        <v>125</v>
      </c>
      <c r="S2331" t="s">
        <v>125</v>
      </c>
      <c r="T2331">
        <v>0</v>
      </c>
      <c r="V2331" t="s">
        <v>125</v>
      </c>
      <c r="AE2331" t="s">
        <v>125</v>
      </c>
      <c r="AF2331">
        <v>0</v>
      </c>
      <c r="AG2331" t="s">
        <v>125</v>
      </c>
      <c r="AH2331">
        <v>0</v>
      </c>
      <c r="AK2331">
        <v>0</v>
      </c>
    </row>
    <row r="2332" spans="1:37" x14ac:dyDescent="0.25">
      <c r="A2332" t="s">
        <v>79</v>
      </c>
      <c r="B2332">
        <v>9</v>
      </c>
      <c r="C2332">
        <v>3</v>
      </c>
      <c r="D2332">
        <v>1</v>
      </c>
      <c r="E2332">
        <v>15</v>
      </c>
      <c r="G2332">
        <v>931</v>
      </c>
      <c r="H2332" t="s">
        <v>63</v>
      </c>
      <c r="I2332" t="s">
        <v>139</v>
      </c>
      <c r="J2332" t="s">
        <v>155</v>
      </c>
      <c r="L2332">
        <v>0</v>
      </c>
      <c r="M2332" t="s">
        <v>125</v>
      </c>
      <c r="O2332" t="s">
        <v>125</v>
      </c>
      <c r="P2332" t="s">
        <v>125</v>
      </c>
      <c r="Q2332" t="s">
        <v>125</v>
      </c>
      <c r="R2332" t="s">
        <v>125</v>
      </c>
      <c r="S2332" t="s">
        <v>125</v>
      </c>
      <c r="T2332">
        <v>0</v>
      </c>
      <c r="V2332" t="s">
        <v>125</v>
      </c>
      <c r="AE2332" t="s">
        <v>125</v>
      </c>
      <c r="AF2332">
        <v>0</v>
      </c>
      <c r="AG2332" t="s">
        <v>125</v>
      </c>
      <c r="AH2332">
        <v>0</v>
      </c>
      <c r="AK2332">
        <v>0</v>
      </c>
    </row>
    <row r="2333" spans="1:37" x14ac:dyDescent="0.25">
      <c r="L2333">
        <v>0</v>
      </c>
    </row>
    <row r="2334" spans="1:37" x14ac:dyDescent="0.25">
      <c r="A2334" t="s">
        <v>70</v>
      </c>
      <c r="B2334">
        <v>9</v>
      </c>
      <c r="C2334">
        <v>3</v>
      </c>
      <c r="D2334">
        <v>2</v>
      </c>
      <c r="G2334">
        <v>93</v>
      </c>
      <c r="L2334">
        <v>0</v>
      </c>
      <c r="M2334" t="s">
        <v>125</v>
      </c>
      <c r="P2334" t="s">
        <v>125</v>
      </c>
      <c r="R2334" t="s">
        <v>125</v>
      </c>
      <c r="S2334" t="s">
        <v>63</v>
      </c>
      <c r="V2334" t="s">
        <v>125</v>
      </c>
      <c r="X2334" t="s">
        <v>125</v>
      </c>
      <c r="Y2334" t="s">
        <v>125</v>
      </c>
      <c r="Z2334" t="s">
        <v>125</v>
      </c>
      <c r="AA2334" t="s">
        <v>125</v>
      </c>
      <c r="AB2334" t="s">
        <v>125</v>
      </c>
      <c r="AC2334" t="s">
        <v>125</v>
      </c>
      <c r="AE2334" t="s">
        <v>125</v>
      </c>
      <c r="AF2334">
        <v>0</v>
      </c>
      <c r="AG2334" t="s">
        <v>125</v>
      </c>
      <c r="AH2334">
        <v>0</v>
      </c>
      <c r="AK2334">
        <v>0</v>
      </c>
    </row>
    <row r="2335" spans="1:37" x14ac:dyDescent="0.25">
      <c r="A2335" t="s">
        <v>79</v>
      </c>
      <c r="B2335">
        <v>9</v>
      </c>
      <c r="C2335">
        <v>3</v>
      </c>
      <c r="D2335">
        <v>2</v>
      </c>
      <c r="E2335">
        <v>1</v>
      </c>
      <c r="G2335">
        <v>932</v>
      </c>
      <c r="H2335" t="s">
        <v>63</v>
      </c>
      <c r="I2335" t="s">
        <v>80</v>
      </c>
      <c r="J2335" t="s">
        <v>141</v>
      </c>
      <c r="L2335">
        <v>0</v>
      </c>
      <c r="M2335" t="s">
        <v>125</v>
      </c>
      <c r="O2335" t="s">
        <v>125</v>
      </c>
      <c r="P2335" t="s">
        <v>125</v>
      </c>
      <c r="Q2335" t="s">
        <v>125</v>
      </c>
      <c r="R2335" t="s">
        <v>125</v>
      </c>
      <c r="S2335" t="s">
        <v>125</v>
      </c>
      <c r="T2335">
        <v>0</v>
      </c>
      <c r="V2335" t="s">
        <v>125</v>
      </c>
      <c r="AE2335" t="s">
        <v>125</v>
      </c>
      <c r="AF2335">
        <v>0</v>
      </c>
      <c r="AG2335" t="s">
        <v>125</v>
      </c>
      <c r="AH2335">
        <v>0</v>
      </c>
      <c r="AK2335">
        <v>0</v>
      </c>
    </row>
    <row r="2336" spans="1:37" x14ac:dyDescent="0.25">
      <c r="A2336" t="s">
        <v>79</v>
      </c>
      <c r="B2336">
        <v>9</v>
      </c>
      <c r="C2336">
        <v>3</v>
      </c>
      <c r="D2336">
        <v>2</v>
      </c>
      <c r="E2336">
        <v>2</v>
      </c>
      <c r="G2336">
        <v>932</v>
      </c>
      <c r="H2336" t="s">
        <v>63</v>
      </c>
      <c r="I2336" t="s">
        <v>88</v>
      </c>
      <c r="J2336" t="s">
        <v>142</v>
      </c>
      <c r="L2336">
        <v>0</v>
      </c>
      <c r="M2336" t="s">
        <v>125</v>
      </c>
      <c r="O2336" t="s">
        <v>125</v>
      </c>
      <c r="P2336" t="s">
        <v>125</v>
      </c>
      <c r="Q2336" t="s">
        <v>125</v>
      </c>
      <c r="R2336" t="s">
        <v>125</v>
      </c>
      <c r="S2336" t="s">
        <v>125</v>
      </c>
      <c r="T2336">
        <v>0</v>
      </c>
      <c r="V2336" t="s">
        <v>125</v>
      </c>
      <c r="AE2336" t="s">
        <v>125</v>
      </c>
      <c r="AF2336">
        <v>0</v>
      </c>
      <c r="AG2336" t="s">
        <v>125</v>
      </c>
      <c r="AH2336">
        <v>0</v>
      </c>
      <c r="AK2336">
        <v>0</v>
      </c>
    </row>
    <row r="2337" spans="1:37" x14ac:dyDescent="0.25">
      <c r="A2337" t="s">
        <v>79</v>
      </c>
      <c r="B2337">
        <v>9</v>
      </c>
      <c r="C2337">
        <v>3</v>
      </c>
      <c r="D2337">
        <v>2</v>
      </c>
      <c r="E2337">
        <v>3</v>
      </c>
      <c r="G2337">
        <v>932</v>
      </c>
      <c r="H2337" t="s">
        <v>63</v>
      </c>
      <c r="I2337" t="s">
        <v>95</v>
      </c>
      <c r="J2337" t="s">
        <v>143</v>
      </c>
      <c r="L2337">
        <v>0</v>
      </c>
      <c r="M2337" t="s">
        <v>125</v>
      </c>
      <c r="O2337" t="s">
        <v>125</v>
      </c>
      <c r="P2337" t="s">
        <v>125</v>
      </c>
      <c r="Q2337" t="s">
        <v>125</v>
      </c>
      <c r="R2337" t="s">
        <v>125</v>
      </c>
      <c r="S2337" t="s">
        <v>125</v>
      </c>
      <c r="T2337">
        <v>0</v>
      </c>
      <c r="V2337" t="s">
        <v>125</v>
      </c>
      <c r="AE2337" t="s">
        <v>125</v>
      </c>
      <c r="AF2337">
        <v>0</v>
      </c>
      <c r="AG2337" t="s">
        <v>125</v>
      </c>
      <c r="AH2337">
        <v>0</v>
      </c>
      <c r="AK2337">
        <v>0</v>
      </c>
    </row>
    <row r="2338" spans="1:37" x14ac:dyDescent="0.25">
      <c r="A2338" t="s">
        <v>79</v>
      </c>
      <c r="B2338">
        <v>9</v>
      </c>
      <c r="C2338">
        <v>3</v>
      </c>
      <c r="D2338">
        <v>2</v>
      </c>
      <c r="E2338">
        <v>4</v>
      </c>
      <c r="G2338">
        <v>932</v>
      </c>
      <c r="H2338" t="s">
        <v>63</v>
      </c>
      <c r="I2338" t="s">
        <v>102</v>
      </c>
      <c r="J2338" t="s">
        <v>144</v>
      </c>
      <c r="L2338">
        <v>0</v>
      </c>
      <c r="M2338" t="s">
        <v>125</v>
      </c>
      <c r="O2338" t="s">
        <v>125</v>
      </c>
      <c r="P2338" t="s">
        <v>125</v>
      </c>
      <c r="Q2338" t="s">
        <v>125</v>
      </c>
      <c r="R2338" t="s">
        <v>125</v>
      </c>
      <c r="S2338" t="s">
        <v>125</v>
      </c>
      <c r="T2338">
        <v>0</v>
      </c>
      <c r="V2338" t="s">
        <v>125</v>
      </c>
      <c r="AE2338" t="s">
        <v>125</v>
      </c>
      <c r="AF2338">
        <v>0</v>
      </c>
      <c r="AG2338" t="s">
        <v>125</v>
      </c>
      <c r="AH2338">
        <v>0</v>
      </c>
      <c r="AK2338">
        <v>0</v>
      </c>
    </row>
    <row r="2339" spans="1:37" x14ac:dyDescent="0.25">
      <c r="A2339" t="s">
        <v>79</v>
      </c>
      <c r="B2339">
        <v>9</v>
      </c>
      <c r="C2339">
        <v>3</v>
      </c>
      <c r="D2339">
        <v>2</v>
      </c>
      <c r="E2339">
        <v>5</v>
      </c>
      <c r="G2339">
        <v>932</v>
      </c>
      <c r="H2339" t="s">
        <v>63</v>
      </c>
      <c r="I2339" t="s">
        <v>109</v>
      </c>
      <c r="J2339" t="s">
        <v>145</v>
      </c>
      <c r="L2339">
        <v>0</v>
      </c>
      <c r="M2339" t="s">
        <v>125</v>
      </c>
      <c r="O2339" t="s">
        <v>125</v>
      </c>
      <c r="P2339" t="s">
        <v>125</v>
      </c>
      <c r="Q2339" t="s">
        <v>125</v>
      </c>
      <c r="R2339" t="s">
        <v>125</v>
      </c>
      <c r="S2339" t="s">
        <v>125</v>
      </c>
      <c r="T2339">
        <v>0</v>
      </c>
      <c r="V2339" t="s">
        <v>125</v>
      </c>
      <c r="AE2339" t="s">
        <v>125</v>
      </c>
      <c r="AF2339">
        <v>0</v>
      </c>
      <c r="AG2339" t="s">
        <v>125</v>
      </c>
      <c r="AH2339">
        <v>0</v>
      </c>
      <c r="AK2339">
        <v>0</v>
      </c>
    </row>
    <row r="2340" spans="1:37" x14ac:dyDescent="0.25">
      <c r="A2340" t="s">
        <v>79</v>
      </c>
      <c r="B2340">
        <v>9</v>
      </c>
      <c r="C2340">
        <v>3</v>
      </c>
      <c r="D2340">
        <v>2</v>
      </c>
      <c r="E2340">
        <v>6</v>
      </c>
      <c r="G2340">
        <v>932</v>
      </c>
      <c r="H2340" t="s">
        <v>63</v>
      </c>
      <c r="I2340" t="s">
        <v>116</v>
      </c>
      <c r="J2340" t="s">
        <v>146</v>
      </c>
      <c r="L2340">
        <v>0</v>
      </c>
      <c r="M2340" t="s">
        <v>125</v>
      </c>
      <c r="O2340" t="s">
        <v>125</v>
      </c>
      <c r="P2340" t="s">
        <v>125</v>
      </c>
      <c r="Q2340" t="s">
        <v>125</v>
      </c>
      <c r="R2340" t="s">
        <v>125</v>
      </c>
      <c r="S2340" t="s">
        <v>125</v>
      </c>
      <c r="T2340">
        <v>0</v>
      </c>
      <c r="V2340" t="s">
        <v>125</v>
      </c>
      <c r="AE2340" t="s">
        <v>125</v>
      </c>
      <c r="AF2340">
        <v>0</v>
      </c>
      <c r="AG2340" t="s">
        <v>125</v>
      </c>
      <c r="AH2340">
        <v>0</v>
      </c>
      <c r="AK2340">
        <v>0</v>
      </c>
    </row>
    <row r="2341" spans="1:37" x14ac:dyDescent="0.25">
      <c r="A2341" t="s">
        <v>79</v>
      </c>
      <c r="B2341">
        <v>9</v>
      </c>
      <c r="C2341">
        <v>3</v>
      </c>
      <c r="D2341">
        <v>2</v>
      </c>
      <c r="E2341">
        <v>7</v>
      </c>
      <c r="G2341">
        <v>932</v>
      </c>
      <c r="H2341" t="s">
        <v>63</v>
      </c>
      <c r="I2341" t="s">
        <v>123</v>
      </c>
      <c r="J2341" t="s">
        <v>147</v>
      </c>
      <c r="L2341">
        <v>0</v>
      </c>
      <c r="M2341" t="s">
        <v>125</v>
      </c>
      <c r="O2341" t="s">
        <v>125</v>
      </c>
      <c r="P2341" t="s">
        <v>125</v>
      </c>
      <c r="Q2341" t="s">
        <v>125</v>
      </c>
      <c r="R2341" t="s">
        <v>125</v>
      </c>
      <c r="S2341" t="s">
        <v>125</v>
      </c>
      <c r="T2341">
        <v>0</v>
      </c>
      <c r="V2341" t="s">
        <v>125</v>
      </c>
      <c r="AE2341" t="s">
        <v>125</v>
      </c>
      <c r="AF2341">
        <v>0</v>
      </c>
      <c r="AG2341" t="s">
        <v>125</v>
      </c>
      <c r="AH2341">
        <v>0</v>
      </c>
      <c r="AK2341">
        <v>0</v>
      </c>
    </row>
    <row r="2342" spans="1:37" x14ac:dyDescent="0.25">
      <c r="A2342" t="s">
        <v>79</v>
      </c>
      <c r="B2342">
        <v>9</v>
      </c>
      <c r="C2342">
        <v>3</v>
      </c>
      <c r="D2342">
        <v>2</v>
      </c>
      <c r="E2342">
        <v>8</v>
      </c>
      <c r="G2342">
        <v>932</v>
      </c>
      <c r="H2342" t="s">
        <v>63</v>
      </c>
      <c r="I2342" t="s">
        <v>126</v>
      </c>
      <c r="J2342" t="s">
        <v>148</v>
      </c>
      <c r="L2342">
        <v>0</v>
      </c>
      <c r="M2342" t="s">
        <v>125</v>
      </c>
      <c r="O2342" t="s">
        <v>125</v>
      </c>
      <c r="P2342" t="s">
        <v>125</v>
      </c>
      <c r="Q2342" t="s">
        <v>125</v>
      </c>
      <c r="R2342" t="s">
        <v>125</v>
      </c>
      <c r="S2342" t="s">
        <v>125</v>
      </c>
      <c r="T2342">
        <v>0</v>
      </c>
      <c r="V2342" t="s">
        <v>125</v>
      </c>
      <c r="AE2342" t="s">
        <v>125</v>
      </c>
      <c r="AF2342">
        <v>0</v>
      </c>
      <c r="AG2342" t="s">
        <v>125</v>
      </c>
      <c r="AH2342">
        <v>0</v>
      </c>
      <c r="AK2342">
        <v>0</v>
      </c>
    </row>
    <row r="2343" spans="1:37" x14ac:dyDescent="0.25">
      <c r="A2343" t="s">
        <v>79</v>
      </c>
      <c r="B2343">
        <v>9</v>
      </c>
      <c r="C2343">
        <v>3</v>
      </c>
      <c r="D2343">
        <v>2</v>
      </c>
      <c r="E2343">
        <v>9</v>
      </c>
      <c r="G2343">
        <v>932</v>
      </c>
      <c r="H2343" t="s">
        <v>63</v>
      </c>
      <c r="I2343" t="s">
        <v>74</v>
      </c>
      <c r="J2343" t="s">
        <v>149</v>
      </c>
      <c r="L2343">
        <v>0</v>
      </c>
      <c r="M2343" t="s">
        <v>125</v>
      </c>
      <c r="O2343" t="s">
        <v>125</v>
      </c>
      <c r="P2343" t="s">
        <v>125</v>
      </c>
      <c r="Q2343" t="s">
        <v>125</v>
      </c>
      <c r="R2343" t="s">
        <v>125</v>
      </c>
      <c r="S2343" t="s">
        <v>125</v>
      </c>
      <c r="T2343">
        <v>0</v>
      </c>
      <c r="V2343" t="s">
        <v>125</v>
      </c>
      <c r="AE2343" t="s">
        <v>125</v>
      </c>
      <c r="AF2343">
        <v>0</v>
      </c>
      <c r="AG2343" t="s">
        <v>125</v>
      </c>
      <c r="AH2343">
        <v>0</v>
      </c>
      <c r="AK2343">
        <v>0</v>
      </c>
    </row>
    <row r="2344" spans="1:37" x14ac:dyDescent="0.25">
      <c r="A2344" t="s">
        <v>79</v>
      </c>
      <c r="B2344">
        <v>9</v>
      </c>
      <c r="C2344">
        <v>3</v>
      </c>
      <c r="D2344">
        <v>2</v>
      </c>
      <c r="E2344">
        <v>10</v>
      </c>
      <c r="G2344">
        <v>932</v>
      </c>
      <c r="H2344" t="s">
        <v>63</v>
      </c>
      <c r="I2344" t="s">
        <v>129</v>
      </c>
      <c r="J2344" t="s">
        <v>150</v>
      </c>
      <c r="L2344">
        <v>0</v>
      </c>
      <c r="M2344" t="s">
        <v>125</v>
      </c>
      <c r="O2344" t="s">
        <v>125</v>
      </c>
      <c r="P2344" t="s">
        <v>125</v>
      </c>
      <c r="Q2344" t="s">
        <v>125</v>
      </c>
      <c r="R2344" t="s">
        <v>125</v>
      </c>
      <c r="S2344" t="s">
        <v>125</v>
      </c>
      <c r="T2344">
        <v>0</v>
      </c>
      <c r="V2344" t="s">
        <v>125</v>
      </c>
      <c r="AE2344" t="s">
        <v>125</v>
      </c>
      <c r="AF2344">
        <v>0</v>
      </c>
      <c r="AG2344" t="s">
        <v>125</v>
      </c>
      <c r="AH2344">
        <v>0</v>
      </c>
      <c r="AK2344">
        <v>0</v>
      </c>
    </row>
    <row r="2345" spans="1:37" x14ac:dyDescent="0.25">
      <c r="A2345" t="s">
        <v>79</v>
      </c>
      <c r="B2345">
        <v>9</v>
      </c>
      <c r="C2345">
        <v>3</v>
      </c>
      <c r="D2345">
        <v>2</v>
      </c>
      <c r="E2345">
        <v>11</v>
      </c>
      <c r="G2345">
        <v>932</v>
      </c>
      <c r="H2345" t="s">
        <v>63</v>
      </c>
      <c r="I2345" t="s">
        <v>131</v>
      </c>
      <c r="J2345" t="s">
        <v>151</v>
      </c>
      <c r="L2345">
        <v>0</v>
      </c>
      <c r="M2345" t="s">
        <v>125</v>
      </c>
      <c r="O2345" t="s">
        <v>125</v>
      </c>
      <c r="P2345" t="s">
        <v>125</v>
      </c>
      <c r="Q2345" t="s">
        <v>125</v>
      </c>
      <c r="R2345" t="s">
        <v>125</v>
      </c>
      <c r="S2345" t="s">
        <v>125</v>
      </c>
      <c r="T2345">
        <v>0</v>
      </c>
      <c r="V2345" t="s">
        <v>125</v>
      </c>
      <c r="AE2345" t="s">
        <v>125</v>
      </c>
      <c r="AF2345">
        <v>0</v>
      </c>
      <c r="AG2345" t="s">
        <v>125</v>
      </c>
      <c r="AH2345">
        <v>0</v>
      </c>
      <c r="AK2345">
        <v>0</v>
      </c>
    </row>
    <row r="2346" spans="1:37" x14ac:dyDescent="0.25">
      <c r="A2346" t="s">
        <v>79</v>
      </c>
      <c r="B2346">
        <v>9</v>
      </c>
      <c r="C2346">
        <v>3</v>
      </c>
      <c r="D2346">
        <v>2</v>
      </c>
      <c r="E2346">
        <v>12</v>
      </c>
      <c r="G2346">
        <v>932</v>
      </c>
      <c r="H2346" t="s">
        <v>63</v>
      </c>
      <c r="I2346" t="s">
        <v>133</v>
      </c>
      <c r="J2346" t="s">
        <v>152</v>
      </c>
      <c r="L2346">
        <v>0</v>
      </c>
      <c r="M2346" t="s">
        <v>125</v>
      </c>
      <c r="O2346" t="s">
        <v>125</v>
      </c>
      <c r="P2346" t="s">
        <v>125</v>
      </c>
      <c r="Q2346" t="s">
        <v>125</v>
      </c>
      <c r="R2346" t="s">
        <v>125</v>
      </c>
      <c r="S2346" t="s">
        <v>125</v>
      </c>
      <c r="T2346">
        <v>0</v>
      </c>
      <c r="V2346" t="s">
        <v>125</v>
      </c>
      <c r="AE2346" t="s">
        <v>125</v>
      </c>
      <c r="AF2346">
        <v>0</v>
      </c>
      <c r="AG2346" t="s">
        <v>125</v>
      </c>
      <c r="AH2346">
        <v>0</v>
      </c>
      <c r="AK2346">
        <v>0</v>
      </c>
    </row>
    <row r="2347" spans="1:37" x14ac:dyDescent="0.25">
      <c r="A2347" t="s">
        <v>79</v>
      </c>
      <c r="B2347">
        <v>9</v>
      </c>
      <c r="C2347">
        <v>3</v>
      </c>
      <c r="D2347">
        <v>2</v>
      </c>
      <c r="E2347">
        <v>13</v>
      </c>
      <c r="G2347">
        <v>932</v>
      </c>
      <c r="H2347" t="s">
        <v>63</v>
      </c>
      <c r="I2347" t="s">
        <v>135</v>
      </c>
      <c r="J2347" t="s">
        <v>153</v>
      </c>
      <c r="L2347">
        <v>0</v>
      </c>
      <c r="M2347" t="s">
        <v>125</v>
      </c>
      <c r="O2347" t="s">
        <v>125</v>
      </c>
      <c r="P2347" t="s">
        <v>125</v>
      </c>
      <c r="Q2347" t="s">
        <v>125</v>
      </c>
      <c r="R2347" t="s">
        <v>125</v>
      </c>
      <c r="S2347" t="s">
        <v>125</v>
      </c>
      <c r="T2347">
        <v>0</v>
      </c>
      <c r="V2347" t="s">
        <v>125</v>
      </c>
      <c r="AE2347" t="s">
        <v>125</v>
      </c>
      <c r="AF2347">
        <v>0</v>
      </c>
      <c r="AG2347" t="s">
        <v>125</v>
      </c>
      <c r="AH2347">
        <v>0</v>
      </c>
      <c r="AK2347">
        <v>0</v>
      </c>
    </row>
    <row r="2348" spans="1:37" x14ac:dyDescent="0.25">
      <c r="A2348" t="s">
        <v>79</v>
      </c>
      <c r="B2348">
        <v>9</v>
      </c>
      <c r="C2348">
        <v>3</v>
      </c>
      <c r="D2348">
        <v>2</v>
      </c>
      <c r="E2348">
        <v>14</v>
      </c>
      <c r="G2348">
        <v>932</v>
      </c>
      <c r="H2348" t="s">
        <v>63</v>
      </c>
      <c r="I2348" t="s">
        <v>137</v>
      </c>
      <c r="J2348" t="s">
        <v>154</v>
      </c>
      <c r="L2348">
        <v>0</v>
      </c>
      <c r="M2348" t="s">
        <v>125</v>
      </c>
      <c r="O2348" t="s">
        <v>125</v>
      </c>
      <c r="P2348" t="s">
        <v>125</v>
      </c>
      <c r="Q2348" t="s">
        <v>125</v>
      </c>
      <c r="R2348" t="s">
        <v>125</v>
      </c>
      <c r="S2348" t="s">
        <v>125</v>
      </c>
      <c r="T2348">
        <v>0</v>
      </c>
      <c r="V2348" t="s">
        <v>125</v>
      </c>
      <c r="AE2348" t="s">
        <v>125</v>
      </c>
      <c r="AF2348">
        <v>0</v>
      </c>
      <c r="AG2348" t="s">
        <v>125</v>
      </c>
      <c r="AH2348">
        <v>0</v>
      </c>
      <c r="AK2348">
        <v>0</v>
      </c>
    </row>
    <row r="2349" spans="1:37" x14ac:dyDescent="0.25">
      <c r="A2349" t="s">
        <v>79</v>
      </c>
      <c r="B2349">
        <v>9</v>
      </c>
      <c r="C2349">
        <v>3</v>
      </c>
      <c r="D2349">
        <v>2</v>
      </c>
      <c r="E2349">
        <v>15</v>
      </c>
      <c r="G2349">
        <v>932</v>
      </c>
      <c r="H2349" t="s">
        <v>63</v>
      </c>
      <c r="I2349" t="s">
        <v>139</v>
      </c>
      <c r="J2349" t="s">
        <v>155</v>
      </c>
      <c r="L2349">
        <v>0</v>
      </c>
      <c r="M2349" t="s">
        <v>125</v>
      </c>
      <c r="O2349" t="s">
        <v>125</v>
      </c>
      <c r="P2349" t="s">
        <v>125</v>
      </c>
      <c r="Q2349" t="s">
        <v>125</v>
      </c>
      <c r="R2349" t="s">
        <v>125</v>
      </c>
      <c r="S2349" t="s">
        <v>125</v>
      </c>
      <c r="T2349">
        <v>0</v>
      </c>
      <c r="V2349" t="s">
        <v>125</v>
      </c>
      <c r="AE2349" t="s">
        <v>125</v>
      </c>
      <c r="AF2349">
        <v>0</v>
      </c>
      <c r="AG2349" t="s">
        <v>125</v>
      </c>
      <c r="AH2349">
        <v>0</v>
      </c>
      <c r="AK2349">
        <v>0</v>
      </c>
    </row>
    <row r="2350" spans="1:37" x14ac:dyDescent="0.25">
      <c r="L2350">
        <v>0</v>
      </c>
    </row>
    <row r="2351" spans="1:37" x14ac:dyDescent="0.25">
      <c r="A2351" t="s">
        <v>70</v>
      </c>
      <c r="B2351">
        <v>9</v>
      </c>
      <c r="C2351">
        <v>3</v>
      </c>
      <c r="D2351">
        <v>3</v>
      </c>
      <c r="G2351">
        <v>93</v>
      </c>
      <c r="L2351">
        <v>0</v>
      </c>
      <c r="M2351" t="s">
        <v>125</v>
      </c>
      <c r="P2351" t="s">
        <v>125</v>
      </c>
      <c r="R2351" t="s">
        <v>125</v>
      </c>
      <c r="S2351" t="s">
        <v>63</v>
      </c>
      <c r="V2351" t="s">
        <v>125</v>
      </c>
      <c r="X2351" t="s">
        <v>125</v>
      </c>
      <c r="Y2351" t="s">
        <v>125</v>
      </c>
      <c r="Z2351" t="s">
        <v>125</v>
      </c>
      <c r="AA2351" t="s">
        <v>125</v>
      </c>
      <c r="AB2351" t="s">
        <v>125</v>
      </c>
      <c r="AC2351" t="s">
        <v>125</v>
      </c>
      <c r="AE2351" t="s">
        <v>125</v>
      </c>
      <c r="AF2351">
        <v>0</v>
      </c>
      <c r="AG2351" t="s">
        <v>125</v>
      </c>
      <c r="AH2351">
        <v>0</v>
      </c>
      <c r="AK2351">
        <v>0</v>
      </c>
    </row>
    <row r="2352" spans="1:37" x14ac:dyDescent="0.25">
      <c r="A2352" t="s">
        <v>79</v>
      </c>
      <c r="B2352">
        <v>9</v>
      </c>
      <c r="C2352">
        <v>3</v>
      </c>
      <c r="D2352">
        <v>3</v>
      </c>
      <c r="E2352">
        <v>1</v>
      </c>
      <c r="G2352">
        <v>933</v>
      </c>
      <c r="H2352" t="s">
        <v>63</v>
      </c>
      <c r="I2352" t="s">
        <v>80</v>
      </c>
      <c r="J2352" t="s">
        <v>141</v>
      </c>
      <c r="L2352">
        <v>0</v>
      </c>
      <c r="M2352" t="s">
        <v>125</v>
      </c>
      <c r="O2352" t="s">
        <v>125</v>
      </c>
      <c r="P2352" t="s">
        <v>125</v>
      </c>
      <c r="Q2352" t="s">
        <v>125</v>
      </c>
      <c r="R2352" t="s">
        <v>125</v>
      </c>
      <c r="S2352" t="s">
        <v>125</v>
      </c>
      <c r="T2352">
        <v>0</v>
      </c>
      <c r="V2352" t="s">
        <v>125</v>
      </c>
      <c r="AE2352" t="s">
        <v>125</v>
      </c>
      <c r="AF2352">
        <v>0</v>
      </c>
      <c r="AG2352" t="s">
        <v>125</v>
      </c>
      <c r="AH2352">
        <v>0</v>
      </c>
      <c r="AK2352">
        <v>0</v>
      </c>
    </row>
    <row r="2353" spans="1:37" x14ac:dyDescent="0.25">
      <c r="A2353" t="s">
        <v>79</v>
      </c>
      <c r="B2353">
        <v>9</v>
      </c>
      <c r="C2353">
        <v>3</v>
      </c>
      <c r="D2353">
        <v>3</v>
      </c>
      <c r="E2353">
        <v>2</v>
      </c>
      <c r="G2353">
        <v>933</v>
      </c>
      <c r="H2353" t="s">
        <v>63</v>
      </c>
      <c r="I2353" t="s">
        <v>88</v>
      </c>
      <c r="J2353" t="s">
        <v>142</v>
      </c>
      <c r="L2353">
        <v>0</v>
      </c>
      <c r="M2353" t="s">
        <v>125</v>
      </c>
      <c r="O2353" t="s">
        <v>125</v>
      </c>
      <c r="P2353" t="s">
        <v>125</v>
      </c>
      <c r="Q2353" t="s">
        <v>125</v>
      </c>
      <c r="R2353" t="s">
        <v>125</v>
      </c>
      <c r="S2353" t="s">
        <v>125</v>
      </c>
      <c r="T2353">
        <v>0</v>
      </c>
      <c r="V2353" t="s">
        <v>125</v>
      </c>
      <c r="AE2353" t="s">
        <v>125</v>
      </c>
      <c r="AF2353">
        <v>0</v>
      </c>
      <c r="AG2353" t="s">
        <v>125</v>
      </c>
      <c r="AH2353">
        <v>0</v>
      </c>
      <c r="AK2353">
        <v>0</v>
      </c>
    </row>
    <row r="2354" spans="1:37" x14ac:dyDescent="0.25">
      <c r="A2354" t="s">
        <v>79</v>
      </c>
      <c r="B2354">
        <v>9</v>
      </c>
      <c r="C2354">
        <v>3</v>
      </c>
      <c r="D2354">
        <v>3</v>
      </c>
      <c r="E2354">
        <v>3</v>
      </c>
      <c r="G2354">
        <v>933</v>
      </c>
      <c r="H2354" t="s">
        <v>63</v>
      </c>
      <c r="I2354" t="s">
        <v>95</v>
      </c>
      <c r="J2354" t="s">
        <v>143</v>
      </c>
      <c r="L2354">
        <v>0</v>
      </c>
      <c r="M2354" t="s">
        <v>125</v>
      </c>
      <c r="O2354" t="s">
        <v>125</v>
      </c>
      <c r="P2354" t="s">
        <v>125</v>
      </c>
      <c r="Q2354" t="s">
        <v>125</v>
      </c>
      <c r="R2354" t="s">
        <v>125</v>
      </c>
      <c r="S2354" t="s">
        <v>125</v>
      </c>
      <c r="T2354">
        <v>0</v>
      </c>
      <c r="V2354" t="s">
        <v>125</v>
      </c>
      <c r="AE2354" t="s">
        <v>125</v>
      </c>
      <c r="AF2354">
        <v>0</v>
      </c>
      <c r="AG2354" t="s">
        <v>125</v>
      </c>
      <c r="AH2354">
        <v>0</v>
      </c>
      <c r="AK2354">
        <v>0</v>
      </c>
    </row>
    <row r="2355" spans="1:37" x14ac:dyDescent="0.25">
      <c r="A2355" t="s">
        <v>79</v>
      </c>
      <c r="B2355">
        <v>9</v>
      </c>
      <c r="C2355">
        <v>3</v>
      </c>
      <c r="D2355">
        <v>3</v>
      </c>
      <c r="E2355">
        <v>4</v>
      </c>
      <c r="G2355">
        <v>933</v>
      </c>
      <c r="H2355" t="s">
        <v>63</v>
      </c>
      <c r="I2355" t="s">
        <v>102</v>
      </c>
      <c r="J2355" t="s">
        <v>144</v>
      </c>
      <c r="L2355">
        <v>0</v>
      </c>
      <c r="M2355" t="s">
        <v>125</v>
      </c>
      <c r="O2355" t="s">
        <v>125</v>
      </c>
      <c r="P2355" t="s">
        <v>125</v>
      </c>
      <c r="Q2355" t="s">
        <v>125</v>
      </c>
      <c r="R2355" t="s">
        <v>125</v>
      </c>
      <c r="S2355" t="s">
        <v>125</v>
      </c>
      <c r="T2355">
        <v>0</v>
      </c>
      <c r="V2355" t="s">
        <v>125</v>
      </c>
      <c r="AE2355" t="s">
        <v>125</v>
      </c>
      <c r="AF2355">
        <v>0</v>
      </c>
      <c r="AG2355" t="s">
        <v>125</v>
      </c>
      <c r="AH2355">
        <v>0</v>
      </c>
      <c r="AK2355">
        <v>0</v>
      </c>
    </row>
    <row r="2356" spans="1:37" x14ac:dyDescent="0.25">
      <c r="A2356" t="s">
        <v>79</v>
      </c>
      <c r="B2356">
        <v>9</v>
      </c>
      <c r="C2356">
        <v>3</v>
      </c>
      <c r="D2356">
        <v>3</v>
      </c>
      <c r="E2356">
        <v>5</v>
      </c>
      <c r="G2356">
        <v>933</v>
      </c>
      <c r="H2356" t="s">
        <v>63</v>
      </c>
      <c r="I2356" t="s">
        <v>109</v>
      </c>
      <c r="J2356" t="s">
        <v>145</v>
      </c>
      <c r="L2356">
        <v>0</v>
      </c>
      <c r="M2356" t="s">
        <v>125</v>
      </c>
      <c r="O2356" t="s">
        <v>125</v>
      </c>
      <c r="P2356" t="s">
        <v>125</v>
      </c>
      <c r="Q2356" t="s">
        <v>125</v>
      </c>
      <c r="R2356" t="s">
        <v>125</v>
      </c>
      <c r="S2356" t="s">
        <v>125</v>
      </c>
      <c r="T2356">
        <v>0</v>
      </c>
      <c r="V2356" t="s">
        <v>125</v>
      </c>
      <c r="AE2356" t="s">
        <v>125</v>
      </c>
      <c r="AF2356">
        <v>0</v>
      </c>
      <c r="AG2356" t="s">
        <v>125</v>
      </c>
      <c r="AH2356">
        <v>0</v>
      </c>
      <c r="AK2356">
        <v>0</v>
      </c>
    </row>
    <row r="2357" spans="1:37" x14ac:dyDescent="0.25">
      <c r="A2357" t="s">
        <v>79</v>
      </c>
      <c r="B2357">
        <v>9</v>
      </c>
      <c r="C2357">
        <v>3</v>
      </c>
      <c r="D2357">
        <v>3</v>
      </c>
      <c r="E2357">
        <v>6</v>
      </c>
      <c r="G2357">
        <v>933</v>
      </c>
      <c r="H2357" t="s">
        <v>63</v>
      </c>
      <c r="I2357" t="s">
        <v>116</v>
      </c>
      <c r="J2357" t="s">
        <v>146</v>
      </c>
      <c r="L2357">
        <v>0</v>
      </c>
      <c r="M2357" t="s">
        <v>125</v>
      </c>
      <c r="O2357" t="s">
        <v>125</v>
      </c>
      <c r="P2357" t="s">
        <v>125</v>
      </c>
      <c r="Q2357" t="s">
        <v>125</v>
      </c>
      <c r="R2357" t="s">
        <v>125</v>
      </c>
      <c r="S2357" t="s">
        <v>125</v>
      </c>
      <c r="T2357">
        <v>0</v>
      </c>
      <c r="V2357" t="s">
        <v>125</v>
      </c>
      <c r="AE2357" t="s">
        <v>125</v>
      </c>
      <c r="AF2357">
        <v>0</v>
      </c>
      <c r="AG2357" t="s">
        <v>125</v>
      </c>
      <c r="AH2357">
        <v>0</v>
      </c>
      <c r="AK2357">
        <v>0</v>
      </c>
    </row>
    <row r="2358" spans="1:37" x14ac:dyDescent="0.25">
      <c r="A2358" t="s">
        <v>79</v>
      </c>
      <c r="B2358">
        <v>9</v>
      </c>
      <c r="C2358">
        <v>3</v>
      </c>
      <c r="D2358">
        <v>3</v>
      </c>
      <c r="E2358">
        <v>7</v>
      </c>
      <c r="G2358">
        <v>933</v>
      </c>
      <c r="H2358" t="s">
        <v>63</v>
      </c>
      <c r="I2358" t="s">
        <v>123</v>
      </c>
      <c r="J2358" t="s">
        <v>147</v>
      </c>
      <c r="L2358">
        <v>0</v>
      </c>
      <c r="M2358" t="s">
        <v>125</v>
      </c>
      <c r="O2358" t="s">
        <v>125</v>
      </c>
      <c r="P2358" t="s">
        <v>125</v>
      </c>
      <c r="Q2358" t="s">
        <v>125</v>
      </c>
      <c r="R2358" t="s">
        <v>125</v>
      </c>
      <c r="S2358" t="s">
        <v>125</v>
      </c>
      <c r="T2358">
        <v>0</v>
      </c>
      <c r="V2358" t="s">
        <v>125</v>
      </c>
      <c r="AE2358" t="s">
        <v>125</v>
      </c>
      <c r="AF2358">
        <v>0</v>
      </c>
      <c r="AG2358" t="s">
        <v>125</v>
      </c>
      <c r="AH2358">
        <v>0</v>
      </c>
      <c r="AK2358">
        <v>0</v>
      </c>
    </row>
    <row r="2359" spans="1:37" x14ac:dyDescent="0.25">
      <c r="A2359" t="s">
        <v>79</v>
      </c>
      <c r="B2359">
        <v>9</v>
      </c>
      <c r="C2359">
        <v>3</v>
      </c>
      <c r="D2359">
        <v>3</v>
      </c>
      <c r="E2359">
        <v>8</v>
      </c>
      <c r="G2359">
        <v>933</v>
      </c>
      <c r="H2359" t="s">
        <v>63</v>
      </c>
      <c r="I2359" t="s">
        <v>126</v>
      </c>
      <c r="J2359" t="s">
        <v>148</v>
      </c>
      <c r="L2359">
        <v>0</v>
      </c>
      <c r="M2359" t="s">
        <v>125</v>
      </c>
      <c r="O2359" t="s">
        <v>125</v>
      </c>
      <c r="P2359" t="s">
        <v>125</v>
      </c>
      <c r="Q2359" t="s">
        <v>125</v>
      </c>
      <c r="R2359" t="s">
        <v>125</v>
      </c>
      <c r="S2359" t="s">
        <v>125</v>
      </c>
      <c r="T2359">
        <v>0</v>
      </c>
      <c r="V2359" t="s">
        <v>125</v>
      </c>
      <c r="AE2359" t="s">
        <v>125</v>
      </c>
      <c r="AF2359">
        <v>0</v>
      </c>
      <c r="AG2359" t="s">
        <v>125</v>
      </c>
      <c r="AH2359">
        <v>0</v>
      </c>
      <c r="AK2359">
        <v>0</v>
      </c>
    </row>
    <row r="2360" spans="1:37" x14ac:dyDescent="0.25">
      <c r="A2360" t="s">
        <v>79</v>
      </c>
      <c r="B2360">
        <v>9</v>
      </c>
      <c r="C2360">
        <v>3</v>
      </c>
      <c r="D2360">
        <v>3</v>
      </c>
      <c r="E2360">
        <v>9</v>
      </c>
      <c r="G2360">
        <v>933</v>
      </c>
      <c r="H2360" t="s">
        <v>63</v>
      </c>
      <c r="I2360" t="s">
        <v>74</v>
      </c>
      <c r="J2360" t="s">
        <v>149</v>
      </c>
      <c r="L2360">
        <v>0</v>
      </c>
      <c r="M2360" t="s">
        <v>125</v>
      </c>
      <c r="O2360" t="s">
        <v>125</v>
      </c>
      <c r="P2360" t="s">
        <v>125</v>
      </c>
      <c r="Q2360" t="s">
        <v>125</v>
      </c>
      <c r="R2360" t="s">
        <v>125</v>
      </c>
      <c r="S2360" t="s">
        <v>125</v>
      </c>
      <c r="T2360">
        <v>0</v>
      </c>
      <c r="V2360" t="s">
        <v>125</v>
      </c>
      <c r="AE2360" t="s">
        <v>125</v>
      </c>
      <c r="AF2360">
        <v>0</v>
      </c>
      <c r="AG2360" t="s">
        <v>125</v>
      </c>
      <c r="AH2360">
        <v>0</v>
      </c>
      <c r="AK2360">
        <v>0</v>
      </c>
    </row>
    <row r="2361" spans="1:37" x14ac:dyDescent="0.25">
      <c r="A2361" t="s">
        <v>79</v>
      </c>
      <c r="B2361">
        <v>9</v>
      </c>
      <c r="C2361">
        <v>3</v>
      </c>
      <c r="D2361">
        <v>3</v>
      </c>
      <c r="E2361">
        <v>10</v>
      </c>
      <c r="G2361">
        <v>933</v>
      </c>
      <c r="H2361" t="s">
        <v>63</v>
      </c>
      <c r="I2361" t="s">
        <v>129</v>
      </c>
      <c r="J2361" t="s">
        <v>150</v>
      </c>
      <c r="L2361">
        <v>0</v>
      </c>
      <c r="M2361" t="s">
        <v>125</v>
      </c>
      <c r="O2361" t="s">
        <v>125</v>
      </c>
      <c r="P2361" t="s">
        <v>125</v>
      </c>
      <c r="Q2361" t="s">
        <v>125</v>
      </c>
      <c r="R2361" t="s">
        <v>125</v>
      </c>
      <c r="S2361" t="s">
        <v>125</v>
      </c>
      <c r="T2361">
        <v>0</v>
      </c>
      <c r="V2361" t="s">
        <v>125</v>
      </c>
      <c r="AE2361" t="s">
        <v>125</v>
      </c>
      <c r="AF2361">
        <v>0</v>
      </c>
      <c r="AG2361" t="s">
        <v>125</v>
      </c>
      <c r="AH2361">
        <v>0</v>
      </c>
      <c r="AK2361">
        <v>0</v>
      </c>
    </row>
    <row r="2362" spans="1:37" x14ac:dyDescent="0.25">
      <c r="A2362" t="s">
        <v>79</v>
      </c>
      <c r="B2362">
        <v>9</v>
      </c>
      <c r="C2362">
        <v>3</v>
      </c>
      <c r="D2362">
        <v>3</v>
      </c>
      <c r="E2362">
        <v>11</v>
      </c>
      <c r="G2362">
        <v>933</v>
      </c>
      <c r="H2362" t="s">
        <v>63</v>
      </c>
      <c r="I2362" t="s">
        <v>131</v>
      </c>
      <c r="J2362" t="s">
        <v>151</v>
      </c>
      <c r="L2362">
        <v>0</v>
      </c>
      <c r="M2362" t="s">
        <v>125</v>
      </c>
      <c r="O2362" t="s">
        <v>125</v>
      </c>
      <c r="P2362" t="s">
        <v>125</v>
      </c>
      <c r="Q2362" t="s">
        <v>125</v>
      </c>
      <c r="R2362" t="s">
        <v>125</v>
      </c>
      <c r="S2362" t="s">
        <v>125</v>
      </c>
      <c r="T2362">
        <v>0</v>
      </c>
      <c r="V2362" t="s">
        <v>125</v>
      </c>
      <c r="AE2362" t="s">
        <v>125</v>
      </c>
      <c r="AF2362">
        <v>0</v>
      </c>
      <c r="AG2362" t="s">
        <v>125</v>
      </c>
      <c r="AH2362">
        <v>0</v>
      </c>
      <c r="AK2362">
        <v>0</v>
      </c>
    </row>
    <row r="2363" spans="1:37" x14ac:dyDescent="0.25">
      <c r="A2363" t="s">
        <v>79</v>
      </c>
      <c r="B2363">
        <v>9</v>
      </c>
      <c r="C2363">
        <v>3</v>
      </c>
      <c r="D2363">
        <v>3</v>
      </c>
      <c r="E2363">
        <v>12</v>
      </c>
      <c r="G2363">
        <v>933</v>
      </c>
      <c r="H2363" t="s">
        <v>63</v>
      </c>
      <c r="I2363" t="s">
        <v>133</v>
      </c>
      <c r="J2363" t="s">
        <v>152</v>
      </c>
      <c r="L2363">
        <v>0</v>
      </c>
      <c r="M2363" t="s">
        <v>125</v>
      </c>
      <c r="O2363" t="s">
        <v>125</v>
      </c>
      <c r="P2363" t="s">
        <v>125</v>
      </c>
      <c r="Q2363" t="s">
        <v>125</v>
      </c>
      <c r="R2363" t="s">
        <v>125</v>
      </c>
      <c r="S2363" t="s">
        <v>125</v>
      </c>
      <c r="T2363">
        <v>0</v>
      </c>
      <c r="V2363" t="s">
        <v>125</v>
      </c>
      <c r="AE2363" t="s">
        <v>125</v>
      </c>
      <c r="AF2363">
        <v>0</v>
      </c>
      <c r="AG2363" t="s">
        <v>125</v>
      </c>
      <c r="AH2363">
        <v>0</v>
      </c>
      <c r="AK2363">
        <v>0</v>
      </c>
    </row>
    <row r="2364" spans="1:37" x14ac:dyDescent="0.25">
      <c r="A2364" t="s">
        <v>79</v>
      </c>
      <c r="B2364">
        <v>9</v>
      </c>
      <c r="C2364">
        <v>3</v>
      </c>
      <c r="D2364">
        <v>3</v>
      </c>
      <c r="E2364">
        <v>13</v>
      </c>
      <c r="G2364">
        <v>933</v>
      </c>
      <c r="H2364" t="s">
        <v>63</v>
      </c>
      <c r="I2364" t="s">
        <v>135</v>
      </c>
      <c r="J2364" t="s">
        <v>153</v>
      </c>
      <c r="L2364">
        <v>0</v>
      </c>
      <c r="M2364" t="s">
        <v>125</v>
      </c>
      <c r="O2364" t="s">
        <v>125</v>
      </c>
      <c r="P2364" t="s">
        <v>125</v>
      </c>
      <c r="Q2364" t="s">
        <v>125</v>
      </c>
      <c r="R2364" t="s">
        <v>125</v>
      </c>
      <c r="S2364" t="s">
        <v>125</v>
      </c>
      <c r="T2364">
        <v>0</v>
      </c>
      <c r="V2364" t="s">
        <v>125</v>
      </c>
      <c r="AE2364" t="s">
        <v>125</v>
      </c>
      <c r="AF2364">
        <v>0</v>
      </c>
      <c r="AG2364" t="s">
        <v>125</v>
      </c>
      <c r="AH2364">
        <v>0</v>
      </c>
      <c r="AK2364">
        <v>0</v>
      </c>
    </row>
    <row r="2365" spans="1:37" x14ac:dyDescent="0.25">
      <c r="A2365" t="s">
        <v>79</v>
      </c>
      <c r="B2365">
        <v>9</v>
      </c>
      <c r="C2365">
        <v>3</v>
      </c>
      <c r="D2365">
        <v>3</v>
      </c>
      <c r="E2365">
        <v>14</v>
      </c>
      <c r="G2365">
        <v>933</v>
      </c>
      <c r="H2365" t="s">
        <v>63</v>
      </c>
      <c r="I2365" t="s">
        <v>137</v>
      </c>
      <c r="J2365" t="s">
        <v>154</v>
      </c>
      <c r="L2365">
        <v>0</v>
      </c>
      <c r="M2365" t="s">
        <v>125</v>
      </c>
      <c r="O2365" t="s">
        <v>125</v>
      </c>
      <c r="P2365" t="s">
        <v>125</v>
      </c>
      <c r="Q2365" t="s">
        <v>125</v>
      </c>
      <c r="R2365" t="s">
        <v>125</v>
      </c>
      <c r="S2365" t="s">
        <v>125</v>
      </c>
      <c r="T2365">
        <v>0</v>
      </c>
      <c r="V2365" t="s">
        <v>125</v>
      </c>
      <c r="AE2365" t="s">
        <v>125</v>
      </c>
      <c r="AF2365">
        <v>0</v>
      </c>
      <c r="AG2365" t="s">
        <v>125</v>
      </c>
      <c r="AH2365">
        <v>0</v>
      </c>
      <c r="AK2365">
        <v>0</v>
      </c>
    </row>
    <row r="2366" spans="1:37" x14ac:dyDescent="0.25">
      <c r="A2366" t="s">
        <v>79</v>
      </c>
      <c r="B2366">
        <v>9</v>
      </c>
      <c r="C2366">
        <v>3</v>
      </c>
      <c r="D2366">
        <v>3</v>
      </c>
      <c r="E2366">
        <v>15</v>
      </c>
      <c r="G2366">
        <v>933</v>
      </c>
      <c r="H2366" t="s">
        <v>63</v>
      </c>
      <c r="I2366" t="s">
        <v>139</v>
      </c>
      <c r="J2366" t="s">
        <v>155</v>
      </c>
      <c r="L2366">
        <v>0</v>
      </c>
      <c r="M2366" t="s">
        <v>125</v>
      </c>
      <c r="O2366" t="s">
        <v>125</v>
      </c>
      <c r="P2366" t="s">
        <v>125</v>
      </c>
      <c r="Q2366" t="s">
        <v>125</v>
      </c>
      <c r="R2366" t="s">
        <v>125</v>
      </c>
      <c r="S2366" t="s">
        <v>125</v>
      </c>
      <c r="T2366">
        <v>0</v>
      </c>
      <c r="V2366" t="s">
        <v>125</v>
      </c>
      <c r="AE2366" t="s">
        <v>125</v>
      </c>
      <c r="AF2366">
        <v>0</v>
      </c>
      <c r="AG2366" t="s">
        <v>125</v>
      </c>
      <c r="AH2366">
        <v>0</v>
      </c>
      <c r="AK2366">
        <v>0</v>
      </c>
    </row>
    <row r="2367" spans="1:37" x14ac:dyDescent="0.25">
      <c r="L2367">
        <v>0</v>
      </c>
    </row>
    <row r="2368" spans="1:37" x14ac:dyDescent="0.25">
      <c r="A2368" t="s">
        <v>70</v>
      </c>
      <c r="B2368">
        <v>9</v>
      </c>
      <c r="C2368">
        <v>3</v>
      </c>
      <c r="D2368">
        <v>4</v>
      </c>
      <c r="G2368">
        <v>93</v>
      </c>
      <c r="L2368">
        <v>0</v>
      </c>
      <c r="M2368" t="s">
        <v>125</v>
      </c>
      <c r="P2368" t="s">
        <v>125</v>
      </c>
      <c r="R2368" t="s">
        <v>125</v>
      </c>
      <c r="S2368" t="s">
        <v>63</v>
      </c>
      <c r="V2368" t="s">
        <v>125</v>
      </c>
      <c r="X2368" t="s">
        <v>125</v>
      </c>
      <c r="Y2368" t="s">
        <v>125</v>
      </c>
      <c r="Z2368" t="s">
        <v>125</v>
      </c>
      <c r="AA2368" t="s">
        <v>125</v>
      </c>
      <c r="AB2368" t="s">
        <v>125</v>
      </c>
      <c r="AC2368" t="s">
        <v>125</v>
      </c>
      <c r="AE2368" t="s">
        <v>125</v>
      </c>
      <c r="AF2368">
        <v>0</v>
      </c>
      <c r="AG2368" t="s">
        <v>125</v>
      </c>
      <c r="AH2368">
        <v>0</v>
      </c>
      <c r="AK2368">
        <v>0</v>
      </c>
    </row>
    <row r="2369" spans="1:37" x14ac:dyDescent="0.25">
      <c r="A2369" t="s">
        <v>79</v>
      </c>
      <c r="B2369">
        <v>9</v>
      </c>
      <c r="C2369">
        <v>3</v>
      </c>
      <c r="D2369">
        <v>4</v>
      </c>
      <c r="E2369">
        <v>1</v>
      </c>
      <c r="G2369">
        <v>934</v>
      </c>
      <c r="H2369" t="s">
        <v>63</v>
      </c>
      <c r="I2369" t="s">
        <v>80</v>
      </c>
      <c r="J2369" t="s">
        <v>141</v>
      </c>
      <c r="L2369">
        <v>0</v>
      </c>
      <c r="M2369" t="s">
        <v>125</v>
      </c>
      <c r="O2369" t="s">
        <v>125</v>
      </c>
      <c r="P2369" t="s">
        <v>125</v>
      </c>
      <c r="Q2369" t="s">
        <v>125</v>
      </c>
      <c r="R2369" t="s">
        <v>125</v>
      </c>
      <c r="S2369" t="s">
        <v>125</v>
      </c>
      <c r="T2369">
        <v>0</v>
      </c>
      <c r="V2369" t="s">
        <v>125</v>
      </c>
      <c r="AE2369" t="s">
        <v>125</v>
      </c>
      <c r="AF2369">
        <v>0</v>
      </c>
      <c r="AG2369" t="s">
        <v>125</v>
      </c>
      <c r="AH2369">
        <v>0</v>
      </c>
      <c r="AK2369">
        <v>0</v>
      </c>
    </row>
    <row r="2370" spans="1:37" x14ac:dyDescent="0.25">
      <c r="A2370" t="s">
        <v>79</v>
      </c>
      <c r="B2370">
        <v>9</v>
      </c>
      <c r="C2370">
        <v>3</v>
      </c>
      <c r="D2370">
        <v>4</v>
      </c>
      <c r="E2370">
        <v>2</v>
      </c>
      <c r="G2370">
        <v>934</v>
      </c>
      <c r="H2370" t="s">
        <v>63</v>
      </c>
      <c r="I2370" t="s">
        <v>88</v>
      </c>
      <c r="J2370" t="s">
        <v>142</v>
      </c>
      <c r="L2370">
        <v>0</v>
      </c>
      <c r="M2370" t="s">
        <v>125</v>
      </c>
      <c r="O2370" t="s">
        <v>125</v>
      </c>
      <c r="P2370" t="s">
        <v>125</v>
      </c>
      <c r="Q2370" t="s">
        <v>125</v>
      </c>
      <c r="R2370" t="s">
        <v>125</v>
      </c>
      <c r="S2370" t="s">
        <v>125</v>
      </c>
      <c r="T2370">
        <v>0</v>
      </c>
      <c r="V2370" t="s">
        <v>125</v>
      </c>
      <c r="AE2370" t="s">
        <v>125</v>
      </c>
      <c r="AF2370">
        <v>0</v>
      </c>
      <c r="AG2370" t="s">
        <v>125</v>
      </c>
      <c r="AH2370">
        <v>0</v>
      </c>
      <c r="AK2370">
        <v>0</v>
      </c>
    </row>
    <row r="2371" spans="1:37" x14ac:dyDescent="0.25">
      <c r="A2371" t="s">
        <v>79</v>
      </c>
      <c r="B2371">
        <v>9</v>
      </c>
      <c r="C2371">
        <v>3</v>
      </c>
      <c r="D2371">
        <v>4</v>
      </c>
      <c r="E2371">
        <v>3</v>
      </c>
      <c r="G2371">
        <v>934</v>
      </c>
      <c r="H2371" t="s">
        <v>63</v>
      </c>
      <c r="I2371" t="s">
        <v>95</v>
      </c>
      <c r="J2371" t="s">
        <v>143</v>
      </c>
      <c r="L2371">
        <v>0</v>
      </c>
      <c r="M2371" t="s">
        <v>125</v>
      </c>
      <c r="O2371" t="s">
        <v>125</v>
      </c>
      <c r="P2371" t="s">
        <v>125</v>
      </c>
      <c r="Q2371" t="s">
        <v>125</v>
      </c>
      <c r="R2371" t="s">
        <v>125</v>
      </c>
      <c r="S2371" t="s">
        <v>125</v>
      </c>
      <c r="T2371">
        <v>0</v>
      </c>
      <c r="V2371" t="s">
        <v>125</v>
      </c>
      <c r="AE2371" t="s">
        <v>125</v>
      </c>
      <c r="AF2371">
        <v>0</v>
      </c>
      <c r="AG2371" t="s">
        <v>125</v>
      </c>
      <c r="AH2371">
        <v>0</v>
      </c>
      <c r="AK2371">
        <v>0</v>
      </c>
    </row>
    <row r="2372" spans="1:37" x14ac:dyDescent="0.25">
      <c r="A2372" t="s">
        <v>79</v>
      </c>
      <c r="B2372">
        <v>9</v>
      </c>
      <c r="C2372">
        <v>3</v>
      </c>
      <c r="D2372">
        <v>4</v>
      </c>
      <c r="E2372">
        <v>4</v>
      </c>
      <c r="G2372">
        <v>934</v>
      </c>
      <c r="H2372" t="s">
        <v>63</v>
      </c>
      <c r="I2372" t="s">
        <v>102</v>
      </c>
      <c r="J2372" t="s">
        <v>144</v>
      </c>
      <c r="L2372">
        <v>0</v>
      </c>
      <c r="M2372" t="s">
        <v>125</v>
      </c>
      <c r="O2372" t="s">
        <v>125</v>
      </c>
      <c r="P2372" t="s">
        <v>125</v>
      </c>
      <c r="Q2372" t="s">
        <v>125</v>
      </c>
      <c r="R2372" t="s">
        <v>125</v>
      </c>
      <c r="S2372" t="s">
        <v>125</v>
      </c>
      <c r="T2372">
        <v>0</v>
      </c>
      <c r="V2372" t="s">
        <v>125</v>
      </c>
      <c r="AE2372" t="s">
        <v>125</v>
      </c>
      <c r="AF2372">
        <v>0</v>
      </c>
      <c r="AG2372" t="s">
        <v>125</v>
      </c>
      <c r="AH2372">
        <v>0</v>
      </c>
      <c r="AK2372">
        <v>0</v>
      </c>
    </row>
    <row r="2373" spans="1:37" x14ac:dyDescent="0.25">
      <c r="A2373" t="s">
        <v>79</v>
      </c>
      <c r="B2373">
        <v>9</v>
      </c>
      <c r="C2373">
        <v>3</v>
      </c>
      <c r="D2373">
        <v>4</v>
      </c>
      <c r="E2373">
        <v>5</v>
      </c>
      <c r="G2373">
        <v>934</v>
      </c>
      <c r="H2373" t="s">
        <v>63</v>
      </c>
      <c r="I2373" t="s">
        <v>109</v>
      </c>
      <c r="J2373" t="s">
        <v>145</v>
      </c>
      <c r="L2373">
        <v>0</v>
      </c>
      <c r="M2373" t="s">
        <v>125</v>
      </c>
      <c r="O2373" t="s">
        <v>125</v>
      </c>
      <c r="P2373" t="s">
        <v>125</v>
      </c>
      <c r="Q2373" t="s">
        <v>125</v>
      </c>
      <c r="R2373" t="s">
        <v>125</v>
      </c>
      <c r="S2373" t="s">
        <v>125</v>
      </c>
      <c r="T2373">
        <v>0</v>
      </c>
      <c r="V2373" t="s">
        <v>125</v>
      </c>
      <c r="AE2373" t="s">
        <v>125</v>
      </c>
      <c r="AF2373">
        <v>0</v>
      </c>
      <c r="AG2373" t="s">
        <v>125</v>
      </c>
      <c r="AH2373">
        <v>0</v>
      </c>
      <c r="AK2373">
        <v>0</v>
      </c>
    </row>
    <row r="2374" spans="1:37" x14ac:dyDescent="0.25">
      <c r="A2374" t="s">
        <v>79</v>
      </c>
      <c r="B2374">
        <v>9</v>
      </c>
      <c r="C2374">
        <v>3</v>
      </c>
      <c r="D2374">
        <v>4</v>
      </c>
      <c r="E2374">
        <v>6</v>
      </c>
      <c r="G2374">
        <v>934</v>
      </c>
      <c r="H2374" t="s">
        <v>63</v>
      </c>
      <c r="I2374" t="s">
        <v>116</v>
      </c>
      <c r="J2374" t="s">
        <v>146</v>
      </c>
      <c r="L2374">
        <v>0</v>
      </c>
      <c r="M2374" t="s">
        <v>125</v>
      </c>
      <c r="O2374" t="s">
        <v>125</v>
      </c>
      <c r="P2374" t="s">
        <v>125</v>
      </c>
      <c r="Q2374" t="s">
        <v>125</v>
      </c>
      <c r="R2374" t="s">
        <v>125</v>
      </c>
      <c r="S2374" t="s">
        <v>125</v>
      </c>
      <c r="T2374">
        <v>0</v>
      </c>
      <c r="V2374" t="s">
        <v>125</v>
      </c>
      <c r="AE2374" t="s">
        <v>125</v>
      </c>
      <c r="AF2374">
        <v>0</v>
      </c>
      <c r="AG2374" t="s">
        <v>125</v>
      </c>
      <c r="AH2374">
        <v>0</v>
      </c>
      <c r="AK2374">
        <v>0</v>
      </c>
    </row>
    <row r="2375" spans="1:37" x14ac:dyDescent="0.25">
      <c r="A2375" t="s">
        <v>79</v>
      </c>
      <c r="B2375">
        <v>9</v>
      </c>
      <c r="C2375">
        <v>3</v>
      </c>
      <c r="D2375">
        <v>4</v>
      </c>
      <c r="E2375">
        <v>7</v>
      </c>
      <c r="G2375">
        <v>934</v>
      </c>
      <c r="H2375" t="s">
        <v>63</v>
      </c>
      <c r="I2375" t="s">
        <v>123</v>
      </c>
      <c r="J2375" t="s">
        <v>147</v>
      </c>
      <c r="L2375">
        <v>0</v>
      </c>
      <c r="M2375" t="s">
        <v>125</v>
      </c>
      <c r="O2375" t="s">
        <v>125</v>
      </c>
      <c r="P2375" t="s">
        <v>125</v>
      </c>
      <c r="Q2375" t="s">
        <v>125</v>
      </c>
      <c r="R2375" t="s">
        <v>125</v>
      </c>
      <c r="S2375" t="s">
        <v>125</v>
      </c>
      <c r="T2375">
        <v>0</v>
      </c>
      <c r="V2375" t="s">
        <v>125</v>
      </c>
      <c r="AE2375" t="s">
        <v>125</v>
      </c>
      <c r="AF2375">
        <v>0</v>
      </c>
      <c r="AG2375" t="s">
        <v>125</v>
      </c>
      <c r="AH2375">
        <v>0</v>
      </c>
      <c r="AK2375">
        <v>0</v>
      </c>
    </row>
    <row r="2376" spans="1:37" x14ac:dyDescent="0.25">
      <c r="A2376" t="s">
        <v>79</v>
      </c>
      <c r="B2376">
        <v>9</v>
      </c>
      <c r="C2376">
        <v>3</v>
      </c>
      <c r="D2376">
        <v>4</v>
      </c>
      <c r="E2376">
        <v>8</v>
      </c>
      <c r="G2376">
        <v>934</v>
      </c>
      <c r="H2376" t="s">
        <v>63</v>
      </c>
      <c r="I2376" t="s">
        <v>126</v>
      </c>
      <c r="J2376" t="s">
        <v>148</v>
      </c>
      <c r="L2376">
        <v>0</v>
      </c>
      <c r="M2376" t="s">
        <v>125</v>
      </c>
      <c r="O2376" t="s">
        <v>125</v>
      </c>
      <c r="P2376" t="s">
        <v>125</v>
      </c>
      <c r="Q2376" t="s">
        <v>125</v>
      </c>
      <c r="R2376" t="s">
        <v>125</v>
      </c>
      <c r="S2376" t="s">
        <v>125</v>
      </c>
      <c r="T2376">
        <v>0</v>
      </c>
      <c r="V2376" t="s">
        <v>125</v>
      </c>
      <c r="AE2376" t="s">
        <v>125</v>
      </c>
      <c r="AF2376">
        <v>0</v>
      </c>
      <c r="AG2376" t="s">
        <v>125</v>
      </c>
      <c r="AH2376">
        <v>0</v>
      </c>
      <c r="AK2376">
        <v>0</v>
      </c>
    </row>
    <row r="2377" spans="1:37" x14ac:dyDescent="0.25">
      <c r="A2377" t="s">
        <v>79</v>
      </c>
      <c r="B2377">
        <v>9</v>
      </c>
      <c r="C2377">
        <v>3</v>
      </c>
      <c r="D2377">
        <v>4</v>
      </c>
      <c r="E2377">
        <v>9</v>
      </c>
      <c r="G2377">
        <v>934</v>
      </c>
      <c r="H2377" t="s">
        <v>63</v>
      </c>
      <c r="I2377" t="s">
        <v>74</v>
      </c>
      <c r="J2377" t="s">
        <v>149</v>
      </c>
      <c r="L2377">
        <v>0</v>
      </c>
      <c r="M2377" t="s">
        <v>125</v>
      </c>
      <c r="O2377" t="s">
        <v>125</v>
      </c>
      <c r="P2377" t="s">
        <v>125</v>
      </c>
      <c r="Q2377" t="s">
        <v>125</v>
      </c>
      <c r="R2377" t="s">
        <v>125</v>
      </c>
      <c r="S2377" t="s">
        <v>125</v>
      </c>
      <c r="T2377">
        <v>0</v>
      </c>
      <c r="V2377" t="s">
        <v>125</v>
      </c>
      <c r="AE2377" t="s">
        <v>125</v>
      </c>
      <c r="AF2377">
        <v>0</v>
      </c>
      <c r="AG2377" t="s">
        <v>125</v>
      </c>
      <c r="AH2377">
        <v>0</v>
      </c>
      <c r="AK2377">
        <v>0</v>
      </c>
    </row>
    <row r="2378" spans="1:37" x14ac:dyDescent="0.25">
      <c r="A2378" t="s">
        <v>79</v>
      </c>
      <c r="B2378">
        <v>9</v>
      </c>
      <c r="C2378">
        <v>3</v>
      </c>
      <c r="D2378">
        <v>4</v>
      </c>
      <c r="E2378">
        <v>10</v>
      </c>
      <c r="G2378">
        <v>934</v>
      </c>
      <c r="H2378" t="s">
        <v>63</v>
      </c>
      <c r="I2378" t="s">
        <v>129</v>
      </c>
      <c r="J2378" t="s">
        <v>150</v>
      </c>
      <c r="L2378">
        <v>0</v>
      </c>
      <c r="M2378" t="s">
        <v>125</v>
      </c>
      <c r="O2378" t="s">
        <v>125</v>
      </c>
      <c r="P2378" t="s">
        <v>125</v>
      </c>
      <c r="Q2378" t="s">
        <v>125</v>
      </c>
      <c r="R2378" t="s">
        <v>125</v>
      </c>
      <c r="S2378" t="s">
        <v>125</v>
      </c>
      <c r="T2378">
        <v>0</v>
      </c>
      <c r="V2378" t="s">
        <v>125</v>
      </c>
      <c r="AE2378" t="s">
        <v>125</v>
      </c>
      <c r="AF2378">
        <v>0</v>
      </c>
      <c r="AG2378" t="s">
        <v>125</v>
      </c>
      <c r="AH2378">
        <v>0</v>
      </c>
      <c r="AK2378">
        <v>0</v>
      </c>
    </row>
    <row r="2379" spans="1:37" x14ac:dyDescent="0.25">
      <c r="A2379" t="s">
        <v>79</v>
      </c>
      <c r="B2379">
        <v>9</v>
      </c>
      <c r="C2379">
        <v>3</v>
      </c>
      <c r="D2379">
        <v>4</v>
      </c>
      <c r="E2379">
        <v>11</v>
      </c>
      <c r="G2379">
        <v>934</v>
      </c>
      <c r="H2379" t="s">
        <v>63</v>
      </c>
      <c r="I2379" t="s">
        <v>131</v>
      </c>
      <c r="J2379" t="s">
        <v>151</v>
      </c>
      <c r="L2379">
        <v>0</v>
      </c>
      <c r="M2379" t="s">
        <v>125</v>
      </c>
      <c r="O2379" t="s">
        <v>125</v>
      </c>
      <c r="P2379" t="s">
        <v>125</v>
      </c>
      <c r="Q2379" t="s">
        <v>125</v>
      </c>
      <c r="R2379" t="s">
        <v>125</v>
      </c>
      <c r="S2379" t="s">
        <v>125</v>
      </c>
      <c r="T2379">
        <v>0</v>
      </c>
      <c r="V2379" t="s">
        <v>125</v>
      </c>
      <c r="AE2379" t="s">
        <v>125</v>
      </c>
      <c r="AF2379">
        <v>0</v>
      </c>
      <c r="AG2379" t="s">
        <v>125</v>
      </c>
      <c r="AH2379">
        <v>0</v>
      </c>
      <c r="AK2379">
        <v>0</v>
      </c>
    </row>
    <row r="2380" spans="1:37" x14ac:dyDescent="0.25">
      <c r="A2380" t="s">
        <v>79</v>
      </c>
      <c r="B2380">
        <v>9</v>
      </c>
      <c r="C2380">
        <v>3</v>
      </c>
      <c r="D2380">
        <v>4</v>
      </c>
      <c r="E2380">
        <v>12</v>
      </c>
      <c r="G2380">
        <v>934</v>
      </c>
      <c r="H2380" t="s">
        <v>63</v>
      </c>
      <c r="I2380" t="s">
        <v>133</v>
      </c>
      <c r="J2380" t="s">
        <v>152</v>
      </c>
      <c r="L2380">
        <v>0</v>
      </c>
      <c r="M2380" t="s">
        <v>125</v>
      </c>
      <c r="O2380" t="s">
        <v>125</v>
      </c>
      <c r="P2380" t="s">
        <v>125</v>
      </c>
      <c r="Q2380" t="s">
        <v>125</v>
      </c>
      <c r="R2380" t="s">
        <v>125</v>
      </c>
      <c r="S2380" t="s">
        <v>125</v>
      </c>
      <c r="T2380">
        <v>0</v>
      </c>
      <c r="V2380" t="s">
        <v>125</v>
      </c>
      <c r="AE2380" t="s">
        <v>125</v>
      </c>
      <c r="AF2380">
        <v>0</v>
      </c>
      <c r="AG2380" t="s">
        <v>125</v>
      </c>
      <c r="AH2380">
        <v>0</v>
      </c>
      <c r="AK2380">
        <v>0</v>
      </c>
    </row>
    <row r="2381" spans="1:37" x14ac:dyDescent="0.25">
      <c r="A2381" t="s">
        <v>79</v>
      </c>
      <c r="B2381">
        <v>9</v>
      </c>
      <c r="C2381">
        <v>3</v>
      </c>
      <c r="D2381">
        <v>4</v>
      </c>
      <c r="E2381">
        <v>13</v>
      </c>
      <c r="G2381">
        <v>934</v>
      </c>
      <c r="H2381" t="s">
        <v>63</v>
      </c>
      <c r="I2381" t="s">
        <v>135</v>
      </c>
      <c r="J2381" t="s">
        <v>153</v>
      </c>
      <c r="L2381">
        <v>0</v>
      </c>
      <c r="M2381" t="s">
        <v>125</v>
      </c>
      <c r="O2381" t="s">
        <v>125</v>
      </c>
      <c r="P2381" t="s">
        <v>125</v>
      </c>
      <c r="Q2381" t="s">
        <v>125</v>
      </c>
      <c r="R2381" t="s">
        <v>125</v>
      </c>
      <c r="S2381" t="s">
        <v>125</v>
      </c>
      <c r="T2381">
        <v>0</v>
      </c>
      <c r="V2381" t="s">
        <v>125</v>
      </c>
      <c r="AE2381" t="s">
        <v>125</v>
      </c>
      <c r="AF2381">
        <v>0</v>
      </c>
      <c r="AG2381" t="s">
        <v>125</v>
      </c>
      <c r="AH2381">
        <v>0</v>
      </c>
      <c r="AK2381">
        <v>0</v>
      </c>
    </row>
    <row r="2382" spans="1:37" x14ac:dyDescent="0.25">
      <c r="A2382" t="s">
        <v>79</v>
      </c>
      <c r="B2382">
        <v>9</v>
      </c>
      <c r="C2382">
        <v>3</v>
      </c>
      <c r="D2382">
        <v>4</v>
      </c>
      <c r="E2382">
        <v>14</v>
      </c>
      <c r="G2382">
        <v>934</v>
      </c>
      <c r="H2382" t="s">
        <v>63</v>
      </c>
      <c r="I2382" t="s">
        <v>137</v>
      </c>
      <c r="J2382" t="s">
        <v>154</v>
      </c>
      <c r="L2382">
        <v>0</v>
      </c>
      <c r="M2382" t="s">
        <v>125</v>
      </c>
      <c r="O2382" t="s">
        <v>125</v>
      </c>
      <c r="P2382" t="s">
        <v>125</v>
      </c>
      <c r="Q2382" t="s">
        <v>125</v>
      </c>
      <c r="R2382" t="s">
        <v>125</v>
      </c>
      <c r="S2382" t="s">
        <v>125</v>
      </c>
      <c r="T2382">
        <v>0</v>
      </c>
      <c r="V2382" t="s">
        <v>125</v>
      </c>
      <c r="AE2382" t="s">
        <v>125</v>
      </c>
      <c r="AF2382">
        <v>0</v>
      </c>
      <c r="AG2382" t="s">
        <v>125</v>
      </c>
      <c r="AH2382">
        <v>0</v>
      </c>
      <c r="AK2382">
        <v>0</v>
      </c>
    </row>
    <row r="2383" spans="1:37" x14ac:dyDescent="0.25">
      <c r="A2383" t="s">
        <v>79</v>
      </c>
      <c r="B2383">
        <v>9</v>
      </c>
      <c r="C2383">
        <v>3</v>
      </c>
      <c r="D2383">
        <v>4</v>
      </c>
      <c r="E2383">
        <v>15</v>
      </c>
      <c r="G2383">
        <v>934</v>
      </c>
      <c r="H2383" t="s">
        <v>63</v>
      </c>
      <c r="I2383" t="s">
        <v>139</v>
      </c>
      <c r="J2383" t="s">
        <v>155</v>
      </c>
      <c r="L2383">
        <v>0</v>
      </c>
      <c r="M2383" t="s">
        <v>125</v>
      </c>
      <c r="O2383" t="s">
        <v>125</v>
      </c>
      <c r="P2383" t="s">
        <v>125</v>
      </c>
      <c r="Q2383" t="s">
        <v>125</v>
      </c>
      <c r="R2383" t="s">
        <v>125</v>
      </c>
      <c r="S2383" t="s">
        <v>125</v>
      </c>
      <c r="T2383">
        <v>0</v>
      </c>
      <c r="V2383" t="s">
        <v>125</v>
      </c>
      <c r="AE2383" t="s">
        <v>125</v>
      </c>
      <c r="AF2383">
        <v>0</v>
      </c>
      <c r="AG2383" t="s">
        <v>125</v>
      </c>
      <c r="AH2383">
        <v>0</v>
      </c>
      <c r="AK2383">
        <v>0</v>
      </c>
    </row>
    <row r="2384" spans="1:37" x14ac:dyDescent="0.25">
      <c r="L2384">
        <v>0</v>
      </c>
    </row>
    <row r="2385" spans="1:37" x14ac:dyDescent="0.25">
      <c r="A2385" t="s">
        <v>70</v>
      </c>
      <c r="B2385">
        <v>9</v>
      </c>
      <c r="C2385">
        <v>3</v>
      </c>
      <c r="D2385">
        <v>5</v>
      </c>
      <c r="G2385">
        <v>93</v>
      </c>
      <c r="L2385">
        <v>0</v>
      </c>
      <c r="M2385" t="s">
        <v>125</v>
      </c>
      <c r="P2385" t="s">
        <v>125</v>
      </c>
      <c r="R2385" t="s">
        <v>125</v>
      </c>
      <c r="S2385" t="s">
        <v>63</v>
      </c>
      <c r="V2385" t="s">
        <v>125</v>
      </c>
      <c r="X2385" t="s">
        <v>125</v>
      </c>
      <c r="Y2385" t="s">
        <v>125</v>
      </c>
      <c r="Z2385" t="s">
        <v>125</v>
      </c>
      <c r="AA2385" t="s">
        <v>125</v>
      </c>
      <c r="AB2385" t="s">
        <v>125</v>
      </c>
      <c r="AC2385" t="s">
        <v>125</v>
      </c>
      <c r="AE2385" t="s">
        <v>125</v>
      </c>
      <c r="AF2385">
        <v>0</v>
      </c>
      <c r="AG2385" t="s">
        <v>125</v>
      </c>
      <c r="AH2385">
        <v>0</v>
      </c>
      <c r="AK2385">
        <v>0</v>
      </c>
    </row>
    <row r="2386" spans="1:37" x14ac:dyDescent="0.25">
      <c r="A2386" t="s">
        <v>79</v>
      </c>
      <c r="B2386">
        <v>9</v>
      </c>
      <c r="C2386">
        <v>3</v>
      </c>
      <c r="D2386">
        <v>5</v>
      </c>
      <c r="E2386">
        <v>1</v>
      </c>
      <c r="G2386">
        <v>935</v>
      </c>
      <c r="H2386" t="s">
        <v>63</v>
      </c>
      <c r="I2386" t="s">
        <v>80</v>
      </c>
      <c r="J2386" t="s">
        <v>141</v>
      </c>
      <c r="L2386">
        <v>0</v>
      </c>
      <c r="M2386" t="s">
        <v>125</v>
      </c>
      <c r="O2386" t="s">
        <v>125</v>
      </c>
      <c r="P2386" t="s">
        <v>125</v>
      </c>
      <c r="Q2386" t="s">
        <v>125</v>
      </c>
      <c r="R2386" t="s">
        <v>125</v>
      </c>
      <c r="S2386" t="s">
        <v>125</v>
      </c>
      <c r="T2386">
        <v>0</v>
      </c>
      <c r="V2386" t="s">
        <v>125</v>
      </c>
      <c r="AE2386" t="s">
        <v>125</v>
      </c>
      <c r="AF2386">
        <v>0</v>
      </c>
      <c r="AG2386" t="s">
        <v>125</v>
      </c>
      <c r="AH2386">
        <v>0</v>
      </c>
      <c r="AK2386">
        <v>0</v>
      </c>
    </row>
    <row r="2387" spans="1:37" x14ac:dyDescent="0.25">
      <c r="A2387" t="s">
        <v>79</v>
      </c>
      <c r="B2387">
        <v>9</v>
      </c>
      <c r="C2387">
        <v>3</v>
      </c>
      <c r="D2387">
        <v>5</v>
      </c>
      <c r="E2387">
        <v>2</v>
      </c>
      <c r="G2387">
        <v>935</v>
      </c>
      <c r="H2387" t="s">
        <v>63</v>
      </c>
      <c r="I2387" t="s">
        <v>88</v>
      </c>
      <c r="J2387" t="s">
        <v>142</v>
      </c>
      <c r="L2387">
        <v>0</v>
      </c>
      <c r="M2387" t="s">
        <v>125</v>
      </c>
      <c r="O2387" t="s">
        <v>125</v>
      </c>
      <c r="P2387" t="s">
        <v>125</v>
      </c>
      <c r="Q2387" t="s">
        <v>125</v>
      </c>
      <c r="R2387" t="s">
        <v>125</v>
      </c>
      <c r="S2387" t="s">
        <v>125</v>
      </c>
      <c r="T2387">
        <v>0</v>
      </c>
      <c r="V2387" t="s">
        <v>125</v>
      </c>
      <c r="AE2387" t="s">
        <v>125</v>
      </c>
      <c r="AF2387">
        <v>0</v>
      </c>
      <c r="AG2387" t="s">
        <v>125</v>
      </c>
      <c r="AH2387">
        <v>0</v>
      </c>
      <c r="AK2387">
        <v>0</v>
      </c>
    </row>
    <row r="2388" spans="1:37" x14ac:dyDescent="0.25">
      <c r="A2388" t="s">
        <v>79</v>
      </c>
      <c r="B2388">
        <v>9</v>
      </c>
      <c r="C2388">
        <v>3</v>
      </c>
      <c r="D2388">
        <v>5</v>
      </c>
      <c r="E2388">
        <v>3</v>
      </c>
      <c r="G2388">
        <v>935</v>
      </c>
      <c r="H2388" t="s">
        <v>63</v>
      </c>
      <c r="I2388" t="s">
        <v>95</v>
      </c>
      <c r="J2388" t="s">
        <v>143</v>
      </c>
      <c r="L2388">
        <v>0</v>
      </c>
      <c r="M2388" t="s">
        <v>125</v>
      </c>
      <c r="O2388" t="s">
        <v>125</v>
      </c>
      <c r="P2388" t="s">
        <v>125</v>
      </c>
      <c r="Q2388" t="s">
        <v>125</v>
      </c>
      <c r="R2388" t="s">
        <v>125</v>
      </c>
      <c r="S2388" t="s">
        <v>125</v>
      </c>
      <c r="T2388">
        <v>0</v>
      </c>
      <c r="V2388" t="s">
        <v>125</v>
      </c>
      <c r="AE2388" t="s">
        <v>125</v>
      </c>
      <c r="AF2388">
        <v>0</v>
      </c>
      <c r="AG2388" t="s">
        <v>125</v>
      </c>
      <c r="AH2388">
        <v>0</v>
      </c>
      <c r="AK2388">
        <v>0</v>
      </c>
    </row>
    <row r="2389" spans="1:37" x14ac:dyDescent="0.25">
      <c r="A2389" t="s">
        <v>79</v>
      </c>
      <c r="B2389">
        <v>9</v>
      </c>
      <c r="C2389">
        <v>3</v>
      </c>
      <c r="D2389">
        <v>5</v>
      </c>
      <c r="E2389">
        <v>4</v>
      </c>
      <c r="G2389">
        <v>935</v>
      </c>
      <c r="H2389" t="s">
        <v>63</v>
      </c>
      <c r="I2389" t="s">
        <v>102</v>
      </c>
      <c r="J2389" t="s">
        <v>144</v>
      </c>
      <c r="L2389">
        <v>0</v>
      </c>
      <c r="M2389" t="s">
        <v>125</v>
      </c>
      <c r="O2389" t="s">
        <v>125</v>
      </c>
      <c r="P2389" t="s">
        <v>125</v>
      </c>
      <c r="Q2389" t="s">
        <v>125</v>
      </c>
      <c r="R2389" t="s">
        <v>125</v>
      </c>
      <c r="S2389" t="s">
        <v>125</v>
      </c>
      <c r="T2389">
        <v>0</v>
      </c>
      <c r="V2389" t="s">
        <v>125</v>
      </c>
      <c r="AE2389" t="s">
        <v>125</v>
      </c>
      <c r="AF2389">
        <v>0</v>
      </c>
      <c r="AG2389" t="s">
        <v>125</v>
      </c>
      <c r="AH2389">
        <v>0</v>
      </c>
      <c r="AK2389">
        <v>0</v>
      </c>
    </row>
    <row r="2390" spans="1:37" x14ac:dyDescent="0.25">
      <c r="A2390" t="s">
        <v>79</v>
      </c>
      <c r="B2390">
        <v>9</v>
      </c>
      <c r="C2390">
        <v>3</v>
      </c>
      <c r="D2390">
        <v>5</v>
      </c>
      <c r="E2390">
        <v>5</v>
      </c>
      <c r="G2390">
        <v>935</v>
      </c>
      <c r="H2390" t="s">
        <v>63</v>
      </c>
      <c r="I2390" t="s">
        <v>109</v>
      </c>
      <c r="J2390" t="s">
        <v>145</v>
      </c>
      <c r="L2390">
        <v>0</v>
      </c>
      <c r="M2390" t="s">
        <v>125</v>
      </c>
      <c r="O2390" t="s">
        <v>125</v>
      </c>
      <c r="P2390" t="s">
        <v>125</v>
      </c>
      <c r="Q2390" t="s">
        <v>125</v>
      </c>
      <c r="R2390" t="s">
        <v>125</v>
      </c>
      <c r="S2390" t="s">
        <v>125</v>
      </c>
      <c r="T2390">
        <v>0</v>
      </c>
      <c r="V2390" t="s">
        <v>125</v>
      </c>
      <c r="AE2390" t="s">
        <v>125</v>
      </c>
      <c r="AF2390">
        <v>0</v>
      </c>
      <c r="AG2390" t="s">
        <v>125</v>
      </c>
      <c r="AH2390">
        <v>0</v>
      </c>
      <c r="AK2390">
        <v>0</v>
      </c>
    </row>
    <row r="2391" spans="1:37" x14ac:dyDescent="0.25">
      <c r="A2391" t="s">
        <v>79</v>
      </c>
      <c r="B2391">
        <v>9</v>
      </c>
      <c r="C2391">
        <v>3</v>
      </c>
      <c r="D2391">
        <v>5</v>
      </c>
      <c r="E2391">
        <v>6</v>
      </c>
      <c r="G2391">
        <v>935</v>
      </c>
      <c r="H2391" t="s">
        <v>63</v>
      </c>
      <c r="I2391" t="s">
        <v>116</v>
      </c>
      <c r="J2391" t="s">
        <v>146</v>
      </c>
      <c r="L2391">
        <v>0</v>
      </c>
      <c r="M2391" t="s">
        <v>125</v>
      </c>
      <c r="O2391" t="s">
        <v>125</v>
      </c>
      <c r="P2391" t="s">
        <v>125</v>
      </c>
      <c r="Q2391" t="s">
        <v>125</v>
      </c>
      <c r="R2391" t="s">
        <v>125</v>
      </c>
      <c r="S2391" t="s">
        <v>125</v>
      </c>
      <c r="T2391">
        <v>0</v>
      </c>
      <c r="V2391" t="s">
        <v>125</v>
      </c>
      <c r="AE2391" t="s">
        <v>125</v>
      </c>
      <c r="AF2391">
        <v>0</v>
      </c>
      <c r="AG2391" t="s">
        <v>125</v>
      </c>
      <c r="AH2391">
        <v>0</v>
      </c>
      <c r="AK2391">
        <v>0</v>
      </c>
    </row>
    <row r="2392" spans="1:37" x14ac:dyDescent="0.25">
      <c r="A2392" t="s">
        <v>79</v>
      </c>
      <c r="B2392">
        <v>9</v>
      </c>
      <c r="C2392">
        <v>3</v>
      </c>
      <c r="D2392">
        <v>5</v>
      </c>
      <c r="E2392">
        <v>7</v>
      </c>
      <c r="G2392">
        <v>935</v>
      </c>
      <c r="H2392" t="s">
        <v>63</v>
      </c>
      <c r="I2392" t="s">
        <v>123</v>
      </c>
      <c r="J2392" t="s">
        <v>147</v>
      </c>
      <c r="L2392">
        <v>0</v>
      </c>
      <c r="M2392" t="s">
        <v>125</v>
      </c>
      <c r="O2392" t="s">
        <v>125</v>
      </c>
      <c r="P2392" t="s">
        <v>125</v>
      </c>
      <c r="Q2392" t="s">
        <v>125</v>
      </c>
      <c r="R2392" t="s">
        <v>125</v>
      </c>
      <c r="S2392" t="s">
        <v>125</v>
      </c>
      <c r="T2392">
        <v>0</v>
      </c>
      <c r="V2392" t="s">
        <v>125</v>
      </c>
      <c r="AE2392" t="s">
        <v>125</v>
      </c>
      <c r="AF2392">
        <v>0</v>
      </c>
      <c r="AG2392" t="s">
        <v>125</v>
      </c>
      <c r="AH2392">
        <v>0</v>
      </c>
      <c r="AK2392">
        <v>0</v>
      </c>
    </row>
    <row r="2393" spans="1:37" x14ac:dyDescent="0.25">
      <c r="A2393" t="s">
        <v>79</v>
      </c>
      <c r="B2393">
        <v>9</v>
      </c>
      <c r="C2393">
        <v>3</v>
      </c>
      <c r="D2393">
        <v>5</v>
      </c>
      <c r="E2393">
        <v>8</v>
      </c>
      <c r="G2393">
        <v>935</v>
      </c>
      <c r="H2393" t="s">
        <v>63</v>
      </c>
      <c r="I2393" t="s">
        <v>126</v>
      </c>
      <c r="J2393" t="s">
        <v>148</v>
      </c>
      <c r="L2393">
        <v>0</v>
      </c>
      <c r="M2393" t="s">
        <v>125</v>
      </c>
      <c r="O2393" t="s">
        <v>125</v>
      </c>
      <c r="P2393" t="s">
        <v>125</v>
      </c>
      <c r="Q2393" t="s">
        <v>125</v>
      </c>
      <c r="R2393" t="s">
        <v>125</v>
      </c>
      <c r="S2393" t="s">
        <v>125</v>
      </c>
      <c r="T2393">
        <v>0</v>
      </c>
      <c r="V2393" t="s">
        <v>125</v>
      </c>
      <c r="AE2393" t="s">
        <v>125</v>
      </c>
      <c r="AF2393">
        <v>0</v>
      </c>
      <c r="AG2393" t="s">
        <v>125</v>
      </c>
      <c r="AH2393">
        <v>0</v>
      </c>
      <c r="AK2393">
        <v>0</v>
      </c>
    </row>
    <row r="2394" spans="1:37" x14ac:dyDescent="0.25">
      <c r="A2394" t="s">
        <v>79</v>
      </c>
      <c r="B2394">
        <v>9</v>
      </c>
      <c r="C2394">
        <v>3</v>
      </c>
      <c r="D2394">
        <v>5</v>
      </c>
      <c r="E2394">
        <v>9</v>
      </c>
      <c r="G2394">
        <v>935</v>
      </c>
      <c r="H2394" t="s">
        <v>63</v>
      </c>
      <c r="I2394" t="s">
        <v>74</v>
      </c>
      <c r="J2394" t="s">
        <v>149</v>
      </c>
      <c r="L2394">
        <v>0</v>
      </c>
      <c r="M2394" t="s">
        <v>125</v>
      </c>
      <c r="O2394" t="s">
        <v>125</v>
      </c>
      <c r="P2394" t="s">
        <v>125</v>
      </c>
      <c r="Q2394" t="s">
        <v>125</v>
      </c>
      <c r="R2394" t="s">
        <v>125</v>
      </c>
      <c r="S2394" t="s">
        <v>125</v>
      </c>
      <c r="T2394">
        <v>0</v>
      </c>
      <c r="V2394" t="s">
        <v>125</v>
      </c>
      <c r="AE2394" t="s">
        <v>125</v>
      </c>
      <c r="AF2394">
        <v>0</v>
      </c>
      <c r="AG2394" t="s">
        <v>125</v>
      </c>
      <c r="AH2394">
        <v>0</v>
      </c>
      <c r="AK2394">
        <v>0</v>
      </c>
    </row>
    <row r="2395" spans="1:37" x14ac:dyDescent="0.25">
      <c r="A2395" t="s">
        <v>79</v>
      </c>
      <c r="B2395">
        <v>9</v>
      </c>
      <c r="C2395">
        <v>3</v>
      </c>
      <c r="D2395">
        <v>5</v>
      </c>
      <c r="E2395">
        <v>10</v>
      </c>
      <c r="G2395">
        <v>935</v>
      </c>
      <c r="H2395" t="s">
        <v>63</v>
      </c>
      <c r="I2395" t="s">
        <v>129</v>
      </c>
      <c r="J2395" t="s">
        <v>150</v>
      </c>
      <c r="L2395">
        <v>0</v>
      </c>
      <c r="M2395" t="s">
        <v>125</v>
      </c>
      <c r="O2395" t="s">
        <v>125</v>
      </c>
      <c r="P2395" t="s">
        <v>125</v>
      </c>
      <c r="Q2395" t="s">
        <v>125</v>
      </c>
      <c r="R2395" t="s">
        <v>125</v>
      </c>
      <c r="S2395" t="s">
        <v>125</v>
      </c>
      <c r="T2395">
        <v>0</v>
      </c>
      <c r="V2395" t="s">
        <v>125</v>
      </c>
      <c r="AE2395" t="s">
        <v>125</v>
      </c>
      <c r="AF2395">
        <v>0</v>
      </c>
      <c r="AG2395" t="s">
        <v>125</v>
      </c>
      <c r="AH2395">
        <v>0</v>
      </c>
      <c r="AK2395">
        <v>0</v>
      </c>
    </row>
    <row r="2396" spans="1:37" x14ac:dyDescent="0.25">
      <c r="A2396" t="s">
        <v>79</v>
      </c>
      <c r="B2396">
        <v>9</v>
      </c>
      <c r="C2396">
        <v>3</v>
      </c>
      <c r="D2396">
        <v>5</v>
      </c>
      <c r="E2396">
        <v>11</v>
      </c>
      <c r="G2396">
        <v>935</v>
      </c>
      <c r="H2396" t="s">
        <v>63</v>
      </c>
      <c r="I2396" t="s">
        <v>131</v>
      </c>
      <c r="J2396" t="s">
        <v>151</v>
      </c>
      <c r="L2396">
        <v>0</v>
      </c>
      <c r="M2396" t="s">
        <v>125</v>
      </c>
      <c r="O2396" t="s">
        <v>125</v>
      </c>
      <c r="P2396" t="s">
        <v>125</v>
      </c>
      <c r="Q2396" t="s">
        <v>125</v>
      </c>
      <c r="R2396" t="s">
        <v>125</v>
      </c>
      <c r="S2396" t="s">
        <v>125</v>
      </c>
      <c r="T2396">
        <v>0</v>
      </c>
      <c r="V2396" t="s">
        <v>125</v>
      </c>
      <c r="AE2396" t="s">
        <v>125</v>
      </c>
      <c r="AF2396">
        <v>0</v>
      </c>
      <c r="AG2396" t="s">
        <v>125</v>
      </c>
      <c r="AH2396">
        <v>0</v>
      </c>
      <c r="AK2396">
        <v>0</v>
      </c>
    </row>
    <row r="2397" spans="1:37" x14ac:dyDescent="0.25">
      <c r="A2397" t="s">
        <v>79</v>
      </c>
      <c r="B2397">
        <v>9</v>
      </c>
      <c r="C2397">
        <v>3</v>
      </c>
      <c r="D2397">
        <v>5</v>
      </c>
      <c r="E2397">
        <v>12</v>
      </c>
      <c r="G2397">
        <v>935</v>
      </c>
      <c r="H2397" t="s">
        <v>63</v>
      </c>
      <c r="I2397" t="s">
        <v>133</v>
      </c>
      <c r="J2397" t="s">
        <v>152</v>
      </c>
      <c r="L2397">
        <v>0</v>
      </c>
      <c r="M2397" t="s">
        <v>125</v>
      </c>
      <c r="O2397" t="s">
        <v>125</v>
      </c>
      <c r="P2397" t="s">
        <v>125</v>
      </c>
      <c r="Q2397" t="s">
        <v>125</v>
      </c>
      <c r="R2397" t="s">
        <v>125</v>
      </c>
      <c r="S2397" t="s">
        <v>125</v>
      </c>
      <c r="T2397">
        <v>0</v>
      </c>
      <c r="V2397" t="s">
        <v>125</v>
      </c>
      <c r="AE2397" t="s">
        <v>125</v>
      </c>
      <c r="AF2397">
        <v>0</v>
      </c>
      <c r="AG2397" t="s">
        <v>125</v>
      </c>
      <c r="AH2397">
        <v>0</v>
      </c>
      <c r="AK2397">
        <v>0</v>
      </c>
    </row>
    <row r="2398" spans="1:37" x14ac:dyDescent="0.25">
      <c r="A2398" t="s">
        <v>79</v>
      </c>
      <c r="B2398">
        <v>9</v>
      </c>
      <c r="C2398">
        <v>3</v>
      </c>
      <c r="D2398">
        <v>5</v>
      </c>
      <c r="E2398">
        <v>13</v>
      </c>
      <c r="G2398">
        <v>935</v>
      </c>
      <c r="H2398" t="s">
        <v>63</v>
      </c>
      <c r="I2398" t="s">
        <v>135</v>
      </c>
      <c r="J2398" t="s">
        <v>153</v>
      </c>
      <c r="L2398">
        <v>0</v>
      </c>
      <c r="M2398" t="s">
        <v>125</v>
      </c>
      <c r="O2398" t="s">
        <v>125</v>
      </c>
      <c r="P2398" t="s">
        <v>125</v>
      </c>
      <c r="Q2398" t="s">
        <v>125</v>
      </c>
      <c r="R2398" t="s">
        <v>125</v>
      </c>
      <c r="S2398" t="s">
        <v>125</v>
      </c>
      <c r="T2398">
        <v>0</v>
      </c>
      <c r="V2398" t="s">
        <v>125</v>
      </c>
      <c r="AE2398" t="s">
        <v>125</v>
      </c>
      <c r="AF2398">
        <v>0</v>
      </c>
      <c r="AG2398" t="s">
        <v>125</v>
      </c>
      <c r="AH2398">
        <v>0</v>
      </c>
      <c r="AK2398">
        <v>0</v>
      </c>
    </row>
    <row r="2399" spans="1:37" x14ac:dyDescent="0.25">
      <c r="A2399" t="s">
        <v>79</v>
      </c>
      <c r="B2399">
        <v>9</v>
      </c>
      <c r="C2399">
        <v>3</v>
      </c>
      <c r="D2399">
        <v>5</v>
      </c>
      <c r="E2399">
        <v>14</v>
      </c>
      <c r="G2399">
        <v>935</v>
      </c>
      <c r="H2399" t="s">
        <v>63</v>
      </c>
      <c r="I2399" t="s">
        <v>137</v>
      </c>
      <c r="J2399" t="s">
        <v>154</v>
      </c>
      <c r="L2399">
        <v>0</v>
      </c>
      <c r="M2399" t="s">
        <v>125</v>
      </c>
      <c r="O2399" t="s">
        <v>125</v>
      </c>
      <c r="P2399" t="s">
        <v>125</v>
      </c>
      <c r="Q2399" t="s">
        <v>125</v>
      </c>
      <c r="R2399" t="s">
        <v>125</v>
      </c>
      <c r="S2399" t="s">
        <v>125</v>
      </c>
      <c r="T2399">
        <v>0</v>
      </c>
      <c r="V2399" t="s">
        <v>125</v>
      </c>
      <c r="AE2399" t="s">
        <v>125</v>
      </c>
      <c r="AF2399">
        <v>0</v>
      </c>
      <c r="AG2399" t="s">
        <v>125</v>
      </c>
      <c r="AH2399">
        <v>0</v>
      </c>
      <c r="AK2399">
        <v>0</v>
      </c>
    </row>
    <row r="2400" spans="1:37" x14ac:dyDescent="0.25">
      <c r="A2400" t="s">
        <v>79</v>
      </c>
      <c r="B2400">
        <v>9</v>
      </c>
      <c r="C2400">
        <v>3</v>
      </c>
      <c r="D2400">
        <v>5</v>
      </c>
      <c r="E2400">
        <v>15</v>
      </c>
      <c r="G2400">
        <v>935</v>
      </c>
      <c r="H2400" t="s">
        <v>63</v>
      </c>
      <c r="I2400" t="s">
        <v>139</v>
      </c>
      <c r="J2400" t="s">
        <v>155</v>
      </c>
      <c r="L2400">
        <v>0</v>
      </c>
      <c r="M2400" t="s">
        <v>125</v>
      </c>
      <c r="O2400" t="s">
        <v>125</v>
      </c>
      <c r="P2400" t="s">
        <v>125</v>
      </c>
      <c r="Q2400" t="s">
        <v>125</v>
      </c>
      <c r="R2400" t="s">
        <v>125</v>
      </c>
      <c r="S2400" t="s">
        <v>125</v>
      </c>
      <c r="T2400">
        <v>0</v>
      </c>
      <c r="V2400" t="s">
        <v>125</v>
      </c>
      <c r="AE2400" t="s">
        <v>125</v>
      </c>
      <c r="AF2400">
        <v>0</v>
      </c>
      <c r="AG2400" t="s">
        <v>125</v>
      </c>
      <c r="AH2400">
        <v>0</v>
      </c>
      <c r="AK2400">
        <v>0</v>
      </c>
    </row>
    <row r="2401" spans="1:37" x14ac:dyDescent="0.25">
      <c r="L2401">
        <v>0</v>
      </c>
    </row>
    <row r="2402" spans="1:37" x14ac:dyDescent="0.25">
      <c r="L2402">
        <v>0</v>
      </c>
    </row>
    <row r="2403" spans="1:37" x14ac:dyDescent="0.25">
      <c r="A2403" t="s">
        <v>56</v>
      </c>
      <c r="F2403">
        <v>10</v>
      </c>
      <c r="L2403">
        <v>10</v>
      </c>
      <c r="M2403" t="s">
        <v>74</v>
      </c>
      <c r="N2403" t="s">
        <v>3196</v>
      </c>
      <c r="P2403" t="s">
        <v>3197</v>
      </c>
      <c r="V2403" t="s">
        <v>3198</v>
      </c>
      <c r="Y2403" t="s">
        <v>3199</v>
      </c>
      <c r="AA2403" t="s">
        <v>3200</v>
      </c>
      <c r="AC2403" t="s">
        <v>3201</v>
      </c>
      <c r="AE2403" t="s">
        <v>3202</v>
      </c>
      <c r="AF2403">
        <v>0</v>
      </c>
      <c r="AG2403" t="s">
        <v>3203</v>
      </c>
      <c r="AH2403">
        <v>0</v>
      </c>
      <c r="AK2403">
        <v>0</v>
      </c>
    </row>
    <row r="2404" spans="1:37" x14ac:dyDescent="0.25">
      <c r="L2404">
        <v>0</v>
      </c>
    </row>
    <row r="2405" spans="1:37" x14ac:dyDescent="0.25">
      <c r="A2405" t="s">
        <v>66</v>
      </c>
      <c r="B2405">
        <v>10</v>
      </c>
      <c r="C2405">
        <v>1</v>
      </c>
      <c r="G2405">
        <v>10</v>
      </c>
      <c r="H2405" t="s">
        <v>3196</v>
      </c>
      <c r="I2405" t="s">
        <v>3204</v>
      </c>
      <c r="M2405" t="s">
        <v>3205</v>
      </c>
      <c r="N2405" t="s">
        <v>3204</v>
      </c>
      <c r="P2405" t="s">
        <v>3206</v>
      </c>
      <c r="V2405" t="s">
        <v>3207</v>
      </c>
      <c r="Y2405" t="s">
        <v>3208</v>
      </c>
      <c r="AA2405" t="s">
        <v>3209</v>
      </c>
      <c r="AC2405" t="s">
        <v>3201</v>
      </c>
      <c r="AE2405" t="s">
        <v>3210</v>
      </c>
      <c r="AF2405">
        <v>0</v>
      </c>
      <c r="AG2405" t="s">
        <v>3211</v>
      </c>
      <c r="AH2405">
        <v>0</v>
      </c>
      <c r="AK2405">
        <v>0</v>
      </c>
    </row>
    <row r="2406" spans="1:37" x14ac:dyDescent="0.25">
      <c r="L2406">
        <v>0</v>
      </c>
    </row>
    <row r="2407" spans="1:37" x14ac:dyDescent="0.25">
      <c r="A2407" t="s">
        <v>70</v>
      </c>
      <c r="B2407">
        <v>10</v>
      </c>
      <c r="C2407">
        <v>1</v>
      </c>
      <c r="D2407">
        <v>1</v>
      </c>
      <c r="G2407">
        <v>101</v>
      </c>
      <c r="M2407" t="s">
        <v>3212</v>
      </c>
      <c r="O2407" t="s">
        <v>3213</v>
      </c>
      <c r="P2407" t="s">
        <v>3214</v>
      </c>
      <c r="Q2407" t="s">
        <v>3215</v>
      </c>
      <c r="R2407" t="s">
        <v>179</v>
      </c>
      <c r="S2407" t="s">
        <v>3216</v>
      </c>
      <c r="V2407" t="s">
        <v>3217</v>
      </c>
      <c r="X2407" t="s">
        <v>3218</v>
      </c>
      <c r="Y2407" t="s">
        <v>3219</v>
      </c>
      <c r="Z2407" t="s">
        <v>3220</v>
      </c>
      <c r="AA2407" t="s">
        <v>3221</v>
      </c>
      <c r="AB2407" t="s">
        <v>63</v>
      </c>
      <c r="AC2407" t="s">
        <v>63</v>
      </c>
      <c r="AE2407" t="s">
        <v>3222</v>
      </c>
      <c r="AF2407">
        <v>0</v>
      </c>
      <c r="AG2407" t="s">
        <v>3223</v>
      </c>
      <c r="AH2407">
        <v>0</v>
      </c>
      <c r="AK2407">
        <v>0</v>
      </c>
    </row>
    <row r="2408" spans="1:37" x14ac:dyDescent="0.25">
      <c r="A2408" t="s">
        <v>79</v>
      </c>
      <c r="B2408">
        <v>10</v>
      </c>
      <c r="C2408">
        <v>1</v>
      </c>
      <c r="D2408">
        <v>1</v>
      </c>
      <c r="E2408">
        <v>1</v>
      </c>
      <c r="G2408">
        <v>1011</v>
      </c>
      <c r="H2408" t="s">
        <v>3213</v>
      </c>
      <c r="I2408" t="s">
        <v>80</v>
      </c>
      <c r="J2408" t="s">
        <v>3224</v>
      </c>
      <c r="L2408">
        <v>0</v>
      </c>
      <c r="M2408" t="s">
        <v>3225</v>
      </c>
      <c r="O2408" t="s">
        <v>3226</v>
      </c>
      <c r="P2408" t="s">
        <v>3227</v>
      </c>
      <c r="Q2408" t="s">
        <v>3228</v>
      </c>
      <c r="R2408" t="s">
        <v>268</v>
      </c>
      <c r="S2408" t="s">
        <v>3229</v>
      </c>
      <c r="T2408">
        <v>2091</v>
      </c>
      <c r="U2408">
        <v>8</v>
      </c>
      <c r="V2408" t="s">
        <v>3230</v>
      </c>
      <c r="AE2408" t="s">
        <v>3231</v>
      </c>
      <c r="AF2408">
        <v>0</v>
      </c>
      <c r="AG2408" t="s">
        <v>3232</v>
      </c>
      <c r="AH2408">
        <v>0</v>
      </c>
      <c r="AK2408">
        <v>0</v>
      </c>
    </row>
    <row r="2409" spans="1:37" x14ac:dyDescent="0.25">
      <c r="A2409" t="s">
        <v>79</v>
      </c>
      <c r="B2409">
        <v>10</v>
      </c>
      <c r="C2409">
        <v>1</v>
      </c>
      <c r="D2409">
        <v>1</v>
      </c>
      <c r="E2409">
        <v>2</v>
      </c>
      <c r="G2409">
        <v>1011</v>
      </c>
      <c r="H2409" t="s">
        <v>3213</v>
      </c>
      <c r="I2409" t="s">
        <v>88</v>
      </c>
      <c r="J2409" t="s">
        <v>3233</v>
      </c>
      <c r="L2409">
        <v>0</v>
      </c>
      <c r="M2409" t="s">
        <v>3234</v>
      </c>
      <c r="O2409" t="s">
        <v>1319</v>
      </c>
      <c r="P2409" t="s">
        <v>1320</v>
      </c>
      <c r="Q2409" t="s">
        <v>3235</v>
      </c>
      <c r="R2409" t="s">
        <v>229</v>
      </c>
      <c r="S2409" t="s">
        <v>1322</v>
      </c>
      <c r="T2409">
        <v>2091</v>
      </c>
      <c r="U2409">
        <v>142</v>
      </c>
      <c r="V2409" t="s">
        <v>3236</v>
      </c>
      <c r="AE2409" t="s">
        <v>3237</v>
      </c>
      <c r="AF2409">
        <v>0</v>
      </c>
      <c r="AG2409" t="s">
        <v>3238</v>
      </c>
      <c r="AH2409">
        <v>0</v>
      </c>
      <c r="AK2409">
        <v>0</v>
      </c>
    </row>
    <row r="2410" spans="1:37" x14ac:dyDescent="0.25">
      <c r="A2410" t="s">
        <v>79</v>
      </c>
      <c r="B2410">
        <v>10</v>
      </c>
      <c r="C2410">
        <v>1</v>
      </c>
      <c r="D2410">
        <v>1</v>
      </c>
      <c r="E2410">
        <v>3</v>
      </c>
      <c r="G2410">
        <v>1011</v>
      </c>
      <c r="H2410" t="s">
        <v>3213</v>
      </c>
      <c r="I2410" t="s">
        <v>95</v>
      </c>
      <c r="J2410" t="s">
        <v>3239</v>
      </c>
      <c r="L2410">
        <v>0</v>
      </c>
      <c r="M2410" t="s">
        <v>3240</v>
      </c>
      <c r="O2410" t="s">
        <v>294</v>
      </c>
      <c r="P2410" t="s">
        <v>295</v>
      </c>
      <c r="Q2410" t="s">
        <v>3241</v>
      </c>
      <c r="R2410" t="s">
        <v>229</v>
      </c>
      <c r="S2410" t="s">
        <v>297</v>
      </c>
      <c r="T2410">
        <v>2091</v>
      </c>
      <c r="U2410">
        <v>53</v>
      </c>
      <c r="V2410" t="s">
        <v>3242</v>
      </c>
      <c r="AE2410" t="s">
        <v>3243</v>
      </c>
      <c r="AF2410">
        <v>0</v>
      </c>
      <c r="AG2410" t="s">
        <v>3244</v>
      </c>
      <c r="AH2410">
        <v>0</v>
      </c>
      <c r="AK2410">
        <v>0</v>
      </c>
    </row>
    <row r="2411" spans="1:37" x14ac:dyDescent="0.25">
      <c r="A2411" t="s">
        <v>79</v>
      </c>
      <c r="B2411">
        <v>10</v>
      </c>
      <c r="C2411">
        <v>1</v>
      </c>
      <c r="D2411">
        <v>1</v>
      </c>
      <c r="E2411">
        <v>4</v>
      </c>
      <c r="G2411">
        <v>1011</v>
      </c>
      <c r="H2411" t="s">
        <v>3213</v>
      </c>
      <c r="I2411" t="s">
        <v>102</v>
      </c>
      <c r="J2411" t="s">
        <v>3245</v>
      </c>
      <c r="L2411">
        <v>0</v>
      </c>
      <c r="M2411" t="s">
        <v>125</v>
      </c>
      <c r="O2411" t="s">
        <v>125</v>
      </c>
      <c r="P2411" t="s">
        <v>125</v>
      </c>
      <c r="Q2411" t="s">
        <v>125</v>
      </c>
      <c r="R2411" t="s">
        <v>125</v>
      </c>
      <c r="S2411" t="s">
        <v>125</v>
      </c>
      <c r="T2411">
        <v>2091</v>
      </c>
      <c r="V2411" t="s">
        <v>125</v>
      </c>
      <c r="AE2411" t="s">
        <v>125</v>
      </c>
      <c r="AF2411">
        <v>0</v>
      </c>
      <c r="AG2411" t="s">
        <v>125</v>
      </c>
      <c r="AH2411">
        <v>0</v>
      </c>
      <c r="AK2411">
        <v>0</v>
      </c>
    </row>
    <row r="2412" spans="1:37" x14ac:dyDescent="0.25">
      <c r="A2412" t="s">
        <v>79</v>
      </c>
      <c r="B2412">
        <v>10</v>
      </c>
      <c r="C2412">
        <v>1</v>
      </c>
      <c r="D2412">
        <v>1</v>
      </c>
      <c r="E2412">
        <v>5</v>
      </c>
      <c r="G2412">
        <v>1011</v>
      </c>
      <c r="H2412" t="s">
        <v>3213</v>
      </c>
      <c r="I2412" t="s">
        <v>109</v>
      </c>
      <c r="J2412" t="s">
        <v>3246</v>
      </c>
      <c r="L2412">
        <v>0</v>
      </c>
      <c r="M2412" t="s">
        <v>125</v>
      </c>
      <c r="O2412" t="s">
        <v>125</v>
      </c>
      <c r="P2412" t="s">
        <v>125</v>
      </c>
      <c r="Q2412" t="s">
        <v>125</v>
      </c>
      <c r="R2412" t="s">
        <v>125</v>
      </c>
      <c r="S2412" t="s">
        <v>125</v>
      </c>
      <c r="T2412">
        <v>2091</v>
      </c>
      <c r="V2412" t="s">
        <v>125</v>
      </c>
      <c r="AE2412" t="s">
        <v>125</v>
      </c>
      <c r="AF2412">
        <v>0</v>
      </c>
      <c r="AG2412" t="s">
        <v>125</v>
      </c>
      <c r="AH2412">
        <v>0</v>
      </c>
      <c r="AK2412">
        <v>0</v>
      </c>
    </row>
    <row r="2413" spans="1:37" x14ac:dyDescent="0.25">
      <c r="A2413" t="s">
        <v>79</v>
      </c>
      <c r="B2413">
        <v>10</v>
      </c>
      <c r="C2413">
        <v>1</v>
      </c>
      <c r="D2413">
        <v>1</v>
      </c>
      <c r="E2413">
        <v>6</v>
      </c>
      <c r="G2413">
        <v>1011</v>
      </c>
      <c r="H2413" t="s">
        <v>3213</v>
      </c>
      <c r="I2413" t="s">
        <v>116</v>
      </c>
      <c r="J2413" t="s">
        <v>3247</v>
      </c>
      <c r="L2413">
        <v>0</v>
      </c>
      <c r="M2413" t="s">
        <v>125</v>
      </c>
      <c r="O2413" t="s">
        <v>125</v>
      </c>
      <c r="P2413" t="s">
        <v>125</v>
      </c>
      <c r="Q2413" t="s">
        <v>125</v>
      </c>
      <c r="R2413" t="s">
        <v>125</v>
      </c>
      <c r="S2413" t="s">
        <v>125</v>
      </c>
      <c r="T2413">
        <v>2091</v>
      </c>
      <c r="V2413" t="s">
        <v>125</v>
      </c>
      <c r="AE2413" t="s">
        <v>125</v>
      </c>
      <c r="AF2413">
        <v>0</v>
      </c>
      <c r="AG2413" t="s">
        <v>125</v>
      </c>
      <c r="AH2413">
        <v>0</v>
      </c>
      <c r="AK2413">
        <v>0</v>
      </c>
    </row>
    <row r="2414" spans="1:37" x14ac:dyDescent="0.25">
      <c r="A2414" t="s">
        <v>79</v>
      </c>
      <c r="B2414">
        <v>10</v>
      </c>
      <c r="C2414">
        <v>1</v>
      </c>
      <c r="D2414">
        <v>1</v>
      </c>
      <c r="E2414">
        <v>7</v>
      </c>
      <c r="G2414">
        <v>1011</v>
      </c>
      <c r="H2414" t="s">
        <v>3213</v>
      </c>
      <c r="I2414" t="s">
        <v>123</v>
      </c>
      <c r="J2414" t="s">
        <v>3248</v>
      </c>
      <c r="L2414">
        <v>0</v>
      </c>
      <c r="M2414" t="s">
        <v>125</v>
      </c>
      <c r="O2414" t="s">
        <v>125</v>
      </c>
      <c r="P2414" t="s">
        <v>125</v>
      </c>
      <c r="Q2414" t="s">
        <v>125</v>
      </c>
      <c r="R2414" t="s">
        <v>125</v>
      </c>
      <c r="S2414" t="s">
        <v>125</v>
      </c>
      <c r="T2414">
        <v>2091</v>
      </c>
      <c r="V2414" t="s">
        <v>125</v>
      </c>
      <c r="AE2414" t="s">
        <v>125</v>
      </c>
      <c r="AF2414">
        <v>0</v>
      </c>
      <c r="AG2414" t="s">
        <v>125</v>
      </c>
      <c r="AH2414">
        <v>0</v>
      </c>
      <c r="AK2414">
        <v>0</v>
      </c>
    </row>
    <row r="2415" spans="1:37" x14ac:dyDescent="0.25">
      <c r="A2415" t="s">
        <v>79</v>
      </c>
      <c r="B2415">
        <v>10</v>
      </c>
      <c r="C2415">
        <v>1</v>
      </c>
      <c r="D2415">
        <v>1</v>
      </c>
      <c r="E2415">
        <v>8</v>
      </c>
      <c r="G2415">
        <v>1011</v>
      </c>
      <c r="H2415" t="s">
        <v>3213</v>
      </c>
      <c r="I2415" t="s">
        <v>126</v>
      </c>
      <c r="J2415" t="s">
        <v>3249</v>
      </c>
      <c r="L2415">
        <v>0</v>
      </c>
      <c r="M2415" t="s">
        <v>125</v>
      </c>
      <c r="O2415" t="s">
        <v>125</v>
      </c>
      <c r="P2415" t="s">
        <v>125</v>
      </c>
      <c r="Q2415" t="s">
        <v>125</v>
      </c>
      <c r="R2415" t="s">
        <v>125</v>
      </c>
      <c r="S2415" t="s">
        <v>125</v>
      </c>
      <c r="T2415">
        <v>2091</v>
      </c>
      <c r="V2415" t="s">
        <v>125</v>
      </c>
      <c r="AE2415" t="s">
        <v>125</v>
      </c>
      <c r="AF2415">
        <v>0</v>
      </c>
      <c r="AG2415" t="s">
        <v>125</v>
      </c>
      <c r="AH2415">
        <v>0</v>
      </c>
      <c r="AK2415">
        <v>0</v>
      </c>
    </row>
    <row r="2416" spans="1:37" x14ac:dyDescent="0.25">
      <c r="A2416" t="s">
        <v>79</v>
      </c>
      <c r="B2416">
        <v>10</v>
      </c>
      <c r="C2416">
        <v>1</v>
      </c>
      <c r="D2416">
        <v>1</v>
      </c>
      <c r="E2416">
        <v>9</v>
      </c>
      <c r="G2416">
        <v>1011</v>
      </c>
      <c r="H2416" t="s">
        <v>3213</v>
      </c>
      <c r="I2416" t="s">
        <v>74</v>
      </c>
      <c r="J2416" t="s">
        <v>3250</v>
      </c>
      <c r="L2416">
        <v>0</v>
      </c>
      <c r="M2416" t="s">
        <v>125</v>
      </c>
      <c r="O2416" t="s">
        <v>125</v>
      </c>
      <c r="P2416" t="s">
        <v>125</v>
      </c>
      <c r="Q2416" t="s">
        <v>125</v>
      </c>
      <c r="R2416" t="s">
        <v>125</v>
      </c>
      <c r="S2416" t="s">
        <v>125</v>
      </c>
      <c r="T2416">
        <v>2091</v>
      </c>
      <c r="V2416" t="s">
        <v>125</v>
      </c>
      <c r="AE2416" t="s">
        <v>125</v>
      </c>
      <c r="AF2416">
        <v>0</v>
      </c>
      <c r="AG2416" t="s">
        <v>125</v>
      </c>
      <c r="AH2416">
        <v>0</v>
      </c>
      <c r="AK2416">
        <v>0</v>
      </c>
    </row>
    <row r="2417" spans="1:37" x14ac:dyDescent="0.25">
      <c r="A2417" t="s">
        <v>79</v>
      </c>
      <c r="B2417">
        <v>10</v>
      </c>
      <c r="C2417">
        <v>1</v>
      </c>
      <c r="D2417">
        <v>1</v>
      </c>
      <c r="E2417">
        <v>10</v>
      </c>
      <c r="G2417">
        <v>1011</v>
      </c>
      <c r="H2417" t="s">
        <v>3213</v>
      </c>
      <c r="I2417" t="s">
        <v>129</v>
      </c>
      <c r="J2417" t="s">
        <v>3251</v>
      </c>
      <c r="L2417">
        <v>0</v>
      </c>
      <c r="M2417" t="s">
        <v>125</v>
      </c>
      <c r="O2417" t="s">
        <v>125</v>
      </c>
      <c r="P2417" t="s">
        <v>125</v>
      </c>
      <c r="Q2417" t="s">
        <v>125</v>
      </c>
      <c r="R2417" t="s">
        <v>125</v>
      </c>
      <c r="S2417" t="s">
        <v>125</v>
      </c>
      <c r="T2417">
        <v>2091</v>
      </c>
      <c r="V2417" t="s">
        <v>125</v>
      </c>
      <c r="AE2417" t="s">
        <v>125</v>
      </c>
      <c r="AF2417">
        <v>0</v>
      </c>
      <c r="AG2417" t="s">
        <v>125</v>
      </c>
      <c r="AH2417">
        <v>0</v>
      </c>
      <c r="AK2417">
        <v>0</v>
      </c>
    </row>
    <row r="2418" spans="1:37" x14ac:dyDescent="0.25">
      <c r="A2418" t="s">
        <v>79</v>
      </c>
      <c r="B2418">
        <v>10</v>
      </c>
      <c r="C2418">
        <v>1</v>
      </c>
      <c r="D2418">
        <v>1</v>
      </c>
      <c r="E2418">
        <v>11</v>
      </c>
      <c r="G2418">
        <v>1011</v>
      </c>
      <c r="H2418" t="s">
        <v>3213</v>
      </c>
      <c r="I2418" t="s">
        <v>131</v>
      </c>
      <c r="J2418" t="s">
        <v>3252</v>
      </c>
      <c r="L2418">
        <v>0</v>
      </c>
      <c r="M2418" t="s">
        <v>125</v>
      </c>
      <c r="O2418" t="s">
        <v>125</v>
      </c>
      <c r="P2418" t="s">
        <v>125</v>
      </c>
      <c r="Q2418" t="s">
        <v>125</v>
      </c>
      <c r="R2418" t="s">
        <v>125</v>
      </c>
      <c r="S2418" t="s">
        <v>125</v>
      </c>
      <c r="T2418">
        <v>2091</v>
      </c>
      <c r="V2418" t="s">
        <v>125</v>
      </c>
      <c r="AE2418" t="s">
        <v>125</v>
      </c>
      <c r="AF2418">
        <v>0</v>
      </c>
      <c r="AG2418" t="s">
        <v>125</v>
      </c>
      <c r="AH2418">
        <v>0</v>
      </c>
      <c r="AK2418">
        <v>0</v>
      </c>
    </row>
    <row r="2419" spans="1:37" x14ac:dyDescent="0.25">
      <c r="A2419" t="s">
        <v>79</v>
      </c>
      <c r="B2419">
        <v>10</v>
      </c>
      <c r="C2419">
        <v>1</v>
      </c>
      <c r="D2419">
        <v>1</v>
      </c>
      <c r="E2419">
        <v>12</v>
      </c>
      <c r="G2419">
        <v>1011</v>
      </c>
      <c r="H2419" t="s">
        <v>3213</v>
      </c>
      <c r="I2419" t="s">
        <v>133</v>
      </c>
      <c r="J2419" t="s">
        <v>3253</v>
      </c>
      <c r="L2419">
        <v>0</v>
      </c>
      <c r="M2419" t="s">
        <v>125</v>
      </c>
      <c r="O2419" t="s">
        <v>125</v>
      </c>
      <c r="P2419" t="s">
        <v>125</v>
      </c>
      <c r="Q2419" t="s">
        <v>125</v>
      </c>
      <c r="R2419" t="s">
        <v>125</v>
      </c>
      <c r="S2419" t="s">
        <v>125</v>
      </c>
      <c r="T2419">
        <v>2091</v>
      </c>
      <c r="V2419" t="s">
        <v>125</v>
      </c>
      <c r="AE2419" t="s">
        <v>125</v>
      </c>
      <c r="AF2419">
        <v>0</v>
      </c>
      <c r="AG2419" t="s">
        <v>125</v>
      </c>
      <c r="AH2419">
        <v>0</v>
      </c>
      <c r="AK2419">
        <v>0</v>
      </c>
    </row>
    <row r="2420" spans="1:37" x14ac:dyDescent="0.25">
      <c r="A2420" t="s">
        <v>79</v>
      </c>
      <c r="B2420">
        <v>10</v>
      </c>
      <c r="C2420">
        <v>1</v>
      </c>
      <c r="D2420">
        <v>1</v>
      </c>
      <c r="E2420">
        <v>13</v>
      </c>
      <c r="G2420">
        <v>1011</v>
      </c>
      <c r="H2420" t="s">
        <v>3213</v>
      </c>
      <c r="I2420" t="s">
        <v>135</v>
      </c>
      <c r="J2420" t="s">
        <v>3254</v>
      </c>
      <c r="L2420">
        <v>0</v>
      </c>
      <c r="M2420" t="s">
        <v>125</v>
      </c>
      <c r="O2420" t="s">
        <v>125</v>
      </c>
      <c r="P2420" t="s">
        <v>125</v>
      </c>
      <c r="Q2420" t="s">
        <v>125</v>
      </c>
      <c r="R2420" t="s">
        <v>125</v>
      </c>
      <c r="S2420" t="s">
        <v>125</v>
      </c>
      <c r="T2420">
        <v>2091</v>
      </c>
      <c r="V2420" t="s">
        <v>125</v>
      </c>
      <c r="AE2420" t="s">
        <v>125</v>
      </c>
      <c r="AF2420">
        <v>0</v>
      </c>
      <c r="AG2420" t="s">
        <v>125</v>
      </c>
      <c r="AH2420">
        <v>0</v>
      </c>
      <c r="AK2420">
        <v>0</v>
      </c>
    </row>
    <row r="2421" spans="1:37" x14ac:dyDescent="0.25">
      <c r="A2421" t="s">
        <v>79</v>
      </c>
      <c r="B2421">
        <v>10</v>
      </c>
      <c r="C2421">
        <v>1</v>
      </c>
      <c r="D2421">
        <v>1</v>
      </c>
      <c r="E2421">
        <v>14</v>
      </c>
      <c r="G2421">
        <v>1011</v>
      </c>
      <c r="H2421" t="s">
        <v>3213</v>
      </c>
      <c r="I2421" t="s">
        <v>137</v>
      </c>
      <c r="J2421" t="s">
        <v>3255</v>
      </c>
      <c r="L2421">
        <v>0</v>
      </c>
      <c r="M2421" t="s">
        <v>125</v>
      </c>
      <c r="O2421" t="s">
        <v>125</v>
      </c>
      <c r="P2421" t="s">
        <v>125</v>
      </c>
      <c r="Q2421" t="s">
        <v>125</v>
      </c>
      <c r="R2421" t="s">
        <v>125</v>
      </c>
      <c r="S2421" t="s">
        <v>125</v>
      </c>
      <c r="T2421">
        <v>2091</v>
      </c>
      <c r="V2421" t="s">
        <v>125</v>
      </c>
      <c r="AE2421" t="s">
        <v>125</v>
      </c>
      <c r="AF2421">
        <v>0</v>
      </c>
      <c r="AG2421" t="s">
        <v>125</v>
      </c>
      <c r="AH2421">
        <v>0</v>
      </c>
      <c r="AK2421">
        <v>0</v>
      </c>
    </row>
    <row r="2422" spans="1:37" x14ac:dyDescent="0.25">
      <c r="A2422" t="s">
        <v>79</v>
      </c>
      <c r="B2422">
        <v>10</v>
      </c>
      <c r="C2422">
        <v>1</v>
      </c>
      <c r="D2422">
        <v>1</v>
      </c>
      <c r="E2422">
        <v>15</v>
      </c>
      <c r="G2422">
        <v>1011</v>
      </c>
      <c r="H2422" t="s">
        <v>3213</v>
      </c>
      <c r="I2422" t="s">
        <v>139</v>
      </c>
      <c r="J2422" t="s">
        <v>3256</v>
      </c>
      <c r="L2422">
        <v>0</v>
      </c>
      <c r="M2422" t="s">
        <v>125</v>
      </c>
      <c r="O2422" t="s">
        <v>125</v>
      </c>
      <c r="P2422" t="s">
        <v>125</v>
      </c>
      <c r="Q2422" t="s">
        <v>125</v>
      </c>
      <c r="R2422" t="s">
        <v>125</v>
      </c>
      <c r="S2422" t="s">
        <v>125</v>
      </c>
      <c r="T2422">
        <v>2091</v>
      </c>
      <c r="V2422" t="s">
        <v>125</v>
      </c>
      <c r="AE2422" t="s">
        <v>125</v>
      </c>
      <c r="AF2422">
        <v>0</v>
      </c>
      <c r="AG2422" t="s">
        <v>125</v>
      </c>
      <c r="AH2422">
        <v>0</v>
      </c>
      <c r="AK2422">
        <v>0</v>
      </c>
    </row>
    <row r="2423" spans="1:37" x14ac:dyDescent="0.25">
      <c r="L2423">
        <v>0</v>
      </c>
    </row>
    <row r="2424" spans="1:37" x14ac:dyDescent="0.25">
      <c r="A2424" t="s">
        <v>70</v>
      </c>
      <c r="B2424">
        <v>10</v>
      </c>
      <c r="C2424">
        <v>1</v>
      </c>
      <c r="D2424">
        <v>2</v>
      </c>
      <c r="G2424">
        <v>101</v>
      </c>
      <c r="M2424" t="s">
        <v>3257</v>
      </c>
      <c r="O2424" t="s">
        <v>3258</v>
      </c>
      <c r="P2424" t="s">
        <v>3259</v>
      </c>
      <c r="Q2424" t="s">
        <v>3215</v>
      </c>
      <c r="R2424" t="s">
        <v>179</v>
      </c>
      <c r="S2424" t="s">
        <v>3260</v>
      </c>
      <c r="V2424" t="s">
        <v>3261</v>
      </c>
      <c r="X2424" t="s">
        <v>3262</v>
      </c>
      <c r="Y2424" t="s">
        <v>3263</v>
      </c>
      <c r="Z2424" t="s">
        <v>3264</v>
      </c>
      <c r="AA2424" t="s">
        <v>3265</v>
      </c>
      <c r="AB2424" t="s">
        <v>3266</v>
      </c>
      <c r="AC2424" t="s">
        <v>3201</v>
      </c>
      <c r="AE2424" t="s">
        <v>3267</v>
      </c>
      <c r="AF2424">
        <v>0</v>
      </c>
      <c r="AG2424" t="s">
        <v>3268</v>
      </c>
      <c r="AH2424">
        <v>0</v>
      </c>
      <c r="AK2424">
        <v>0</v>
      </c>
    </row>
    <row r="2425" spans="1:37" x14ac:dyDescent="0.25">
      <c r="A2425" t="s">
        <v>79</v>
      </c>
      <c r="B2425">
        <v>10</v>
      </c>
      <c r="C2425">
        <v>1</v>
      </c>
      <c r="D2425">
        <v>2</v>
      </c>
      <c r="E2425">
        <v>1</v>
      </c>
      <c r="G2425">
        <v>1012</v>
      </c>
      <c r="H2425" t="s">
        <v>3258</v>
      </c>
      <c r="I2425" t="s">
        <v>80</v>
      </c>
      <c r="J2425" t="s">
        <v>3269</v>
      </c>
      <c r="L2425">
        <v>0</v>
      </c>
      <c r="M2425" t="s">
        <v>3270</v>
      </c>
      <c r="O2425" t="s">
        <v>2512</v>
      </c>
      <c r="P2425" t="s">
        <v>2513</v>
      </c>
      <c r="Q2425" t="s">
        <v>3271</v>
      </c>
      <c r="R2425" t="s">
        <v>268</v>
      </c>
      <c r="S2425" t="s">
        <v>2515</v>
      </c>
      <c r="T2425">
        <v>2091</v>
      </c>
      <c r="U2425">
        <v>79</v>
      </c>
      <c r="V2425" t="s">
        <v>3272</v>
      </c>
      <c r="AE2425" t="s">
        <v>3273</v>
      </c>
      <c r="AF2425">
        <v>0</v>
      </c>
      <c r="AG2425" t="s">
        <v>3274</v>
      </c>
      <c r="AH2425">
        <v>0</v>
      </c>
      <c r="AK2425">
        <v>0</v>
      </c>
    </row>
    <row r="2426" spans="1:37" x14ac:dyDescent="0.25">
      <c r="A2426" t="s">
        <v>79</v>
      </c>
      <c r="B2426">
        <v>10</v>
      </c>
      <c r="C2426">
        <v>1</v>
      </c>
      <c r="D2426">
        <v>2</v>
      </c>
      <c r="E2426">
        <v>2</v>
      </c>
      <c r="G2426">
        <v>1012</v>
      </c>
      <c r="H2426" t="s">
        <v>3258</v>
      </c>
      <c r="I2426" t="s">
        <v>88</v>
      </c>
      <c r="J2426" t="s">
        <v>3275</v>
      </c>
      <c r="L2426">
        <v>0</v>
      </c>
      <c r="M2426" t="s">
        <v>3276</v>
      </c>
      <c r="O2426" t="s">
        <v>1319</v>
      </c>
      <c r="P2426" t="s">
        <v>1320</v>
      </c>
      <c r="Q2426" t="s">
        <v>3277</v>
      </c>
      <c r="R2426" t="s">
        <v>229</v>
      </c>
      <c r="S2426" t="s">
        <v>1322</v>
      </c>
      <c r="T2426">
        <v>2091</v>
      </c>
      <c r="U2426">
        <v>899</v>
      </c>
      <c r="V2426" t="s">
        <v>3278</v>
      </c>
      <c r="AE2426" t="s">
        <v>3279</v>
      </c>
      <c r="AF2426">
        <v>0</v>
      </c>
      <c r="AG2426" t="s">
        <v>3280</v>
      </c>
      <c r="AH2426">
        <v>0</v>
      </c>
      <c r="AK2426">
        <v>0</v>
      </c>
    </row>
    <row r="2427" spans="1:37" x14ac:dyDescent="0.25">
      <c r="A2427" t="s">
        <v>79</v>
      </c>
      <c r="B2427">
        <v>10</v>
      </c>
      <c r="C2427">
        <v>1</v>
      </c>
      <c r="D2427">
        <v>2</v>
      </c>
      <c r="E2427">
        <v>3</v>
      </c>
      <c r="G2427">
        <v>1012</v>
      </c>
      <c r="H2427" t="s">
        <v>3258</v>
      </c>
      <c r="I2427" t="s">
        <v>95</v>
      </c>
      <c r="J2427" t="s">
        <v>3281</v>
      </c>
      <c r="L2427">
        <v>0</v>
      </c>
      <c r="M2427" t="s">
        <v>3282</v>
      </c>
      <c r="O2427" t="s">
        <v>294</v>
      </c>
      <c r="P2427" t="s">
        <v>295</v>
      </c>
      <c r="Q2427" t="s">
        <v>3283</v>
      </c>
      <c r="R2427" t="s">
        <v>229</v>
      </c>
      <c r="S2427" t="s">
        <v>297</v>
      </c>
      <c r="T2427">
        <v>2091</v>
      </c>
      <c r="U2427">
        <v>330</v>
      </c>
      <c r="V2427" t="s">
        <v>2044</v>
      </c>
      <c r="AE2427" t="s">
        <v>3284</v>
      </c>
      <c r="AF2427">
        <v>0</v>
      </c>
      <c r="AG2427" t="s">
        <v>3285</v>
      </c>
      <c r="AH2427">
        <v>0</v>
      </c>
      <c r="AK2427">
        <v>0</v>
      </c>
    </row>
    <row r="2428" spans="1:37" x14ac:dyDescent="0.25">
      <c r="A2428" t="s">
        <v>79</v>
      </c>
      <c r="B2428">
        <v>10</v>
      </c>
      <c r="C2428">
        <v>1</v>
      </c>
      <c r="D2428">
        <v>2</v>
      </c>
      <c r="E2428">
        <v>4</v>
      </c>
      <c r="G2428">
        <v>1012</v>
      </c>
      <c r="H2428" t="s">
        <v>3258</v>
      </c>
      <c r="I2428" t="s">
        <v>102</v>
      </c>
      <c r="J2428" t="s">
        <v>3286</v>
      </c>
      <c r="L2428">
        <v>0</v>
      </c>
      <c r="M2428" t="s">
        <v>125</v>
      </c>
      <c r="O2428" t="s">
        <v>125</v>
      </c>
      <c r="P2428" t="s">
        <v>125</v>
      </c>
      <c r="Q2428" t="s">
        <v>125</v>
      </c>
      <c r="R2428" t="s">
        <v>125</v>
      </c>
      <c r="S2428" t="s">
        <v>125</v>
      </c>
      <c r="T2428">
        <v>2091</v>
      </c>
      <c r="V2428" t="s">
        <v>125</v>
      </c>
      <c r="AE2428" t="s">
        <v>125</v>
      </c>
      <c r="AF2428">
        <v>0</v>
      </c>
      <c r="AG2428" t="s">
        <v>125</v>
      </c>
      <c r="AH2428">
        <v>0</v>
      </c>
      <c r="AK2428">
        <v>0</v>
      </c>
    </row>
    <row r="2429" spans="1:37" x14ac:dyDescent="0.25">
      <c r="A2429" t="s">
        <v>79</v>
      </c>
      <c r="B2429">
        <v>10</v>
      </c>
      <c r="C2429">
        <v>1</v>
      </c>
      <c r="D2429">
        <v>2</v>
      </c>
      <c r="E2429">
        <v>5</v>
      </c>
      <c r="G2429">
        <v>1012</v>
      </c>
      <c r="H2429" t="s">
        <v>3258</v>
      </c>
      <c r="I2429" t="s">
        <v>109</v>
      </c>
      <c r="J2429" t="s">
        <v>3287</v>
      </c>
      <c r="L2429">
        <v>0</v>
      </c>
      <c r="M2429" t="s">
        <v>125</v>
      </c>
      <c r="O2429" t="s">
        <v>125</v>
      </c>
      <c r="P2429" t="s">
        <v>125</v>
      </c>
      <c r="Q2429" t="s">
        <v>125</v>
      </c>
      <c r="R2429" t="s">
        <v>125</v>
      </c>
      <c r="S2429" t="s">
        <v>125</v>
      </c>
      <c r="T2429">
        <v>2091</v>
      </c>
      <c r="V2429" t="s">
        <v>125</v>
      </c>
      <c r="AE2429" t="s">
        <v>125</v>
      </c>
      <c r="AF2429">
        <v>0</v>
      </c>
      <c r="AG2429" t="s">
        <v>125</v>
      </c>
      <c r="AH2429">
        <v>0</v>
      </c>
      <c r="AK2429">
        <v>0</v>
      </c>
    </row>
    <row r="2430" spans="1:37" x14ac:dyDescent="0.25">
      <c r="A2430" t="s">
        <v>79</v>
      </c>
      <c r="B2430">
        <v>10</v>
      </c>
      <c r="C2430">
        <v>1</v>
      </c>
      <c r="D2430">
        <v>2</v>
      </c>
      <c r="E2430">
        <v>6</v>
      </c>
      <c r="G2430">
        <v>1012</v>
      </c>
      <c r="H2430" t="s">
        <v>3258</v>
      </c>
      <c r="I2430" t="s">
        <v>116</v>
      </c>
      <c r="J2430" t="s">
        <v>3288</v>
      </c>
      <c r="L2430">
        <v>0</v>
      </c>
      <c r="M2430" t="s">
        <v>125</v>
      </c>
      <c r="O2430" t="s">
        <v>125</v>
      </c>
      <c r="P2430" t="s">
        <v>125</v>
      </c>
      <c r="Q2430" t="s">
        <v>125</v>
      </c>
      <c r="R2430" t="s">
        <v>125</v>
      </c>
      <c r="S2430" t="s">
        <v>125</v>
      </c>
      <c r="T2430">
        <v>2091</v>
      </c>
      <c r="V2430" t="s">
        <v>125</v>
      </c>
      <c r="AE2430" t="s">
        <v>125</v>
      </c>
      <c r="AF2430">
        <v>0</v>
      </c>
      <c r="AG2430" t="s">
        <v>125</v>
      </c>
      <c r="AH2430">
        <v>0</v>
      </c>
      <c r="AK2430">
        <v>0</v>
      </c>
    </row>
    <row r="2431" spans="1:37" x14ac:dyDescent="0.25">
      <c r="A2431" t="s">
        <v>79</v>
      </c>
      <c r="B2431">
        <v>10</v>
      </c>
      <c r="C2431">
        <v>1</v>
      </c>
      <c r="D2431">
        <v>2</v>
      </c>
      <c r="E2431">
        <v>7</v>
      </c>
      <c r="G2431">
        <v>1012</v>
      </c>
      <c r="H2431" t="s">
        <v>3258</v>
      </c>
      <c r="I2431" t="s">
        <v>123</v>
      </c>
      <c r="J2431" t="s">
        <v>3289</v>
      </c>
      <c r="L2431">
        <v>0</v>
      </c>
      <c r="M2431" t="s">
        <v>125</v>
      </c>
      <c r="O2431" t="s">
        <v>125</v>
      </c>
      <c r="P2431" t="s">
        <v>125</v>
      </c>
      <c r="Q2431" t="s">
        <v>125</v>
      </c>
      <c r="R2431" t="s">
        <v>125</v>
      </c>
      <c r="S2431" t="s">
        <v>125</v>
      </c>
      <c r="T2431">
        <v>2091</v>
      </c>
      <c r="V2431" t="s">
        <v>125</v>
      </c>
      <c r="AE2431" t="s">
        <v>125</v>
      </c>
      <c r="AF2431">
        <v>0</v>
      </c>
      <c r="AG2431" t="s">
        <v>125</v>
      </c>
      <c r="AH2431">
        <v>0</v>
      </c>
      <c r="AK2431">
        <v>0</v>
      </c>
    </row>
    <row r="2432" spans="1:37" x14ac:dyDescent="0.25">
      <c r="A2432" t="s">
        <v>79</v>
      </c>
      <c r="B2432">
        <v>10</v>
      </c>
      <c r="C2432">
        <v>1</v>
      </c>
      <c r="D2432">
        <v>2</v>
      </c>
      <c r="E2432">
        <v>8</v>
      </c>
      <c r="G2432">
        <v>1012</v>
      </c>
      <c r="H2432" t="s">
        <v>3258</v>
      </c>
      <c r="I2432" t="s">
        <v>126</v>
      </c>
      <c r="J2432" t="s">
        <v>3290</v>
      </c>
      <c r="L2432">
        <v>0</v>
      </c>
      <c r="M2432" t="s">
        <v>125</v>
      </c>
      <c r="O2432" t="s">
        <v>125</v>
      </c>
      <c r="P2432" t="s">
        <v>125</v>
      </c>
      <c r="Q2432" t="s">
        <v>125</v>
      </c>
      <c r="R2432" t="s">
        <v>125</v>
      </c>
      <c r="S2432" t="s">
        <v>125</v>
      </c>
      <c r="T2432">
        <v>2091</v>
      </c>
      <c r="V2432" t="s">
        <v>125</v>
      </c>
      <c r="AE2432" t="s">
        <v>125</v>
      </c>
      <c r="AF2432">
        <v>0</v>
      </c>
      <c r="AG2432" t="s">
        <v>125</v>
      </c>
      <c r="AH2432">
        <v>0</v>
      </c>
      <c r="AK2432">
        <v>0</v>
      </c>
    </row>
    <row r="2433" spans="1:37" x14ac:dyDescent="0.25">
      <c r="A2433" t="s">
        <v>79</v>
      </c>
      <c r="B2433">
        <v>10</v>
      </c>
      <c r="C2433">
        <v>1</v>
      </c>
      <c r="D2433">
        <v>2</v>
      </c>
      <c r="E2433">
        <v>9</v>
      </c>
      <c r="G2433">
        <v>1012</v>
      </c>
      <c r="H2433" t="s">
        <v>3258</v>
      </c>
      <c r="I2433" t="s">
        <v>74</v>
      </c>
      <c r="J2433" t="s">
        <v>3291</v>
      </c>
      <c r="L2433">
        <v>0</v>
      </c>
      <c r="M2433" t="s">
        <v>125</v>
      </c>
      <c r="O2433" t="s">
        <v>125</v>
      </c>
      <c r="P2433" t="s">
        <v>125</v>
      </c>
      <c r="Q2433" t="s">
        <v>125</v>
      </c>
      <c r="R2433" t="s">
        <v>125</v>
      </c>
      <c r="S2433" t="s">
        <v>125</v>
      </c>
      <c r="T2433">
        <v>2091</v>
      </c>
      <c r="V2433" t="s">
        <v>125</v>
      </c>
      <c r="AE2433" t="s">
        <v>125</v>
      </c>
      <c r="AF2433">
        <v>0</v>
      </c>
      <c r="AG2433" t="s">
        <v>125</v>
      </c>
      <c r="AH2433">
        <v>0</v>
      </c>
      <c r="AK2433">
        <v>0</v>
      </c>
    </row>
    <row r="2434" spans="1:37" x14ac:dyDescent="0.25">
      <c r="A2434" t="s">
        <v>79</v>
      </c>
      <c r="B2434">
        <v>10</v>
      </c>
      <c r="C2434">
        <v>1</v>
      </c>
      <c r="D2434">
        <v>2</v>
      </c>
      <c r="E2434">
        <v>10</v>
      </c>
      <c r="G2434">
        <v>1012</v>
      </c>
      <c r="H2434" t="s">
        <v>3258</v>
      </c>
      <c r="I2434" t="s">
        <v>129</v>
      </c>
      <c r="J2434" t="s">
        <v>3292</v>
      </c>
      <c r="L2434">
        <v>0</v>
      </c>
      <c r="M2434" t="s">
        <v>125</v>
      </c>
      <c r="O2434" t="s">
        <v>125</v>
      </c>
      <c r="P2434" t="s">
        <v>125</v>
      </c>
      <c r="Q2434" t="s">
        <v>125</v>
      </c>
      <c r="R2434" t="s">
        <v>125</v>
      </c>
      <c r="S2434" t="s">
        <v>125</v>
      </c>
      <c r="T2434">
        <v>2091</v>
      </c>
      <c r="V2434" t="s">
        <v>125</v>
      </c>
      <c r="AE2434" t="s">
        <v>125</v>
      </c>
      <c r="AF2434">
        <v>0</v>
      </c>
      <c r="AG2434" t="s">
        <v>125</v>
      </c>
      <c r="AH2434">
        <v>0</v>
      </c>
      <c r="AK2434">
        <v>0</v>
      </c>
    </row>
    <row r="2435" spans="1:37" x14ac:dyDescent="0.25">
      <c r="A2435" t="s">
        <v>79</v>
      </c>
      <c r="B2435">
        <v>10</v>
      </c>
      <c r="C2435">
        <v>1</v>
      </c>
      <c r="D2435">
        <v>2</v>
      </c>
      <c r="E2435">
        <v>11</v>
      </c>
      <c r="G2435">
        <v>1012</v>
      </c>
      <c r="H2435" t="s">
        <v>3258</v>
      </c>
      <c r="I2435" t="s">
        <v>131</v>
      </c>
      <c r="J2435" t="s">
        <v>3293</v>
      </c>
      <c r="L2435">
        <v>0</v>
      </c>
      <c r="M2435" t="s">
        <v>125</v>
      </c>
      <c r="O2435" t="s">
        <v>125</v>
      </c>
      <c r="P2435" t="s">
        <v>125</v>
      </c>
      <c r="Q2435" t="s">
        <v>125</v>
      </c>
      <c r="R2435" t="s">
        <v>125</v>
      </c>
      <c r="S2435" t="s">
        <v>125</v>
      </c>
      <c r="T2435">
        <v>2091</v>
      </c>
      <c r="V2435" t="s">
        <v>125</v>
      </c>
      <c r="AE2435" t="s">
        <v>125</v>
      </c>
      <c r="AF2435">
        <v>0</v>
      </c>
      <c r="AG2435" t="s">
        <v>125</v>
      </c>
      <c r="AH2435">
        <v>0</v>
      </c>
      <c r="AK2435">
        <v>0</v>
      </c>
    </row>
    <row r="2436" spans="1:37" x14ac:dyDescent="0.25">
      <c r="A2436" t="s">
        <v>79</v>
      </c>
      <c r="B2436">
        <v>10</v>
      </c>
      <c r="C2436">
        <v>1</v>
      </c>
      <c r="D2436">
        <v>2</v>
      </c>
      <c r="E2436">
        <v>12</v>
      </c>
      <c r="G2436">
        <v>1012</v>
      </c>
      <c r="H2436" t="s">
        <v>3258</v>
      </c>
      <c r="I2436" t="s">
        <v>133</v>
      </c>
      <c r="J2436" t="s">
        <v>3294</v>
      </c>
      <c r="L2436">
        <v>0</v>
      </c>
      <c r="M2436" t="s">
        <v>125</v>
      </c>
      <c r="O2436" t="s">
        <v>125</v>
      </c>
      <c r="P2436" t="s">
        <v>125</v>
      </c>
      <c r="Q2436" t="s">
        <v>125</v>
      </c>
      <c r="R2436" t="s">
        <v>125</v>
      </c>
      <c r="S2436" t="s">
        <v>125</v>
      </c>
      <c r="T2436">
        <v>2091</v>
      </c>
      <c r="V2436" t="s">
        <v>125</v>
      </c>
      <c r="AE2436" t="s">
        <v>125</v>
      </c>
      <c r="AF2436">
        <v>0</v>
      </c>
      <c r="AG2436" t="s">
        <v>125</v>
      </c>
      <c r="AH2436">
        <v>0</v>
      </c>
      <c r="AK2436">
        <v>0</v>
      </c>
    </row>
    <row r="2437" spans="1:37" x14ac:dyDescent="0.25">
      <c r="A2437" t="s">
        <v>79</v>
      </c>
      <c r="B2437">
        <v>10</v>
      </c>
      <c r="C2437">
        <v>1</v>
      </c>
      <c r="D2437">
        <v>2</v>
      </c>
      <c r="E2437">
        <v>13</v>
      </c>
      <c r="G2437">
        <v>1012</v>
      </c>
      <c r="H2437" t="s">
        <v>3258</v>
      </c>
      <c r="I2437" t="s">
        <v>135</v>
      </c>
      <c r="J2437" t="s">
        <v>3295</v>
      </c>
      <c r="L2437">
        <v>0</v>
      </c>
      <c r="M2437" t="s">
        <v>125</v>
      </c>
      <c r="O2437" t="s">
        <v>125</v>
      </c>
      <c r="P2437" t="s">
        <v>125</v>
      </c>
      <c r="Q2437" t="s">
        <v>125</v>
      </c>
      <c r="R2437" t="s">
        <v>125</v>
      </c>
      <c r="S2437" t="s">
        <v>125</v>
      </c>
      <c r="T2437">
        <v>2091</v>
      </c>
      <c r="V2437" t="s">
        <v>125</v>
      </c>
      <c r="AE2437" t="s">
        <v>125</v>
      </c>
      <c r="AF2437">
        <v>0</v>
      </c>
      <c r="AG2437" t="s">
        <v>125</v>
      </c>
      <c r="AH2437">
        <v>0</v>
      </c>
      <c r="AK2437">
        <v>0</v>
      </c>
    </row>
    <row r="2438" spans="1:37" x14ac:dyDescent="0.25">
      <c r="A2438" t="s">
        <v>79</v>
      </c>
      <c r="B2438">
        <v>10</v>
      </c>
      <c r="C2438">
        <v>1</v>
      </c>
      <c r="D2438">
        <v>2</v>
      </c>
      <c r="E2438">
        <v>14</v>
      </c>
      <c r="G2438">
        <v>1012</v>
      </c>
      <c r="H2438" t="s">
        <v>3258</v>
      </c>
      <c r="I2438" t="s">
        <v>137</v>
      </c>
      <c r="J2438" t="s">
        <v>3296</v>
      </c>
      <c r="L2438">
        <v>0</v>
      </c>
      <c r="M2438" t="s">
        <v>125</v>
      </c>
      <c r="O2438" t="s">
        <v>125</v>
      </c>
      <c r="P2438" t="s">
        <v>125</v>
      </c>
      <c r="Q2438" t="s">
        <v>125</v>
      </c>
      <c r="R2438" t="s">
        <v>125</v>
      </c>
      <c r="S2438" t="s">
        <v>125</v>
      </c>
      <c r="T2438">
        <v>2091</v>
      </c>
      <c r="V2438" t="s">
        <v>125</v>
      </c>
      <c r="AE2438" t="s">
        <v>125</v>
      </c>
      <c r="AF2438">
        <v>0</v>
      </c>
      <c r="AG2438" t="s">
        <v>125</v>
      </c>
      <c r="AH2438">
        <v>0</v>
      </c>
      <c r="AK2438">
        <v>0</v>
      </c>
    </row>
    <row r="2439" spans="1:37" x14ac:dyDescent="0.25">
      <c r="A2439" t="s">
        <v>79</v>
      </c>
      <c r="B2439">
        <v>10</v>
      </c>
      <c r="C2439">
        <v>1</v>
      </c>
      <c r="D2439">
        <v>2</v>
      </c>
      <c r="E2439">
        <v>15</v>
      </c>
      <c r="G2439">
        <v>1012</v>
      </c>
      <c r="H2439" t="s">
        <v>3258</v>
      </c>
      <c r="I2439" t="s">
        <v>139</v>
      </c>
      <c r="J2439" t="s">
        <v>3297</v>
      </c>
      <c r="L2439">
        <v>0</v>
      </c>
      <c r="M2439" t="s">
        <v>125</v>
      </c>
      <c r="O2439" t="s">
        <v>125</v>
      </c>
      <c r="P2439" t="s">
        <v>125</v>
      </c>
      <c r="Q2439" t="s">
        <v>125</v>
      </c>
      <c r="R2439" t="s">
        <v>125</v>
      </c>
      <c r="S2439" t="s">
        <v>125</v>
      </c>
      <c r="T2439">
        <v>2091</v>
      </c>
      <c r="V2439" t="s">
        <v>125</v>
      </c>
      <c r="AE2439" t="s">
        <v>125</v>
      </c>
      <c r="AF2439">
        <v>0</v>
      </c>
      <c r="AG2439" t="s">
        <v>125</v>
      </c>
      <c r="AH2439">
        <v>0</v>
      </c>
      <c r="AK2439">
        <v>0</v>
      </c>
    </row>
    <row r="2440" spans="1:37" x14ac:dyDescent="0.25">
      <c r="L2440">
        <v>0</v>
      </c>
    </row>
    <row r="2441" spans="1:37" x14ac:dyDescent="0.25">
      <c r="A2441" t="s">
        <v>70</v>
      </c>
      <c r="B2441">
        <v>10</v>
      </c>
      <c r="C2441">
        <v>1</v>
      </c>
      <c r="D2441">
        <v>3</v>
      </c>
      <c r="G2441">
        <v>101</v>
      </c>
      <c r="M2441" t="s">
        <v>3298</v>
      </c>
      <c r="O2441" t="s">
        <v>3299</v>
      </c>
      <c r="P2441" t="s">
        <v>3300</v>
      </c>
      <c r="Q2441" t="s">
        <v>3301</v>
      </c>
      <c r="R2441" t="s">
        <v>179</v>
      </c>
      <c r="S2441" t="s">
        <v>3302</v>
      </c>
      <c r="V2441" t="s">
        <v>3303</v>
      </c>
      <c r="X2441" t="s">
        <v>3304</v>
      </c>
      <c r="Y2441" t="s">
        <v>3305</v>
      </c>
      <c r="Z2441" t="s">
        <v>3306</v>
      </c>
      <c r="AA2441" t="s">
        <v>3307</v>
      </c>
      <c r="AB2441" t="s">
        <v>63</v>
      </c>
      <c r="AC2441" t="s">
        <v>63</v>
      </c>
      <c r="AE2441" t="s">
        <v>3308</v>
      </c>
      <c r="AF2441">
        <v>0</v>
      </c>
      <c r="AG2441" t="s">
        <v>3309</v>
      </c>
      <c r="AH2441">
        <v>0</v>
      </c>
      <c r="AK2441">
        <v>0</v>
      </c>
    </row>
    <row r="2442" spans="1:37" x14ac:dyDescent="0.25">
      <c r="A2442" t="s">
        <v>79</v>
      </c>
      <c r="B2442">
        <v>10</v>
      </c>
      <c r="C2442">
        <v>1</v>
      </c>
      <c r="D2442">
        <v>3</v>
      </c>
      <c r="E2442">
        <v>1</v>
      </c>
      <c r="G2442">
        <v>1013</v>
      </c>
      <c r="H2442" t="s">
        <v>3299</v>
      </c>
      <c r="I2442" t="s">
        <v>80</v>
      </c>
      <c r="J2442" t="s">
        <v>3310</v>
      </c>
      <c r="L2442">
        <v>0</v>
      </c>
      <c r="M2442" t="s">
        <v>3311</v>
      </c>
      <c r="O2442" t="s">
        <v>3312</v>
      </c>
      <c r="P2442" t="s">
        <v>3313</v>
      </c>
      <c r="Q2442" t="s">
        <v>3314</v>
      </c>
      <c r="R2442" t="s">
        <v>179</v>
      </c>
      <c r="S2442" t="s">
        <v>3315</v>
      </c>
      <c r="T2442">
        <v>1304</v>
      </c>
      <c r="U2442">
        <v>1408</v>
      </c>
      <c r="V2442" t="s">
        <v>3316</v>
      </c>
      <c r="AE2442" t="s">
        <v>3317</v>
      </c>
      <c r="AF2442">
        <v>0</v>
      </c>
      <c r="AG2442" t="s">
        <v>3318</v>
      </c>
      <c r="AH2442">
        <v>0</v>
      </c>
      <c r="AK2442">
        <v>0</v>
      </c>
    </row>
    <row r="2443" spans="1:37" x14ac:dyDescent="0.25">
      <c r="A2443" t="s">
        <v>79</v>
      </c>
      <c r="B2443">
        <v>10</v>
      </c>
      <c r="C2443">
        <v>1</v>
      </c>
      <c r="D2443">
        <v>3</v>
      </c>
      <c r="E2443">
        <v>2</v>
      </c>
      <c r="G2443">
        <v>1013</v>
      </c>
      <c r="H2443" t="s">
        <v>3299</v>
      </c>
      <c r="I2443" t="s">
        <v>88</v>
      </c>
      <c r="J2443" t="s">
        <v>3319</v>
      </c>
      <c r="L2443">
        <v>0</v>
      </c>
      <c r="M2443" t="s">
        <v>3320</v>
      </c>
      <c r="O2443" t="s">
        <v>3321</v>
      </c>
      <c r="P2443" t="s">
        <v>3322</v>
      </c>
      <c r="Q2443" t="s">
        <v>3323</v>
      </c>
      <c r="R2443" t="s">
        <v>210</v>
      </c>
      <c r="S2443" t="s">
        <v>2596</v>
      </c>
      <c r="T2443">
        <v>1304</v>
      </c>
      <c r="U2443">
        <v>8934</v>
      </c>
      <c r="V2443" t="s">
        <v>3324</v>
      </c>
      <c r="AE2443" t="s">
        <v>3325</v>
      </c>
      <c r="AF2443">
        <v>0</v>
      </c>
      <c r="AG2443" t="s">
        <v>3326</v>
      </c>
      <c r="AH2443">
        <v>0</v>
      </c>
      <c r="AK2443">
        <v>0</v>
      </c>
    </row>
    <row r="2444" spans="1:37" x14ac:dyDescent="0.25">
      <c r="A2444" t="s">
        <v>79</v>
      </c>
      <c r="B2444">
        <v>10</v>
      </c>
      <c r="C2444">
        <v>1</v>
      </c>
      <c r="D2444">
        <v>3</v>
      </c>
      <c r="E2444">
        <v>3</v>
      </c>
      <c r="G2444">
        <v>1013</v>
      </c>
      <c r="H2444" t="s">
        <v>3299</v>
      </c>
      <c r="I2444" t="s">
        <v>95</v>
      </c>
      <c r="J2444" t="s">
        <v>3327</v>
      </c>
      <c r="L2444">
        <v>0</v>
      </c>
      <c r="M2444" t="s">
        <v>3328</v>
      </c>
      <c r="O2444" t="s">
        <v>3329</v>
      </c>
      <c r="P2444" t="s">
        <v>3330</v>
      </c>
      <c r="Q2444" t="s">
        <v>3331</v>
      </c>
      <c r="R2444" t="s">
        <v>210</v>
      </c>
      <c r="S2444" t="s">
        <v>3332</v>
      </c>
      <c r="T2444">
        <v>1304</v>
      </c>
      <c r="U2444">
        <v>290</v>
      </c>
      <c r="V2444" t="s">
        <v>1733</v>
      </c>
      <c r="AE2444" t="s">
        <v>3333</v>
      </c>
      <c r="AF2444">
        <v>0</v>
      </c>
      <c r="AG2444" t="s">
        <v>3334</v>
      </c>
      <c r="AH2444">
        <v>0</v>
      </c>
      <c r="AK2444">
        <v>0</v>
      </c>
    </row>
    <row r="2445" spans="1:37" x14ac:dyDescent="0.25">
      <c r="A2445" t="s">
        <v>79</v>
      </c>
      <c r="B2445">
        <v>10</v>
      </c>
      <c r="C2445">
        <v>1</v>
      </c>
      <c r="D2445">
        <v>3</v>
      </c>
      <c r="E2445">
        <v>4</v>
      </c>
      <c r="G2445">
        <v>1013</v>
      </c>
      <c r="H2445" t="s">
        <v>3299</v>
      </c>
      <c r="I2445" t="s">
        <v>102</v>
      </c>
      <c r="J2445" t="s">
        <v>3335</v>
      </c>
      <c r="L2445">
        <v>0</v>
      </c>
      <c r="M2445" t="s">
        <v>3336</v>
      </c>
      <c r="O2445" t="s">
        <v>3337</v>
      </c>
      <c r="P2445" t="s">
        <v>3338</v>
      </c>
      <c r="Q2445" t="s">
        <v>3339</v>
      </c>
      <c r="R2445" t="s">
        <v>229</v>
      </c>
      <c r="S2445" t="s">
        <v>3340</v>
      </c>
      <c r="T2445">
        <v>1304</v>
      </c>
      <c r="U2445">
        <v>909</v>
      </c>
      <c r="V2445" t="s">
        <v>3341</v>
      </c>
      <c r="AE2445" t="s">
        <v>3342</v>
      </c>
      <c r="AF2445">
        <v>0</v>
      </c>
      <c r="AG2445" t="s">
        <v>3343</v>
      </c>
      <c r="AH2445">
        <v>0</v>
      </c>
      <c r="AK2445">
        <v>0</v>
      </c>
    </row>
    <row r="2446" spans="1:37" x14ac:dyDescent="0.25">
      <c r="A2446" t="s">
        <v>79</v>
      </c>
      <c r="B2446">
        <v>10</v>
      </c>
      <c r="C2446">
        <v>1</v>
      </c>
      <c r="D2446">
        <v>3</v>
      </c>
      <c r="E2446">
        <v>5</v>
      </c>
      <c r="G2446">
        <v>1013</v>
      </c>
      <c r="H2446" t="s">
        <v>3299</v>
      </c>
      <c r="I2446" t="s">
        <v>109</v>
      </c>
      <c r="J2446" t="s">
        <v>3344</v>
      </c>
      <c r="L2446">
        <v>0</v>
      </c>
      <c r="M2446" t="s">
        <v>3345</v>
      </c>
      <c r="O2446" t="s">
        <v>294</v>
      </c>
      <c r="P2446" t="s">
        <v>295</v>
      </c>
      <c r="Q2446" t="s">
        <v>3346</v>
      </c>
      <c r="R2446" t="s">
        <v>229</v>
      </c>
      <c r="S2446" t="s">
        <v>297</v>
      </c>
      <c r="T2446">
        <v>1304</v>
      </c>
      <c r="U2446">
        <v>409</v>
      </c>
      <c r="V2446" t="s">
        <v>3347</v>
      </c>
      <c r="AE2446" t="s">
        <v>3348</v>
      </c>
      <c r="AF2446">
        <v>0</v>
      </c>
      <c r="AG2446" t="s">
        <v>3349</v>
      </c>
      <c r="AH2446">
        <v>0</v>
      </c>
      <c r="AK2446">
        <v>0</v>
      </c>
    </row>
    <row r="2447" spans="1:37" x14ac:dyDescent="0.25">
      <c r="A2447" t="s">
        <v>79</v>
      </c>
      <c r="B2447">
        <v>10</v>
      </c>
      <c r="C2447">
        <v>1</v>
      </c>
      <c r="D2447">
        <v>3</v>
      </c>
      <c r="E2447">
        <v>6</v>
      </c>
      <c r="G2447">
        <v>1013</v>
      </c>
      <c r="H2447" t="s">
        <v>3299</v>
      </c>
      <c r="I2447" t="s">
        <v>116</v>
      </c>
      <c r="J2447" t="s">
        <v>3350</v>
      </c>
      <c r="L2447">
        <v>0</v>
      </c>
      <c r="M2447" t="s">
        <v>125</v>
      </c>
      <c r="O2447" t="s">
        <v>125</v>
      </c>
      <c r="P2447" t="s">
        <v>125</v>
      </c>
      <c r="Q2447" t="s">
        <v>125</v>
      </c>
      <c r="R2447" t="s">
        <v>125</v>
      </c>
      <c r="S2447" t="s">
        <v>125</v>
      </c>
      <c r="T2447">
        <v>1304</v>
      </c>
      <c r="V2447" t="s">
        <v>125</v>
      </c>
      <c r="AE2447" t="s">
        <v>125</v>
      </c>
      <c r="AF2447">
        <v>0</v>
      </c>
      <c r="AG2447" t="s">
        <v>125</v>
      </c>
      <c r="AH2447">
        <v>0</v>
      </c>
      <c r="AK2447">
        <v>0</v>
      </c>
    </row>
    <row r="2448" spans="1:37" x14ac:dyDescent="0.25">
      <c r="A2448" t="s">
        <v>79</v>
      </c>
      <c r="B2448">
        <v>10</v>
      </c>
      <c r="C2448">
        <v>1</v>
      </c>
      <c r="D2448">
        <v>3</v>
      </c>
      <c r="E2448">
        <v>7</v>
      </c>
      <c r="G2448">
        <v>1013</v>
      </c>
      <c r="H2448" t="s">
        <v>3299</v>
      </c>
      <c r="I2448" t="s">
        <v>123</v>
      </c>
      <c r="J2448" t="s">
        <v>3351</v>
      </c>
      <c r="L2448">
        <v>0</v>
      </c>
      <c r="M2448" t="s">
        <v>125</v>
      </c>
      <c r="O2448" t="s">
        <v>125</v>
      </c>
      <c r="P2448" t="s">
        <v>125</v>
      </c>
      <c r="Q2448" t="s">
        <v>125</v>
      </c>
      <c r="R2448" t="s">
        <v>125</v>
      </c>
      <c r="S2448" t="s">
        <v>125</v>
      </c>
      <c r="T2448">
        <v>1304</v>
      </c>
      <c r="V2448" t="s">
        <v>125</v>
      </c>
      <c r="AE2448" t="s">
        <v>125</v>
      </c>
      <c r="AF2448">
        <v>0</v>
      </c>
      <c r="AG2448" t="s">
        <v>125</v>
      </c>
      <c r="AH2448">
        <v>0</v>
      </c>
      <c r="AK2448">
        <v>0</v>
      </c>
    </row>
    <row r="2449" spans="1:37" x14ac:dyDescent="0.25">
      <c r="A2449" t="s">
        <v>79</v>
      </c>
      <c r="B2449">
        <v>10</v>
      </c>
      <c r="C2449">
        <v>1</v>
      </c>
      <c r="D2449">
        <v>3</v>
      </c>
      <c r="E2449">
        <v>8</v>
      </c>
      <c r="G2449">
        <v>1013</v>
      </c>
      <c r="H2449" t="s">
        <v>3299</v>
      </c>
      <c r="I2449" t="s">
        <v>126</v>
      </c>
      <c r="J2449" t="s">
        <v>3352</v>
      </c>
      <c r="L2449">
        <v>0</v>
      </c>
      <c r="M2449" t="s">
        <v>125</v>
      </c>
      <c r="O2449" t="s">
        <v>125</v>
      </c>
      <c r="P2449" t="s">
        <v>125</v>
      </c>
      <c r="Q2449" t="s">
        <v>125</v>
      </c>
      <c r="R2449" t="s">
        <v>125</v>
      </c>
      <c r="S2449" t="s">
        <v>125</v>
      </c>
      <c r="T2449">
        <v>1304</v>
      </c>
      <c r="V2449" t="s">
        <v>125</v>
      </c>
      <c r="AE2449" t="s">
        <v>125</v>
      </c>
      <c r="AF2449">
        <v>0</v>
      </c>
      <c r="AG2449" t="s">
        <v>125</v>
      </c>
      <c r="AH2449">
        <v>0</v>
      </c>
      <c r="AK2449">
        <v>0</v>
      </c>
    </row>
    <row r="2450" spans="1:37" x14ac:dyDescent="0.25">
      <c r="A2450" t="s">
        <v>79</v>
      </c>
      <c r="B2450">
        <v>10</v>
      </c>
      <c r="C2450">
        <v>1</v>
      </c>
      <c r="D2450">
        <v>3</v>
      </c>
      <c r="E2450">
        <v>9</v>
      </c>
      <c r="G2450">
        <v>1013</v>
      </c>
      <c r="H2450" t="s">
        <v>3299</v>
      </c>
      <c r="I2450" t="s">
        <v>74</v>
      </c>
      <c r="J2450" t="s">
        <v>3353</v>
      </c>
      <c r="L2450">
        <v>0</v>
      </c>
      <c r="M2450" t="s">
        <v>125</v>
      </c>
      <c r="O2450" t="s">
        <v>125</v>
      </c>
      <c r="P2450" t="s">
        <v>125</v>
      </c>
      <c r="Q2450" t="s">
        <v>125</v>
      </c>
      <c r="R2450" t="s">
        <v>125</v>
      </c>
      <c r="S2450" t="s">
        <v>125</v>
      </c>
      <c r="T2450">
        <v>1304</v>
      </c>
      <c r="V2450" t="s">
        <v>125</v>
      </c>
      <c r="AE2450" t="s">
        <v>125</v>
      </c>
      <c r="AF2450">
        <v>0</v>
      </c>
      <c r="AG2450" t="s">
        <v>125</v>
      </c>
      <c r="AH2450">
        <v>0</v>
      </c>
      <c r="AK2450">
        <v>0</v>
      </c>
    </row>
    <row r="2451" spans="1:37" x14ac:dyDescent="0.25">
      <c r="A2451" t="s">
        <v>79</v>
      </c>
      <c r="B2451">
        <v>10</v>
      </c>
      <c r="C2451">
        <v>1</v>
      </c>
      <c r="D2451">
        <v>3</v>
      </c>
      <c r="E2451">
        <v>10</v>
      </c>
      <c r="G2451">
        <v>1013</v>
      </c>
      <c r="H2451" t="s">
        <v>3299</v>
      </c>
      <c r="I2451" t="s">
        <v>129</v>
      </c>
      <c r="J2451" t="s">
        <v>3354</v>
      </c>
      <c r="L2451">
        <v>0</v>
      </c>
      <c r="M2451" t="s">
        <v>125</v>
      </c>
      <c r="O2451" t="s">
        <v>125</v>
      </c>
      <c r="P2451" t="s">
        <v>125</v>
      </c>
      <c r="Q2451" t="s">
        <v>125</v>
      </c>
      <c r="R2451" t="s">
        <v>125</v>
      </c>
      <c r="S2451" t="s">
        <v>125</v>
      </c>
      <c r="T2451">
        <v>1304</v>
      </c>
      <c r="V2451" t="s">
        <v>125</v>
      </c>
      <c r="AE2451" t="s">
        <v>125</v>
      </c>
      <c r="AF2451">
        <v>0</v>
      </c>
      <c r="AG2451" t="s">
        <v>125</v>
      </c>
      <c r="AH2451">
        <v>0</v>
      </c>
      <c r="AK2451">
        <v>0</v>
      </c>
    </row>
    <row r="2452" spans="1:37" x14ac:dyDescent="0.25">
      <c r="A2452" t="s">
        <v>79</v>
      </c>
      <c r="B2452">
        <v>10</v>
      </c>
      <c r="C2452">
        <v>1</v>
      </c>
      <c r="D2452">
        <v>3</v>
      </c>
      <c r="E2452">
        <v>11</v>
      </c>
      <c r="G2452">
        <v>1013</v>
      </c>
      <c r="H2452" t="s">
        <v>3299</v>
      </c>
      <c r="I2452" t="s">
        <v>131</v>
      </c>
      <c r="J2452" t="s">
        <v>3355</v>
      </c>
      <c r="L2452">
        <v>0</v>
      </c>
      <c r="M2452" t="s">
        <v>125</v>
      </c>
      <c r="O2452" t="s">
        <v>125</v>
      </c>
      <c r="P2452" t="s">
        <v>125</v>
      </c>
      <c r="Q2452" t="s">
        <v>125</v>
      </c>
      <c r="R2452" t="s">
        <v>125</v>
      </c>
      <c r="S2452" t="s">
        <v>125</v>
      </c>
      <c r="T2452">
        <v>1304</v>
      </c>
      <c r="V2452" t="s">
        <v>125</v>
      </c>
      <c r="AE2452" t="s">
        <v>125</v>
      </c>
      <c r="AF2452">
        <v>0</v>
      </c>
      <c r="AG2452" t="s">
        <v>125</v>
      </c>
      <c r="AH2452">
        <v>0</v>
      </c>
      <c r="AK2452">
        <v>0</v>
      </c>
    </row>
    <row r="2453" spans="1:37" x14ac:dyDescent="0.25">
      <c r="A2453" t="s">
        <v>79</v>
      </c>
      <c r="B2453">
        <v>10</v>
      </c>
      <c r="C2453">
        <v>1</v>
      </c>
      <c r="D2453">
        <v>3</v>
      </c>
      <c r="E2453">
        <v>12</v>
      </c>
      <c r="G2453">
        <v>1013</v>
      </c>
      <c r="H2453" t="s">
        <v>3299</v>
      </c>
      <c r="I2453" t="s">
        <v>133</v>
      </c>
      <c r="J2453" t="s">
        <v>3356</v>
      </c>
      <c r="L2453">
        <v>0</v>
      </c>
      <c r="M2453" t="s">
        <v>125</v>
      </c>
      <c r="O2453" t="s">
        <v>125</v>
      </c>
      <c r="P2453" t="s">
        <v>125</v>
      </c>
      <c r="Q2453" t="s">
        <v>125</v>
      </c>
      <c r="R2453" t="s">
        <v>125</v>
      </c>
      <c r="S2453" t="s">
        <v>125</v>
      </c>
      <c r="T2453">
        <v>1304</v>
      </c>
      <c r="V2453" t="s">
        <v>125</v>
      </c>
      <c r="AE2453" t="s">
        <v>125</v>
      </c>
      <c r="AF2453">
        <v>0</v>
      </c>
      <c r="AG2453" t="s">
        <v>125</v>
      </c>
      <c r="AH2453">
        <v>0</v>
      </c>
      <c r="AK2453">
        <v>0</v>
      </c>
    </row>
    <row r="2454" spans="1:37" x14ac:dyDescent="0.25">
      <c r="A2454" t="s">
        <v>79</v>
      </c>
      <c r="B2454">
        <v>10</v>
      </c>
      <c r="C2454">
        <v>1</v>
      </c>
      <c r="D2454">
        <v>3</v>
      </c>
      <c r="E2454">
        <v>13</v>
      </c>
      <c r="G2454">
        <v>1013</v>
      </c>
      <c r="H2454" t="s">
        <v>3299</v>
      </c>
      <c r="I2454" t="s">
        <v>135</v>
      </c>
      <c r="J2454" t="s">
        <v>3357</v>
      </c>
      <c r="L2454">
        <v>0</v>
      </c>
      <c r="M2454" t="s">
        <v>125</v>
      </c>
      <c r="O2454" t="s">
        <v>125</v>
      </c>
      <c r="P2454" t="s">
        <v>125</v>
      </c>
      <c r="Q2454" t="s">
        <v>125</v>
      </c>
      <c r="R2454" t="s">
        <v>125</v>
      </c>
      <c r="S2454" t="s">
        <v>125</v>
      </c>
      <c r="T2454">
        <v>1304</v>
      </c>
      <c r="V2454" t="s">
        <v>125</v>
      </c>
      <c r="AE2454" t="s">
        <v>125</v>
      </c>
      <c r="AF2454">
        <v>0</v>
      </c>
      <c r="AG2454" t="s">
        <v>125</v>
      </c>
      <c r="AH2454">
        <v>0</v>
      </c>
      <c r="AK2454">
        <v>0</v>
      </c>
    </row>
    <row r="2455" spans="1:37" x14ac:dyDescent="0.25">
      <c r="A2455" t="s">
        <v>79</v>
      </c>
      <c r="B2455">
        <v>10</v>
      </c>
      <c r="C2455">
        <v>1</v>
      </c>
      <c r="D2455">
        <v>3</v>
      </c>
      <c r="E2455">
        <v>14</v>
      </c>
      <c r="G2455">
        <v>1013</v>
      </c>
      <c r="H2455" t="s">
        <v>3299</v>
      </c>
      <c r="I2455" t="s">
        <v>137</v>
      </c>
      <c r="J2455" t="s">
        <v>3358</v>
      </c>
      <c r="L2455">
        <v>0</v>
      </c>
      <c r="M2455" t="s">
        <v>125</v>
      </c>
      <c r="O2455" t="s">
        <v>125</v>
      </c>
      <c r="P2455" t="s">
        <v>125</v>
      </c>
      <c r="Q2455" t="s">
        <v>125</v>
      </c>
      <c r="R2455" t="s">
        <v>125</v>
      </c>
      <c r="S2455" t="s">
        <v>125</v>
      </c>
      <c r="T2455">
        <v>1304</v>
      </c>
      <c r="V2455" t="s">
        <v>125</v>
      </c>
      <c r="AE2455" t="s">
        <v>125</v>
      </c>
      <c r="AF2455">
        <v>0</v>
      </c>
      <c r="AG2455" t="s">
        <v>125</v>
      </c>
      <c r="AH2455">
        <v>0</v>
      </c>
      <c r="AK2455">
        <v>0</v>
      </c>
    </row>
    <row r="2456" spans="1:37" x14ac:dyDescent="0.25">
      <c r="A2456" t="s">
        <v>79</v>
      </c>
      <c r="B2456">
        <v>10</v>
      </c>
      <c r="C2456">
        <v>1</v>
      </c>
      <c r="D2456">
        <v>3</v>
      </c>
      <c r="E2456">
        <v>15</v>
      </c>
      <c r="G2456">
        <v>1013</v>
      </c>
      <c r="H2456" t="s">
        <v>3299</v>
      </c>
      <c r="I2456" t="s">
        <v>139</v>
      </c>
      <c r="J2456" t="s">
        <v>3359</v>
      </c>
      <c r="L2456">
        <v>0</v>
      </c>
      <c r="M2456" t="s">
        <v>125</v>
      </c>
      <c r="O2456" t="s">
        <v>125</v>
      </c>
      <c r="P2456" t="s">
        <v>125</v>
      </c>
      <c r="Q2456" t="s">
        <v>125</v>
      </c>
      <c r="R2456" t="s">
        <v>125</v>
      </c>
      <c r="S2456" t="s">
        <v>125</v>
      </c>
      <c r="T2456">
        <v>1304</v>
      </c>
      <c r="V2456" t="s">
        <v>125</v>
      </c>
      <c r="AE2456" t="s">
        <v>125</v>
      </c>
      <c r="AF2456">
        <v>0</v>
      </c>
      <c r="AG2456" t="s">
        <v>125</v>
      </c>
      <c r="AH2456">
        <v>0</v>
      </c>
      <c r="AK2456">
        <v>0</v>
      </c>
    </row>
    <row r="2457" spans="1:37" x14ac:dyDescent="0.25">
      <c r="L2457">
        <v>0</v>
      </c>
    </row>
    <row r="2458" spans="1:37" x14ac:dyDescent="0.25">
      <c r="A2458" t="s">
        <v>70</v>
      </c>
      <c r="B2458">
        <v>10</v>
      </c>
      <c r="C2458">
        <v>1</v>
      </c>
      <c r="D2458">
        <v>4</v>
      </c>
      <c r="G2458">
        <v>101</v>
      </c>
      <c r="M2458" t="s">
        <v>3360</v>
      </c>
      <c r="O2458" t="s">
        <v>3361</v>
      </c>
      <c r="P2458" t="s">
        <v>3362</v>
      </c>
      <c r="Q2458" t="s">
        <v>3363</v>
      </c>
      <c r="R2458" t="s">
        <v>179</v>
      </c>
      <c r="S2458" t="s">
        <v>3364</v>
      </c>
      <c r="V2458" t="s">
        <v>3365</v>
      </c>
      <c r="X2458" t="s">
        <v>3366</v>
      </c>
      <c r="Y2458" t="s">
        <v>3367</v>
      </c>
      <c r="Z2458" t="s">
        <v>3368</v>
      </c>
      <c r="AA2458" t="s">
        <v>3369</v>
      </c>
      <c r="AB2458" t="s">
        <v>63</v>
      </c>
      <c r="AC2458" t="s">
        <v>63</v>
      </c>
      <c r="AE2458" t="s">
        <v>3370</v>
      </c>
      <c r="AF2458">
        <v>0</v>
      </c>
      <c r="AG2458" t="s">
        <v>3371</v>
      </c>
      <c r="AH2458">
        <v>0</v>
      </c>
      <c r="AK2458">
        <v>0</v>
      </c>
    </row>
    <row r="2459" spans="1:37" x14ac:dyDescent="0.25">
      <c r="A2459" t="s">
        <v>79</v>
      </c>
      <c r="B2459">
        <v>10</v>
      </c>
      <c r="C2459">
        <v>1</v>
      </c>
      <c r="D2459">
        <v>4</v>
      </c>
      <c r="E2459">
        <v>1</v>
      </c>
      <c r="G2459">
        <v>1014</v>
      </c>
      <c r="H2459" t="s">
        <v>3361</v>
      </c>
      <c r="I2459" t="s">
        <v>80</v>
      </c>
      <c r="J2459" t="s">
        <v>3372</v>
      </c>
      <c r="L2459">
        <v>0</v>
      </c>
      <c r="M2459" t="s">
        <v>3373</v>
      </c>
      <c r="O2459" t="s">
        <v>3374</v>
      </c>
      <c r="P2459" t="s">
        <v>3375</v>
      </c>
      <c r="Q2459" t="s">
        <v>3376</v>
      </c>
      <c r="R2459" t="s">
        <v>210</v>
      </c>
      <c r="S2459" t="s">
        <v>3377</v>
      </c>
      <c r="T2459">
        <v>3634</v>
      </c>
      <c r="U2459">
        <v>62054</v>
      </c>
      <c r="V2459" t="s">
        <v>3378</v>
      </c>
      <c r="AE2459" t="s">
        <v>3379</v>
      </c>
      <c r="AF2459">
        <v>0</v>
      </c>
      <c r="AG2459" t="s">
        <v>3380</v>
      </c>
      <c r="AH2459">
        <v>0</v>
      </c>
      <c r="AK2459">
        <v>0</v>
      </c>
    </row>
    <row r="2460" spans="1:37" x14ac:dyDescent="0.25">
      <c r="A2460" t="s">
        <v>79</v>
      </c>
      <c r="B2460">
        <v>10</v>
      </c>
      <c r="C2460">
        <v>1</v>
      </c>
      <c r="D2460">
        <v>4</v>
      </c>
      <c r="E2460">
        <v>2</v>
      </c>
      <c r="G2460">
        <v>1014</v>
      </c>
      <c r="H2460" t="s">
        <v>3361</v>
      </c>
      <c r="I2460" t="s">
        <v>88</v>
      </c>
      <c r="J2460" t="s">
        <v>3381</v>
      </c>
      <c r="L2460">
        <v>0</v>
      </c>
      <c r="M2460" t="s">
        <v>3382</v>
      </c>
      <c r="O2460" t="s">
        <v>3383</v>
      </c>
      <c r="P2460" t="s">
        <v>3384</v>
      </c>
      <c r="Q2460" t="s">
        <v>3385</v>
      </c>
      <c r="R2460" t="s">
        <v>229</v>
      </c>
      <c r="S2460" t="s">
        <v>1171</v>
      </c>
      <c r="T2460">
        <v>3634</v>
      </c>
      <c r="U2460">
        <v>2612</v>
      </c>
      <c r="V2460" t="s">
        <v>3386</v>
      </c>
      <c r="AE2460" t="s">
        <v>3387</v>
      </c>
      <c r="AF2460">
        <v>0</v>
      </c>
      <c r="AG2460" t="s">
        <v>3388</v>
      </c>
      <c r="AH2460">
        <v>0</v>
      </c>
      <c r="AK2460">
        <v>0</v>
      </c>
    </row>
    <row r="2461" spans="1:37" x14ac:dyDescent="0.25">
      <c r="A2461" t="s">
        <v>79</v>
      </c>
      <c r="B2461">
        <v>10</v>
      </c>
      <c r="C2461">
        <v>1</v>
      </c>
      <c r="D2461">
        <v>4</v>
      </c>
      <c r="E2461">
        <v>3</v>
      </c>
      <c r="G2461">
        <v>1014</v>
      </c>
      <c r="H2461" t="s">
        <v>3361</v>
      </c>
      <c r="I2461" t="s">
        <v>95</v>
      </c>
      <c r="J2461" t="s">
        <v>3389</v>
      </c>
      <c r="L2461">
        <v>0</v>
      </c>
      <c r="M2461" t="s">
        <v>3390</v>
      </c>
      <c r="O2461" t="s">
        <v>294</v>
      </c>
      <c r="P2461" t="s">
        <v>295</v>
      </c>
      <c r="Q2461" t="s">
        <v>3391</v>
      </c>
      <c r="R2461" t="s">
        <v>229</v>
      </c>
      <c r="S2461" t="s">
        <v>297</v>
      </c>
      <c r="T2461">
        <v>3634</v>
      </c>
      <c r="U2461">
        <v>827</v>
      </c>
      <c r="V2461" t="s">
        <v>3392</v>
      </c>
      <c r="AE2461" t="s">
        <v>3393</v>
      </c>
      <c r="AF2461">
        <v>0</v>
      </c>
      <c r="AG2461" t="s">
        <v>3394</v>
      </c>
      <c r="AH2461">
        <v>0</v>
      </c>
      <c r="AK2461">
        <v>0</v>
      </c>
    </row>
    <row r="2462" spans="1:37" x14ac:dyDescent="0.25">
      <c r="A2462" t="s">
        <v>79</v>
      </c>
      <c r="B2462">
        <v>10</v>
      </c>
      <c r="C2462">
        <v>1</v>
      </c>
      <c r="D2462">
        <v>4</v>
      </c>
      <c r="E2462">
        <v>4</v>
      </c>
      <c r="G2462">
        <v>1014</v>
      </c>
      <c r="H2462" t="s">
        <v>3361</v>
      </c>
      <c r="I2462" t="s">
        <v>102</v>
      </c>
      <c r="J2462" t="s">
        <v>3395</v>
      </c>
      <c r="L2462">
        <v>0</v>
      </c>
      <c r="M2462" t="s">
        <v>125</v>
      </c>
      <c r="O2462" t="s">
        <v>125</v>
      </c>
      <c r="P2462" t="s">
        <v>125</v>
      </c>
      <c r="Q2462" t="s">
        <v>125</v>
      </c>
      <c r="R2462" t="s">
        <v>125</v>
      </c>
      <c r="S2462" t="s">
        <v>125</v>
      </c>
      <c r="T2462">
        <v>3634</v>
      </c>
      <c r="V2462" t="s">
        <v>125</v>
      </c>
      <c r="AE2462" t="s">
        <v>125</v>
      </c>
      <c r="AF2462">
        <v>0</v>
      </c>
      <c r="AG2462" t="s">
        <v>125</v>
      </c>
      <c r="AH2462">
        <v>0</v>
      </c>
      <c r="AK2462">
        <v>0</v>
      </c>
    </row>
    <row r="2463" spans="1:37" x14ac:dyDescent="0.25">
      <c r="A2463" t="s">
        <v>79</v>
      </c>
      <c r="B2463">
        <v>10</v>
      </c>
      <c r="C2463">
        <v>1</v>
      </c>
      <c r="D2463">
        <v>4</v>
      </c>
      <c r="E2463">
        <v>5</v>
      </c>
      <c r="G2463">
        <v>1014</v>
      </c>
      <c r="H2463" t="s">
        <v>3361</v>
      </c>
      <c r="I2463" t="s">
        <v>109</v>
      </c>
      <c r="J2463" t="s">
        <v>3396</v>
      </c>
      <c r="L2463">
        <v>0</v>
      </c>
      <c r="M2463" t="s">
        <v>125</v>
      </c>
      <c r="O2463" t="s">
        <v>125</v>
      </c>
      <c r="P2463" t="s">
        <v>125</v>
      </c>
      <c r="Q2463" t="s">
        <v>125</v>
      </c>
      <c r="R2463" t="s">
        <v>125</v>
      </c>
      <c r="S2463" t="s">
        <v>125</v>
      </c>
      <c r="T2463">
        <v>3634</v>
      </c>
      <c r="V2463" t="s">
        <v>125</v>
      </c>
      <c r="AE2463" t="s">
        <v>125</v>
      </c>
      <c r="AF2463">
        <v>0</v>
      </c>
      <c r="AG2463" t="s">
        <v>125</v>
      </c>
      <c r="AH2463">
        <v>0</v>
      </c>
      <c r="AK2463">
        <v>0</v>
      </c>
    </row>
    <row r="2464" spans="1:37" x14ac:dyDescent="0.25">
      <c r="A2464" t="s">
        <v>79</v>
      </c>
      <c r="B2464">
        <v>10</v>
      </c>
      <c r="C2464">
        <v>1</v>
      </c>
      <c r="D2464">
        <v>4</v>
      </c>
      <c r="E2464">
        <v>6</v>
      </c>
      <c r="G2464">
        <v>1014</v>
      </c>
      <c r="H2464" t="s">
        <v>3361</v>
      </c>
      <c r="I2464" t="s">
        <v>116</v>
      </c>
      <c r="J2464" t="s">
        <v>3397</v>
      </c>
      <c r="L2464">
        <v>0</v>
      </c>
      <c r="M2464" t="s">
        <v>125</v>
      </c>
      <c r="O2464" t="s">
        <v>125</v>
      </c>
      <c r="P2464" t="s">
        <v>125</v>
      </c>
      <c r="Q2464" t="s">
        <v>125</v>
      </c>
      <c r="R2464" t="s">
        <v>125</v>
      </c>
      <c r="S2464" t="s">
        <v>125</v>
      </c>
      <c r="T2464">
        <v>3634</v>
      </c>
      <c r="V2464" t="s">
        <v>125</v>
      </c>
      <c r="AE2464" t="s">
        <v>125</v>
      </c>
      <c r="AF2464">
        <v>0</v>
      </c>
      <c r="AG2464" t="s">
        <v>125</v>
      </c>
      <c r="AH2464">
        <v>0</v>
      </c>
      <c r="AK2464">
        <v>0</v>
      </c>
    </row>
    <row r="2465" spans="1:37" x14ac:dyDescent="0.25">
      <c r="A2465" t="s">
        <v>79</v>
      </c>
      <c r="B2465">
        <v>10</v>
      </c>
      <c r="C2465">
        <v>1</v>
      </c>
      <c r="D2465">
        <v>4</v>
      </c>
      <c r="E2465">
        <v>7</v>
      </c>
      <c r="G2465">
        <v>1014</v>
      </c>
      <c r="H2465" t="s">
        <v>3361</v>
      </c>
      <c r="I2465" t="s">
        <v>123</v>
      </c>
      <c r="J2465" t="s">
        <v>3398</v>
      </c>
      <c r="L2465">
        <v>0</v>
      </c>
      <c r="M2465" t="s">
        <v>125</v>
      </c>
      <c r="O2465" t="s">
        <v>125</v>
      </c>
      <c r="P2465" t="s">
        <v>125</v>
      </c>
      <c r="Q2465" t="s">
        <v>125</v>
      </c>
      <c r="R2465" t="s">
        <v>125</v>
      </c>
      <c r="S2465" t="s">
        <v>125</v>
      </c>
      <c r="T2465">
        <v>3634</v>
      </c>
      <c r="V2465" t="s">
        <v>125</v>
      </c>
      <c r="AE2465" t="s">
        <v>125</v>
      </c>
      <c r="AF2465">
        <v>0</v>
      </c>
      <c r="AG2465" t="s">
        <v>125</v>
      </c>
      <c r="AH2465">
        <v>0</v>
      </c>
      <c r="AK2465">
        <v>0</v>
      </c>
    </row>
    <row r="2466" spans="1:37" x14ac:dyDescent="0.25">
      <c r="A2466" t="s">
        <v>79</v>
      </c>
      <c r="B2466">
        <v>10</v>
      </c>
      <c r="C2466">
        <v>1</v>
      </c>
      <c r="D2466">
        <v>4</v>
      </c>
      <c r="E2466">
        <v>8</v>
      </c>
      <c r="G2466">
        <v>1014</v>
      </c>
      <c r="H2466" t="s">
        <v>3361</v>
      </c>
      <c r="I2466" t="s">
        <v>126</v>
      </c>
      <c r="J2466" t="s">
        <v>3399</v>
      </c>
      <c r="L2466">
        <v>0</v>
      </c>
      <c r="M2466" t="s">
        <v>125</v>
      </c>
      <c r="O2466" t="s">
        <v>125</v>
      </c>
      <c r="P2466" t="s">
        <v>125</v>
      </c>
      <c r="Q2466" t="s">
        <v>125</v>
      </c>
      <c r="R2466" t="s">
        <v>125</v>
      </c>
      <c r="S2466" t="s">
        <v>125</v>
      </c>
      <c r="T2466">
        <v>3634</v>
      </c>
      <c r="V2466" t="s">
        <v>125</v>
      </c>
      <c r="AE2466" t="s">
        <v>125</v>
      </c>
      <c r="AF2466">
        <v>0</v>
      </c>
      <c r="AG2466" t="s">
        <v>125</v>
      </c>
      <c r="AH2466">
        <v>0</v>
      </c>
      <c r="AK2466">
        <v>0</v>
      </c>
    </row>
    <row r="2467" spans="1:37" x14ac:dyDescent="0.25">
      <c r="A2467" t="s">
        <v>79</v>
      </c>
      <c r="B2467">
        <v>10</v>
      </c>
      <c r="C2467">
        <v>1</v>
      </c>
      <c r="D2467">
        <v>4</v>
      </c>
      <c r="E2467">
        <v>9</v>
      </c>
      <c r="G2467">
        <v>1014</v>
      </c>
      <c r="H2467" t="s">
        <v>3361</v>
      </c>
      <c r="I2467" t="s">
        <v>74</v>
      </c>
      <c r="J2467" t="s">
        <v>3400</v>
      </c>
      <c r="L2467">
        <v>0</v>
      </c>
      <c r="M2467" t="s">
        <v>125</v>
      </c>
      <c r="O2467" t="s">
        <v>125</v>
      </c>
      <c r="P2467" t="s">
        <v>125</v>
      </c>
      <c r="Q2467" t="s">
        <v>125</v>
      </c>
      <c r="R2467" t="s">
        <v>125</v>
      </c>
      <c r="S2467" t="s">
        <v>125</v>
      </c>
      <c r="T2467">
        <v>3634</v>
      </c>
      <c r="V2467" t="s">
        <v>125</v>
      </c>
      <c r="AE2467" t="s">
        <v>125</v>
      </c>
      <c r="AF2467">
        <v>0</v>
      </c>
      <c r="AG2467" t="s">
        <v>125</v>
      </c>
      <c r="AH2467">
        <v>0</v>
      </c>
      <c r="AK2467">
        <v>0</v>
      </c>
    </row>
    <row r="2468" spans="1:37" x14ac:dyDescent="0.25">
      <c r="A2468" t="s">
        <v>79</v>
      </c>
      <c r="B2468">
        <v>10</v>
      </c>
      <c r="C2468">
        <v>1</v>
      </c>
      <c r="D2468">
        <v>4</v>
      </c>
      <c r="E2468">
        <v>10</v>
      </c>
      <c r="G2468">
        <v>1014</v>
      </c>
      <c r="H2468" t="s">
        <v>3361</v>
      </c>
      <c r="I2468" t="s">
        <v>129</v>
      </c>
      <c r="J2468" t="s">
        <v>3401</v>
      </c>
      <c r="L2468">
        <v>0</v>
      </c>
      <c r="M2468" t="s">
        <v>125</v>
      </c>
      <c r="O2468" t="s">
        <v>125</v>
      </c>
      <c r="P2468" t="s">
        <v>125</v>
      </c>
      <c r="Q2468" t="s">
        <v>125</v>
      </c>
      <c r="R2468" t="s">
        <v>125</v>
      </c>
      <c r="S2468" t="s">
        <v>125</v>
      </c>
      <c r="T2468">
        <v>3634</v>
      </c>
      <c r="V2468" t="s">
        <v>125</v>
      </c>
      <c r="AE2468" t="s">
        <v>125</v>
      </c>
      <c r="AF2468">
        <v>0</v>
      </c>
      <c r="AG2468" t="s">
        <v>125</v>
      </c>
      <c r="AH2468">
        <v>0</v>
      </c>
      <c r="AK2468">
        <v>0</v>
      </c>
    </row>
    <row r="2469" spans="1:37" x14ac:dyDescent="0.25">
      <c r="A2469" t="s">
        <v>79</v>
      </c>
      <c r="B2469">
        <v>10</v>
      </c>
      <c r="C2469">
        <v>1</v>
      </c>
      <c r="D2469">
        <v>4</v>
      </c>
      <c r="E2469">
        <v>11</v>
      </c>
      <c r="G2469">
        <v>1014</v>
      </c>
      <c r="H2469" t="s">
        <v>3361</v>
      </c>
      <c r="I2469" t="s">
        <v>131</v>
      </c>
      <c r="J2469" t="s">
        <v>3402</v>
      </c>
      <c r="L2469">
        <v>0</v>
      </c>
      <c r="M2469" t="s">
        <v>125</v>
      </c>
      <c r="O2469" t="s">
        <v>125</v>
      </c>
      <c r="P2469" t="s">
        <v>125</v>
      </c>
      <c r="Q2469" t="s">
        <v>125</v>
      </c>
      <c r="R2469" t="s">
        <v>125</v>
      </c>
      <c r="S2469" t="s">
        <v>125</v>
      </c>
      <c r="T2469">
        <v>3634</v>
      </c>
      <c r="V2469" t="s">
        <v>125</v>
      </c>
      <c r="AE2469" t="s">
        <v>125</v>
      </c>
      <c r="AF2469">
        <v>0</v>
      </c>
      <c r="AG2469" t="s">
        <v>125</v>
      </c>
      <c r="AH2469">
        <v>0</v>
      </c>
      <c r="AK2469">
        <v>0</v>
      </c>
    </row>
    <row r="2470" spans="1:37" x14ac:dyDescent="0.25">
      <c r="A2470" t="s">
        <v>79</v>
      </c>
      <c r="B2470">
        <v>10</v>
      </c>
      <c r="C2470">
        <v>1</v>
      </c>
      <c r="D2470">
        <v>4</v>
      </c>
      <c r="E2470">
        <v>12</v>
      </c>
      <c r="G2470">
        <v>1014</v>
      </c>
      <c r="H2470" t="s">
        <v>3361</v>
      </c>
      <c r="I2470" t="s">
        <v>133</v>
      </c>
      <c r="J2470" t="s">
        <v>3403</v>
      </c>
      <c r="L2470">
        <v>0</v>
      </c>
      <c r="M2470" t="s">
        <v>125</v>
      </c>
      <c r="O2470" t="s">
        <v>125</v>
      </c>
      <c r="P2470" t="s">
        <v>125</v>
      </c>
      <c r="Q2470" t="s">
        <v>125</v>
      </c>
      <c r="R2470" t="s">
        <v>125</v>
      </c>
      <c r="S2470" t="s">
        <v>125</v>
      </c>
      <c r="T2470">
        <v>3634</v>
      </c>
      <c r="V2470" t="s">
        <v>125</v>
      </c>
      <c r="AE2470" t="s">
        <v>125</v>
      </c>
      <c r="AF2470">
        <v>0</v>
      </c>
      <c r="AG2470" t="s">
        <v>125</v>
      </c>
      <c r="AH2470">
        <v>0</v>
      </c>
      <c r="AK2470">
        <v>0</v>
      </c>
    </row>
    <row r="2471" spans="1:37" x14ac:dyDescent="0.25">
      <c r="A2471" t="s">
        <v>79</v>
      </c>
      <c r="B2471">
        <v>10</v>
      </c>
      <c r="C2471">
        <v>1</v>
      </c>
      <c r="D2471">
        <v>4</v>
      </c>
      <c r="E2471">
        <v>13</v>
      </c>
      <c r="G2471">
        <v>1014</v>
      </c>
      <c r="H2471" t="s">
        <v>3361</v>
      </c>
      <c r="I2471" t="s">
        <v>135</v>
      </c>
      <c r="J2471" t="s">
        <v>3404</v>
      </c>
      <c r="L2471">
        <v>0</v>
      </c>
      <c r="M2471" t="s">
        <v>125</v>
      </c>
      <c r="O2471" t="s">
        <v>125</v>
      </c>
      <c r="P2471" t="s">
        <v>125</v>
      </c>
      <c r="Q2471" t="s">
        <v>125</v>
      </c>
      <c r="R2471" t="s">
        <v>125</v>
      </c>
      <c r="S2471" t="s">
        <v>125</v>
      </c>
      <c r="T2471">
        <v>3634</v>
      </c>
      <c r="V2471" t="s">
        <v>125</v>
      </c>
      <c r="AE2471" t="s">
        <v>125</v>
      </c>
      <c r="AF2471">
        <v>0</v>
      </c>
      <c r="AG2471" t="s">
        <v>125</v>
      </c>
      <c r="AH2471">
        <v>0</v>
      </c>
      <c r="AK2471">
        <v>0</v>
      </c>
    </row>
    <row r="2472" spans="1:37" x14ac:dyDescent="0.25">
      <c r="A2472" t="s">
        <v>79</v>
      </c>
      <c r="B2472">
        <v>10</v>
      </c>
      <c r="C2472">
        <v>1</v>
      </c>
      <c r="D2472">
        <v>4</v>
      </c>
      <c r="E2472">
        <v>14</v>
      </c>
      <c r="G2472">
        <v>1014</v>
      </c>
      <c r="H2472" t="s">
        <v>3361</v>
      </c>
      <c r="I2472" t="s">
        <v>137</v>
      </c>
      <c r="J2472" t="s">
        <v>3405</v>
      </c>
      <c r="L2472">
        <v>0</v>
      </c>
      <c r="M2472" t="s">
        <v>125</v>
      </c>
      <c r="O2472" t="s">
        <v>125</v>
      </c>
      <c r="P2472" t="s">
        <v>125</v>
      </c>
      <c r="Q2472" t="s">
        <v>125</v>
      </c>
      <c r="R2472" t="s">
        <v>125</v>
      </c>
      <c r="S2472" t="s">
        <v>125</v>
      </c>
      <c r="T2472">
        <v>3634</v>
      </c>
      <c r="V2472" t="s">
        <v>125</v>
      </c>
      <c r="AE2472" t="s">
        <v>125</v>
      </c>
      <c r="AF2472">
        <v>0</v>
      </c>
      <c r="AG2472" t="s">
        <v>125</v>
      </c>
      <c r="AH2472">
        <v>0</v>
      </c>
      <c r="AK2472">
        <v>0</v>
      </c>
    </row>
    <row r="2473" spans="1:37" x14ac:dyDescent="0.25">
      <c r="A2473" t="s">
        <v>79</v>
      </c>
      <c r="B2473">
        <v>10</v>
      </c>
      <c r="C2473">
        <v>1</v>
      </c>
      <c r="D2473">
        <v>4</v>
      </c>
      <c r="E2473">
        <v>15</v>
      </c>
      <c r="G2473">
        <v>1014</v>
      </c>
      <c r="H2473" t="s">
        <v>3361</v>
      </c>
      <c r="I2473" t="s">
        <v>139</v>
      </c>
      <c r="J2473" t="s">
        <v>3406</v>
      </c>
      <c r="L2473">
        <v>0</v>
      </c>
      <c r="M2473" t="s">
        <v>125</v>
      </c>
      <c r="O2473" t="s">
        <v>125</v>
      </c>
      <c r="P2473" t="s">
        <v>125</v>
      </c>
      <c r="Q2473" t="s">
        <v>125</v>
      </c>
      <c r="R2473" t="s">
        <v>125</v>
      </c>
      <c r="S2473" t="s">
        <v>125</v>
      </c>
      <c r="T2473">
        <v>3634</v>
      </c>
      <c r="V2473" t="s">
        <v>125</v>
      </c>
      <c r="AE2473" t="s">
        <v>125</v>
      </c>
      <c r="AF2473">
        <v>0</v>
      </c>
      <c r="AG2473" t="s">
        <v>125</v>
      </c>
      <c r="AH2473">
        <v>0</v>
      </c>
      <c r="AK2473">
        <v>0</v>
      </c>
    </row>
    <row r="2474" spans="1:37" x14ac:dyDescent="0.25">
      <c r="L2474">
        <v>0</v>
      </c>
    </row>
    <row r="2475" spans="1:37" x14ac:dyDescent="0.25">
      <c r="A2475" t="s">
        <v>70</v>
      </c>
      <c r="B2475">
        <v>10</v>
      </c>
      <c r="C2475">
        <v>1</v>
      </c>
      <c r="D2475">
        <v>5</v>
      </c>
      <c r="G2475">
        <v>101</v>
      </c>
      <c r="L2475">
        <v>0</v>
      </c>
      <c r="M2475" t="s">
        <v>125</v>
      </c>
      <c r="P2475" t="s">
        <v>125</v>
      </c>
      <c r="R2475" t="s">
        <v>125</v>
      </c>
      <c r="S2475" t="s">
        <v>63</v>
      </c>
      <c r="V2475" t="s">
        <v>125</v>
      </c>
      <c r="X2475" t="s">
        <v>125</v>
      </c>
      <c r="Y2475" t="s">
        <v>125</v>
      </c>
      <c r="Z2475" t="s">
        <v>125</v>
      </c>
      <c r="AA2475" t="s">
        <v>125</v>
      </c>
      <c r="AB2475" t="s">
        <v>125</v>
      </c>
      <c r="AC2475" t="s">
        <v>125</v>
      </c>
      <c r="AE2475" t="s">
        <v>125</v>
      </c>
      <c r="AF2475">
        <v>0</v>
      </c>
      <c r="AG2475" t="s">
        <v>125</v>
      </c>
      <c r="AH2475">
        <v>0</v>
      </c>
      <c r="AK2475">
        <v>0</v>
      </c>
    </row>
    <row r="2476" spans="1:37" x14ac:dyDescent="0.25">
      <c r="A2476" t="s">
        <v>79</v>
      </c>
      <c r="B2476">
        <v>10</v>
      </c>
      <c r="C2476">
        <v>1</v>
      </c>
      <c r="D2476">
        <v>5</v>
      </c>
      <c r="E2476">
        <v>1</v>
      </c>
      <c r="G2476">
        <v>1015</v>
      </c>
      <c r="H2476" t="s">
        <v>63</v>
      </c>
      <c r="I2476" t="s">
        <v>80</v>
      </c>
      <c r="J2476" t="s">
        <v>141</v>
      </c>
      <c r="L2476">
        <v>0</v>
      </c>
      <c r="M2476" t="s">
        <v>125</v>
      </c>
      <c r="O2476" t="s">
        <v>125</v>
      </c>
      <c r="P2476" t="s">
        <v>125</v>
      </c>
      <c r="Q2476" t="s">
        <v>125</v>
      </c>
      <c r="R2476" t="s">
        <v>125</v>
      </c>
      <c r="S2476" t="s">
        <v>125</v>
      </c>
      <c r="T2476">
        <v>0</v>
      </c>
      <c r="V2476" t="s">
        <v>125</v>
      </c>
      <c r="AE2476" t="s">
        <v>125</v>
      </c>
      <c r="AF2476">
        <v>0</v>
      </c>
      <c r="AG2476" t="s">
        <v>125</v>
      </c>
      <c r="AH2476">
        <v>0</v>
      </c>
      <c r="AK2476">
        <v>0</v>
      </c>
    </row>
    <row r="2477" spans="1:37" x14ac:dyDescent="0.25">
      <c r="A2477" t="s">
        <v>79</v>
      </c>
      <c r="B2477">
        <v>10</v>
      </c>
      <c r="C2477">
        <v>1</v>
      </c>
      <c r="D2477">
        <v>5</v>
      </c>
      <c r="E2477">
        <v>2</v>
      </c>
      <c r="G2477">
        <v>1015</v>
      </c>
      <c r="H2477" t="s">
        <v>63</v>
      </c>
      <c r="I2477" t="s">
        <v>88</v>
      </c>
      <c r="J2477" t="s">
        <v>142</v>
      </c>
      <c r="L2477">
        <v>0</v>
      </c>
      <c r="M2477" t="s">
        <v>125</v>
      </c>
      <c r="O2477" t="s">
        <v>125</v>
      </c>
      <c r="P2477" t="s">
        <v>125</v>
      </c>
      <c r="Q2477" t="s">
        <v>125</v>
      </c>
      <c r="R2477" t="s">
        <v>125</v>
      </c>
      <c r="S2477" t="s">
        <v>125</v>
      </c>
      <c r="T2477">
        <v>0</v>
      </c>
      <c r="V2477" t="s">
        <v>125</v>
      </c>
      <c r="AE2477" t="s">
        <v>125</v>
      </c>
      <c r="AF2477">
        <v>0</v>
      </c>
      <c r="AG2477" t="s">
        <v>125</v>
      </c>
      <c r="AH2477">
        <v>0</v>
      </c>
      <c r="AK2477">
        <v>0</v>
      </c>
    </row>
    <row r="2478" spans="1:37" x14ac:dyDescent="0.25">
      <c r="A2478" t="s">
        <v>79</v>
      </c>
      <c r="B2478">
        <v>10</v>
      </c>
      <c r="C2478">
        <v>1</v>
      </c>
      <c r="D2478">
        <v>5</v>
      </c>
      <c r="E2478">
        <v>3</v>
      </c>
      <c r="G2478">
        <v>1015</v>
      </c>
      <c r="H2478" t="s">
        <v>63</v>
      </c>
      <c r="I2478" t="s">
        <v>95</v>
      </c>
      <c r="J2478" t="s">
        <v>143</v>
      </c>
      <c r="L2478">
        <v>0</v>
      </c>
      <c r="M2478" t="s">
        <v>125</v>
      </c>
      <c r="O2478" t="s">
        <v>125</v>
      </c>
      <c r="P2478" t="s">
        <v>125</v>
      </c>
      <c r="Q2478" t="s">
        <v>125</v>
      </c>
      <c r="R2478" t="s">
        <v>125</v>
      </c>
      <c r="S2478" t="s">
        <v>125</v>
      </c>
      <c r="T2478">
        <v>0</v>
      </c>
      <c r="V2478" t="s">
        <v>125</v>
      </c>
      <c r="AE2478" t="s">
        <v>125</v>
      </c>
      <c r="AF2478">
        <v>0</v>
      </c>
      <c r="AG2478" t="s">
        <v>125</v>
      </c>
      <c r="AH2478">
        <v>0</v>
      </c>
      <c r="AK2478">
        <v>0</v>
      </c>
    </row>
    <row r="2479" spans="1:37" x14ac:dyDescent="0.25">
      <c r="A2479" t="s">
        <v>79</v>
      </c>
      <c r="B2479">
        <v>10</v>
      </c>
      <c r="C2479">
        <v>1</v>
      </c>
      <c r="D2479">
        <v>5</v>
      </c>
      <c r="E2479">
        <v>4</v>
      </c>
      <c r="G2479">
        <v>1015</v>
      </c>
      <c r="H2479" t="s">
        <v>63</v>
      </c>
      <c r="I2479" t="s">
        <v>102</v>
      </c>
      <c r="J2479" t="s">
        <v>144</v>
      </c>
      <c r="L2479">
        <v>0</v>
      </c>
      <c r="M2479" t="s">
        <v>125</v>
      </c>
      <c r="O2479" t="s">
        <v>125</v>
      </c>
      <c r="P2479" t="s">
        <v>125</v>
      </c>
      <c r="Q2479" t="s">
        <v>125</v>
      </c>
      <c r="R2479" t="s">
        <v>125</v>
      </c>
      <c r="S2479" t="s">
        <v>125</v>
      </c>
      <c r="T2479">
        <v>0</v>
      </c>
      <c r="V2479" t="s">
        <v>125</v>
      </c>
      <c r="AE2479" t="s">
        <v>125</v>
      </c>
      <c r="AF2479">
        <v>0</v>
      </c>
      <c r="AG2479" t="s">
        <v>125</v>
      </c>
      <c r="AH2479">
        <v>0</v>
      </c>
      <c r="AK2479">
        <v>0</v>
      </c>
    </row>
    <row r="2480" spans="1:37" x14ac:dyDescent="0.25">
      <c r="A2480" t="s">
        <v>79</v>
      </c>
      <c r="B2480">
        <v>10</v>
      </c>
      <c r="C2480">
        <v>1</v>
      </c>
      <c r="D2480">
        <v>5</v>
      </c>
      <c r="E2480">
        <v>5</v>
      </c>
      <c r="G2480">
        <v>1015</v>
      </c>
      <c r="H2480" t="s">
        <v>63</v>
      </c>
      <c r="I2480" t="s">
        <v>109</v>
      </c>
      <c r="J2480" t="s">
        <v>145</v>
      </c>
      <c r="L2480">
        <v>0</v>
      </c>
      <c r="M2480" t="s">
        <v>125</v>
      </c>
      <c r="O2480" t="s">
        <v>125</v>
      </c>
      <c r="P2480" t="s">
        <v>125</v>
      </c>
      <c r="Q2480" t="s">
        <v>125</v>
      </c>
      <c r="R2480" t="s">
        <v>125</v>
      </c>
      <c r="S2480" t="s">
        <v>125</v>
      </c>
      <c r="T2480">
        <v>0</v>
      </c>
      <c r="V2480" t="s">
        <v>125</v>
      </c>
      <c r="AE2480" t="s">
        <v>125</v>
      </c>
      <c r="AF2480">
        <v>0</v>
      </c>
      <c r="AG2480" t="s">
        <v>125</v>
      </c>
      <c r="AH2480">
        <v>0</v>
      </c>
      <c r="AK2480">
        <v>0</v>
      </c>
    </row>
    <row r="2481" spans="1:37" x14ac:dyDescent="0.25">
      <c r="A2481" t="s">
        <v>79</v>
      </c>
      <c r="B2481">
        <v>10</v>
      </c>
      <c r="C2481">
        <v>1</v>
      </c>
      <c r="D2481">
        <v>5</v>
      </c>
      <c r="E2481">
        <v>6</v>
      </c>
      <c r="G2481">
        <v>1015</v>
      </c>
      <c r="H2481" t="s">
        <v>63</v>
      </c>
      <c r="I2481" t="s">
        <v>116</v>
      </c>
      <c r="J2481" t="s">
        <v>146</v>
      </c>
      <c r="L2481">
        <v>0</v>
      </c>
      <c r="M2481" t="s">
        <v>125</v>
      </c>
      <c r="O2481" t="s">
        <v>125</v>
      </c>
      <c r="P2481" t="s">
        <v>125</v>
      </c>
      <c r="Q2481" t="s">
        <v>125</v>
      </c>
      <c r="R2481" t="s">
        <v>125</v>
      </c>
      <c r="S2481" t="s">
        <v>125</v>
      </c>
      <c r="T2481">
        <v>0</v>
      </c>
      <c r="V2481" t="s">
        <v>125</v>
      </c>
      <c r="AE2481" t="s">
        <v>125</v>
      </c>
      <c r="AF2481">
        <v>0</v>
      </c>
      <c r="AG2481" t="s">
        <v>125</v>
      </c>
      <c r="AH2481">
        <v>0</v>
      </c>
      <c r="AK2481">
        <v>0</v>
      </c>
    </row>
    <row r="2482" spans="1:37" x14ac:dyDescent="0.25">
      <c r="A2482" t="s">
        <v>79</v>
      </c>
      <c r="B2482">
        <v>10</v>
      </c>
      <c r="C2482">
        <v>1</v>
      </c>
      <c r="D2482">
        <v>5</v>
      </c>
      <c r="E2482">
        <v>7</v>
      </c>
      <c r="G2482">
        <v>1015</v>
      </c>
      <c r="H2482" t="s">
        <v>63</v>
      </c>
      <c r="I2482" t="s">
        <v>123</v>
      </c>
      <c r="J2482" t="s">
        <v>147</v>
      </c>
      <c r="L2482">
        <v>0</v>
      </c>
      <c r="M2482" t="s">
        <v>125</v>
      </c>
      <c r="O2482" t="s">
        <v>125</v>
      </c>
      <c r="P2482" t="s">
        <v>125</v>
      </c>
      <c r="Q2482" t="s">
        <v>125</v>
      </c>
      <c r="R2482" t="s">
        <v>125</v>
      </c>
      <c r="S2482" t="s">
        <v>125</v>
      </c>
      <c r="T2482">
        <v>0</v>
      </c>
      <c r="V2482" t="s">
        <v>125</v>
      </c>
      <c r="AE2482" t="s">
        <v>125</v>
      </c>
      <c r="AF2482">
        <v>0</v>
      </c>
      <c r="AG2482" t="s">
        <v>125</v>
      </c>
      <c r="AH2482">
        <v>0</v>
      </c>
      <c r="AK2482">
        <v>0</v>
      </c>
    </row>
    <row r="2483" spans="1:37" x14ac:dyDescent="0.25">
      <c r="A2483" t="s">
        <v>79</v>
      </c>
      <c r="B2483">
        <v>10</v>
      </c>
      <c r="C2483">
        <v>1</v>
      </c>
      <c r="D2483">
        <v>5</v>
      </c>
      <c r="E2483">
        <v>8</v>
      </c>
      <c r="G2483">
        <v>1015</v>
      </c>
      <c r="H2483" t="s">
        <v>63</v>
      </c>
      <c r="I2483" t="s">
        <v>126</v>
      </c>
      <c r="J2483" t="s">
        <v>148</v>
      </c>
      <c r="L2483">
        <v>0</v>
      </c>
      <c r="M2483" t="s">
        <v>125</v>
      </c>
      <c r="O2483" t="s">
        <v>125</v>
      </c>
      <c r="P2483" t="s">
        <v>125</v>
      </c>
      <c r="Q2483" t="s">
        <v>125</v>
      </c>
      <c r="R2483" t="s">
        <v>125</v>
      </c>
      <c r="S2483" t="s">
        <v>125</v>
      </c>
      <c r="T2483">
        <v>0</v>
      </c>
      <c r="V2483" t="s">
        <v>125</v>
      </c>
      <c r="AE2483" t="s">
        <v>125</v>
      </c>
      <c r="AF2483">
        <v>0</v>
      </c>
      <c r="AG2483" t="s">
        <v>125</v>
      </c>
      <c r="AH2483">
        <v>0</v>
      </c>
      <c r="AK2483">
        <v>0</v>
      </c>
    </row>
    <row r="2484" spans="1:37" x14ac:dyDescent="0.25">
      <c r="A2484" t="s">
        <v>79</v>
      </c>
      <c r="B2484">
        <v>10</v>
      </c>
      <c r="C2484">
        <v>1</v>
      </c>
      <c r="D2484">
        <v>5</v>
      </c>
      <c r="E2484">
        <v>9</v>
      </c>
      <c r="G2484">
        <v>1015</v>
      </c>
      <c r="H2484" t="s">
        <v>63</v>
      </c>
      <c r="I2484" t="s">
        <v>74</v>
      </c>
      <c r="J2484" t="s">
        <v>149</v>
      </c>
      <c r="L2484">
        <v>0</v>
      </c>
      <c r="M2484" t="s">
        <v>125</v>
      </c>
      <c r="O2484" t="s">
        <v>125</v>
      </c>
      <c r="P2484" t="s">
        <v>125</v>
      </c>
      <c r="Q2484" t="s">
        <v>125</v>
      </c>
      <c r="R2484" t="s">
        <v>125</v>
      </c>
      <c r="S2484" t="s">
        <v>125</v>
      </c>
      <c r="T2484">
        <v>0</v>
      </c>
      <c r="V2484" t="s">
        <v>125</v>
      </c>
      <c r="AE2484" t="s">
        <v>125</v>
      </c>
      <c r="AF2484">
        <v>0</v>
      </c>
      <c r="AG2484" t="s">
        <v>125</v>
      </c>
      <c r="AH2484">
        <v>0</v>
      </c>
      <c r="AK2484">
        <v>0</v>
      </c>
    </row>
    <row r="2485" spans="1:37" x14ac:dyDescent="0.25">
      <c r="A2485" t="s">
        <v>79</v>
      </c>
      <c r="B2485">
        <v>10</v>
      </c>
      <c r="C2485">
        <v>1</v>
      </c>
      <c r="D2485">
        <v>5</v>
      </c>
      <c r="E2485">
        <v>10</v>
      </c>
      <c r="G2485">
        <v>1015</v>
      </c>
      <c r="H2485" t="s">
        <v>63</v>
      </c>
      <c r="I2485" t="s">
        <v>129</v>
      </c>
      <c r="J2485" t="s">
        <v>150</v>
      </c>
      <c r="L2485">
        <v>0</v>
      </c>
      <c r="M2485" t="s">
        <v>125</v>
      </c>
      <c r="O2485" t="s">
        <v>125</v>
      </c>
      <c r="P2485" t="s">
        <v>125</v>
      </c>
      <c r="Q2485" t="s">
        <v>125</v>
      </c>
      <c r="R2485" t="s">
        <v>125</v>
      </c>
      <c r="S2485" t="s">
        <v>125</v>
      </c>
      <c r="T2485">
        <v>0</v>
      </c>
      <c r="V2485" t="s">
        <v>125</v>
      </c>
      <c r="AE2485" t="s">
        <v>125</v>
      </c>
      <c r="AF2485">
        <v>0</v>
      </c>
      <c r="AG2485" t="s">
        <v>125</v>
      </c>
      <c r="AH2485">
        <v>0</v>
      </c>
      <c r="AK2485">
        <v>0</v>
      </c>
    </row>
    <row r="2486" spans="1:37" x14ac:dyDescent="0.25">
      <c r="A2486" t="s">
        <v>79</v>
      </c>
      <c r="B2486">
        <v>10</v>
      </c>
      <c r="C2486">
        <v>1</v>
      </c>
      <c r="D2486">
        <v>5</v>
      </c>
      <c r="E2486">
        <v>11</v>
      </c>
      <c r="G2486">
        <v>1015</v>
      </c>
      <c r="H2486" t="s">
        <v>63</v>
      </c>
      <c r="I2486" t="s">
        <v>131</v>
      </c>
      <c r="J2486" t="s">
        <v>151</v>
      </c>
      <c r="L2486">
        <v>0</v>
      </c>
      <c r="M2486" t="s">
        <v>125</v>
      </c>
      <c r="O2486" t="s">
        <v>125</v>
      </c>
      <c r="P2486" t="s">
        <v>125</v>
      </c>
      <c r="Q2486" t="s">
        <v>125</v>
      </c>
      <c r="R2486" t="s">
        <v>125</v>
      </c>
      <c r="S2486" t="s">
        <v>125</v>
      </c>
      <c r="T2486">
        <v>0</v>
      </c>
      <c r="V2486" t="s">
        <v>125</v>
      </c>
      <c r="AE2486" t="s">
        <v>125</v>
      </c>
      <c r="AF2486">
        <v>0</v>
      </c>
      <c r="AG2486" t="s">
        <v>125</v>
      </c>
      <c r="AH2486">
        <v>0</v>
      </c>
      <c r="AK2486">
        <v>0</v>
      </c>
    </row>
    <row r="2487" spans="1:37" x14ac:dyDescent="0.25">
      <c r="A2487" t="s">
        <v>79</v>
      </c>
      <c r="B2487">
        <v>10</v>
      </c>
      <c r="C2487">
        <v>1</v>
      </c>
      <c r="D2487">
        <v>5</v>
      </c>
      <c r="E2487">
        <v>12</v>
      </c>
      <c r="G2487">
        <v>1015</v>
      </c>
      <c r="H2487" t="s">
        <v>63</v>
      </c>
      <c r="I2487" t="s">
        <v>133</v>
      </c>
      <c r="J2487" t="s">
        <v>152</v>
      </c>
      <c r="L2487">
        <v>0</v>
      </c>
      <c r="M2487" t="s">
        <v>125</v>
      </c>
      <c r="O2487" t="s">
        <v>125</v>
      </c>
      <c r="P2487" t="s">
        <v>125</v>
      </c>
      <c r="Q2487" t="s">
        <v>125</v>
      </c>
      <c r="R2487" t="s">
        <v>125</v>
      </c>
      <c r="S2487" t="s">
        <v>125</v>
      </c>
      <c r="T2487">
        <v>0</v>
      </c>
      <c r="V2487" t="s">
        <v>125</v>
      </c>
      <c r="AE2487" t="s">
        <v>125</v>
      </c>
      <c r="AF2487">
        <v>0</v>
      </c>
      <c r="AG2487" t="s">
        <v>125</v>
      </c>
      <c r="AH2487">
        <v>0</v>
      </c>
      <c r="AK2487">
        <v>0</v>
      </c>
    </row>
    <row r="2488" spans="1:37" x14ac:dyDescent="0.25">
      <c r="A2488" t="s">
        <v>79</v>
      </c>
      <c r="B2488">
        <v>10</v>
      </c>
      <c r="C2488">
        <v>1</v>
      </c>
      <c r="D2488">
        <v>5</v>
      </c>
      <c r="E2488">
        <v>13</v>
      </c>
      <c r="G2488">
        <v>1015</v>
      </c>
      <c r="H2488" t="s">
        <v>63</v>
      </c>
      <c r="I2488" t="s">
        <v>135</v>
      </c>
      <c r="J2488" t="s">
        <v>153</v>
      </c>
      <c r="L2488">
        <v>0</v>
      </c>
      <c r="M2488" t="s">
        <v>125</v>
      </c>
      <c r="O2488" t="s">
        <v>125</v>
      </c>
      <c r="P2488" t="s">
        <v>125</v>
      </c>
      <c r="Q2488" t="s">
        <v>125</v>
      </c>
      <c r="R2488" t="s">
        <v>125</v>
      </c>
      <c r="S2488" t="s">
        <v>125</v>
      </c>
      <c r="T2488">
        <v>0</v>
      </c>
      <c r="V2488" t="s">
        <v>125</v>
      </c>
      <c r="AE2488" t="s">
        <v>125</v>
      </c>
      <c r="AF2488">
        <v>0</v>
      </c>
      <c r="AG2488" t="s">
        <v>125</v>
      </c>
      <c r="AH2488">
        <v>0</v>
      </c>
      <c r="AK2488">
        <v>0</v>
      </c>
    </row>
    <row r="2489" spans="1:37" x14ac:dyDescent="0.25">
      <c r="A2489" t="s">
        <v>79</v>
      </c>
      <c r="B2489">
        <v>10</v>
      </c>
      <c r="C2489">
        <v>1</v>
      </c>
      <c r="D2489">
        <v>5</v>
      </c>
      <c r="E2489">
        <v>14</v>
      </c>
      <c r="G2489">
        <v>1015</v>
      </c>
      <c r="H2489" t="s">
        <v>63</v>
      </c>
      <c r="I2489" t="s">
        <v>137</v>
      </c>
      <c r="J2489" t="s">
        <v>154</v>
      </c>
      <c r="L2489">
        <v>0</v>
      </c>
      <c r="M2489" t="s">
        <v>125</v>
      </c>
      <c r="O2489" t="s">
        <v>125</v>
      </c>
      <c r="P2489" t="s">
        <v>125</v>
      </c>
      <c r="Q2489" t="s">
        <v>125</v>
      </c>
      <c r="R2489" t="s">
        <v>125</v>
      </c>
      <c r="S2489" t="s">
        <v>125</v>
      </c>
      <c r="T2489">
        <v>0</v>
      </c>
      <c r="V2489" t="s">
        <v>125</v>
      </c>
      <c r="AE2489" t="s">
        <v>125</v>
      </c>
      <c r="AF2489">
        <v>0</v>
      </c>
      <c r="AG2489" t="s">
        <v>125</v>
      </c>
      <c r="AH2489">
        <v>0</v>
      </c>
      <c r="AK2489">
        <v>0</v>
      </c>
    </row>
    <row r="2490" spans="1:37" x14ac:dyDescent="0.25">
      <c r="A2490" t="s">
        <v>79</v>
      </c>
      <c r="B2490">
        <v>10</v>
      </c>
      <c r="C2490">
        <v>1</v>
      </c>
      <c r="D2490">
        <v>5</v>
      </c>
      <c r="E2490">
        <v>15</v>
      </c>
      <c r="G2490">
        <v>1015</v>
      </c>
      <c r="H2490" t="s">
        <v>63</v>
      </c>
      <c r="I2490" t="s">
        <v>139</v>
      </c>
      <c r="J2490" t="s">
        <v>155</v>
      </c>
      <c r="L2490">
        <v>0</v>
      </c>
      <c r="M2490" t="s">
        <v>125</v>
      </c>
      <c r="O2490" t="s">
        <v>125</v>
      </c>
      <c r="P2490" t="s">
        <v>125</v>
      </c>
      <c r="Q2490" t="s">
        <v>125</v>
      </c>
      <c r="R2490" t="s">
        <v>125</v>
      </c>
      <c r="S2490" t="s">
        <v>125</v>
      </c>
      <c r="T2490">
        <v>0</v>
      </c>
      <c r="V2490" t="s">
        <v>125</v>
      </c>
      <c r="AE2490" t="s">
        <v>125</v>
      </c>
      <c r="AF2490">
        <v>0</v>
      </c>
      <c r="AG2490" t="s">
        <v>125</v>
      </c>
      <c r="AH2490">
        <v>0</v>
      </c>
      <c r="AK2490">
        <v>0</v>
      </c>
    </row>
    <row r="2491" spans="1:37" x14ac:dyDescent="0.25">
      <c r="L2491">
        <v>0</v>
      </c>
    </row>
    <row r="2492" spans="1:37" x14ac:dyDescent="0.25">
      <c r="L2492">
        <v>0</v>
      </c>
    </row>
    <row r="2493" spans="1:37" x14ac:dyDescent="0.25">
      <c r="A2493" t="s">
        <v>66</v>
      </c>
      <c r="B2493">
        <v>10</v>
      </c>
      <c r="C2493">
        <v>2</v>
      </c>
      <c r="G2493">
        <v>10</v>
      </c>
      <c r="H2493" t="s">
        <v>3196</v>
      </c>
      <c r="I2493" t="s">
        <v>3407</v>
      </c>
      <c r="M2493" t="s">
        <v>3408</v>
      </c>
      <c r="N2493" t="s">
        <v>3407</v>
      </c>
      <c r="P2493" t="s">
        <v>3409</v>
      </c>
      <c r="V2493" t="s">
        <v>3410</v>
      </c>
      <c r="Y2493" t="s">
        <v>3411</v>
      </c>
      <c r="AA2493" t="s">
        <v>3412</v>
      </c>
      <c r="AC2493" t="s">
        <v>63</v>
      </c>
      <c r="AE2493" t="s">
        <v>3413</v>
      </c>
      <c r="AF2493">
        <v>0</v>
      </c>
      <c r="AG2493" t="s">
        <v>3414</v>
      </c>
      <c r="AH2493">
        <v>0</v>
      </c>
      <c r="AK2493">
        <v>0</v>
      </c>
    </row>
    <row r="2494" spans="1:37" x14ac:dyDescent="0.25">
      <c r="L2494">
        <v>0</v>
      </c>
    </row>
    <row r="2495" spans="1:37" x14ac:dyDescent="0.25">
      <c r="A2495" t="s">
        <v>70</v>
      </c>
      <c r="B2495">
        <v>10</v>
      </c>
      <c r="C2495">
        <v>2</v>
      </c>
      <c r="D2495">
        <v>1</v>
      </c>
      <c r="G2495">
        <v>102</v>
      </c>
      <c r="M2495" t="s">
        <v>3415</v>
      </c>
      <c r="O2495" t="s">
        <v>3416</v>
      </c>
      <c r="P2495" t="s">
        <v>3417</v>
      </c>
      <c r="Q2495" t="s">
        <v>3418</v>
      </c>
      <c r="R2495" t="s">
        <v>179</v>
      </c>
      <c r="S2495" t="s">
        <v>3419</v>
      </c>
      <c r="V2495" t="s">
        <v>3420</v>
      </c>
      <c r="X2495" t="s">
        <v>3421</v>
      </c>
      <c r="Y2495" t="s">
        <v>3422</v>
      </c>
      <c r="Z2495" t="s">
        <v>3423</v>
      </c>
      <c r="AA2495" t="s">
        <v>3424</v>
      </c>
      <c r="AB2495" t="s">
        <v>63</v>
      </c>
      <c r="AC2495" t="s">
        <v>63</v>
      </c>
      <c r="AE2495" t="s">
        <v>3425</v>
      </c>
      <c r="AF2495">
        <v>0</v>
      </c>
      <c r="AG2495" t="s">
        <v>3426</v>
      </c>
      <c r="AH2495">
        <v>0</v>
      </c>
      <c r="AK2495">
        <v>0</v>
      </c>
    </row>
    <row r="2496" spans="1:37" x14ac:dyDescent="0.25">
      <c r="A2496" t="s">
        <v>79</v>
      </c>
      <c r="B2496">
        <v>10</v>
      </c>
      <c r="C2496">
        <v>2</v>
      </c>
      <c r="D2496">
        <v>1</v>
      </c>
      <c r="E2496">
        <v>1</v>
      </c>
      <c r="G2496">
        <v>1021</v>
      </c>
      <c r="H2496" t="s">
        <v>3416</v>
      </c>
      <c r="I2496" t="s">
        <v>80</v>
      </c>
      <c r="J2496" t="s">
        <v>3427</v>
      </c>
      <c r="L2496">
        <v>0</v>
      </c>
      <c r="M2496" t="s">
        <v>3428</v>
      </c>
      <c r="O2496" t="s">
        <v>3329</v>
      </c>
      <c r="P2496" t="s">
        <v>3330</v>
      </c>
      <c r="Q2496" t="s">
        <v>3429</v>
      </c>
      <c r="R2496" t="s">
        <v>210</v>
      </c>
      <c r="S2496" t="s">
        <v>3332</v>
      </c>
      <c r="T2496">
        <v>1746</v>
      </c>
      <c r="U2496">
        <v>246</v>
      </c>
      <c r="V2496" t="s">
        <v>3430</v>
      </c>
      <c r="AE2496" t="s">
        <v>3431</v>
      </c>
      <c r="AF2496">
        <v>0</v>
      </c>
      <c r="AG2496" t="s">
        <v>3432</v>
      </c>
      <c r="AH2496">
        <v>0</v>
      </c>
      <c r="AK2496">
        <v>0</v>
      </c>
    </row>
    <row r="2497" spans="1:37" x14ac:dyDescent="0.25">
      <c r="A2497" t="s">
        <v>79</v>
      </c>
      <c r="B2497">
        <v>10</v>
      </c>
      <c r="C2497">
        <v>2</v>
      </c>
      <c r="D2497">
        <v>1</v>
      </c>
      <c r="E2497">
        <v>2</v>
      </c>
      <c r="G2497">
        <v>1021</v>
      </c>
      <c r="H2497" t="s">
        <v>3416</v>
      </c>
      <c r="I2497" t="s">
        <v>88</v>
      </c>
      <c r="J2497" t="s">
        <v>3433</v>
      </c>
      <c r="L2497">
        <v>0</v>
      </c>
      <c r="M2497" t="s">
        <v>3434</v>
      </c>
      <c r="O2497" t="s">
        <v>3435</v>
      </c>
      <c r="P2497" t="s">
        <v>3436</v>
      </c>
      <c r="Q2497" t="s">
        <v>2606</v>
      </c>
      <c r="R2497" t="s">
        <v>210</v>
      </c>
      <c r="S2497" t="s">
        <v>3437</v>
      </c>
      <c r="T2497">
        <v>1746</v>
      </c>
      <c r="U2497">
        <v>15945</v>
      </c>
      <c r="V2497" t="s">
        <v>3438</v>
      </c>
      <c r="AE2497" t="s">
        <v>3439</v>
      </c>
      <c r="AF2497">
        <v>0</v>
      </c>
      <c r="AG2497" t="s">
        <v>3440</v>
      </c>
      <c r="AH2497">
        <v>0</v>
      </c>
      <c r="AK2497">
        <v>0</v>
      </c>
    </row>
    <row r="2498" spans="1:37" x14ac:dyDescent="0.25">
      <c r="A2498" t="s">
        <v>79</v>
      </c>
      <c r="B2498">
        <v>10</v>
      </c>
      <c r="C2498">
        <v>2</v>
      </c>
      <c r="D2498">
        <v>1</v>
      </c>
      <c r="E2498">
        <v>3</v>
      </c>
      <c r="G2498">
        <v>1021</v>
      </c>
      <c r="H2498" t="s">
        <v>3416</v>
      </c>
      <c r="I2498" t="s">
        <v>95</v>
      </c>
      <c r="J2498" t="s">
        <v>3441</v>
      </c>
      <c r="L2498">
        <v>0</v>
      </c>
      <c r="M2498" t="s">
        <v>3442</v>
      </c>
      <c r="O2498" t="s">
        <v>3443</v>
      </c>
      <c r="P2498" t="s">
        <v>3444</v>
      </c>
      <c r="Q2498" t="s">
        <v>3445</v>
      </c>
      <c r="R2498" t="s">
        <v>179</v>
      </c>
      <c r="S2498" t="s">
        <v>3446</v>
      </c>
      <c r="T2498">
        <v>1746</v>
      </c>
      <c r="U2498">
        <v>1897</v>
      </c>
      <c r="V2498" t="s">
        <v>3447</v>
      </c>
      <c r="AE2498" t="s">
        <v>3448</v>
      </c>
      <c r="AF2498">
        <v>0</v>
      </c>
      <c r="AG2498" t="s">
        <v>3449</v>
      </c>
      <c r="AH2498">
        <v>0</v>
      </c>
      <c r="AK2498">
        <v>0</v>
      </c>
    </row>
    <row r="2499" spans="1:37" x14ac:dyDescent="0.25">
      <c r="A2499" t="s">
        <v>79</v>
      </c>
      <c r="B2499">
        <v>10</v>
      </c>
      <c r="C2499">
        <v>2</v>
      </c>
      <c r="D2499">
        <v>1</v>
      </c>
      <c r="E2499">
        <v>4</v>
      </c>
      <c r="G2499">
        <v>1021</v>
      </c>
      <c r="H2499" t="s">
        <v>3416</v>
      </c>
      <c r="I2499" t="s">
        <v>102</v>
      </c>
      <c r="J2499" t="s">
        <v>3450</v>
      </c>
      <c r="L2499">
        <v>0</v>
      </c>
      <c r="M2499" t="s">
        <v>3451</v>
      </c>
      <c r="O2499" t="s">
        <v>3337</v>
      </c>
      <c r="P2499" t="s">
        <v>3338</v>
      </c>
      <c r="Q2499" t="s">
        <v>3452</v>
      </c>
      <c r="R2499" t="s">
        <v>229</v>
      </c>
      <c r="S2499" t="s">
        <v>3340</v>
      </c>
      <c r="T2499">
        <v>1746</v>
      </c>
      <c r="U2499">
        <v>1404</v>
      </c>
      <c r="V2499" t="s">
        <v>3453</v>
      </c>
      <c r="AE2499" t="s">
        <v>3454</v>
      </c>
      <c r="AF2499">
        <v>0</v>
      </c>
      <c r="AG2499" t="s">
        <v>3455</v>
      </c>
      <c r="AH2499">
        <v>0</v>
      </c>
      <c r="AK2499">
        <v>0</v>
      </c>
    </row>
    <row r="2500" spans="1:37" x14ac:dyDescent="0.25">
      <c r="A2500" t="s">
        <v>79</v>
      </c>
      <c r="B2500">
        <v>10</v>
      </c>
      <c r="C2500">
        <v>2</v>
      </c>
      <c r="D2500">
        <v>1</v>
      </c>
      <c r="E2500">
        <v>5</v>
      </c>
      <c r="G2500">
        <v>1021</v>
      </c>
      <c r="H2500" t="s">
        <v>3416</v>
      </c>
      <c r="I2500" t="s">
        <v>109</v>
      </c>
      <c r="J2500" t="s">
        <v>3456</v>
      </c>
      <c r="L2500">
        <v>0</v>
      </c>
      <c r="M2500" t="s">
        <v>3457</v>
      </c>
      <c r="O2500" t="s">
        <v>294</v>
      </c>
      <c r="P2500" t="s">
        <v>295</v>
      </c>
      <c r="Q2500" t="s">
        <v>3458</v>
      </c>
      <c r="R2500" t="s">
        <v>229</v>
      </c>
      <c r="S2500" t="s">
        <v>297</v>
      </c>
      <c r="T2500">
        <v>1746</v>
      </c>
      <c r="U2500">
        <v>360</v>
      </c>
      <c r="V2500" t="s">
        <v>3459</v>
      </c>
      <c r="AE2500" t="s">
        <v>3460</v>
      </c>
      <c r="AF2500">
        <v>0</v>
      </c>
      <c r="AG2500" t="s">
        <v>3461</v>
      </c>
      <c r="AH2500">
        <v>0</v>
      </c>
      <c r="AK2500">
        <v>0</v>
      </c>
    </row>
    <row r="2501" spans="1:37" x14ac:dyDescent="0.25">
      <c r="A2501" t="s">
        <v>79</v>
      </c>
      <c r="B2501">
        <v>10</v>
      </c>
      <c r="C2501">
        <v>2</v>
      </c>
      <c r="D2501">
        <v>1</v>
      </c>
      <c r="E2501">
        <v>6</v>
      </c>
      <c r="G2501">
        <v>1021</v>
      </c>
      <c r="H2501" t="s">
        <v>3416</v>
      </c>
      <c r="I2501" t="s">
        <v>116</v>
      </c>
      <c r="J2501" t="s">
        <v>3462</v>
      </c>
      <c r="L2501">
        <v>0</v>
      </c>
      <c r="M2501" t="s">
        <v>125</v>
      </c>
      <c r="O2501" t="s">
        <v>125</v>
      </c>
      <c r="P2501" t="s">
        <v>125</v>
      </c>
      <c r="Q2501" t="s">
        <v>125</v>
      </c>
      <c r="R2501" t="s">
        <v>125</v>
      </c>
      <c r="S2501" t="s">
        <v>125</v>
      </c>
      <c r="T2501">
        <v>1746</v>
      </c>
      <c r="V2501" t="s">
        <v>125</v>
      </c>
      <c r="AE2501" t="s">
        <v>125</v>
      </c>
      <c r="AF2501">
        <v>0</v>
      </c>
      <c r="AG2501" t="s">
        <v>125</v>
      </c>
      <c r="AH2501">
        <v>0</v>
      </c>
      <c r="AK2501">
        <v>0</v>
      </c>
    </row>
    <row r="2502" spans="1:37" x14ac:dyDescent="0.25">
      <c r="A2502" t="s">
        <v>79</v>
      </c>
      <c r="B2502">
        <v>10</v>
      </c>
      <c r="C2502">
        <v>2</v>
      </c>
      <c r="D2502">
        <v>1</v>
      </c>
      <c r="E2502">
        <v>7</v>
      </c>
      <c r="G2502">
        <v>1021</v>
      </c>
      <c r="H2502" t="s">
        <v>3416</v>
      </c>
      <c r="I2502" t="s">
        <v>123</v>
      </c>
      <c r="J2502" t="s">
        <v>3463</v>
      </c>
      <c r="L2502">
        <v>0</v>
      </c>
      <c r="M2502" t="s">
        <v>125</v>
      </c>
      <c r="O2502" t="s">
        <v>125</v>
      </c>
      <c r="P2502" t="s">
        <v>125</v>
      </c>
      <c r="Q2502" t="s">
        <v>125</v>
      </c>
      <c r="R2502" t="s">
        <v>125</v>
      </c>
      <c r="S2502" t="s">
        <v>125</v>
      </c>
      <c r="T2502">
        <v>1746</v>
      </c>
      <c r="V2502" t="s">
        <v>125</v>
      </c>
      <c r="AE2502" t="s">
        <v>125</v>
      </c>
      <c r="AF2502">
        <v>0</v>
      </c>
      <c r="AG2502" t="s">
        <v>125</v>
      </c>
      <c r="AH2502">
        <v>0</v>
      </c>
      <c r="AK2502">
        <v>0</v>
      </c>
    </row>
    <row r="2503" spans="1:37" x14ac:dyDescent="0.25">
      <c r="A2503" t="s">
        <v>79</v>
      </c>
      <c r="B2503">
        <v>10</v>
      </c>
      <c r="C2503">
        <v>2</v>
      </c>
      <c r="D2503">
        <v>1</v>
      </c>
      <c r="E2503">
        <v>8</v>
      </c>
      <c r="G2503">
        <v>1021</v>
      </c>
      <c r="H2503" t="s">
        <v>3416</v>
      </c>
      <c r="I2503" t="s">
        <v>126</v>
      </c>
      <c r="J2503" t="s">
        <v>3464</v>
      </c>
      <c r="L2503">
        <v>0</v>
      </c>
      <c r="M2503" t="s">
        <v>125</v>
      </c>
      <c r="O2503" t="s">
        <v>125</v>
      </c>
      <c r="P2503" t="s">
        <v>125</v>
      </c>
      <c r="Q2503" t="s">
        <v>125</v>
      </c>
      <c r="R2503" t="s">
        <v>125</v>
      </c>
      <c r="S2503" t="s">
        <v>125</v>
      </c>
      <c r="T2503">
        <v>1746</v>
      </c>
      <c r="V2503" t="s">
        <v>125</v>
      </c>
      <c r="AE2503" t="s">
        <v>125</v>
      </c>
      <c r="AF2503">
        <v>0</v>
      </c>
      <c r="AG2503" t="s">
        <v>125</v>
      </c>
      <c r="AH2503">
        <v>0</v>
      </c>
      <c r="AK2503">
        <v>0</v>
      </c>
    </row>
    <row r="2504" spans="1:37" x14ac:dyDescent="0.25">
      <c r="A2504" t="s">
        <v>79</v>
      </c>
      <c r="B2504">
        <v>10</v>
      </c>
      <c r="C2504">
        <v>2</v>
      </c>
      <c r="D2504">
        <v>1</v>
      </c>
      <c r="E2504">
        <v>9</v>
      </c>
      <c r="G2504">
        <v>1021</v>
      </c>
      <c r="H2504" t="s">
        <v>3416</v>
      </c>
      <c r="I2504" t="s">
        <v>74</v>
      </c>
      <c r="J2504" t="s">
        <v>3465</v>
      </c>
      <c r="L2504">
        <v>0</v>
      </c>
      <c r="M2504" t="s">
        <v>125</v>
      </c>
      <c r="O2504" t="s">
        <v>125</v>
      </c>
      <c r="P2504" t="s">
        <v>125</v>
      </c>
      <c r="Q2504" t="s">
        <v>125</v>
      </c>
      <c r="R2504" t="s">
        <v>125</v>
      </c>
      <c r="S2504" t="s">
        <v>125</v>
      </c>
      <c r="T2504">
        <v>1746</v>
      </c>
      <c r="V2504" t="s">
        <v>125</v>
      </c>
      <c r="AE2504" t="s">
        <v>125</v>
      </c>
      <c r="AF2504">
        <v>0</v>
      </c>
      <c r="AG2504" t="s">
        <v>125</v>
      </c>
      <c r="AH2504">
        <v>0</v>
      </c>
      <c r="AK2504">
        <v>0</v>
      </c>
    </row>
    <row r="2505" spans="1:37" x14ac:dyDescent="0.25">
      <c r="A2505" t="s">
        <v>79</v>
      </c>
      <c r="B2505">
        <v>10</v>
      </c>
      <c r="C2505">
        <v>2</v>
      </c>
      <c r="D2505">
        <v>1</v>
      </c>
      <c r="E2505">
        <v>10</v>
      </c>
      <c r="G2505">
        <v>1021</v>
      </c>
      <c r="H2505" t="s">
        <v>3416</v>
      </c>
      <c r="I2505" t="s">
        <v>129</v>
      </c>
      <c r="J2505" t="s">
        <v>3466</v>
      </c>
      <c r="L2505">
        <v>0</v>
      </c>
      <c r="M2505" t="s">
        <v>125</v>
      </c>
      <c r="O2505" t="s">
        <v>125</v>
      </c>
      <c r="P2505" t="s">
        <v>125</v>
      </c>
      <c r="Q2505" t="s">
        <v>125</v>
      </c>
      <c r="R2505" t="s">
        <v>125</v>
      </c>
      <c r="S2505" t="s">
        <v>125</v>
      </c>
      <c r="T2505">
        <v>1746</v>
      </c>
      <c r="V2505" t="s">
        <v>125</v>
      </c>
      <c r="AE2505" t="s">
        <v>125</v>
      </c>
      <c r="AF2505">
        <v>0</v>
      </c>
      <c r="AG2505" t="s">
        <v>125</v>
      </c>
      <c r="AH2505">
        <v>0</v>
      </c>
      <c r="AK2505">
        <v>0</v>
      </c>
    </row>
    <row r="2506" spans="1:37" x14ac:dyDescent="0.25">
      <c r="A2506" t="s">
        <v>79</v>
      </c>
      <c r="B2506">
        <v>10</v>
      </c>
      <c r="C2506">
        <v>2</v>
      </c>
      <c r="D2506">
        <v>1</v>
      </c>
      <c r="E2506">
        <v>11</v>
      </c>
      <c r="G2506">
        <v>1021</v>
      </c>
      <c r="H2506" t="s">
        <v>3416</v>
      </c>
      <c r="I2506" t="s">
        <v>131</v>
      </c>
      <c r="J2506" t="s">
        <v>3467</v>
      </c>
      <c r="L2506">
        <v>0</v>
      </c>
      <c r="M2506" t="s">
        <v>125</v>
      </c>
      <c r="O2506" t="s">
        <v>125</v>
      </c>
      <c r="P2506" t="s">
        <v>125</v>
      </c>
      <c r="Q2506" t="s">
        <v>125</v>
      </c>
      <c r="R2506" t="s">
        <v>125</v>
      </c>
      <c r="S2506" t="s">
        <v>125</v>
      </c>
      <c r="T2506">
        <v>1746</v>
      </c>
      <c r="V2506" t="s">
        <v>125</v>
      </c>
      <c r="AE2506" t="s">
        <v>125</v>
      </c>
      <c r="AF2506">
        <v>0</v>
      </c>
      <c r="AG2506" t="s">
        <v>125</v>
      </c>
      <c r="AH2506">
        <v>0</v>
      </c>
      <c r="AK2506">
        <v>0</v>
      </c>
    </row>
    <row r="2507" spans="1:37" x14ac:dyDescent="0.25">
      <c r="A2507" t="s">
        <v>79</v>
      </c>
      <c r="B2507">
        <v>10</v>
      </c>
      <c r="C2507">
        <v>2</v>
      </c>
      <c r="D2507">
        <v>1</v>
      </c>
      <c r="E2507">
        <v>12</v>
      </c>
      <c r="G2507">
        <v>1021</v>
      </c>
      <c r="H2507" t="s">
        <v>3416</v>
      </c>
      <c r="I2507" t="s">
        <v>133</v>
      </c>
      <c r="J2507" t="s">
        <v>3468</v>
      </c>
      <c r="L2507">
        <v>0</v>
      </c>
      <c r="M2507" t="s">
        <v>125</v>
      </c>
      <c r="O2507" t="s">
        <v>125</v>
      </c>
      <c r="P2507" t="s">
        <v>125</v>
      </c>
      <c r="Q2507" t="s">
        <v>125</v>
      </c>
      <c r="R2507" t="s">
        <v>125</v>
      </c>
      <c r="S2507" t="s">
        <v>125</v>
      </c>
      <c r="T2507">
        <v>1746</v>
      </c>
      <c r="V2507" t="s">
        <v>125</v>
      </c>
      <c r="AE2507" t="s">
        <v>125</v>
      </c>
      <c r="AF2507">
        <v>0</v>
      </c>
      <c r="AG2507" t="s">
        <v>125</v>
      </c>
      <c r="AH2507">
        <v>0</v>
      </c>
      <c r="AK2507">
        <v>0</v>
      </c>
    </row>
    <row r="2508" spans="1:37" x14ac:dyDescent="0.25">
      <c r="A2508" t="s">
        <v>79</v>
      </c>
      <c r="B2508">
        <v>10</v>
      </c>
      <c r="C2508">
        <v>2</v>
      </c>
      <c r="D2508">
        <v>1</v>
      </c>
      <c r="E2508">
        <v>13</v>
      </c>
      <c r="G2508">
        <v>1021</v>
      </c>
      <c r="H2508" t="s">
        <v>3416</v>
      </c>
      <c r="I2508" t="s">
        <v>135</v>
      </c>
      <c r="J2508" t="s">
        <v>3469</v>
      </c>
      <c r="L2508">
        <v>0</v>
      </c>
      <c r="M2508" t="s">
        <v>125</v>
      </c>
      <c r="O2508" t="s">
        <v>125</v>
      </c>
      <c r="P2508" t="s">
        <v>125</v>
      </c>
      <c r="Q2508" t="s">
        <v>125</v>
      </c>
      <c r="R2508" t="s">
        <v>125</v>
      </c>
      <c r="S2508" t="s">
        <v>125</v>
      </c>
      <c r="T2508">
        <v>1746</v>
      </c>
      <c r="V2508" t="s">
        <v>125</v>
      </c>
      <c r="AE2508" t="s">
        <v>125</v>
      </c>
      <c r="AF2508">
        <v>0</v>
      </c>
      <c r="AG2508" t="s">
        <v>125</v>
      </c>
      <c r="AH2508">
        <v>0</v>
      </c>
      <c r="AK2508">
        <v>0</v>
      </c>
    </row>
    <row r="2509" spans="1:37" x14ac:dyDescent="0.25">
      <c r="A2509" t="s">
        <v>79</v>
      </c>
      <c r="B2509">
        <v>10</v>
      </c>
      <c r="C2509">
        <v>2</v>
      </c>
      <c r="D2509">
        <v>1</v>
      </c>
      <c r="E2509">
        <v>14</v>
      </c>
      <c r="G2509">
        <v>1021</v>
      </c>
      <c r="H2509" t="s">
        <v>3416</v>
      </c>
      <c r="I2509" t="s">
        <v>137</v>
      </c>
      <c r="J2509" t="s">
        <v>3470</v>
      </c>
      <c r="L2509">
        <v>0</v>
      </c>
      <c r="M2509" t="s">
        <v>125</v>
      </c>
      <c r="O2509" t="s">
        <v>125</v>
      </c>
      <c r="P2509" t="s">
        <v>125</v>
      </c>
      <c r="Q2509" t="s">
        <v>125</v>
      </c>
      <c r="R2509" t="s">
        <v>125</v>
      </c>
      <c r="S2509" t="s">
        <v>125</v>
      </c>
      <c r="T2509">
        <v>1746</v>
      </c>
      <c r="V2509" t="s">
        <v>125</v>
      </c>
      <c r="AE2509" t="s">
        <v>125</v>
      </c>
      <c r="AF2509">
        <v>0</v>
      </c>
      <c r="AG2509" t="s">
        <v>125</v>
      </c>
      <c r="AH2509">
        <v>0</v>
      </c>
      <c r="AK2509">
        <v>0</v>
      </c>
    </row>
    <row r="2510" spans="1:37" x14ac:dyDescent="0.25">
      <c r="A2510" t="s">
        <v>79</v>
      </c>
      <c r="B2510">
        <v>10</v>
      </c>
      <c r="C2510">
        <v>2</v>
      </c>
      <c r="D2510">
        <v>1</v>
      </c>
      <c r="E2510">
        <v>15</v>
      </c>
      <c r="G2510">
        <v>1021</v>
      </c>
      <c r="H2510" t="s">
        <v>3416</v>
      </c>
      <c r="I2510" t="s">
        <v>139</v>
      </c>
      <c r="J2510" t="s">
        <v>3471</v>
      </c>
      <c r="L2510">
        <v>0</v>
      </c>
      <c r="M2510" t="s">
        <v>125</v>
      </c>
      <c r="O2510" t="s">
        <v>125</v>
      </c>
      <c r="P2510" t="s">
        <v>125</v>
      </c>
      <c r="Q2510" t="s">
        <v>125</v>
      </c>
      <c r="R2510" t="s">
        <v>125</v>
      </c>
      <c r="S2510" t="s">
        <v>125</v>
      </c>
      <c r="T2510">
        <v>1746</v>
      </c>
      <c r="V2510" t="s">
        <v>125</v>
      </c>
      <c r="AE2510" t="s">
        <v>125</v>
      </c>
      <c r="AF2510">
        <v>0</v>
      </c>
      <c r="AG2510" t="s">
        <v>125</v>
      </c>
      <c r="AH2510">
        <v>0</v>
      </c>
      <c r="AK2510">
        <v>0</v>
      </c>
    </row>
    <row r="2511" spans="1:37" x14ac:dyDescent="0.25">
      <c r="L2511">
        <v>0</v>
      </c>
    </row>
    <row r="2512" spans="1:37" x14ac:dyDescent="0.25">
      <c r="A2512" t="s">
        <v>70</v>
      </c>
      <c r="B2512">
        <v>10</v>
      </c>
      <c r="C2512">
        <v>2</v>
      </c>
      <c r="D2512">
        <v>2</v>
      </c>
      <c r="G2512">
        <v>102</v>
      </c>
      <c r="M2512" t="s">
        <v>3472</v>
      </c>
      <c r="O2512" t="s">
        <v>3473</v>
      </c>
      <c r="P2512" t="s">
        <v>3474</v>
      </c>
      <c r="Q2512" t="s">
        <v>3475</v>
      </c>
      <c r="R2512" t="s">
        <v>192</v>
      </c>
      <c r="S2512" t="s">
        <v>3476</v>
      </c>
      <c r="V2512" t="s">
        <v>3477</v>
      </c>
      <c r="X2512" t="s">
        <v>3478</v>
      </c>
      <c r="Y2512" t="s">
        <v>3479</v>
      </c>
      <c r="Z2512" t="s">
        <v>3480</v>
      </c>
      <c r="AA2512" t="s">
        <v>3481</v>
      </c>
      <c r="AB2512" t="s">
        <v>63</v>
      </c>
      <c r="AC2512" t="s">
        <v>63</v>
      </c>
      <c r="AE2512" t="s">
        <v>3482</v>
      </c>
      <c r="AF2512">
        <v>0</v>
      </c>
      <c r="AG2512" t="s">
        <v>3483</v>
      </c>
      <c r="AH2512">
        <v>0</v>
      </c>
      <c r="AK2512">
        <v>0</v>
      </c>
    </row>
    <row r="2513" spans="1:37" x14ac:dyDescent="0.25">
      <c r="A2513" t="s">
        <v>79</v>
      </c>
      <c r="B2513">
        <v>10</v>
      </c>
      <c r="C2513">
        <v>2</v>
      </c>
      <c r="D2513">
        <v>2</v>
      </c>
      <c r="E2513">
        <v>1</v>
      </c>
      <c r="G2513">
        <v>1022</v>
      </c>
      <c r="H2513" t="s">
        <v>3473</v>
      </c>
      <c r="I2513" t="s">
        <v>80</v>
      </c>
      <c r="J2513" t="s">
        <v>3484</v>
      </c>
      <c r="L2513">
        <v>0</v>
      </c>
      <c r="M2513" t="s">
        <v>3485</v>
      </c>
      <c r="O2513" t="s">
        <v>3486</v>
      </c>
      <c r="P2513" t="s">
        <v>3487</v>
      </c>
      <c r="Q2513" t="s">
        <v>3488</v>
      </c>
      <c r="R2513" t="s">
        <v>192</v>
      </c>
      <c r="S2513" t="s">
        <v>3489</v>
      </c>
      <c r="T2513">
        <v>1663</v>
      </c>
      <c r="U2513">
        <v>1721</v>
      </c>
      <c r="V2513" t="s">
        <v>3490</v>
      </c>
      <c r="AE2513" t="s">
        <v>3491</v>
      </c>
      <c r="AF2513">
        <v>0</v>
      </c>
      <c r="AG2513" t="s">
        <v>3492</v>
      </c>
      <c r="AH2513">
        <v>0</v>
      </c>
      <c r="AK2513">
        <v>0</v>
      </c>
    </row>
    <row r="2514" spans="1:37" x14ac:dyDescent="0.25">
      <c r="A2514" t="s">
        <v>79</v>
      </c>
      <c r="B2514">
        <v>10</v>
      </c>
      <c r="C2514">
        <v>2</v>
      </c>
      <c r="D2514">
        <v>2</v>
      </c>
      <c r="E2514">
        <v>2</v>
      </c>
      <c r="G2514">
        <v>1022</v>
      </c>
      <c r="H2514" t="s">
        <v>3473</v>
      </c>
      <c r="I2514" t="s">
        <v>88</v>
      </c>
      <c r="J2514" t="s">
        <v>3493</v>
      </c>
      <c r="L2514">
        <v>0</v>
      </c>
      <c r="M2514" t="s">
        <v>3494</v>
      </c>
      <c r="O2514" t="s">
        <v>3495</v>
      </c>
      <c r="P2514" t="s">
        <v>3496</v>
      </c>
      <c r="Q2514" t="s">
        <v>3497</v>
      </c>
      <c r="R2514" t="s">
        <v>382</v>
      </c>
      <c r="S2514" t="s">
        <v>1054</v>
      </c>
      <c r="T2514">
        <v>1663</v>
      </c>
      <c r="U2514">
        <v>1926</v>
      </c>
      <c r="V2514" t="s">
        <v>3498</v>
      </c>
      <c r="AE2514" t="s">
        <v>3499</v>
      </c>
      <c r="AF2514">
        <v>0</v>
      </c>
      <c r="AG2514" t="s">
        <v>3500</v>
      </c>
      <c r="AH2514">
        <v>0</v>
      </c>
      <c r="AK2514">
        <v>0</v>
      </c>
    </row>
    <row r="2515" spans="1:37" x14ac:dyDescent="0.25">
      <c r="A2515" t="s">
        <v>79</v>
      </c>
      <c r="B2515">
        <v>10</v>
      </c>
      <c r="C2515">
        <v>2</v>
      </c>
      <c r="D2515">
        <v>2</v>
      </c>
      <c r="E2515">
        <v>3</v>
      </c>
      <c r="G2515">
        <v>1022</v>
      </c>
      <c r="H2515" t="s">
        <v>3473</v>
      </c>
      <c r="I2515" t="s">
        <v>95</v>
      </c>
      <c r="J2515" t="s">
        <v>3501</v>
      </c>
      <c r="L2515">
        <v>0</v>
      </c>
      <c r="M2515" t="s">
        <v>3502</v>
      </c>
      <c r="O2515" t="s">
        <v>3503</v>
      </c>
      <c r="P2515" t="s">
        <v>3504</v>
      </c>
      <c r="Q2515" t="s">
        <v>2423</v>
      </c>
      <c r="R2515" t="s">
        <v>210</v>
      </c>
      <c r="S2515" t="s">
        <v>3505</v>
      </c>
      <c r="T2515">
        <v>1663</v>
      </c>
      <c r="U2515">
        <v>67</v>
      </c>
      <c r="V2515" t="s">
        <v>3506</v>
      </c>
      <c r="AE2515" t="s">
        <v>3507</v>
      </c>
      <c r="AF2515">
        <v>0</v>
      </c>
      <c r="AG2515" t="s">
        <v>3508</v>
      </c>
      <c r="AH2515">
        <v>0</v>
      </c>
      <c r="AK2515">
        <v>0</v>
      </c>
    </row>
    <row r="2516" spans="1:37" x14ac:dyDescent="0.25">
      <c r="A2516" t="s">
        <v>79</v>
      </c>
      <c r="B2516">
        <v>10</v>
      </c>
      <c r="C2516">
        <v>2</v>
      </c>
      <c r="D2516">
        <v>2</v>
      </c>
      <c r="E2516">
        <v>4</v>
      </c>
      <c r="G2516">
        <v>1022</v>
      </c>
      <c r="H2516" t="s">
        <v>3473</v>
      </c>
      <c r="I2516" t="s">
        <v>102</v>
      </c>
      <c r="J2516" t="s">
        <v>3509</v>
      </c>
      <c r="L2516">
        <v>0</v>
      </c>
      <c r="M2516" t="s">
        <v>3510</v>
      </c>
      <c r="O2516" t="s">
        <v>294</v>
      </c>
      <c r="P2516" t="s">
        <v>295</v>
      </c>
      <c r="Q2516" t="s">
        <v>3511</v>
      </c>
      <c r="R2516" t="s">
        <v>229</v>
      </c>
      <c r="S2516" t="s">
        <v>297</v>
      </c>
      <c r="T2516">
        <v>1663</v>
      </c>
      <c r="U2516">
        <v>294</v>
      </c>
      <c r="V2516" t="s">
        <v>3512</v>
      </c>
      <c r="AE2516" t="s">
        <v>3513</v>
      </c>
      <c r="AF2516">
        <v>0</v>
      </c>
      <c r="AG2516" t="s">
        <v>3514</v>
      </c>
      <c r="AH2516">
        <v>0</v>
      </c>
      <c r="AK2516">
        <v>0</v>
      </c>
    </row>
    <row r="2517" spans="1:37" x14ac:dyDescent="0.25">
      <c r="A2517" t="s">
        <v>79</v>
      </c>
      <c r="B2517">
        <v>10</v>
      </c>
      <c r="C2517">
        <v>2</v>
      </c>
      <c r="D2517">
        <v>2</v>
      </c>
      <c r="E2517">
        <v>5</v>
      </c>
      <c r="G2517">
        <v>1022</v>
      </c>
      <c r="H2517" t="s">
        <v>3473</v>
      </c>
      <c r="I2517" t="s">
        <v>109</v>
      </c>
      <c r="J2517" t="s">
        <v>3515</v>
      </c>
      <c r="L2517">
        <v>0</v>
      </c>
      <c r="M2517" t="s">
        <v>3516</v>
      </c>
      <c r="O2517" t="s">
        <v>3517</v>
      </c>
      <c r="P2517" t="s">
        <v>3518</v>
      </c>
      <c r="Q2517" t="s">
        <v>3519</v>
      </c>
      <c r="R2517" t="s">
        <v>229</v>
      </c>
      <c r="S2517" t="s">
        <v>239</v>
      </c>
      <c r="T2517">
        <v>1663</v>
      </c>
      <c r="U2517">
        <v>704</v>
      </c>
      <c r="V2517" t="s">
        <v>3520</v>
      </c>
      <c r="AE2517" t="s">
        <v>3521</v>
      </c>
      <c r="AF2517">
        <v>0</v>
      </c>
      <c r="AG2517" t="s">
        <v>3522</v>
      </c>
      <c r="AH2517">
        <v>0</v>
      </c>
      <c r="AK2517">
        <v>0</v>
      </c>
    </row>
    <row r="2518" spans="1:37" x14ac:dyDescent="0.25">
      <c r="A2518" t="s">
        <v>79</v>
      </c>
      <c r="B2518">
        <v>10</v>
      </c>
      <c r="C2518">
        <v>2</v>
      </c>
      <c r="D2518">
        <v>2</v>
      </c>
      <c r="E2518">
        <v>6</v>
      </c>
      <c r="G2518">
        <v>1022</v>
      </c>
      <c r="H2518" t="s">
        <v>3473</v>
      </c>
      <c r="I2518" t="s">
        <v>116</v>
      </c>
      <c r="J2518" t="s">
        <v>3523</v>
      </c>
      <c r="L2518">
        <v>0</v>
      </c>
      <c r="M2518" t="s">
        <v>125</v>
      </c>
      <c r="O2518" t="s">
        <v>125</v>
      </c>
      <c r="P2518" t="s">
        <v>125</v>
      </c>
      <c r="Q2518" t="s">
        <v>125</v>
      </c>
      <c r="R2518" t="s">
        <v>125</v>
      </c>
      <c r="S2518" t="s">
        <v>125</v>
      </c>
      <c r="T2518">
        <v>1663</v>
      </c>
      <c r="V2518" t="s">
        <v>125</v>
      </c>
      <c r="AE2518" t="s">
        <v>125</v>
      </c>
      <c r="AF2518">
        <v>0</v>
      </c>
      <c r="AG2518" t="s">
        <v>125</v>
      </c>
      <c r="AH2518">
        <v>0</v>
      </c>
      <c r="AK2518">
        <v>0</v>
      </c>
    </row>
    <row r="2519" spans="1:37" x14ac:dyDescent="0.25">
      <c r="A2519" t="s">
        <v>79</v>
      </c>
      <c r="B2519">
        <v>10</v>
      </c>
      <c r="C2519">
        <v>2</v>
      </c>
      <c r="D2519">
        <v>2</v>
      </c>
      <c r="E2519">
        <v>7</v>
      </c>
      <c r="G2519">
        <v>1022</v>
      </c>
      <c r="H2519" t="s">
        <v>3473</v>
      </c>
      <c r="I2519" t="s">
        <v>123</v>
      </c>
      <c r="J2519" t="s">
        <v>3524</v>
      </c>
      <c r="L2519">
        <v>0</v>
      </c>
      <c r="M2519" t="s">
        <v>125</v>
      </c>
      <c r="O2519" t="s">
        <v>125</v>
      </c>
      <c r="P2519" t="s">
        <v>125</v>
      </c>
      <c r="Q2519" t="s">
        <v>125</v>
      </c>
      <c r="R2519" t="s">
        <v>125</v>
      </c>
      <c r="S2519" t="s">
        <v>125</v>
      </c>
      <c r="T2519">
        <v>1663</v>
      </c>
      <c r="V2519" t="s">
        <v>125</v>
      </c>
      <c r="AE2519" t="s">
        <v>125</v>
      </c>
      <c r="AF2519">
        <v>0</v>
      </c>
      <c r="AG2519" t="s">
        <v>125</v>
      </c>
      <c r="AH2519">
        <v>0</v>
      </c>
      <c r="AK2519">
        <v>0</v>
      </c>
    </row>
    <row r="2520" spans="1:37" x14ac:dyDescent="0.25">
      <c r="A2520" t="s">
        <v>79</v>
      </c>
      <c r="B2520">
        <v>10</v>
      </c>
      <c r="C2520">
        <v>2</v>
      </c>
      <c r="D2520">
        <v>2</v>
      </c>
      <c r="E2520">
        <v>8</v>
      </c>
      <c r="G2520">
        <v>1022</v>
      </c>
      <c r="H2520" t="s">
        <v>3473</v>
      </c>
      <c r="I2520" t="s">
        <v>126</v>
      </c>
      <c r="J2520" t="s">
        <v>3525</v>
      </c>
      <c r="L2520">
        <v>0</v>
      </c>
      <c r="M2520" t="s">
        <v>125</v>
      </c>
      <c r="O2520" t="s">
        <v>125</v>
      </c>
      <c r="P2520" t="s">
        <v>125</v>
      </c>
      <c r="Q2520" t="s">
        <v>125</v>
      </c>
      <c r="R2520" t="s">
        <v>125</v>
      </c>
      <c r="S2520" t="s">
        <v>125</v>
      </c>
      <c r="T2520">
        <v>1663</v>
      </c>
      <c r="V2520" t="s">
        <v>125</v>
      </c>
      <c r="AE2520" t="s">
        <v>125</v>
      </c>
      <c r="AF2520">
        <v>0</v>
      </c>
      <c r="AG2520" t="s">
        <v>125</v>
      </c>
      <c r="AH2520">
        <v>0</v>
      </c>
      <c r="AK2520">
        <v>0</v>
      </c>
    </row>
    <row r="2521" spans="1:37" x14ac:dyDescent="0.25">
      <c r="A2521" t="s">
        <v>79</v>
      </c>
      <c r="B2521">
        <v>10</v>
      </c>
      <c r="C2521">
        <v>2</v>
      </c>
      <c r="D2521">
        <v>2</v>
      </c>
      <c r="E2521">
        <v>9</v>
      </c>
      <c r="G2521">
        <v>1022</v>
      </c>
      <c r="H2521" t="s">
        <v>3473</v>
      </c>
      <c r="I2521" t="s">
        <v>74</v>
      </c>
      <c r="J2521" t="s">
        <v>3526</v>
      </c>
      <c r="L2521">
        <v>0</v>
      </c>
      <c r="M2521" t="s">
        <v>125</v>
      </c>
      <c r="O2521" t="s">
        <v>125</v>
      </c>
      <c r="P2521" t="s">
        <v>125</v>
      </c>
      <c r="Q2521" t="s">
        <v>125</v>
      </c>
      <c r="R2521" t="s">
        <v>125</v>
      </c>
      <c r="S2521" t="s">
        <v>125</v>
      </c>
      <c r="T2521">
        <v>1663</v>
      </c>
      <c r="V2521" t="s">
        <v>125</v>
      </c>
      <c r="AE2521" t="s">
        <v>125</v>
      </c>
      <c r="AF2521">
        <v>0</v>
      </c>
      <c r="AG2521" t="s">
        <v>125</v>
      </c>
      <c r="AH2521">
        <v>0</v>
      </c>
      <c r="AK2521">
        <v>0</v>
      </c>
    </row>
    <row r="2522" spans="1:37" x14ac:dyDescent="0.25">
      <c r="A2522" t="s">
        <v>79</v>
      </c>
      <c r="B2522">
        <v>10</v>
      </c>
      <c r="C2522">
        <v>2</v>
      </c>
      <c r="D2522">
        <v>2</v>
      </c>
      <c r="E2522">
        <v>10</v>
      </c>
      <c r="G2522">
        <v>1022</v>
      </c>
      <c r="H2522" t="s">
        <v>3473</v>
      </c>
      <c r="I2522" t="s">
        <v>129</v>
      </c>
      <c r="J2522" t="s">
        <v>3527</v>
      </c>
      <c r="L2522">
        <v>0</v>
      </c>
      <c r="M2522" t="s">
        <v>125</v>
      </c>
      <c r="O2522" t="s">
        <v>125</v>
      </c>
      <c r="P2522" t="s">
        <v>125</v>
      </c>
      <c r="Q2522" t="s">
        <v>125</v>
      </c>
      <c r="R2522" t="s">
        <v>125</v>
      </c>
      <c r="S2522" t="s">
        <v>125</v>
      </c>
      <c r="T2522">
        <v>1663</v>
      </c>
      <c r="V2522" t="s">
        <v>125</v>
      </c>
      <c r="AE2522" t="s">
        <v>125</v>
      </c>
      <c r="AF2522">
        <v>0</v>
      </c>
      <c r="AG2522" t="s">
        <v>125</v>
      </c>
      <c r="AH2522">
        <v>0</v>
      </c>
      <c r="AK2522">
        <v>0</v>
      </c>
    </row>
    <row r="2523" spans="1:37" x14ac:dyDescent="0.25">
      <c r="A2523" t="s">
        <v>79</v>
      </c>
      <c r="B2523">
        <v>10</v>
      </c>
      <c r="C2523">
        <v>2</v>
      </c>
      <c r="D2523">
        <v>2</v>
      </c>
      <c r="E2523">
        <v>11</v>
      </c>
      <c r="G2523">
        <v>1022</v>
      </c>
      <c r="H2523" t="s">
        <v>3473</v>
      </c>
      <c r="I2523" t="s">
        <v>131</v>
      </c>
      <c r="J2523" t="s">
        <v>3528</v>
      </c>
      <c r="L2523">
        <v>0</v>
      </c>
      <c r="M2523" t="s">
        <v>125</v>
      </c>
      <c r="O2523" t="s">
        <v>125</v>
      </c>
      <c r="P2523" t="s">
        <v>125</v>
      </c>
      <c r="Q2523" t="s">
        <v>125</v>
      </c>
      <c r="R2523" t="s">
        <v>125</v>
      </c>
      <c r="S2523" t="s">
        <v>125</v>
      </c>
      <c r="T2523">
        <v>1663</v>
      </c>
      <c r="V2523" t="s">
        <v>125</v>
      </c>
      <c r="AE2523" t="s">
        <v>125</v>
      </c>
      <c r="AF2523">
        <v>0</v>
      </c>
      <c r="AG2523" t="s">
        <v>125</v>
      </c>
      <c r="AH2523">
        <v>0</v>
      </c>
      <c r="AK2523">
        <v>0</v>
      </c>
    </row>
    <row r="2524" spans="1:37" x14ac:dyDescent="0.25">
      <c r="A2524" t="s">
        <v>79</v>
      </c>
      <c r="B2524">
        <v>10</v>
      </c>
      <c r="C2524">
        <v>2</v>
      </c>
      <c r="D2524">
        <v>2</v>
      </c>
      <c r="E2524">
        <v>12</v>
      </c>
      <c r="G2524">
        <v>1022</v>
      </c>
      <c r="H2524" t="s">
        <v>3473</v>
      </c>
      <c r="I2524" t="s">
        <v>133</v>
      </c>
      <c r="J2524" t="s">
        <v>3529</v>
      </c>
      <c r="L2524">
        <v>0</v>
      </c>
      <c r="M2524" t="s">
        <v>125</v>
      </c>
      <c r="O2524" t="s">
        <v>125</v>
      </c>
      <c r="P2524" t="s">
        <v>125</v>
      </c>
      <c r="Q2524" t="s">
        <v>125</v>
      </c>
      <c r="R2524" t="s">
        <v>125</v>
      </c>
      <c r="S2524" t="s">
        <v>125</v>
      </c>
      <c r="T2524">
        <v>1663</v>
      </c>
      <c r="V2524" t="s">
        <v>125</v>
      </c>
      <c r="AE2524" t="s">
        <v>125</v>
      </c>
      <c r="AF2524">
        <v>0</v>
      </c>
      <c r="AG2524" t="s">
        <v>125</v>
      </c>
      <c r="AH2524">
        <v>0</v>
      </c>
      <c r="AK2524">
        <v>0</v>
      </c>
    </row>
    <row r="2525" spans="1:37" x14ac:dyDescent="0.25">
      <c r="A2525" t="s">
        <v>79</v>
      </c>
      <c r="B2525">
        <v>10</v>
      </c>
      <c r="C2525">
        <v>2</v>
      </c>
      <c r="D2525">
        <v>2</v>
      </c>
      <c r="E2525">
        <v>13</v>
      </c>
      <c r="G2525">
        <v>1022</v>
      </c>
      <c r="H2525" t="s">
        <v>3473</v>
      </c>
      <c r="I2525" t="s">
        <v>135</v>
      </c>
      <c r="J2525" t="s">
        <v>3530</v>
      </c>
      <c r="L2525">
        <v>0</v>
      </c>
      <c r="M2525" t="s">
        <v>125</v>
      </c>
      <c r="O2525" t="s">
        <v>125</v>
      </c>
      <c r="P2525" t="s">
        <v>125</v>
      </c>
      <c r="Q2525" t="s">
        <v>125</v>
      </c>
      <c r="R2525" t="s">
        <v>125</v>
      </c>
      <c r="S2525" t="s">
        <v>125</v>
      </c>
      <c r="T2525">
        <v>1663</v>
      </c>
      <c r="V2525" t="s">
        <v>125</v>
      </c>
      <c r="AE2525" t="s">
        <v>125</v>
      </c>
      <c r="AF2525">
        <v>0</v>
      </c>
      <c r="AG2525" t="s">
        <v>125</v>
      </c>
      <c r="AH2525">
        <v>0</v>
      </c>
      <c r="AK2525">
        <v>0</v>
      </c>
    </row>
    <row r="2526" spans="1:37" x14ac:dyDescent="0.25">
      <c r="A2526" t="s">
        <v>79</v>
      </c>
      <c r="B2526">
        <v>10</v>
      </c>
      <c r="C2526">
        <v>2</v>
      </c>
      <c r="D2526">
        <v>2</v>
      </c>
      <c r="E2526">
        <v>14</v>
      </c>
      <c r="G2526">
        <v>1022</v>
      </c>
      <c r="H2526" t="s">
        <v>3473</v>
      </c>
      <c r="I2526" t="s">
        <v>137</v>
      </c>
      <c r="J2526" t="s">
        <v>3531</v>
      </c>
      <c r="L2526">
        <v>0</v>
      </c>
      <c r="M2526" t="s">
        <v>125</v>
      </c>
      <c r="O2526" t="s">
        <v>125</v>
      </c>
      <c r="P2526" t="s">
        <v>125</v>
      </c>
      <c r="Q2526" t="s">
        <v>125</v>
      </c>
      <c r="R2526" t="s">
        <v>125</v>
      </c>
      <c r="S2526" t="s">
        <v>125</v>
      </c>
      <c r="T2526">
        <v>1663</v>
      </c>
      <c r="V2526" t="s">
        <v>125</v>
      </c>
      <c r="AE2526" t="s">
        <v>125</v>
      </c>
      <c r="AF2526">
        <v>0</v>
      </c>
      <c r="AG2526" t="s">
        <v>125</v>
      </c>
      <c r="AH2526">
        <v>0</v>
      </c>
      <c r="AK2526">
        <v>0</v>
      </c>
    </row>
    <row r="2527" spans="1:37" x14ac:dyDescent="0.25">
      <c r="A2527" t="s">
        <v>79</v>
      </c>
      <c r="B2527">
        <v>10</v>
      </c>
      <c r="C2527">
        <v>2</v>
      </c>
      <c r="D2527">
        <v>2</v>
      </c>
      <c r="E2527">
        <v>15</v>
      </c>
      <c r="G2527">
        <v>1022</v>
      </c>
      <c r="H2527" t="s">
        <v>3473</v>
      </c>
      <c r="I2527" t="s">
        <v>139</v>
      </c>
      <c r="J2527" t="s">
        <v>3532</v>
      </c>
      <c r="L2527">
        <v>0</v>
      </c>
      <c r="M2527" t="s">
        <v>125</v>
      </c>
      <c r="O2527" t="s">
        <v>125</v>
      </c>
      <c r="P2527" t="s">
        <v>125</v>
      </c>
      <c r="Q2527" t="s">
        <v>125</v>
      </c>
      <c r="R2527" t="s">
        <v>125</v>
      </c>
      <c r="S2527" t="s">
        <v>125</v>
      </c>
      <c r="T2527">
        <v>1663</v>
      </c>
      <c r="V2527" t="s">
        <v>125</v>
      </c>
      <c r="AE2527" t="s">
        <v>125</v>
      </c>
      <c r="AF2527">
        <v>0</v>
      </c>
      <c r="AG2527" t="s">
        <v>125</v>
      </c>
      <c r="AH2527">
        <v>0</v>
      </c>
      <c r="AK2527">
        <v>0</v>
      </c>
    </row>
    <row r="2528" spans="1:37" x14ac:dyDescent="0.25">
      <c r="L2528">
        <v>0</v>
      </c>
    </row>
    <row r="2529" spans="1:37" x14ac:dyDescent="0.25">
      <c r="A2529" t="s">
        <v>70</v>
      </c>
      <c r="B2529">
        <v>10</v>
      </c>
      <c r="C2529">
        <v>2</v>
      </c>
      <c r="D2529">
        <v>3</v>
      </c>
      <c r="G2529">
        <v>102</v>
      </c>
      <c r="L2529">
        <v>0</v>
      </c>
      <c r="M2529" t="s">
        <v>125</v>
      </c>
      <c r="P2529" t="s">
        <v>125</v>
      </c>
      <c r="R2529" t="s">
        <v>125</v>
      </c>
      <c r="S2529" t="s">
        <v>63</v>
      </c>
      <c r="V2529" t="s">
        <v>125</v>
      </c>
      <c r="X2529" t="s">
        <v>125</v>
      </c>
      <c r="Y2529" t="s">
        <v>125</v>
      </c>
      <c r="Z2529" t="s">
        <v>125</v>
      </c>
      <c r="AA2529" t="s">
        <v>125</v>
      </c>
      <c r="AB2529" t="s">
        <v>125</v>
      </c>
      <c r="AC2529" t="s">
        <v>125</v>
      </c>
      <c r="AE2529" t="s">
        <v>125</v>
      </c>
      <c r="AF2529">
        <v>0</v>
      </c>
      <c r="AG2529" t="s">
        <v>125</v>
      </c>
      <c r="AH2529">
        <v>0</v>
      </c>
      <c r="AK2529">
        <v>0</v>
      </c>
    </row>
    <row r="2530" spans="1:37" x14ac:dyDescent="0.25">
      <c r="A2530" t="s">
        <v>79</v>
      </c>
      <c r="B2530">
        <v>10</v>
      </c>
      <c r="C2530">
        <v>2</v>
      </c>
      <c r="D2530">
        <v>3</v>
      </c>
      <c r="E2530">
        <v>1</v>
      </c>
      <c r="G2530">
        <v>1023</v>
      </c>
      <c r="H2530" t="s">
        <v>63</v>
      </c>
      <c r="I2530" t="s">
        <v>80</v>
      </c>
      <c r="J2530" t="s">
        <v>141</v>
      </c>
      <c r="L2530">
        <v>0</v>
      </c>
      <c r="M2530" t="s">
        <v>125</v>
      </c>
      <c r="O2530" t="s">
        <v>125</v>
      </c>
      <c r="P2530" t="s">
        <v>125</v>
      </c>
      <c r="Q2530" t="s">
        <v>125</v>
      </c>
      <c r="R2530" t="s">
        <v>125</v>
      </c>
      <c r="S2530" t="s">
        <v>125</v>
      </c>
      <c r="T2530">
        <v>0</v>
      </c>
      <c r="V2530" t="s">
        <v>125</v>
      </c>
      <c r="AE2530" t="s">
        <v>125</v>
      </c>
      <c r="AF2530">
        <v>0</v>
      </c>
      <c r="AG2530" t="s">
        <v>125</v>
      </c>
      <c r="AH2530">
        <v>0</v>
      </c>
      <c r="AK2530">
        <v>0</v>
      </c>
    </row>
    <row r="2531" spans="1:37" x14ac:dyDescent="0.25">
      <c r="A2531" t="s">
        <v>79</v>
      </c>
      <c r="B2531">
        <v>10</v>
      </c>
      <c r="C2531">
        <v>2</v>
      </c>
      <c r="D2531">
        <v>3</v>
      </c>
      <c r="E2531">
        <v>2</v>
      </c>
      <c r="G2531">
        <v>1023</v>
      </c>
      <c r="H2531" t="s">
        <v>63</v>
      </c>
      <c r="I2531" t="s">
        <v>88</v>
      </c>
      <c r="J2531" t="s">
        <v>142</v>
      </c>
      <c r="L2531">
        <v>0</v>
      </c>
      <c r="M2531" t="s">
        <v>125</v>
      </c>
      <c r="O2531" t="s">
        <v>125</v>
      </c>
      <c r="P2531" t="s">
        <v>125</v>
      </c>
      <c r="Q2531" t="s">
        <v>125</v>
      </c>
      <c r="R2531" t="s">
        <v>125</v>
      </c>
      <c r="S2531" t="s">
        <v>125</v>
      </c>
      <c r="T2531">
        <v>0</v>
      </c>
      <c r="V2531" t="s">
        <v>125</v>
      </c>
      <c r="AE2531" t="s">
        <v>125</v>
      </c>
      <c r="AF2531">
        <v>0</v>
      </c>
      <c r="AG2531" t="s">
        <v>125</v>
      </c>
      <c r="AH2531">
        <v>0</v>
      </c>
      <c r="AK2531">
        <v>0</v>
      </c>
    </row>
    <row r="2532" spans="1:37" x14ac:dyDescent="0.25">
      <c r="A2532" t="s">
        <v>79</v>
      </c>
      <c r="B2532">
        <v>10</v>
      </c>
      <c r="C2532">
        <v>2</v>
      </c>
      <c r="D2532">
        <v>3</v>
      </c>
      <c r="E2532">
        <v>3</v>
      </c>
      <c r="G2532">
        <v>1023</v>
      </c>
      <c r="H2532" t="s">
        <v>63</v>
      </c>
      <c r="I2532" t="s">
        <v>95</v>
      </c>
      <c r="J2532" t="s">
        <v>143</v>
      </c>
      <c r="L2532">
        <v>0</v>
      </c>
      <c r="M2532" t="s">
        <v>125</v>
      </c>
      <c r="O2532" t="s">
        <v>125</v>
      </c>
      <c r="P2532" t="s">
        <v>125</v>
      </c>
      <c r="Q2532" t="s">
        <v>125</v>
      </c>
      <c r="R2532" t="s">
        <v>125</v>
      </c>
      <c r="S2532" t="s">
        <v>125</v>
      </c>
      <c r="T2532">
        <v>0</v>
      </c>
      <c r="V2532" t="s">
        <v>125</v>
      </c>
      <c r="AE2532" t="s">
        <v>125</v>
      </c>
      <c r="AF2532">
        <v>0</v>
      </c>
      <c r="AG2532" t="s">
        <v>125</v>
      </c>
      <c r="AH2532">
        <v>0</v>
      </c>
      <c r="AK2532">
        <v>0</v>
      </c>
    </row>
    <row r="2533" spans="1:37" x14ac:dyDescent="0.25">
      <c r="A2533" t="s">
        <v>79</v>
      </c>
      <c r="B2533">
        <v>10</v>
      </c>
      <c r="C2533">
        <v>2</v>
      </c>
      <c r="D2533">
        <v>3</v>
      </c>
      <c r="E2533">
        <v>4</v>
      </c>
      <c r="G2533">
        <v>1023</v>
      </c>
      <c r="H2533" t="s">
        <v>63</v>
      </c>
      <c r="I2533" t="s">
        <v>102</v>
      </c>
      <c r="J2533" t="s">
        <v>144</v>
      </c>
      <c r="L2533">
        <v>0</v>
      </c>
      <c r="M2533" t="s">
        <v>125</v>
      </c>
      <c r="O2533" t="s">
        <v>125</v>
      </c>
      <c r="P2533" t="s">
        <v>125</v>
      </c>
      <c r="Q2533" t="s">
        <v>125</v>
      </c>
      <c r="R2533" t="s">
        <v>125</v>
      </c>
      <c r="S2533" t="s">
        <v>125</v>
      </c>
      <c r="T2533">
        <v>0</v>
      </c>
      <c r="V2533" t="s">
        <v>125</v>
      </c>
      <c r="AE2533" t="s">
        <v>125</v>
      </c>
      <c r="AF2533">
        <v>0</v>
      </c>
      <c r="AG2533" t="s">
        <v>125</v>
      </c>
      <c r="AH2533">
        <v>0</v>
      </c>
      <c r="AK2533">
        <v>0</v>
      </c>
    </row>
    <row r="2534" spans="1:37" x14ac:dyDescent="0.25">
      <c r="A2534" t="s">
        <v>79</v>
      </c>
      <c r="B2534">
        <v>10</v>
      </c>
      <c r="C2534">
        <v>2</v>
      </c>
      <c r="D2534">
        <v>3</v>
      </c>
      <c r="E2534">
        <v>5</v>
      </c>
      <c r="G2534">
        <v>1023</v>
      </c>
      <c r="H2534" t="s">
        <v>63</v>
      </c>
      <c r="I2534" t="s">
        <v>109</v>
      </c>
      <c r="J2534" t="s">
        <v>145</v>
      </c>
      <c r="L2534">
        <v>0</v>
      </c>
      <c r="M2534" t="s">
        <v>125</v>
      </c>
      <c r="O2534" t="s">
        <v>125</v>
      </c>
      <c r="P2534" t="s">
        <v>125</v>
      </c>
      <c r="Q2534" t="s">
        <v>125</v>
      </c>
      <c r="R2534" t="s">
        <v>125</v>
      </c>
      <c r="S2534" t="s">
        <v>125</v>
      </c>
      <c r="T2534">
        <v>0</v>
      </c>
      <c r="V2534" t="s">
        <v>125</v>
      </c>
      <c r="AE2534" t="s">
        <v>125</v>
      </c>
      <c r="AF2534">
        <v>0</v>
      </c>
      <c r="AG2534" t="s">
        <v>125</v>
      </c>
      <c r="AH2534">
        <v>0</v>
      </c>
      <c r="AK2534">
        <v>0</v>
      </c>
    </row>
    <row r="2535" spans="1:37" x14ac:dyDescent="0.25">
      <c r="A2535" t="s">
        <v>79</v>
      </c>
      <c r="B2535">
        <v>10</v>
      </c>
      <c r="C2535">
        <v>2</v>
      </c>
      <c r="D2535">
        <v>3</v>
      </c>
      <c r="E2535">
        <v>6</v>
      </c>
      <c r="G2535">
        <v>1023</v>
      </c>
      <c r="H2535" t="s">
        <v>63</v>
      </c>
      <c r="I2535" t="s">
        <v>116</v>
      </c>
      <c r="J2535" t="s">
        <v>146</v>
      </c>
      <c r="L2535">
        <v>0</v>
      </c>
      <c r="M2535" t="s">
        <v>125</v>
      </c>
      <c r="O2535" t="s">
        <v>125</v>
      </c>
      <c r="P2535" t="s">
        <v>125</v>
      </c>
      <c r="Q2535" t="s">
        <v>125</v>
      </c>
      <c r="R2535" t="s">
        <v>125</v>
      </c>
      <c r="S2535" t="s">
        <v>125</v>
      </c>
      <c r="T2535">
        <v>0</v>
      </c>
      <c r="V2535" t="s">
        <v>125</v>
      </c>
      <c r="AE2535" t="s">
        <v>125</v>
      </c>
      <c r="AF2535">
        <v>0</v>
      </c>
      <c r="AG2535" t="s">
        <v>125</v>
      </c>
      <c r="AH2535">
        <v>0</v>
      </c>
      <c r="AK2535">
        <v>0</v>
      </c>
    </row>
    <row r="2536" spans="1:37" x14ac:dyDescent="0.25">
      <c r="A2536" t="s">
        <v>79</v>
      </c>
      <c r="B2536">
        <v>10</v>
      </c>
      <c r="C2536">
        <v>2</v>
      </c>
      <c r="D2536">
        <v>3</v>
      </c>
      <c r="E2536">
        <v>7</v>
      </c>
      <c r="G2536">
        <v>1023</v>
      </c>
      <c r="H2536" t="s">
        <v>63</v>
      </c>
      <c r="I2536" t="s">
        <v>123</v>
      </c>
      <c r="J2536" t="s">
        <v>147</v>
      </c>
      <c r="L2536">
        <v>0</v>
      </c>
      <c r="M2536" t="s">
        <v>125</v>
      </c>
      <c r="O2536" t="s">
        <v>125</v>
      </c>
      <c r="P2536" t="s">
        <v>125</v>
      </c>
      <c r="Q2536" t="s">
        <v>125</v>
      </c>
      <c r="R2536" t="s">
        <v>125</v>
      </c>
      <c r="S2536" t="s">
        <v>125</v>
      </c>
      <c r="T2536">
        <v>0</v>
      </c>
      <c r="V2536" t="s">
        <v>125</v>
      </c>
      <c r="AE2536" t="s">
        <v>125</v>
      </c>
      <c r="AF2536">
        <v>0</v>
      </c>
      <c r="AG2536" t="s">
        <v>125</v>
      </c>
      <c r="AH2536">
        <v>0</v>
      </c>
      <c r="AK2536">
        <v>0</v>
      </c>
    </row>
    <row r="2537" spans="1:37" x14ac:dyDescent="0.25">
      <c r="A2537" t="s">
        <v>79</v>
      </c>
      <c r="B2537">
        <v>10</v>
      </c>
      <c r="C2537">
        <v>2</v>
      </c>
      <c r="D2537">
        <v>3</v>
      </c>
      <c r="E2537">
        <v>8</v>
      </c>
      <c r="G2537">
        <v>1023</v>
      </c>
      <c r="H2537" t="s">
        <v>63</v>
      </c>
      <c r="I2537" t="s">
        <v>126</v>
      </c>
      <c r="J2537" t="s">
        <v>148</v>
      </c>
      <c r="L2537">
        <v>0</v>
      </c>
      <c r="M2537" t="s">
        <v>125</v>
      </c>
      <c r="O2537" t="s">
        <v>125</v>
      </c>
      <c r="P2537" t="s">
        <v>125</v>
      </c>
      <c r="Q2537" t="s">
        <v>125</v>
      </c>
      <c r="R2537" t="s">
        <v>125</v>
      </c>
      <c r="S2537" t="s">
        <v>125</v>
      </c>
      <c r="T2537">
        <v>0</v>
      </c>
      <c r="V2537" t="s">
        <v>125</v>
      </c>
      <c r="AE2537" t="s">
        <v>125</v>
      </c>
      <c r="AF2537">
        <v>0</v>
      </c>
      <c r="AG2537" t="s">
        <v>125</v>
      </c>
      <c r="AH2537">
        <v>0</v>
      </c>
      <c r="AK2537">
        <v>0</v>
      </c>
    </row>
    <row r="2538" spans="1:37" x14ac:dyDescent="0.25">
      <c r="A2538" t="s">
        <v>79</v>
      </c>
      <c r="B2538">
        <v>10</v>
      </c>
      <c r="C2538">
        <v>2</v>
      </c>
      <c r="D2538">
        <v>3</v>
      </c>
      <c r="E2538">
        <v>9</v>
      </c>
      <c r="G2538">
        <v>1023</v>
      </c>
      <c r="H2538" t="s">
        <v>63</v>
      </c>
      <c r="I2538" t="s">
        <v>74</v>
      </c>
      <c r="J2538" t="s">
        <v>149</v>
      </c>
      <c r="L2538">
        <v>0</v>
      </c>
      <c r="M2538" t="s">
        <v>125</v>
      </c>
      <c r="O2538" t="s">
        <v>125</v>
      </c>
      <c r="P2538" t="s">
        <v>125</v>
      </c>
      <c r="Q2538" t="s">
        <v>125</v>
      </c>
      <c r="R2538" t="s">
        <v>125</v>
      </c>
      <c r="S2538" t="s">
        <v>125</v>
      </c>
      <c r="T2538">
        <v>0</v>
      </c>
      <c r="V2538" t="s">
        <v>125</v>
      </c>
      <c r="AE2538" t="s">
        <v>125</v>
      </c>
      <c r="AF2538">
        <v>0</v>
      </c>
      <c r="AG2538" t="s">
        <v>125</v>
      </c>
      <c r="AH2538">
        <v>0</v>
      </c>
      <c r="AK2538">
        <v>0</v>
      </c>
    </row>
    <row r="2539" spans="1:37" x14ac:dyDescent="0.25">
      <c r="A2539" t="s">
        <v>79</v>
      </c>
      <c r="B2539">
        <v>10</v>
      </c>
      <c r="C2539">
        <v>2</v>
      </c>
      <c r="D2539">
        <v>3</v>
      </c>
      <c r="E2539">
        <v>10</v>
      </c>
      <c r="G2539">
        <v>1023</v>
      </c>
      <c r="H2539" t="s">
        <v>63</v>
      </c>
      <c r="I2539" t="s">
        <v>129</v>
      </c>
      <c r="J2539" t="s">
        <v>150</v>
      </c>
      <c r="L2539">
        <v>0</v>
      </c>
      <c r="M2539" t="s">
        <v>125</v>
      </c>
      <c r="O2539" t="s">
        <v>125</v>
      </c>
      <c r="P2539" t="s">
        <v>125</v>
      </c>
      <c r="Q2539" t="s">
        <v>125</v>
      </c>
      <c r="R2539" t="s">
        <v>125</v>
      </c>
      <c r="S2539" t="s">
        <v>125</v>
      </c>
      <c r="T2539">
        <v>0</v>
      </c>
      <c r="V2539" t="s">
        <v>125</v>
      </c>
      <c r="AE2539" t="s">
        <v>125</v>
      </c>
      <c r="AF2539">
        <v>0</v>
      </c>
      <c r="AG2539" t="s">
        <v>125</v>
      </c>
      <c r="AH2539">
        <v>0</v>
      </c>
      <c r="AK2539">
        <v>0</v>
      </c>
    </row>
    <row r="2540" spans="1:37" x14ac:dyDescent="0.25">
      <c r="A2540" t="s">
        <v>79</v>
      </c>
      <c r="B2540">
        <v>10</v>
      </c>
      <c r="C2540">
        <v>2</v>
      </c>
      <c r="D2540">
        <v>3</v>
      </c>
      <c r="E2540">
        <v>11</v>
      </c>
      <c r="G2540">
        <v>1023</v>
      </c>
      <c r="H2540" t="s">
        <v>63</v>
      </c>
      <c r="I2540" t="s">
        <v>131</v>
      </c>
      <c r="J2540" t="s">
        <v>151</v>
      </c>
      <c r="L2540">
        <v>0</v>
      </c>
      <c r="M2540" t="s">
        <v>125</v>
      </c>
      <c r="O2540" t="s">
        <v>125</v>
      </c>
      <c r="P2540" t="s">
        <v>125</v>
      </c>
      <c r="Q2540" t="s">
        <v>125</v>
      </c>
      <c r="R2540" t="s">
        <v>125</v>
      </c>
      <c r="S2540" t="s">
        <v>125</v>
      </c>
      <c r="T2540">
        <v>0</v>
      </c>
      <c r="V2540" t="s">
        <v>125</v>
      </c>
      <c r="AE2540" t="s">
        <v>125</v>
      </c>
      <c r="AF2540">
        <v>0</v>
      </c>
      <c r="AG2540" t="s">
        <v>125</v>
      </c>
      <c r="AH2540">
        <v>0</v>
      </c>
      <c r="AK2540">
        <v>0</v>
      </c>
    </row>
    <row r="2541" spans="1:37" x14ac:dyDescent="0.25">
      <c r="A2541" t="s">
        <v>79</v>
      </c>
      <c r="B2541">
        <v>10</v>
      </c>
      <c r="C2541">
        <v>2</v>
      </c>
      <c r="D2541">
        <v>3</v>
      </c>
      <c r="E2541">
        <v>12</v>
      </c>
      <c r="G2541">
        <v>1023</v>
      </c>
      <c r="H2541" t="s">
        <v>63</v>
      </c>
      <c r="I2541" t="s">
        <v>133</v>
      </c>
      <c r="J2541" t="s">
        <v>152</v>
      </c>
      <c r="L2541">
        <v>0</v>
      </c>
      <c r="M2541" t="s">
        <v>125</v>
      </c>
      <c r="O2541" t="s">
        <v>125</v>
      </c>
      <c r="P2541" t="s">
        <v>125</v>
      </c>
      <c r="Q2541" t="s">
        <v>125</v>
      </c>
      <c r="R2541" t="s">
        <v>125</v>
      </c>
      <c r="S2541" t="s">
        <v>125</v>
      </c>
      <c r="T2541">
        <v>0</v>
      </c>
      <c r="V2541" t="s">
        <v>125</v>
      </c>
      <c r="AE2541" t="s">
        <v>125</v>
      </c>
      <c r="AF2541">
        <v>0</v>
      </c>
      <c r="AG2541" t="s">
        <v>125</v>
      </c>
      <c r="AH2541">
        <v>0</v>
      </c>
      <c r="AK2541">
        <v>0</v>
      </c>
    </row>
    <row r="2542" spans="1:37" x14ac:dyDescent="0.25">
      <c r="A2542" t="s">
        <v>79</v>
      </c>
      <c r="B2542">
        <v>10</v>
      </c>
      <c r="C2542">
        <v>2</v>
      </c>
      <c r="D2542">
        <v>3</v>
      </c>
      <c r="E2542">
        <v>13</v>
      </c>
      <c r="G2542">
        <v>1023</v>
      </c>
      <c r="H2542" t="s">
        <v>63</v>
      </c>
      <c r="I2542" t="s">
        <v>135</v>
      </c>
      <c r="J2542" t="s">
        <v>153</v>
      </c>
      <c r="L2542">
        <v>0</v>
      </c>
      <c r="M2542" t="s">
        <v>125</v>
      </c>
      <c r="O2542" t="s">
        <v>125</v>
      </c>
      <c r="P2542" t="s">
        <v>125</v>
      </c>
      <c r="Q2542" t="s">
        <v>125</v>
      </c>
      <c r="R2542" t="s">
        <v>125</v>
      </c>
      <c r="S2542" t="s">
        <v>125</v>
      </c>
      <c r="T2542">
        <v>0</v>
      </c>
      <c r="V2542" t="s">
        <v>125</v>
      </c>
      <c r="AE2542" t="s">
        <v>125</v>
      </c>
      <c r="AF2542">
        <v>0</v>
      </c>
      <c r="AG2542" t="s">
        <v>125</v>
      </c>
      <c r="AH2542">
        <v>0</v>
      </c>
      <c r="AK2542">
        <v>0</v>
      </c>
    </row>
    <row r="2543" spans="1:37" x14ac:dyDescent="0.25">
      <c r="A2543" t="s">
        <v>79</v>
      </c>
      <c r="B2543">
        <v>10</v>
      </c>
      <c r="C2543">
        <v>2</v>
      </c>
      <c r="D2543">
        <v>3</v>
      </c>
      <c r="E2543">
        <v>14</v>
      </c>
      <c r="G2543">
        <v>1023</v>
      </c>
      <c r="H2543" t="s">
        <v>63</v>
      </c>
      <c r="I2543" t="s">
        <v>137</v>
      </c>
      <c r="J2543" t="s">
        <v>154</v>
      </c>
      <c r="L2543">
        <v>0</v>
      </c>
      <c r="M2543" t="s">
        <v>125</v>
      </c>
      <c r="O2543" t="s">
        <v>125</v>
      </c>
      <c r="P2543" t="s">
        <v>125</v>
      </c>
      <c r="Q2543" t="s">
        <v>125</v>
      </c>
      <c r="R2543" t="s">
        <v>125</v>
      </c>
      <c r="S2543" t="s">
        <v>125</v>
      </c>
      <c r="T2543">
        <v>0</v>
      </c>
      <c r="V2543" t="s">
        <v>125</v>
      </c>
      <c r="AE2543" t="s">
        <v>125</v>
      </c>
      <c r="AF2543">
        <v>0</v>
      </c>
      <c r="AG2543" t="s">
        <v>125</v>
      </c>
      <c r="AH2543">
        <v>0</v>
      </c>
      <c r="AK2543">
        <v>0</v>
      </c>
    </row>
    <row r="2544" spans="1:37" x14ac:dyDescent="0.25">
      <c r="A2544" t="s">
        <v>79</v>
      </c>
      <c r="B2544">
        <v>10</v>
      </c>
      <c r="C2544">
        <v>2</v>
      </c>
      <c r="D2544">
        <v>3</v>
      </c>
      <c r="E2544">
        <v>15</v>
      </c>
      <c r="G2544">
        <v>1023</v>
      </c>
      <c r="H2544" t="s">
        <v>63</v>
      </c>
      <c r="I2544" t="s">
        <v>139</v>
      </c>
      <c r="J2544" t="s">
        <v>155</v>
      </c>
      <c r="L2544">
        <v>0</v>
      </c>
      <c r="M2544" t="s">
        <v>125</v>
      </c>
      <c r="O2544" t="s">
        <v>125</v>
      </c>
      <c r="P2544" t="s">
        <v>125</v>
      </c>
      <c r="Q2544" t="s">
        <v>125</v>
      </c>
      <c r="R2544" t="s">
        <v>125</v>
      </c>
      <c r="S2544" t="s">
        <v>125</v>
      </c>
      <c r="T2544">
        <v>0</v>
      </c>
      <c r="V2544" t="s">
        <v>125</v>
      </c>
      <c r="AE2544" t="s">
        <v>125</v>
      </c>
      <c r="AF2544">
        <v>0</v>
      </c>
      <c r="AG2544" t="s">
        <v>125</v>
      </c>
      <c r="AH2544">
        <v>0</v>
      </c>
      <c r="AK2544">
        <v>0</v>
      </c>
    </row>
    <row r="2545" spans="1:37" x14ac:dyDescent="0.25">
      <c r="L2545">
        <v>0</v>
      </c>
    </row>
    <row r="2546" spans="1:37" x14ac:dyDescent="0.25">
      <c r="A2546" t="s">
        <v>70</v>
      </c>
      <c r="B2546">
        <v>10</v>
      </c>
      <c r="C2546">
        <v>2</v>
      </c>
      <c r="D2546">
        <v>4</v>
      </c>
      <c r="G2546">
        <v>102</v>
      </c>
      <c r="L2546">
        <v>0</v>
      </c>
      <c r="M2546" t="s">
        <v>125</v>
      </c>
      <c r="P2546" t="s">
        <v>125</v>
      </c>
      <c r="R2546" t="s">
        <v>125</v>
      </c>
      <c r="S2546" t="s">
        <v>63</v>
      </c>
      <c r="V2546" t="s">
        <v>125</v>
      </c>
      <c r="X2546" t="s">
        <v>125</v>
      </c>
      <c r="Y2546" t="s">
        <v>125</v>
      </c>
      <c r="Z2546" t="s">
        <v>125</v>
      </c>
      <c r="AA2546" t="s">
        <v>125</v>
      </c>
      <c r="AB2546" t="s">
        <v>125</v>
      </c>
      <c r="AC2546" t="s">
        <v>125</v>
      </c>
      <c r="AE2546" t="s">
        <v>125</v>
      </c>
      <c r="AF2546">
        <v>0</v>
      </c>
      <c r="AG2546" t="s">
        <v>125</v>
      </c>
      <c r="AH2546">
        <v>0</v>
      </c>
      <c r="AK2546">
        <v>0</v>
      </c>
    </row>
    <row r="2547" spans="1:37" x14ac:dyDescent="0.25">
      <c r="A2547" t="s">
        <v>79</v>
      </c>
      <c r="B2547">
        <v>10</v>
      </c>
      <c r="C2547">
        <v>2</v>
      </c>
      <c r="D2547">
        <v>4</v>
      </c>
      <c r="E2547">
        <v>1</v>
      </c>
      <c r="G2547">
        <v>1024</v>
      </c>
      <c r="H2547" t="s">
        <v>63</v>
      </c>
      <c r="I2547" t="s">
        <v>80</v>
      </c>
      <c r="J2547" t="s">
        <v>141</v>
      </c>
      <c r="L2547">
        <v>0</v>
      </c>
      <c r="M2547" t="s">
        <v>125</v>
      </c>
      <c r="O2547" t="s">
        <v>125</v>
      </c>
      <c r="P2547" t="s">
        <v>125</v>
      </c>
      <c r="Q2547" t="s">
        <v>125</v>
      </c>
      <c r="R2547" t="s">
        <v>125</v>
      </c>
      <c r="S2547" t="s">
        <v>125</v>
      </c>
      <c r="T2547">
        <v>0</v>
      </c>
      <c r="V2547" t="s">
        <v>125</v>
      </c>
      <c r="AE2547" t="s">
        <v>125</v>
      </c>
      <c r="AF2547">
        <v>0</v>
      </c>
      <c r="AG2547" t="s">
        <v>125</v>
      </c>
      <c r="AH2547">
        <v>0</v>
      </c>
      <c r="AK2547">
        <v>0</v>
      </c>
    </row>
    <row r="2548" spans="1:37" x14ac:dyDescent="0.25">
      <c r="A2548" t="s">
        <v>79</v>
      </c>
      <c r="B2548">
        <v>10</v>
      </c>
      <c r="C2548">
        <v>2</v>
      </c>
      <c r="D2548">
        <v>4</v>
      </c>
      <c r="E2548">
        <v>2</v>
      </c>
      <c r="G2548">
        <v>1024</v>
      </c>
      <c r="H2548" t="s">
        <v>63</v>
      </c>
      <c r="I2548" t="s">
        <v>88</v>
      </c>
      <c r="J2548" t="s">
        <v>142</v>
      </c>
      <c r="L2548">
        <v>0</v>
      </c>
      <c r="M2548" t="s">
        <v>125</v>
      </c>
      <c r="O2548" t="s">
        <v>125</v>
      </c>
      <c r="P2548" t="s">
        <v>125</v>
      </c>
      <c r="Q2548" t="s">
        <v>125</v>
      </c>
      <c r="R2548" t="s">
        <v>125</v>
      </c>
      <c r="S2548" t="s">
        <v>125</v>
      </c>
      <c r="T2548">
        <v>0</v>
      </c>
      <c r="V2548" t="s">
        <v>125</v>
      </c>
      <c r="AE2548" t="s">
        <v>125</v>
      </c>
      <c r="AF2548">
        <v>0</v>
      </c>
      <c r="AG2548" t="s">
        <v>125</v>
      </c>
      <c r="AH2548">
        <v>0</v>
      </c>
      <c r="AK2548">
        <v>0</v>
      </c>
    </row>
    <row r="2549" spans="1:37" x14ac:dyDescent="0.25">
      <c r="A2549" t="s">
        <v>79</v>
      </c>
      <c r="B2549">
        <v>10</v>
      </c>
      <c r="C2549">
        <v>2</v>
      </c>
      <c r="D2549">
        <v>4</v>
      </c>
      <c r="E2549">
        <v>3</v>
      </c>
      <c r="G2549">
        <v>1024</v>
      </c>
      <c r="H2549" t="s">
        <v>63</v>
      </c>
      <c r="I2549" t="s">
        <v>95</v>
      </c>
      <c r="J2549" t="s">
        <v>143</v>
      </c>
      <c r="L2549">
        <v>0</v>
      </c>
      <c r="M2549" t="s">
        <v>125</v>
      </c>
      <c r="O2549" t="s">
        <v>125</v>
      </c>
      <c r="P2549" t="s">
        <v>125</v>
      </c>
      <c r="Q2549" t="s">
        <v>125</v>
      </c>
      <c r="R2549" t="s">
        <v>125</v>
      </c>
      <c r="S2549" t="s">
        <v>125</v>
      </c>
      <c r="T2549">
        <v>0</v>
      </c>
      <c r="V2549" t="s">
        <v>125</v>
      </c>
      <c r="AE2549" t="s">
        <v>125</v>
      </c>
      <c r="AF2549">
        <v>0</v>
      </c>
      <c r="AG2549" t="s">
        <v>125</v>
      </c>
      <c r="AH2549">
        <v>0</v>
      </c>
      <c r="AK2549">
        <v>0</v>
      </c>
    </row>
    <row r="2550" spans="1:37" x14ac:dyDescent="0.25">
      <c r="A2550" t="s">
        <v>79</v>
      </c>
      <c r="B2550">
        <v>10</v>
      </c>
      <c r="C2550">
        <v>2</v>
      </c>
      <c r="D2550">
        <v>4</v>
      </c>
      <c r="E2550">
        <v>4</v>
      </c>
      <c r="G2550">
        <v>1024</v>
      </c>
      <c r="H2550" t="s">
        <v>63</v>
      </c>
      <c r="I2550" t="s">
        <v>102</v>
      </c>
      <c r="J2550" t="s">
        <v>144</v>
      </c>
      <c r="L2550">
        <v>0</v>
      </c>
      <c r="M2550" t="s">
        <v>125</v>
      </c>
      <c r="O2550" t="s">
        <v>125</v>
      </c>
      <c r="P2550" t="s">
        <v>125</v>
      </c>
      <c r="Q2550" t="s">
        <v>125</v>
      </c>
      <c r="R2550" t="s">
        <v>125</v>
      </c>
      <c r="S2550" t="s">
        <v>125</v>
      </c>
      <c r="T2550">
        <v>0</v>
      </c>
      <c r="V2550" t="s">
        <v>125</v>
      </c>
      <c r="AE2550" t="s">
        <v>125</v>
      </c>
      <c r="AF2550">
        <v>0</v>
      </c>
      <c r="AG2550" t="s">
        <v>125</v>
      </c>
      <c r="AH2550">
        <v>0</v>
      </c>
      <c r="AK2550">
        <v>0</v>
      </c>
    </row>
    <row r="2551" spans="1:37" x14ac:dyDescent="0.25">
      <c r="A2551" t="s">
        <v>79</v>
      </c>
      <c r="B2551">
        <v>10</v>
      </c>
      <c r="C2551">
        <v>2</v>
      </c>
      <c r="D2551">
        <v>4</v>
      </c>
      <c r="E2551">
        <v>5</v>
      </c>
      <c r="G2551">
        <v>1024</v>
      </c>
      <c r="H2551" t="s">
        <v>63</v>
      </c>
      <c r="I2551" t="s">
        <v>109</v>
      </c>
      <c r="J2551" t="s">
        <v>145</v>
      </c>
      <c r="L2551">
        <v>0</v>
      </c>
      <c r="M2551" t="s">
        <v>125</v>
      </c>
      <c r="O2551" t="s">
        <v>125</v>
      </c>
      <c r="P2551" t="s">
        <v>125</v>
      </c>
      <c r="Q2551" t="s">
        <v>125</v>
      </c>
      <c r="R2551" t="s">
        <v>125</v>
      </c>
      <c r="S2551" t="s">
        <v>125</v>
      </c>
      <c r="T2551">
        <v>0</v>
      </c>
      <c r="V2551" t="s">
        <v>125</v>
      </c>
      <c r="AE2551" t="s">
        <v>125</v>
      </c>
      <c r="AF2551">
        <v>0</v>
      </c>
      <c r="AG2551" t="s">
        <v>125</v>
      </c>
      <c r="AH2551">
        <v>0</v>
      </c>
      <c r="AK2551">
        <v>0</v>
      </c>
    </row>
    <row r="2552" spans="1:37" x14ac:dyDescent="0.25">
      <c r="A2552" t="s">
        <v>79</v>
      </c>
      <c r="B2552">
        <v>10</v>
      </c>
      <c r="C2552">
        <v>2</v>
      </c>
      <c r="D2552">
        <v>4</v>
      </c>
      <c r="E2552">
        <v>6</v>
      </c>
      <c r="G2552">
        <v>1024</v>
      </c>
      <c r="H2552" t="s">
        <v>63</v>
      </c>
      <c r="I2552" t="s">
        <v>116</v>
      </c>
      <c r="J2552" t="s">
        <v>146</v>
      </c>
      <c r="L2552">
        <v>0</v>
      </c>
      <c r="M2552" t="s">
        <v>125</v>
      </c>
      <c r="O2552" t="s">
        <v>125</v>
      </c>
      <c r="P2552" t="s">
        <v>125</v>
      </c>
      <c r="Q2552" t="s">
        <v>125</v>
      </c>
      <c r="R2552" t="s">
        <v>125</v>
      </c>
      <c r="S2552" t="s">
        <v>125</v>
      </c>
      <c r="T2552">
        <v>0</v>
      </c>
      <c r="V2552" t="s">
        <v>125</v>
      </c>
      <c r="AE2552" t="s">
        <v>125</v>
      </c>
      <c r="AF2552">
        <v>0</v>
      </c>
      <c r="AG2552" t="s">
        <v>125</v>
      </c>
      <c r="AH2552">
        <v>0</v>
      </c>
      <c r="AK2552">
        <v>0</v>
      </c>
    </row>
    <row r="2553" spans="1:37" x14ac:dyDescent="0.25">
      <c r="A2553" t="s">
        <v>79</v>
      </c>
      <c r="B2553">
        <v>10</v>
      </c>
      <c r="C2553">
        <v>2</v>
      </c>
      <c r="D2553">
        <v>4</v>
      </c>
      <c r="E2553">
        <v>7</v>
      </c>
      <c r="G2553">
        <v>1024</v>
      </c>
      <c r="H2553" t="s">
        <v>63</v>
      </c>
      <c r="I2553" t="s">
        <v>123</v>
      </c>
      <c r="J2553" t="s">
        <v>147</v>
      </c>
      <c r="L2553">
        <v>0</v>
      </c>
      <c r="M2553" t="s">
        <v>125</v>
      </c>
      <c r="O2553" t="s">
        <v>125</v>
      </c>
      <c r="P2553" t="s">
        <v>125</v>
      </c>
      <c r="Q2553" t="s">
        <v>125</v>
      </c>
      <c r="R2553" t="s">
        <v>125</v>
      </c>
      <c r="S2553" t="s">
        <v>125</v>
      </c>
      <c r="T2553">
        <v>0</v>
      </c>
      <c r="V2553" t="s">
        <v>125</v>
      </c>
      <c r="AE2553" t="s">
        <v>125</v>
      </c>
      <c r="AF2553">
        <v>0</v>
      </c>
      <c r="AG2553" t="s">
        <v>125</v>
      </c>
      <c r="AH2553">
        <v>0</v>
      </c>
      <c r="AK2553">
        <v>0</v>
      </c>
    </row>
    <row r="2554" spans="1:37" x14ac:dyDescent="0.25">
      <c r="A2554" t="s">
        <v>79</v>
      </c>
      <c r="B2554">
        <v>10</v>
      </c>
      <c r="C2554">
        <v>2</v>
      </c>
      <c r="D2554">
        <v>4</v>
      </c>
      <c r="E2554">
        <v>8</v>
      </c>
      <c r="G2554">
        <v>1024</v>
      </c>
      <c r="H2554" t="s">
        <v>63</v>
      </c>
      <c r="I2554" t="s">
        <v>126</v>
      </c>
      <c r="J2554" t="s">
        <v>148</v>
      </c>
      <c r="L2554">
        <v>0</v>
      </c>
      <c r="M2554" t="s">
        <v>125</v>
      </c>
      <c r="O2554" t="s">
        <v>125</v>
      </c>
      <c r="P2554" t="s">
        <v>125</v>
      </c>
      <c r="Q2554" t="s">
        <v>125</v>
      </c>
      <c r="R2554" t="s">
        <v>125</v>
      </c>
      <c r="S2554" t="s">
        <v>125</v>
      </c>
      <c r="T2554">
        <v>0</v>
      </c>
      <c r="V2554" t="s">
        <v>125</v>
      </c>
      <c r="AE2554" t="s">
        <v>125</v>
      </c>
      <c r="AF2554">
        <v>0</v>
      </c>
      <c r="AG2554" t="s">
        <v>125</v>
      </c>
      <c r="AH2554">
        <v>0</v>
      </c>
      <c r="AK2554">
        <v>0</v>
      </c>
    </row>
    <row r="2555" spans="1:37" x14ac:dyDescent="0.25">
      <c r="A2555" t="s">
        <v>79</v>
      </c>
      <c r="B2555">
        <v>10</v>
      </c>
      <c r="C2555">
        <v>2</v>
      </c>
      <c r="D2555">
        <v>4</v>
      </c>
      <c r="E2555">
        <v>9</v>
      </c>
      <c r="G2555">
        <v>1024</v>
      </c>
      <c r="H2555" t="s">
        <v>63</v>
      </c>
      <c r="I2555" t="s">
        <v>74</v>
      </c>
      <c r="J2555" t="s">
        <v>149</v>
      </c>
      <c r="L2555">
        <v>0</v>
      </c>
      <c r="M2555" t="s">
        <v>125</v>
      </c>
      <c r="O2555" t="s">
        <v>125</v>
      </c>
      <c r="P2555" t="s">
        <v>125</v>
      </c>
      <c r="Q2555" t="s">
        <v>125</v>
      </c>
      <c r="R2555" t="s">
        <v>125</v>
      </c>
      <c r="S2555" t="s">
        <v>125</v>
      </c>
      <c r="T2555">
        <v>0</v>
      </c>
      <c r="V2555" t="s">
        <v>125</v>
      </c>
      <c r="AE2555" t="s">
        <v>125</v>
      </c>
      <c r="AF2555">
        <v>0</v>
      </c>
      <c r="AG2555" t="s">
        <v>125</v>
      </c>
      <c r="AH2555">
        <v>0</v>
      </c>
      <c r="AK2555">
        <v>0</v>
      </c>
    </row>
    <row r="2556" spans="1:37" x14ac:dyDescent="0.25">
      <c r="A2556" t="s">
        <v>79</v>
      </c>
      <c r="B2556">
        <v>10</v>
      </c>
      <c r="C2556">
        <v>2</v>
      </c>
      <c r="D2556">
        <v>4</v>
      </c>
      <c r="E2556">
        <v>10</v>
      </c>
      <c r="G2556">
        <v>1024</v>
      </c>
      <c r="H2556" t="s">
        <v>63</v>
      </c>
      <c r="I2556" t="s">
        <v>129</v>
      </c>
      <c r="J2556" t="s">
        <v>150</v>
      </c>
      <c r="L2556">
        <v>0</v>
      </c>
      <c r="M2556" t="s">
        <v>125</v>
      </c>
      <c r="O2556" t="s">
        <v>125</v>
      </c>
      <c r="P2556" t="s">
        <v>125</v>
      </c>
      <c r="Q2556" t="s">
        <v>125</v>
      </c>
      <c r="R2556" t="s">
        <v>125</v>
      </c>
      <c r="S2556" t="s">
        <v>125</v>
      </c>
      <c r="T2556">
        <v>0</v>
      </c>
      <c r="V2556" t="s">
        <v>125</v>
      </c>
      <c r="AE2556" t="s">
        <v>125</v>
      </c>
      <c r="AF2556">
        <v>0</v>
      </c>
      <c r="AG2556" t="s">
        <v>125</v>
      </c>
      <c r="AH2556">
        <v>0</v>
      </c>
      <c r="AK2556">
        <v>0</v>
      </c>
    </row>
    <row r="2557" spans="1:37" x14ac:dyDescent="0.25">
      <c r="A2557" t="s">
        <v>79</v>
      </c>
      <c r="B2557">
        <v>10</v>
      </c>
      <c r="C2557">
        <v>2</v>
      </c>
      <c r="D2557">
        <v>4</v>
      </c>
      <c r="E2557">
        <v>11</v>
      </c>
      <c r="G2557">
        <v>1024</v>
      </c>
      <c r="H2557" t="s">
        <v>63</v>
      </c>
      <c r="I2557" t="s">
        <v>131</v>
      </c>
      <c r="J2557" t="s">
        <v>151</v>
      </c>
      <c r="L2557">
        <v>0</v>
      </c>
      <c r="M2557" t="s">
        <v>125</v>
      </c>
      <c r="O2557" t="s">
        <v>125</v>
      </c>
      <c r="P2557" t="s">
        <v>125</v>
      </c>
      <c r="Q2557" t="s">
        <v>125</v>
      </c>
      <c r="R2557" t="s">
        <v>125</v>
      </c>
      <c r="S2557" t="s">
        <v>125</v>
      </c>
      <c r="T2557">
        <v>0</v>
      </c>
      <c r="V2557" t="s">
        <v>125</v>
      </c>
      <c r="AE2557" t="s">
        <v>125</v>
      </c>
      <c r="AF2557">
        <v>0</v>
      </c>
      <c r="AG2557" t="s">
        <v>125</v>
      </c>
      <c r="AH2557">
        <v>0</v>
      </c>
      <c r="AK2557">
        <v>0</v>
      </c>
    </row>
    <row r="2558" spans="1:37" x14ac:dyDescent="0.25">
      <c r="A2558" t="s">
        <v>79</v>
      </c>
      <c r="B2558">
        <v>10</v>
      </c>
      <c r="C2558">
        <v>2</v>
      </c>
      <c r="D2558">
        <v>4</v>
      </c>
      <c r="E2558">
        <v>12</v>
      </c>
      <c r="G2558">
        <v>1024</v>
      </c>
      <c r="H2558" t="s">
        <v>63</v>
      </c>
      <c r="I2558" t="s">
        <v>133</v>
      </c>
      <c r="J2558" t="s">
        <v>152</v>
      </c>
      <c r="L2558">
        <v>0</v>
      </c>
      <c r="M2558" t="s">
        <v>125</v>
      </c>
      <c r="O2558" t="s">
        <v>125</v>
      </c>
      <c r="P2558" t="s">
        <v>125</v>
      </c>
      <c r="Q2558" t="s">
        <v>125</v>
      </c>
      <c r="R2558" t="s">
        <v>125</v>
      </c>
      <c r="S2558" t="s">
        <v>125</v>
      </c>
      <c r="T2558">
        <v>0</v>
      </c>
      <c r="V2558" t="s">
        <v>125</v>
      </c>
      <c r="AE2558" t="s">
        <v>125</v>
      </c>
      <c r="AF2558">
        <v>0</v>
      </c>
      <c r="AG2558" t="s">
        <v>125</v>
      </c>
      <c r="AH2558">
        <v>0</v>
      </c>
      <c r="AK2558">
        <v>0</v>
      </c>
    </row>
    <row r="2559" spans="1:37" x14ac:dyDescent="0.25">
      <c r="A2559" t="s">
        <v>79</v>
      </c>
      <c r="B2559">
        <v>10</v>
      </c>
      <c r="C2559">
        <v>2</v>
      </c>
      <c r="D2559">
        <v>4</v>
      </c>
      <c r="E2559">
        <v>13</v>
      </c>
      <c r="G2559">
        <v>1024</v>
      </c>
      <c r="H2559" t="s">
        <v>63</v>
      </c>
      <c r="I2559" t="s">
        <v>135</v>
      </c>
      <c r="J2559" t="s">
        <v>153</v>
      </c>
      <c r="L2559">
        <v>0</v>
      </c>
      <c r="M2559" t="s">
        <v>125</v>
      </c>
      <c r="O2559" t="s">
        <v>125</v>
      </c>
      <c r="P2559" t="s">
        <v>125</v>
      </c>
      <c r="Q2559" t="s">
        <v>125</v>
      </c>
      <c r="R2559" t="s">
        <v>125</v>
      </c>
      <c r="S2559" t="s">
        <v>125</v>
      </c>
      <c r="T2559">
        <v>0</v>
      </c>
      <c r="V2559" t="s">
        <v>125</v>
      </c>
      <c r="AE2559" t="s">
        <v>125</v>
      </c>
      <c r="AF2559">
        <v>0</v>
      </c>
      <c r="AG2559" t="s">
        <v>125</v>
      </c>
      <c r="AH2559">
        <v>0</v>
      </c>
      <c r="AK2559">
        <v>0</v>
      </c>
    </row>
    <row r="2560" spans="1:37" x14ac:dyDescent="0.25">
      <c r="A2560" t="s">
        <v>79</v>
      </c>
      <c r="B2560">
        <v>10</v>
      </c>
      <c r="C2560">
        <v>2</v>
      </c>
      <c r="D2560">
        <v>4</v>
      </c>
      <c r="E2560">
        <v>14</v>
      </c>
      <c r="G2560">
        <v>1024</v>
      </c>
      <c r="H2560" t="s">
        <v>63</v>
      </c>
      <c r="I2560" t="s">
        <v>137</v>
      </c>
      <c r="J2560" t="s">
        <v>154</v>
      </c>
      <c r="L2560">
        <v>0</v>
      </c>
      <c r="M2560" t="s">
        <v>125</v>
      </c>
      <c r="O2560" t="s">
        <v>125</v>
      </c>
      <c r="P2560" t="s">
        <v>125</v>
      </c>
      <c r="Q2560" t="s">
        <v>125</v>
      </c>
      <c r="R2560" t="s">
        <v>125</v>
      </c>
      <c r="S2560" t="s">
        <v>125</v>
      </c>
      <c r="T2560">
        <v>0</v>
      </c>
      <c r="V2560" t="s">
        <v>125</v>
      </c>
      <c r="AE2560" t="s">
        <v>125</v>
      </c>
      <c r="AF2560">
        <v>0</v>
      </c>
      <c r="AG2560" t="s">
        <v>125</v>
      </c>
      <c r="AH2560">
        <v>0</v>
      </c>
      <c r="AK2560">
        <v>0</v>
      </c>
    </row>
    <row r="2561" spans="1:37" x14ac:dyDescent="0.25">
      <c r="A2561" t="s">
        <v>79</v>
      </c>
      <c r="B2561">
        <v>10</v>
      </c>
      <c r="C2561">
        <v>2</v>
      </c>
      <c r="D2561">
        <v>4</v>
      </c>
      <c r="E2561">
        <v>15</v>
      </c>
      <c r="G2561">
        <v>1024</v>
      </c>
      <c r="H2561" t="s">
        <v>63</v>
      </c>
      <c r="I2561" t="s">
        <v>139</v>
      </c>
      <c r="J2561" t="s">
        <v>155</v>
      </c>
      <c r="L2561">
        <v>0</v>
      </c>
      <c r="M2561" t="s">
        <v>125</v>
      </c>
      <c r="O2561" t="s">
        <v>125</v>
      </c>
      <c r="P2561" t="s">
        <v>125</v>
      </c>
      <c r="Q2561" t="s">
        <v>125</v>
      </c>
      <c r="R2561" t="s">
        <v>125</v>
      </c>
      <c r="S2561" t="s">
        <v>125</v>
      </c>
      <c r="T2561">
        <v>0</v>
      </c>
      <c r="V2561" t="s">
        <v>125</v>
      </c>
      <c r="AE2561" t="s">
        <v>125</v>
      </c>
      <c r="AF2561">
        <v>0</v>
      </c>
      <c r="AG2561" t="s">
        <v>125</v>
      </c>
      <c r="AH2561">
        <v>0</v>
      </c>
      <c r="AK2561">
        <v>0</v>
      </c>
    </row>
    <row r="2562" spans="1:37" x14ac:dyDescent="0.25">
      <c r="L2562">
        <v>0</v>
      </c>
    </row>
    <row r="2563" spans="1:37" x14ac:dyDescent="0.25">
      <c r="A2563" t="s">
        <v>70</v>
      </c>
      <c r="B2563">
        <v>10</v>
      </c>
      <c r="C2563">
        <v>2</v>
      </c>
      <c r="D2563">
        <v>5</v>
      </c>
      <c r="G2563">
        <v>102</v>
      </c>
      <c r="L2563">
        <v>0</v>
      </c>
      <c r="M2563" t="s">
        <v>125</v>
      </c>
      <c r="P2563" t="s">
        <v>125</v>
      </c>
      <c r="R2563" t="s">
        <v>125</v>
      </c>
      <c r="S2563" t="s">
        <v>63</v>
      </c>
      <c r="V2563" t="s">
        <v>125</v>
      </c>
      <c r="X2563" t="s">
        <v>125</v>
      </c>
      <c r="Y2563" t="s">
        <v>125</v>
      </c>
      <c r="Z2563" t="s">
        <v>125</v>
      </c>
      <c r="AA2563" t="s">
        <v>125</v>
      </c>
      <c r="AB2563" t="s">
        <v>125</v>
      </c>
      <c r="AC2563" t="s">
        <v>125</v>
      </c>
      <c r="AE2563" t="s">
        <v>125</v>
      </c>
      <c r="AF2563">
        <v>0</v>
      </c>
      <c r="AG2563" t="s">
        <v>125</v>
      </c>
      <c r="AH2563">
        <v>0</v>
      </c>
      <c r="AK2563">
        <v>0</v>
      </c>
    </row>
    <row r="2564" spans="1:37" x14ac:dyDescent="0.25">
      <c r="A2564" t="s">
        <v>79</v>
      </c>
      <c r="B2564">
        <v>10</v>
      </c>
      <c r="C2564">
        <v>2</v>
      </c>
      <c r="D2564">
        <v>5</v>
      </c>
      <c r="E2564">
        <v>1</v>
      </c>
      <c r="G2564">
        <v>1025</v>
      </c>
      <c r="H2564" t="s">
        <v>63</v>
      </c>
      <c r="I2564" t="s">
        <v>80</v>
      </c>
      <c r="J2564" t="s">
        <v>141</v>
      </c>
      <c r="L2564">
        <v>0</v>
      </c>
      <c r="M2564" t="s">
        <v>125</v>
      </c>
      <c r="O2564" t="s">
        <v>125</v>
      </c>
      <c r="P2564" t="s">
        <v>125</v>
      </c>
      <c r="Q2564" t="s">
        <v>125</v>
      </c>
      <c r="R2564" t="s">
        <v>125</v>
      </c>
      <c r="S2564" t="s">
        <v>125</v>
      </c>
      <c r="T2564">
        <v>0</v>
      </c>
      <c r="V2564" t="s">
        <v>125</v>
      </c>
      <c r="AE2564" t="s">
        <v>125</v>
      </c>
      <c r="AF2564">
        <v>0</v>
      </c>
      <c r="AG2564" t="s">
        <v>125</v>
      </c>
      <c r="AH2564">
        <v>0</v>
      </c>
      <c r="AK2564">
        <v>0</v>
      </c>
    </row>
    <row r="2565" spans="1:37" x14ac:dyDescent="0.25">
      <c r="A2565" t="s">
        <v>79</v>
      </c>
      <c r="B2565">
        <v>10</v>
      </c>
      <c r="C2565">
        <v>2</v>
      </c>
      <c r="D2565">
        <v>5</v>
      </c>
      <c r="E2565">
        <v>2</v>
      </c>
      <c r="G2565">
        <v>1025</v>
      </c>
      <c r="H2565" t="s">
        <v>63</v>
      </c>
      <c r="I2565" t="s">
        <v>88</v>
      </c>
      <c r="J2565" t="s">
        <v>142</v>
      </c>
      <c r="L2565">
        <v>0</v>
      </c>
      <c r="M2565" t="s">
        <v>125</v>
      </c>
      <c r="O2565" t="s">
        <v>125</v>
      </c>
      <c r="P2565" t="s">
        <v>125</v>
      </c>
      <c r="Q2565" t="s">
        <v>125</v>
      </c>
      <c r="R2565" t="s">
        <v>125</v>
      </c>
      <c r="S2565" t="s">
        <v>125</v>
      </c>
      <c r="T2565">
        <v>0</v>
      </c>
      <c r="V2565" t="s">
        <v>125</v>
      </c>
      <c r="AE2565" t="s">
        <v>125</v>
      </c>
      <c r="AF2565">
        <v>0</v>
      </c>
      <c r="AG2565" t="s">
        <v>125</v>
      </c>
      <c r="AH2565">
        <v>0</v>
      </c>
      <c r="AK2565">
        <v>0</v>
      </c>
    </row>
    <row r="2566" spans="1:37" x14ac:dyDescent="0.25">
      <c r="A2566" t="s">
        <v>79</v>
      </c>
      <c r="B2566">
        <v>10</v>
      </c>
      <c r="C2566">
        <v>2</v>
      </c>
      <c r="D2566">
        <v>5</v>
      </c>
      <c r="E2566">
        <v>3</v>
      </c>
      <c r="G2566">
        <v>1025</v>
      </c>
      <c r="H2566" t="s">
        <v>63</v>
      </c>
      <c r="I2566" t="s">
        <v>95</v>
      </c>
      <c r="J2566" t="s">
        <v>143</v>
      </c>
      <c r="L2566">
        <v>0</v>
      </c>
      <c r="M2566" t="s">
        <v>125</v>
      </c>
      <c r="O2566" t="s">
        <v>125</v>
      </c>
      <c r="P2566" t="s">
        <v>125</v>
      </c>
      <c r="Q2566" t="s">
        <v>125</v>
      </c>
      <c r="R2566" t="s">
        <v>125</v>
      </c>
      <c r="S2566" t="s">
        <v>125</v>
      </c>
      <c r="T2566">
        <v>0</v>
      </c>
      <c r="V2566" t="s">
        <v>125</v>
      </c>
      <c r="AE2566" t="s">
        <v>125</v>
      </c>
      <c r="AF2566">
        <v>0</v>
      </c>
      <c r="AG2566" t="s">
        <v>125</v>
      </c>
      <c r="AH2566">
        <v>0</v>
      </c>
      <c r="AK2566">
        <v>0</v>
      </c>
    </row>
    <row r="2567" spans="1:37" x14ac:dyDescent="0.25">
      <c r="A2567" t="s">
        <v>79</v>
      </c>
      <c r="B2567">
        <v>10</v>
      </c>
      <c r="C2567">
        <v>2</v>
      </c>
      <c r="D2567">
        <v>5</v>
      </c>
      <c r="E2567">
        <v>4</v>
      </c>
      <c r="G2567">
        <v>1025</v>
      </c>
      <c r="H2567" t="s">
        <v>63</v>
      </c>
      <c r="I2567" t="s">
        <v>102</v>
      </c>
      <c r="J2567" t="s">
        <v>144</v>
      </c>
      <c r="L2567">
        <v>0</v>
      </c>
      <c r="M2567" t="s">
        <v>125</v>
      </c>
      <c r="O2567" t="s">
        <v>125</v>
      </c>
      <c r="P2567" t="s">
        <v>125</v>
      </c>
      <c r="Q2567" t="s">
        <v>125</v>
      </c>
      <c r="R2567" t="s">
        <v>125</v>
      </c>
      <c r="S2567" t="s">
        <v>125</v>
      </c>
      <c r="T2567">
        <v>0</v>
      </c>
      <c r="V2567" t="s">
        <v>125</v>
      </c>
      <c r="AE2567" t="s">
        <v>125</v>
      </c>
      <c r="AF2567">
        <v>0</v>
      </c>
      <c r="AG2567" t="s">
        <v>125</v>
      </c>
      <c r="AH2567">
        <v>0</v>
      </c>
      <c r="AK2567">
        <v>0</v>
      </c>
    </row>
    <row r="2568" spans="1:37" x14ac:dyDescent="0.25">
      <c r="A2568" t="s">
        <v>79</v>
      </c>
      <c r="B2568">
        <v>10</v>
      </c>
      <c r="C2568">
        <v>2</v>
      </c>
      <c r="D2568">
        <v>5</v>
      </c>
      <c r="E2568">
        <v>5</v>
      </c>
      <c r="G2568">
        <v>1025</v>
      </c>
      <c r="H2568" t="s">
        <v>63</v>
      </c>
      <c r="I2568" t="s">
        <v>109</v>
      </c>
      <c r="J2568" t="s">
        <v>145</v>
      </c>
      <c r="L2568">
        <v>0</v>
      </c>
      <c r="M2568" t="s">
        <v>125</v>
      </c>
      <c r="O2568" t="s">
        <v>125</v>
      </c>
      <c r="P2568" t="s">
        <v>125</v>
      </c>
      <c r="Q2568" t="s">
        <v>125</v>
      </c>
      <c r="R2568" t="s">
        <v>125</v>
      </c>
      <c r="S2568" t="s">
        <v>125</v>
      </c>
      <c r="T2568">
        <v>0</v>
      </c>
      <c r="V2568" t="s">
        <v>125</v>
      </c>
      <c r="AE2568" t="s">
        <v>125</v>
      </c>
      <c r="AF2568">
        <v>0</v>
      </c>
      <c r="AG2568" t="s">
        <v>125</v>
      </c>
      <c r="AH2568">
        <v>0</v>
      </c>
      <c r="AK2568">
        <v>0</v>
      </c>
    </row>
    <row r="2569" spans="1:37" x14ac:dyDescent="0.25">
      <c r="A2569" t="s">
        <v>79</v>
      </c>
      <c r="B2569">
        <v>10</v>
      </c>
      <c r="C2569">
        <v>2</v>
      </c>
      <c r="D2569">
        <v>5</v>
      </c>
      <c r="E2569">
        <v>6</v>
      </c>
      <c r="G2569">
        <v>1025</v>
      </c>
      <c r="H2569" t="s">
        <v>63</v>
      </c>
      <c r="I2569" t="s">
        <v>116</v>
      </c>
      <c r="J2569" t="s">
        <v>146</v>
      </c>
      <c r="L2569">
        <v>0</v>
      </c>
      <c r="M2569" t="s">
        <v>125</v>
      </c>
      <c r="O2569" t="s">
        <v>125</v>
      </c>
      <c r="P2569" t="s">
        <v>125</v>
      </c>
      <c r="Q2569" t="s">
        <v>125</v>
      </c>
      <c r="R2569" t="s">
        <v>125</v>
      </c>
      <c r="S2569" t="s">
        <v>125</v>
      </c>
      <c r="T2569">
        <v>0</v>
      </c>
      <c r="V2569" t="s">
        <v>125</v>
      </c>
      <c r="AE2569" t="s">
        <v>125</v>
      </c>
      <c r="AF2569">
        <v>0</v>
      </c>
      <c r="AG2569" t="s">
        <v>125</v>
      </c>
      <c r="AH2569">
        <v>0</v>
      </c>
      <c r="AK2569">
        <v>0</v>
      </c>
    </row>
    <row r="2570" spans="1:37" x14ac:dyDescent="0.25">
      <c r="A2570" t="s">
        <v>79</v>
      </c>
      <c r="B2570">
        <v>10</v>
      </c>
      <c r="C2570">
        <v>2</v>
      </c>
      <c r="D2570">
        <v>5</v>
      </c>
      <c r="E2570">
        <v>7</v>
      </c>
      <c r="G2570">
        <v>1025</v>
      </c>
      <c r="H2570" t="s">
        <v>63</v>
      </c>
      <c r="I2570" t="s">
        <v>123</v>
      </c>
      <c r="J2570" t="s">
        <v>147</v>
      </c>
      <c r="L2570">
        <v>0</v>
      </c>
      <c r="M2570" t="s">
        <v>125</v>
      </c>
      <c r="O2570" t="s">
        <v>125</v>
      </c>
      <c r="P2570" t="s">
        <v>125</v>
      </c>
      <c r="Q2570" t="s">
        <v>125</v>
      </c>
      <c r="R2570" t="s">
        <v>125</v>
      </c>
      <c r="S2570" t="s">
        <v>125</v>
      </c>
      <c r="T2570">
        <v>0</v>
      </c>
      <c r="V2570" t="s">
        <v>125</v>
      </c>
      <c r="AE2570" t="s">
        <v>125</v>
      </c>
      <c r="AF2570">
        <v>0</v>
      </c>
      <c r="AG2570" t="s">
        <v>125</v>
      </c>
      <c r="AH2570">
        <v>0</v>
      </c>
      <c r="AK2570">
        <v>0</v>
      </c>
    </row>
    <row r="2571" spans="1:37" x14ac:dyDescent="0.25">
      <c r="A2571" t="s">
        <v>79</v>
      </c>
      <c r="B2571">
        <v>10</v>
      </c>
      <c r="C2571">
        <v>2</v>
      </c>
      <c r="D2571">
        <v>5</v>
      </c>
      <c r="E2571">
        <v>8</v>
      </c>
      <c r="G2571">
        <v>1025</v>
      </c>
      <c r="H2571" t="s">
        <v>63</v>
      </c>
      <c r="I2571" t="s">
        <v>126</v>
      </c>
      <c r="J2571" t="s">
        <v>148</v>
      </c>
      <c r="L2571">
        <v>0</v>
      </c>
      <c r="M2571" t="s">
        <v>125</v>
      </c>
      <c r="O2571" t="s">
        <v>125</v>
      </c>
      <c r="P2571" t="s">
        <v>125</v>
      </c>
      <c r="Q2571" t="s">
        <v>125</v>
      </c>
      <c r="R2571" t="s">
        <v>125</v>
      </c>
      <c r="S2571" t="s">
        <v>125</v>
      </c>
      <c r="T2571">
        <v>0</v>
      </c>
      <c r="V2571" t="s">
        <v>125</v>
      </c>
      <c r="AE2571" t="s">
        <v>125</v>
      </c>
      <c r="AF2571">
        <v>0</v>
      </c>
      <c r="AG2571" t="s">
        <v>125</v>
      </c>
      <c r="AH2571">
        <v>0</v>
      </c>
      <c r="AK2571">
        <v>0</v>
      </c>
    </row>
    <row r="2572" spans="1:37" x14ac:dyDescent="0.25">
      <c r="A2572" t="s">
        <v>79</v>
      </c>
      <c r="B2572">
        <v>10</v>
      </c>
      <c r="C2572">
        <v>2</v>
      </c>
      <c r="D2572">
        <v>5</v>
      </c>
      <c r="E2572">
        <v>9</v>
      </c>
      <c r="G2572">
        <v>1025</v>
      </c>
      <c r="H2572" t="s">
        <v>63</v>
      </c>
      <c r="I2572" t="s">
        <v>74</v>
      </c>
      <c r="J2572" t="s">
        <v>149</v>
      </c>
      <c r="L2572">
        <v>0</v>
      </c>
      <c r="M2572" t="s">
        <v>125</v>
      </c>
      <c r="O2572" t="s">
        <v>125</v>
      </c>
      <c r="P2572" t="s">
        <v>125</v>
      </c>
      <c r="Q2572" t="s">
        <v>125</v>
      </c>
      <c r="R2572" t="s">
        <v>125</v>
      </c>
      <c r="S2572" t="s">
        <v>125</v>
      </c>
      <c r="T2572">
        <v>0</v>
      </c>
      <c r="V2572" t="s">
        <v>125</v>
      </c>
      <c r="AE2572" t="s">
        <v>125</v>
      </c>
      <c r="AF2572">
        <v>0</v>
      </c>
      <c r="AG2572" t="s">
        <v>125</v>
      </c>
      <c r="AH2572">
        <v>0</v>
      </c>
      <c r="AK2572">
        <v>0</v>
      </c>
    </row>
    <row r="2573" spans="1:37" x14ac:dyDescent="0.25">
      <c r="A2573" t="s">
        <v>79</v>
      </c>
      <c r="B2573">
        <v>10</v>
      </c>
      <c r="C2573">
        <v>2</v>
      </c>
      <c r="D2573">
        <v>5</v>
      </c>
      <c r="E2573">
        <v>10</v>
      </c>
      <c r="G2573">
        <v>1025</v>
      </c>
      <c r="H2573" t="s">
        <v>63</v>
      </c>
      <c r="I2573" t="s">
        <v>129</v>
      </c>
      <c r="J2573" t="s">
        <v>150</v>
      </c>
      <c r="L2573">
        <v>0</v>
      </c>
      <c r="M2573" t="s">
        <v>125</v>
      </c>
      <c r="O2573" t="s">
        <v>125</v>
      </c>
      <c r="P2573" t="s">
        <v>125</v>
      </c>
      <c r="Q2573" t="s">
        <v>125</v>
      </c>
      <c r="R2573" t="s">
        <v>125</v>
      </c>
      <c r="S2573" t="s">
        <v>125</v>
      </c>
      <c r="T2573">
        <v>0</v>
      </c>
      <c r="V2573" t="s">
        <v>125</v>
      </c>
      <c r="AE2573" t="s">
        <v>125</v>
      </c>
      <c r="AF2573">
        <v>0</v>
      </c>
      <c r="AG2573" t="s">
        <v>125</v>
      </c>
      <c r="AH2573">
        <v>0</v>
      </c>
      <c r="AK2573">
        <v>0</v>
      </c>
    </row>
    <row r="2574" spans="1:37" x14ac:dyDescent="0.25">
      <c r="A2574" t="s">
        <v>79</v>
      </c>
      <c r="B2574">
        <v>10</v>
      </c>
      <c r="C2574">
        <v>2</v>
      </c>
      <c r="D2574">
        <v>5</v>
      </c>
      <c r="E2574">
        <v>11</v>
      </c>
      <c r="G2574">
        <v>1025</v>
      </c>
      <c r="H2574" t="s">
        <v>63</v>
      </c>
      <c r="I2574" t="s">
        <v>131</v>
      </c>
      <c r="J2574" t="s">
        <v>151</v>
      </c>
      <c r="L2574">
        <v>0</v>
      </c>
      <c r="M2574" t="s">
        <v>125</v>
      </c>
      <c r="O2574" t="s">
        <v>125</v>
      </c>
      <c r="P2574" t="s">
        <v>125</v>
      </c>
      <c r="Q2574" t="s">
        <v>125</v>
      </c>
      <c r="R2574" t="s">
        <v>125</v>
      </c>
      <c r="S2574" t="s">
        <v>125</v>
      </c>
      <c r="T2574">
        <v>0</v>
      </c>
      <c r="V2574" t="s">
        <v>125</v>
      </c>
      <c r="AE2574" t="s">
        <v>125</v>
      </c>
      <c r="AF2574">
        <v>0</v>
      </c>
      <c r="AG2574" t="s">
        <v>125</v>
      </c>
      <c r="AH2574">
        <v>0</v>
      </c>
      <c r="AK2574">
        <v>0</v>
      </c>
    </row>
    <row r="2575" spans="1:37" x14ac:dyDescent="0.25">
      <c r="A2575" t="s">
        <v>79</v>
      </c>
      <c r="B2575">
        <v>10</v>
      </c>
      <c r="C2575">
        <v>2</v>
      </c>
      <c r="D2575">
        <v>5</v>
      </c>
      <c r="E2575">
        <v>12</v>
      </c>
      <c r="G2575">
        <v>1025</v>
      </c>
      <c r="H2575" t="s">
        <v>63</v>
      </c>
      <c r="I2575" t="s">
        <v>133</v>
      </c>
      <c r="J2575" t="s">
        <v>152</v>
      </c>
      <c r="L2575">
        <v>0</v>
      </c>
      <c r="M2575" t="s">
        <v>125</v>
      </c>
      <c r="O2575" t="s">
        <v>125</v>
      </c>
      <c r="P2575" t="s">
        <v>125</v>
      </c>
      <c r="Q2575" t="s">
        <v>125</v>
      </c>
      <c r="R2575" t="s">
        <v>125</v>
      </c>
      <c r="S2575" t="s">
        <v>125</v>
      </c>
      <c r="T2575">
        <v>0</v>
      </c>
      <c r="V2575" t="s">
        <v>125</v>
      </c>
      <c r="AE2575" t="s">
        <v>125</v>
      </c>
      <c r="AF2575">
        <v>0</v>
      </c>
      <c r="AG2575" t="s">
        <v>125</v>
      </c>
      <c r="AH2575">
        <v>0</v>
      </c>
      <c r="AK2575">
        <v>0</v>
      </c>
    </row>
    <row r="2576" spans="1:37" x14ac:dyDescent="0.25">
      <c r="A2576" t="s">
        <v>79</v>
      </c>
      <c r="B2576">
        <v>10</v>
      </c>
      <c r="C2576">
        <v>2</v>
      </c>
      <c r="D2576">
        <v>5</v>
      </c>
      <c r="E2576">
        <v>13</v>
      </c>
      <c r="G2576">
        <v>1025</v>
      </c>
      <c r="H2576" t="s">
        <v>63</v>
      </c>
      <c r="I2576" t="s">
        <v>135</v>
      </c>
      <c r="J2576" t="s">
        <v>153</v>
      </c>
      <c r="L2576">
        <v>0</v>
      </c>
      <c r="M2576" t="s">
        <v>125</v>
      </c>
      <c r="O2576" t="s">
        <v>125</v>
      </c>
      <c r="P2576" t="s">
        <v>125</v>
      </c>
      <c r="Q2576" t="s">
        <v>125</v>
      </c>
      <c r="R2576" t="s">
        <v>125</v>
      </c>
      <c r="S2576" t="s">
        <v>125</v>
      </c>
      <c r="T2576">
        <v>0</v>
      </c>
      <c r="V2576" t="s">
        <v>125</v>
      </c>
      <c r="AE2576" t="s">
        <v>125</v>
      </c>
      <c r="AF2576">
        <v>0</v>
      </c>
      <c r="AG2576" t="s">
        <v>125</v>
      </c>
      <c r="AH2576">
        <v>0</v>
      </c>
      <c r="AK2576">
        <v>0</v>
      </c>
    </row>
    <row r="2577" spans="1:37" x14ac:dyDescent="0.25">
      <c r="A2577" t="s">
        <v>79</v>
      </c>
      <c r="B2577">
        <v>10</v>
      </c>
      <c r="C2577">
        <v>2</v>
      </c>
      <c r="D2577">
        <v>5</v>
      </c>
      <c r="E2577">
        <v>14</v>
      </c>
      <c r="G2577">
        <v>1025</v>
      </c>
      <c r="H2577" t="s">
        <v>63</v>
      </c>
      <c r="I2577" t="s">
        <v>137</v>
      </c>
      <c r="J2577" t="s">
        <v>154</v>
      </c>
      <c r="L2577">
        <v>0</v>
      </c>
      <c r="M2577" t="s">
        <v>125</v>
      </c>
      <c r="O2577" t="s">
        <v>125</v>
      </c>
      <c r="P2577" t="s">
        <v>125</v>
      </c>
      <c r="Q2577" t="s">
        <v>125</v>
      </c>
      <c r="R2577" t="s">
        <v>125</v>
      </c>
      <c r="S2577" t="s">
        <v>125</v>
      </c>
      <c r="T2577">
        <v>0</v>
      </c>
      <c r="V2577" t="s">
        <v>125</v>
      </c>
      <c r="AE2577" t="s">
        <v>125</v>
      </c>
      <c r="AF2577">
        <v>0</v>
      </c>
      <c r="AG2577" t="s">
        <v>125</v>
      </c>
      <c r="AH2577">
        <v>0</v>
      </c>
      <c r="AK2577">
        <v>0</v>
      </c>
    </row>
    <row r="2578" spans="1:37" x14ac:dyDescent="0.25">
      <c r="A2578" t="s">
        <v>79</v>
      </c>
      <c r="B2578">
        <v>10</v>
      </c>
      <c r="C2578">
        <v>2</v>
      </c>
      <c r="D2578">
        <v>5</v>
      </c>
      <c r="E2578">
        <v>15</v>
      </c>
      <c r="G2578">
        <v>1025</v>
      </c>
      <c r="H2578" t="s">
        <v>63</v>
      </c>
      <c r="I2578" t="s">
        <v>139</v>
      </c>
      <c r="J2578" t="s">
        <v>155</v>
      </c>
      <c r="L2578">
        <v>0</v>
      </c>
      <c r="M2578" t="s">
        <v>125</v>
      </c>
      <c r="O2578" t="s">
        <v>125</v>
      </c>
      <c r="P2578" t="s">
        <v>125</v>
      </c>
      <c r="Q2578" t="s">
        <v>125</v>
      </c>
      <c r="R2578" t="s">
        <v>125</v>
      </c>
      <c r="S2578" t="s">
        <v>125</v>
      </c>
      <c r="T2578">
        <v>0</v>
      </c>
      <c r="V2578" t="s">
        <v>125</v>
      </c>
      <c r="AE2578" t="s">
        <v>125</v>
      </c>
      <c r="AF2578">
        <v>0</v>
      </c>
      <c r="AG2578" t="s">
        <v>125</v>
      </c>
      <c r="AH2578">
        <v>0</v>
      </c>
      <c r="AK2578">
        <v>0</v>
      </c>
    </row>
    <row r="2579" spans="1:37" x14ac:dyDescent="0.25">
      <c r="L2579">
        <v>0</v>
      </c>
    </row>
    <row r="2580" spans="1:37" x14ac:dyDescent="0.25">
      <c r="L2580">
        <v>0</v>
      </c>
    </row>
    <row r="2581" spans="1:37" x14ac:dyDescent="0.25">
      <c r="A2581" t="s">
        <v>66</v>
      </c>
      <c r="B2581">
        <v>10</v>
      </c>
      <c r="C2581">
        <v>3</v>
      </c>
      <c r="G2581">
        <v>10</v>
      </c>
      <c r="H2581" t="s">
        <v>3196</v>
      </c>
      <c r="I2581" t="s">
        <v>3533</v>
      </c>
      <c r="M2581" t="s">
        <v>3534</v>
      </c>
      <c r="N2581" t="s">
        <v>3533</v>
      </c>
      <c r="P2581" t="s">
        <v>3535</v>
      </c>
      <c r="V2581" t="s">
        <v>3536</v>
      </c>
      <c r="Y2581" t="s">
        <v>3537</v>
      </c>
      <c r="AA2581" t="s">
        <v>3538</v>
      </c>
      <c r="AC2581" t="s">
        <v>63</v>
      </c>
      <c r="AE2581" t="s">
        <v>3539</v>
      </c>
      <c r="AF2581">
        <v>0</v>
      </c>
      <c r="AG2581" t="s">
        <v>3540</v>
      </c>
      <c r="AH2581">
        <v>0</v>
      </c>
      <c r="AK2581">
        <v>0</v>
      </c>
    </row>
    <row r="2582" spans="1:37" x14ac:dyDescent="0.25">
      <c r="L2582">
        <v>0</v>
      </c>
    </row>
    <row r="2583" spans="1:37" x14ac:dyDescent="0.25">
      <c r="A2583" t="s">
        <v>70</v>
      </c>
      <c r="B2583">
        <v>10</v>
      </c>
      <c r="C2583">
        <v>3</v>
      </c>
      <c r="D2583">
        <v>1</v>
      </c>
      <c r="G2583">
        <v>103</v>
      </c>
      <c r="M2583" t="s">
        <v>3541</v>
      </c>
      <c r="O2583" t="s">
        <v>3542</v>
      </c>
      <c r="P2583" t="s">
        <v>3543</v>
      </c>
      <c r="Q2583" t="s">
        <v>3544</v>
      </c>
      <c r="R2583" t="s">
        <v>179</v>
      </c>
      <c r="S2583" t="s">
        <v>3545</v>
      </c>
      <c r="V2583" t="s">
        <v>3546</v>
      </c>
      <c r="X2583" t="s">
        <v>3547</v>
      </c>
      <c r="Y2583" t="s">
        <v>3548</v>
      </c>
      <c r="Z2583" t="s">
        <v>3549</v>
      </c>
      <c r="AA2583" t="s">
        <v>3550</v>
      </c>
      <c r="AB2583" t="s">
        <v>63</v>
      </c>
      <c r="AC2583" t="s">
        <v>63</v>
      </c>
      <c r="AE2583" t="s">
        <v>3551</v>
      </c>
      <c r="AF2583">
        <v>0</v>
      </c>
      <c r="AG2583" t="s">
        <v>3552</v>
      </c>
      <c r="AH2583">
        <v>0</v>
      </c>
      <c r="AK2583">
        <v>0</v>
      </c>
    </row>
    <row r="2584" spans="1:37" x14ac:dyDescent="0.25">
      <c r="A2584" t="s">
        <v>79</v>
      </c>
      <c r="B2584">
        <v>10</v>
      </c>
      <c r="C2584">
        <v>3</v>
      </c>
      <c r="D2584">
        <v>1</v>
      </c>
      <c r="E2584">
        <v>1</v>
      </c>
      <c r="G2584">
        <v>1031</v>
      </c>
      <c r="H2584" t="s">
        <v>3542</v>
      </c>
      <c r="I2584" t="s">
        <v>80</v>
      </c>
      <c r="J2584" t="s">
        <v>3553</v>
      </c>
      <c r="L2584">
        <v>0</v>
      </c>
      <c r="M2584" t="s">
        <v>3554</v>
      </c>
      <c r="O2584" t="s">
        <v>3374</v>
      </c>
      <c r="P2584" t="s">
        <v>3375</v>
      </c>
      <c r="Q2584" t="s">
        <v>3376</v>
      </c>
      <c r="R2584" t="s">
        <v>210</v>
      </c>
      <c r="S2584" t="s">
        <v>3377</v>
      </c>
      <c r="T2584">
        <v>1223</v>
      </c>
      <c r="U2584">
        <v>20883</v>
      </c>
      <c r="V2584" t="s">
        <v>3378</v>
      </c>
      <c r="AE2584" t="s">
        <v>3379</v>
      </c>
      <c r="AF2584">
        <v>0</v>
      </c>
      <c r="AG2584" t="s">
        <v>3555</v>
      </c>
      <c r="AH2584">
        <v>0</v>
      </c>
      <c r="AK2584">
        <v>0</v>
      </c>
    </row>
    <row r="2585" spans="1:37" x14ac:dyDescent="0.25">
      <c r="A2585" t="s">
        <v>79</v>
      </c>
      <c r="B2585">
        <v>10</v>
      </c>
      <c r="C2585">
        <v>3</v>
      </c>
      <c r="D2585">
        <v>1</v>
      </c>
      <c r="E2585">
        <v>2</v>
      </c>
      <c r="G2585">
        <v>1031</v>
      </c>
      <c r="H2585" t="s">
        <v>3542</v>
      </c>
      <c r="I2585" t="s">
        <v>88</v>
      </c>
      <c r="J2585" t="s">
        <v>3556</v>
      </c>
      <c r="L2585">
        <v>0</v>
      </c>
      <c r="M2585" t="s">
        <v>3557</v>
      </c>
      <c r="O2585" t="s">
        <v>3383</v>
      </c>
      <c r="P2585" t="s">
        <v>3384</v>
      </c>
      <c r="Q2585" t="s">
        <v>3558</v>
      </c>
      <c r="R2585" t="s">
        <v>229</v>
      </c>
      <c r="S2585" t="s">
        <v>1171</v>
      </c>
      <c r="T2585">
        <v>1223</v>
      </c>
      <c r="U2585">
        <v>738</v>
      </c>
      <c r="V2585" t="s">
        <v>3559</v>
      </c>
      <c r="AE2585" t="s">
        <v>3560</v>
      </c>
      <c r="AF2585">
        <v>0</v>
      </c>
      <c r="AG2585" t="s">
        <v>3561</v>
      </c>
      <c r="AH2585">
        <v>0</v>
      </c>
      <c r="AK2585">
        <v>0</v>
      </c>
    </row>
    <row r="2586" spans="1:37" x14ac:dyDescent="0.25">
      <c r="A2586" t="s">
        <v>79</v>
      </c>
      <c r="B2586">
        <v>10</v>
      </c>
      <c r="C2586">
        <v>3</v>
      </c>
      <c r="D2586">
        <v>1</v>
      </c>
      <c r="E2586">
        <v>3</v>
      </c>
      <c r="G2586">
        <v>1031</v>
      </c>
      <c r="H2586" t="s">
        <v>3542</v>
      </c>
      <c r="I2586" t="s">
        <v>95</v>
      </c>
      <c r="J2586" t="s">
        <v>3562</v>
      </c>
      <c r="L2586">
        <v>0</v>
      </c>
      <c r="M2586" t="s">
        <v>3563</v>
      </c>
      <c r="O2586" t="s">
        <v>294</v>
      </c>
      <c r="P2586" t="s">
        <v>295</v>
      </c>
      <c r="Q2586" t="s">
        <v>3564</v>
      </c>
      <c r="R2586" t="s">
        <v>229</v>
      </c>
      <c r="S2586" t="s">
        <v>297</v>
      </c>
      <c r="T2586">
        <v>1223</v>
      </c>
      <c r="U2586">
        <v>234</v>
      </c>
      <c r="V2586" t="s">
        <v>3565</v>
      </c>
      <c r="AE2586" t="s">
        <v>3566</v>
      </c>
      <c r="AF2586">
        <v>0</v>
      </c>
      <c r="AG2586" t="s">
        <v>3567</v>
      </c>
      <c r="AH2586">
        <v>0</v>
      </c>
      <c r="AK2586">
        <v>0</v>
      </c>
    </row>
    <row r="2587" spans="1:37" x14ac:dyDescent="0.25">
      <c r="A2587" t="s">
        <v>79</v>
      </c>
      <c r="B2587">
        <v>10</v>
      </c>
      <c r="C2587">
        <v>3</v>
      </c>
      <c r="D2587">
        <v>1</v>
      </c>
      <c r="E2587">
        <v>4</v>
      </c>
      <c r="G2587">
        <v>1031</v>
      </c>
      <c r="H2587" t="s">
        <v>3542</v>
      </c>
      <c r="I2587" t="s">
        <v>102</v>
      </c>
      <c r="J2587" t="s">
        <v>3568</v>
      </c>
      <c r="L2587">
        <v>0</v>
      </c>
      <c r="M2587" t="s">
        <v>125</v>
      </c>
      <c r="O2587" t="s">
        <v>125</v>
      </c>
      <c r="P2587" t="s">
        <v>125</v>
      </c>
      <c r="Q2587" t="s">
        <v>125</v>
      </c>
      <c r="R2587" t="s">
        <v>125</v>
      </c>
      <c r="S2587" t="s">
        <v>125</v>
      </c>
      <c r="T2587">
        <v>1223</v>
      </c>
      <c r="V2587" t="s">
        <v>125</v>
      </c>
      <c r="AE2587" t="s">
        <v>125</v>
      </c>
      <c r="AF2587">
        <v>0</v>
      </c>
      <c r="AG2587" t="s">
        <v>125</v>
      </c>
      <c r="AH2587">
        <v>0</v>
      </c>
      <c r="AK2587">
        <v>0</v>
      </c>
    </row>
    <row r="2588" spans="1:37" x14ac:dyDescent="0.25">
      <c r="A2588" t="s">
        <v>79</v>
      </c>
      <c r="B2588">
        <v>10</v>
      </c>
      <c r="C2588">
        <v>3</v>
      </c>
      <c r="D2588">
        <v>1</v>
      </c>
      <c r="E2588">
        <v>5</v>
      </c>
      <c r="G2588">
        <v>1031</v>
      </c>
      <c r="H2588" t="s">
        <v>3542</v>
      </c>
      <c r="I2588" t="s">
        <v>109</v>
      </c>
      <c r="J2588" t="s">
        <v>3569</v>
      </c>
      <c r="L2588">
        <v>0</v>
      </c>
      <c r="M2588" t="s">
        <v>125</v>
      </c>
      <c r="O2588" t="s">
        <v>125</v>
      </c>
      <c r="P2588" t="s">
        <v>125</v>
      </c>
      <c r="Q2588" t="s">
        <v>125</v>
      </c>
      <c r="R2588" t="s">
        <v>125</v>
      </c>
      <c r="S2588" t="s">
        <v>125</v>
      </c>
      <c r="T2588">
        <v>1223</v>
      </c>
      <c r="V2588" t="s">
        <v>125</v>
      </c>
      <c r="AE2588" t="s">
        <v>125</v>
      </c>
      <c r="AF2588">
        <v>0</v>
      </c>
      <c r="AG2588" t="s">
        <v>125</v>
      </c>
      <c r="AH2588">
        <v>0</v>
      </c>
      <c r="AK2588">
        <v>0</v>
      </c>
    </row>
    <row r="2589" spans="1:37" x14ac:dyDescent="0.25">
      <c r="A2589" t="s">
        <v>79</v>
      </c>
      <c r="B2589">
        <v>10</v>
      </c>
      <c r="C2589">
        <v>3</v>
      </c>
      <c r="D2589">
        <v>1</v>
      </c>
      <c r="E2589">
        <v>6</v>
      </c>
      <c r="G2589">
        <v>1031</v>
      </c>
      <c r="H2589" t="s">
        <v>3542</v>
      </c>
      <c r="I2589" t="s">
        <v>116</v>
      </c>
      <c r="J2589" t="s">
        <v>3570</v>
      </c>
      <c r="L2589">
        <v>0</v>
      </c>
      <c r="M2589" t="s">
        <v>125</v>
      </c>
      <c r="O2589" t="s">
        <v>125</v>
      </c>
      <c r="P2589" t="s">
        <v>125</v>
      </c>
      <c r="Q2589" t="s">
        <v>125</v>
      </c>
      <c r="R2589" t="s">
        <v>125</v>
      </c>
      <c r="S2589" t="s">
        <v>125</v>
      </c>
      <c r="T2589">
        <v>1223</v>
      </c>
      <c r="V2589" t="s">
        <v>125</v>
      </c>
      <c r="AE2589" t="s">
        <v>125</v>
      </c>
      <c r="AF2589">
        <v>0</v>
      </c>
      <c r="AG2589" t="s">
        <v>125</v>
      </c>
      <c r="AH2589">
        <v>0</v>
      </c>
      <c r="AK2589">
        <v>0</v>
      </c>
    </row>
    <row r="2590" spans="1:37" x14ac:dyDescent="0.25">
      <c r="A2590" t="s">
        <v>79</v>
      </c>
      <c r="B2590">
        <v>10</v>
      </c>
      <c r="C2590">
        <v>3</v>
      </c>
      <c r="D2590">
        <v>1</v>
      </c>
      <c r="E2590">
        <v>7</v>
      </c>
      <c r="G2590">
        <v>1031</v>
      </c>
      <c r="H2590" t="s">
        <v>3542</v>
      </c>
      <c r="I2590" t="s">
        <v>123</v>
      </c>
      <c r="J2590" t="s">
        <v>3571</v>
      </c>
      <c r="L2590">
        <v>0</v>
      </c>
      <c r="M2590" t="s">
        <v>125</v>
      </c>
      <c r="O2590" t="s">
        <v>125</v>
      </c>
      <c r="P2590" t="s">
        <v>125</v>
      </c>
      <c r="Q2590" t="s">
        <v>125</v>
      </c>
      <c r="R2590" t="s">
        <v>125</v>
      </c>
      <c r="S2590" t="s">
        <v>125</v>
      </c>
      <c r="T2590">
        <v>1223</v>
      </c>
      <c r="V2590" t="s">
        <v>125</v>
      </c>
      <c r="AE2590" t="s">
        <v>125</v>
      </c>
      <c r="AF2590">
        <v>0</v>
      </c>
      <c r="AG2590" t="s">
        <v>125</v>
      </c>
      <c r="AH2590">
        <v>0</v>
      </c>
      <c r="AK2590">
        <v>0</v>
      </c>
    </row>
    <row r="2591" spans="1:37" x14ac:dyDescent="0.25">
      <c r="A2591" t="s">
        <v>79</v>
      </c>
      <c r="B2591">
        <v>10</v>
      </c>
      <c r="C2591">
        <v>3</v>
      </c>
      <c r="D2591">
        <v>1</v>
      </c>
      <c r="E2591">
        <v>8</v>
      </c>
      <c r="G2591">
        <v>1031</v>
      </c>
      <c r="H2591" t="s">
        <v>3542</v>
      </c>
      <c r="I2591" t="s">
        <v>126</v>
      </c>
      <c r="J2591" t="s">
        <v>3572</v>
      </c>
      <c r="L2591">
        <v>0</v>
      </c>
      <c r="M2591" t="s">
        <v>125</v>
      </c>
      <c r="O2591" t="s">
        <v>125</v>
      </c>
      <c r="P2591" t="s">
        <v>125</v>
      </c>
      <c r="Q2591" t="s">
        <v>125</v>
      </c>
      <c r="R2591" t="s">
        <v>125</v>
      </c>
      <c r="S2591" t="s">
        <v>125</v>
      </c>
      <c r="T2591">
        <v>1223</v>
      </c>
      <c r="V2591" t="s">
        <v>125</v>
      </c>
      <c r="AE2591" t="s">
        <v>125</v>
      </c>
      <c r="AF2591">
        <v>0</v>
      </c>
      <c r="AG2591" t="s">
        <v>125</v>
      </c>
      <c r="AH2591">
        <v>0</v>
      </c>
      <c r="AK2591">
        <v>0</v>
      </c>
    </row>
    <row r="2592" spans="1:37" x14ac:dyDescent="0.25">
      <c r="A2592" t="s">
        <v>79</v>
      </c>
      <c r="B2592">
        <v>10</v>
      </c>
      <c r="C2592">
        <v>3</v>
      </c>
      <c r="D2592">
        <v>1</v>
      </c>
      <c r="E2592">
        <v>9</v>
      </c>
      <c r="G2592">
        <v>1031</v>
      </c>
      <c r="H2592" t="s">
        <v>3542</v>
      </c>
      <c r="I2592" t="s">
        <v>74</v>
      </c>
      <c r="J2592" t="s">
        <v>3573</v>
      </c>
      <c r="L2592">
        <v>0</v>
      </c>
      <c r="M2592" t="s">
        <v>125</v>
      </c>
      <c r="O2592" t="s">
        <v>125</v>
      </c>
      <c r="P2592" t="s">
        <v>125</v>
      </c>
      <c r="Q2592" t="s">
        <v>125</v>
      </c>
      <c r="R2592" t="s">
        <v>125</v>
      </c>
      <c r="S2592" t="s">
        <v>125</v>
      </c>
      <c r="T2592">
        <v>1223</v>
      </c>
      <c r="V2592" t="s">
        <v>125</v>
      </c>
      <c r="AE2592" t="s">
        <v>125</v>
      </c>
      <c r="AF2592">
        <v>0</v>
      </c>
      <c r="AG2592" t="s">
        <v>125</v>
      </c>
      <c r="AH2592">
        <v>0</v>
      </c>
      <c r="AK2592">
        <v>0</v>
      </c>
    </row>
    <row r="2593" spans="1:37" x14ac:dyDescent="0.25">
      <c r="A2593" t="s">
        <v>79</v>
      </c>
      <c r="B2593">
        <v>10</v>
      </c>
      <c r="C2593">
        <v>3</v>
      </c>
      <c r="D2593">
        <v>1</v>
      </c>
      <c r="E2593">
        <v>10</v>
      </c>
      <c r="G2593">
        <v>1031</v>
      </c>
      <c r="H2593" t="s">
        <v>3542</v>
      </c>
      <c r="I2593" t="s">
        <v>129</v>
      </c>
      <c r="J2593" t="s">
        <v>3574</v>
      </c>
      <c r="L2593">
        <v>0</v>
      </c>
      <c r="M2593" t="s">
        <v>125</v>
      </c>
      <c r="O2593" t="s">
        <v>125</v>
      </c>
      <c r="P2593" t="s">
        <v>125</v>
      </c>
      <c r="Q2593" t="s">
        <v>125</v>
      </c>
      <c r="R2593" t="s">
        <v>125</v>
      </c>
      <c r="S2593" t="s">
        <v>125</v>
      </c>
      <c r="T2593">
        <v>1223</v>
      </c>
      <c r="V2593" t="s">
        <v>125</v>
      </c>
      <c r="AE2593" t="s">
        <v>125</v>
      </c>
      <c r="AF2593">
        <v>0</v>
      </c>
      <c r="AG2593" t="s">
        <v>125</v>
      </c>
      <c r="AH2593">
        <v>0</v>
      </c>
      <c r="AK2593">
        <v>0</v>
      </c>
    </row>
    <row r="2594" spans="1:37" x14ac:dyDescent="0.25">
      <c r="A2594" t="s">
        <v>79</v>
      </c>
      <c r="B2594">
        <v>10</v>
      </c>
      <c r="C2594">
        <v>3</v>
      </c>
      <c r="D2594">
        <v>1</v>
      </c>
      <c r="E2594">
        <v>11</v>
      </c>
      <c r="G2594">
        <v>1031</v>
      </c>
      <c r="H2594" t="s">
        <v>3542</v>
      </c>
      <c r="I2594" t="s">
        <v>131</v>
      </c>
      <c r="J2594" t="s">
        <v>3575</v>
      </c>
      <c r="L2594">
        <v>0</v>
      </c>
      <c r="M2594" t="s">
        <v>125</v>
      </c>
      <c r="O2594" t="s">
        <v>125</v>
      </c>
      <c r="P2594" t="s">
        <v>125</v>
      </c>
      <c r="Q2594" t="s">
        <v>125</v>
      </c>
      <c r="R2594" t="s">
        <v>125</v>
      </c>
      <c r="S2594" t="s">
        <v>125</v>
      </c>
      <c r="T2594">
        <v>1223</v>
      </c>
      <c r="V2594" t="s">
        <v>125</v>
      </c>
      <c r="AE2594" t="s">
        <v>125</v>
      </c>
      <c r="AF2594">
        <v>0</v>
      </c>
      <c r="AG2594" t="s">
        <v>125</v>
      </c>
      <c r="AH2594">
        <v>0</v>
      </c>
      <c r="AK2594">
        <v>0</v>
      </c>
    </row>
    <row r="2595" spans="1:37" x14ac:dyDescent="0.25">
      <c r="A2595" t="s">
        <v>79</v>
      </c>
      <c r="B2595">
        <v>10</v>
      </c>
      <c r="C2595">
        <v>3</v>
      </c>
      <c r="D2595">
        <v>1</v>
      </c>
      <c r="E2595">
        <v>12</v>
      </c>
      <c r="G2595">
        <v>1031</v>
      </c>
      <c r="H2595" t="s">
        <v>3542</v>
      </c>
      <c r="I2595" t="s">
        <v>133</v>
      </c>
      <c r="J2595" t="s">
        <v>3576</v>
      </c>
      <c r="L2595">
        <v>0</v>
      </c>
      <c r="M2595" t="s">
        <v>125</v>
      </c>
      <c r="O2595" t="s">
        <v>125</v>
      </c>
      <c r="P2595" t="s">
        <v>125</v>
      </c>
      <c r="Q2595" t="s">
        <v>125</v>
      </c>
      <c r="R2595" t="s">
        <v>125</v>
      </c>
      <c r="S2595" t="s">
        <v>125</v>
      </c>
      <c r="T2595">
        <v>1223</v>
      </c>
      <c r="V2595" t="s">
        <v>125</v>
      </c>
      <c r="AE2595" t="s">
        <v>125</v>
      </c>
      <c r="AF2595">
        <v>0</v>
      </c>
      <c r="AG2595" t="s">
        <v>125</v>
      </c>
      <c r="AH2595">
        <v>0</v>
      </c>
      <c r="AK2595">
        <v>0</v>
      </c>
    </row>
    <row r="2596" spans="1:37" x14ac:dyDescent="0.25">
      <c r="A2596" t="s">
        <v>79</v>
      </c>
      <c r="B2596">
        <v>10</v>
      </c>
      <c r="C2596">
        <v>3</v>
      </c>
      <c r="D2596">
        <v>1</v>
      </c>
      <c r="E2596">
        <v>13</v>
      </c>
      <c r="G2596">
        <v>1031</v>
      </c>
      <c r="H2596" t="s">
        <v>3542</v>
      </c>
      <c r="I2596" t="s">
        <v>135</v>
      </c>
      <c r="J2596" t="s">
        <v>3577</v>
      </c>
      <c r="L2596">
        <v>0</v>
      </c>
      <c r="M2596" t="s">
        <v>125</v>
      </c>
      <c r="O2596" t="s">
        <v>125</v>
      </c>
      <c r="P2596" t="s">
        <v>125</v>
      </c>
      <c r="Q2596" t="s">
        <v>125</v>
      </c>
      <c r="R2596" t="s">
        <v>125</v>
      </c>
      <c r="S2596" t="s">
        <v>125</v>
      </c>
      <c r="T2596">
        <v>1223</v>
      </c>
      <c r="V2596" t="s">
        <v>125</v>
      </c>
      <c r="AE2596" t="s">
        <v>125</v>
      </c>
      <c r="AF2596">
        <v>0</v>
      </c>
      <c r="AG2596" t="s">
        <v>125</v>
      </c>
      <c r="AH2596">
        <v>0</v>
      </c>
      <c r="AK2596">
        <v>0</v>
      </c>
    </row>
    <row r="2597" spans="1:37" x14ac:dyDescent="0.25">
      <c r="A2597" t="s">
        <v>79</v>
      </c>
      <c r="B2597">
        <v>10</v>
      </c>
      <c r="C2597">
        <v>3</v>
      </c>
      <c r="D2597">
        <v>1</v>
      </c>
      <c r="E2597">
        <v>14</v>
      </c>
      <c r="G2597">
        <v>1031</v>
      </c>
      <c r="H2597" t="s">
        <v>3542</v>
      </c>
      <c r="I2597" t="s">
        <v>137</v>
      </c>
      <c r="J2597" t="s">
        <v>3578</v>
      </c>
      <c r="L2597">
        <v>0</v>
      </c>
      <c r="M2597" t="s">
        <v>125</v>
      </c>
      <c r="O2597" t="s">
        <v>125</v>
      </c>
      <c r="P2597" t="s">
        <v>125</v>
      </c>
      <c r="Q2597" t="s">
        <v>125</v>
      </c>
      <c r="R2597" t="s">
        <v>125</v>
      </c>
      <c r="S2597" t="s">
        <v>125</v>
      </c>
      <c r="T2597">
        <v>1223</v>
      </c>
      <c r="V2597" t="s">
        <v>125</v>
      </c>
      <c r="AE2597" t="s">
        <v>125</v>
      </c>
      <c r="AF2597">
        <v>0</v>
      </c>
      <c r="AG2597" t="s">
        <v>125</v>
      </c>
      <c r="AH2597">
        <v>0</v>
      </c>
      <c r="AK2597">
        <v>0</v>
      </c>
    </row>
    <row r="2598" spans="1:37" x14ac:dyDescent="0.25">
      <c r="A2598" t="s">
        <v>79</v>
      </c>
      <c r="B2598">
        <v>10</v>
      </c>
      <c r="C2598">
        <v>3</v>
      </c>
      <c r="D2598">
        <v>1</v>
      </c>
      <c r="E2598">
        <v>15</v>
      </c>
      <c r="G2598">
        <v>1031</v>
      </c>
      <c r="H2598" t="s">
        <v>3542</v>
      </c>
      <c r="I2598" t="s">
        <v>139</v>
      </c>
      <c r="J2598" t="s">
        <v>3579</v>
      </c>
      <c r="L2598">
        <v>0</v>
      </c>
      <c r="M2598" t="s">
        <v>125</v>
      </c>
      <c r="O2598" t="s">
        <v>125</v>
      </c>
      <c r="P2598" t="s">
        <v>125</v>
      </c>
      <c r="Q2598" t="s">
        <v>125</v>
      </c>
      <c r="R2598" t="s">
        <v>125</v>
      </c>
      <c r="S2598" t="s">
        <v>125</v>
      </c>
      <c r="T2598">
        <v>1223</v>
      </c>
      <c r="V2598" t="s">
        <v>125</v>
      </c>
      <c r="AE2598" t="s">
        <v>125</v>
      </c>
      <c r="AF2598">
        <v>0</v>
      </c>
      <c r="AG2598" t="s">
        <v>125</v>
      </c>
      <c r="AH2598">
        <v>0</v>
      </c>
      <c r="AK2598">
        <v>0</v>
      </c>
    </row>
    <row r="2599" spans="1:37" x14ac:dyDescent="0.25">
      <c r="L2599">
        <v>0</v>
      </c>
    </row>
    <row r="2600" spans="1:37" x14ac:dyDescent="0.25">
      <c r="A2600" t="s">
        <v>70</v>
      </c>
      <c r="B2600">
        <v>10</v>
      </c>
      <c r="C2600">
        <v>3</v>
      </c>
      <c r="D2600">
        <v>2</v>
      </c>
      <c r="G2600">
        <v>103</v>
      </c>
      <c r="M2600" t="s">
        <v>3580</v>
      </c>
      <c r="O2600" t="s">
        <v>3581</v>
      </c>
      <c r="P2600" t="s">
        <v>3582</v>
      </c>
      <c r="Q2600" t="s">
        <v>3583</v>
      </c>
      <c r="R2600" t="s">
        <v>179</v>
      </c>
      <c r="S2600" t="s">
        <v>3584</v>
      </c>
      <c r="V2600" t="s">
        <v>3585</v>
      </c>
      <c r="X2600" t="s">
        <v>3586</v>
      </c>
      <c r="Y2600" t="s">
        <v>3587</v>
      </c>
      <c r="Z2600" t="s">
        <v>3588</v>
      </c>
      <c r="AA2600" t="s">
        <v>3589</v>
      </c>
      <c r="AB2600" t="s">
        <v>63</v>
      </c>
      <c r="AC2600" t="s">
        <v>63</v>
      </c>
      <c r="AE2600" t="s">
        <v>3590</v>
      </c>
      <c r="AF2600">
        <v>0</v>
      </c>
      <c r="AG2600" t="s">
        <v>3591</v>
      </c>
      <c r="AH2600">
        <v>0</v>
      </c>
      <c r="AK2600">
        <v>0</v>
      </c>
    </row>
    <row r="2601" spans="1:37" x14ac:dyDescent="0.25">
      <c r="A2601" t="s">
        <v>79</v>
      </c>
      <c r="B2601">
        <v>10</v>
      </c>
      <c r="C2601">
        <v>3</v>
      </c>
      <c r="D2601">
        <v>2</v>
      </c>
      <c r="E2601">
        <v>1</v>
      </c>
      <c r="G2601">
        <v>1032</v>
      </c>
      <c r="H2601" t="s">
        <v>3581</v>
      </c>
      <c r="I2601" t="s">
        <v>80</v>
      </c>
      <c r="J2601" t="s">
        <v>3592</v>
      </c>
      <c r="L2601">
        <v>0</v>
      </c>
      <c r="M2601" t="s">
        <v>3593</v>
      </c>
      <c r="O2601" t="s">
        <v>3594</v>
      </c>
      <c r="P2601" t="s">
        <v>3595</v>
      </c>
      <c r="Q2601" t="s">
        <v>3596</v>
      </c>
      <c r="R2601" t="s">
        <v>210</v>
      </c>
      <c r="S2601" t="s">
        <v>3597</v>
      </c>
      <c r="T2601">
        <v>780</v>
      </c>
      <c r="U2601">
        <v>17</v>
      </c>
      <c r="V2601" t="s">
        <v>3598</v>
      </c>
      <c r="AE2601" t="s">
        <v>3599</v>
      </c>
      <c r="AF2601">
        <v>0</v>
      </c>
      <c r="AG2601" t="s">
        <v>3600</v>
      </c>
      <c r="AH2601">
        <v>0</v>
      </c>
      <c r="AK2601">
        <v>0</v>
      </c>
    </row>
    <row r="2602" spans="1:37" x14ac:dyDescent="0.25">
      <c r="A2602" t="s">
        <v>79</v>
      </c>
      <c r="B2602">
        <v>10</v>
      </c>
      <c r="C2602">
        <v>3</v>
      </c>
      <c r="D2602">
        <v>2</v>
      </c>
      <c r="E2602">
        <v>2</v>
      </c>
      <c r="G2602">
        <v>1032</v>
      </c>
      <c r="H2602" t="s">
        <v>3581</v>
      </c>
      <c r="I2602" t="s">
        <v>88</v>
      </c>
      <c r="J2602" t="s">
        <v>3601</v>
      </c>
      <c r="L2602">
        <v>0</v>
      </c>
      <c r="M2602" t="s">
        <v>3602</v>
      </c>
      <c r="O2602" t="s">
        <v>3374</v>
      </c>
      <c r="P2602" t="s">
        <v>3375</v>
      </c>
      <c r="Q2602" t="s">
        <v>3603</v>
      </c>
      <c r="R2602" t="s">
        <v>210</v>
      </c>
      <c r="S2602" t="s">
        <v>3377</v>
      </c>
      <c r="T2602">
        <v>780</v>
      </c>
      <c r="U2602">
        <v>1414</v>
      </c>
      <c r="V2602" t="s">
        <v>3604</v>
      </c>
      <c r="AE2602" t="s">
        <v>3605</v>
      </c>
      <c r="AF2602">
        <v>0</v>
      </c>
      <c r="AG2602" t="s">
        <v>3606</v>
      </c>
      <c r="AH2602">
        <v>0</v>
      </c>
      <c r="AK2602">
        <v>0</v>
      </c>
    </row>
    <row r="2603" spans="1:37" x14ac:dyDescent="0.25">
      <c r="A2603" t="s">
        <v>79</v>
      </c>
      <c r="B2603">
        <v>10</v>
      </c>
      <c r="C2603">
        <v>3</v>
      </c>
      <c r="D2603">
        <v>2</v>
      </c>
      <c r="E2603">
        <v>3</v>
      </c>
      <c r="G2603">
        <v>1032</v>
      </c>
      <c r="H2603" t="s">
        <v>3581</v>
      </c>
      <c r="I2603" t="s">
        <v>95</v>
      </c>
      <c r="J2603" t="s">
        <v>3607</v>
      </c>
      <c r="L2603">
        <v>0</v>
      </c>
      <c r="M2603" t="s">
        <v>3608</v>
      </c>
      <c r="O2603" t="s">
        <v>3609</v>
      </c>
      <c r="P2603" t="s">
        <v>3610</v>
      </c>
      <c r="Q2603" t="s">
        <v>3611</v>
      </c>
      <c r="R2603" t="s">
        <v>179</v>
      </c>
      <c r="S2603" t="s">
        <v>3612</v>
      </c>
      <c r="T2603">
        <v>780</v>
      </c>
      <c r="U2603">
        <v>812</v>
      </c>
      <c r="V2603" t="s">
        <v>3613</v>
      </c>
      <c r="AE2603" t="s">
        <v>3614</v>
      </c>
      <c r="AF2603">
        <v>0</v>
      </c>
      <c r="AG2603" t="s">
        <v>3615</v>
      </c>
      <c r="AH2603">
        <v>0</v>
      </c>
      <c r="AK2603">
        <v>0</v>
      </c>
    </row>
    <row r="2604" spans="1:37" x14ac:dyDescent="0.25">
      <c r="A2604" t="s">
        <v>79</v>
      </c>
      <c r="B2604">
        <v>10</v>
      </c>
      <c r="C2604">
        <v>3</v>
      </c>
      <c r="D2604">
        <v>2</v>
      </c>
      <c r="E2604">
        <v>4</v>
      </c>
      <c r="G2604">
        <v>1032</v>
      </c>
      <c r="H2604" t="s">
        <v>3581</v>
      </c>
      <c r="I2604" t="s">
        <v>102</v>
      </c>
      <c r="J2604" t="s">
        <v>3616</v>
      </c>
      <c r="L2604">
        <v>0</v>
      </c>
      <c r="M2604" t="s">
        <v>3617</v>
      </c>
      <c r="O2604" t="s">
        <v>3618</v>
      </c>
      <c r="P2604" t="s">
        <v>3619</v>
      </c>
      <c r="Q2604" t="s">
        <v>3620</v>
      </c>
      <c r="R2604" t="s">
        <v>210</v>
      </c>
      <c r="S2604" t="s">
        <v>3621</v>
      </c>
      <c r="T2604">
        <v>780</v>
      </c>
      <c r="U2604">
        <v>6</v>
      </c>
      <c r="V2604" t="s">
        <v>3622</v>
      </c>
      <c r="AE2604" t="s">
        <v>3623</v>
      </c>
      <c r="AF2604">
        <v>0</v>
      </c>
      <c r="AG2604" t="s">
        <v>3624</v>
      </c>
      <c r="AH2604">
        <v>0</v>
      </c>
      <c r="AK2604">
        <v>0</v>
      </c>
    </row>
    <row r="2605" spans="1:37" x14ac:dyDescent="0.25">
      <c r="A2605" t="s">
        <v>79</v>
      </c>
      <c r="B2605">
        <v>10</v>
      </c>
      <c r="C2605">
        <v>3</v>
      </c>
      <c r="D2605">
        <v>2</v>
      </c>
      <c r="E2605">
        <v>5</v>
      </c>
      <c r="G2605">
        <v>1032</v>
      </c>
      <c r="H2605" t="s">
        <v>3581</v>
      </c>
      <c r="I2605" t="s">
        <v>109</v>
      </c>
      <c r="J2605" t="s">
        <v>3625</v>
      </c>
      <c r="L2605">
        <v>0</v>
      </c>
      <c r="M2605" t="s">
        <v>3626</v>
      </c>
      <c r="O2605" t="s">
        <v>3627</v>
      </c>
      <c r="P2605" t="s">
        <v>3628</v>
      </c>
      <c r="Q2605" t="s">
        <v>3629</v>
      </c>
      <c r="R2605" t="s">
        <v>2505</v>
      </c>
      <c r="S2605" t="s">
        <v>3630</v>
      </c>
      <c r="T2605">
        <v>780</v>
      </c>
      <c r="U2605">
        <v>23</v>
      </c>
      <c r="V2605" t="s">
        <v>3631</v>
      </c>
      <c r="AE2605" t="s">
        <v>3632</v>
      </c>
      <c r="AF2605">
        <v>0</v>
      </c>
      <c r="AG2605" t="s">
        <v>3633</v>
      </c>
      <c r="AH2605">
        <v>0</v>
      </c>
      <c r="AK2605">
        <v>0</v>
      </c>
    </row>
    <row r="2606" spans="1:37" x14ac:dyDescent="0.25">
      <c r="A2606" t="s">
        <v>79</v>
      </c>
      <c r="B2606">
        <v>10</v>
      </c>
      <c r="C2606">
        <v>3</v>
      </c>
      <c r="D2606">
        <v>2</v>
      </c>
      <c r="E2606">
        <v>6</v>
      </c>
      <c r="G2606">
        <v>1032</v>
      </c>
      <c r="H2606" t="s">
        <v>3581</v>
      </c>
      <c r="I2606" t="s">
        <v>116</v>
      </c>
      <c r="J2606" t="s">
        <v>3634</v>
      </c>
      <c r="L2606">
        <v>0</v>
      </c>
      <c r="M2606" t="s">
        <v>3635</v>
      </c>
      <c r="O2606" t="s">
        <v>3383</v>
      </c>
      <c r="P2606" t="s">
        <v>3384</v>
      </c>
      <c r="Q2606" t="s">
        <v>3636</v>
      </c>
      <c r="R2606" t="s">
        <v>229</v>
      </c>
      <c r="S2606" t="s">
        <v>1171</v>
      </c>
      <c r="T2606">
        <v>780</v>
      </c>
      <c r="U2606">
        <v>711</v>
      </c>
      <c r="V2606" t="s">
        <v>3637</v>
      </c>
      <c r="AE2606" t="s">
        <v>3638</v>
      </c>
      <c r="AF2606">
        <v>0</v>
      </c>
      <c r="AG2606" t="s">
        <v>3639</v>
      </c>
      <c r="AH2606">
        <v>0</v>
      </c>
      <c r="AK2606">
        <v>0</v>
      </c>
    </row>
    <row r="2607" spans="1:37" x14ac:dyDescent="0.25">
      <c r="A2607" t="s">
        <v>79</v>
      </c>
      <c r="B2607">
        <v>10</v>
      </c>
      <c r="C2607">
        <v>3</v>
      </c>
      <c r="D2607">
        <v>2</v>
      </c>
      <c r="E2607">
        <v>7</v>
      </c>
      <c r="G2607">
        <v>1032</v>
      </c>
      <c r="H2607" t="s">
        <v>3581</v>
      </c>
      <c r="I2607" t="s">
        <v>123</v>
      </c>
      <c r="J2607" t="s">
        <v>3640</v>
      </c>
      <c r="L2607">
        <v>0</v>
      </c>
      <c r="M2607" t="s">
        <v>3641</v>
      </c>
      <c r="O2607" t="s">
        <v>294</v>
      </c>
      <c r="P2607" t="s">
        <v>295</v>
      </c>
      <c r="Q2607" t="s">
        <v>3642</v>
      </c>
      <c r="R2607" t="s">
        <v>229</v>
      </c>
      <c r="S2607" t="s">
        <v>297</v>
      </c>
      <c r="T2607">
        <v>780</v>
      </c>
      <c r="U2607">
        <v>409</v>
      </c>
      <c r="V2607" t="s">
        <v>3643</v>
      </c>
      <c r="AE2607" t="s">
        <v>3644</v>
      </c>
      <c r="AF2607">
        <v>0</v>
      </c>
      <c r="AG2607" t="s">
        <v>3645</v>
      </c>
      <c r="AH2607">
        <v>0</v>
      </c>
      <c r="AK2607">
        <v>0</v>
      </c>
    </row>
    <row r="2608" spans="1:37" x14ac:dyDescent="0.25">
      <c r="A2608" t="s">
        <v>79</v>
      </c>
      <c r="B2608">
        <v>10</v>
      </c>
      <c r="C2608">
        <v>3</v>
      </c>
      <c r="D2608">
        <v>2</v>
      </c>
      <c r="E2608">
        <v>8</v>
      </c>
      <c r="G2608">
        <v>1032</v>
      </c>
      <c r="H2608" t="s">
        <v>3581</v>
      </c>
      <c r="I2608" t="s">
        <v>126</v>
      </c>
      <c r="J2608" t="s">
        <v>3646</v>
      </c>
      <c r="L2608">
        <v>0</v>
      </c>
      <c r="M2608" t="s">
        <v>125</v>
      </c>
      <c r="O2608" t="s">
        <v>125</v>
      </c>
      <c r="P2608" t="s">
        <v>125</v>
      </c>
      <c r="Q2608" t="s">
        <v>125</v>
      </c>
      <c r="R2608" t="s">
        <v>125</v>
      </c>
      <c r="S2608" t="s">
        <v>125</v>
      </c>
      <c r="T2608">
        <v>780</v>
      </c>
      <c r="V2608" t="s">
        <v>125</v>
      </c>
      <c r="AE2608" t="s">
        <v>125</v>
      </c>
      <c r="AF2608">
        <v>0</v>
      </c>
      <c r="AG2608" t="s">
        <v>125</v>
      </c>
      <c r="AH2608">
        <v>0</v>
      </c>
      <c r="AK2608">
        <v>0</v>
      </c>
    </row>
    <row r="2609" spans="1:37" x14ac:dyDescent="0.25">
      <c r="A2609" t="s">
        <v>79</v>
      </c>
      <c r="B2609">
        <v>10</v>
      </c>
      <c r="C2609">
        <v>3</v>
      </c>
      <c r="D2609">
        <v>2</v>
      </c>
      <c r="E2609">
        <v>9</v>
      </c>
      <c r="G2609">
        <v>1032</v>
      </c>
      <c r="H2609" t="s">
        <v>3581</v>
      </c>
      <c r="I2609" t="s">
        <v>74</v>
      </c>
      <c r="J2609" t="s">
        <v>3647</v>
      </c>
      <c r="L2609">
        <v>0</v>
      </c>
      <c r="M2609" t="s">
        <v>125</v>
      </c>
      <c r="O2609" t="s">
        <v>125</v>
      </c>
      <c r="P2609" t="s">
        <v>125</v>
      </c>
      <c r="Q2609" t="s">
        <v>125</v>
      </c>
      <c r="R2609" t="s">
        <v>125</v>
      </c>
      <c r="S2609" t="s">
        <v>125</v>
      </c>
      <c r="T2609">
        <v>780</v>
      </c>
      <c r="V2609" t="s">
        <v>125</v>
      </c>
      <c r="AE2609" t="s">
        <v>125</v>
      </c>
      <c r="AF2609">
        <v>0</v>
      </c>
      <c r="AG2609" t="s">
        <v>125</v>
      </c>
      <c r="AH2609">
        <v>0</v>
      </c>
      <c r="AK2609">
        <v>0</v>
      </c>
    </row>
    <row r="2610" spans="1:37" x14ac:dyDescent="0.25">
      <c r="A2610" t="s">
        <v>79</v>
      </c>
      <c r="B2610">
        <v>10</v>
      </c>
      <c r="C2610">
        <v>3</v>
      </c>
      <c r="D2610">
        <v>2</v>
      </c>
      <c r="E2610">
        <v>10</v>
      </c>
      <c r="G2610">
        <v>1032</v>
      </c>
      <c r="H2610" t="s">
        <v>3581</v>
      </c>
      <c r="I2610" t="s">
        <v>129</v>
      </c>
      <c r="J2610" t="s">
        <v>3648</v>
      </c>
      <c r="L2610">
        <v>0</v>
      </c>
      <c r="M2610" t="s">
        <v>125</v>
      </c>
      <c r="O2610" t="s">
        <v>125</v>
      </c>
      <c r="P2610" t="s">
        <v>125</v>
      </c>
      <c r="Q2610" t="s">
        <v>125</v>
      </c>
      <c r="R2610" t="s">
        <v>125</v>
      </c>
      <c r="S2610" t="s">
        <v>125</v>
      </c>
      <c r="T2610">
        <v>780</v>
      </c>
      <c r="V2610" t="s">
        <v>125</v>
      </c>
      <c r="AE2610" t="s">
        <v>125</v>
      </c>
      <c r="AF2610">
        <v>0</v>
      </c>
      <c r="AG2610" t="s">
        <v>125</v>
      </c>
      <c r="AH2610">
        <v>0</v>
      </c>
      <c r="AK2610">
        <v>0</v>
      </c>
    </row>
    <row r="2611" spans="1:37" x14ac:dyDescent="0.25">
      <c r="A2611" t="s">
        <v>79</v>
      </c>
      <c r="B2611">
        <v>10</v>
      </c>
      <c r="C2611">
        <v>3</v>
      </c>
      <c r="D2611">
        <v>2</v>
      </c>
      <c r="E2611">
        <v>11</v>
      </c>
      <c r="G2611">
        <v>1032</v>
      </c>
      <c r="H2611" t="s">
        <v>3581</v>
      </c>
      <c r="I2611" t="s">
        <v>131</v>
      </c>
      <c r="J2611" t="s">
        <v>3649</v>
      </c>
      <c r="L2611">
        <v>0</v>
      </c>
      <c r="M2611" t="s">
        <v>125</v>
      </c>
      <c r="O2611" t="s">
        <v>125</v>
      </c>
      <c r="P2611" t="s">
        <v>125</v>
      </c>
      <c r="Q2611" t="s">
        <v>125</v>
      </c>
      <c r="R2611" t="s">
        <v>125</v>
      </c>
      <c r="S2611" t="s">
        <v>125</v>
      </c>
      <c r="T2611">
        <v>780</v>
      </c>
      <c r="V2611" t="s">
        <v>125</v>
      </c>
      <c r="AE2611" t="s">
        <v>125</v>
      </c>
      <c r="AF2611">
        <v>0</v>
      </c>
      <c r="AG2611" t="s">
        <v>125</v>
      </c>
      <c r="AH2611">
        <v>0</v>
      </c>
      <c r="AK2611">
        <v>0</v>
      </c>
    </row>
    <row r="2612" spans="1:37" x14ac:dyDescent="0.25">
      <c r="A2612" t="s">
        <v>79</v>
      </c>
      <c r="B2612">
        <v>10</v>
      </c>
      <c r="C2612">
        <v>3</v>
      </c>
      <c r="D2612">
        <v>2</v>
      </c>
      <c r="E2612">
        <v>12</v>
      </c>
      <c r="G2612">
        <v>1032</v>
      </c>
      <c r="H2612" t="s">
        <v>3581</v>
      </c>
      <c r="I2612" t="s">
        <v>133</v>
      </c>
      <c r="J2612" t="s">
        <v>3650</v>
      </c>
      <c r="L2612">
        <v>0</v>
      </c>
      <c r="M2612" t="s">
        <v>125</v>
      </c>
      <c r="O2612" t="s">
        <v>125</v>
      </c>
      <c r="P2612" t="s">
        <v>125</v>
      </c>
      <c r="Q2612" t="s">
        <v>125</v>
      </c>
      <c r="R2612" t="s">
        <v>125</v>
      </c>
      <c r="S2612" t="s">
        <v>125</v>
      </c>
      <c r="T2612">
        <v>780</v>
      </c>
      <c r="V2612" t="s">
        <v>125</v>
      </c>
      <c r="AE2612" t="s">
        <v>125</v>
      </c>
      <c r="AF2612">
        <v>0</v>
      </c>
      <c r="AG2612" t="s">
        <v>125</v>
      </c>
      <c r="AH2612">
        <v>0</v>
      </c>
      <c r="AK2612">
        <v>0</v>
      </c>
    </row>
    <row r="2613" spans="1:37" x14ac:dyDescent="0.25">
      <c r="A2613" t="s">
        <v>79</v>
      </c>
      <c r="B2613">
        <v>10</v>
      </c>
      <c r="C2613">
        <v>3</v>
      </c>
      <c r="D2613">
        <v>2</v>
      </c>
      <c r="E2613">
        <v>13</v>
      </c>
      <c r="G2613">
        <v>1032</v>
      </c>
      <c r="H2613" t="s">
        <v>3581</v>
      </c>
      <c r="I2613" t="s">
        <v>135</v>
      </c>
      <c r="J2613" t="s">
        <v>3651</v>
      </c>
      <c r="L2613">
        <v>0</v>
      </c>
      <c r="M2613" t="s">
        <v>125</v>
      </c>
      <c r="O2613" t="s">
        <v>125</v>
      </c>
      <c r="P2613" t="s">
        <v>125</v>
      </c>
      <c r="Q2613" t="s">
        <v>125</v>
      </c>
      <c r="R2613" t="s">
        <v>125</v>
      </c>
      <c r="S2613" t="s">
        <v>125</v>
      </c>
      <c r="T2613">
        <v>780</v>
      </c>
      <c r="V2613" t="s">
        <v>125</v>
      </c>
      <c r="AE2613" t="s">
        <v>125</v>
      </c>
      <c r="AF2613">
        <v>0</v>
      </c>
      <c r="AG2613" t="s">
        <v>125</v>
      </c>
      <c r="AH2613">
        <v>0</v>
      </c>
      <c r="AK2613">
        <v>0</v>
      </c>
    </row>
    <row r="2614" spans="1:37" x14ac:dyDescent="0.25">
      <c r="A2614" t="s">
        <v>79</v>
      </c>
      <c r="B2614">
        <v>10</v>
      </c>
      <c r="C2614">
        <v>3</v>
      </c>
      <c r="D2614">
        <v>2</v>
      </c>
      <c r="E2614">
        <v>14</v>
      </c>
      <c r="G2614">
        <v>1032</v>
      </c>
      <c r="H2614" t="s">
        <v>3581</v>
      </c>
      <c r="I2614" t="s">
        <v>137</v>
      </c>
      <c r="J2614" t="s">
        <v>3652</v>
      </c>
      <c r="L2614">
        <v>0</v>
      </c>
      <c r="M2614" t="s">
        <v>125</v>
      </c>
      <c r="O2614" t="s">
        <v>125</v>
      </c>
      <c r="P2614" t="s">
        <v>125</v>
      </c>
      <c r="Q2614" t="s">
        <v>125</v>
      </c>
      <c r="R2614" t="s">
        <v>125</v>
      </c>
      <c r="S2614" t="s">
        <v>125</v>
      </c>
      <c r="T2614">
        <v>780</v>
      </c>
      <c r="V2614" t="s">
        <v>125</v>
      </c>
      <c r="AE2614" t="s">
        <v>125</v>
      </c>
      <c r="AF2614">
        <v>0</v>
      </c>
      <c r="AG2614" t="s">
        <v>125</v>
      </c>
      <c r="AH2614">
        <v>0</v>
      </c>
      <c r="AK2614">
        <v>0</v>
      </c>
    </row>
    <row r="2615" spans="1:37" x14ac:dyDescent="0.25">
      <c r="A2615" t="s">
        <v>79</v>
      </c>
      <c r="B2615">
        <v>10</v>
      </c>
      <c r="C2615">
        <v>3</v>
      </c>
      <c r="D2615">
        <v>2</v>
      </c>
      <c r="E2615">
        <v>15</v>
      </c>
      <c r="G2615">
        <v>1032</v>
      </c>
      <c r="H2615" t="s">
        <v>3581</v>
      </c>
      <c r="I2615" t="s">
        <v>139</v>
      </c>
      <c r="J2615" t="s">
        <v>3653</v>
      </c>
      <c r="L2615">
        <v>0</v>
      </c>
      <c r="M2615" t="s">
        <v>125</v>
      </c>
      <c r="O2615" t="s">
        <v>125</v>
      </c>
      <c r="P2615" t="s">
        <v>125</v>
      </c>
      <c r="Q2615" t="s">
        <v>125</v>
      </c>
      <c r="R2615" t="s">
        <v>125</v>
      </c>
      <c r="S2615" t="s">
        <v>125</v>
      </c>
      <c r="T2615">
        <v>780</v>
      </c>
      <c r="V2615" t="s">
        <v>125</v>
      </c>
      <c r="AE2615" t="s">
        <v>125</v>
      </c>
      <c r="AF2615">
        <v>0</v>
      </c>
      <c r="AG2615" t="s">
        <v>125</v>
      </c>
      <c r="AH2615">
        <v>0</v>
      </c>
      <c r="AK2615">
        <v>0</v>
      </c>
    </row>
    <row r="2616" spans="1:37" x14ac:dyDescent="0.25">
      <c r="L2616">
        <v>0</v>
      </c>
    </row>
    <row r="2617" spans="1:37" x14ac:dyDescent="0.25">
      <c r="A2617" t="s">
        <v>70</v>
      </c>
      <c r="B2617">
        <v>10</v>
      </c>
      <c r="C2617">
        <v>3</v>
      </c>
      <c r="D2617">
        <v>3</v>
      </c>
      <c r="G2617">
        <v>103</v>
      </c>
      <c r="L2617">
        <v>0</v>
      </c>
      <c r="M2617" t="s">
        <v>125</v>
      </c>
      <c r="P2617" t="s">
        <v>125</v>
      </c>
      <c r="R2617" t="s">
        <v>125</v>
      </c>
      <c r="S2617" t="s">
        <v>63</v>
      </c>
      <c r="V2617" t="s">
        <v>125</v>
      </c>
      <c r="X2617" t="s">
        <v>125</v>
      </c>
      <c r="Y2617" t="s">
        <v>125</v>
      </c>
      <c r="Z2617" t="s">
        <v>125</v>
      </c>
      <c r="AA2617" t="s">
        <v>125</v>
      </c>
      <c r="AB2617" t="s">
        <v>125</v>
      </c>
      <c r="AC2617" t="s">
        <v>125</v>
      </c>
      <c r="AE2617" t="s">
        <v>125</v>
      </c>
      <c r="AF2617">
        <v>0</v>
      </c>
      <c r="AG2617" t="s">
        <v>125</v>
      </c>
      <c r="AH2617">
        <v>0</v>
      </c>
      <c r="AK2617">
        <v>0</v>
      </c>
    </row>
    <row r="2618" spans="1:37" x14ac:dyDescent="0.25">
      <c r="A2618" t="s">
        <v>79</v>
      </c>
      <c r="B2618">
        <v>10</v>
      </c>
      <c r="C2618">
        <v>3</v>
      </c>
      <c r="D2618">
        <v>3</v>
      </c>
      <c r="E2618">
        <v>1</v>
      </c>
      <c r="G2618">
        <v>1033</v>
      </c>
      <c r="H2618" t="s">
        <v>63</v>
      </c>
      <c r="I2618" t="s">
        <v>80</v>
      </c>
      <c r="J2618" t="s">
        <v>141</v>
      </c>
      <c r="L2618">
        <v>0</v>
      </c>
      <c r="M2618" t="s">
        <v>125</v>
      </c>
      <c r="O2618" t="s">
        <v>125</v>
      </c>
      <c r="P2618" t="s">
        <v>125</v>
      </c>
      <c r="Q2618" t="s">
        <v>125</v>
      </c>
      <c r="R2618" t="s">
        <v>125</v>
      </c>
      <c r="S2618" t="s">
        <v>125</v>
      </c>
      <c r="T2618">
        <v>0</v>
      </c>
      <c r="V2618" t="s">
        <v>125</v>
      </c>
      <c r="AE2618" t="s">
        <v>125</v>
      </c>
      <c r="AF2618">
        <v>0</v>
      </c>
      <c r="AG2618" t="s">
        <v>125</v>
      </c>
      <c r="AH2618">
        <v>0</v>
      </c>
      <c r="AK2618">
        <v>0</v>
      </c>
    </row>
    <row r="2619" spans="1:37" x14ac:dyDescent="0.25">
      <c r="A2619" t="s">
        <v>79</v>
      </c>
      <c r="B2619">
        <v>10</v>
      </c>
      <c r="C2619">
        <v>3</v>
      </c>
      <c r="D2619">
        <v>3</v>
      </c>
      <c r="E2619">
        <v>2</v>
      </c>
      <c r="G2619">
        <v>1033</v>
      </c>
      <c r="H2619" t="s">
        <v>63</v>
      </c>
      <c r="I2619" t="s">
        <v>88</v>
      </c>
      <c r="J2619" t="s">
        <v>142</v>
      </c>
      <c r="L2619">
        <v>0</v>
      </c>
      <c r="M2619" t="s">
        <v>125</v>
      </c>
      <c r="O2619" t="s">
        <v>125</v>
      </c>
      <c r="P2619" t="s">
        <v>125</v>
      </c>
      <c r="Q2619" t="s">
        <v>125</v>
      </c>
      <c r="R2619" t="s">
        <v>125</v>
      </c>
      <c r="S2619" t="s">
        <v>125</v>
      </c>
      <c r="T2619">
        <v>0</v>
      </c>
      <c r="V2619" t="s">
        <v>125</v>
      </c>
      <c r="AE2619" t="s">
        <v>125</v>
      </c>
      <c r="AF2619">
        <v>0</v>
      </c>
      <c r="AG2619" t="s">
        <v>125</v>
      </c>
      <c r="AH2619">
        <v>0</v>
      </c>
      <c r="AK2619">
        <v>0</v>
      </c>
    </row>
    <row r="2620" spans="1:37" x14ac:dyDescent="0.25">
      <c r="A2620" t="s">
        <v>79</v>
      </c>
      <c r="B2620">
        <v>10</v>
      </c>
      <c r="C2620">
        <v>3</v>
      </c>
      <c r="D2620">
        <v>3</v>
      </c>
      <c r="E2620">
        <v>3</v>
      </c>
      <c r="G2620">
        <v>1033</v>
      </c>
      <c r="H2620" t="s">
        <v>63</v>
      </c>
      <c r="I2620" t="s">
        <v>95</v>
      </c>
      <c r="J2620" t="s">
        <v>143</v>
      </c>
      <c r="L2620">
        <v>0</v>
      </c>
      <c r="M2620" t="s">
        <v>125</v>
      </c>
      <c r="O2620" t="s">
        <v>125</v>
      </c>
      <c r="P2620" t="s">
        <v>125</v>
      </c>
      <c r="Q2620" t="s">
        <v>125</v>
      </c>
      <c r="R2620" t="s">
        <v>125</v>
      </c>
      <c r="S2620" t="s">
        <v>125</v>
      </c>
      <c r="T2620">
        <v>0</v>
      </c>
      <c r="V2620" t="s">
        <v>125</v>
      </c>
      <c r="AE2620" t="s">
        <v>125</v>
      </c>
      <c r="AF2620">
        <v>0</v>
      </c>
      <c r="AG2620" t="s">
        <v>125</v>
      </c>
      <c r="AH2620">
        <v>0</v>
      </c>
      <c r="AK2620">
        <v>0</v>
      </c>
    </row>
    <row r="2621" spans="1:37" x14ac:dyDescent="0.25">
      <c r="A2621" t="s">
        <v>79</v>
      </c>
      <c r="B2621">
        <v>10</v>
      </c>
      <c r="C2621">
        <v>3</v>
      </c>
      <c r="D2621">
        <v>3</v>
      </c>
      <c r="E2621">
        <v>4</v>
      </c>
      <c r="G2621">
        <v>1033</v>
      </c>
      <c r="H2621" t="s">
        <v>63</v>
      </c>
      <c r="I2621" t="s">
        <v>102</v>
      </c>
      <c r="J2621" t="s">
        <v>144</v>
      </c>
      <c r="L2621">
        <v>0</v>
      </c>
      <c r="M2621" t="s">
        <v>125</v>
      </c>
      <c r="O2621" t="s">
        <v>125</v>
      </c>
      <c r="P2621" t="s">
        <v>125</v>
      </c>
      <c r="Q2621" t="s">
        <v>125</v>
      </c>
      <c r="R2621" t="s">
        <v>125</v>
      </c>
      <c r="S2621" t="s">
        <v>125</v>
      </c>
      <c r="T2621">
        <v>0</v>
      </c>
      <c r="V2621" t="s">
        <v>125</v>
      </c>
      <c r="AE2621" t="s">
        <v>125</v>
      </c>
      <c r="AF2621">
        <v>0</v>
      </c>
      <c r="AG2621" t="s">
        <v>125</v>
      </c>
      <c r="AH2621">
        <v>0</v>
      </c>
      <c r="AK2621">
        <v>0</v>
      </c>
    </row>
    <row r="2622" spans="1:37" x14ac:dyDescent="0.25">
      <c r="A2622" t="s">
        <v>79</v>
      </c>
      <c r="B2622">
        <v>10</v>
      </c>
      <c r="C2622">
        <v>3</v>
      </c>
      <c r="D2622">
        <v>3</v>
      </c>
      <c r="E2622">
        <v>5</v>
      </c>
      <c r="G2622">
        <v>1033</v>
      </c>
      <c r="H2622" t="s">
        <v>63</v>
      </c>
      <c r="I2622" t="s">
        <v>109</v>
      </c>
      <c r="J2622" t="s">
        <v>145</v>
      </c>
      <c r="L2622">
        <v>0</v>
      </c>
      <c r="M2622" t="s">
        <v>125</v>
      </c>
      <c r="O2622" t="s">
        <v>125</v>
      </c>
      <c r="P2622" t="s">
        <v>125</v>
      </c>
      <c r="Q2622" t="s">
        <v>125</v>
      </c>
      <c r="R2622" t="s">
        <v>125</v>
      </c>
      <c r="S2622" t="s">
        <v>125</v>
      </c>
      <c r="T2622">
        <v>0</v>
      </c>
      <c r="V2622" t="s">
        <v>125</v>
      </c>
      <c r="AE2622" t="s">
        <v>125</v>
      </c>
      <c r="AF2622">
        <v>0</v>
      </c>
      <c r="AG2622" t="s">
        <v>125</v>
      </c>
      <c r="AH2622">
        <v>0</v>
      </c>
      <c r="AK2622">
        <v>0</v>
      </c>
    </row>
    <row r="2623" spans="1:37" x14ac:dyDescent="0.25">
      <c r="A2623" t="s">
        <v>79</v>
      </c>
      <c r="B2623">
        <v>10</v>
      </c>
      <c r="C2623">
        <v>3</v>
      </c>
      <c r="D2623">
        <v>3</v>
      </c>
      <c r="E2623">
        <v>6</v>
      </c>
      <c r="G2623">
        <v>1033</v>
      </c>
      <c r="H2623" t="s">
        <v>63</v>
      </c>
      <c r="I2623" t="s">
        <v>116</v>
      </c>
      <c r="J2623" t="s">
        <v>146</v>
      </c>
      <c r="L2623">
        <v>0</v>
      </c>
      <c r="M2623" t="s">
        <v>125</v>
      </c>
      <c r="O2623" t="s">
        <v>125</v>
      </c>
      <c r="P2623" t="s">
        <v>125</v>
      </c>
      <c r="Q2623" t="s">
        <v>125</v>
      </c>
      <c r="R2623" t="s">
        <v>125</v>
      </c>
      <c r="S2623" t="s">
        <v>125</v>
      </c>
      <c r="T2623">
        <v>0</v>
      </c>
      <c r="V2623" t="s">
        <v>125</v>
      </c>
      <c r="AE2623" t="s">
        <v>125</v>
      </c>
      <c r="AF2623">
        <v>0</v>
      </c>
      <c r="AG2623" t="s">
        <v>125</v>
      </c>
      <c r="AH2623">
        <v>0</v>
      </c>
      <c r="AK2623">
        <v>0</v>
      </c>
    </row>
    <row r="2624" spans="1:37" x14ac:dyDescent="0.25">
      <c r="A2624" t="s">
        <v>79</v>
      </c>
      <c r="B2624">
        <v>10</v>
      </c>
      <c r="C2624">
        <v>3</v>
      </c>
      <c r="D2624">
        <v>3</v>
      </c>
      <c r="E2624">
        <v>7</v>
      </c>
      <c r="G2624">
        <v>1033</v>
      </c>
      <c r="H2624" t="s">
        <v>63</v>
      </c>
      <c r="I2624" t="s">
        <v>123</v>
      </c>
      <c r="J2624" t="s">
        <v>147</v>
      </c>
      <c r="L2624">
        <v>0</v>
      </c>
      <c r="M2624" t="s">
        <v>125</v>
      </c>
      <c r="O2624" t="s">
        <v>125</v>
      </c>
      <c r="P2624" t="s">
        <v>125</v>
      </c>
      <c r="Q2624" t="s">
        <v>125</v>
      </c>
      <c r="R2624" t="s">
        <v>125</v>
      </c>
      <c r="S2624" t="s">
        <v>125</v>
      </c>
      <c r="T2624">
        <v>0</v>
      </c>
      <c r="V2624" t="s">
        <v>125</v>
      </c>
      <c r="AE2624" t="s">
        <v>125</v>
      </c>
      <c r="AF2624">
        <v>0</v>
      </c>
      <c r="AG2624" t="s">
        <v>125</v>
      </c>
      <c r="AH2624">
        <v>0</v>
      </c>
      <c r="AK2624">
        <v>0</v>
      </c>
    </row>
    <row r="2625" spans="1:37" x14ac:dyDescent="0.25">
      <c r="A2625" t="s">
        <v>79</v>
      </c>
      <c r="B2625">
        <v>10</v>
      </c>
      <c r="C2625">
        <v>3</v>
      </c>
      <c r="D2625">
        <v>3</v>
      </c>
      <c r="E2625">
        <v>8</v>
      </c>
      <c r="G2625">
        <v>1033</v>
      </c>
      <c r="H2625" t="s">
        <v>63</v>
      </c>
      <c r="I2625" t="s">
        <v>126</v>
      </c>
      <c r="J2625" t="s">
        <v>148</v>
      </c>
      <c r="L2625">
        <v>0</v>
      </c>
      <c r="M2625" t="s">
        <v>125</v>
      </c>
      <c r="O2625" t="s">
        <v>125</v>
      </c>
      <c r="P2625" t="s">
        <v>125</v>
      </c>
      <c r="Q2625" t="s">
        <v>125</v>
      </c>
      <c r="R2625" t="s">
        <v>125</v>
      </c>
      <c r="S2625" t="s">
        <v>125</v>
      </c>
      <c r="T2625">
        <v>0</v>
      </c>
      <c r="V2625" t="s">
        <v>125</v>
      </c>
      <c r="AE2625" t="s">
        <v>125</v>
      </c>
      <c r="AF2625">
        <v>0</v>
      </c>
      <c r="AG2625" t="s">
        <v>125</v>
      </c>
      <c r="AH2625">
        <v>0</v>
      </c>
      <c r="AK2625">
        <v>0</v>
      </c>
    </row>
    <row r="2626" spans="1:37" x14ac:dyDescent="0.25">
      <c r="A2626" t="s">
        <v>79</v>
      </c>
      <c r="B2626">
        <v>10</v>
      </c>
      <c r="C2626">
        <v>3</v>
      </c>
      <c r="D2626">
        <v>3</v>
      </c>
      <c r="E2626">
        <v>9</v>
      </c>
      <c r="G2626">
        <v>1033</v>
      </c>
      <c r="H2626" t="s">
        <v>63</v>
      </c>
      <c r="I2626" t="s">
        <v>74</v>
      </c>
      <c r="J2626" t="s">
        <v>149</v>
      </c>
      <c r="L2626">
        <v>0</v>
      </c>
      <c r="M2626" t="s">
        <v>125</v>
      </c>
      <c r="O2626" t="s">
        <v>125</v>
      </c>
      <c r="P2626" t="s">
        <v>125</v>
      </c>
      <c r="Q2626" t="s">
        <v>125</v>
      </c>
      <c r="R2626" t="s">
        <v>125</v>
      </c>
      <c r="S2626" t="s">
        <v>125</v>
      </c>
      <c r="T2626">
        <v>0</v>
      </c>
      <c r="V2626" t="s">
        <v>125</v>
      </c>
      <c r="AE2626" t="s">
        <v>125</v>
      </c>
      <c r="AF2626">
        <v>0</v>
      </c>
      <c r="AG2626" t="s">
        <v>125</v>
      </c>
      <c r="AH2626">
        <v>0</v>
      </c>
      <c r="AK2626">
        <v>0</v>
      </c>
    </row>
    <row r="2627" spans="1:37" x14ac:dyDescent="0.25">
      <c r="A2627" t="s">
        <v>79</v>
      </c>
      <c r="B2627">
        <v>10</v>
      </c>
      <c r="C2627">
        <v>3</v>
      </c>
      <c r="D2627">
        <v>3</v>
      </c>
      <c r="E2627">
        <v>10</v>
      </c>
      <c r="G2627">
        <v>1033</v>
      </c>
      <c r="H2627" t="s">
        <v>63</v>
      </c>
      <c r="I2627" t="s">
        <v>129</v>
      </c>
      <c r="J2627" t="s">
        <v>150</v>
      </c>
      <c r="L2627">
        <v>0</v>
      </c>
      <c r="M2627" t="s">
        <v>125</v>
      </c>
      <c r="O2627" t="s">
        <v>125</v>
      </c>
      <c r="P2627" t="s">
        <v>125</v>
      </c>
      <c r="Q2627" t="s">
        <v>125</v>
      </c>
      <c r="R2627" t="s">
        <v>125</v>
      </c>
      <c r="S2627" t="s">
        <v>125</v>
      </c>
      <c r="T2627">
        <v>0</v>
      </c>
      <c r="V2627" t="s">
        <v>125</v>
      </c>
      <c r="AE2627" t="s">
        <v>125</v>
      </c>
      <c r="AF2627">
        <v>0</v>
      </c>
      <c r="AG2627" t="s">
        <v>125</v>
      </c>
      <c r="AH2627">
        <v>0</v>
      </c>
      <c r="AK2627">
        <v>0</v>
      </c>
    </row>
    <row r="2628" spans="1:37" x14ac:dyDescent="0.25">
      <c r="A2628" t="s">
        <v>79</v>
      </c>
      <c r="B2628">
        <v>10</v>
      </c>
      <c r="C2628">
        <v>3</v>
      </c>
      <c r="D2628">
        <v>3</v>
      </c>
      <c r="E2628">
        <v>11</v>
      </c>
      <c r="G2628">
        <v>1033</v>
      </c>
      <c r="H2628" t="s">
        <v>63</v>
      </c>
      <c r="I2628" t="s">
        <v>131</v>
      </c>
      <c r="J2628" t="s">
        <v>151</v>
      </c>
      <c r="L2628">
        <v>0</v>
      </c>
      <c r="M2628" t="s">
        <v>125</v>
      </c>
      <c r="O2628" t="s">
        <v>125</v>
      </c>
      <c r="P2628" t="s">
        <v>125</v>
      </c>
      <c r="Q2628" t="s">
        <v>125</v>
      </c>
      <c r="R2628" t="s">
        <v>125</v>
      </c>
      <c r="S2628" t="s">
        <v>125</v>
      </c>
      <c r="T2628">
        <v>0</v>
      </c>
      <c r="V2628" t="s">
        <v>125</v>
      </c>
      <c r="AE2628" t="s">
        <v>125</v>
      </c>
      <c r="AF2628">
        <v>0</v>
      </c>
      <c r="AG2628" t="s">
        <v>125</v>
      </c>
      <c r="AH2628">
        <v>0</v>
      </c>
      <c r="AK2628">
        <v>0</v>
      </c>
    </row>
    <row r="2629" spans="1:37" x14ac:dyDescent="0.25">
      <c r="A2629" t="s">
        <v>79</v>
      </c>
      <c r="B2629">
        <v>10</v>
      </c>
      <c r="C2629">
        <v>3</v>
      </c>
      <c r="D2629">
        <v>3</v>
      </c>
      <c r="E2629">
        <v>12</v>
      </c>
      <c r="G2629">
        <v>1033</v>
      </c>
      <c r="H2629" t="s">
        <v>63</v>
      </c>
      <c r="I2629" t="s">
        <v>133</v>
      </c>
      <c r="J2629" t="s">
        <v>152</v>
      </c>
      <c r="L2629">
        <v>0</v>
      </c>
      <c r="M2629" t="s">
        <v>125</v>
      </c>
      <c r="O2629" t="s">
        <v>125</v>
      </c>
      <c r="P2629" t="s">
        <v>125</v>
      </c>
      <c r="Q2629" t="s">
        <v>125</v>
      </c>
      <c r="R2629" t="s">
        <v>125</v>
      </c>
      <c r="S2629" t="s">
        <v>125</v>
      </c>
      <c r="T2629">
        <v>0</v>
      </c>
      <c r="V2629" t="s">
        <v>125</v>
      </c>
      <c r="AE2629" t="s">
        <v>125</v>
      </c>
      <c r="AF2629">
        <v>0</v>
      </c>
      <c r="AG2629" t="s">
        <v>125</v>
      </c>
      <c r="AH2629">
        <v>0</v>
      </c>
      <c r="AK2629">
        <v>0</v>
      </c>
    </row>
    <row r="2630" spans="1:37" x14ac:dyDescent="0.25">
      <c r="A2630" t="s">
        <v>79</v>
      </c>
      <c r="B2630">
        <v>10</v>
      </c>
      <c r="C2630">
        <v>3</v>
      </c>
      <c r="D2630">
        <v>3</v>
      </c>
      <c r="E2630">
        <v>13</v>
      </c>
      <c r="G2630">
        <v>1033</v>
      </c>
      <c r="H2630" t="s">
        <v>63</v>
      </c>
      <c r="I2630" t="s">
        <v>135</v>
      </c>
      <c r="J2630" t="s">
        <v>153</v>
      </c>
      <c r="L2630">
        <v>0</v>
      </c>
      <c r="M2630" t="s">
        <v>125</v>
      </c>
      <c r="O2630" t="s">
        <v>125</v>
      </c>
      <c r="P2630" t="s">
        <v>125</v>
      </c>
      <c r="Q2630" t="s">
        <v>125</v>
      </c>
      <c r="R2630" t="s">
        <v>125</v>
      </c>
      <c r="S2630" t="s">
        <v>125</v>
      </c>
      <c r="T2630">
        <v>0</v>
      </c>
      <c r="V2630" t="s">
        <v>125</v>
      </c>
      <c r="AE2630" t="s">
        <v>125</v>
      </c>
      <c r="AF2630">
        <v>0</v>
      </c>
      <c r="AG2630" t="s">
        <v>125</v>
      </c>
      <c r="AH2630">
        <v>0</v>
      </c>
      <c r="AK2630">
        <v>0</v>
      </c>
    </row>
    <row r="2631" spans="1:37" x14ac:dyDescent="0.25">
      <c r="A2631" t="s">
        <v>79</v>
      </c>
      <c r="B2631">
        <v>10</v>
      </c>
      <c r="C2631">
        <v>3</v>
      </c>
      <c r="D2631">
        <v>3</v>
      </c>
      <c r="E2631">
        <v>14</v>
      </c>
      <c r="G2631">
        <v>1033</v>
      </c>
      <c r="H2631" t="s">
        <v>63</v>
      </c>
      <c r="I2631" t="s">
        <v>137</v>
      </c>
      <c r="J2631" t="s">
        <v>154</v>
      </c>
      <c r="L2631">
        <v>0</v>
      </c>
      <c r="M2631" t="s">
        <v>125</v>
      </c>
      <c r="O2631" t="s">
        <v>125</v>
      </c>
      <c r="P2631" t="s">
        <v>125</v>
      </c>
      <c r="Q2631" t="s">
        <v>125</v>
      </c>
      <c r="R2631" t="s">
        <v>125</v>
      </c>
      <c r="S2631" t="s">
        <v>125</v>
      </c>
      <c r="T2631">
        <v>0</v>
      </c>
      <c r="V2631" t="s">
        <v>125</v>
      </c>
      <c r="AE2631" t="s">
        <v>125</v>
      </c>
      <c r="AF2631">
        <v>0</v>
      </c>
      <c r="AG2631" t="s">
        <v>125</v>
      </c>
      <c r="AH2631">
        <v>0</v>
      </c>
      <c r="AK2631">
        <v>0</v>
      </c>
    </row>
    <row r="2632" spans="1:37" x14ac:dyDescent="0.25">
      <c r="A2632" t="s">
        <v>79</v>
      </c>
      <c r="B2632">
        <v>10</v>
      </c>
      <c r="C2632">
        <v>3</v>
      </c>
      <c r="D2632">
        <v>3</v>
      </c>
      <c r="E2632">
        <v>15</v>
      </c>
      <c r="G2632">
        <v>1033</v>
      </c>
      <c r="H2632" t="s">
        <v>63</v>
      </c>
      <c r="I2632" t="s">
        <v>139</v>
      </c>
      <c r="J2632" t="s">
        <v>155</v>
      </c>
      <c r="L2632">
        <v>0</v>
      </c>
      <c r="M2632" t="s">
        <v>125</v>
      </c>
      <c r="O2632" t="s">
        <v>125</v>
      </c>
      <c r="P2632" t="s">
        <v>125</v>
      </c>
      <c r="Q2632" t="s">
        <v>125</v>
      </c>
      <c r="R2632" t="s">
        <v>125</v>
      </c>
      <c r="S2632" t="s">
        <v>125</v>
      </c>
      <c r="T2632">
        <v>0</v>
      </c>
      <c r="V2632" t="s">
        <v>125</v>
      </c>
      <c r="AE2632" t="s">
        <v>125</v>
      </c>
      <c r="AF2632">
        <v>0</v>
      </c>
      <c r="AG2632" t="s">
        <v>125</v>
      </c>
      <c r="AH2632">
        <v>0</v>
      </c>
      <c r="AK2632">
        <v>0</v>
      </c>
    </row>
    <row r="2633" spans="1:37" x14ac:dyDescent="0.25">
      <c r="L2633">
        <v>0</v>
      </c>
    </row>
    <row r="2634" spans="1:37" x14ac:dyDescent="0.25">
      <c r="A2634" t="s">
        <v>70</v>
      </c>
      <c r="B2634">
        <v>10</v>
      </c>
      <c r="C2634">
        <v>3</v>
      </c>
      <c r="D2634">
        <v>4</v>
      </c>
      <c r="G2634">
        <v>103</v>
      </c>
      <c r="L2634">
        <v>0</v>
      </c>
      <c r="M2634" t="s">
        <v>125</v>
      </c>
      <c r="P2634" t="s">
        <v>125</v>
      </c>
      <c r="R2634" t="s">
        <v>125</v>
      </c>
      <c r="S2634" t="s">
        <v>63</v>
      </c>
      <c r="V2634" t="s">
        <v>125</v>
      </c>
      <c r="X2634" t="s">
        <v>125</v>
      </c>
      <c r="Y2634" t="s">
        <v>125</v>
      </c>
      <c r="Z2634" t="s">
        <v>125</v>
      </c>
      <c r="AA2634" t="s">
        <v>125</v>
      </c>
      <c r="AB2634" t="s">
        <v>125</v>
      </c>
      <c r="AC2634" t="s">
        <v>125</v>
      </c>
      <c r="AE2634" t="s">
        <v>125</v>
      </c>
      <c r="AF2634">
        <v>0</v>
      </c>
      <c r="AG2634" t="s">
        <v>125</v>
      </c>
      <c r="AH2634">
        <v>0</v>
      </c>
      <c r="AK2634">
        <v>0</v>
      </c>
    </row>
    <row r="2635" spans="1:37" x14ac:dyDescent="0.25">
      <c r="A2635" t="s">
        <v>79</v>
      </c>
      <c r="B2635">
        <v>10</v>
      </c>
      <c r="C2635">
        <v>3</v>
      </c>
      <c r="D2635">
        <v>4</v>
      </c>
      <c r="E2635">
        <v>1</v>
      </c>
      <c r="G2635">
        <v>1034</v>
      </c>
      <c r="H2635" t="s">
        <v>63</v>
      </c>
      <c r="I2635" t="s">
        <v>80</v>
      </c>
      <c r="J2635" t="s">
        <v>141</v>
      </c>
      <c r="L2635">
        <v>0</v>
      </c>
      <c r="M2635" t="s">
        <v>125</v>
      </c>
      <c r="O2635" t="s">
        <v>125</v>
      </c>
      <c r="P2635" t="s">
        <v>125</v>
      </c>
      <c r="Q2635" t="s">
        <v>125</v>
      </c>
      <c r="R2635" t="s">
        <v>125</v>
      </c>
      <c r="S2635" t="s">
        <v>125</v>
      </c>
      <c r="T2635">
        <v>0</v>
      </c>
      <c r="V2635" t="s">
        <v>125</v>
      </c>
      <c r="AE2635" t="s">
        <v>125</v>
      </c>
      <c r="AF2635">
        <v>0</v>
      </c>
      <c r="AG2635" t="s">
        <v>125</v>
      </c>
      <c r="AH2635">
        <v>0</v>
      </c>
      <c r="AK2635">
        <v>0</v>
      </c>
    </row>
    <row r="2636" spans="1:37" x14ac:dyDescent="0.25">
      <c r="A2636" t="s">
        <v>79</v>
      </c>
      <c r="B2636">
        <v>10</v>
      </c>
      <c r="C2636">
        <v>3</v>
      </c>
      <c r="D2636">
        <v>4</v>
      </c>
      <c r="E2636">
        <v>2</v>
      </c>
      <c r="G2636">
        <v>1034</v>
      </c>
      <c r="H2636" t="s">
        <v>63</v>
      </c>
      <c r="I2636" t="s">
        <v>88</v>
      </c>
      <c r="J2636" t="s">
        <v>142</v>
      </c>
      <c r="L2636">
        <v>0</v>
      </c>
      <c r="M2636" t="s">
        <v>125</v>
      </c>
      <c r="O2636" t="s">
        <v>125</v>
      </c>
      <c r="P2636" t="s">
        <v>125</v>
      </c>
      <c r="Q2636" t="s">
        <v>125</v>
      </c>
      <c r="R2636" t="s">
        <v>125</v>
      </c>
      <c r="S2636" t="s">
        <v>125</v>
      </c>
      <c r="T2636">
        <v>0</v>
      </c>
      <c r="V2636" t="s">
        <v>125</v>
      </c>
      <c r="AE2636" t="s">
        <v>125</v>
      </c>
      <c r="AF2636">
        <v>0</v>
      </c>
      <c r="AG2636" t="s">
        <v>125</v>
      </c>
      <c r="AH2636">
        <v>0</v>
      </c>
      <c r="AK2636">
        <v>0</v>
      </c>
    </row>
    <row r="2637" spans="1:37" x14ac:dyDescent="0.25">
      <c r="A2637" t="s">
        <v>79</v>
      </c>
      <c r="B2637">
        <v>10</v>
      </c>
      <c r="C2637">
        <v>3</v>
      </c>
      <c r="D2637">
        <v>4</v>
      </c>
      <c r="E2637">
        <v>3</v>
      </c>
      <c r="G2637">
        <v>1034</v>
      </c>
      <c r="H2637" t="s">
        <v>63</v>
      </c>
      <c r="I2637" t="s">
        <v>95</v>
      </c>
      <c r="J2637" t="s">
        <v>143</v>
      </c>
      <c r="L2637">
        <v>0</v>
      </c>
      <c r="M2637" t="s">
        <v>125</v>
      </c>
      <c r="O2637" t="s">
        <v>125</v>
      </c>
      <c r="P2637" t="s">
        <v>125</v>
      </c>
      <c r="Q2637" t="s">
        <v>125</v>
      </c>
      <c r="R2637" t="s">
        <v>125</v>
      </c>
      <c r="S2637" t="s">
        <v>125</v>
      </c>
      <c r="T2637">
        <v>0</v>
      </c>
      <c r="V2637" t="s">
        <v>125</v>
      </c>
      <c r="AE2637" t="s">
        <v>125</v>
      </c>
      <c r="AF2637">
        <v>0</v>
      </c>
      <c r="AG2637" t="s">
        <v>125</v>
      </c>
      <c r="AH2637">
        <v>0</v>
      </c>
      <c r="AK2637">
        <v>0</v>
      </c>
    </row>
    <row r="2638" spans="1:37" x14ac:dyDescent="0.25">
      <c r="A2638" t="s">
        <v>79</v>
      </c>
      <c r="B2638">
        <v>10</v>
      </c>
      <c r="C2638">
        <v>3</v>
      </c>
      <c r="D2638">
        <v>4</v>
      </c>
      <c r="E2638">
        <v>4</v>
      </c>
      <c r="G2638">
        <v>1034</v>
      </c>
      <c r="H2638" t="s">
        <v>63</v>
      </c>
      <c r="I2638" t="s">
        <v>102</v>
      </c>
      <c r="J2638" t="s">
        <v>144</v>
      </c>
      <c r="L2638">
        <v>0</v>
      </c>
      <c r="M2638" t="s">
        <v>125</v>
      </c>
      <c r="O2638" t="s">
        <v>125</v>
      </c>
      <c r="P2638" t="s">
        <v>125</v>
      </c>
      <c r="Q2638" t="s">
        <v>125</v>
      </c>
      <c r="R2638" t="s">
        <v>125</v>
      </c>
      <c r="S2638" t="s">
        <v>125</v>
      </c>
      <c r="T2638">
        <v>0</v>
      </c>
      <c r="V2638" t="s">
        <v>125</v>
      </c>
      <c r="AE2638" t="s">
        <v>125</v>
      </c>
      <c r="AF2638">
        <v>0</v>
      </c>
      <c r="AG2638" t="s">
        <v>125</v>
      </c>
      <c r="AH2638">
        <v>0</v>
      </c>
      <c r="AK2638">
        <v>0</v>
      </c>
    </row>
    <row r="2639" spans="1:37" x14ac:dyDescent="0.25">
      <c r="A2639" t="s">
        <v>79</v>
      </c>
      <c r="B2639">
        <v>10</v>
      </c>
      <c r="C2639">
        <v>3</v>
      </c>
      <c r="D2639">
        <v>4</v>
      </c>
      <c r="E2639">
        <v>5</v>
      </c>
      <c r="G2639">
        <v>1034</v>
      </c>
      <c r="H2639" t="s">
        <v>63</v>
      </c>
      <c r="I2639" t="s">
        <v>109</v>
      </c>
      <c r="J2639" t="s">
        <v>145</v>
      </c>
      <c r="L2639">
        <v>0</v>
      </c>
      <c r="M2639" t="s">
        <v>125</v>
      </c>
      <c r="O2639" t="s">
        <v>125</v>
      </c>
      <c r="P2639" t="s">
        <v>125</v>
      </c>
      <c r="Q2639" t="s">
        <v>125</v>
      </c>
      <c r="R2639" t="s">
        <v>125</v>
      </c>
      <c r="S2639" t="s">
        <v>125</v>
      </c>
      <c r="T2639">
        <v>0</v>
      </c>
      <c r="V2639" t="s">
        <v>125</v>
      </c>
      <c r="AE2639" t="s">
        <v>125</v>
      </c>
      <c r="AF2639">
        <v>0</v>
      </c>
      <c r="AG2639" t="s">
        <v>125</v>
      </c>
      <c r="AH2639">
        <v>0</v>
      </c>
      <c r="AK2639">
        <v>0</v>
      </c>
    </row>
    <row r="2640" spans="1:37" x14ac:dyDescent="0.25">
      <c r="A2640" t="s">
        <v>79</v>
      </c>
      <c r="B2640">
        <v>10</v>
      </c>
      <c r="C2640">
        <v>3</v>
      </c>
      <c r="D2640">
        <v>4</v>
      </c>
      <c r="E2640">
        <v>6</v>
      </c>
      <c r="G2640">
        <v>1034</v>
      </c>
      <c r="H2640" t="s">
        <v>63</v>
      </c>
      <c r="I2640" t="s">
        <v>116</v>
      </c>
      <c r="J2640" t="s">
        <v>146</v>
      </c>
      <c r="L2640">
        <v>0</v>
      </c>
      <c r="M2640" t="s">
        <v>125</v>
      </c>
      <c r="O2640" t="s">
        <v>125</v>
      </c>
      <c r="P2640" t="s">
        <v>125</v>
      </c>
      <c r="Q2640" t="s">
        <v>125</v>
      </c>
      <c r="R2640" t="s">
        <v>125</v>
      </c>
      <c r="S2640" t="s">
        <v>125</v>
      </c>
      <c r="T2640">
        <v>0</v>
      </c>
      <c r="V2640" t="s">
        <v>125</v>
      </c>
      <c r="AE2640" t="s">
        <v>125</v>
      </c>
      <c r="AF2640">
        <v>0</v>
      </c>
      <c r="AG2640" t="s">
        <v>125</v>
      </c>
      <c r="AH2640">
        <v>0</v>
      </c>
      <c r="AK2640">
        <v>0</v>
      </c>
    </row>
    <row r="2641" spans="1:37" x14ac:dyDescent="0.25">
      <c r="A2641" t="s">
        <v>79</v>
      </c>
      <c r="B2641">
        <v>10</v>
      </c>
      <c r="C2641">
        <v>3</v>
      </c>
      <c r="D2641">
        <v>4</v>
      </c>
      <c r="E2641">
        <v>7</v>
      </c>
      <c r="G2641">
        <v>1034</v>
      </c>
      <c r="H2641" t="s">
        <v>63</v>
      </c>
      <c r="I2641" t="s">
        <v>123</v>
      </c>
      <c r="J2641" t="s">
        <v>147</v>
      </c>
      <c r="L2641">
        <v>0</v>
      </c>
      <c r="M2641" t="s">
        <v>125</v>
      </c>
      <c r="O2641" t="s">
        <v>125</v>
      </c>
      <c r="P2641" t="s">
        <v>125</v>
      </c>
      <c r="Q2641" t="s">
        <v>125</v>
      </c>
      <c r="R2641" t="s">
        <v>125</v>
      </c>
      <c r="S2641" t="s">
        <v>125</v>
      </c>
      <c r="T2641">
        <v>0</v>
      </c>
      <c r="V2641" t="s">
        <v>125</v>
      </c>
      <c r="AE2641" t="s">
        <v>125</v>
      </c>
      <c r="AF2641">
        <v>0</v>
      </c>
      <c r="AG2641" t="s">
        <v>125</v>
      </c>
      <c r="AH2641">
        <v>0</v>
      </c>
      <c r="AK2641">
        <v>0</v>
      </c>
    </row>
    <row r="2642" spans="1:37" x14ac:dyDescent="0.25">
      <c r="A2642" t="s">
        <v>79</v>
      </c>
      <c r="B2642">
        <v>10</v>
      </c>
      <c r="C2642">
        <v>3</v>
      </c>
      <c r="D2642">
        <v>4</v>
      </c>
      <c r="E2642">
        <v>8</v>
      </c>
      <c r="G2642">
        <v>1034</v>
      </c>
      <c r="H2642" t="s">
        <v>63</v>
      </c>
      <c r="I2642" t="s">
        <v>126</v>
      </c>
      <c r="J2642" t="s">
        <v>148</v>
      </c>
      <c r="L2642">
        <v>0</v>
      </c>
      <c r="M2642" t="s">
        <v>125</v>
      </c>
      <c r="O2642" t="s">
        <v>125</v>
      </c>
      <c r="P2642" t="s">
        <v>125</v>
      </c>
      <c r="Q2642" t="s">
        <v>125</v>
      </c>
      <c r="R2642" t="s">
        <v>125</v>
      </c>
      <c r="S2642" t="s">
        <v>125</v>
      </c>
      <c r="T2642">
        <v>0</v>
      </c>
      <c r="V2642" t="s">
        <v>125</v>
      </c>
      <c r="AE2642" t="s">
        <v>125</v>
      </c>
      <c r="AF2642">
        <v>0</v>
      </c>
      <c r="AG2642" t="s">
        <v>125</v>
      </c>
      <c r="AH2642">
        <v>0</v>
      </c>
      <c r="AK2642">
        <v>0</v>
      </c>
    </row>
    <row r="2643" spans="1:37" x14ac:dyDescent="0.25">
      <c r="A2643" t="s">
        <v>79</v>
      </c>
      <c r="B2643">
        <v>10</v>
      </c>
      <c r="C2643">
        <v>3</v>
      </c>
      <c r="D2643">
        <v>4</v>
      </c>
      <c r="E2643">
        <v>9</v>
      </c>
      <c r="G2643">
        <v>1034</v>
      </c>
      <c r="H2643" t="s">
        <v>63</v>
      </c>
      <c r="I2643" t="s">
        <v>74</v>
      </c>
      <c r="J2643" t="s">
        <v>149</v>
      </c>
      <c r="L2643">
        <v>0</v>
      </c>
      <c r="M2643" t="s">
        <v>125</v>
      </c>
      <c r="O2643" t="s">
        <v>125</v>
      </c>
      <c r="P2643" t="s">
        <v>125</v>
      </c>
      <c r="Q2643" t="s">
        <v>125</v>
      </c>
      <c r="R2643" t="s">
        <v>125</v>
      </c>
      <c r="S2643" t="s">
        <v>125</v>
      </c>
      <c r="T2643">
        <v>0</v>
      </c>
      <c r="V2643" t="s">
        <v>125</v>
      </c>
      <c r="AE2643" t="s">
        <v>125</v>
      </c>
      <c r="AF2643">
        <v>0</v>
      </c>
      <c r="AG2643" t="s">
        <v>125</v>
      </c>
      <c r="AH2643">
        <v>0</v>
      </c>
      <c r="AK2643">
        <v>0</v>
      </c>
    </row>
    <row r="2644" spans="1:37" x14ac:dyDescent="0.25">
      <c r="A2644" t="s">
        <v>79</v>
      </c>
      <c r="B2644">
        <v>10</v>
      </c>
      <c r="C2644">
        <v>3</v>
      </c>
      <c r="D2644">
        <v>4</v>
      </c>
      <c r="E2644">
        <v>10</v>
      </c>
      <c r="G2644">
        <v>1034</v>
      </c>
      <c r="H2644" t="s">
        <v>63</v>
      </c>
      <c r="I2644" t="s">
        <v>129</v>
      </c>
      <c r="J2644" t="s">
        <v>150</v>
      </c>
      <c r="L2644">
        <v>0</v>
      </c>
      <c r="M2644" t="s">
        <v>125</v>
      </c>
      <c r="O2644" t="s">
        <v>125</v>
      </c>
      <c r="P2644" t="s">
        <v>125</v>
      </c>
      <c r="Q2644" t="s">
        <v>125</v>
      </c>
      <c r="R2644" t="s">
        <v>125</v>
      </c>
      <c r="S2644" t="s">
        <v>125</v>
      </c>
      <c r="T2644">
        <v>0</v>
      </c>
      <c r="V2644" t="s">
        <v>125</v>
      </c>
      <c r="AE2644" t="s">
        <v>125</v>
      </c>
      <c r="AF2644">
        <v>0</v>
      </c>
      <c r="AG2644" t="s">
        <v>125</v>
      </c>
      <c r="AH2644">
        <v>0</v>
      </c>
      <c r="AK2644">
        <v>0</v>
      </c>
    </row>
    <row r="2645" spans="1:37" x14ac:dyDescent="0.25">
      <c r="A2645" t="s">
        <v>79</v>
      </c>
      <c r="B2645">
        <v>10</v>
      </c>
      <c r="C2645">
        <v>3</v>
      </c>
      <c r="D2645">
        <v>4</v>
      </c>
      <c r="E2645">
        <v>11</v>
      </c>
      <c r="G2645">
        <v>1034</v>
      </c>
      <c r="H2645" t="s">
        <v>63</v>
      </c>
      <c r="I2645" t="s">
        <v>131</v>
      </c>
      <c r="J2645" t="s">
        <v>151</v>
      </c>
      <c r="L2645">
        <v>0</v>
      </c>
      <c r="M2645" t="s">
        <v>125</v>
      </c>
      <c r="O2645" t="s">
        <v>125</v>
      </c>
      <c r="P2645" t="s">
        <v>125</v>
      </c>
      <c r="Q2645" t="s">
        <v>125</v>
      </c>
      <c r="R2645" t="s">
        <v>125</v>
      </c>
      <c r="S2645" t="s">
        <v>125</v>
      </c>
      <c r="T2645">
        <v>0</v>
      </c>
      <c r="V2645" t="s">
        <v>125</v>
      </c>
      <c r="AE2645" t="s">
        <v>125</v>
      </c>
      <c r="AF2645">
        <v>0</v>
      </c>
      <c r="AG2645" t="s">
        <v>125</v>
      </c>
      <c r="AH2645">
        <v>0</v>
      </c>
      <c r="AK2645">
        <v>0</v>
      </c>
    </row>
    <row r="2646" spans="1:37" x14ac:dyDescent="0.25">
      <c r="A2646" t="s">
        <v>79</v>
      </c>
      <c r="B2646">
        <v>10</v>
      </c>
      <c r="C2646">
        <v>3</v>
      </c>
      <c r="D2646">
        <v>4</v>
      </c>
      <c r="E2646">
        <v>12</v>
      </c>
      <c r="G2646">
        <v>1034</v>
      </c>
      <c r="H2646" t="s">
        <v>63</v>
      </c>
      <c r="I2646" t="s">
        <v>133</v>
      </c>
      <c r="J2646" t="s">
        <v>152</v>
      </c>
      <c r="L2646">
        <v>0</v>
      </c>
      <c r="M2646" t="s">
        <v>125</v>
      </c>
      <c r="O2646" t="s">
        <v>125</v>
      </c>
      <c r="P2646" t="s">
        <v>125</v>
      </c>
      <c r="Q2646" t="s">
        <v>125</v>
      </c>
      <c r="R2646" t="s">
        <v>125</v>
      </c>
      <c r="S2646" t="s">
        <v>125</v>
      </c>
      <c r="T2646">
        <v>0</v>
      </c>
      <c r="V2646" t="s">
        <v>125</v>
      </c>
      <c r="AE2646" t="s">
        <v>125</v>
      </c>
      <c r="AF2646">
        <v>0</v>
      </c>
      <c r="AG2646" t="s">
        <v>125</v>
      </c>
      <c r="AH2646">
        <v>0</v>
      </c>
      <c r="AK2646">
        <v>0</v>
      </c>
    </row>
    <row r="2647" spans="1:37" x14ac:dyDescent="0.25">
      <c r="A2647" t="s">
        <v>79</v>
      </c>
      <c r="B2647">
        <v>10</v>
      </c>
      <c r="C2647">
        <v>3</v>
      </c>
      <c r="D2647">
        <v>4</v>
      </c>
      <c r="E2647">
        <v>13</v>
      </c>
      <c r="G2647">
        <v>1034</v>
      </c>
      <c r="H2647" t="s">
        <v>63</v>
      </c>
      <c r="I2647" t="s">
        <v>135</v>
      </c>
      <c r="J2647" t="s">
        <v>153</v>
      </c>
      <c r="L2647">
        <v>0</v>
      </c>
      <c r="M2647" t="s">
        <v>125</v>
      </c>
      <c r="O2647" t="s">
        <v>125</v>
      </c>
      <c r="P2647" t="s">
        <v>125</v>
      </c>
      <c r="Q2647" t="s">
        <v>125</v>
      </c>
      <c r="R2647" t="s">
        <v>125</v>
      </c>
      <c r="S2647" t="s">
        <v>125</v>
      </c>
      <c r="T2647">
        <v>0</v>
      </c>
      <c r="V2647" t="s">
        <v>125</v>
      </c>
      <c r="AE2647" t="s">
        <v>125</v>
      </c>
      <c r="AF2647">
        <v>0</v>
      </c>
      <c r="AG2647" t="s">
        <v>125</v>
      </c>
      <c r="AH2647">
        <v>0</v>
      </c>
      <c r="AK2647">
        <v>0</v>
      </c>
    </row>
    <row r="2648" spans="1:37" x14ac:dyDescent="0.25">
      <c r="A2648" t="s">
        <v>79</v>
      </c>
      <c r="B2648">
        <v>10</v>
      </c>
      <c r="C2648">
        <v>3</v>
      </c>
      <c r="D2648">
        <v>4</v>
      </c>
      <c r="E2648">
        <v>14</v>
      </c>
      <c r="G2648">
        <v>1034</v>
      </c>
      <c r="H2648" t="s">
        <v>63</v>
      </c>
      <c r="I2648" t="s">
        <v>137</v>
      </c>
      <c r="J2648" t="s">
        <v>154</v>
      </c>
      <c r="L2648">
        <v>0</v>
      </c>
      <c r="M2648" t="s">
        <v>125</v>
      </c>
      <c r="O2648" t="s">
        <v>125</v>
      </c>
      <c r="P2648" t="s">
        <v>125</v>
      </c>
      <c r="Q2648" t="s">
        <v>125</v>
      </c>
      <c r="R2648" t="s">
        <v>125</v>
      </c>
      <c r="S2648" t="s">
        <v>125</v>
      </c>
      <c r="T2648">
        <v>0</v>
      </c>
      <c r="V2648" t="s">
        <v>125</v>
      </c>
      <c r="AE2648" t="s">
        <v>125</v>
      </c>
      <c r="AF2648">
        <v>0</v>
      </c>
      <c r="AG2648" t="s">
        <v>125</v>
      </c>
      <c r="AH2648">
        <v>0</v>
      </c>
      <c r="AK2648">
        <v>0</v>
      </c>
    </row>
    <row r="2649" spans="1:37" x14ac:dyDescent="0.25">
      <c r="A2649" t="s">
        <v>79</v>
      </c>
      <c r="B2649">
        <v>10</v>
      </c>
      <c r="C2649">
        <v>3</v>
      </c>
      <c r="D2649">
        <v>4</v>
      </c>
      <c r="E2649">
        <v>15</v>
      </c>
      <c r="G2649">
        <v>1034</v>
      </c>
      <c r="H2649" t="s">
        <v>63</v>
      </c>
      <c r="I2649" t="s">
        <v>139</v>
      </c>
      <c r="J2649" t="s">
        <v>155</v>
      </c>
      <c r="L2649">
        <v>0</v>
      </c>
      <c r="M2649" t="s">
        <v>125</v>
      </c>
      <c r="O2649" t="s">
        <v>125</v>
      </c>
      <c r="P2649" t="s">
        <v>125</v>
      </c>
      <c r="Q2649" t="s">
        <v>125</v>
      </c>
      <c r="R2649" t="s">
        <v>125</v>
      </c>
      <c r="S2649" t="s">
        <v>125</v>
      </c>
      <c r="T2649">
        <v>0</v>
      </c>
      <c r="V2649" t="s">
        <v>125</v>
      </c>
      <c r="AE2649" t="s">
        <v>125</v>
      </c>
      <c r="AF2649">
        <v>0</v>
      </c>
      <c r="AG2649" t="s">
        <v>125</v>
      </c>
      <c r="AH2649">
        <v>0</v>
      </c>
      <c r="AK2649">
        <v>0</v>
      </c>
    </row>
    <row r="2650" spans="1:37" x14ac:dyDescent="0.25">
      <c r="L2650">
        <v>0</v>
      </c>
    </row>
    <row r="2651" spans="1:37" x14ac:dyDescent="0.25">
      <c r="A2651" t="s">
        <v>70</v>
      </c>
      <c r="B2651">
        <v>10</v>
      </c>
      <c r="C2651">
        <v>3</v>
      </c>
      <c r="D2651">
        <v>5</v>
      </c>
      <c r="G2651">
        <v>103</v>
      </c>
      <c r="L2651">
        <v>0</v>
      </c>
      <c r="M2651" t="s">
        <v>125</v>
      </c>
      <c r="P2651" t="s">
        <v>125</v>
      </c>
      <c r="R2651" t="s">
        <v>125</v>
      </c>
      <c r="S2651" t="s">
        <v>63</v>
      </c>
      <c r="V2651" t="s">
        <v>125</v>
      </c>
      <c r="X2651" t="s">
        <v>125</v>
      </c>
      <c r="Y2651" t="s">
        <v>125</v>
      </c>
      <c r="Z2651" t="s">
        <v>125</v>
      </c>
      <c r="AA2651" t="s">
        <v>125</v>
      </c>
      <c r="AB2651" t="s">
        <v>125</v>
      </c>
      <c r="AC2651" t="s">
        <v>125</v>
      </c>
      <c r="AE2651" t="s">
        <v>125</v>
      </c>
      <c r="AF2651">
        <v>0</v>
      </c>
      <c r="AG2651" t="s">
        <v>125</v>
      </c>
      <c r="AH2651">
        <v>0</v>
      </c>
      <c r="AK2651">
        <v>0</v>
      </c>
    </row>
    <row r="2652" spans="1:37" x14ac:dyDescent="0.25">
      <c r="A2652" t="s">
        <v>79</v>
      </c>
      <c r="B2652">
        <v>10</v>
      </c>
      <c r="C2652">
        <v>3</v>
      </c>
      <c r="D2652">
        <v>5</v>
      </c>
      <c r="E2652">
        <v>1</v>
      </c>
      <c r="G2652">
        <v>1035</v>
      </c>
      <c r="H2652" t="s">
        <v>63</v>
      </c>
      <c r="I2652" t="s">
        <v>80</v>
      </c>
      <c r="J2652" t="s">
        <v>141</v>
      </c>
      <c r="L2652">
        <v>0</v>
      </c>
      <c r="M2652" t="s">
        <v>125</v>
      </c>
      <c r="O2652" t="s">
        <v>125</v>
      </c>
      <c r="P2652" t="s">
        <v>125</v>
      </c>
      <c r="Q2652" t="s">
        <v>125</v>
      </c>
      <c r="R2652" t="s">
        <v>125</v>
      </c>
      <c r="S2652" t="s">
        <v>125</v>
      </c>
      <c r="T2652">
        <v>0</v>
      </c>
      <c r="V2652" t="s">
        <v>125</v>
      </c>
      <c r="AE2652" t="s">
        <v>125</v>
      </c>
      <c r="AF2652">
        <v>0</v>
      </c>
      <c r="AG2652" t="s">
        <v>125</v>
      </c>
      <c r="AH2652">
        <v>0</v>
      </c>
      <c r="AK2652">
        <v>0</v>
      </c>
    </row>
    <row r="2653" spans="1:37" x14ac:dyDescent="0.25">
      <c r="A2653" t="s">
        <v>79</v>
      </c>
      <c r="B2653">
        <v>10</v>
      </c>
      <c r="C2653">
        <v>3</v>
      </c>
      <c r="D2653">
        <v>5</v>
      </c>
      <c r="E2653">
        <v>2</v>
      </c>
      <c r="G2653">
        <v>1035</v>
      </c>
      <c r="H2653" t="s">
        <v>63</v>
      </c>
      <c r="I2653" t="s">
        <v>88</v>
      </c>
      <c r="J2653" t="s">
        <v>142</v>
      </c>
      <c r="L2653">
        <v>0</v>
      </c>
      <c r="M2653" t="s">
        <v>125</v>
      </c>
      <c r="O2653" t="s">
        <v>125</v>
      </c>
      <c r="P2653" t="s">
        <v>125</v>
      </c>
      <c r="Q2653" t="s">
        <v>125</v>
      </c>
      <c r="R2653" t="s">
        <v>125</v>
      </c>
      <c r="S2653" t="s">
        <v>125</v>
      </c>
      <c r="T2653">
        <v>0</v>
      </c>
      <c r="V2653" t="s">
        <v>125</v>
      </c>
      <c r="AE2653" t="s">
        <v>125</v>
      </c>
      <c r="AF2653">
        <v>0</v>
      </c>
      <c r="AG2653" t="s">
        <v>125</v>
      </c>
      <c r="AH2653">
        <v>0</v>
      </c>
      <c r="AK2653">
        <v>0</v>
      </c>
    </row>
    <row r="2654" spans="1:37" x14ac:dyDescent="0.25">
      <c r="A2654" t="s">
        <v>79</v>
      </c>
      <c r="B2654">
        <v>10</v>
      </c>
      <c r="C2654">
        <v>3</v>
      </c>
      <c r="D2654">
        <v>5</v>
      </c>
      <c r="E2654">
        <v>3</v>
      </c>
      <c r="G2654">
        <v>1035</v>
      </c>
      <c r="H2654" t="s">
        <v>63</v>
      </c>
      <c r="I2654" t="s">
        <v>95</v>
      </c>
      <c r="J2654" t="s">
        <v>143</v>
      </c>
      <c r="L2654">
        <v>0</v>
      </c>
      <c r="M2654" t="s">
        <v>125</v>
      </c>
      <c r="O2654" t="s">
        <v>125</v>
      </c>
      <c r="P2654" t="s">
        <v>125</v>
      </c>
      <c r="Q2654" t="s">
        <v>125</v>
      </c>
      <c r="R2654" t="s">
        <v>125</v>
      </c>
      <c r="S2654" t="s">
        <v>125</v>
      </c>
      <c r="T2654">
        <v>0</v>
      </c>
      <c r="V2654" t="s">
        <v>125</v>
      </c>
      <c r="AE2654" t="s">
        <v>125</v>
      </c>
      <c r="AF2654">
        <v>0</v>
      </c>
      <c r="AG2654" t="s">
        <v>125</v>
      </c>
      <c r="AH2654">
        <v>0</v>
      </c>
      <c r="AK2654">
        <v>0</v>
      </c>
    </row>
    <row r="2655" spans="1:37" x14ac:dyDescent="0.25">
      <c r="A2655" t="s">
        <v>79</v>
      </c>
      <c r="B2655">
        <v>10</v>
      </c>
      <c r="C2655">
        <v>3</v>
      </c>
      <c r="D2655">
        <v>5</v>
      </c>
      <c r="E2655">
        <v>4</v>
      </c>
      <c r="G2655">
        <v>1035</v>
      </c>
      <c r="H2655" t="s">
        <v>63</v>
      </c>
      <c r="I2655" t="s">
        <v>102</v>
      </c>
      <c r="J2655" t="s">
        <v>144</v>
      </c>
      <c r="L2655">
        <v>0</v>
      </c>
      <c r="M2655" t="s">
        <v>125</v>
      </c>
      <c r="O2655" t="s">
        <v>125</v>
      </c>
      <c r="P2655" t="s">
        <v>125</v>
      </c>
      <c r="Q2655" t="s">
        <v>125</v>
      </c>
      <c r="R2655" t="s">
        <v>125</v>
      </c>
      <c r="S2655" t="s">
        <v>125</v>
      </c>
      <c r="T2655">
        <v>0</v>
      </c>
      <c r="V2655" t="s">
        <v>125</v>
      </c>
      <c r="AE2655" t="s">
        <v>125</v>
      </c>
      <c r="AF2655">
        <v>0</v>
      </c>
      <c r="AG2655" t="s">
        <v>125</v>
      </c>
      <c r="AH2655">
        <v>0</v>
      </c>
      <c r="AK2655">
        <v>0</v>
      </c>
    </row>
    <row r="2656" spans="1:37" x14ac:dyDescent="0.25">
      <c r="A2656" t="s">
        <v>79</v>
      </c>
      <c r="B2656">
        <v>10</v>
      </c>
      <c r="C2656">
        <v>3</v>
      </c>
      <c r="D2656">
        <v>5</v>
      </c>
      <c r="E2656">
        <v>5</v>
      </c>
      <c r="G2656">
        <v>1035</v>
      </c>
      <c r="H2656" t="s">
        <v>63</v>
      </c>
      <c r="I2656" t="s">
        <v>109</v>
      </c>
      <c r="J2656" t="s">
        <v>145</v>
      </c>
      <c r="L2656">
        <v>0</v>
      </c>
      <c r="M2656" t="s">
        <v>125</v>
      </c>
      <c r="O2656" t="s">
        <v>125</v>
      </c>
      <c r="P2656" t="s">
        <v>125</v>
      </c>
      <c r="Q2656" t="s">
        <v>125</v>
      </c>
      <c r="R2656" t="s">
        <v>125</v>
      </c>
      <c r="S2656" t="s">
        <v>125</v>
      </c>
      <c r="T2656">
        <v>0</v>
      </c>
      <c r="V2656" t="s">
        <v>125</v>
      </c>
      <c r="AE2656" t="s">
        <v>125</v>
      </c>
      <c r="AF2656">
        <v>0</v>
      </c>
      <c r="AG2656" t="s">
        <v>125</v>
      </c>
      <c r="AH2656">
        <v>0</v>
      </c>
      <c r="AK2656">
        <v>0</v>
      </c>
    </row>
    <row r="2657" spans="1:37" x14ac:dyDescent="0.25">
      <c r="A2657" t="s">
        <v>79</v>
      </c>
      <c r="B2657">
        <v>10</v>
      </c>
      <c r="C2657">
        <v>3</v>
      </c>
      <c r="D2657">
        <v>5</v>
      </c>
      <c r="E2657">
        <v>6</v>
      </c>
      <c r="G2657">
        <v>1035</v>
      </c>
      <c r="H2657" t="s">
        <v>63</v>
      </c>
      <c r="I2657" t="s">
        <v>116</v>
      </c>
      <c r="J2657" t="s">
        <v>146</v>
      </c>
      <c r="L2657">
        <v>0</v>
      </c>
      <c r="M2657" t="s">
        <v>125</v>
      </c>
      <c r="O2657" t="s">
        <v>125</v>
      </c>
      <c r="P2657" t="s">
        <v>125</v>
      </c>
      <c r="Q2657" t="s">
        <v>125</v>
      </c>
      <c r="R2657" t="s">
        <v>125</v>
      </c>
      <c r="S2657" t="s">
        <v>125</v>
      </c>
      <c r="T2657">
        <v>0</v>
      </c>
      <c r="V2657" t="s">
        <v>125</v>
      </c>
      <c r="AE2657" t="s">
        <v>125</v>
      </c>
      <c r="AF2657">
        <v>0</v>
      </c>
      <c r="AG2657" t="s">
        <v>125</v>
      </c>
      <c r="AH2657">
        <v>0</v>
      </c>
      <c r="AK2657">
        <v>0</v>
      </c>
    </row>
    <row r="2658" spans="1:37" x14ac:dyDescent="0.25">
      <c r="A2658" t="s">
        <v>79</v>
      </c>
      <c r="B2658">
        <v>10</v>
      </c>
      <c r="C2658">
        <v>3</v>
      </c>
      <c r="D2658">
        <v>5</v>
      </c>
      <c r="E2658">
        <v>7</v>
      </c>
      <c r="G2658">
        <v>1035</v>
      </c>
      <c r="H2658" t="s">
        <v>63</v>
      </c>
      <c r="I2658" t="s">
        <v>123</v>
      </c>
      <c r="J2658" t="s">
        <v>147</v>
      </c>
      <c r="L2658">
        <v>0</v>
      </c>
      <c r="M2658" t="s">
        <v>125</v>
      </c>
      <c r="O2658" t="s">
        <v>125</v>
      </c>
      <c r="P2658" t="s">
        <v>125</v>
      </c>
      <c r="Q2658" t="s">
        <v>125</v>
      </c>
      <c r="R2658" t="s">
        <v>125</v>
      </c>
      <c r="S2658" t="s">
        <v>125</v>
      </c>
      <c r="T2658">
        <v>0</v>
      </c>
      <c r="V2658" t="s">
        <v>125</v>
      </c>
      <c r="AE2658" t="s">
        <v>125</v>
      </c>
      <c r="AF2658">
        <v>0</v>
      </c>
      <c r="AG2658" t="s">
        <v>125</v>
      </c>
      <c r="AH2658">
        <v>0</v>
      </c>
      <c r="AK2658">
        <v>0</v>
      </c>
    </row>
    <row r="2659" spans="1:37" x14ac:dyDescent="0.25">
      <c r="A2659" t="s">
        <v>79</v>
      </c>
      <c r="B2659">
        <v>10</v>
      </c>
      <c r="C2659">
        <v>3</v>
      </c>
      <c r="D2659">
        <v>5</v>
      </c>
      <c r="E2659">
        <v>8</v>
      </c>
      <c r="G2659">
        <v>1035</v>
      </c>
      <c r="H2659" t="s">
        <v>63</v>
      </c>
      <c r="I2659" t="s">
        <v>126</v>
      </c>
      <c r="J2659" t="s">
        <v>148</v>
      </c>
      <c r="L2659">
        <v>0</v>
      </c>
      <c r="M2659" t="s">
        <v>125</v>
      </c>
      <c r="O2659" t="s">
        <v>125</v>
      </c>
      <c r="P2659" t="s">
        <v>125</v>
      </c>
      <c r="Q2659" t="s">
        <v>125</v>
      </c>
      <c r="R2659" t="s">
        <v>125</v>
      </c>
      <c r="S2659" t="s">
        <v>125</v>
      </c>
      <c r="T2659">
        <v>0</v>
      </c>
      <c r="V2659" t="s">
        <v>125</v>
      </c>
      <c r="AE2659" t="s">
        <v>125</v>
      </c>
      <c r="AF2659">
        <v>0</v>
      </c>
      <c r="AG2659" t="s">
        <v>125</v>
      </c>
      <c r="AH2659">
        <v>0</v>
      </c>
      <c r="AK2659">
        <v>0</v>
      </c>
    </row>
    <row r="2660" spans="1:37" x14ac:dyDescent="0.25">
      <c r="A2660" t="s">
        <v>79</v>
      </c>
      <c r="B2660">
        <v>10</v>
      </c>
      <c r="C2660">
        <v>3</v>
      </c>
      <c r="D2660">
        <v>5</v>
      </c>
      <c r="E2660">
        <v>9</v>
      </c>
      <c r="G2660">
        <v>1035</v>
      </c>
      <c r="H2660" t="s">
        <v>63</v>
      </c>
      <c r="I2660" t="s">
        <v>74</v>
      </c>
      <c r="J2660" t="s">
        <v>149</v>
      </c>
      <c r="L2660">
        <v>0</v>
      </c>
      <c r="M2660" t="s">
        <v>125</v>
      </c>
      <c r="O2660" t="s">
        <v>125</v>
      </c>
      <c r="P2660" t="s">
        <v>125</v>
      </c>
      <c r="Q2660" t="s">
        <v>125</v>
      </c>
      <c r="R2660" t="s">
        <v>125</v>
      </c>
      <c r="S2660" t="s">
        <v>125</v>
      </c>
      <c r="T2660">
        <v>0</v>
      </c>
      <c r="V2660" t="s">
        <v>125</v>
      </c>
      <c r="AE2660" t="s">
        <v>125</v>
      </c>
      <c r="AF2660">
        <v>0</v>
      </c>
      <c r="AG2660" t="s">
        <v>125</v>
      </c>
      <c r="AH2660">
        <v>0</v>
      </c>
      <c r="AK2660">
        <v>0</v>
      </c>
    </row>
    <row r="2661" spans="1:37" x14ac:dyDescent="0.25">
      <c r="A2661" t="s">
        <v>79</v>
      </c>
      <c r="B2661">
        <v>10</v>
      </c>
      <c r="C2661">
        <v>3</v>
      </c>
      <c r="D2661">
        <v>5</v>
      </c>
      <c r="E2661">
        <v>10</v>
      </c>
      <c r="G2661">
        <v>1035</v>
      </c>
      <c r="H2661" t="s">
        <v>63</v>
      </c>
      <c r="I2661" t="s">
        <v>129</v>
      </c>
      <c r="J2661" t="s">
        <v>150</v>
      </c>
      <c r="L2661">
        <v>0</v>
      </c>
      <c r="M2661" t="s">
        <v>125</v>
      </c>
      <c r="O2661" t="s">
        <v>125</v>
      </c>
      <c r="P2661" t="s">
        <v>125</v>
      </c>
      <c r="Q2661" t="s">
        <v>125</v>
      </c>
      <c r="R2661" t="s">
        <v>125</v>
      </c>
      <c r="S2661" t="s">
        <v>125</v>
      </c>
      <c r="T2661">
        <v>0</v>
      </c>
      <c r="V2661" t="s">
        <v>125</v>
      </c>
      <c r="AE2661" t="s">
        <v>125</v>
      </c>
      <c r="AF2661">
        <v>0</v>
      </c>
      <c r="AG2661" t="s">
        <v>125</v>
      </c>
      <c r="AH2661">
        <v>0</v>
      </c>
      <c r="AK2661">
        <v>0</v>
      </c>
    </row>
    <row r="2662" spans="1:37" x14ac:dyDescent="0.25">
      <c r="A2662" t="s">
        <v>79</v>
      </c>
      <c r="B2662">
        <v>10</v>
      </c>
      <c r="C2662">
        <v>3</v>
      </c>
      <c r="D2662">
        <v>5</v>
      </c>
      <c r="E2662">
        <v>11</v>
      </c>
      <c r="G2662">
        <v>1035</v>
      </c>
      <c r="H2662" t="s">
        <v>63</v>
      </c>
      <c r="I2662" t="s">
        <v>131</v>
      </c>
      <c r="J2662" t="s">
        <v>151</v>
      </c>
      <c r="L2662">
        <v>0</v>
      </c>
      <c r="M2662" t="s">
        <v>125</v>
      </c>
      <c r="O2662" t="s">
        <v>125</v>
      </c>
      <c r="P2662" t="s">
        <v>125</v>
      </c>
      <c r="Q2662" t="s">
        <v>125</v>
      </c>
      <c r="R2662" t="s">
        <v>125</v>
      </c>
      <c r="S2662" t="s">
        <v>125</v>
      </c>
      <c r="T2662">
        <v>0</v>
      </c>
      <c r="V2662" t="s">
        <v>125</v>
      </c>
      <c r="AE2662" t="s">
        <v>125</v>
      </c>
      <c r="AF2662">
        <v>0</v>
      </c>
      <c r="AG2662" t="s">
        <v>125</v>
      </c>
      <c r="AH2662">
        <v>0</v>
      </c>
      <c r="AK2662">
        <v>0</v>
      </c>
    </row>
    <row r="2663" spans="1:37" x14ac:dyDescent="0.25">
      <c r="A2663" t="s">
        <v>79</v>
      </c>
      <c r="B2663">
        <v>10</v>
      </c>
      <c r="C2663">
        <v>3</v>
      </c>
      <c r="D2663">
        <v>5</v>
      </c>
      <c r="E2663">
        <v>12</v>
      </c>
      <c r="G2663">
        <v>1035</v>
      </c>
      <c r="H2663" t="s">
        <v>63</v>
      </c>
      <c r="I2663" t="s">
        <v>133</v>
      </c>
      <c r="J2663" t="s">
        <v>152</v>
      </c>
      <c r="L2663">
        <v>0</v>
      </c>
      <c r="M2663" t="s">
        <v>125</v>
      </c>
      <c r="O2663" t="s">
        <v>125</v>
      </c>
      <c r="P2663" t="s">
        <v>125</v>
      </c>
      <c r="Q2663" t="s">
        <v>125</v>
      </c>
      <c r="R2663" t="s">
        <v>125</v>
      </c>
      <c r="S2663" t="s">
        <v>125</v>
      </c>
      <c r="T2663">
        <v>0</v>
      </c>
      <c r="V2663" t="s">
        <v>125</v>
      </c>
      <c r="AE2663" t="s">
        <v>125</v>
      </c>
      <c r="AF2663">
        <v>0</v>
      </c>
      <c r="AG2663" t="s">
        <v>125</v>
      </c>
      <c r="AH2663">
        <v>0</v>
      </c>
      <c r="AK2663">
        <v>0</v>
      </c>
    </row>
    <row r="2664" spans="1:37" x14ac:dyDescent="0.25">
      <c r="A2664" t="s">
        <v>79</v>
      </c>
      <c r="B2664">
        <v>10</v>
      </c>
      <c r="C2664">
        <v>3</v>
      </c>
      <c r="D2664">
        <v>5</v>
      </c>
      <c r="E2664">
        <v>13</v>
      </c>
      <c r="G2664">
        <v>1035</v>
      </c>
      <c r="H2664" t="s">
        <v>63</v>
      </c>
      <c r="I2664" t="s">
        <v>135</v>
      </c>
      <c r="J2664" t="s">
        <v>153</v>
      </c>
      <c r="L2664">
        <v>0</v>
      </c>
      <c r="M2664" t="s">
        <v>125</v>
      </c>
      <c r="O2664" t="s">
        <v>125</v>
      </c>
      <c r="P2664" t="s">
        <v>125</v>
      </c>
      <c r="Q2664" t="s">
        <v>125</v>
      </c>
      <c r="R2664" t="s">
        <v>125</v>
      </c>
      <c r="S2664" t="s">
        <v>125</v>
      </c>
      <c r="T2664">
        <v>0</v>
      </c>
      <c r="V2664" t="s">
        <v>125</v>
      </c>
      <c r="AE2664" t="s">
        <v>125</v>
      </c>
      <c r="AF2664">
        <v>0</v>
      </c>
      <c r="AG2664" t="s">
        <v>125</v>
      </c>
      <c r="AH2664">
        <v>0</v>
      </c>
      <c r="AK2664">
        <v>0</v>
      </c>
    </row>
    <row r="2665" spans="1:37" x14ac:dyDescent="0.25">
      <c r="A2665" t="s">
        <v>79</v>
      </c>
      <c r="B2665">
        <v>10</v>
      </c>
      <c r="C2665">
        <v>3</v>
      </c>
      <c r="D2665">
        <v>5</v>
      </c>
      <c r="E2665">
        <v>14</v>
      </c>
      <c r="G2665">
        <v>1035</v>
      </c>
      <c r="H2665" t="s">
        <v>63</v>
      </c>
      <c r="I2665" t="s">
        <v>137</v>
      </c>
      <c r="J2665" t="s">
        <v>154</v>
      </c>
      <c r="L2665">
        <v>0</v>
      </c>
      <c r="M2665" t="s">
        <v>125</v>
      </c>
      <c r="O2665" t="s">
        <v>125</v>
      </c>
      <c r="P2665" t="s">
        <v>125</v>
      </c>
      <c r="Q2665" t="s">
        <v>125</v>
      </c>
      <c r="R2665" t="s">
        <v>125</v>
      </c>
      <c r="S2665" t="s">
        <v>125</v>
      </c>
      <c r="T2665">
        <v>0</v>
      </c>
      <c r="V2665" t="s">
        <v>125</v>
      </c>
      <c r="AE2665" t="s">
        <v>125</v>
      </c>
      <c r="AF2665">
        <v>0</v>
      </c>
      <c r="AG2665" t="s">
        <v>125</v>
      </c>
      <c r="AH2665">
        <v>0</v>
      </c>
      <c r="AK2665">
        <v>0</v>
      </c>
    </row>
    <row r="2666" spans="1:37" x14ac:dyDescent="0.25">
      <c r="A2666" t="s">
        <v>79</v>
      </c>
      <c r="B2666">
        <v>10</v>
      </c>
      <c r="C2666">
        <v>3</v>
      </c>
      <c r="D2666">
        <v>5</v>
      </c>
      <c r="E2666">
        <v>15</v>
      </c>
      <c r="G2666">
        <v>1035</v>
      </c>
      <c r="H2666" t="s">
        <v>63</v>
      </c>
      <c r="I2666" t="s">
        <v>139</v>
      </c>
      <c r="J2666" t="s">
        <v>155</v>
      </c>
      <c r="L2666">
        <v>0</v>
      </c>
      <c r="M2666" t="s">
        <v>125</v>
      </c>
      <c r="O2666" t="s">
        <v>125</v>
      </c>
      <c r="P2666" t="s">
        <v>125</v>
      </c>
      <c r="Q2666" t="s">
        <v>125</v>
      </c>
      <c r="R2666" t="s">
        <v>125</v>
      </c>
      <c r="S2666" t="s">
        <v>125</v>
      </c>
      <c r="T2666">
        <v>0</v>
      </c>
      <c r="V2666" t="s">
        <v>125</v>
      </c>
      <c r="AE2666" t="s">
        <v>125</v>
      </c>
      <c r="AF2666">
        <v>0</v>
      </c>
      <c r="AG2666" t="s">
        <v>125</v>
      </c>
      <c r="AH2666">
        <v>0</v>
      </c>
      <c r="AK2666">
        <v>0</v>
      </c>
    </row>
    <row r="2667" spans="1:37" x14ac:dyDescent="0.25">
      <c r="L2667">
        <v>0</v>
      </c>
    </row>
    <row r="2668" spans="1:37" x14ac:dyDescent="0.25">
      <c r="L2668">
        <v>0</v>
      </c>
    </row>
    <row r="2669" spans="1:37" x14ac:dyDescent="0.25">
      <c r="A2669" t="s">
        <v>56</v>
      </c>
      <c r="F2669">
        <v>11</v>
      </c>
      <c r="L2669">
        <v>11</v>
      </c>
      <c r="M2669" t="s">
        <v>129</v>
      </c>
      <c r="N2669" t="s">
        <v>3654</v>
      </c>
      <c r="P2669" t="s">
        <v>3655</v>
      </c>
      <c r="V2669" t="s">
        <v>3656</v>
      </c>
      <c r="Y2669" t="s">
        <v>3657</v>
      </c>
      <c r="AA2669" t="s">
        <v>3658</v>
      </c>
      <c r="AC2669" t="s">
        <v>3659</v>
      </c>
      <c r="AE2669" t="s">
        <v>3660</v>
      </c>
      <c r="AF2669">
        <v>0</v>
      </c>
      <c r="AG2669" t="s">
        <v>3661</v>
      </c>
      <c r="AH2669">
        <v>0</v>
      </c>
      <c r="AK2669">
        <v>0</v>
      </c>
    </row>
    <row r="2670" spans="1:37" x14ac:dyDescent="0.25">
      <c r="L2670">
        <v>0</v>
      </c>
    </row>
    <row r="2671" spans="1:37" x14ac:dyDescent="0.25">
      <c r="A2671" t="s">
        <v>66</v>
      </c>
      <c r="B2671">
        <v>11</v>
      </c>
      <c r="C2671">
        <v>1</v>
      </c>
      <c r="G2671">
        <v>11</v>
      </c>
      <c r="H2671" t="s">
        <v>3654</v>
      </c>
      <c r="I2671" t="s">
        <v>3662</v>
      </c>
      <c r="M2671" t="s">
        <v>3663</v>
      </c>
      <c r="N2671" t="s">
        <v>3662</v>
      </c>
      <c r="P2671" t="s">
        <v>3664</v>
      </c>
      <c r="V2671" t="s">
        <v>3665</v>
      </c>
      <c r="Y2671" t="s">
        <v>3666</v>
      </c>
      <c r="AA2671" t="s">
        <v>3667</v>
      </c>
      <c r="AC2671" t="s">
        <v>63</v>
      </c>
      <c r="AE2671" t="s">
        <v>3668</v>
      </c>
      <c r="AF2671">
        <v>0</v>
      </c>
      <c r="AG2671" t="s">
        <v>3669</v>
      </c>
      <c r="AH2671">
        <v>0</v>
      </c>
      <c r="AK2671">
        <v>0</v>
      </c>
    </row>
    <row r="2672" spans="1:37" x14ac:dyDescent="0.25">
      <c r="L2672">
        <v>0</v>
      </c>
    </row>
    <row r="2673" spans="1:37" x14ac:dyDescent="0.25">
      <c r="A2673" t="s">
        <v>70</v>
      </c>
      <c r="B2673">
        <v>11</v>
      </c>
      <c r="C2673">
        <v>1</v>
      </c>
      <c r="D2673">
        <v>1</v>
      </c>
      <c r="G2673">
        <v>111</v>
      </c>
      <c r="M2673" t="s">
        <v>3670</v>
      </c>
      <c r="O2673" t="s">
        <v>3671</v>
      </c>
      <c r="P2673" t="s">
        <v>3672</v>
      </c>
      <c r="Q2673" t="s">
        <v>3673</v>
      </c>
      <c r="R2673" t="s">
        <v>179</v>
      </c>
      <c r="S2673" t="s">
        <v>3674</v>
      </c>
      <c r="V2673" t="s">
        <v>3665</v>
      </c>
      <c r="X2673" t="s">
        <v>3675</v>
      </c>
      <c r="Y2673" t="s">
        <v>3666</v>
      </c>
      <c r="Z2673" t="s">
        <v>3676</v>
      </c>
      <c r="AA2673" t="s">
        <v>3667</v>
      </c>
      <c r="AB2673" t="s">
        <v>63</v>
      </c>
      <c r="AC2673" t="s">
        <v>63</v>
      </c>
      <c r="AE2673" t="s">
        <v>3668</v>
      </c>
      <c r="AF2673">
        <v>0</v>
      </c>
      <c r="AG2673" t="s">
        <v>3669</v>
      </c>
      <c r="AH2673">
        <v>0</v>
      </c>
      <c r="AK2673">
        <v>0</v>
      </c>
    </row>
    <row r="2674" spans="1:37" x14ac:dyDescent="0.25">
      <c r="A2674" t="s">
        <v>79</v>
      </c>
      <c r="B2674">
        <v>11</v>
      </c>
      <c r="C2674">
        <v>1</v>
      </c>
      <c r="D2674">
        <v>1</v>
      </c>
      <c r="E2674">
        <v>1</v>
      </c>
      <c r="G2674">
        <v>1111</v>
      </c>
      <c r="H2674" t="s">
        <v>3671</v>
      </c>
      <c r="I2674" t="s">
        <v>80</v>
      </c>
      <c r="J2674" t="s">
        <v>3677</v>
      </c>
      <c r="L2674">
        <v>0</v>
      </c>
      <c r="M2674" t="s">
        <v>3678</v>
      </c>
      <c r="O2674" t="s">
        <v>3679</v>
      </c>
      <c r="P2674" t="s">
        <v>3680</v>
      </c>
      <c r="Q2674" t="s">
        <v>3681</v>
      </c>
      <c r="R2674" t="s">
        <v>210</v>
      </c>
      <c r="S2674" t="s">
        <v>3682</v>
      </c>
      <c r="T2674">
        <v>462</v>
      </c>
      <c r="U2674">
        <v>1478</v>
      </c>
      <c r="V2674" t="s">
        <v>3683</v>
      </c>
      <c r="AE2674" t="s">
        <v>3684</v>
      </c>
      <c r="AF2674">
        <v>0</v>
      </c>
      <c r="AG2674" t="s">
        <v>3685</v>
      </c>
      <c r="AH2674">
        <v>0</v>
      </c>
      <c r="AK2674">
        <v>0</v>
      </c>
    </row>
    <row r="2675" spans="1:37" x14ac:dyDescent="0.25">
      <c r="A2675" t="s">
        <v>79</v>
      </c>
      <c r="B2675">
        <v>11</v>
      </c>
      <c r="C2675">
        <v>1</v>
      </c>
      <c r="D2675">
        <v>1</v>
      </c>
      <c r="E2675">
        <v>2</v>
      </c>
      <c r="G2675">
        <v>1111</v>
      </c>
      <c r="H2675" t="s">
        <v>3671</v>
      </c>
      <c r="I2675" t="s">
        <v>88</v>
      </c>
      <c r="J2675" t="s">
        <v>3686</v>
      </c>
      <c r="L2675">
        <v>0</v>
      </c>
      <c r="M2675" t="s">
        <v>3687</v>
      </c>
      <c r="O2675" t="s">
        <v>3688</v>
      </c>
      <c r="P2675" t="s">
        <v>3689</v>
      </c>
      <c r="Q2675" t="s">
        <v>3690</v>
      </c>
      <c r="R2675" t="s">
        <v>229</v>
      </c>
      <c r="S2675" t="s">
        <v>3691</v>
      </c>
      <c r="T2675">
        <v>462</v>
      </c>
      <c r="U2675">
        <v>50</v>
      </c>
      <c r="V2675" t="s">
        <v>3692</v>
      </c>
      <c r="AE2675" t="s">
        <v>3693</v>
      </c>
      <c r="AF2675">
        <v>0</v>
      </c>
      <c r="AG2675" t="s">
        <v>3694</v>
      </c>
      <c r="AH2675">
        <v>0</v>
      </c>
      <c r="AK2675">
        <v>0</v>
      </c>
    </row>
    <row r="2676" spans="1:37" x14ac:dyDescent="0.25">
      <c r="A2676" t="s">
        <v>79</v>
      </c>
      <c r="B2676">
        <v>11</v>
      </c>
      <c r="C2676">
        <v>1</v>
      </c>
      <c r="D2676">
        <v>1</v>
      </c>
      <c r="E2676">
        <v>3</v>
      </c>
      <c r="G2676">
        <v>1111</v>
      </c>
      <c r="H2676" t="s">
        <v>3671</v>
      </c>
      <c r="I2676" t="s">
        <v>95</v>
      </c>
      <c r="J2676" t="s">
        <v>3695</v>
      </c>
      <c r="L2676">
        <v>0</v>
      </c>
      <c r="M2676" t="s">
        <v>3696</v>
      </c>
      <c r="O2676" t="s">
        <v>3697</v>
      </c>
      <c r="P2676" t="s">
        <v>3698</v>
      </c>
      <c r="Q2676" t="s">
        <v>3699</v>
      </c>
      <c r="R2676" t="s">
        <v>229</v>
      </c>
      <c r="S2676" t="s">
        <v>1322</v>
      </c>
      <c r="T2676">
        <v>462</v>
      </c>
      <c r="U2676">
        <v>246</v>
      </c>
      <c r="V2676" t="s">
        <v>2750</v>
      </c>
      <c r="AE2676" t="s">
        <v>3700</v>
      </c>
      <c r="AF2676">
        <v>0</v>
      </c>
      <c r="AG2676" t="s">
        <v>3701</v>
      </c>
      <c r="AH2676">
        <v>0</v>
      </c>
      <c r="AK2676">
        <v>0</v>
      </c>
    </row>
    <row r="2677" spans="1:37" x14ac:dyDescent="0.25">
      <c r="A2677" t="s">
        <v>79</v>
      </c>
      <c r="B2677">
        <v>11</v>
      </c>
      <c r="C2677">
        <v>1</v>
      </c>
      <c r="D2677">
        <v>1</v>
      </c>
      <c r="E2677">
        <v>4</v>
      </c>
      <c r="G2677">
        <v>1111</v>
      </c>
      <c r="H2677" t="s">
        <v>3671</v>
      </c>
      <c r="I2677" t="s">
        <v>102</v>
      </c>
      <c r="J2677" t="s">
        <v>3702</v>
      </c>
      <c r="L2677">
        <v>0</v>
      </c>
      <c r="M2677" t="s">
        <v>125</v>
      </c>
      <c r="O2677" t="s">
        <v>125</v>
      </c>
      <c r="P2677" t="s">
        <v>125</v>
      </c>
      <c r="Q2677" t="s">
        <v>125</v>
      </c>
      <c r="R2677" t="s">
        <v>125</v>
      </c>
      <c r="S2677" t="s">
        <v>125</v>
      </c>
      <c r="T2677">
        <v>462</v>
      </c>
      <c r="V2677" t="s">
        <v>125</v>
      </c>
      <c r="AE2677" t="s">
        <v>125</v>
      </c>
      <c r="AF2677">
        <v>0</v>
      </c>
      <c r="AG2677" t="s">
        <v>125</v>
      </c>
      <c r="AH2677">
        <v>0</v>
      </c>
      <c r="AK2677">
        <v>0</v>
      </c>
    </row>
    <row r="2678" spans="1:37" x14ac:dyDescent="0.25">
      <c r="A2678" t="s">
        <v>79</v>
      </c>
      <c r="B2678">
        <v>11</v>
      </c>
      <c r="C2678">
        <v>1</v>
      </c>
      <c r="D2678">
        <v>1</v>
      </c>
      <c r="E2678">
        <v>5</v>
      </c>
      <c r="G2678">
        <v>1111</v>
      </c>
      <c r="H2678" t="s">
        <v>3671</v>
      </c>
      <c r="I2678" t="s">
        <v>109</v>
      </c>
      <c r="J2678" t="s">
        <v>3703</v>
      </c>
      <c r="L2678">
        <v>0</v>
      </c>
      <c r="M2678" t="s">
        <v>125</v>
      </c>
      <c r="O2678" t="s">
        <v>125</v>
      </c>
      <c r="P2678" t="s">
        <v>125</v>
      </c>
      <c r="Q2678" t="s">
        <v>125</v>
      </c>
      <c r="R2678" t="s">
        <v>125</v>
      </c>
      <c r="S2678" t="s">
        <v>125</v>
      </c>
      <c r="T2678">
        <v>462</v>
      </c>
      <c r="V2678" t="s">
        <v>125</v>
      </c>
      <c r="AE2678" t="s">
        <v>125</v>
      </c>
      <c r="AF2678">
        <v>0</v>
      </c>
      <c r="AG2678" t="s">
        <v>125</v>
      </c>
      <c r="AH2678">
        <v>0</v>
      </c>
      <c r="AK2678">
        <v>0</v>
      </c>
    </row>
    <row r="2679" spans="1:37" x14ac:dyDescent="0.25">
      <c r="A2679" t="s">
        <v>79</v>
      </c>
      <c r="B2679">
        <v>11</v>
      </c>
      <c r="C2679">
        <v>1</v>
      </c>
      <c r="D2679">
        <v>1</v>
      </c>
      <c r="E2679">
        <v>6</v>
      </c>
      <c r="G2679">
        <v>1111</v>
      </c>
      <c r="H2679" t="s">
        <v>3671</v>
      </c>
      <c r="I2679" t="s">
        <v>116</v>
      </c>
      <c r="J2679" t="s">
        <v>3704</v>
      </c>
      <c r="L2679">
        <v>0</v>
      </c>
      <c r="M2679" t="s">
        <v>125</v>
      </c>
      <c r="O2679" t="s">
        <v>125</v>
      </c>
      <c r="P2679" t="s">
        <v>125</v>
      </c>
      <c r="Q2679" t="s">
        <v>125</v>
      </c>
      <c r="R2679" t="s">
        <v>125</v>
      </c>
      <c r="S2679" t="s">
        <v>125</v>
      </c>
      <c r="T2679">
        <v>462</v>
      </c>
      <c r="V2679" t="s">
        <v>125</v>
      </c>
      <c r="AE2679" t="s">
        <v>125</v>
      </c>
      <c r="AF2679">
        <v>0</v>
      </c>
      <c r="AG2679" t="s">
        <v>125</v>
      </c>
      <c r="AH2679">
        <v>0</v>
      </c>
      <c r="AK2679">
        <v>0</v>
      </c>
    </row>
    <row r="2680" spans="1:37" x14ac:dyDescent="0.25">
      <c r="A2680" t="s">
        <v>79</v>
      </c>
      <c r="B2680">
        <v>11</v>
      </c>
      <c r="C2680">
        <v>1</v>
      </c>
      <c r="D2680">
        <v>1</v>
      </c>
      <c r="E2680">
        <v>7</v>
      </c>
      <c r="G2680">
        <v>1111</v>
      </c>
      <c r="H2680" t="s">
        <v>3671</v>
      </c>
      <c r="I2680" t="s">
        <v>123</v>
      </c>
      <c r="J2680" t="s">
        <v>3705</v>
      </c>
      <c r="L2680">
        <v>0</v>
      </c>
      <c r="M2680" t="s">
        <v>125</v>
      </c>
      <c r="O2680" t="s">
        <v>125</v>
      </c>
      <c r="P2680" t="s">
        <v>125</v>
      </c>
      <c r="Q2680" t="s">
        <v>125</v>
      </c>
      <c r="R2680" t="s">
        <v>125</v>
      </c>
      <c r="S2680" t="s">
        <v>125</v>
      </c>
      <c r="T2680">
        <v>462</v>
      </c>
      <c r="V2680" t="s">
        <v>125</v>
      </c>
      <c r="AE2680" t="s">
        <v>125</v>
      </c>
      <c r="AF2680">
        <v>0</v>
      </c>
      <c r="AG2680" t="s">
        <v>125</v>
      </c>
      <c r="AH2680">
        <v>0</v>
      </c>
      <c r="AK2680">
        <v>0</v>
      </c>
    </row>
    <row r="2681" spans="1:37" x14ac:dyDescent="0.25">
      <c r="A2681" t="s">
        <v>79</v>
      </c>
      <c r="B2681">
        <v>11</v>
      </c>
      <c r="C2681">
        <v>1</v>
      </c>
      <c r="D2681">
        <v>1</v>
      </c>
      <c r="E2681">
        <v>8</v>
      </c>
      <c r="G2681">
        <v>1111</v>
      </c>
      <c r="H2681" t="s">
        <v>3671</v>
      </c>
      <c r="I2681" t="s">
        <v>126</v>
      </c>
      <c r="J2681" t="s">
        <v>3706</v>
      </c>
      <c r="L2681">
        <v>0</v>
      </c>
      <c r="M2681" t="s">
        <v>125</v>
      </c>
      <c r="O2681" t="s">
        <v>125</v>
      </c>
      <c r="P2681" t="s">
        <v>125</v>
      </c>
      <c r="Q2681" t="s">
        <v>125</v>
      </c>
      <c r="R2681" t="s">
        <v>125</v>
      </c>
      <c r="S2681" t="s">
        <v>125</v>
      </c>
      <c r="T2681">
        <v>462</v>
      </c>
      <c r="V2681" t="s">
        <v>125</v>
      </c>
      <c r="AE2681" t="s">
        <v>125</v>
      </c>
      <c r="AF2681">
        <v>0</v>
      </c>
      <c r="AG2681" t="s">
        <v>125</v>
      </c>
      <c r="AH2681">
        <v>0</v>
      </c>
      <c r="AK2681">
        <v>0</v>
      </c>
    </row>
    <row r="2682" spans="1:37" x14ac:dyDescent="0.25">
      <c r="A2682" t="s">
        <v>79</v>
      </c>
      <c r="B2682">
        <v>11</v>
      </c>
      <c r="C2682">
        <v>1</v>
      </c>
      <c r="D2682">
        <v>1</v>
      </c>
      <c r="E2682">
        <v>9</v>
      </c>
      <c r="G2682">
        <v>1111</v>
      </c>
      <c r="H2682" t="s">
        <v>3671</v>
      </c>
      <c r="I2682" t="s">
        <v>74</v>
      </c>
      <c r="J2682" t="s">
        <v>3707</v>
      </c>
      <c r="L2682">
        <v>0</v>
      </c>
      <c r="M2682" t="s">
        <v>125</v>
      </c>
      <c r="O2682" t="s">
        <v>125</v>
      </c>
      <c r="P2682" t="s">
        <v>125</v>
      </c>
      <c r="Q2682" t="s">
        <v>125</v>
      </c>
      <c r="R2682" t="s">
        <v>125</v>
      </c>
      <c r="S2682" t="s">
        <v>125</v>
      </c>
      <c r="T2682">
        <v>462</v>
      </c>
      <c r="V2682" t="s">
        <v>125</v>
      </c>
      <c r="AE2682" t="s">
        <v>125</v>
      </c>
      <c r="AF2682">
        <v>0</v>
      </c>
      <c r="AG2682" t="s">
        <v>125</v>
      </c>
      <c r="AH2682">
        <v>0</v>
      </c>
      <c r="AK2682">
        <v>0</v>
      </c>
    </row>
    <row r="2683" spans="1:37" x14ac:dyDescent="0.25">
      <c r="A2683" t="s">
        <v>79</v>
      </c>
      <c r="B2683">
        <v>11</v>
      </c>
      <c r="C2683">
        <v>1</v>
      </c>
      <c r="D2683">
        <v>1</v>
      </c>
      <c r="E2683">
        <v>10</v>
      </c>
      <c r="G2683">
        <v>1111</v>
      </c>
      <c r="H2683" t="s">
        <v>3671</v>
      </c>
      <c r="I2683" t="s">
        <v>129</v>
      </c>
      <c r="J2683" t="s">
        <v>3708</v>
      </c>
      <c r="L2683">
        <v>0</v>
      </c>
      <c r="M2683" t="s">
        <v>125</v>
      </c>
      <c r="O2683" t="s">
        <v>125</v>
      </c>
      <c r="P2683" t="s">
        <v>125</v>
      </c>
      <c r="Q2683" t="s">
        <v>125</v>
      </c>
      <c r="R2683" t="s">
        <v>125</v>
      </c>
      <c r="S2683" t="s">
        <v>125</v>
      </c>
      <c r="T2683">
        <v>462</v>
      </c>
      <c r="V2683" t="s">
        <v>125</v>
      </c>
      <c r="AE2683" t="s">
        <v>125</v>
      </c>
      <c r="AF2683">
        <v>0</v>
      </c>
      <c r="AG2683" t="s">
        <v>125</v>
      </c>
      <c r="AH2683">
        <v>0</v>
      </c>
      <c r="AK2683">
        <v>0</v>
      </c>
    </row>
    <row r="2684" spans="1:37" x14ac:dyDescent="0.25">
      <c r="A2684" t="s">
        <v>79</v>
      </c>
      <c r="B2684">
        <v>11</v>
      </c>
      <c r="C2684">
        <v>1</v>
      </c>
      <c r="D2684">
        <v>1</v>
      </c>
      <c r="E2684">
        <v>11</v>
      </c>
      <c r="G2684">
        <v>1111</v>
      </c>
      <c r="H2684" t="s">
        <v>3671</v>
      </c>
      <c r="I2684" t="s">
        <v>131</v>
      </c>
      <c r="J2684" t="s">
        <v>3709</v>
      </c>
      <c r="L2684">
        <v>0</v>
      </c>
      <c r="M2684" t="s">
        <v>125</v>
      </c>
      <c r="O2684" t="s">
        <v>125</v>
      </c>
      <c r="P2684" t="s">
        <v>125</v>
      </c>
      <c r="Q2684" t="s">
        <v>125</v>
      </c>
      <c r="R2684" t="s">
        <v>125</v>
      </c>
      <c r="S2684" t="s">
        <v>125</v>
      </c>
      <c r="T2684">
        <v>462</v>
      </c>
      <c r="V2684" t="s">
        <v>125</v>
      </c>
      <c r="AE2684" t="s">
        <v>125</v>
      </c>
      <c r="AF2684">
        <v>0</v>
      </c>
      <c r="AG2684" t="s">
        <v>125</v>
      </c>
      <c r="AH2684">
        <v>0</v>
      </c>
      <c r="AK2684">
        <v>0</v>
      </c>
    </row>
    <row r="2685" spans="1:37" x14ac:dyDescent="0.25">
      <c r="A2685" t="s">
        <v>79</v>
      </c>
      <c r="B2685">
        <v>11</v>
      </c>
      <c r="C2685">
        <v>1</v>
      </c>
      <c r="D2685">
        <v>1</v>
      </c>
      <c r="E2685">
        <v>12</v>
      </c>
      <c r="G2685">
        <v>1111</v>
      </c>
      <c r="H2685" t="s">
        <v>3671</v>
      </c>
      <c r="I2685" t="s">
        <v>133</v>
      </c>
      <c r="J2685" t="s">
        <v>3710</v>
      </c>
      <c r="L2685">
        <v>0</v>
      </c>
      <c r="M2685" t="s">
        <v>125</v>
      </c>
      <c r="O2685" t="s">
        <v>125</v>
      </c>
      <c r="P2685" t="s">
        <v>125</v>
      </c>
      <c r="Q2685" t="s">
        <v>125</v>
      </c>
      <c r="R2685" t="s">
        <v>125</v>
      </c>
      <c r="S2685" t="s">
        <v>125</v>
      </c>
      <c r="T2685">
        <v>462</v>
      </c>
      <c r="V2685" t="s">
        <v>125</v>
      </c>
      <c r="AE2685" t="s">
        <v>125</v>
      </c>
      <c r="AF2685">
        <v>0</v>
      </c>
      <c r="AG2685" t="s">
        <v>125</v>
      </c>
      <c r="AH2685">
        <v>0</v>
      </c>
      <c r="AK2685">
        <v>0</v>
      </c>
    </row>
    <row r="2686" spans="1:37" x14ac:dyDescent="0.25">
      <c r="A2686" t="s">
        <v>79</v>
      </c>
      <c r="B2686">
        <v>11</v>
      </c>
      <c r="C2686">
        <v>1</v>
      </c>
      <c r="D2686">
        <v>1</v>
      </c>
      <c r="E2686">
        <v>13</v>
      </c>
      <c r="G2686">
        <v>1111</v>
      </c>
      <c r="H2686" t="s">
        <v>3671</v>
      </c>
      <c r="I2686" t="s">
        <v>135</v>
      </c>
      <c r="J2686" t="s">
        <v>3711</v>
      </c>
      <c r="L2686">
        <v>0</v>
      </c>
      <c r="M2686" t="s">
        <v>125</v>
      </c>
      <c r="O2686" t="s">
        <v>125</v>
      </c>
      <c r="P2686" t="s">
        <v>125</v>
      </c>
      <c r="Q2686" t="s">
        <v>125</v>
      </c>
      <c r="R2686" t="s">
        <v>125</v>
      </c>
      <c r="S2686" t="s">
        <v>125</v>
      </c>
      <c r="T2686">
        <v>462</v>
      </c>
      <c r="V2686" t="s">
        <v>125</v>
      </c>
      <c r="AE2686" t="s">
        <v>125</v>
      </c>
      <c r="AF2686">
        <v>0</v>
      </c>
      <c r="AG2686" t="s">
        <v>125</v>
      </c>
      <c r="AH2686">
        <v>0</v>
      </c>
      <c r="AK2686">
        <v>0</v>
      </c>
    </row>
    <row r="2687" spans="1:37" x14ac:dyDescent="0.25">
      <c r="A2687" t="s">
        <v>79</v>
      </c>
      <c r="B2687">
        <v>11</v>
      </c>
      <c r="C2687">
        <v>1</v>
      </c>
      <c r="D2687">
        <v>1</v>
      </c>
      <c r="E2687">
        <v>14</v>
      </c>
      <c r="G2687">
        <v>1111</v>
      </c>
      <c r="H2687" t="s">
        <v>3671</v>
      </c>
      <c r="I2687" t="s">
        <v>137</v>
      </c>
      <c r="J2687" t="s">
        <v>3712</v>
      </c>
      <c r="L2687">
        <v>0</v>
      </c>
      <c r="M2687" t="s">
        <v>125</v>
      </c>
      <c r="O2687" t="s">
        <v>125</v>
      </c>
      <c r="P2687" t="s">
        <v>125</v>
      </c>
      <c r="Q2687" t="s">
        <v>125</v>
      </c>
      <c r="R2687" t="s">
        <v>125</v>
      </c>
      <c r="S2687" t="s">
        <v>125</v>
      </c>
      <c r="T2687">
        <v>462</v>
      </c>
      <c r="V2687" t="s">
        <v>125</v>
      </c>
      <c r="AE2687" t="s">
        <v>125</v>
      </c>
      <c r="AF2687">
        <v>0</v>
      </c>
      <c r="AG2687" t="s">
        <v>125</v>
      </c>
      <c r="AH2687">
        <v>0</v>
      </c>
      <c r="AK2687">
        <v>0</v>
      </c>
    </row>
    <row r="2688" spans="1:37" x14ac:dyDescent="0.25">
      <c r="A2688" t="s">
        <v>79</v>
      </c>
      <c r="B2688">
        <v>11</v>
      </c>
      <c r="C2688">
        <v>1</v>
      </c>
      <c r="D2688">
        <v>1</v>
      </c>
      <c r="E2688">
        <v>15</v>
      </c>
      <c r="G2688">
        <v>1111</v>
      </c>
      <c r="H2688" t="s">
        <v>3671</v>
      </c>
      <c r="I2688" t="s">
        <v>139</v>
      </c>
      <c r="J2688" t="s">
        <v>3713</v>
      </c>
      <c r="L2688">
        <v>0</v>
      </c>
      <c r="M2688" t="s">
        <v>125</v>
      </c>
      <c r="O2688" t="s">
        <v>125</v>
      </c>
      <c r="P2688" t="s">
        <v>125</v>
      </c>
      <c r="Q2688" t="s">
        <v>125</v>
      </c>
      <c r="R2688" t="s">
        <v>125</v>
      </c>
      <c r="S2688" t="s">
        <v>125</v>
      </c>
      <c r="T2688">
        <v>462</v>
      </c>
      <c r="V2688" t="s">
        <v>125</v>
      </c>
      <c r="AE2688" t="s">
        <v>125</v>
      </c>
      <c r="AF2688">
        <v>0</v>
      </c>
      <c r="AG2688" t="s">
        <v>125</v>
      </c>
      <c r="AH2688">
        <v>0</v>
      </c>
      <c r="AK2688">
        <v>0</v>
      </c>
    </row>
    <row r="2689" spans="1:37" x14ac:dyDescent="0.25">
      <c r="L2689">
        <v>0</v>
      </c>
    </row>
    <row r="2690" spans="1:37" x14ac:dyDescent="0.25">
      <c r="A2690" t="s">
        <v>70</v>
      </c>
      <c r="B2690">
        <v>11</v>
      </c>
      <c r="C2690">
        <v>1</v>
      </c>
      <c r="D2690">
        <v>2</v>
      </c>
      <c r="G2690">
        <v>111</v>
      </c>
      <c r="L2690">
        <v>0</v>
      </c>
      <c r="M2690" t="s">
        <v>125</v>
      </c>
      <c r="P2690" t="s">
        <v>125</v>
      </c>
      <c r="R2690" t="s">
        <v>125</v>
      </c>
      <c r="S2690" t="s">
        <v>63</v>
      </c>
      <c r="V2690" t="s">
        <v>125</v>
      </c>
      <c r="X2690" t="s">
        <v>125</v>
      </c>
      <c r="Y2690" t="s">
        <v>125</v>
      </c>
      <c r="Z2690" t="s">
        <v>125</v>
      </c>
      <c r="AA2690" t="s">
        <v>125</v>
      </c>
      <c r="AB2690" t="s">
        <v>125</v>
      </c>
      <c r="AC2690" t="s">
        <v>125</v>
      </c>
      <c r="AE2690" t="s">
        <v>125</v>
      </c>
      <c r="AF2690">
        <v>0</v>
      </c>
      <c r="AG2690" t="s">
        <v>125</v>
      </c>
      <c r="AH2690">
        <v>0</v>
      </c>
      <c r="AK2690">
        <v>0</v>
      </c>
    </row>
    <row r="2691" spans="1:37" x14ac:dyDescent="0.25">
      <c r="A2691" t="s">
        <v>79</v>
      </c>
      <c r="B2691">
        <v>11</v>
      </c>
      <c r="C2691">
        <v>1</v>
      </c>
      <c r="D2691">
        <v>2</v>
      </c>
      <c r="E2691">
        <v>1</v>
      </c>
      <c r="G2691">
        <v>1112</v>
      </c>
      <c r="H2691" t="s">
        <v>63</v>
      </c>
      <c r="I2691" t="s">
        <v>80</v>
      </c>
      <c r="J2691" t="s">
        <v>141</v>
      </c>
      <c r="L2691">
        <v>0</v>
      </c>
      <c r="M2691" t="s">
        <v>125</v>
      </c>
      <c r="O2691" t="s">
        <v>125</v>
      </c>
      <c r="P2691" t="s">
        <v>125</v>
      </c>
      <c r="Q2691" t="s">
        <v>125</v>
      </c>
      <c r="R2691" t="s">
        <v>125</v>
      </c>
      <c r="S2691" t="s">
        <v>125</v>
      </c>
      <c r="T2691">
        <v>0</v>
      </c>
      <c r="V2691" t="s">
        <v>125</v>
      </c>
      <c r="AE2691" t="s">
        <v>125</v>
      </c>
      <c r="AF2691">
        <v>0</v>
      </c>
      <c r="AG2691" t="s">
        <v>125</v>
      </c>
      <c r="AH2691">
        <v>0</v>
      </c>
      <c r="AK2691">
        <v>0</v>
      </c>
    </row>
    <row r="2692" spans="1:37" x14ac:dyDescent="0.25">
      <c r="A2692" t="s">
        <v>79</v>
      </c>
      <c r="B2692">
        <v>11</v>
      </c>
      <c r="C2692">
        <v>1</v>
      </c>
      <c r="D2692">
        <v>2</v>
      </c>
      <c r="E2692">
        <v>2</v>
      </c>
      <c r="G2692">
        <v>1112</v>
      </c>
      <c r="H2692" t="s">
        <v>63</v>
      </c>
      <c r="I2692" t="s">
        <v>88</v>
      </c>
      <c r="J2692" t="s">
        <v>142</v>
      </c>
      <c r="L2692">
        <v>0</v>
      </c>
      <c r="M2692" t="s">
        <v>125</v>
      </c>
      <c r="O2692" t="s">
        <v>125</v>
      </c>
      <c r="P2692" t="s">
        <v>125</v>
      </c>
      <c r="Q2692" t="s">
        <v>125</v>
      </c>
      <c r="R2692" t="s">
        <v>125</v>
      </c>
      <c r="S2692" t="s">
        <v>125</v>
      </c>
      <c r="T2692">
        <v>0</v>
      </c>
      <c r="V2692" t="s">
        <v>125</v>
      </c>
      <c r="AE2692" t="s">
        <v>125</v>
      </c>
      <c r="AF2692">
        <v>0</v>
      </c>
      <c r="AG2692" t="s">
        <v>125</v>
      </c>
      <c r="AH2692">
        <v>0</v>
      </c>
      <c r="AK2692">
        <v>0</v>
      </c>
    </row>
    <row r="2693" spans="1:37" x14ac:dyDescent="0.25">
      <c r="A2693" t="s">
        <v>79</v>
      </c>
      <c r="B2693">
        <v>11</v>
      </c>
      <c r="C2693">
        <v>1</v>
      </c>
      <c r="D2693">
        <v>2</v>
      </c>
      <c r="E2693">
        <v>3</v>
      </c>
      <c r="G2693">
        <v>1112</v>
      </c>
      <c r="H2693" t="s">
        <v>63</v>
      </c>
      <c r="I2693" t="s">
        <v>95</v>
      </c>
      <c r="J2693" t="s">
        <v>143</v>
      </c>
      <c r="L2693">
        <v>0</v>
      </c>
      <c r="M2693" t="s">
        <v>125</v>
      </c>
      <c r="O2693" t="s">
        <v>125</v>
      </c>
      <c r="P2693" t="s">
        <v>125</v>
      </c>
      <c r="Q2693" t="s">
        <v>125</v>
      </c>
      <c r="R2693" t="s">
        <v>125</v>
      </c>
      <c r="S2693" t="s">
        <v>125</v>
      </c>
      <c r="T2693">
        <v>0</v>
      </c>
      <c r="V2693" t="s">
        <v>125</v>
      </c>
      <c r="AE2693" t="s">
        <v>125</v>
      </c>
      <c r="AF2693">
        <v>0</v>
      </c>
      <c r="AG2693" t="s">
        <v>125</v>
      </c>
      <c r="AH2693">
        <v>0</v>
      </c>
      <c r="AK2693">
        <v>0</v>
      </c>
    </row>
    <row r="2694" spans="1:37" x14ac:dyDescent="0.25">
      <c r="A2694" t="s">
        <v>79</v>
      </c>
      <c r="B2694">
        <v>11</v>
      </c>
      <c r="C2694">
        <v>1</v>
      </c>
      <c r="D2694">
        <v>2</v>
      </c>
      <c r="E2694">
        <v>4</v>
      </c>
      <c r="G2694">
        <v>1112</v>
      </c>
      <c r="H2694" t="s">
        <v>63</v>
      </c>
      <c r="I2694" t="s">
        <v>102</v>
      </c>
      <c r="J2694" t="s">
        <v>144</v>
      </c>
      <c r="L2694">
        <v>0</v>
      </c>
      <c r="M2694" t="s">
        <v>125</v>
      </c>
      <c r="O2694" t="s">
        <v>125</v>
      </c>
      <c r="P2694" t="s">
        <v>125</v>
      </c>
      <c r="Q2694" t="s">
        <v>125</v>
      </c>
      <c r="R2694" t="s">
        <v>125</v>
      </c>
      <c r="S2694" t="s">
        <v>125</v>
      </c>
      <c r="T2694">
        <v>0</v>
      </c>
      <c r="V2694" t="s">
        <v>125</v>
      </c>
      <c r="AE2694" t="s">
        <v>125</v>
      </c>
      <c r="AF2694">
        <v>0</v>
      </c>
      <c r="AG2694" t="s">
        <v>125</v>
      </c>
      <c r="AH2694">
        <v>0</v>
      </c>
      <c r="AK2694">
        <v>0</v>
      </c>
    </row>
    <row r="2695" spans="1:37" x14ac:dyDescent="0.25">
      <c r="A2695" t="s">
        <v>79</v>
      </c>
      <c r="B2695">
        <v>11</v>
      </c>
      <c r="C2695">
        <v>1</v>
      </c>
      <c r="D2695">
        <v>2</v>
      </c>
      <c r="E2695">
        <v>5</v>
      </c>
      <c r="G2695">
        <v>1112</v>
      </c>
      <c r="H2695" t="s">
        <v>63</v>
      </c>
      <c r="I2695" t="s">
        <v>109</v>
      </c>
      <c r="J2695" t="s">
        <v>145</v>
      </c>
      <c r="L2695">
        <v>0</v>
      </c>
      <c r="M2695" t="s">
        <v>125</v>
      </c>
      <c r="O2695" t="s">
        <v>125</v>
      </c>
      <c r="P2695" t="s">
        <v>125</v>
      </c>
      <c r="Q2695" t="s">
        <v>125</v>
      </c>
      <c r="R2695" t="s">
        <v>125</v>
      </c>
      <c r="S2695" t="s">
        <v>125</v>
      </c>
      <c r="T2695">
        <v>0</v>
      </c>
      <c r="V2695" t="s">
        <v>125</v>
      </c>
      <c r="AE2695" t="s">
        <v>125</v>
      </c>
      <c r="AF2695">
        <v>0</v>
      </c>
      <c r="AG2695" t="s">
        <v>125</v>
      </c>
      <c r="AH2695">
        <v>0</v>
      </c>
      <c r="AK2695">
        <v>0</v>
      </c>
    </row>
    <row r="2696" spans="1:37" x14ac:dyDescent="0.25">
      <c r="A2696" t="s">
        <v>79</v>
      </c>
      <c r="B2696">
        <v>11</v>
      </c>
      <c r="C2696">
        <v>1</v>
      </c>
      <c r="D2696">
        <v>2</v>
      </c>
      <c r="E2696">
        <v>6</v>
      </c>
      <c r="G2696">
        <v>1112</v>
      </c>
      <c r="H2696" t="s">
        <v>63</v>
      </c>
      <c r="I2696" t="s">
        <v>116</v>
      </c>
      <c r="J2696" t="s">
        <v>146</v>
      </c>
      <c r="L2696">
        <v>0</v>
      </c>
      <c r="M2696" t="s">
        <v>125</v>
      </c>
      <c r="O2696" t="s">
        <v>125</v>
      </c>
      <c r="P2696" t="s">
        <v>125</v>
      </c>
      <c r="Q2696" t="s">
        <v>125</v>
      </c>
      <c r="R2696" t="s">
        <v>125</v>
      </c>
      <c r="S2696" t="s">
        <v>125</v>
      </c>
      <c r="T2696">
        <v>0</v>
      </c>
      <c r="V2696" t="s">
        <v>125</v>
      </c>
      <c r="AE2696" t="s">
        <v>125</v>
      </c>
      <c r="AF2696">
        <v>0</v>
      </c>
      <c r="AG2696" t="s">
        <v>125</v>
      </c>
      <c r="AH2696">
        <v>0</v>
      </c>
      <c r="AK2696">
        <v>0</v>
      </c>
    </row>
    <row r="2697" spans="1:37" x14ac:dyDescent="0.25">
      <c r="A2697" t="s">
        <v>79</v>
      </c>
      <c r="B2697">
        <v>11</v>
      </c>
      <c r="C2697">
        <v>1</v>
      </c>
      <c r="D2697">
        <v>2</v>
      </c>
      <c r="E2697">
        <v>7</v>
      </c>
      <c r="G2697">
        <v>1112</v>
      </c>
      <c r="H2697" t="s">
        <v>63</v>
      </c>
      <c r="I2697" t="s">
        <v>123</v>
      </c>
      <c r="J2697" t="s">
        <v>147</v>
      </c>
      <c r="L2697">
        <v>0</v>
      </c>
      <c r="M2697" t="s">
        <v>125</v>
      </c>
      <c r="O2697" t="s">
        <v>125</v>
      </c>
      <c r="P2697" t="s">
        <v>125</v>
      </c>
      <c r="Q2697" t="s">
        <v>125</v>
      </c>
      <c r="R2697" t="s">
        <v>125</v>
      </c>
      <c r="S2697" t="s">
        <v>125</v>
      </c>
      <c r="T2697">
        <v>0</v>
      </c>
      <c r="V2697" t="s">
        <v>125</v>
      </c>
      <c r="AE2697" t="s">
        <v>125</v>
      </c>
      <c r="AF2697">
        <v>0</v>
      </c>
      <c r="AG2697" t="s">
        <v>125</v>
      </c>
      <c r="AH2697">
        <v>0</v>
      </c>
      <c r="AK2697">
        <v>0</v>
      </c>
    </row>
    <row r="2698" spans="1:37" x14ac:dyDescent="0.25">
      <c r="A2698" t="s">
        <v>79</v>
      </c>
      <c r="B2698">
        <v>11</v>
      </c>
      <c r="C2698">
        <v>1</v>
      </c>
      <c r="D2698">
        <v>2</v>
      </c>
      <c r="E2698">
        <v>8</v>
      </c>
      <c r="G2698">
        <v>1112</v>
      </c>
      <c r="H2698" t="s">
        <v>63</v>
      </c>
      <c r="I2698" t="s">
        <v>126</v>
      </c>
      <c r="J2698" t="s">
        <v>148</v>
      </c>
      <c r="L2698">
        <v>0</v>
      </c>
      <c r="M2698" t="s">
        <v>125</v>
      </c>
      <c r="O2698" t="s">
        <v>125</v>
      </c>
      <c r="P2698" t="s">
        <v>125</v>
      </c>
      <c r="Q2698" t="s">
        <v>125</v>
      </c>
      <c r="R2698" t="s">
        <v>125</v>
      </c>
      <c r="S2698" t="s">
        <v>125</v>
      </c>
      <c r="T2698">
        <v>0</v>
      </c>
      <c r="V2698" t="s">
        <v>125</v>
      </c>
      <c r="AE2698" t="s">
        <v>125</v>
      </c>
      <c r="AF2698">
        <v>0</v>
      </c>
      <c r="AG2698" t="s">
        <v>125</v>
      </c>
      <c r="AH2698">
        <v>0</v>
      </c>
      <c r="AK2698">
        <v>0</v>
      </c>
    </row>
    <row r="2699" spans="1:37" x14ac:dyDescent="0.25">
      <c r="A2699" t="s">
        <v>79</v>
      </c>
      <c r="B2699">
        <v>11</v>
      </c>
      <c r="C2699">
        <v>1</v>
      </c>
      <c r="D2699">
        <v>2</v>
      </c>
      <c r="E2699">
        <v>9</v>
      </c>
      <c r="G2699">
        <v>1112</v>
      </c>
      <c r="H2699" t="s">
        <v>63</v>
      </c>
      <c r="I2699" t="s">
        <v>74</v>
      </c>
      <c r="J2699" t="s">
        <v>149</v>
      </c>
      <c r="L2699">
        <v>0</v>
      </c>
      <c r="M2699" t="s">
        <v>125</v>
      </c>
      <c r="O2699" t="s">
        <v>125</v>
      </c>
      <c r="P2699" t="s">
        <v>125</v>
      </c>
      <c r="Q2699" t="s">
        <v>125</v>
      </c>
      <c r="R2699" t="s">
        <v>125</v>
      </c>
      <c r="S2699" t="s">
        <v>125</v>
      </c>
      <c r="T2699">
        <v>0</v>
      </c>
      <c r="V2699" t="s">
        <v>125</v>
      </c>
      <c r="AE2699" t="s">
        <v>125</v>
      </c>
      <c r="AF2699">
        <v>0</v>
      </c>
      <c r="AG2699" t="s">
        <v>125</v>
      </c>
      <c r="AH2699">
        <v>0</v>
      </c>
      <c r="AK2699">
        <v>0</v>
      </c>
    </row>
    <row r="2700" spans="1:37" x14ac:dyDescent="0.25">
      <c r="A2700" t="s">
        <v>79</v>
      </c>
      <c r="B2700">
        <v>11</v>
      </c>
      <c r="C2700">
        <v>1</v>
      </c>
      <c r="D2700">
        <v>2</v>
      </c>
      <c r="E2700">
        <v>10</v>
      </c>
      <c r="G2700">
        <v>1112</v>
      </c>
      <c r="H2700" t="s">
        <v>63</v>
      </c>
      <c r="I2700" t="s">
        <v>129</v>
      </c>
      <c r="J2700" t="s">
        <v>150</v>
      </c>
      <c r="L2700">
        <v>0</v>
      </c>
      <c r="M2700" t="s">
        <v>125</v>
      </c>
      <c r="O2700" t="s">
        <v>125</v>
      </c>
      <c r="P2700" t="s">
        <v>125</v>
      </c>
      <c r="Q2700" t="s">
        <v>125</v>
      </c>
      <c r="R2700" t="s">
        <v>125</v>
      </c>
      <c r="S2700" t="s">
        <v>125</v>
      </c>
      <c r="T2700">
        <v>0</v>
      </c>
      <c r="V2700" t="s">
        <v>125</v>
      </c>
      <c r="AE2700" t="s">
        <v>125</v>
      </c>
      <c r="AF2700">
        <v>0</v>
      </c>
      <c r="AG2700" t="s">
        <v>125</v>
      </c>
      <c r="AH2700">
        <v>0</v>
      </c>
      <c r="AK2700">
        <v>0</v>
      </c>
    </row>
    <row r="2701" spans="1:37" x14ac:dyDescent="0.25">
      <c r="A2701" t="s">
        <v>79</v>
      </c>
      <c r="B2701">
        <v>11</v>
      </c>
      <c r="C2701">
        <v>1</v>
      </c>
      <c r="D2701">
        <v>2</v>
      </c>
      <c r="E2701">
        <v>11</v>
      </c>
      <c r="G2701">
        <v>1112</v>
      </c>
      <c r="H2701" t="s">
        <v>63</v>
      </c>
      <c r="I2701" t="s">
        <v>131</v>
      </c>
      <c r="J2701" t="s">
        <v>151</v>
      </c>
      <c r="L2701">
        <v>0</v>
      </c>
      <c r="M2701" t="s">
        <v>125</v>
      </c>
      <c r="O2701" t="s">
        <v>125</v>
      </c>
      <c r="P2701" t="s">
        <v>125</v>
      </c>
      <c r="Q2701" t="s">
        <v>125</v>
      </c>
      <c r="R2701" t="s">
        <v>125</v>
      </c>
      <c r="S2701" t="s">
        <v>125</v>
      </c>
      <c r="T2701">
        <v>0</v>
      </c>
      <c r="V2701" t="s">
        <v>125</v>
      </c>
      <c r="AE2701" t="s">
        <v>125</v>
      </c>
      <c r="AF2701">
        <v>0</v>
      </c>
      <c r="AG2701" t="s">
        <v>125</v>
      </c>
      <c r="AH2701">
        <v>0</v>
      </c>
      <c r="AK2701">
        <v>0</v>
      </c>
    </row>
    <row r="2702" spans="1:37" x14ac:dyDescent="0.25">
      <c r="A2702" t="s">
        <v>79</v>
      </c>
      <c r="B2702">
        <v>11</v>
      </c>
      <c r="C2702">
        <v>1</v>
      </c>
      <c r="D2702">
        <v>2</v>
      </c>
      <c r="E2702">
        <v>12</v>
      </c>
      <c r="G2702">
        <v>1112</v>
      </c>
      <c r="H2702" t="s">
        <v>63</v>
      </c>
      <c r="I2702" t="s">
        <v>133</v>
      </c>
      <c r="J2702" t="s">
        <v>152</v>
      </c>
      <c r="L2702">
        <v>0</v>
      </c>
      <c r="M2702" t="s">
        <v>125</v>
      </c>
      <c r="O2702" t="s">
        <v>125</v>
      </c>
      <c r="P2702" t="s">
        <v>125</v>
      </c>
      <c r="Q2702" t="s">
        <v>125</v>
      </c>
      <c r="R2702" t="s">
        <v>125</v>
      </c>
      <c r="S2702" t="s">
        <v>125</v>
      </c>
      <c r="T2702">
        <v>0</v>
      </c>
      <c r="V2702" t="s">
        <v>125</v>
      </c>
      <c r="AE2702" t="s">
        <v>125</v>
      </c>
      <c r="AF2702">
        <v>0</v>
      </c>
      <c r="AG2702" t="s">
        <v>125</v>
      </c>
      <c r="AH2702">
        <v>0</v>
      </c>
      <c r="AK2702">
        <v>0</v>
      </c>
    </row>
    <row r="2703" spans="1:37" x14ac:dyDescent="0.25">
      <c r="A2703" t="s">
        <v>79</v>
      </c>
      <c r="B2703">
        <v>11</v>
      </c>
      <c r="C2703">
        <v>1</v>
      </c>
      <c r="D2703">
        <v>2</v>
      </c>
      <c r="E2703">
        <v>13</v>
      </c>
      <c r="G2703">
        <v>1112</v>
      </c>
      <c r="H2703" t="s">
        <v>63</v>
      </c>
      <c r="I2703" t="s">
        <v>135</v>
      </c>
      <c r="J2703" t="s">
        <v>153</v>
      </c>
      <c r="L2703">
        <v>0</v>
      </c>
      <c r="M2703" t="s">
        <v>125</v>
      </c>
      <c r="O2703" t="s">
        <v>125</v>
      </c>
      <c r="P2703" t="s">
        <v>125</v>
      </c>
      <c r="Q2703" t="s">
        <v>125</v>
      </c>
      <c r="R2703" t="s">
        <v>125</v>
      </c>
      <c r="S2703" t="s">
        <v>125</v>
      </c>
      <c r="T2703">
        <v>0</v>
      </c>
      <c r="V2703" t="s">
        <v>125</v>
      </c>
      <c r="AE2703" t="s">
        <v>125</v>
      </c>
      <c r="AF2703">
        <v>0</v>
      </c>
      <c r="AG2703" t="s">
        <v>125</v>
      </c>
      <c r="AH2703">
        <v>0</v>
      </c>
      <c r="AK2703">
        <v>0</v>
      </c>
    </row>
    <row r="2704" spans="1:37" x14ac:dyDescent="0.25">
      <c r="A2704" t="s">
        <v>79</v>
      </c>
      <c r="B2704">
        <v>11</v>
      </c>
      <c r="C2704">
        <v>1</v>
      </c>
      <c r="D2704">
        <v>2</v>
      </c>
      <c r="E2704">
        <v>14</v>
      </c>
      <c r="G2704">
        <v>1112</v>
      </c>
      <c r="H2704" t="s">
        <v>63</v>
      </c>
      <c r="I2704" t="s">
        <v>137</v>
      </c>
      <c r="J2704" t="s">
        <v>154</v>
      </c>
      <c r="L2704">
        <v>0</v>
      </c>
      <c r="M2704" t="s">
        <v>125</v>
      </c>
      <c r="O2704" t="s">
        <v>125</v>
      </c>
      <c r="P2704" t="s">
        <v>125</v>
      </c>
      <c r="Q2704" t="s">
        <v>125</v>
      </c>
      <c r="R2704" t="s">
        <v>125</v>
      </c>
      <c r="S2704" t="s">
        <v>125</v>
      </c>
      <c r="T2704">
        <v>0</v>
      </c>
      <c r="V2704" t="s">
        <v>125</v>
      </c>
      <c r="AE2704" t="s">
        <v>125</v>
      </c>
      <c r="AF2704">
        <v>0</v>
      </c>
      <c r="AG2704" t="s">
        <v>125</v>
      </c>
      <c r="AH2704">
        <v>0</v>
      </c>
      <c r="AK2704">
        <v>0</v>
      </c>
    </row>
    <row r="2705" spans="1:37" x14ac:dyDescent="0.25">
      <c r="A2705" t="s">
        <v>79</v>
      </c>
      <c r="B2705">
        <v>11</v>
      </c>
      <c r="C2705">
        <v>1</v>
      </c>
      <c r="D2705">
        <v>2</v>
      </c>
      <c r="E2705">
        <v>15</v>
      </c>
      <c r="G2705">
        <v>1112</v>
      </c>
      <c r="H2705" t="s">
        <v>63</v>
      </c>
      <c r="I2705" t="s">
        <v>139</v>
      </c>
      <c r="J2705" t="s">
        <v>155</v>
      </c>
      <c r="L2705">
        <v>0</v>
      </c>
      <c r="M2705" t="s">
        <v>125</v>
      </c>
      <c r="O2705" t="s">
        <v>125</v>
      </c>
      <c r="P2705" t="s">
        <v>125</v>
      </c>
      <c r="Q2705" t="s">
        <v>125</v>
      </c>
      <c r="R2705" t="s">
        <v>125</v>
      </c>
      <c r="S2705" t="s">
        <v>125</v>
      </c>
      <c r="T2705">
        <v>0</v>
      </c>
      <c r="V2705" t="s">
        <v>125</v>
      </c>
      <c r="AE2705" t="s">
        <v>125</v>
      </c>
      <c r="AF2705">
        <v>0</v>
      </c>
      <c r="AG2705" t="s">
        <v>125</v>
      </c>
      <c r="AH2705">
        <v>0</v>
      </c>
      <c r="AK2705">
        <v>0</v>
      </c>
    </row>
    <row r="2706" spans="1:37" x14ac:dyDescent="0.25">
      <c r="L2706">
        <v>0</v>
      </c>
    </row>
    <row r="2707" spans="1:37" x14ac:dyDescent="0.25">
      <c r="A2707" t="s">
        <v>70</v>
      </c>
      <c r="B2707">
        <v>11</v>
      </c>
      <c r="C2707">
        <v>1</v>
      </c>
      <c r="D2707">
        <v>3</v>
      </c>
      <c r="G2707">
        <v>111</v>
      </c>
      <c r="L2707">
        <v>0</v>
      </c>
      <c r="M2707" t="s">
        <v>125</v>
      </c>
      <c r="P2707" t="s">
        <v>125</v>
      </c>
      <c r="R2707" t="s">
        <v>125</v>
      </c>
      <c r="S2707" t="s">
        <v>63</v>
      </c>
      <c r="V2707" t="s">
        <v>125</v>
      </c>
      <c r="X2707" t="s">
        <v>125</v>
      </c>
      <c r="Y2707" t="s">
        <v>125</v>
      </c>
      <c r="Z2707" t="s">
        <v>125</v>
      </c>
      <c r="AA2707" t="s">
        <v>125</v>
      </c>
      <c r="AB2707" t="s">
        <v>125</v>
      </c>
      <c r="AC2707" t="s">
        <v>125</v>
      </c>
      <c r="AE2707" t="s">
        <v>125</v>
      </c>
      <c r="AF2707">
        <v>0</v>
      </c>
      <c r="AG2707" t="s">
        <v>125</v>
      </c>
      <c r="AH2707">
        <v>0</v>
      </c>
      <c r="AK2707">
        <v>0</v>
      </c>
    </row>
    <row r="2708" spans="1:37" x14ac:dyDescent="0.25">
      <c r="A2708" t="s">
        <v>79</v>
      </c>
      <c r="B2708">
        <v>11</v>
      </c>
      <c r="C2708">
        <v>1</v>
      </c>
      <c r="D2708">
        <v>3</v>
      </c>
      <c r="E2708">
        <v>1</v>
      </c>
      <c r="G2708">
        <v>1113</v>
      </c>
      <c r="H2708" t="s">
        <v>63</v>
      </c>
      <c r="I2708" t="s">
        <v>80</v>
      </c>
      <c r="J2708" t="s">
        <v>141</v>
      </c>
      <c r="L2708">
        <v>0</v>
      </c>
      <c r="M2708" t="s">
        <v>125</v>
      </c>
      <c r="O2708" t="s">
        <v>125</v>
      </c>
      <c r="P2708" t="s">
        <v>125</v>
      </c>
      <c r="Q2708" t="s">
        <v>125</v>
      </c>
      <c r="R2708" t="s">
        <v>125</v>
      </c>
      <c r="S2708" t="s">
        <v>125</v>
      </c>
      <c r="T2708">
        <v>0</v>
      </c>
      <c r="V2708" t="s">
        <v>125</v>
      </c>
      <c r="AE2708" t="s">
        <v>125</v>
      </c>
      <c r="AF2708">
        <v>0</v>
      </c>
      <c r="AG2708" t="s">
        <v>125</v>
      </c>
      <c r="AH2708">
        <v>0</v>
      </c>
      <c r="AK2708">
        <v>0</v>
      </c>
    </row>
    <row r="2709" spans="1:37" x14ac:dyDescent="0.25">
      <c r="A2709" t="s">
        <v>79</v>
      </c>
      <c r="B2709">
        <v>11</v>
      </c>
      <c r="C2709">
        <v>1</v>
      </c>
      <c r="D2709">
        <v>3</v>
      </c>
      <c r="E2709">
        <v>2</v>
      </c>
      <c r="G2709">
        <v>1113</v>
      </c>
      <c r="H2709" t="s">
        <v>63</v>
      </c>
      <c r="I2709" t="s">
        <v>88</v>
      </c>
      <c r="J2709" t="s">
        <v>142</v>
      </c>
      <c r="L2709">
        <v>0</v>
      </c>
      <c r="M2709" t="s">
        <v>125</v>
      </c>
      <c r="O2709" t="s">
        <v>125</v>
      </c>
      <c r="P2709" t="s">
        <v>125</v>
      </c>
      <c r="Q2709" t="s">
        <v>125</v>
      </c>
      <c r="R2709" t="s">
        <v>125</v>
      </c>
      <c r="S2709" t="s">
        <v>125</v>
      </c>
      <c r="T2709">
        <v>0</v>
      </c>
      <c r="V2709" t="s">
        <v>125</v>
      </c>
      <c r="AE2709" t="s">
        <v>125</v>
      </c>
      <c r="AF2709">
        <v>0</v>
      </c>
      <c r="AG2709" t="s">
        <v>125</v>
      </c>
      <c r="AH2709">
        <v>0</v>
      </c>
      <c r="AK2709">
        <v>0</v>
      </c>
    </row>
    <row r="2710" spans="1:37" x14ac:dyDescent="0.25">
      <c r="A2710" t="s">
        <v>79</v>
      </c>
      <c r="B2710">
        <v>11</v>
      </c>
      <c r="C2710">
        <v>1</v>
      </c>
      <c r="D2710">
        <v>3</v>
      </c>
      <c r="E2710">
        <v>3</v>
      </c>
      <c r="G2710">
        <v>1113</v>
      </c>
      <c r="H2710" t="s">
        <v>63</v>
      </c>
      <c r="I2710" t="s">
        <v>95</v>
      </c>
      <c r="J2710" t="s">
        <v>143</v>
      </c>
      <c r="L2710">
        <v>0</v>
      </c>
      <c r="M2710" t="s">
        <v>125</v>
      </c>
      <c r="O2710" t="s">
        <v>125</v>
      </c>
      <c r="P2710" t="s">
        <v>125</v>
      </c>
      <c r="Q2710" t="s">
        <v>125</v>
      </c>
      <c r="R2710" t="s">
        <v>125</v>
      </c>
      <c r="S2710" t="s">
        <v>125</v>
      </c>
      <c r="T2710">
        <v>0</v>
      </c>
      <c r="V2710" t="s">
        <v>125</v>
      </c>
      <c r="AE2710" t="s">
        <v>125</v>
      </c>
      <c r="AF2710">
        <v>0</v>
      </c>
      <c r="AG2710" t="s">
        <v>125</v>
      </c>
      <c r="AH2710">
        <v>0</v>
      </c>
      <c r="AK2710">
        <v>0</v>
      </c>
    </row>
    <row r="2711" spans="1:37" x14ac:dyDescent="0.25">
      <c r="A2711" t="s">
        <v>79</v>
      </c>
      <c r="B2711">
        <v>11</v>
      </c>
      <c r="C2711">
        <v>1</v>
      </c>
      <c r="D2711">
        <v>3</v>
      </c>
      <c r="E2711">
        <v>4</v>
      </c>
      <c r="G2711">
        <v>1113</v>
      </c>
      <c r="H2711" t="s">
        <v>63</v>
      </c>
      <c r="I2711" t="s">
        <v>102</v>
      </c>
      <c r="J2711" t="s">
        <v>144</v>
      </c>
      <c r="L2711">
        <v>0</v>
      </c>
      <c r="M2711" t="s">
        <v>125</v>
      </c>
      <c r="O2711" t="s">
        <v>125</v>
      </c>
      <c r="P2711" t="s">
        <v>125</v>
      </c>
      <c r="Q2711" t="s">
        <v>125</v>
      </c>
      <c r="R2711" t="s">
        <v>125</v>
      </c>
      <c r="S2711" t="s">
        <v>125</v>
      </c>
      <c r="T2711">
        <v>0</v>
      </c>
      <c r="V2711" t="s">
        <v>125</v>
      </c>
      <c r="AE2711" t="s">
        <v>125</v>
      </c>
      <c r="AF2711">
        <v>0</v>
      </c>
      <c r="AG2711" t="s">
        <v>125</v>
      </c>
      <c r="AH2711">
        <v>0</v>
      </c>
      <c r="AK2711">
        <v>0</v>
      </c>
    </row>
    <row r="2712" spans="1:37" x14ac:dyDescent="0.25">
      <c r="A2712" t="s">
        <v>79</v>
      </c>
      <c r="B2712">
        <v>11</v>
      </c>
      <c r="C2712">
        <v>1</v>
      </c>
      <c r="D2712">
        <v>3</v>
      </c>
      <c r="E2712">
        <v>5</v>
      </c>
      <c r="G2712">
        <v>1113</v>
      </c>
      <c r="H2712" t="s">
        <v>63</v>
      </c>
      <c r="I2712" t="s">
        <v>109</v>
      </c>
      <c r="J2712" t="s">
        <v>145</v>
      </c>
      <c r="L2712">
        <v>0</v>
      </c>
      <c r="M2712" t="s">
        <v>125</v>
      </c>
      <c r="O2712" t="s">
        <v>125</v>
      </c>
      <c r="P2712" t="s">
        <v>125</v>
      </c>
      <c r="Q2712" t="s">
        <v>125</v>
      </c>
      <c r="R2712" t="s">
        <v>125</v>
      </c>
      <c r="S2712" t="s">
        <v>125</v>
      </c>
      <c r="T2712">
        <v>0</v>
      </c>
      <c r="V2712" t="s">
        <v>125</v>
      </c>
      <c r="AE2712" t="s">
        <v>125</v>
      </c>
      <c r="AF2712">
        <v>0</v>
      </c>
      <c r="AG2712" t="s">
        <v>125</v>
      </c>
      <c r="AH2712">
        <v>0</v>
      </c>
      <c r="AK2712">
        <v>0</v>
      </c>
    </row>
    <row r="2713" spans="1:37" x14ac:dyDescent="0.25">
      <c r="A2713" t="s">
        <v>79</v>
      </c>
      <c r="B2713">
        <v>11</v>
      </c>
      <c r="C2713">
        <v>1</v>
      </c>
      <c r="D2713">
        <v>3</v>
      </c>
      <c r="E2713">
        <v>6</v>
      </c>
      <c r="G2713">
        <v>1113</v>
      </c>
      <c r="H2713" t="s">
        <v>63</v>
      </c>
      <c r="I2713" t="s">
        <v>116</v>
      </c>
      <c r="J2713" t="s">
        <v>146</v>
      </c>
      <c r="L2713">
        <v>0</v>
      </c>
      <c r="M2713" t="s">
        <v>125</v>
      </c>
      <c r="O2713" t="s">
        <v>125</v>
      </c>
      <c r="P2713" t="s">
        <v>125</v>
      </c>
      <c r="Q2713" t="s">
        <v>125</v>
      </c>
      <c r="R2713" t="s">
        <v>125</v>
      </c>
      <c r="S2713" t="s">
        <v>125</v>
      </c>
      <c r="T2713">
        <v>0</v>
      </c>
      <c r="V2713" t="s">
        <v>125</v>
      </c>
      <c r="AE2713" t="s">
        <v>125</v>
      </c>
      <c r="AF2713">
        <v>0</v>
      </c>
      <c r="AG2713" t="s">
        <v>125</v>
      </c>
      <c r="AH2713">
        <v>0</v>
      </c>
      <c r="AK2713">
        <v>0</v>
      </c>
    </row>
    <row r="2714" spans="1:37" x14ac:dyDescent="0.25">
      <c r="A2714" t="s">
        <v>79</v>
      </c>
      <c r="B2714">
        <v>11</v>
      </c>
      <c r="C2714">
        <v>1</v>
      </c>
      <c r="D2714">
        <v>3</v>
      </c>
      <c r="E2714">
        <v>7</v>
      </c>
      <c r="G2714">
        <v>1113</v>
      </c>
      <c r="H2714" t="s">
        <v>63</v>
      </c>
      <c r="I2714" t="s">
        <v>123</v>
      </c>
      <c r="J2714" t="s">
        <v>147</v>
      </c>
      <c r="L2714">
        <v>0</v>
      </c>
      <c r="M2714" t="s">
        <v>125</v>
      </c>
      <c r="O2714" t="s">
        <v>125</v>
      </c>
      <c r="P2714" t="s">
        <v>125</v>
      </c>
      <c r="Q2714" t="s">
        <v>125</v>
      </c>
      <c r="R2714" t="s">
        <v>125</v>
      </c>
      <c r="S2714" t="s">
        <v>125</v>
      </c>
      <c r="T2714">
        <v>0</v>
      </c>
      <c r="V2714" t="s">
        <v>125</v>
      </c>
      <c r="AE2714" t="s">
        <v>125</v>
      </c>
      <c r="AF2714">
        <v>0</v>
      </c>
      <c r="AG2714" t="s">
        <v>125</v>
      </c>
      <c r="AH2714">
        <v>0</v>
      </c>
      <c r="AK2714">
        <v>0</v>
      </c>
    </row>
    <row r="2715" spans="1:37" x14ac:dyDescent="0.25">
      <c r="A2715" t="s">
        <v>79</v>
      </c>
      <c r="B2715">
        <v>11</v>
      </c>
      <c r="C2715">
        <v>1</v>
      </c>
      <c r="D2715">
        <v>3</v>
      </c>
      <c r="E2715">
        <v>8</v>
      </c>
      <c r="G2715">
        <v>1113</v>
      </c>
      <c r="H2715" t="s">
        <v>63</v>
      </c>
      <c r="I2715" t="s">
        <v>126</v>
      </c>
      <c r="J2715" t="s">
        <v>148</v>
      </c>
      <c r="L2715">
        <v>0</v>
      </c>
      <c r="M2715" t="s">
        <v>125</v>
      </c>
      <c r="O2715" t="s">
        <v>125</v>
      </c>
      <c r="P2715" t="s">
        <v>125</v>
      </c>
      <c r="Q2715" t="s">
        <v>125</v>
      </c>
      <c r="R2715" t="s">
        <v>125</v>
      </c>
      <c r="S2715" t="s">
        <v>125</v>
      </c>
      <c r="T2715">
        <v>0</v>
      </c>
      <c r="V2715" t="s">
        <v>125</v>
      </c>
      <c r="AE2715" t="s">
        <v>125</v>
      </c>
      <c r="AF2715">
        <v>0</v>
      </c>
      <c r="AG2715" t="s">
        <v>125</v>
      </c>
      <c r="AH2715">
        <v>0</v>
      </c>
      <c r="AK2715">
        <v>0</v>
      </c>
    </row>
    <row r="2716" spans="1:37" x14ac:dyDescent="0.25">
      <c r="A2716" t="s">
        <v>79</v>
      </c>
      <c r="B2716">
        <v>11</v>
      </c>
      <c r="C2716">
        <v>1</v>
      </c>
      <c r="D2716">
        <v>3</v>
      </c>
      <c r="E2716">
        <v>9</v>
      </c>
      <c r="G2716">
        <v>1113</v>
      </c>
      <c r="H2716" t="s">
        <v>63</v>
      </c>
      <c r="I2716" t="s">
        <v>74</v>
      </c>
      <c r="J2716" t="s">
        <v>149</v>
      </c>
      <c r="L2716">
        <v>0</v>
      </c>
      <c r="M2716" t="s">
        <v>125</v>
      </c>
      <c r="O2716" t="s">
        <v>125</v>
      </c>
      <c r="P2716" t="s">
        <v>125</v>
      </c>
      <c r="Q2716" t="s">
        <v>125</v>
      </c>
      <c r="R2716" t="s">
        <v>125</v>
      </c>
      <c r="S2716" t="s">
        <v>125</v>
      </c>
      <c r="T2716">
        <v>0</v>
      </c>
      <c r="V2716" t="s">
        <v>125</v>
      </c>
      <c r="AE2716" t="s">
        <v>125</v>
      </c>
      <c r="AF2716">
        <v>0</v>
      </c>
      <c r="AG2716" t="s">
        <v>125</v>
      </c>
      <c r="AH2716">
        <v>0</v>
      </c>
      <c r="AK2716">
        <v>0</v>
      </c>
    </row>
    <row r="2717" spans="1:37" x14ac:dyDescent="0.25">
      <c r="A2717" t="s">
        <v>79</v>
      </c>
      <c r="B2717">
        <v>11</v>
      </c>
      <c r="C2717">
        <v>1</v>
      </c>
      <c r="D2717">
        <v>3</v>
      </c>
      <c r="E2717">
        <v>10</v>
      </c>
      <c r="G2717">
        <v>1113</v>
      </c>
      <c r="H2717" t="s">
        <v>63</v>
      </c>
      <c r="I2717" t="s">
        <v>129</v>
      </c>
      <c r="J2717" t="s">
        <v>150</v>
      </c>
      <c r="L2717">
        <v>0</v>
      </c>
      <c r="M2717" t="s">
        <v>125</v>
      </c>
      <c r="O2717" t="s">
        <v>125</v>
      </c>
      <c r="P2717" t="s">
        <v>125</v>
      </c>
      <c r="Q2717" t="s">
        <v>125</v>
      </c>
      <c r="R2717" t="s">
        <v>125</v>
      </c>
      <c r="S2717" t="s">
        <v>125</v>
      </c>
      <c r="T2717">
        <v>0</v>
      </c>
      <c r="V2717" t="s">
        <v>125</v>
      </c>
      <c r="AE2717" t="s">
        <v>125</v>
      </c>
      <c r="AF2717">
        <v>0</v>
      </c>
      <c r="AG2717" t="s">
        <v>125</v>
      </c>
      <c r="AH2717">
        <v>0</v>
      </c>
      <c r="AK2717">
        <v>0</v>
      </c>
    </row>
    <row r="2718" spans="1:37" x14ac:dyDescent="0.25">
      <c r="A2718" t="s">
        <v>79</v>
      </c>
      <c r="B2718">
        <v>11</v>
      </c>
      <c r="C2718">
        <v>1</v>
      </c>
      <c r="D2718">
        <v>3</v>
      </c>
      <c r="E2718">
        <v>11</v>
      </c>
      <c r="G2718">
        <v>1113</v>
      </c>
      <c r="H2718" t="s">
        <v>63</v>
      </c>
      <c r="I2718" t="s">
        <v>131</v>
      </c>
      <c r="J2718" t="s">
        <v>151</v>
      </c>
      <c r="L2718">
        <v>0</v>
      </c>
      <c r="M2718" t="s">
        <v>125</v>
      </c>
      <c r="O2718" t="s">
        <v>125</v>
      </c>
      <c r="P2718" t="s">
        <v>125</v>
      </c>
      <c r="Q2718" t="s">
        <v>125</v>
      </c>
      <c r="R2718" t="s">
        <v>125</v>
      </c>
      <c r="S2718" t="s">
        <v>125</v>
      </c>
      <c r="T2718">
        <v>0</v>
      </c>
      <c r="V2718" t="s">
        <v>125</v>
      </c>
      <c r="AE2718" t="s">
        <v>125</v>
      </c>
      <c r="AF2718">
        <v>0</v>
      </c>
      <c r="AG2718" t="s">
        <v>125</v>
      </c>
      <c r="AH2718">
        <v>0</v>
      </c>
      <c r="AK2718">
        <v>0</v>
      </c>
    </row>
    <row r="2719" spans="1:37" x14ac:dyDescent="0.25">
      <c r="A2719" t="s">
        <v>79</v>
      </c>
      <c r="B2719">
        <v>11</v>
      </c>
      <c r="C2719">
        <v>1</v>
      </c>
      <c r="D2719">
        <v>3</v>
      </c>
      <c r="E2719">
        <v>12</v>
      </c>
      <c r="G2719">
        <v>1113</v>
      </c>
      <c r="H2719" t="s">
        <v>63</v>
      </c>
      <c r="I2719" t="s">
        <v>133</v>
      </c>
      <c r="J2719" t="s">
        <v>152</v>
      </c>
      <c r="L2719">
        <v>0</v>
      </c>
      <c r="M2719" t="s">
        <v>125</v>
      </c>
      <c r="O2719" t="s">
        <v>125</v>
      </c>
      <c r="P2719" t="s">
        <v>125</v>
      </c>
      <c r="Q2719" t="s">
        <v>125</v>
      </c>
      <c r="R2719" t="s">
        <v>125</v>
      </c>
      <c r="S2719" t="s">
        <v>125</v>
      </c>
      <c r="T2719">
        <v>0</v>
      </c>
      <c r="V2719" t="s">
        <v>125</v>
      </c>
      <c r="AE2719" t="s">
        <v>125</v>
      </c>
      <c r="AF2719">
        <v>0</v>
      </c>
      <c r="AG2719" t="s">
        <v>125</v>
      </c>
      <c r="AH2719">
        <v>0</v>
      </c>
      <c r="AK2719">
        <v>0</v>
      </c>
    </row>
    <row r="2720" spans="1:37" x14ac:dyDescent="0.25">
      <c r="A2720" t="s">
        <v>79</v>
      </c>
      <c r="B2720">
        <v>11</v>
      </c>
      <c r="C2720">
        <v>1</v>
      </c>
      <c r="D2720">
        <v>3</v>
      </c>
      <c r="E2720">
        <v>13</v>
      </c>
      <c r="G2720">
        <v>1113</v>
      </c>
      <c r="H2720" t="s">
        <v>63</v>
      </c>
      <c r="I2720" t="s">
        <v>135</v>
      </c>
      <c r="J2720" t="s">
        <v>153</v>
      </c>
      <c r="L2720">
        <v>0</v>
      </c>
      <c r="M2720" t="s">
        <v>125</v>
      </c>
      <c r="O2720" t="s">
        <v>125</v>
      </c>
      <c r="P2720" t="s">
        <v>125</v>
      </c>
      <c r="Q2720" t="s">
        <v>125</v>
      </c>
      <c r="R2720" t="s">
        <v>125</v>
      </c>
      <c r="S2720" t="s">
        <v>125</v>
      </c>
      <c r="T2720">
        <v>0</v>
      </c>
      <c r="V2720" t="s">
        <v>125</v>
      </c>
      <c r="AE2720" t="s">
        <v>125</v>
      </c>
      <c r="AF2720">
        <v>0</v>
      </c>
      <c r="AG2720" t="s">
        <v>125</v>
      </c>
      <c r="AH2720">
        <v>0</v>
      </c>
      <c r="AK2720">
        <v>0</v>
      </c>
    </row>
    <row r="2721" spans="1:37" x14ac:dyDescent="0.25">
      <c r="A2721" t="s">
        <v>79</v>
      </c>
      <c r="B2721">
        <v>11</v>
      </c>
      <c r="C2721">
        <v>1</v>
      </c>
      <c r="D2721">
        <v>3</v>
      </c>
      <c r="E2721">
        <v>14</v>
      </c>
      <c r="G2721">
        <v>1113</v>
      </c>
      <c r="H2721" t="s">
        <v>63</v>
      </c>
      <c r="I2721" t="s">
        <v>137</v>
      </c>
      <c r="J2721" t="s">
        <v>154</v>
      </c>
      <c r="L2721">
        <v>0</v>
      </c>
      <c r="M2721" t="s">
        <v>125</v>
      </c>
      <c r="O2721" t="s">
        <v>125</v>
      </c>
      <c r="P2721" t="s">
        <v>125</v>
      </c>
      <c r="Q2721" t="s">
        <v>125</v>
      </c>
      <c r="R2721" t="s">
        <v>125</v>
      </c>
      <c r="S2721" t="s">
        <v>125</v>
      </c>
      <c r="T2721">
        <v>0</v>
      </c>
      <c r="V2721" t="s">
        <v>125</v>
      </c>
      <c r="AE2721" t="s">
        <v>125</v>
      </c>
      <c r="AF2721">
        <v>0</v>
      </c>
      <c r="AG2721" t="s">
        <v>125</v>
      </c>
      <c r="AH2721">
        <v>0</v>
      </c>
      <c r="AK2721">
        <v>0</v>
      </c>
    </row>
    <row r="2722" spans="1:37" x14ac:dyDescent="0.25">
      <c r="A2722" t="s">
        <v>79</v>
      </c>
      <c r="B2722">
        <v>11</v>
      </c>
      <c r="C2722">
        <v>1</v>
      </c>
      <c r="D2722">
        <v>3</v>
      </c>
      <c r="E2722">
        <v>15</v>
      </c>
      <c r="G2722">
        <v>1113</v>
      </c>
      <c r="H2722" t="s">
        <v>63</v>
      </c>
      <c r="I2722" t="s">
        <v>139</v>
      </c>
      <c r="J2722" t="s">
        <v>155</v>
      </c>
      <c r="L2722">
        <v>0</v>
      </c>
      <c r="M2722" t="s">
        <v>125</v>
      </c>
      <c r="O2722" t="s">
        <v>125</v>
      </c>
      <c r="P2722" t="s">
        <v>125</v>
      </c>
      <c r="Q2722" t="s">
        <v>125</v>
      </c>
      <c r="R2722" t="s">
        <v>125</v>
      </c>
      <c r="S2722" t="s">
        <v>125</v>
      </c>
      <c r="T2722">
        <v>0</v>
      </c>
      <c r="V2722" t="s">
        <v>125</v>
      </c>
      <c r="AE2722" t="s">
        <v>125</v>
      </c>
      <c r="AF2722">
        <v>0</v>
      </c>
      <c r="AG2722" t="s">
        <v>125</v>
      </c>
      <c r="AH2722">
        <v>0</v>
      </c>
      <c r="AK2722">
        <v>0</v>
      </c>
    </row>
    <row r="2723" spans="1:37" x14ac:dyDescent="0.25">
      <c r="L2723">
        <v>0</v>
      </c>
    </row>
    <row r="2724" spans="1:37" x14ac:dyDescent="0.25">
      <c r="A2724" t="s">
        <v>70</v>
      </c>
      <c r="B2724">
        <v>11</v>
      </c>
      <c r="C2724">
        <v>1</v>
      </c>
      <c r="D2724">
        <v>4</v>
      </c>
      <c r="G2724">
        <v>111</v>
      </c>
      <c r="L2724">
        <v>0</v>
      </c>
      <c r="M2724" t="s">
        <v>125</v>
      </c>
      <c r="P2724" t="s">
        <v>125</v>
      </c>
      <c r="R2724" t="s">
        <v>125</v>
      </c>
      <c r="S2724" t="s">
        <v>63</v>
      </c>
      <c r="V2724" t="s">
        <v>125</v>
      </c>
      <c r="X2724" t="s">
        <v>125</v>
      </c>
      <c r="Y2724" t="s">
        <v>125</v>
      </c>
      <c r="Z2724" t="s">
        <v>125</v>
      </c>
      <c r="AA2724" t="s">
        <v>125</v>
      </c>
      <c r="AB2724" t="s">
        <v>125</v>
      </c>
      <c r="AC2724" t="s">
        <v>125</v>
      </c>
      <c r="AE2724" t="s">
        <v>125</v>
      </c>
      <c r="AF2724">
        <v>0</v>
      </c>
      <c r="AG2724" t="s">
        <v>125</v>
      </c>
      <c r="AH2724">
        <v>0</v>
      </c>
      <c r="AK2724">
        <v>0</v>
      </c>
    </row>
    <row r="2725" spans="1:37" x14ac:dyDescent="0.25">
      <c r="A2725" t="s">
        <v>79</v>
      </c>
      <c r="B2725">
        <v>11</v>
      </c>
      <c r="C2725">
        <v>1</v>
      </c>
      <c r="D2725">
        <v>4</v>
      </c>
      <c r="E2725">
        <v>1</v>
      </c>
      <c r="G2725">
        <v>1114</v>
      </c>
      <c r="H2725" t="s">
        <v>63</v>
      </c>
      <c r="I2725" t="s">
        <v>80</v>
      </c>
      <c r="J2725" t="s">
        <v>141</v>
      </c>
      <c r="L2725">
        <v>0</v>
      </c>
      <c r="M2725" t="s">
        <v>125</v>
      </c>
      <c r="O2725" t="s">
        <v>125</v>
      </c>
      <c r="P2725" t="s">
        <v>125</v>
      </c>
      <c r="Q2725" t="s">
        <v>125</v>
      </c>
      <c r="R2725" t="s">
        <v>125</v>
      </c>
      <c r="S2725" t="s">
        <v>125</v>
      </c>
      <c r="T2725">
        <v>0</v>
      </c>
      <c r="V2725" t="s">
        <v>125</v>
      </c>
      <c r="AE2725" t="s">
        <v>125</v>
      </c>
      <c r="AF2725">
        <v>0</v>
      </c>
      <c r="AG2725" t="s">
        <v>125</v>
      </c>
      <c r="AH2725">
        <v>0</v>
      </c>
      <c r="AK2725">
        <v>0</v>
      </c>
    </row>
    <row r="2726" spans="1:37" x14ac:dyDescent="0.25">
      <c r="A2726" t="s">
        <v>79</v>
      </c>
      <c r="B2726">
        <v>11</v>
      </c>
      <c r="C2726">
        <v>1</v>
      </c>
      <c r="D2726">
        <v>4</v>
      </c>
      <c r="E2726">
        <v>2</v>
      </c>
      <c r="G2726">
        <v>1114</v>
      </c>
      <c r="H2726" t="s">
        <v>63</v>
      </c>
      <c r="I2726" t="s">
        <v>88</v>
      </c>
      <c r="J2726" t="s">
        <v>142</v>
      </c>
      <c r="L2726">
        <v>0</v>
      </c>
      <c r="M2726" t="s">
        <v>125</v>
      </c>
      <c r="O2726" t="s">
        <v>125</v>
      </c>
      <c r="P2726" t="s">
        <v>125</v>
      </c>
      <c r="Q2726" t="s">
        <v>125</v>
      </c>
      <c r="R2726" t="s">
        <v>125</v>
      </c>
      <c r="S2726" t="s">
        <v>125</v>
      </c>
      <c r="T2726">
        <v>0</v>
      </c>
      <c r="V2726" t="s">
        <v>125</v>
      </c>
      <c r="AE2726" t="s">
        <v>125</v>
      </c>
      <c r="AF2726">
        <v>0</v>
      </c>
      <c r="AG2726" t="s">
        <v>125</v>
      </c>
      <c r="AH2726">
        <v>0</v>
      </c>
      <c r="AK2726">
        <v>0</v>
      </c>
    </row>
    <row r="2727" spans="1:37" x14ac:dyDescent="0.25">
      <c r="A2727" t="s">
        <v>79</v>
      </c>
      <c r="B2727">
        <v>11</v>
      </c>
      <c r="C2727">
        <v>1</v>
      </c>
      <c r="D2727">
        <v>4</v>
      </c>
      <c r="E2727">
        <v>3</v>
      </c>
      <c r="G2727">
        <v>1114</v>
      </c>
      <c r="H2727" t="s">
        <v>63</v>
      </c>
      <c r="I2727" t="s">
        <v>95</v>
      </c>
      <c r="J2727" t="s">
        <v>143</v>
      </c>
      <c r="L2727">
        <v>0</v>
      </c>
      <c r="M2727" t="s">
        <v>125</v>
      </c>
      <c r="O2727" t="s">
        <v>125</v>
      </c>
      <c r="P2727" t="s">
        <v>125</v>
      </c>
      <c r="Q2727" t="s">
        <v>125</v>
      </c>
      <c r="R2727" t="s">
        <v>125</v>
      </c>
      <c r="S2727" t="s">
        <v>125</v>
      </c>
      <c r="T2727">
        <v>0</v>
      </c>
      <c r="V2727" t="s">
        <v>125</v>
      </c>
      <c r="AE2727" t="s">
        <v>125</v>
      </c>
      <c r="AF2727">
        <v>0</v>
      </c>
      <c r="AG2727" t="s">
        <v>125</v>
      </c>
      <c r="AH2727">
        <v>0</v>
      </c>
      <c r="AK2727">
        <v>0</v>
      </c>
    </row>
    <row r="2728" spans="1:37" x14ac:dyDescent="0.25">
      <c r="A2728" t="s">
        <v>79</v>
      </c>
      <c r="B2728">
        <v>11</v>
      </c>
      <c r="C2728">
        <v>1</v>
      </c>
      <c r="D2728">
        <v>4</v>
      </c>
      <c r="E2728">
        <v>4</v>
      </c>
      <c r="G2728">
        <v>1114</v>
      </c>
      <c r="H2728" t="s">
        <v>63</v>
      </c>
      <c r="I2728" t="s">
        <v>102</v>
      </c>
      <c r="J2728" t="s">
        <v>144</v>
      </c>
      <c r="L2728">
        <v>0</v>
      </c>
      <c r="M2728" t="s">
        <v>125</v>
      </c>
      <c r="O2728" t="s">
        <v>125</v>
      </c>
      <c r="P2728" t="s">
        <v>125</v>
      </c>
      <c r="Q2728" t="s">
        <v>125</v>
      </c>
      <c r="R2728" t="s">
        <v>125</v>
      </c>
      <c r="S2728" t="s">
        <v>125</v>
      </c>
      <c r="T2728">
        <v>0</v>
      </c>
      <c r="V2728" t="s">
        <v>125</v>
      </c>
      <c r="AE2728" t="s">
        <v>125</v>
      </c>
      <c r="AF2728">
        <v>0</v>
      </c>
      <c r="AG2728" t="s">
        <v>125</v>
      </c>
      <c r="AH2728">
        <v>0</v>
      </c>
      <c r="AK2728">
        <v>0</v>
      </c>
    </row>
    <row r="2729" spans="1:37" x14ac:dyDescent="0.25">
      <c r="A2729" t="s">
        <v>79</v>
      </c>
      <c r="B2729">
        <v>11</v>
      </c>
      <c r="C2729">
        <v>1</v>
      </c>
      <c r="D2729">
        <v>4</v>
      </c>
      <c r="E2729">
        <v>5</v>
      </c>
      <c r="G2729">
        <v>1114</v>
      </c>
      <c r="H2729" t="s">
        <v>63</v>
      </c>
      <c r="I2729" t="s">
        <v>109</v>
      </c>
      <c r="J2729" t="s">
        <v>145</v>
      </c>
      <c r="L2729">
        <v>0</v>
      </c>
      <c r="M2729" t="s">
        <v>125</v>
      </c>
      <c r="O2729" t="s">
        <v>125</v>
      </c>
      <c r="P2729" t="s">
        <v>125</v>
      </c>
      <c r="Q2729" t="s">
        <v>125</v>
      </c>
      <c r="R2729" t="s">
        <v>125</v>
      </c>
      <c r="S2729" t="s">
        <v>125</v>
      </c>
      <c r="T2729">
        <v>0</v>
      </c>
      <c r="V2729" t="s">
        <v>125</v>
      </c>
      <c r="AE2729" t="s">
        <v>125</v>
      </c>
      <c r="AF2729">
        <v>0</v>
      </c>
      <c r="AG2729" t="s">
        <v>125</v>
      </c>
      <c r="AH2729">
        <v>0</v>
      </c>
      <c r="AK2729">
        <v>0</v>
      </c>
    </row>
    <row r="2730" spans="1:37" x14ac:dyDescent="0.25">
      <c r="A2730" t="s">
        <v>79</v>
      </c>
      <c r="B2730">
        <v>11</v>
      </c>
      <c r="C2730">
        <v>1</v>
      </c>
      <c r="D2730">
        <v>4</v>
      </c>
      <c r="E2730">
        <v>6</v>
      </c>
      <c r="G2730">
        <v>1114</v>
      </c>
      <c r="H2730" t="s">
        <v>63</v>
      </c>
      <c r="I2730" t="s">
        <v>116</v>
      </c>
      <c r="J2730" t="s">
        <v>146</v>
      </c>
      <c r="L2730">
        <v>0</v>
      </c>
      <c r="M2730" t="s">
        <v>125</v>
      </c>
      <c r="O2730" t="s">
        <v>125</v>
      </c>
      <c r="P2730" t="s">
        <v>125</v>
      </c>
      <c r="Q2730" t="s">
        <v>125</v>
      </c>
      <c r="R2730" t="s">
        <v>125</v>
      </c>
      <c r="S2730" t="s">
        <v>125</v>
      </c>
      <c r="T2730">
        <v>0</v>
      </c>
      <c r="V2730" t="s">
        <v>125</v>
      </c>
      <c r="AE2730" t="s">
        <v>125</v>
      </c>
      <c r="AF2730">
        <v>0</v>
      </c>
      <c r="AG2730" t="s">
        <v>125</v>
      </c>
      <c r="AH2730">
        <v>0</v>
      </c>
      <c r="AK2730">
        <v>0</v>
      </c>
    </row>
    <row r="2731" spans="1:37" x14ac:dyDescent="0.25">
      <c r="A2731" t="s">
        <v>79</v>
      </c>
      <c r="B2731">
        <v>11</v>
      </c>
      <c r="C2731">
        <v>1</v>
      </c>
      <c r="D2731">
        <v>4</v>
      </c>
      <c r="E2731">
        <v>7</v>
      </c>
      <c r="G2731">
        <v>1114</v>
      </c>
      <c r="H2731" t="s">
        <v>63</v>
      </c>
      <c r="I2731" t="s">
        <v>123</v>
      </c>
      <c r="J2731" t="s">
        <v>147</v>
      </c>
      <c r="L2731">
        <v>0</v>
      </c>
      <c r="M2731" t="s">
        <v>125</v>
      </c>
      <c r="O2731" t="s">
        <v>125</v>
      </c>
      <c r="P2731" t="s">
        <v>125</v>
      </c>
      <c r="Q2731" t="s">
        <v>125</v>
      </c>
      <c r="R2731" t="s">
        <v>125</v>
      </c>
      <c r="S2731" t="s">
        <v>125</v>
      </c>
      <c r="T2731">
        <v>0</v>
      </c>
      <c r="V2731" t="s">
        <v>125</v>
      </c>
      <c r="AE2731" t="s">
        <v>125</v>
      </c>
      <c r="AF2731">
        <v>0</v>
      </c>
      <c r="AG2731" t="s">
        <v>125</v>
      </c>
      <c r="AH2731">
        <v>0</v>
      </c>
      <c r="AK2731">
        <v>0</v>
      </c>
    </row>
    <row r="2732" spans="1:37" x14ac:dyDescent="0.25">
      <c r="A2732" t="s">
        <v>79</v>
      </c>
      <c r="B2732">
        <v>11</v>
      </c>
      <c r="C2732">
        <v>1</v>
      </c>
      <c r="D2732">
        <v>4</v>
      </c>
      <c r="E2732">
        <v>8</v>
      </c>
      <c r="G2732">
        <v>1114</v>
      </c>
      <c r="H2732" t="s">
        <v>63</v>
      </c>
      <c r="I2732" t="s">
        <v>126</v>
      </c>
      <c r="J2732" t="s">
        <v>148</v>
      </c>
      <c r="L2732">
        <v>0</v>
      </c>
      <c r="M2732" t="s">
        <v>125</v>
      </c>
      <c r="O2732" t="s">
        <v>125</v>
      </c>
      <c r="P2732" t="s">
        <v>125</v>
      </c>
      <c r="Q2732" t="s">
        <v>125</v>
      </c>
      <c r="R2732" t="s">
        <v>125</v>
      </c>
      <c r="S2732" t="s">
        <v>125</v>
      </c>
      <c r="T2732">
        <v>0</v>
      </c>
      <c r="V2732" t="s">
        <v>125</v>
      </c>
      <c r="AE2732" t="s">
        <v>125</v>
      </c>
      <c r="AF2732">
        <v>0</v>
      </c>
      <c r="AG2732" t="s">
        <v>125</v>
      </c>
      <c r="AH2732">
        <v>0</v>
      </c>
      <c r="AK2732">
        <v>0</v>
      </c>
    </row>
    <row r="2733" spans="1:37" x14ac:dyDescent="0.25">
      <c r="A2733" t="s">
        <v>79</v>
      </c>
      <c r="B2733">
        <v>11</v>
      </c>
      <c r="C2733">
        <v>1</v>
      </c>
      <c r="D2733">
        <v>4</v>
      </c>
      <c r="E2733">
        <v>9</v>
      </c>
      <c r="G2733">
        <v>1114</v>
      </c>
      <c r="H2733" t="s">
        <v>63</v>
      </c>
      <c r="I2733" t="s">
        <v>74</v>
      </c>
      <c r="J2733" t="s">
        <v>149</v>
      </c>
      <c r="L2733">
        <v>0</v>
      </c>
      <c r="M2733" t="s">
        <v>125</v>
      </c>
      <c r="O2733" t="s">
        <v>125</v>
      </c>
      <c r="P2733" t="s">
        <v>125</v>
      </c>
      <c r="Q2733" t="s">
        <v>125</v>
      </c>
      <c r="R2733" t="s">
        <v>125</v>
      </c>
      <c r="S2733" t="s">
        <v>125</v>
      </c>
      <c r="T2733">
        <v>0</v>
      </c>
      <c r="V2733" t="s">
        <v>125</v>
      </c>
      <c r="AE2733" t="s">
        <v>125</v>
      </c>
      <c r="AF2733">
        <v>0</v>
      </c>
      <c r="AG2733" t="s">
        <v>125</v>
      </c>
      <c r="AH2733">
        <v>0</v>
      </c>
      <c r="AK2733">
        <v>0</v>
      </c>
    </row>
    <row r="2734" spans="1:37" x14ac:dyDescent="0.25">
      <c r="A2734" t="s">
        <v>79</v>
      </c>
      <c r="B2734">
        <v>11</v>
      </c>
      <c r="C2734">
        <v>1</v>
      </c>
      <c r="D2734">
        <v>4</v>
      </c>
      <c r="E2734">
        <v>10</v>
      </c>
      <c r="G2734">
        <v>1114</v>
      </c>
      <c r="H2734" t="s">
        <v>63</v>
      </c>
      <c r="I2734" t="s">
        <v>129</v>
      </c>
      <c r="J2734" t="s">
        <v>150</v>
      </c>
      <c r="L2734">
        <v>0</v>
      </c>
      <c r="M2734" t="s">
        <v>125</v>
      </c>
      <c r="O2734" t="s">
        <v>125</v>
      </c>
      <c r="P2734" t="s">
        <v>125</v>
      </c>
      <c r="Q2734" t="s">
        <v>125</v>
      </c>
      <c r="R2734" t="s">
        <v>125</v>
      </c>
      <c r="S2734" t="s">
        <v>125</v>
      </c>
      <c r="T2734">
        <v>0</v>
      </c>
      <c r="V2734" t="s">
        <v>125</v>
      </c>
      <c r="AE2734" t="s">
        <v>125</v>
      </c>
      <c r="AF2734">
        <v>0</v>
      </c>
      <c r="AG2734" t="s">
        <v>125</v>
      </c>
      <c r="AH2734">
        <v>0</v>
      </c>
      <c r="AK2734">
        <v>0</v>
      </c>
    </row>
    <row r="2735" spans="1:37" x14ac:dyDescent="0.25">
      <c r="A2735" t="s">
        <v>79</v>
      </c>
      <c r="B2735">
        <v>11</v>
      </c>
      <c r="C2735">
        <v>1</v>
      </c>
      <c r="D2735">
        <v>4</v>
      </c>
      <c r="E2735">
        <v>11</v>
      </c>
      <c r="G2735">
        <v>1114</v>
      </c>
      <c r="H2735" t="s">
        <v>63</v>
      </c>
      <c r="I2735" t="s">
        <v>131</v>
      </c>
      <c r="J2735" t="s">
        <v>151</v>
      </c>
      <c r="L2735">
        <v>0</v>
      </c>
      <c r="M2735" t="s">
        <v>125</v>
      </c>
      <c r="O2735" t="s">
        <v>125</v>
      </c>
      <c r="P2735" t="s">
        <v>125</v>
      </c>
      <c r="Q2735" t="s">
        <v>125</v>
      </c>
      <c r="R2735" t="s">
        <v>125</v>
      </c>
      <c r="S2735" t="s">
        <v>125</v>
      </c>
      <c r="T2735">
        <v>0</v>
      </c>
      <c r="V2735" t="s">
        <v>125</v>
      </c>
      <c r="AE2735" t="s">
        <v>125</v>
      </c>
      <c r="AF2735">
        <v>0</v>
      </c>
      <c r="AG2735" t="s">
        <v>125</v>
      </c>
      <c r="AH2735">
        <v>0</v>
      </c>
      <c r="AK2735">
        <v>0</v>
      </c>
    </row>
    <row r="2736" spans="1:37" x14ac:dyDescent="0.25">
      <c r="A2736" t="s">
        <v>79</v>
      </c>
      <c r="B2736">
        <v>11</v>
      </c>
      <c r="C2736">
        <v>1</v>
      </c>
      <c r="D2736">
        <v>4</v>
      </c>
      <c r="E2736">
        <v>12</v>
      </c>
      <c r="G2736">
        <v>1114</v>
      </c>
      <c r="H2736" t="s">
        <v>63</v>
      </c>
      <c r="I2736" t="s">
        <v>133</v>
      </c>
      <c r="J2736" t="s">
        <v>152</v>
      </c>
      <c r="L2736">
        <v>0</v>
      </c>
      <c r="M2736" t="s">
        <v>125</v>
      </c>
      <c r="O2736" t="s">
        <v>125</v>
      </c>
      <c r="P2736" t="s">
        <v>125</v>
      </c>
      <c r="Q2736" t="s">
        <v>125</v>
      </c>
      <c r="R2736" t="s">
        <v>125</v>
      </c>
      <c r="S2736" t="s">
        <v>125</v>
      </c>
      <c r="T2736">
        <v>0</v>
      </c>
      <c r="V2736" t="s">
        <v>125</v>
      </c>
      <c r="AE2736" t="s">
        <v>125</v>
      </c>
      <c r="AF2736">
        <v>0</v>
      </c>
      <c r="AG2736" t="s">
        <v>125</v>
      </c>
      <c r="AH2736">
        <v>0</v>
      </c>
      <c r="AK2736">
        <v>0</v>
      </c>
    </row>
    <row r="2737" spans="1:37" x14ac:dyDescent="0.25">
      <c r="A2737" t="s">
        <v>79</v>
      </c>
      <c r="B2737">
        <v>11</v>
      </c>
      <c r="C2737">
        <v>1</v>
      </c>
      <c r="D2737">
        <v>4</v>
      </c>
      <c r="E2737">
        <v>13</v>
      </c>
      <c r="G2737">
        <v>1114</v>
      </c>
      <c r="H2737" t="s">
        <v>63</v>
      </c>
      <c r="I2737" t="s">
        <v>135</v>
      </c>
      <c r="J2737" t="s">
        <v>153</v>
      </c>
      <c r="L2737">
        <v>0</v>
      </c>
      <c r="M2737" t="s">
        <v>125</v>
      </c>
      <c r="O2737" t="s">
        <v>125</v>
      </c>
      <c r="P2737" t="s">
        <v>125</v>
      </c>
      <c r="Q2737" t="s">
        <v>125</v>
      </c>
      <c r="R2737" t="s">
        <v>125</v>
      </c>
      <c r="S2737" t="s">
        <v>125</v>
      </c>
      <c r="T2737">
        <v>0</v>
      </c>
      <c r="V2737" t="s">
        <v>125</v>
      </c>
      <c r="AE2737" t="s">
        <v>125</v>
      </c>
      <c r="AF2737">
        <v>0</v>
      </c>
      <c r="AG2737" t="s">
        <v>125</v>
      </c>
      <c r="AH2737">
        <v>0</v>
      </c>
      <c r="AK2737">
        <v>0</v>
      </c>
    </row>
    <row r="2738" spans="1:37" x14ac:dyDescent="0.25">
      <c r="A2738" t="s">
        <v>79</v>
      </c>
      <c r="B2738">
        <v>11</v>
      </c>
      <c r="C2738">
        <v>1</v>
      </c>
      <c r="D2738">
        <v>4</v>
      </c>
      <c r="E2738">
        <v>14</v>
      </c>
      <c r="G2738">
        <v>1114</v>
      </c>
      <c r="H2738" t="s">
        <v>63</v>
      </c>
      <c r="I2738" t="s">
        <v>137</v>
      </c>
      <c r="J2738" t="s">
        <v>154</v>
      </c>
      <c r="L2738">
        <v>0</v>
      </c>
      <c r="M2738" t="s">
        <v>125</v>
      </c>
      <c r="O2738" t="s">
        <v>125</v>
      </c>
      <c r="P2738" t="s">
        <v>125</v>
      </c>
      <c r="Q2738" t="s">
        <v>125</v>
      </c>
      <c r="R2738" t="s">
        <v>125</v>
      </c>
      <c r="S2738" t="s">
        <v>125</v>
      </c>
      <c r="T2738">
        <v>0</v>
      </c>
      <c r="V2738" t="s">
        <v>125</v>
      </c>
      <c r="AE2738" t="s">
        <v>125</v>
      </c>
      <c r="AF2738">
        <v>0</v>
      </c>
      <c r="AG2738" t="s">
        <v>125</v>
      </c>
      <c r="AH2738">
        <v>0</v>
      </c>
      <c r="AK2738">
        <v>0</v>
      </c>
    </row>
    <row r="2739" spans="1:37" x14ac:dyDescent="0.25">
      <c r="A2739" t="s">
        <v>79</v>
      </c>
      <c r="B2739">
        <v>11</v>
      </c>
      <c r="C2739">
        <v>1</v>
      </c>
      <c r="D2739">
        <v>4</v>
      </c>
      <c r="E2739">
        <v>15</v>
      </c>
      <c r="G2739">
        <v>1114</v>
      </c>
      <c r="H2739" t="s">
        <v>63</v>
      </c>
      <c r="I2739" t="s">
        <v>139</v>
      </c>
      <c r="J2739" t="s">
        <v>155</v>
      </c>
      <c r="L2739">
        <v>0</v>
      </c>
      <c r="M2739" t="s">
        <v>125</v>
      </c>
      <c r="O2739" t="s">
        <v>125</v>
      </c>
      <c r="P2739" t="s">
        <v>125</v>
      </c>
      <c r="Q2739" t="s">
        <v>125</v>
      </c>
      <c r="R2739" t="s">
        <v>125</v>
      </c>
      <c r="S2739" t="s">
        <v>125</v>
      </c>
      <c r="T2739">
        <v>0</v>
      </c>
      <c r="V2739" t="s">
        <v>125</v>
      </c>
      <c r="AE2739" t="s">
        <v>125</v>
      </c>
      <c r="AF2739">
        <v>0</v>
      </c>
      <c r="AG2739" t="s">
        <v>125</v>
      </c>
      <c r="AH2739">
        <v>0</v>
      </c>
      <c r="AK2739">
        <v>0</v>
      </c>
    </row>
    <row r="2740" spans="1:37" x14ac:dyDescent="0.25">
      <c r="L2740">
        <v>0</v>
      </c>
    </row>
    <row r="2741" spans="1:37" x14ac:dyDescent="0.25">
      <c r="A2741" t="s">
        <v>70</v>
      </c>
      <c r="B2741">
        <v>11</v>
      </c>
      <c r="C2741">
        <v>1</v>
      </c>
      <c r="D2741">
        <v>5</v>
      </c>
      <c r="G2741">
        <v>111</v>
      </c>
      <c r="L2741">
        <v>0</v>
      </c>
      <c r="M2741" t="s">
        <v>125</v>
      </c>
      <c r="P2741" t="s">
        <v>125</v>
      </c>
      <c r="R2741" t="s">
        <v>125</v>
      </c>
      <c r="S2741" t="s">
        <v>63</v>
      </c>
      <c r="V2741" t="s">
        <v>125</v>
      </c>
      <c r="X2741" t="s">
        <v>125</v>
      </c>
      <c r="Y2741" t="s">
        <v>125</v>
      </c>
      <c r="Z2741" t="s">
        <v>125</v>
      </c>
      <c r="AA2741" t="s">
        <v>125</v>
      </c>
      <c r="AB2741" t="s">
        <v>125</v>
      </c>
      <c r="AC2741" t="s">
        <v>125</v>
      </c>
      <c r="AE2741" t="s">
        <v>125</v>
      </c>
      <c r="AF2741">
        <v>0</v>
      </c>
      <c r="AG2741" t="s">
        <v>125</v>
      </c>
      <c r="AH2741">
        <v>0</v>
      </c>
      <c r="AK2741">
        <v>0</v>
      </c>
    </row>
    <row r="2742" spans="1:37" x14ac:dyDescent="0.25">
      <c r="A2742" t="s">
        <v>79</v>
      </c>
      <c r="B2742">
        <v>11</v>
      </c>
      <c r="C2742">
        <v>1</v>
      </c>
      <c r="D2742">
        <v>5</v>
      </c>
      <c r="E2742">
        <v>1</v>
      </c>
      <c r="G2742">
        <v>1115</v>
      </c>
      <c r="H2742" t="s">
        <v>63</v>
      </c>
      <c r="I2742" t="s">
        <v>80</v>
      </c>
      <c r="J2742" t="s">
        <v>141</v>
      </c>
      <c r="L2742">
        <v>0</v>
      </c>
      <c r="M2742" t="s">
        <v>125</v>
      </c>
      <c r="O2742" t="s">
        <v>125</v>
      </c>
      <c r="P2742" t="s">
        <v>125</v>
      </c>
      <c r="Q2742" t="s">
        <v>125</v>
      </c>
      <c r="R2742" t="s">
        <v>125</v>
      </c>
      <c r="S2742" t="s">
        <v>125</v>
      </c>
      <c r="T2742">
        <v>0</v>
      </c>
      <c r="V2742" t="s">
        <v>125</v>
      </c>
      <c r="AE2742" t="s">
        <v>125</v>
      </c>
      <c r="AF2742">
        <v>0</v>
      </c>
      <c r="AG2742" t="s">
        <v>125</v>
      </c>
      <c r="AH2742">
        <v>0</v>
      </c>
      <c r="AK2742">
        <v>0</v>
      </c>
    </row>
    <row r="2743" spans="1:37" x14ac:dyDescent="0.25">
      <c r="A2743" t="s">
        <v>79</v>
      </c>
      <c r="B2743">
        <v>11</v>
      </c>
      <c r="C2743">
        <v>1</v>
      </c>
      <c r="D2743">
        <v>5</v>
      </c>
      <c r="E2743">
        <v>2</v>
      </c>
      <c r="G2743">
        <v>1115</v>
      </c>
      <c r="H2743" t="s">
        <v>63</v>
      </c>
      <c r="I2743" t="s">
        <v>88</v>
      </c>
      <c r="J2743" t="s">
        <v>142</v>
      </c>
      <c r="L2743">
        <v>0</v>
      </c>
      <c r="M2743" t="s">
        <v>125</v>
      </c>
      <c r="O2743" t="s">
        <v>125</v>
      </c>
      <c r="P2743" t="s">
        <v>125</v>
      </c>
      <c r="Q2743" t="s">
        <v>125</v>
      </c>
      <c r="R2743" t="s">
        <v>125</v>
      </c>
      <c r="S2743" t="s">
        <v>125</v>
      </c>
      <c r="T2743">
        <v>0</v>
      </c>
      <c r="V2743" t="s">
        <v>125</v>
      </c>
      <c r="AE2743" t="s">
        <v>125</v>
      </c>
      <c r="AF2743">
        <v>0</v>
      </c>
      <c r="AG2743" t="s">
        <v>125</v>
      </c>
      <c r="AH2743">
        <v>0</v>
      </c>
      <c r="AK2743">
        <v>0</v>
      </c>
    </row>
    <row r="2744" spans="1:37" x14ac:dyDescent="0.25">
      <c r="A2744" t="s">
        <v>79</v>
      </c>
      <c r="B2744">
        <v>11</v>
      </c>
      <c r="C2744">
        <v>1</v>
      </c>
      <c r="D2744">
        <v>5</v>
      </c>
      <c r="E2744">
        <v>3</v>
      </c>
      <c r="G2744">
        <v>1115</v>
      </c>
      <c r="H2744" t="s">
        <v>63</v>
      </c>
      <c r="I2744" t="s">
        <v>95</v>
      </c>
      <c r="J2744" t="s">
        <v>143</v>
      </c>
      <c r="L2744">
        <v>0</v>
      </c>
      <c r="M2744" t="s">
        <v>125</v>
      </c>
      <c r="O2744" t="s">
        <v>125</v>
      </c>
      <c r="P2744" t="s">
        <v>125</v>
      </c>
      <c r="Q2744" t="s">
        <v>125</v>
      </c>
      <c r="R2744" t="s">
        <v>125</v>
      </c>
      <c r="S2744" t="s">
        <v>125</v>
      </c>
      <c r="T2744">
        <v>0</v>
      </c>
      <c r="V2744" t="s">
        <v>125</v>
      </c>
      <c r="AE2744" t="s">
        <v>125</v>
      </c>
      <c r="AF2744">
        <v>0</v>
      </c>
      <c r="AG2744" t="s">
        <v>125</v>
      </c>
      <c r="AH2744">
        <v>0</v>
      </c>
      <c r="AK2744">
        <v>0</v>
      </c>
    </row>
    <row r="2745" spans="1:37" x14ac:dyDescent="0.25">
      <c r="A2745" t="s">
        <v>79</v>
      </c>
      <c r="B2745">
        <v>11</v>
      </c>
      <c r="C2745">
        <v>1</v>
      </c>
      <c r="D2745">
        <v>5</v>
      </c>
      <c r="E2745">
        <v>4</v>
      </c>
      <c r="G2745">
        <v>1115</v>
      </c>
      <c r="H2745" t="s">
        <v>63</v>
      </c>
      <c r="I2745" t="s">
        <v>102</v>
      </c>
      <c r="J2745" t="s">
        <v>144</v>
      </c>
      <c r="L2745">
        <v>0</v>
      </c>
      <c r="M2745" t="s">
        <v>125</v>
      </c>
      <c r="O2745" t="s">
        <v>125</v>
      </c>
      <c r="P2745" t="s">
        <v>125</v>
      </c>
      <c r="Q2745" t="s">
        <v>125</v>
      </c>
      <c r="R2745" t="s">
        <v>125</v>
      </c>
      <c r="S2745" t="s">
        <v>125</v>
      </c>
      <c r="T2745">
        <v>0</v>
      </c>
      <c r="V2745" t="s">
        <v>125</v>
      </c>
      <c r="AE2745" t="s">
        <v>125</v>
      </c>
      <c r="AF2745">
        <v>0</v>
      </c>
      <c r="AG2745" t="s">
        <v>125</v>
      </c>
      <c r="AH2745">
        <v>0</v>
      </c>
      <c r="AK2745">
        <v>0</v>
      </c>
    </row>
    <row r="2746" spans="1:37" x14ac:dyDescent="0.25">
      <c r="A2746" t="s">
        <v>79</v>
      </c>
      <c r="B2746">
        <v>11</v>
      </c>
      <c r="C2746">
        <v>1</v>
      </c>
      <c r="D2746">
        <v>5</v>
      </c>
      <c r="E2746">
        <v>5</v>
      </c>
      <c r="G2746">
        <v>1115</v>
      </c>
      <c r="H2746" t="s">
        <v>63</v>
      </c>
      <c r="I2746" t="s">
        <v>109</v>
      </c>
      <c r="J2746" t="s">
        <v>145</v>
      </c>
      <c r="L2746">
        <v>0</v>
      </c>
      <c r="M2746" t="s">
        <v>125</v>
      </c>
      <c r="O2746" t="s">
        <v>125</v>
      </c>
      <c r="P2746" t="s">
        <v>125</v>
      </c>
      <c r="Q2746" t="s">
        <v>125</v>
      </c>
      <c r="R2746" t="s">
        <v>125</v>
      </c>
      <c r="S2746" t="s">
        <v>125</v>
      </c>
      <c r="T2746">
        <v>0</v>
      </c>
      <c r="V2746" t="s">
        <v>125</v>
      </c>
      <c r="AE2746" t="s">
        <v>125</v>
      </c>
      <c r="AF2746">
        <v>0</v>
      </c>
      <c r="AG2746" t="s">
        <v>125</v>
      </c>
      <c r="AH2746">
        <v>0</v>
      </c>
      <c r="AK2746">
        <v>0</v>
      </c>
    </row>
    <row r="2747" spans="1:37" x14ac:dyDescent="0.25">
      <c r="A2747" t="s">
        <v>79</v>
      </c>
      <c r="B2747">
        <v>11</v>
      </c>
      <c r="C2747">
        <v>1</v>
      </c>
      <c r="D2747">
        <v>5</v>
      </c>
      <c r="E2747">
        <v>6</v>
      </c>
      <c r="G2747">
        <v>1115</v>
      </c>
      <c r="H2747" t="s">
        <v>63</v>
      </c>
      <c r="I2747" t="s">
        <v>116</v>
      </c>
      <c r="J2747" t="s">
        <v>146</v>
      </c>
      <c r="L2747">
        <v>0</v>
      </c>
      <c r="M2747" t="s">
        <v>125</v>
      </c>
      <c r="O2747" t="s">
        <v>125</v>
      </c>
      <c r="P2747" t="s">
        <v>125</v>
      </c>
      <c r="Q2747" t="s">
        <v>125</v>
      </c>
      <c r="R2747" t="s">
        <v>125</v>
      </c>
      <c r="S2747" t="s">
        <v>125</v>
      </c>
      <c r="T2747">
        <v>0</v>
      </c>
      <c r="V2747" t="s">
        <v>125</v>
      </c>
      <c r="AE2747" t="s">
        <v>125</v>
      </c>
      <c r="AF2747">
        <v>0</v>
      </c>
      <c r="AG2747" t="s">
        <v>125</v>
      </c>
      <c r="AH2747">
        <v>0</v>
      </c>
      <c r="AK2747">
        <v>0</v>
      </c>
    </row>
    <row r="2748" spans="1:37" x14ac:dyDescent="0.25">
      <c r="A2748" t="s">
        <v>79</v>
      </c>
      <c r="B2748">
        <v>11</v>
      </c>
      <c r="C2748">
        <v>1</v>
      </c>
      <c r="D2748">
        <v>5</v>
      </c>
      <c r="E2748">
        <v>7</v>
      </c>
      <c r="G2748">
        <v>1115</v>
      </c>
      <c r="H2748" t="s">
        <v>63</v>
      </c>
      <c r="I2748" t="s">
        <v>123</v>
      </c>
      <c r="J2748" t="s">
        <v>147</v>
      </c>
      <c r="L2748">
        <v>0</v>
      </c>
      <c r="M2748" t="s">
        <v>125</v>
      </c>
      <c r="O2748" t="s">
        <v>125</v>
      </c>
      <c r="P2748" t="s">
        <v>125</v>
      </c>
      <c r="Q2748" t="s">
        <v>125</v>
      </c>
      <c r="R2748" t="s">
        <v>125</v>
      </c>
      <c r="S2748" t="s">
        <v>125</v>
      </c>
      <c r="T2748">
        <v>0</v>
      </c>
      <c r="V2748" t="s">
        <v>125</v>
      </c>
      <c r="AE2748" t="s">
        <v>125</v>
      </c>
      <c r="AF2748">
        <v>0</v>
      </c>
      <c r="AG2748" t="s">
        <v>125</v>
      </c>
      <c r="AH2748">
        <v>0</v>
      </c>
      <c r="AK2748">
        <v>0</v>
      </c>
    </row>
    <row r="2749" spans="1:37" x14ac:dyDescent="0.25">
      <c r="A2749" t="s">
        <v>79</v>
      </c>
      <c r="B2749">
        <v>11</v>
      </c>
      <c r="C2749">
        <v>1</v>
      </c>
      <c r="D2749">
        <v>5</v>
      </c>
      <c r="E2749">
        <v>8</v>
      </c>
      <c r="G2749">
        <v>1115</v>
      </c>
      <c r="H2749" t="s">
        <v>63</v>
      </c>
      <c r="I2749" t="s">
        <v>126</v>
      </c>
      <c r="J2749" t="s">
        <v>148</v>
      </c>
      <c r="L2749">
        <v>0</v>
      </c>
      <c r="M2749" t="s">
        <v>125</v>
      </c>
      <c r="O2749" t="s">
        <v>125</v>
      </c>
      <c r="P2749" t="s">
        <v>125</v>
      </c>
      <c r="Q2749" t="s">
        <v>125</v>
      </c>
      <c r="R2749" t="s">
        <v>125</v>
      </c>
      <c r="S2749" t="s">
        <v>125</v>
      </c>
      <c r="T2749">
        <v>0</v>
      </c>
      <c r="V2749" t="s">
        <v>125</v>
      </c>
      <c r="AE2749" t="s">
        <v>125</v>
      </c>
      <c r="AF2749">
        <v>0</v>
      </c>
      <c r="AG2749" t="s">
        <v>125</v>
      </c>
      <c r="AH2749">
        <v>0</v>
      </c>
      <c r="AK2749">
        <v>0</v>
      </c>
    </row>
    <row r="2750" spans="1:37" x14ac:dyDescent="0.25">
      <c r="A2750" t="s">
        <v>79</v>
      </c>
      <c r="B2750">
        <v>11</v>
      </c>
      <c r="C2750">
        <v>1</v>
      </c>
      <c r="D2750">
        <v>5</v>
      </c>
      <c r="E2750">
        <v>9</v>
      </c>
      <c r="G2750">
        <v>1115</v>
      </c>
      <c r="H2750" t="s">
        <v>63</v>
      </c>
      <c r="I2750" t="s">
        <v>74</v>
      </c>
      <c r="J2750" t="s">
        <v>149</v>
      </c>
      <c r="L2750">
        <v>0</v>
      </c>
      <c r="M2750" t="s">
        <v>125</v>
      </c>
      <c r="O2750" t="s">
        <v>125</v>
      </c>
      <c r="P2750" t="s">
        <v>125</v>
      </c>
      <c r="Q2750" t="s">
        <v>125</v>
      </c>
      <c r="R2750" t="s">
        <v>125</v>
      </c>
      <c r="S2750" t="s">
        <v>125</v>
      </c>
      <c r="T2750">
        <v>0</v>
      </c>
      <c r="V2750" t="s">
        <v>125</v>
      </c>
      <c r="AE2750" t="s">
        <v>125</v>
      </c>
      <c r="AF2750">
        <v>0</v>
      </c>
      <c r="AG2750" t="s">
        <v>125</v>
      </c>
      <c r="AH2750">
        <v>0</v>
      </c>
      <c r="AK2750">
        <v>0</v>
      </c>
    </row>
    <row r="2751" spans="1:37" x14ac:dyDescent="0.25">
      <c r="A2751" t="s">
        <v>79</v>
      </c>
      <c r="B2751">
        <v>11</v>
      </c>
      <c r="C2751">
        <v>1</v>
      </c>
      <c r="D2751">
        <v>5</v>
      </c>
      <c r="E2751">
        <v>10</v>
      </c>
      <c r="G2751">
        <v>1115</v>
      </c>
      <c r="H2751" t="s">
        <v>63</v>
      </c>
      <c r="I2751" t="s">
        <v>129</v>
      </c>
      <c r="J2751" t="s">
        <v>150</v>
      </c>
      <c r="L2751">
        <v>0</v>
      </c>
      <c r="M2751" t="s">
        <v>125</v>
      </c>
      <c r="O2751" t="s">
        <v>125</v>
      </c>
      <c r="P2751" t="s">
        <v>125</v>
      </c>
      <c r="Q2751" t="s">
        <v>125</v>
      </c>
      <c r="R2751" t="s">
        <v>125</v>
      </c>
      <c r="S2751" t="s">
        <v>125</v>
      </c>
      <c r="T2751">
        <v>0</v>
      </c>
      <c r="V2751" t="s">
        <v>125</v>
      </c>
      <c r="AE2751" t="s">
        <v>125</v>
      </c>
      <c r="AF2751">
        <v>0</v>
      </c>
      <c r="AG2751" t="s">
        <v>125</v>
      </c>
      <c r="AH2751">
        <v>0</v>
      </c>
      <c r="AK2751">
        <v>0</v>
      </c>
    </row>
    <row r="2752" spans="1:37" x14ac:dyDescent="0.25">
      <c r="A2752" t="s">
        <v>79</v>
      </c>
      <c r="B2752">
        <v>11</v>
      </c>
      <c r="C2752">
        <v>1</v>
      </c>
      <c r="D2752">
        <v>5</v>
      </c>
      <c r="E2752">
        <v>11</v>
      </c>
      <c r="G2752">
        <v>1115</v>
      </c>
      <c r="H2752" t="s">
        <v>63</v>
      </c>
      <c r="I2752" t="s">
        <v>131</v>
      </c>
      <c r="J2752" t="s">
        <v>151</v>
      </c>
      <c r="L2752">
        <v>0</v>
      </c>
      <c r="M2752" t="s">
        <v>125</v>
      </c>
      <c r="O2752" t="s">
        <v>125</v>
      </c>
      <c r="P2752" t="s">
        <v>125</v>
      </c>
      <c r="Q2752" t="s">
        <v>125</v>
      </c>
      <c r="R2752" t="s">
        <v>125</v>
      </c>
      <c r="S2752" t="s">
        <v>125</v>
      </c>
      <c r="T2752">
        <v>0</v>
      </c>
      <c r="V2752" t="s">
        <v>125</v>
      </c>
      <c r="AE2752" t="s">
        <v>125</v>
      </c>
      <c r="AF2752">
        <v>0</v>
      </c>
      <c r="AG2752" t="s">
        <v>125</v>
      </c>
      <c r="AH2752">
        <v>0</v>
      </c>
      <c r="AK2752">
        <v>0</v>
      </c>
    </row>
    <row r="2753" spans="1:37" x14ac:dyDescent="0.25">
      <c r="A2753" t="s">
        <v>79</v>
      </c>
      <c r="B2753">
        <v>11</v>
      </c>
      <c r="C2753">
        <v>1</v>
      </c>
      <c r="D2753">
        <v>5</v>
      </c>
      <c r="E2753">
        <v>12</v>
      </c>
      <c r="G2753">
        <v>1115</v>
      </c>
      <c r="H2753" t="s">
        <v>63</v>
      </c>
      <c r="I2753" t="s">
        <v>133</v>
      </c>
      <c r="J2753" t="s">
        <v>152</v>
      </c>
      <c r="L2753">
        <v>0</v>
      </c>
      <c r="M2753" t="s">
        <v>125</v>
      </c>
      <c r="O2753" t="s">
        <v>125</v>
      </c>
      <c r="P2753" t="s">
        <v>125</v>
      </c>
      <c r="Q2753" t="s">
        <v>125</v>
      </c>
      <c r="R2753" t="s">
        <v>125</v>
      </c>
      <c r="S2753" t="s">
        <v>125</v>
      </c>
      <c r="T2753">
        <v>0</v>
      </c>
      <c r="V2753" t="s">
        <v>125</v>
      </c>
      <c r="AE2753" t="s">
        <v>125</v>
      </c>
      <c r="AF2753">
        <v>0</v>
      </c>
      <c r="AG2753" t="s">
        <v>125</v>
      </c>
      <c r="AH2753">
        <v>0</v>
      </c>
      <c r="AK2753">
        <v>0</v>
      </c>
    </row>
    <row r="2754" spans="1:37" x14ac:dyDescent="0.25">
      <c r="A2754" t="s">
        <v>79</v>
      </c>
      <c r="B2754">
        <v>11</v>
      </c>
      <c r="C2754">
        <v>1</v>
      </c>
      <c r="D2754">
        <v>5</v>
      </c>
      <c r="E2754">
        <v>13</v>
      </c>
      <c r="G2754">
        <v>1115</v>
      </c>
      <c r="H2754" t="s">
        <v>63</v>
      </c>
      <c r="I2754" t="s">
        <v>135</v>
      </c>
      <c r="J2754" t="s">
        <v>153</v>
      </c>
      <c r="L2754">
        <v>0</v>
      </c>
      <c r="M2754" t="s">
        <v>125</v>
      </c>
      <c r="O2754" t="s">
        <v>125</v>
      </c>
      <c r="P2754" t="s">
        <v>125</v>
      </c>
      <c r="Q2754" t="s">
        <v>125</v>
      </c>
      <c r="R2754" t="s">
        <v>125</v>
      </c>
      <c r="S2754" t="s">
        <v>125</v>
      </c>
      <c r="T2754">
        <v>0</v>
      </c>
      <c r="V2754" t="s">
        <v>125</v>
      </c>
      <c r="AE2754" t="s">
        <v>125</v>
      </c>
      <c r="AF2754">
        <v>0</v>
      </c>
      <c r="AG2754" t="s">
        <v>125</v>
      </c>
      <c r="AH2754">
        <v>0</v>
      </c>
      <c r="AK2754">
        <v>0</v>
      </c>
    </row>
    <row r="2755" spans="1:37" x14ac:dyDescent="0.25">
      <c r="A2755" t="s">
        <v>79</v>
      </c>
      <c r="B2755">
        <v>11</v>
      </c>
      <c r="C2755">
        <v>1</v>
      </c>
      <c r="D2755">
        <v>5</v>
      </c>
      <c r="E2755">
        <v>14</v>
      </c>
      <c r="G2755">
        <v>1115</v>
      </c>
      <c r="H2755" t="s">
        <v>63</v>
      </c>
      <c r="I2755" t="s">
        <v>137</v>
      </c>
      <c r="J2755" t="s">
        <v>154</v>
      </c>
      <c r="L2755">
        <v>0</v>
      </c>
      <c r="M2755" t="s">
        <v>125</v>
      </c>
      <c r="O2755" t="s">
        <v>125</v>
      </c>
      <c r="P2755" t="s">
        <v>125</v>
      </c>
      <c r="Q2755" t="s">
        <v>125</v>
      </c>
      <c r="R2755" t="s">
        <v>125</v>
      </c>
      <c r="S2755" t="s">
        <v>125</v>
      </c>
      <c r="T2755">
        <v>0</v>
      </c>
      <c r="V2755" t="s">
        <v>125</v>
      </c>
      <c r="AE2755" t="s">
        <v>125</v>
      </c>
      <c r="AF2755">
        <v>0</v>
      </c>
      <c r="AG2755" t="s">
        <v>125</v>
      </c>
      <c r="AH2755">
        <v>0</v>
      </c>
      <c r="AK2755">
        <v>0</v>
      </c>
    </row>
    <row r="2756" spans="1:37" x14ac:dyDescent="0.25">
      <c r="A2756" t="s">
        <v>79</v>
      </c>
      <c r="B2756">
        <v>11</v>
      </c>
      <c r="C2756">
        <v>1</v>
      </c>
      <c r="D2756">
        <v>5</v>
      </c>
      <c r="E2756">
        <v>15</v>
      </c>
      <c r="G2756">
        <v>1115</v>
      </c>
      <c r="H2756" t="s">
        <v>63</v>
      </c>
      <c r="I2756" t="s">
        <v>139</v>
      </c>
      <c r="J2756" t="s">
        <v>155</v>
      </c>
      <c r="L2756">
        <v>0</v>
      </c>
      <c r="M2756" t="s">
        <v>125</v>
      </c>
      <c r="O2756" t="s">
        <v>125</v>
      </c>
      <c r="P2756" t="s">
        <v>125</v>
      </c>
      <c r="Q2756" t="s">
        <v>125</v>
      </c>
      <c r="R2756" t="s">
        <v>125</v>
      </c>
      <c r="S2756" t="s">
        <v>125</v>
      </c>
      <c r="T2756">
        <v>0</v>
      </c>
      <c r="V2756" t="s">
        <v>125</v>
      </c>
      <c r="AE2756" t="s">
        <v>125</v>
      </c>
      <c r="AF2756">
        <v>0</v>
      </c>
      <c r="AG2756" t="s">
        <v>125</v>
      </c>
      <c r="AH2756">
        <v>0</v>
      </c>
      <c r="AK2756">
        <v>0</v>
      </c>
    </row>
    <row r="2757" spans="1:37" x14ac:dyDescent="0.25">
      <c r="L2757">
        <v>0</v>
      </c>
    </row>
    <row r="2758" spans="1:37" x14ac:dyDescent="0.25">
      <c r="L2758">
        <v>0</v>
      </c>
    </row>
    <row r="2759" spans="1:37" x14ac:dyDescent="0.25">
      <c r="A2759" t="s">
        <v>66</v>
      </c>
      <c r="B2759">
        <v>11</v>
      </c>
      <c r="C2759">
        <v>2</v>
      </c>
      <c r="G2759">
        <v>11</v>
      </c>
      <c r="H2759" t="s">
        <v>3654</v>
      </c>
      <c r="I2759" t="s">
        <v>3714</v>
      </c>
      <c r="M2759" t="s">
        <v>3715</v>
      </c>
      <c r="N2759" t="s">
        <v>3714</v>
      </c>
      <c r="P2759" t="s">
        <v>3716</v>
      </c>
      <c r="V2759" t="s">
        <v>3717</v>
      </c>
      <c r="Y2759" t="s">
        <v>3718</v>
      </c>
      <c r="AA2759" t="s">
        <v>3719</v>
      </c>
      <c r="AC2759" t="s">
        <v>3659</v>
      </c>
      <c r="AE2759" t="s">
        <v>3720</v>
      </c>
      <c r="AF2759">
        <v>0</v>
      </c>
      <c r="AG2759" t="s">
        <v>3721</v>
      </c>
      <c r="AH2759">
        <v>0</v>
      </c>
      <c r="AK2759">
        <v>0</v>
      </c>
    </row>
    <row r="2760" spans="1:37" x14ac:dyDescent="0.25">
      <c r="L2760">
        <v>0</v>
      </c>
    </row>
    <row r="2761" spans="1:37" x14ac:dyDescent="0.25">
      <c r="A2761" t="s">
        <v>70</v>
      </c>
      <c r="B2761">
        <v>11</v>
      </c>
      <c r="C2761">
        <v>2</v>
      </c>
      <c r="D2761">
        <v>1</v>
      </c>
      <c r="G2761">
        <v>112</v>
      </c>
      <c r="M2761" t="s">
        <v>3722</v>
      </c>
      <c r="O2761" t="s">
        <v>3723</v>
      </c>
      <c r="P2761" t="s">
        <v>3724</v>
      </c>
      <c r="Q2761" t="s">
        <v>3725</v>
      </c>
      <c r="R2761" t="s">
        <v>179</v>
      </c>
      <c r="S2761" t="s">
        <v>3726</v>
      </c>
      <c r="V2761" t="s">
        <v>3727</v>
      </c>
      <c r="X2761" t="s">
        <v>3728</v>
      </c>
      <c r="Y2761" t="s">
        <v>3729</v>
      </c>
      <c r="Z2761" t="s">
        <v>3730</v>
      </c>
      <c r="AA2761" t="s">
        <v>3731</v>
      </c>
      <c r="AB2761" t="s">
        <v>63</v>
      </c>
      <c r="AC2761" t="s">
        <v>63</v>
      </c>
      <c r="AE2761" t="s">
        <v>3732</v>
      </c>
      <c r="AF2761">
        <v>0</v>
      </c>
      <c r="AG2761" t="s">
        <v>3733</v>
      </c>
      <c r="AH2761">
        <v>0</v>
      </c>
      <c r="AK2761">
        <v>0</v>
      </c>
    </row>
    <row r="2762" spans="1:37" x14ac:dyDescent="0.25">
      <c r="A2762" t="s">
        <v>79</v>
      </c>
      <c r="B2762">
        <v>11</v>
      </c>
      <c r="C2762">
        <v>2</v>
      </c>
      <c r="D2762">
        <v>1</v>
      </c>
      <c r="E2762">
        <v>1</v>
      </c>
      <c r="G2762">
        <v>1121</v>
      </c>
      <c r="H2762" t="s">
        <v>3723</v>
      </c>
      <c r="I2762" t="s">
        <v>80</v>
      </c>
      <c r="J2762" t="s">
        <v>3734</v>
      </c>
      <c r="L2762">
        <v>0</v>
      </c>
      <c r="M2762" t="s">
        <v>3735</v>
      </c>
      <c r="O2762" t="s">
        <v>3736</v>
      </c>
      <c r="P2762" t="s">
        <v>3737</v>
      </c>
      <c r="Q2762" t="s">
        <v>3738</v>
      </c>
      <c r="R2762" t="s">
        <v>1221</v>
      </c>
      <c r="S2762" t="s">
        <v>2926</v>
      </c>
      <c r="T2762">
        <v>684</v>
      </c>
      <c r="U2762">
        <v>421</v>
      </c>
      <c r="V2762" t="s">
        <v>3739</v>
      </c>
      <c r="AE2762" t="s">
        <v>3740</v>
      </c>
      <c r="AF2762">
        <v>0</v>
      </c>
      <c r="AG2762" t="s">
        <v>3741</v>
      </c>
      <c r="AH2762">
        <v>0</v>
      </c>
      <c r="AK2762">
        <v>0</v>
      </c>
    </row>
    <row r="2763" spans="1:37" x14ac:dyDescent="0.25">
      <c r="A2763" t="s">
        <v>79</v>
      </c>
      <c r="B2763">
        <v>11</v>
      </c>
      <c r="C2763">
        <v>2</v>
      </c>
      <c r="D2763">
        <v>1</v>
      </c>
      <c r="E2763">
        <v>2</v>
      </c>
      <c r="G2763">
        <v>1121</v>
      </c>
      <c r="H2763" t="s">
        <v>3723</v>
      </c>
      <c r="I2763" t="s">
        <v>88</v>
      </c>
      <c r="J2763" t="s">
        <v>3742</v>
      </c>
      <c r="L2763">
        <v>0</v>
      </c>
      <c r="M2763" t="s">
        <v>3743</v>
      </c>
      <c r="O2763" t="s">
        <v>3744</v>
      </c>
      <c r="P2763" t="s">
        <v>3745</v>
      </c>
      <c r="Q2763" t="s">
        <v>3746</v>
      </c>
      <c r="R2763" t="s">
        <v>179</v>
      </c>
      <c r="S2763" t="s">
        <v>3747</v>
      </c>
      <c r="T2763">
        <v>684</v>
      </c>
      <c r="U2763">
        <v>770</v>
      </c>
      <c r="V2763" t="s">
        <v>3748</v>
      </c>
      <c r="AE2763" t="s">
        <v>3749</v>
      </c>
      <c r="AF2763">
        <v>0</v>
      </c>
      <c r="AG2763" t="s">
        <v>3750</v>
      </c>
      <c r="AH2763">
        <v>0</v>
      </c>
      <c r="AK2763">
        <v>0</v>
      </c>
    </row>
    <row r="2764" spans="1:37" x14ac:dyDescent="0.25">
      <c r="A2764" t="s">
        <v>79</v>
      </c>
      <c r="B2764">
        <v>11</v>
      </c>
      <c r="C2764">
        <v>2</v>
      </c>
      <c r="D2764">
        <v>1</v>
      </c>
      <c r="E2764">
        <v>3</v>
      </c>
      <c r="G2764">
        <v>1121</v>
      </c>
      <c r="H2764" t="s">
        <v>3723</v>
      </c>
      <c r="I2764" t="s">
        <v>95</v>
      </c>
      <c r="J2764" t="s">
        <v>3751</v>
      </c>
      <c r="L2764">
        <v>0</v>
      </c>
      <c r="M2764" t="s">
        <v>3752</v>
      </c>
      <c r="O2764" t="s">
        <v>3753</v>
      </c>
      <c r="P2764" t="s">
        <v>3754</v>
      </c>
      <c r="Q2764" t="s">
        <v>1910</v>
      </c>
      <c r="R2764" t="s">
        <v>210</v>
      </c>
      <c r="S2764" t="s">
        <v>3755</v>
      </c>
      <c r="T2764">
        <v>684</v>
      </c>
      <c r="U2764">
        <v>178</v>
      </c>
      <c r="V2764" t="s">
        <v>3756</v>
      </c>
      <c r="AE2764" t="s">
        <v>3757</v>
      </c>
      <c r="AF2764">
        <v>0</v>
      </c>
      <c r="AG2764" t="s">
        <v>3758</v>
      </c>
      <c r="AH2764">
        <v>0</v>
      </c>
      <c r="AK2764">
        <v>0</v>
      </c>
    </row>
    <row r="2765" spans="1:37" x14ac:dyDescent="0.25">
      <c r="A2765" t="s">
        <v>79</v>
      </c>
      <c r="B2765">
        <v>11</v>
      </c>
      <c r="C2765">
        <v>2</v>
      </c>
      <c r="D2765">
        <v>1</v>
      </c>
      <c r="E2765">
        <v>4</v>
      </c>
      <c r="G2765">
        <v>1121</v>
      </c>
      <c r="H2765" t="s">
        <v>3723</v>
      </c>
      <c r="I2765" t="s">
        <v>102</v>
      </c>
      <c r="J2765" t="s">
        <v>3759</v>
      </c>
      <c r="L2765">
        <v>0</v>
      </c>
      <c r="M2765" t="s">
        <v>3760</v>
      </c>
      <c r="O2765" t="s">
        <v>3688</v>
      </c>
      <c r="P2765" t="s">
        <v>3689</v>
      </c>
      <c r="Q2765" t="s">
        <v>3761</v>
      </c>
      <c r="R2765" t="s">
        <v>229</v>
      </c>
      <c r="S2765" t="s">
        <v>3691</v>
      </c>
      <c r="T2765">
        <v>684</v>
      </c>
      <c r="U2765">
        <v>131</v>
      </c>
      <c r="V2765" t="s">
        <v>3762</v>
      </c>
      <c r="AE2765" t="s">
        <v>3763</v>
      </c>
      <c r="AF2765">
        <v>0</v>
      </c>
      <c r="AG2765" t="s">
        <v>3764</v>
      </c>
      <c r="AH2765">
        <v>0</v>
      </c>
      <c r="AK2765">
        <v>0</v>
      </c>
    </row>
    <row r="2766" spans="1:37" x14ac:dyDescent="0.25">
      <c r="A2766" t="s">
        <v>79</v>
      </c>
      <c r="B2766">
        <v>11</v>
      </c>
      <c r="C2766">
        <v>2</v>
      </c>
      <c r="D2766">
        <v>1</v>
      </c>
      <c r="E2766">
        <v>5</v>
      </c>
      <c r="G2766">
        <v>1121</v>
      </c>
      <c r="H2766" t="s">
        <v>3723</v>
      </c>
      <c r="I2766" t="s">
        <v>109</v>
      </c>
      <c r="J2766" t="s">
        <v>3765</v>
      </c>
      <c r="L2766">
        <v>0</v>
      </c>
      <c r="M2766" t="s">
        <v>3766</v>
      </c>
      <c r="O2766" t="s">
        <v>3697</v>
      </c>
      <c r="P2766" t="s">
        <v>3698</v>
      </c>
      <c r="Q2766" t="s">
        <v>3767</v>
      </c>
      <c r="R2766" t="s">
        <v>229</v>
      </c>
      <c r="S2766" t="s">
        <v>1322</v>
      </c>
      <c r="T2766">
        <v>684</v>
      </c>
      <c r="U2766">
        <v>649</v>
      </c>
      <c r="V2766" t="s">
        <v>3768</v>
      </c>
      <c r="AE2766" t="s">
        <v>3769</v>
      </c>
      <c r="AF2766">
        <v>0</v>
      </c>
      <c r="AG2766" t="s">
        <v>3770</v>
      </c>
      <c r="AH2766">
        <v>0</v>
      </c>
      <c r="AK2766">
        <v>0</v>
      </c>
    </row>
    <row r="2767" spans="1:37" x14ac:dyDescent="0.25">
      <c r="A2767" t="s">
        <v>79</v>
      </c>
      <c r="B2767">
        <v>11</v>
      </c>
      <c r="C2767">
        <v>2</v>
      </c>
      <c r="D2767">
        <v>1</v>
      </c>
      <c r="E2767">
        <v>6</v>
      </c>
      <c r="G2767">
        <v>1121</v>
      </c>
      <c r="H2767" t="s">
        <v>3723</v>
      </c>
      <c r="I2767" t="s">
        <v>116</v>
      </c>
      <c r="J2767" t="s">
        <v>3771</v>
      </c>
      <c r="L2767">
        <v>0</v>
      </c>
      <c r="M2767" t="s">
        <v>125</v>
      </c>
      <c r="O2767" t="s">
        <v>125</v>
      </c>
      <c r="P2767" t="s">
        <v>125</v>
      </c>
      <c r="Q2767" t="s">
        <v>125</v>
      </c>
      <c r="R2767" t="s">
        <v>125</v>
      </c>
      <c r="S2767" t="s">
        <v>125</v>
      </c>
      <c r="T2767">
        <v>684</v>
      </c>
      <c r="V2767" t="s">
        <v>125</v>
      </c>
      <c r="AE2767" t="s">
        <v>125</v>
      </c>
      <c r="AF2767">
        <v>0</v>
      </c>
      <c r="AG2767" t="s">
        <v>125</v>
      </c>
      <c r="AH2767">
        <v>0</v>
      </c>
      <c r="AK2767">
        <v>0</v>
      </c>
    </row>
    <row r="2768" spans="1:37" x14ac:dyDescent="0.25">
      <c r="A2768" t="s">
        <v>79</v>
      </c>
      <c r="B2768">
        <v>11</v>
      </c>
      <c r="C2768">
        <v>2</v>
      </c>
      <c r="D2768">
        <v>1</v>
      </c>
      <c r="E2768">
        <v>7</v>
      </c>
      <c r="G2768">
        <v>1121</v>
      </c>
      <c r="H2768" t="s">
        <v>3723</v>
      </c>
      <c r="I2768" t="s">
        <v>123</v>
      </c>
      <c r="J2768" t="s">
        <v>3772</v>
      </c>
      <c r="L2768">
        <v>0</v>
      </c>
      <c r="M2768" t="s">
        <v>125</v>
      </c>
      <c r="O2768" t="s">
        <v>125</v>
      </c>
      <c r="P2768" t="s">
        <v>125</v>
      </c>
      <c r="Q2768" t="s">
        <v>125</v>
      </c>
      <c r="R2768" t="s">
        <v>125</v>
      </c>
      <c r="S2768" t="s">
        <v>125</v>
      </c>
      <c r="T2768">
        <v>684</v>
      </c>
      <c r="V2768" t="s">
        <v>125</v>
      </c>
      <c r="AE2768" t="s">
        <v>125</v>
      </c>
      <c r="AF2768">
        <v>0</v>
      </c>
      <c r="AG2768" t="s">
        <v>125</v>
      </c>
      <c r="AH2768">
        <v>0</v>
      </c>
      <c r="AK2768">
        <v>0</v>
      </c>
    </row>
    <row r="2769" spans="1:37" x14ac:dyDescent="0.25">
      <c r="A2769" t="s">
        <v>79</v>
      </c>
      <c r="B2769">
        <v>11</v>
      </c>
      <c r="C2769">
        <v>2</v>
      </c>
      <c r="D2769">
        <v>1</v>
      </c>
      <c r="E2769">
        <v>8</v>
      </c>
      <c r="G2769">
        <v>1121</v>
      </c>
      <c r="H2769" t="s">
        <v>3723</v>
      </c>
      <c r="I2769" t="s">
        <v>126</v>
      </c>
      <c r="J2769" t="s">
        <v>3773</v>
      </c>
      <c r="L2769">
        <v>0</v>
      </c>
      <c r="M2769" t="s">
        <v>125</v>
      </c>
      <c r="O2769" t="s">
        <v>125</v>
      </c>
      <c r="P2769" t="s">
        <v>125</v>
      </c>
      <c r="Q2769" t="s">
        <v>125</v>
      </c>
      <c r="R2769" t="s">
        <v>125</v>
      </c>
      <c r="S2769" t="s">
        <v>125</v>
      </c>
      <c r="T2769">
        <v>684</v>
      </c>
      <c r="V2769" t="s">
        <v>125</v>
      </c>
      <c r="AE2769" t="s">
        <v>125</v>
      </c>
      <c r="AF2769">
        <v>0</v>
      </c>
      <c r="AG2769" t="s">
        <v>125</v>
      </c>
      <c r="AH2769">
        <v>0</v>
      </c>
      <c r="AK2769">
        <v>0</v>
      </c>
    </row>
    <row r="2770" spans="1:37" x14ac:dyDescent="0.25">
      <c r="A2770" t="s">
        <v>79</v>
      </c>
      <c r="B2770">
        <v>11</v>
      </c>
      <c r="C2770">
        <v>2</v>
      </c>
      <c r="D2770">
        <v>1</v>
      </c>
      <c r="E2770">
        <v>9</v>
      </c>
      <c r="G2770">
        <v>1121</v>
      </c>
      <c r="H2770" t="s">
        <v>3723</v>
      </c>
      <c r="I2770" t="s">
        <v>74</v>
      </c>
      <c r="J2770" t="s">
        <v>3774</v>
      </c>
      <c r="L2770">
        <v>0</v>
      </c>
      <c r="M2770" t="s">
        <v>125</v>
      </c>
      <c r="O2770" t="s">
        <v>125</v>
      </c>
      <c r="P2770" t="s">
        <v>125</v>
      </c>
      <c r="Q2770" t="s">
        <v>125</v>
      </c>
      <c r="R2770" t="s">
        <v>125</v>
      </c>
      <c r="S2770" t="s">
        <v>125</v>
      </c>
      <c r="T2770">
        <v>684</v>
      </c>
      <c r="V2770" t="s">
        <v>125</v>
      </c>
      <c r="AE2770" t="s">
        <v>125</v>
      </c>
      <c r="AF2770">
        <v>0</v>
      </c>
      <c r="AG2770" t="s">
        <v>125</v>
      </c>
      <c r="AH2770">
        <v>0</v>
      </c>
      <c r="AK2770">
        <v>0</v>
      </c>
    </row>
    <row r="2771" spans="1:37" x14ac:dyDescent="0.25">
      <c r="A2771" t="s">
        <v>79</v>
      </c>
      <c r="B2771">
        <v>11</v>
      </c>
      <c r="C2771">
        <v>2</v>
      </c>
      <c r="D2771">
        <v>1</v>
      </c>
      <c r="E2771">
        <v>10</v>
      </c>
      <c r="G2771">
        <v>1121</v>
      </c>
      <c r="H2771" t="s">
        <v>3723</v>
      </c>
      <c r="I2771" t="s">
        <v>129</v>
      </c>
      <c r="J2771" t="s">
        <v>3775</v>
      </c>
      <c r="L2771">
        <v>0</v>
      </c>
      <c r="M2771" t="s">
        <v>125</v>
      </c>
      <c r="O2771" t="s">
        <v>125</v>
      </c>
      <c r="P2771" t="s">
        <v>125</v>
      </c>
      <c r="Q2771" t="s">
        <v>125</v>
      </c>
      <c r="R2771" t="s">
        <v>125</v>
      </c>
      <c r="S2771" t="s">
        <v>125</v>
      </c>
      <c r="T2771">
        <v>684</v>
      </c>
      <c r="V2771" t="s">
        <v>125</v>
      </c>
      <c r="AE2771" t="s">
        <v>125</v>
      </c>
      <c r="AF2771">
        <v>0</v>
      </c>
      <c r="AG2771" t="s">
        <v>125</v>
      </c>
      <c r="AH2771">
        <v>0</v>
      </c>
      <c r="AK2771">
        <v>0</v>
      </c>
    </row>
    <row r="2772" spans="1:37" x14ac:dyDescent="0.25">
      <c r="A2772" t="s">
        <v>79</v>
      </c>
      <c r="B2772">
        <v>11</v>
      </c>
      <c r="C2772">
        <v>2</v>
      </c>
      <c r="D2772">
        <v>1</v>
      </c>
      <c r="E2772">
        <v>11</v>
      </c>
      <c r="G2772">
        <v>1121</v>
      </c>
      <c r="H2772" t="s">
        <v>3723</v>
      </c>
      <c r="I2772" t="s">
        <v>131</v>
      </c>
      <c r="J2772" t="s">
        <v>3776</v>
      </c>
      <c r="L2772">
        <v>0</v>
      </c>
      <c r="M2772" t="s">
        <v>125</v>
      </c>
      <c r="O2772" t="s">
        <v>125</v>
      </c>
      <c r="P2772" t="s">
        <v>125</v>
      </c>
      <c r="Q2772" t="s">
        <v>125</v>
      </c>
      <c r="R2772" t="s">
        <v>125</v>
      </c>
      <c r="S2772" t="s">
        <v>125</v>
      </c>
      <c r="T2772">
        <v>684</v>
      </c>
      <c r="V2772" t="s">
        <v>125</v>
      </c>
      <c r="AE2772" t="s">
        <v>125</v>
      </c>
      <c r="AF2772">
        <v>0</v>
      </c>
      <c r="AG2772" t="s">
        <v>125</v>
      </c>
      <c r="AH2772">
        <v>0</v>
      </c>
      <c r="AK2772">
        <v>0</v>
      </c>
    </row>
    <row r="2773" spans="1:37" x14ac:dyDescent="0.25">
      <c r="A2773" t="s">
        <v>79</v>
      </c>
      <c r="B2773">
        <v>11</v>
      </c>
      <c r="C2773">
        <v>2</v>
      </c>
      <c r="D2773">
        <v>1</v>
      </c>
      <c r="E2773">
        <v>12</v>
      </c>
      <c r="G2773">
        <v>1121</v>
      </c>
      <c r="H2773" t="s">
        <v>3723</v>
      </c>
      <c r="I2773" t="s">
        <v>133</v>
      </c>
      <c r="J2773" t="s">
        <v>3777</v>
      </c>
      <c r="L2773">
        <v>0</v>
      </c>
      <c r="M2773" t="s">
        <v>125</v>
      </c>
      <c r="O2773" t="s">
        <v>125</v>
      </c>
      <c r="P2773" t="s">
        <v>125</v>
      </c>
      <c r="Q2773" t="s">
        <v>125</v>
      </c>
      <c r="R2773" t="s">
        <v>125</v>
      </c>
      <c r="S2773" t="s">
        <v>125</v>
      </c>
      <c r="T2773">
        <v>684</v>
      </c>
      <c r="V2773" t="s">
        <v>125</v>
      </c>
      <c r="AE2773" t="s">
        <v>125</v>
      </c>
      <c r="AF2773">
        <v>0</v>
      </c>
      <c r="AG2773" t="s">
        <v>125</v>
      </c>
      <c r="AH2773">
        <v>0</v>
      </c>
      <c r="AK2773">
        <v>0</v>
      </c>
    </row>
    <row r="2774" spans="1:37" x14ac:dyDescent="0.25">
      <c r="A2774" t="s">
        <v>79</v>
      </c>
      <c r="B2774">
        <v>11</v>
      </c>
      <c r="C2774">
        <v>2</v>
      </c>
      <c r="D2774">
        <v>1</v>
      </c>
      <c r="E2774">
        <v>13</v>
      </c>
      <c r="G2774">
        <v>1121</v>
      </c>
      <c r="H2774" t="s">
        <v>3723</v>
      </c>
      <c r="I2774" t="s">
        <v>135</v>
      </c>
      <c r="J2774" t="s">
        <v>3778</v>
      </c>
      <c r="L2774">
        <v>0</v>
      </c>
      <c r="M2774" t="s">
        <v>125</v>
      </c>
      <c r="O2774" t="s">
        <v>125</v>
      </c>
      <c r="P2774" t="s">
        <v>125</v>
      </c>
      <c r="Q2774" t="s">
        <v>125</v>
      </c>
      <c r="R2774" t="s">
        <v>125</v>
      </c>
      <c r="S2774" t="s">
        <v>125</v>
      </c>
      <c r="T2774">
        <v>684</v>
      </c>
      <c r="V2774" t="s">
        <v>125</v>
      </c>
      <c r="AE2774" t="s">
        <v>125</v>
      </c>
      <c r="AF2774">
        <v>0</v>
      </c>
      <c r="AG2774" t="s">
        <v>125</v>
      </c>
      <c r="AH2774">
        <v>0</v>
      </c>
      <c r="AK2774">
        <v>0</v>
      </c>
    </row>
    <row r="2775" spans="1:37" x14ac:dyDescent="0.25">
      <c r="A2775" t="s">
        <v>79</v>
      </c>
      <c r="B2775">
        <v>11</v>
      </c>
      <c r="C2775">
        <v>2</v>
      </c>
      <c r="D2775">
        <v>1</v>
      </c>
      <c r="E2775">
        <v>14</v>
      </c>
      <c r="G2775">
        <v>1121</v>
      </c>
      <c r="H2775" t="s">
        <v>3723</v>
      </c>
      <c r="I2775" t="s">
        <v>137</v>
      </c>
      <c r="J2775" t="s">
        <v>3779</v>
      </c>
      <c r="L2775">
        <v>0</v>
      </c>
      <c r="M2775" t="s">
        <v>125</v>
      </c>
      <c r="O2775" t="s">
        <v>125</v>
      </c>
      <c r="P2775" t="s">
        <v>125</v>
      </c>
      <c r="Q2775" t="s">
        <v>125</v>
      </c>
      <c r="R2775" t="s">
        <v>125</v>
      </c>
      <c r="S2775" t="s">
        <v>125</v>
      </c>
      <c r="T2775">
        <v>684</v>
      </c>
      <c r="V2775" t="s">
        <v>125</v>
      </c>
      <c r="AE2775" t="s">
        <v>125</v>
      </c>
      <c r="AF2775">
        <v>0</v>
      </c>
      <c r="AG2775" t="s">
        <v>125</v>
      </c>
      <c r="AH2775">
        <v>0</v>
      </c>
      <c r="AK2775">
        <v>0</v>
      </c>
    </row>
    <row r="2776" spans="1:37" x14ac:dyDescent="0.25">
      <c r="A2776" t="s">
        <v>79</v>
      </c>
      <c r="B2776">
        <v>11</v>
      </c>
      <c r="C2776">
        <v>2</v>
      </c>
      <c r="D2776">
        <v>1</v>
      </c>
      <c r="E2776">
        <v>15</v>
      </c>
      <c r="G2776">
        <v>1121</v>
      </c>
      <c r="H2776" t="s">
        <v>3723</v>
      </c>
      <c r="I2776" t="s">
        <v>139</v>
      </c>
      <c r="J2776" t="s">
        <v>3780</v>
      </c>
      <c r="L2776">
        <v>0</v>
      </c>
      <c r="M2776" t="s">
        <v>125</v>
      </c>
      <c r="O2776" t="s">
        <v>125</v>
      </c>
      <c r="P2776" t="s">
        <v>125</v>
      </c>
      <c r="Q2776" t="s">
        <v>125</v>
      </c>
      <c r="R2776" t="s">
        <v>125</v>
      </c>
      <c r="S2776" t="s">
        <v>125</v>
      </c>
      <c r="T2776">
        <v>684</v>
      </c>
      <c r="V2776" t="s">
        <v>125</v>
      </c>
      <c r="AE2776" t="s">
        <v>125</v>
      </c>
      <c r="AF2776">
        <v>0</v>
      </c>
      <c r="AG2776" t="s">
        <v>125</v>
      </c>
      <c r="AH2776">
        <v>0</v>
      </c>
      <c r="AK2776">
        <v>0</v>
      </c>
    </row>
    <row r="2777" spans="1:37" x14ac:dyDescent="0.25">
      <c r="L2777">
        <v>0</v>
      </c>
    </row>
    <row r="2778" spans="1:37" x14ac:dyDescent="0.25">
      <c r="A2778" t="s">
        <v>70</v>
      </c>
      <c r="B2778">
        <v>11</v>
      </c>
      <c r="C2778">
        <v>2</v>
      </c>
      <c r="D2778">
        <v>2</v>
      </c>
      <c r="G2778">
        <v>112</v>
      </c>
      <c r="M2778" t="s">
        <v>3781</v>
      </c>
      <c r="O2778" t="s">
        <v>3782</v>
      </c>
      <c r="P2778" t="s">
        <v>3783</v>
      </c>
      <c r="Q2778" t="s">
        <v>3725</v>
      </c>
      <c r="R2778" t="s">
        <v>179</v>
      </c>
      <c r="S2778" t="s">
        <v>2796</v>
      </c>
      <c r="V2778" t="s">
        <v>3784</v>
      </c>
      <c r="X2778" t="s">
        <v>3785</v>
      </c>
      <c r="Y2778" t="s">
        <v>3786</v>
      </c>
      <c r="Z2778" t="s">
        <v>3787</v>
      </c>
      <c r="AA2778" t="s">
        <v>3788</v>
      </c>
      <c r="AB2778" t="s">
        <v>3157</v>
      </c>
      <c r="AC2778" t="s">
        <v>3659</v>
      </c>
      <c r="AE2778" t="s">
        <v>3789</v>
      </c>
      <c r="AF2778">
        <v>0</v>
      </c>
      <c r="AG2778" t="s">
        <v>3790</v>
      </c>
      <c r="AH2778">
        <v>0</v>
      </c>
      <c r="AK2778">
        <v>0</v>
      </c>
    </row>
    <row r="2779" spans="1:37" x14ac:dyDescent="0.25">
      <c r="A2779" t="s">
        <v>79</v>
      </c>
      <c r="B2779">
        <v>11</v>
      </c>
      <c r="C2779">
        <v>2</v>
      </c>
      <c r="D2779">
        <v>2</v>
      </c>
      <c r="E2779">
        <v>1</v>
      </c>
      <c r="G2779">
        <v>1122</v>
      </c>
      <c r="H2779" t="s">
        <v>3782</v>
      </c>
      <c r="I2779" t="s">
        <v>80</v>
      </c>
      <c r="J2779" t="s">
        <v>3791</v>
      </c>
      <c r="L2779">
        <v>0</v>
      </c>
      <c r="M2779" t="s">
        <v>3792</v>
      </c>
      <c r="O2779" t="s">
        <v>3104</v>
      </c>
      <c r="P2779" t="s">
        <v>3105</v>
      </c>
      <c r="Q2779" t="s">
        <v>3106</v>
      </c>
      <c r="R2779" t="s">
        <v>210</v>
      </c>
      <c r="S2779" t="s">
        <v>260</v>
      </c>
      <c r="T2779">
        <v>684</v>
      </c>
      <c r="U2779">
        <v>342</v>
      </c>
      <c r="V2779" t="s">
        <v>1045</v>
      </c>
      <c r="AE2779" t="s">
        <v>2577</v>
      </c>
      <c r="AF2779">
        <v>0</v>
      </c>
      <c r="AG2779" t="s">
        <v>3793</v>
      </c>
      <c r="AH2779">
        <v>0</v>
      </c>
      <c r="AK2779">
        <v>0</v>
      </c>
    </row>
    <row r="2780" spans="1:37" x14ac:dyDescent="0.25">
      <c r="A2780" t="s">
        <v>79</v>
      </c>
      <c r="B2780">
        <v>11</v>
      </c>
      <c r="C2780">
        <v>2</v>
      </c>
      <c r="D2780">
        <v>2</v>
      </c>
      <c r="E2780">
        <v>2</v>
      </c>
      <c r="G2780">
        <v>1122</v>
      </c>
      <c r="H2780" t="s">
        <v>3782</v>
      </c>
      <c r="I2780" t="s">
        <v>88</v>
      </c>
      <c r="J2780" t="s">
        <v>3794</v>
      </c>
      <c r="L2780">
        <v>0</v>
      </c>
      <c r="M2780" t="s">
        <v>3795</v>
      </c>
      <c r="O2780" t="s">
        <v>3118</v>
      </c>
      <c r="P2780" t="s">
        <v>3119</v>
      </c>
      <c r="Q2780" t="s">
        <v>3169</v>
      </c>
      <c r="R2780" t="s">
        <v>268</v>
      </c>
      <c r="S2780" t="s">
        <v>3121</v>
      </c>
      <c r="T2780">
        <v>684</v>
      </c>
      <c r="U2780">
        <v>29</v>
      </c>
      <c r="V2780" t="s">
        <v>3170</v>
      </c>
      <c r="AE2780" t="s">
        <v>3171</v>
      </c>
      <c r="AF2780">
        <v>0</v>
      </c>
      <c r="AG2780" t="s">
        <v>3796</v>
      </c>
      <c r="AH2780">
        <v>0</v>
      </c>
      <c r="AK2780">
        <v>0</v>
      </c>
    </row>
    <row r="2781" spans="1:37" x14ac:dyDescent="0.25">
      <c r="A2781" t="s">
        <v>79</v>
      </c>
      <c r="B2781">
        <v>11</v>
      </c>
      <c r="C2781">
        <v>2</v>
      </c>
      <c r="D2781">
        <v>2</v>
      </c>
      <c r="E2781">
        <v>3</v>
      </c>
      <c r="G2781">
        <v>1122</v>
      </c>
      <c r="H2781" t="s">
        <v>3782</v>
      </c>
      <c r="I2781" t="s">
        <v>95</v>
      </c>
      <c r="J2781" t="s">
        <v>3797</v>
      </c>
      <c r="L2781">
        <v>0</v>
      </c>
      <c r="M2781" t="s">
        <v>3798</v>
      </c>
      <c r="O2781" t="s">
        <v>1319</v>
      </c>
      <c r="P2781" t="s">
        <v>1320</v>
      </c>
      <c r="Q2781" t="s">
        <v>1679</v>
      </c>
      <c r="R2781" t="s">
        <v>229</v>
      </c>
      <c r="S2781" t="s">
        <v>1322</v>
      </c>
      <c r="T2781">
        <v>684</v>
      </c>
      <c r="U2781">
        <v>403</v>
      </c>
      <c r="V2781" t="s">
        <v>3799</v>
      </c>
      <c r="AE2781" t="s">
        <v>3800</v>
      </c>
      <c r="AF2781">
        <v>0</v>
      </c>
      <c r="AG2781" t="s">
        <v>3801</v>
      </c>
      <c r="AH2781">
        <v>0</v>
      </c>
      <c r="AK2781">
        <v>0</v>
      </c>
    </row>
    <row r="2782" spans="1:37" x14ac:dyDescent="0.25">
      <c r="A2782" t="s">
        <v>79</v>
      </c>
      <c r="B2782">
        <v>11</v>
      </c>
      <c r="C2782">
        <v>2</v>
      </c>
      <c r="D2782">
        <v>2</v>
      </c>
      <c r="E2782">
        <v>4</v>
      </c>
      <c r="G2782">
        <v>1122</v>
      </c>
      <c r="H2782" t="s">
        <v>3782</v>
      </c>
      <c r="I2782" t="s">
        <v>102</v>
      </c>
      <c r="J2782" t="s">
        <v>3802</v>
      </c>
      <c r="L2782">
        <v>0</v>
      </c>
      <c r="M2782" t="s">
        <v>3803</v>
      </c>
      <c r="O2782" t="s">
        <v>294</v>
      </c>
      <c r="P2782" t="s">
        <v>295</v>
      </c>
      <c r="Q2782" t="s">
        <v>3804</v>
      </c>
      <c r="R2782" t="s">
        <v>229</v>
      </c>
      <c r="S2782" t="s">
        <v>297</v>
      </c>
      <c r="T2782">
        <v>684</v>
      </c>
      <c r="U2782">
        <v>201</v>
      </c>
      <c r="V2782" t="s">
        <v>3805</v>
      </c>
      <c r="AE2782" t="s">
        <v>3806</v>
      </c>
      <c r="AF2782">
        <v>0</v>
      </c>
      <c r="AG2782" t="s">
        <v>3807</v>
      </c>
      <c r="AH2782">
        <v>0</v>
      </c>
      <c r="AK2782">
        <v>0</v>
      </c>
    </row>
    <row r="2783" spans="1:37" x14ac:dyDescent="0.25">
      <c r="A2783" t="s">
        <v>79</v>
      </c>
      <c r="B2783">
        <v>11</v>
      </c>
      <c r="C2783">
        <v>2</v>
      </c>
      <c r="D2783">
        <v>2</v>
      </c>
      <c r="E2783">
        <v>5</v>
      </c>
      <c r="G2783">
        <v>1122</v>
      </c>
      <c r="H2783" t="s">
        <v>3782</v>
      </c>
      <c r="I2783" t="s">
        <v>109</v>
      </c>
      <c r="J2783" t="s">
        <v>3808</v>
      </c>
      <c r="L2783">
        <v>0</v>
      </c>
      <c r="M2783" t="s">
        <v>125</v>
      </c>
      <c r="O2783" t="s">
        <v>125</v>
      </c>
      <c r="P2783" t="s">
        <v>125</v>
      </c>
      <c r="Q2783" t="s">
        <v>125</v>
      </c>
      <c r="R2783" t="s">
        <v>125</v>
      </c>
      <c r="S2783" t="s">
        <v>125</v>
      </c>
      <c r="T2783">
        <v>684</v>
      </c>
      <c r="V2783" t="s">
        <v>125</v>
      </c>
      <c r="AE2783" t="s">
        <v>125</v>
      </c>
      <c r="AF2783">
        <v>0</v>
      </c>
      <c r="AG2783" t="s">
        <v>125</v>
      </c>
      <c r="AH2783">
        <v>0</v>
      </c>
      <c r="AK2783">
        <v>0</v>
      </c>
    </row>
    <row r="2784" spans="1:37" x14ac:dyDescent="0.25">
      <c r="A2784" t="s">
        <v>79</v>
      </c>
      <c r="B2784">
        <v>11</v>
      </c>
      <c r="C2784">
        <v>2</v>
      </c>
      <c r="D2784">
        <v>2</v>
      </c>
      <c r="E2784">
        <v>6</v>
      </c>
      <c r="G2784">
        <v>1122</v>
      </c>
      <c r="H2784" t="s">
        <v>3782</v>
      </c>
      <c r="I2784" t="s">
        <v>116</v>
      </c>
      <c r="J2784" t="s">
        <v>3809</v>
      </c>
      <c r="L2784">
        <v>0</v>
      </c>
      <c r="M2784" t="s">
        <v>125</v>
      </c>
      <c r="O2784" t="s">
        <v>125</v>
      </c>
      <c r="P2784" t="s">
        <v>125</v>
      </c>
      <c r="Q2784" t="s">
        <v>125</v>
      </c>
      <c r="R2784" t="s">
        <v>125</v>
      </c>
      <c r="S2784" t="s">
        <v>125</v>
      </c>
      <c r="T2784">
        <v>684</v>
      </c>
      <c r="V2784" t="s">
        <v>125</v>
      </c>
      <c r="AE2784" t="s">
        <v>125</v>
      </c>
      <c r="AF2784">
        <v>0</v>
      </c>
      <c r="AG2784" t="s">
        <v>125</v>
      </c>
      <c r="AH2784">
        <v>0</v>
      </c>
      <c r="AK2784">
        <v>0</v>
      </c>
    </row>
    <row r="2785" spans="1:37" x14ac:dyDescent="0.25">
      <c r="A2785" t="s">
        <v>79</v>
      </c>
      <c r="B2785">
        <v>11</v>
      </c>
      <c r="C2785">
        <v>2</v>
      </c>
      <c r="D2785">
        <v>2</v>
      </c>
      <c r="E2785">
        <v>7</v>
      </c>
      <c r="G2785">
        <v>1122</v>
      </c>
      <c r="H2785" t="s">
        <v>3782</v>
      </c>
      <c r="I2785" t="s">
        <v>123</v>
      </c>
      <c r="J2785" t="s">
        <v>3810</v>
      </c>
      <c r="L2785">
        <v>0</v>
      </c>
      <c r="M2785" t="s">
        <v>125</v>
      </c>
      <c r="O2785" t="s">
        <v>125</v>
      </c>
      <c r="P2785" t="s">
        <v>125</v>
      </c>
      <c r="Q2785" t="s">
        <v>125</v>
      </c>
      <c r="R2785" t="s">
        <v>125</v>
      </c>
      <c r="S2785" t="s">
        <v>125</v>
      </c>
      <c r="T2785">
        <v>684</v>
      </c>
      <c r="V2785" t="s">
        <v>125</v>
      </c>
      <c r="AE2785" t="s">
        <v>125</v>
      </c>
      <c r="AF2785">
        <v>0</v>
      </c>
      <c r="AG2785" t="s">
        <v>125</v>
      </c>
      <c r="AH2785">
        <v>0</v>
      </c>
      <c r="AK2785">
        <v>0</v>
      </c>
    </row>
    <row r="2786" spans="1:37" x14ac:dyDescent="0.25">
      <c r="A2786" t="s">
        <v>79</v>
      </c>
      <c r="B2786">
        <v>11</v>
      </c>
      <c r="C2786">
        <v>2</v>
      </c>
      <c r="D2786">
        <v>2</v>
      </c>
      <c r="E2786">
        <v>8</v>
      </c>
      <c r="G2786">
        <v>1122</v>
      </c>
      <c r="H2786" t="s">
        <v>3782</v>
      </c>
      <c r="I2786" t="s">
        <v>126</v>
      </c>
      <c r="J2786" t="s">
        <v>3811</v>
      </c>
      <c r="L2786">
        <v>0</v>
      </c>
      <c r="M2786" t="s">
        <v>125</v>
      </c>
      <c r="O2786" t="s">
        <v>125</v>
      </c>
      <c r="P2786" t="s">
        <v>125</v>
      </c>
      <c r="Q2786" t="s">
        <v>125</v>
      </c>
      <c r="R2786" t="s">
        <v>125</v>
      </c>
      <c r="S2786" t="s">
        <v>125</v>
      </c>
      <c r="T2786">
        <v>684</v>
      </c>
      <c r="V2786" t="s">
        <v>125</v>
      </c>
      <c r="AE2786" t="s">
        <v>125</v>
      </c>
      <c r="AF2786">
        <v>0</v>
      </c>
      <c r="AG2786" t="s">
        <v>125</v>
      </c>
      <c r="AH2786">
        <v>0</v>
      </c>
      <c r="AK2786">
        <v>0</v>
      </c>
    </row>
    <row r="2787" spans="1:37" x14ac:dyDescent="0.25">
      <c r="A2787" t="s">
        <v>79</v>
      </c>
      <c r="B2787">
        <v>11</v>
      </c>
      <c r="C2787">
        <v>2</v>
      </c>
      <c r="D2787">
        <v>2</v>
      </c>
      <c r="E2787">
        <v>9</v>
      </c>
      <c r="G2787">
        <v>1122</v>
      </c>
      <c r="H2787" t="s">
        <v>3782</v>
      </c>
      <c r="I2787" t="s">
        <v>74</v>
      </c>
      <c r="J2787" t="s">
        <v>3812</v>
      </c>
      <c r="L2787">
        <v>0</v>
      </c>
      <c r="M2787" t="s">
        <v>125</v>
      </c>
      <c r="O2787" t="s">
        <v>125</v>
      </c>
      <c r="P2787" t="s">
        <v>125</v>
      </c>
      <c r="Q2787" t="s">
        <v>125</v>
      </c>
      <c r="R2787" t="s">
        <v>125</v>
      </c>
      <c r="S2787" t="s">
        <v>125</v>
      </c>
      <c r="T2787">
        <v>684</v>
      </c>
      <c r="V2787" t="s">
        <v>125</v>
      </c>
      <c r="AE2787" t="s">
        <v>125</v>
      </c>
      <c r="AF2787">
        <v>0</v>
      </c>
      <c r="AG2787" t="s">
        <v>125</v>
      </c>
      <c r="AH2787">
        <v>0</v>
      </c>
      <c r="AK2787">
        <v>0</v>
      </c>
    </row>
    <row r="2788" spans="1:37" x14ac:dyDescent="0.25">
      <c r="A2788" t="s">
        <v>79</v>
      </c>
      <c r="B2788">
        <v>11</v>
      </c>
      <c r="C2788">
        <v>2</v>
      </c>
      <c r="D2788">
        <v>2</v>
      </c>
      <c r="E2788">
        <v>10</v>
      </c>
      <c r="G2788">
        <v>1122</v>
      </c>
      <c r="H2788" t="s">
        <v>3782</v>
      </c>
      <c r="I2788" t="s">
        <v>129</v>
      </c>
      <c r="J2788" t="s">
        <v>3813</v>
      </c>
      <c r="L2788">
        <v>0</v>
      </c>
      <c r="M2788" t="s">
        <v>125</v>
      </c>
      <c r="O2788" t="s">
        <v>125</v>
      </c>
      <c r="P2788" t="s">
        <v>125</v>
      </c>
      <c r="Q2788" t="s">
        <v>125</v>
      </c>
      <c r="R2788" t="s">
        <v>125</v>
      </c>
      <c r="S2788" t="s">
        <v>125</v>
      </c>
      <c r="T2788">
        <v>684</v>
      </c>
      <c r="V2788" t="s">
        <v>125</v>
      </c>
      <c r="AE2788" t="s">
        <v>125</v>
      </c>
      <c r="AF2788">
        <v>0</v>
      </c>
      <c r="AG2788" t="s">
        <v>125</v>
      </c>
      <c r="AH2788">
        <v>0</v>
      </c>
      <c r="AK2788">
        <v>0</v>
      </c>
    </row>
    <row r="2789" spans="1:37" x14ac:dyDescent="0.25">
      <c r="A2789" t="s">
        <v>79</v>
      </c>
      <c r="B2789">
        <v>11</v>
      </c>
      <c r="C2789">
        <v>2</v>
      </c>
      <c r="D2789">
        <v>2</v>
      </c>
      <c r="E2789">
        <v>11</v>
      </c>
      <c r="G2789">
        <v>1122</v>
      </c>
      <c r="H2789" t="s">
        <v>3782</v>
      </c>
      <c r="I2789" t="s">
        <v>131</v>
      </c>
      <c r="J2789" t="s">
        <v>3814</v>
      </c>
      <c r="L2789">
        <v>0</v>
      </c>
      <c r="M2789" t="s">
        <v>125</v>
      </c>
      <c r="O2789" t="s">
        <v>125</v>
      </c>
      <c r="P2789" t="s">
        <v>125</v>
      </c>
      <c r="Q2789" t="s">
        <v>125</v>
      </c>
      <c r="R2789" t="s">
        <v>125</v>
      </c>
      <c r="S2789" t="s">
        <v>125</v>
      </c>
      <c r="T2789">
        <v>684</v>
      </c>
      <c r="V2789" t="s">
        <v>125</v>
      </c>
      <c r="AE2789" t="s">
        <v>125</v>
      </c>
      <c r="AF2789">
        <v>0</v>
      </c>
      <c r="AG2789" t="s">
        <v>125</v>
      </c>
      <c r="AH2789">
        <v>0</v>
      </c>
      <c r="AK2789">
        <v>0</v>
      </c>
    </row>
    <row r="2790" spans="1:37" x14ac:dyDescent="0.25">
      <c r="A2790" t="s">
        <v>79</v>
      </c>
      <c r="B2790">
        <v>11</v>
      </c>
      <c r="C2790">
        <v>2</v>
      </c>
      <c r="D2790">
        <v>2</v>
      </c>
      <c r="E2790">
        <v>12</v>
      </c>
      <c r="G2790">
        <v>1122</v>
      </c>
      <c r="H2790" t="s">
        <v>3782</v>
      </c>
      <c r="I2790" t="s">
        <v>133</v>
      </c>
      <c r="J2790" t="s">
        <v>3815</v>
      </c>
      <c r="L2790">
        <v>0</v>
      </c>
      <c r="M2790" t="s">
        <v>125</v>
      </c>
      <c r="O2790" t="s">
        <v>125</v>
      </c>
      <c r="P2790" t="s">
        <v>125</v>
      </c>
      <c r="Q2790" t="s">
        <v>125</v>
      </c>
      <c r="R2790" t="s">
        <v>125</v>
      </c>
      <c r="S2790" t="s">
        <v>125</v>
      </c>
      <c r="T2790">
        <v>684</v>
      </c>
      <c r="V2790" t="s">
        <v>125</v>
      </c>
      <c r="AE2790" t="s">
        <v>125</v>
      </c>
      <c r="AF2790">
        <v>0</v>
      </c>
      <c r="AG2790" t="s">
        <v>125</v>
      </c>
      <c r="AH2790">
        <v>0</v>
      </c>
      <c r="AK2790">
        <v>0</v>
      </c>
    </row>
    <row r="2791" spans="1:37" x14ac:dyDescent="0.25">
      <c r="A2791" t="s">
        <v>79</v>
      </c>
      <c r="B2791">
        <v>11</v>
      </c>
      <c r="C2791">
        <v>2</v>
      </c>
      <c r="D2791">
        <v>2</v>
      </c>
      <c r="E2791">
        <v>13</v>
      </c>
      <c r="G2791">
        <v>1122</v>
      </c>
      <c r="H2791" t="s">
        <v>3782</v>
      </c>
      <c r="I2791" t="s">
        <v>135</v>
      </c>
      <c r="J2791" t="s">
        <v>3816</v>
      </c>
      <c r="L2791">
        <v>0</v>
      </c>
      <c r="M2791" t="s">
        <v>125</v>
      </c>
      <c r="O2791" t="s">
        <v>125</v>
      </c>
      <c r="P2791" t="s">
        <v>125</v>
      </c>
      <c r="Q2791" t="s">
        <v>125</v>
      </c>
      <c r="R2791" t="s">
        <v>125</v>
      </c>
      <c r="S2791" t="s">
        <v>125</v>
      </c>
      <c r="T2791">
        <v>684</v>
      </c>
      <c r="V2791" t="s">
        <v>125</v>
      </c>
      <c r="AE2791" t="s">
        <v>125</v>
      </c>
      <c r="AF2791">
        <v>0</v>
      </c>
      <c r="AG2791" t="s">
        <v>125</v>
      </c>
      <c r="AH2791">
        <v>0</v>
      </c>
      <c r="AK2791">
        <v>0</v>
      </c>
    </row>
    <row r="2792" spans="1:37" x14ac:dyDescent="0.25">
      <c r="A2792" t="s">
        <v>79</v>
      </c>
      <c r="B2792">
        <v>11</v>
      </c>
      <c r="C2792">
        <v>2</v>
      </c>
      <c r="D2792">
        <v>2</v>
      </c>
      <c r="E2792">
        <v>14</v>
      </c>
      <c r="G2792">
        <v>1122</v>
      </c>
      <c r="H2792" t="s">
        <v>3782</v>
      </c>
      <c r="I2792" t="s">
        <v>137</v>
      </c>
      <c r="J2792" t="s">
        <v>3817</v>
      </c>
      <c r="L2792">
        <v>0</v>
      </c>
      <c r="M2792" t="s">
        <v>125</v>
      </c>
      <c r="O2792" t="s">
        <v>125</v>
      </c>
      <c r="P2792" t="s">
        <v>125</v>
      </c>
      <c r="Q2792" t="s">
        <v>125</v>
      </c>
      <c r="R2792" t="s">
        <v>125</v>
      </c>
      <c r="S2792" t="s">
        <v>125</v>
      </c>
      <c r="T2792">
        <v>684</v>
      </c>
      <c r="V2792" t="s">
        <v>125</v>
      </c>
      <c r="AE2792" t="s">
        <v>125</v>
      </c>
      <c r="AF2792">
        <v>0</v>
      </c>
      <c r="AG2792" t="s">
        <v>125</v>
      </c>
      <c r="AH2792">
        <v>0</v>
      </c>
      <c r="AK2792">
        <v>0</v>
      </c>
    </row>
    <row r="2793" spans="1:37" x14ac:dyDescent="0.25">
      <c r="A2793" t="s">
        <v>79</v>
      </c>
      <c r="B2793">
        <v>11</v>
      </c>
      <c r="C2793">
        <v>2</v>
      </c>
      <c r="D2793">
        <v>2</v>
      </c>
      <c r="E2793">
        <v>15</v>
      </c>
      <c r="G2793">
        <v>1122</v>
      </c>
      <c r="H2793" t="s">
        <v>3782</v>
      </c>
      <c r="I2793" t="s">
        <v>139</v>
      </c>
      <c r="J2793" t="s">
        <v>3818</v>
      </c>
      <c r="L2793">
        <v>0</v>
      </c>
      <c r="M2793" t="s">
        <v>125</v>
      </c>
      <c r="O2793" t="s">
        <v>125</v>
      </c>
      <c r="P2793" t="s">
        <v>125</v>
      </c>
      <c r="Q2793" t="s">
        <v>125</v>
      </c>
      <c r="R2793" t="s">
        <v>125</v>
      </c>
      <c r="S2793" t="s">
        <v>125</v>
      </c>
      <c r="T2793">
        <v>684</v>
      </c>
      <c r="V2793" t="s">
        <v>125</v>
      </c>
      <c r="AE2793" t="s">
        <v>125</v>
      </c>
      <c r="AF2793">
        <v>0</v>
      </c>
      <c r="AG2793" t="s">
        <v>125</v>
      </c>
      <c r="AH2793">
        <v>0</v>
      </c>
      <c r="AK2793">
        <v>0</v>
      </c>
    </row>
    <row r="2794" spans="1:37" x14ac:dyDescent="0.25">
      <c r="L2794">
        <v>0</v>
      </c>
    </row>
    <row r="2795" spans="1:37" x14ac:dyDescent="0.25">
      <c r="A2795" t="s">
        <v>70</v>
      </c>
      <c r="B2795">
        <v>11</v>
      </c>
      <c r="C2795">
        <v>2</v>
      </c>
      <c r="D2795">
        <v>3</v>
      </c>
      <c r="G2795">
        <v>112</v>
      </c>
      <c r="L2795">
        <v>0</v>
      </c>
      <c r="M2795" t="s">
        <v>125</v>
      </c>
      <c r="P2795" t="s">
        <v>125</v>
      </c>
      <c r="R2795" t="s">
        <v>125</v>
      </c>
      <c r="S2795" t="s">
        <v>63</v>
      </c>
      <c r="V2795" t="s">
        <v>125</v>
      </c>
      <c r="X2795" t="s">
        <v>125</v>
      </c>
      <c r="Y2795" t="s">
        <v>125</v>
      </c>
      <c r="Z2795" t="s">
        <v>125</v>
      </c>
      <c r="AA2795" t="s">
        <v>125</v>
      </c>
      <c r="AB2795" t="s">
        <v>125</v>
      </c>
      <c r="AC2795" t="s">
        <v>125</v>
      </c>
      <c r="AE2795" t="s">
        <v>125</v>
      </c>
      <c r="AF2795">
        <v>0</v>
      </c>
      <c r="AG2795" t="s">
        <v>125</v>
      </c>
      <c r="AH2795">
        <v>0</v>
      </c>
      <c r="AK2795">
        <v>0</v>
      </c>
    </row>
    <row r="2796" spans="1:37" x14ac:dyDescent="0.25">
      <c r="A2796" t="s">
        <v>79</v>
      </c>
      <c r="B2796">
        <v>11</v>
      </c>
      <c r="C2796">
        <v>2</v>
      </c>
      <c r="D2796">
        <v>3</v>
      </c>
      <c r="E2796">
        <v>1</v>
      </c>
      <c r="G2796">
        <v>1123</v>
      </c>
      <c r="H2796" t="s">
        <v>63</v>
      </c>
      <c r="I2796" t="s">
        <v>80</v>
      </c>
      <c r="J2796" t="s">
        <v>141</v>
      </c>
      <c r="L2796">
        <v>0</v>
      </c>
      <c r="M2796" t="s">
        <v>125</v>
      </c>
      <c r="O2796" t="s">
        <v>125</v>
      </c>
      <c r="P2796" t="s">
        <v>125</v>
      </c>
      <c r="Q2796" t="s">
        <v>125</v>
      </c>
      <c r="R2796" t="s">
        <v>125</v>
      </c>
      <c r="S2796" t="s">
        <v>125</v>
      </c>
      <c r="T2796">
        <v>0</v>
      </c>
      <c r="V2796" t="s">
        <v>125</v>
      </c>
      <c r="AE2796" t="s">
        <v>125</v>
      </c>
      <c r="AF2796">
        <v>0</v>
      </c>
      <c r="AG2796" t="s">
        <v>125</v>
      </c>
      <c r="AH2796">
        <v>0</v>
      </c>
      <c r="AK2796">
        <v>0</v>
      </c>
    </row>
    <row r="2797" spans="1:37" x14ac:dyDescent="0.25">
      <c r="A2797" t="s">
        <v>79</v>
      </c>
      <c r="B2797">
        <v>11</v>
      </c>
      <c r="C2797">
        <v>2</v>
      </c>
      <c r="D2797">
        <v>3</v>
      </c>
      <c r="E2797">
        <v>2</v>
      </c>
      <c r="G2797">
        <v>1123</v>
      </c>
      <c r="H2797" t="s">
        <v>63</v>
      </c>
      <c r="I2797" t="s">
        <v>88</v>
      </c>
      <c r="J2797" t="s">
        <v>142</v>
      </c>
      <c r="L2797">
        <v>0</v>
      </c>
      <c r="M2797" t="s">
        <v>125</v>
      </c>
      <c r="O2797" t="s">
        <v>125</v>
      </c>
      <c r="P2797" t="s">
        <v>125</v>
      </c>
      <c r="Q2797" t="s">
        <v>125</v>
      </c>
      <c r="R2797" t="s">
        <v>125</v>
      </c>
      <c r="S2797" t="s">
        <v>125</v>
      </c>
      <c r="T2797">
        <v>0</v>
      </c>
      <c r="V2797" t="s">
        <v>125</v>
      </c>
      <c r="AE2797" t="s">
        <v>125</v>
      </c>
      <c r="AF2797">
        <v>0</v>
      </c>
      <c r="AG2797" t="s">
        <v>125</v>
      </c>
      <c r="AH2797">
        <v>0</v>
      </c>
      <c r="AK2797">
        <v>0</v>
      </c>
    </row>
    <row r="2798" spans="1:37" x14ac:dyDescent="0.25">
      <c r="A2798" t="s">
        <v>79</v>
      </c>
      <c r="B2798">
        <v>11</v>
      </c>
      <c r="C2798">
        <v>2</v>
      </c>
      <c r="D2798">
        <v>3</v>
      </c>
      <c r="E2798">
        <v>3</v>
      </c>
      <c r="G2798">
        <v>1123</v>
      </c>
      <c r="H2798" t="s">
        <v>63</v>
      </c>
      <c r="I2798" t="s">
        <v>95</v>
      </c>
      <c r="J2798" t="s">
        <v>143</v>
      </c>
      <c r="L2798">
        <v>0</v>
      </c>
      <c r="M2798" t="s">
        <v>125</v>
      </c>
      <c r="O2798" t="s">
        <v>125</v>
      </c>
      <c r="P2798" t="s">
        <v>125</v>
      </c>
      <c r="Q2798" t="s">
        <v>125</v>
      </c>
      <c r="R2798" t="s">
        <v>125</v>
      </c>
      <c r="S2798" t="s">
        <v>125</v>
      </c>
      <c r="T2798">
        <v>0</v>
      </c>
      <c r="V2798" t="s">
        <v>125</v>
      </c>
      <c r="AE2798" t="s">
        <v>125</v>
      </c>
      <c r="AF2798">
        <v>0</v>
      </c>
      <c r="AG2798" t="s">
        <v>125</v>
      </c>
      <c r="AH2798">
        <v>0</v>
      </c>
      <c r="AK2798">
        <v>0</v>
      </c>
    </row>
    <row r="2799" spans="1:37" x14ac:dyDescent="0.25">
      <c r="A2799" t="s">
        <v>79</v>
      </c>
      <c r="B2799">
        <v>11</v>
      </c>
      <c r="C2799">
        <v>2</v>
      </c>
      <c r="D2799">
        <v>3</v>
      </c>
      <c r="E2799">
        <v>4</v>
      </c>
      <c r="G2799">
        <v>1123</v>
      </c>
      <c r="H2799" t="s">
        <v>63</v>
      </c>
      <c r="I2799" t="s">
        <v>102</v>
      </c>
      <c r="J2799" t="s">
        <v>144</v>
      </c>
      <c r="L2799">
        <v>0</v>
      </c>
      <c r="M2799" t="s">
        <v>125</v>
      </c>
      <c r="O2799" t="s">
        <v>125</v>
      </c>
      <c r="P2799" t="s">
        <v>125</v>
      </c>
      <c r="Q2799" t="s">
        <v>125</v>
      </c>
      <c r="R2799" t="s">
        <v>125</v>
      </c>
      <c r="S2799" t="s">
        <v>125</v>
      </c>
      <c r="T2799">
        <v>0</v>
      </c>
      <c r="V2799" t="s">
        <v>125</v>
      </c>
      <c r="AE2799" t="s">
        <v>125</v>
      </c>
      <c r="AF2799">
        <v>0</v>
      </c>
      <c r="AG2799" t="s">
        <v>125</v>
      </c>
      <c r="AH2799">
        <v>0</v>
      </c>
      <c r="AK2799">
        <v>0</v>
      </c>
    </row>
    <row r="2800" spans="1:37" x14ac:dyDescent="0.25">
      <c r="A2800" t="s">
        <v>79</v>
      </c>
      <c r="B2800">
        <v>11</v>
      </c>
      <c r="C2800">
        <v>2</v>
      </c>
      <c r="D2800">
        <v>3</v>
      </c>
      <c r="E2800">
        <v>5</v>
      </c>
      <c r="G2800">
        <v>1123</v>
      </c>
      <c r="H2800" t="s">
        <v>63</v>
      </c>
      <c r="I2800" t="s">
        <v>109</v>
      </c>
      <c r="J2800" t="s">
        <v>145</v>
      </c>
      <c r="L2800">
        <v>0</v>
      </c>
      <c r="M2800" t="s">
        <v>125</v>
      </c>
      <c r="O2800" t="s">
        <v>125</v>
      </c>
      <c r="P2800" t="s">
        <v>125</v>
      </c>
      <c r="Q2800" t="s">
        <v>125</v>
      </c>
      <c r="R2800" t="s">
        <v>125</v>
      </c>
      <c r="S2800" t="s">
        <v>125</v>
      </c>
      <c r="T2800">
        <v>0</v>
      </c>
      <c r="V2800" t="s">
        <v>125</v>
      </c>
      <c r="AE2800" t="s">
        <v>125</v>
      </c>
      <c r="AF2800">
        <v>0</v>
      </c>
      <c r="AG2800" t="s">
        <v>125</v>
      </c>
      <c r="AH2800">
        <v>0</v>
      </c>
      <c r="AK2800">
        <v>0</v>
      </c>
    </row>
    <row r="2801" spans="1:37" x14ac:dyDescent="0.25">
      <c r="A2801" t="s">
        <v>79</v>
      </c>
      <c r="B2801">
        <v>11</v>
      </c>
      <c r="C2801">
        <v>2</v>
      </c>
      <c r="D2801">
        <v>3</v>
      </c>
      <c r="E2801">
        <v>6</v>
      </c>
      <c r="G2801">
        <v>1123</v>
      </c>
      <c r="H2801" t="s">
        <v>63</v>
      </c>
      <c r="I2801" t="s">
        <v>116</v>
      </c>
      <c r="J2801" t="s">
        <v>146</v>
      </c>
      <c r="L2801">
        <v>0</v>
      </c>
      <c r="M2801" t="s">
        <v>125</v>
      </c>
      <c r="O2801" t="s">
        <v>125</v>
      </c>
      <c r="P2801" t="s">
        <v>125</v>
      </c>
      <c r="Q2801" t="s">
        <v>125</v>
      </c>
      <c r="R2801" t="s">
        <v>125</v>
      </c>
      <c r="S2801" t="s">
        <v>125</v>
      </c>
      <c r="T2801">
        <v>0</v>
      </c>
      <c r="V2801" t="s">
        <v>125</v>
      </c>
      <c r="AE2801" t="s">
        <v>125</v>
      </c>
      <c r="AF2801">
        <v>0</v>
      </c>
      <c r="AG2801" t="s">
        <v>125</v>
      </c>
      <c r="AH2801">
        <v>0</v>
      </c>
      <c r="AK2801">
        <v>0</v>
      </c>
    </row>
    <row r="2802" spans="1:37" x14ac:dyDescent="0.25">
      <c r="A2802" t="s">
        <v>79</v>
      </c>
      <c r="B2802">
        <v>11</v>
      </c>
      <c r="C2802">
        <v>2</v>
      </c>
      <c r="D2802">
        <v>3</v>
      </c>
      <c r="E2802">
        <v>7</v>
      </c>
      <c r="G2802">
        <v>1123</v>
      </c>
      <c r="H2802" t="s">
        <v>63</v>
      </c>
      <c r="I2802" t="s">
        <v>123</v>
      </c>
      <c r="J2802" t="s">
        <v>147</v>
      </c>
      <c r="L2802">
        <v>0</v>
      </c>
      <c r="M2802" t="s">
        <v>125</v>
      </c>
      <c r="O2802" t="s">
        <v>125</v>
      </c>
      <c r="P2802" t="s">
        <v>125</v>
      </c>
      <c r="Q2802" t="s">
        <v>125</v>
      </c>
      <c r="R2802" t="s">
        <v>125</v>
      </c>
      <c r="S2802" t="s">
        <v>125</v>
      </c>
      <c r="T2802">
        <v>0</v>
      </c>
      <c r="V2802" t="s">
        <v>125</v>
      </c>
      <c r="AE2802" t="s">
        <v>125</v>
      </c>
      <c r="AF2802">
        <v>0</v>
      </c>
      <c r="AG2802" t="s">
        <v>125</v>
      </c>
      <c r="AH2802">
        <v>0</v>
      </c>
      <c r="AK2802">
        <v>0</v>
      </c>
    </row>
    <row r="2803" spans="1:37" x14ac:dyDescent="0.25">
      <c r="A2803" t="s">
        <v>79</v>
      </c>
      <c r="B2803">
        <v>11</v>
      </c>
      <c r="C2803">
        <v>2</v>
      </c>
      <c r="D2803">
        <v>3</v>
      </c>
      <c r="E2803">
        <v>8</v>
      </c>
      <c r="G2803">
        <v>1123</v>
      </c>
      <c r="H2803" t="s">
        <v>63</v>
      </c>
      <c r="I2803" t="s">
        <v>126</v>
      </c>
      <c r="J2803" t="s">
        <v>148</v>
      </c>
      <c r="L2803">
        <v>0</v>
      </c>
      <c r="M2803" t="s">
        <v>125</v>
      </c>
      <c r="O2803" t="s">
        <v>125</v>
      </c>
      <c r="P2803" t="s">
        <v>125</v>
      </c>
      <c r="Q2803" t="s">
        <v>125</v>
      </c>
      <c r="R2803" t="s">
        <v>125</v>
      </c>
      <c r="S2803" t="s">
        <v>125</v>
      </c>
      <c r="T2803">
        <v>0</v>
      </c>
      <c r="V2803" t="s">
        <v>125</v>
      </c>
      <c r="AE2803" t="s">
        <v>125</v>
      </c>
      <c r="AF2803">
        <v>0</v>
      </c>
      <c r="AG2803" t="s">
        <v>125</v>
      </c>
      <c r="AH2803">
        <v>0</v>
      </c>
      <c r="AK2803">
        <v>0</v>
      </c>
    </row>
    <row r="2804" spans="1:37" x14ac:dyDescent="0.25">
      <c r="A2804" t="s">
        <v>79</v>
      </c>
      <c r="B2804">
        <v>11</v>
      </c>
      <c r="C2804">
        <v>2</v>
      </c>
      <c r="D2804">
        <v>3</v>
      </c>
      <c r="E2804">
        <v>9</v>
      </c>
      <c r="G2804">
        <v>1123</v>
      </c>
      <c r="H2804" t="s">
        <v>63</v>
      </c>
      <c r="I2804" t="s">
        <v>74</v>
      </c>
      <c r="J2804" t="s">
        <v>149</v>
      </c>
      <c r="L2804">
        <v>0</v>
      </c>
      <c r="M2804" t="s">
        <v>125</v>
      </c>
      <c r="O2804" t="s">
        <v>125</v>
      </c>
      <c r="P2804" t="s">
        <v>125</v>
      </c>
      <c r="Q2804" t="s">
        <v>125</v>
      </c>
      <c r="R2804" t="s">
        <v>125</v>
      </c>
      <c r="S2804" t="s">
        <v>125</v>
      </c>
      <c r="T2804">
        <v>0</v>
      </c>
      <c r="V2804" t="s">
        <v>125</v>
      </c>
      <c r="AE2804" t="s">
        <v>125</v>
      </c>
      <c r="AF2804">
        <v>0</v>
      </c>
      <c r="AG2804" t="s">
        <v>125</v>
      </c>
      <c r="AH2804">
        <v>0</v>
      </c>
      <c r="AK2804">
        <v>0</v>
      </c>
    </row>
    <row r="2805" spans="1:37" x14ac:dyDescent="0.25">
      <c r="A2805" t="s">
        <v>79</v>
      </c>
      <c r="B2805">
        <v>11</v>
      </c>
      <c r="C2805">
        <v>2</v>
      </c>
      <c r="D2805">
        <v>3</v>
      </c>
      <c r="E2805">
        <v>10</v>
      </c>
      <c r="G2805">
        <v>1123</v>
      </c>
      <c r="H2805" t="s">
        <v>63</v>
      </c>
      <c r="I2805" t="s">
        <v>129</v>
      </c>
      <c r="J2805" t="s">
        <v>150</v>
      </c>
      <c r="L2805">
        <v>0</v>
      </c>
      <c r="M2805" t="s">
        <v>125</v>
      </c>
      <c r="O2805" t="s">
        <v>125</v>
      </c>
      <c r="P2805" t="s">
        <v>125</v>
      </c>
      <c r="Q2805" t="s">
        <v>125</v>
      </c>
      <c r="R2805" t="s">
        <v>125</v>
      </c>
      <c r="S2805" t="s">
        <v>125</v>
      </c>
      <c r="T2805">
        <v>0</v>
      </c>
      <c r="V2805" t="s">
        <v>125</v>
      </c>
      <c r="AE2805" t="s">
        <v>125</v>
      </c>
      <c r="AF2805">
        <v>0</v>
      </c>
      <c r="AG2805" t="s">
        <v>125</v>
      </c>
      <c r="AH2805">
        <v>0</v>
      </c>
      <c r="AK2805">
        <v>0</v>
      </c>
    </row>
    <row r="2806" spans="1:37" x14ac:dyDescent="0.25">
      <c r="A2806" t="s">
        <v>79</v>
      </c>
      <c r="B2806">
        <v>11</v>
      </c>
      <c r="C2806">
        <v>2</v>
      </c>
      <c r="D2806">
        <v>3</v>
      </c>
      <c r="E2806">
        <v>11</v>
      </c>
      <c r="G2806">
        <v>1123</v>
      </c>
      <c r="H2806" t="s">
        <v>63</v>
      </c>
      <c r="I2806" t="s">
        <v>131</v>
      </c>
      <c r="J2806" t="s">
        <v>151</v>
      </c>
      <c r="L2806">
        <v>0</v>
      </c>
      <c r="M2806" t="s">
        <v>125</v>
      </c>
      <c r="O2806" t="s">
        <v>125</v>
      </c>
      <c r="P2806" t="s">
        <v>125</v>
      </c>
      <c r="Q2806" t="s">
        <v>125</v>
      </c>
      <c r="R2806" t="s">
        <v>125</v>
      </c>
      <c r="S2806" t="s">
        <v>125</v>
      </c>
      <c r="T2806">
        <v>0</v>
      </c>
      <c r="V2806" t="s">
        <v>125</v>
      </c>
      <c r="AE2806" t="s">
        <v>125</v>
      </c>
      <c r="AF2806">
        <v>0</v>
      </c>
      <c r="AG2806" t="s">
        <v>125</v>
      </c>
      <c r="AH2806">
        <v>0</v>
      </c>
      <c r="AK2806">
        <v>0</v>
      </c>
    </row>
    <row r="2807" spans="1:37" x14ac:dyDescent="0.25">
      <c r="A2807" t="s">
        <v>79</v>
      </c>
      <c r="B2807">
        <v>11</v>
      </c>
      <c r="C2807">
        <v>2</v>
      </c>
      <c r="D2807">
        <v>3</v>
      </c>
      <c r="E2807">
        <v>12</v>
      </c>
      <c r="G2807">
        <v>1123</v>
      </c>
      <c r="H2807" t="s">
        <v>63</v>
      </c>
      <c r="I2807" t="s">
        <v>133</v>
      </c>
      <c r="J2807" t="s">
        <v>152</v>
      </c>
      <c r="L2807">
        <v>0</v>
      </c>
      <c r="M2807" t="s">
        <v>125</v>
      </c>
      <c r="O2807" t="s">
        <v>125</v>
      </c>
      <c r="P2807" t="s">
        <v>125</v>
      </c>
      <c r="Q2807" t="s">
        <v>125</v>
      </c>
      <c r="R2807" t="s">
        <v>125</v>
      </c>
      <c r="S2807" t="s">
        <v>125</v>
      </c>
      <c r="T2807">
        <v>0</v>
      </c>
      <c r="V2807" t="s">
        <v>125</v>
      </c>
      <c r="AE2807" t="s">
        <v>125</v>
      </c>
      <c r="AF2807">
        <v>0</v>
      </c>
      <c r="AG2807" t="s">
        <v>125</v>
      </c>
      <c r="AH2807">
        <v>0</v>
      </c>
      <c r="AK2807">
        <v>0</v>
      </c>
    </row>
    <row r="2808" spans="1:37" x14ac:dyDescent="0.25">
      <c r="A2808" t="s">
        <v>79</v>
      </c>
      <c r="B2808">
        <v>11</v>
      </c>
      <c r="C2808">
        <v>2</v>
      </c>
      <c r="D2808">
        <v>3</v>
      </c>
      <c r="E2808">
        <v>13</v>
      </c>
      <c r="G2808">
        <v>1123</v>
      </c>
      <c r="H2808" t="s">
        <v>63</v>
      </c>
      <c r="I2808" t="s">
        <v>135</v>
      </c>
      <c r="J2808" t="s">
        <v>153</v>
      </c>
      <c r="L2808">
        <v>0</v>
      </c>
      <c r="M2808" t="s">
        <v>125</v>
      </c>
      <c r="O2808" t="s">
        <v>125</v>
      </c>
      <c r="P2808" t="s">
        <v>125</v>
      </c>
      <c r="Q2808" t="s">
        <v>125</v>
      </c>
      <c r="R2808" t="s">
        <v>125</v>
      </c>
      <c r="S2808" t="s">
        <v>125</v>
      </c>
      <c r="T2808">
        <v>0</v>
      </c>
      <c r="V2808" t="s">
        <v>125</v>
      </c>
      <c r="AE2808" t="s">
        <v>125</v>
      </c>
      <c r="AF2808">
        <v>0</v>
      </c>
      <c r="AG2808" t="s">
        <v>125</v>
      </c>
      <c r="AH2808">
        <v>0</v>
      </c>
      <c r="AK2808">
        <v>0</v>
      </c>
    </row>
    <row r="2809" spans="1:37" x14ac:dyDescent="0.25">
      <c r="A2809" t="s">
        <v>79</v>
      </c>
      <c r="B2809">
        <v>11</v>
      </c>
      <c r="C2809">
        <v>2</v>
      </c>
      <c r="D2809">
        <v>3</v>
      </c>
      <c r="E2809">
        <v>14</v>
      </c>
      <c r="G2809">
        <v>1123</v>
      </c>
      <c r="H2809" t="s">
        <v>63</v>
      </c>
      <c r="I2809" t="s">
        <v>137</v>
      </c>
      <c r="J2809" t="s">
        <v>154</v>
      </c>
      <c r="L2809">
        <v>0</v>
      </c>
      <c r="M2809" t="s">
        <v>125</v>
      </c>
      <c r="O2809" t="s">
        <v>125</v>
      </c>
      <c r="P2809" t="s">
        <v>125</v>
      </c>
      <c r="Q2809" t="s">
        <v>125</v>
      </c>
      <c r="R2809" t="s">
        <v>125</v>
      </c>
      <c r="S2809" t="s">
        <v>125</v>
      </c>
      <c r="T2809">
        <v>0</v>
      </c>
      <c r="V2809" t="s">
        <v>125</v>
      </c>
      <c r="AE2809" t="s">
        <v>125</v>
      </c>
      <c r="AF2809">
        <v>0</v>
      </c>
      <c r="AG2809" t="s">
        <v>125</v>
      </c>
      <c r="AH2809">
        <v>0</v>
      </c>
      <c r="AK2809">
        <v>0</v>
      </c>
    </row>
    <row r="2810" spans="1:37" x14ac:dyDescent="0.25">
      <c r="A2810" t="s">
        <v>79</v>
      </c>
      <c r="B2810">
        <v>11</v>
      </c>
      <c r="C2810">
        <v>2</v>
      </c>
      <c r="D2810">
        <v>3</v>
      </c>
      <c r="E2810">
        <v>15</v>
      </c>
      <c r="G2810">
        <v>1123</v>
      </c>
      <c r="H2810" t="s">
        <v>63</v>
      </c>
      <c r="I2810" t="s">
        <v>139</v>
      </c>
      <c r="J2810" t="s">
        <v>155</v>
      </c>
      <c r="L2810">
        <v>0</v>
      </c>
      <c r="M2810" t="s">
        <v>125</v>
      </c>
      <c r="O2810" t="s">
        <v>125</v>
      </c>
      <c r="P2810" t="s">
        <v>125</v>
      </c>
      <c r="Q2810" t="s">
        <v>125</v>
      </c>
      <c r="R2810" t="s">
        <v>125</v>
      </c>
      <c r="S2810" t="s">
        <v>125</v>
      </c>
      <c r="T2810">
        <v>0</v>
      </c>
      <c r="V2810" t="s">
        <v>125</v>
      </c>
      <c r="AE2810" t="s">
        <v>125</v>
      </c>
      <c r="AF2810">
        <v>0</v>
      </c>
      <c r="AG2810" t="s">
        <v>125</v>
      </c>
      <c r="AH2810">
        <v>0</v>
      </c>
      <c r="AK2810">
        <v>0</v>
      </c>
    </row>
    <row r="2811" spans="1:37" x14ac:dyDescent="0.25">
      <c r="L2811">
        <v>0</v>
      </c>
    </row>
    <row r="2812" spans="1:37" x14ac:dyDescent="0.25">
      <c r="A2812" t="s">
        <v>70</v>
      </c>
      <c r="B2812">
        <v>11</v>
      </c>
      <c r="C2812">
        <v>2</v>
      </c>
      <c r="D2812">
        <v>4</v>
      </c>
      <c r="G2812">
        <v>112</v>
      </c>
      <c r="L2812">
        <v>0</v>
      </c>
      <c r="M2812" t="s">
        <v>125</v>
      </c>
      <c r="P2812" t="s">
        <v>125</v>
      </c>
      <c r="R2812" t="s">
        <v>125</v>
      </c>
      <c r="S2812" t="s">
        <v>63</v>
      </c>
      <c r="V2812" t="s">
        <v>125</v>
      </c>
      <c r="X2812" t="s">
        <v>125</v>
      </c>
      <c r="Y2812" t="s">
        <v>125</v>
      </c>
      <c r="Z2812" t="s">
        <v>125</v>
      </c>
      <c r="AA2812" t="s">
        <v>125</v>
      </c>
      <c r="AB2812" t="s">
        <v>125</v>
      </c>
      <c r="AC2812" t="s">
        <v>125</v>
      </c>
      <c r="AE2812" t="s">
        <v>125</v>
      </c>
      <c r="AF2812">
        <v>0</v>
      </c>
      <c r="AG2812" t="s">
        <v>125</v>
      </c>
      <c r="AH2812">
        <v>0</v>
      </c>
      <c r="AK2812">
        <v>0</v>
      </c>
    </row>
    <row r="2813" spans="1:37" x14ac:dyDescent="0.25">
      <c r="A2813" t="s">
        <v>79</v>
      </c>
      <c r="B2813">
        <v>11</v>
      </c>
      <c r="C2813">
        <v>2</v>
      </c>
      <c r="D2813">
        <v>4</v>
      </c>
      <c r="E2813">
        <v>1</v>
      </c>
      <c r="G2813">
        <v>1124</v>
      </c>
      <c r="H2813" t="s">
        <v>63</v>
      </c>
      <c r="I2813" t="s">
        <v>80</v>
      </c>
      <c r="J2813" t="s">
        <v>141</v>
      </c>
      <c r="L2813">
        <v>0</v>
      </c>
      <c r="M2813" t="s">
        <v>125</v>
      </c>
      <c r="O2813" t="s">
        <v>125</v>
      </c>
      <c r="P2813" t="s">
        <v>125</v>
      </c>
      <c r="Q2813" t="s">
        <v>125</v>
      </c>
      <c r="R2813" t="s">
        <v>125</v>
      </c>
      <c r="S2813" t="s">
        <v>125</v>
      </c>
      <c r="T2813">
        <v>0</v>
      </c>
      <c r="V2813" t="s">
        <v>125</v>
      </c>
      <c r="AE2813" t="s">
        <v>125</v>
      </c>
      <c r="AF2813">
        <v>0</v>
      </c>
      <c r="AG2813" t="s">
        <v>125</v>
      </c>
      <c r="AH2813">
        <v>0</v>
      </c>
      <c r="AK2813">
        <v>0</v>
      </c>
    </row>
    <row r="2814" spans="1:37" x14ac:dyDescent="0.25">
      <c r="A2814" t="s">
        <v>79</v>
      </c>
      <c r="B2814">
        <v>11</v>
      </c>
      <c r="C2814">
        <v>2</v>
      </c>
      <c r="D2814">
        <v>4</v>
      </c>
      <c r="E2814">
        <v>2</v>
      </c>
      <c r="G2814">
        <v>1124</v>
      </c>
      <c r="H2814" t="s">
        <v>63</v>
      </c>
      <c r="I2814" t="s">
        <v>88</v>
      </c>
      <c r="J2814" t="s">
        <v>142</v>
      </c>
      <c r="L2814">
        <v>0</v>
      </c>
      <c r="M2814" t="s">
        <v>125</v>
      </c>
      <c r="O2814" t="s">
        <v>125</v>
      </c>
      <c r="P2814" t="s">
        <v>125</v>
      </c>
      <c r="Q2814" t="s">
        <v>125</v>
      </c>
      <c r="R2814" t="s">
        <v>125</v>
      </c>
      <c r="S2814" t="s">
        <v>125</v>
      </c>
      <c r="T2814">
        <v>0</v>
      </c>
      <c r="V2814" t="s">
        <v>125</v>
      </c>
      <c r="AE2814" t="s">
        <v>125</v>
      </c>
      <c r="AF2814">
        <v>0</v>
      </c>
      <c r="AG2814" t="s">
        <v>125</v>
      </c>
      <c r="AH2814">
        <v>0</v>
      </c>
      <c r="AK2814">
        <v>0</v>
      </c>
    </row>
    <row r="2815" spans="1:37" x14ac:dyDescent="0.25">
      <c r="A2815" t="s">
        <v>79</v>
      </c>
      <c r="B2815">
        <v>11</v>
      </c>
      <c r="C2815">
        <v>2</v>
      </c>
      <c r="D2815">
        <v>4</v>
      </c>
      <c r="E2815">
        <v>3</v>
      </c>
      <c r="G2815">
        <v>1124</v>
      </c>
      <c r="H2815" t="s">
        <v>63</v>
      </c>
      <c r="I2815" t="s">
        <v>95</v>
      </c>
      <c r="J2815" t="s">
        <v>143</v>
      </c>
      <c r="L2815">
        <v>0</v>
      </c>
      <c r="M2815" t="s">
        <v>125</v>
      </c>
      <c r="O2815" t="s">
        <v>125</v>
      </c>
      <c r="P2815" t="s">
        <v>125</v>
      </c>
      <c r="Q2815" t="s">
        <v>125</v>
      </c>
      <c r="R2815" t="s">
        <v>125</v>
      </c>
      <c r="S2815" t="s">
        <v>125</v>
      </c>
      <c r="T2815">
        <v>0</v>
      </c>
      <c r="V2815" t="s">
        <v>125</v>
      </c>
      <c r="AE2815" t="s">
        <v>125</v>
      </c>
      <c r="AF2815">
        <v>0</v>
      </c>
      <c r="AG2815" t="s">
        <v>125</v>
      </c>
      <c r="AH2815">
        <v>0</v>
      </c>
      <c r="AK2815">
        <v>0</v>
      </c>
    </row>
    <row r="2816" spans="1:37" x14ac:dyDescent="0.25">
      <c r="A2816" t="s">
        <v>79</v>
      </c>
      <c r="B2816">
        <v>11</v>
      </c>
      <c r="C2816">
        <v>2</v>
      </c>
      <c r="D2816">
        <v>4</v>
      </c>
      <c r="E2816">
        <v>4</v>
      </c>
      <c r="G2816">
        <v>1124</v>
      </c>
      <c r="H2816" t="s">
        <v>63</v>
      </c>
      <c r="I2816" t="s">
        <v>102</v>
      </c>
      <c r="J2816" t="s">
        <v>144</v>
      </c>
      <c r="L2816">
        <v>0</v>
      </c>
      <c r="M2816" t="s">
        <v>125</v>
      </c>
      <c r="O2816" t="s">
        <v>125</v>
      </c>
      <c r="P2816" t="s">
        <v>125</v>
      </c>
      <c r="Q2816" t="s">
        <v>125</v>
      </c>
      <c r="R2816" t="s">
        <v>125</v>
      </c>
      <c r="S2816" t="s">
        <v>125</v>
      </c>
      <c r="T2816">
        <v>0</v>
      </c>
      <c r="V2816" t="s">
        <v>125</v>
      </c>
      <c r="AE2816" t="s">
        <v>125</v>
      </c>
      <c r="AF2816">
        <v>0</v>
      </c>
      <c r="AG2816" t="s">
        <v>125</v>
      </c>
      <c r="AH2816">
        <v>0</v>
      </c>
      <c r="AK2816">
        <v>0</v>
      </c>
    </row>
    <row r="2817" spans="1:37" x14ac:dyDescent="0.25">
      <c r="A2817" t="s">
        <v>79</v>
      </c>
      <c r="B2817">
        <v>11</v>
      </c>
      <c r="C2817">
        <v>2</v>
      </c>
      <c r="D2817">
        <v>4</v>
      </c>
      <c r="E2817">
        <v>5</v>
      </c>
      <c r="G2817">
        <v>1124</v>
      </c>
      <c r="H2817" t="s">
        <v>63</v>
      </c>
      <c r="I2817" t="s">
        <v>109</v>
      </c>
      <c r="J2817" t="s">
        <v>145</v>
      </c>
      <c r="L2817">
        <v>0</v>
      </c>
      <c r="M2817" t="s">
        <v>125</v>
      </c>
      <c r="O2817" t="s">
        <v>125</v>
      </c>
      <c r="P2817" t="s">
        <v>125</v>
      </c>
      <c r="Q2817" t="s">
        <v>125</v>
      </c>
      <c r="R2817" t="s">
        <v>125</v>
      </c>
      <c r="S2817" t="s">
        <v>125</v>
      </c>
      <c r="T2817">
        <v>0</v>
      </c>
      <c r="V2817" t="s">
        <v>125</v>
      </c>
      <c r="AE2817" t="s">
        <v>125</v>
      </c>
      <c r="AF2817">
        <v>0</v>
      </c>
      <c r="AG2817" t="s">
        <v>125</v>
      </c>
      <c r="AH2817">
        <v>0</v>
      </c>
      <c r="AK2817">
        <v>0</v>
      </c>
    </row>
    <row r="2818" spans="1:37" x14ac:dyDescent="0.25">
      <c r="A2818" t="s">
        <v>79</v>
      </c>
      <c r="B2818">
        <v>11</v>
      </c>
      <c r="C2818">
        <v>2</v>
      </c>
      <c r="D2818">
        <v>4</v>
      </c>
      <c r="E2818">
        <v>6</v>
      </c>
      <c r="G2818">
        <v>1124</v>
      </c>
      <c r="H2818" t="s">
        <v>63</v>
      </c>
      <c r="I2818" t="s">
        <v>116</v>
      </c>
      <c r="J2818" t="s">
        <v>146</v>
      </c>
      <c r="L2818">
        <v>0</v>
      </c>
      <c r="M2818" t="s">
        <v>125</v>
      </c>
      <c r="O2818" t="s">
        <v>125</v>
      </c>
      <c r="P2818" t="s">
        <v>125</v>
      </c>
      <c r="Q2818" t="s">
        <v>125</v>
      </c>
      <c r="R2818" t="s">
        <v>125</v>
      </c>
      <c r="S2818" t="s">
        <v>125</v>
      </c>
      <c r="T2818">
        <v>0</v>
      </c>
      <c r="V2818" t="s">
        <v>125</v>
      </c>
      <c r="AE2818" t="s">
        <v>125</v>
      </c>
      <c r="AF2818">
        <v>0</v>
      </c>
      <c r="AG2818" t="s">
        <v>125</v>
      </c>
      <c r="AH2818">
        <v>0</v>
      </c>
      <c r="AK2818">
        <v>0</v>
      </c>
    </row>
    <row r="2819" spans="1:37" x14ac:dyDescent="0.25">
      <c r="A2819" t="s">
        <v>79</v>
      </c>
      <c r="B2819">
        <v>11</v>
      </c>
      <c r="C2819">
        <v>2</v>
      </c>
      <c r="D2819">
        <v>4</v>
      </c>
      <c r="E2819">
        <v>7</v>
      </c>
      <c r="G2819">
        <v>1124</v>
      </c>
      <c r="H2819" t="s">
        <v>63</v>
      </c>
      <c r="I2819" t="s">
        <v>123</v>
      </c>
      <c r="J2819" t="s">
        <v>147</v>
      </c>
      <c r="L2819">
        <v>0</v>
      </c>
      <c r="M2819" t="s">
        <v>125</v>
      </c>
      <c r="O2819" t="s">
        <v>125</v>
      </c>
      <c r="P2819" t="s">
        <v>125</v>
      </c>
      <c r="Q2819" t="s">
        <v>125</v>
      </c>
      <c r="R2819" t="s">
        <v>125</v>
      </c>
      <c r="S2819" t="s">
        <v>125</v>
      </c>
      <c r="T2819">
        <v>0</v>
      </c>
      <c r="V2819" t="s">
        <v>125</v>
      </c>
      <c r="AE2819" t="s">
        <v>125</v>
      </c>
      <c r="AF2819">
        <v>0</v>
      </c>
      <c r="AG2819" t="s">
        <v>125</v>
      </c>
      <c r="AH2819">
        <v>0</v>
      </c>
      <c r="AK2819">
        <v>0</v>
      </c>
    </row>
    <row r="2820" spans="1:37" x14ac:dyDescent="0.25">
      <c r="A2820" t="s">
        <v>79</v>
      </c>
      <c r="B2820">
        <v>11</v>
      </c>
      <c r="C2820">
        <v>2</v>
      </c>
      <c r="D2820">
        <v>4</v>
      </c>
      <c r="E2820">
        <v>8</v>
      </c>
      <c r="G2820">
        <v>1124</v>
      </c>
      <c r="H2820" t="s">
        <v>63</v>
      </c>
      <c r="I2820" t="s">
        <v>126</v>
      </c>
      <c r="J2820" t="s">
        <v>148</v>
      </c>
      <c r="L2820">
        <v>0</v>
      </c>
      <c r="M2820" t="s">
        <v>125</v>
      </c>
      <c r="O2820" t="s">
        <v>125</v>
      </c>
      <c r="P2820" t="s">
        <v>125</v>
      </c>
      <c r="Q2820" t="s">
        <v>125</v>
      </c>
      <c r="R2820" t="s">
        <v>125</v>
      </c>
      <c r="S2820" t="s">
        <v>125</v>
      </c>
      <c r="T2820">
        <v>0</v>
      </c>
      <c r="V2820" t="s">
        <v>125</v>
      </c>
      <c r="AE2820" t="s">
        <v>125</v>
      </c>
      <c r="AF2820">
        <v>0</v>
      </c>
      <c r="AG2820" t="s">
        <v>125</v>
      </c>
      <c r="AH2820">
        <v>0</v>
      </c>
      <c r="AK2820">
        <v>0</v>
      </c>
    </row>
    <row r="2821" spans="1:37" x14ac:dyDescent="0.25">
      <c r="A2821" t="s">
        <v>79</v>
      </c>
      <c r="B2821">
        <v>11</v>
      </c>
      <c r="C2821">
        <v>2</v>
      </c>
      <c r="D2821">
        <v>4</v>
      </c>
      <c r="E2821">
        <v>9</v>
      </c>
      <c r="G2821">
        <v>1124</v>
      </c>
      <c r="H2821" t="s">
        <v>63</v>
      </c>
      <c r="I2821" t="s">
        <v>74</v>
      </c>
      <c r="J2821" t="s">
        <v>149</v>
      </c>
      <c r="L2821">
        <v>0</v>
      </c>
      <c r="M2821" t="s">
        <v>125</v>
      </c>
      <c r="O2821" t="s">
        <v>125</v>
      </c>
      <c r="P2821" t="s">
        <v>125</v>
      </c>
      <c r="Q2821" t="s">
        <v>125</v>
      </c>
      <c r="R2821" t="s">
        <v>125</v>
      </c>
      <c r="S2821" t="s">
        <v>125</v>
      </c>
      <c r="T2821">
        <v>0</v>
      </c>
      <c r="V2821" t="s">
        <v>125</v>
      </c>
      <c r="AE2821" t="s">
        <v>125</v>
      </c>
      <c r="AF2821">
        <v>0</v>
      </c>
      <c r="AG2821" t="s">
        <v>125</v>
      </c>
      <c r="AH2821">
        <v>0</v>
      </c>
      <c r="AK2821">
        <v>0</v>
      </c>
    </row>
    <row r="2822" spans="1:37" x14ac:dyDescent="0.25">
      <c r="A2822" t="s">
        <v>79</v>
      </c>
      <c r="B2822">
        <v>11</v>
      </c>
      <c r="C2822">
        <v>2</v>
      </c>
      <c r="D2822">
        <v>4</v>
      </c>
      <c r="E2822">
        <v>10</v>
      </c>
      <c r="G2822">
        <v>1124</v>
      </c>
      <c r="H2822" t="s">
        <v>63</v>
      </c>
      <c r="I2822" t="s">
        <v>129</v>
      </c>
      <c r="J2822" t="s">
        <v>150</v>
      </c>
      <c r="L2822">
        <v>0</v>
      </c>
      <c r="M2822" t="s">
        <v>125</v>
      </c>
      <c r="O2822" t="s">
        <v>125</v>
      </c>
      <c r="P2822" t="s">
        <v>125</v>
      </c>
      <c r="Q2822" t="s">
        <v>125</v>
      </c>
      <c r="R2822" t="s">
        <v>125</v>
      </c>
      <c r="S2822" t="s">
        <v>125</v>
      </c>
      <c r="T2822">
        <v>0</v>
      </c>
      <c r="V2822" t="s">
        <v>125</v>
      </c>
      <c r="AE2822" t="s">
        <v>125</v>
      </c>
      <c r="AF2822">
        <v>0</v>
      </c>
      <c r="AG2822" t="s">
        <v>125</v>
      </c>
      <c r="AH2822">
        <v>0</v>
      </c>
      <c r="AK2822">
        <v>0</v>
      </c>
    </row>
    <row r="2823" spans="1:37" x14ac:dyDescent="0.25">
      <c r="A2823" t="s">
        <v>79</v>
      </c>
      <c r="B2823">
        <v>11</v>
      </c>
      <c r="C2823">
        <v>2</v>
      </c>
      <c r="D2823">
        <v>4</v>
      </c>
      <c r="E2823">
        <v>11</v>
      </c>
      <c r="G2823">
        <v>1124</v>
      </c>
      <c r="H2823" t="s">
        <v>63</v>
      </c>
      <c r="I2823" t="s">
        <v>131</v>
      </c>
      <c r="J2823" t="s">
        <v>151</v>
      </c>
      <c r="L2823">
        <v>0</v>
      </c>
      <c r="M2823" t="s">
        <v>125</v>
      </c>
      <c r="O2823" t="s">
        <v>125</v>
      </c>
      <c r="P2823" t="s">
        <v>125</v>
      </c>
      <c r="Q2823" t="s">
        <v>125</v>
      </c>
      <c r="R2823" t="s">
        <v>125</v>
      </c>
      <c r="S2823" t="s">
        <v>125</v>
      </c>
      <c r="T2823">
        <v>0</v>
      </c>
      <c r="V2823" t="s">
        <v>125</v>
      </c>
      <c r="AE2823" t="s">
        <v>125</v>
      </c>
      <c r="AF2823">
        <v>0</v>
      </c>
      <c r="AG2823" t="s">
        <v>125</v>
      </c>
      <c r="AH2823">
        <v>0</v>
      </c>
      <c r="AK2823">
        <v>0</v>
      </c>
    </row>
    <row r="2824" spans="1:37" x14ac:dyDescent="0.25">
      <c r="A2824" t="s">
        <v>79</v>
      </c>
      <c r="B2824">
        <v>11</v>
      </c>
      <c r="C2824">
        <v>2</v>
      </c>
      <c r="D2824">
        <v>4</v>
      </c>
      <c r="E2824">
        <v>12</v>
      </c>
      <c r="G2824">
        <v>1124</v>
      </c>
      <c r="H2824" t="s">
        <v>63</v>
      </c>
      <c r="I2824" t="s">
        <v>133</v>
      </c>
      <c r="J2824" t="s">
        <v>152</v>
      </c>
      <c r="L2824">
        <v>0</v>
      </c>
      <c r="M2824" t="s">
        <v>125</v>
      </c>
      <c r="O2824" t="s">
        <v>125</v>
      </c>
      <c r="P2824" t="s">
        <v>125</v>
      </c>
      <c r="Q2824" t="s">
        <v>125</v>
      </c>
      <c r="R2824" t="s">
        <v>125</v>
      </c>
      <c r="S2824" t="s">
        <v>125</v>
      </c>
      <c r="T2824">
        <v>0</v>
      </c>
      <c r="V2824" t="s">
        <v>125</v>
      </c>
      <c r="AE2824" t="s">
        <v>125</v>
      </c>
      <c r="AF2824">
        <v>0</v>
      </c>
      <c r="AG2824" t="s">
        <v>125</v>
      </c>
      <c r="AH2824">
        <v>0</v>
      </c>
      <c r="AK2824">
        <v>0</v>
      </c>
    </row>
    <row r="2825" spans="1:37" x14ac:dyDescent="0.25">
      <c r="A2825" t="s">
        <v>79</v>
      </c>
      <c r="B2825">
        <v>11</v>
      </c>
      <c r="C2825">
        <v>2</v>
      </c>
      <c r="D2825">
        <v>4</v>
      </c>
      <c r="E2825">
        <v>13</v>
      </c>
      <c r="G2825">
        <v>1124</v>
      </c>
      <c r="H2825" t="s">
        <v>63</v>
      </c>
      <c r="I2825" t="s">
        <v>135</v>
      </c>
      <c r="J2825" t="s">
        <v>153</v>
      </c>
      <c r="L2825">
        <v>0</v>
      </c>
      <c r="M2825" t="s">
        <v>125</v>
      </c>
      <c r="O2825" t="s">
        <v>125</v>
      </c>
      <c r="P2825" t="s">
        <v>125</v>
      </c>
      <c r="Q2825" t="s">
        <v>125</v>
      </c>
      <c r="R2825" t="s">
        <v>125</v>
      </c>
      <c r="S2825" t="s">
        <v>125</v>
      </c>
      <c r="T2825">
        <v>0</v>
      </c>
      <c r="V2825" t="s">
        <v>125</v>
      </c>
      <c r="AE2825" t="s">
        <v>125</v>
      </c>
      <c r="AF2825">
        <v>0</v>
      </c>
      <c r="AG2825" t="s">
        <v>125</v>
      </c>
      <c r="AH2825">
        <v>0</v>
      </c>
      <c r="AK2825">
        <v>0</v>
      </c>
    </row>
    <row r="2826" spans="1:37" x14ac:dyDescent="0.25">
      <c r="A2826" t="s">
        <v>79</v>
      </c>
      <c r="B2826">
        <v>11</v>
      </c>
      <c r="C2826">
        <v>2</v>
      </c>
      <c r="D2826">
        <v>4</v>
      </c>
      <c r="E2826">
        <v>14</v>
      </c>
      <c r="G2826">
        <v>1124</v>
      </c>
      <c r="H2826" t="s">
        <v>63</v>
      </c>
      <c r="I2826" t="s">
        <v>137</v>
      </c>
      <c r="J2826" t="s">
        <v>154</v>
      </c>
      <c r="L2826">
        <v>0</v>
      </c>
      <c r="M2826" t="s">
        <v>125</v>
      </c>
      <c r="O2826" t="s">
        <v>125</v>
      </c>
      <c r="P2826" t="s">
        <v>125</v>
      </c>
      <c r="Q2826" t="s">
        <v>125</v>
      </c>
      <c r="R2826" t="s">
        <v>125</v>
      </c>
      <c r="S2826" t="s">
        <v>125</v>
      </c>
      <c r="T2826">
        <v>0</v>
      </c>
      <c r="V2826" t="s">
        <v>125</v>
      </c>
      <c r="AE2826" t="s">
        <v>125</v>
      </c>
      <c r="AF2826">
        <v>0</v>
      </c>
      <c r="AG2826" t="s">
        <v>125</v>
      </c>
      <c r="AH2826">
        <v>0</v>
      </c>
      <c r="AK2826">
        <v>0</v>
      </c>
    </row>
    <row r="2827" spans="1:37" x14ac:dyDescent="0.25">
      <c r="A2827" t="s">
        <v>79</v>
      </c>
      <c r="B2827">
        <v>11</v>
      </c>
      <c r="C2827">
        <v>2</v>
      </c>
      <c r="D2827">
        <v>4</v>
      </c>
      <c r="E2827">
        <v>15</v>
      </c>
      <c r="G2827">
        <v>1124</v>
      </c>
      <c r="H2827" t="s">
        <v>63</v>
      </c>
      <c r="I2827" t="s">
        <v>139</v>
      </c>
      <c r="J2827" t="s">
        <v>155</v>
      </c>
      <c r="L2827">
        <v>0</v>
      </c>
      <c r="M2827" t="s">
        <v>125</v>
      </c>
      <c r="O2827" t="s">
        <v>125</v>
      </c>
      <c r="P2827" t="s">
        <v>125</v>
      </c>
      <c r="Q2827" t="s">
        <v>125</v>
      </c>
      <c r="R2827" t="s">
        <v>125</v>
      </c>
      <c r="S2827" t="s">
        <v>125</v>
      </c>
      <c r="T2827">
        <v>0</v>
      </c>
      <c r="V2827" t="s">
        <v>125</v>
      </c>
      <c r="AE2827" t="s">
        <v>125</v>
      </c>
      <c r="AF2827">
        <v>0</v>
      </c>
      <c r="AG2827" t="s">
        <v>125</v>
      </c>
      <c r="AH2827">
        <v>0</v>
      </c>
      <c r="AK2827">
        <v>0</v>
      </c>
    </row>
    <row r="2828" spans="1:37" x14ac:dyDescent="0.25">
      <c r="L2828">
        <v>0</v>
      </c>
    </row>
    <row r="2829" spans="1:37" x14ac:dyDescent="0.25">
      <c r="A2829" t="s">
        <v>70</v>
      </c>
      <c r="B2829">
        <v>11</v>
      </c>
      <c r="C2829">
        <v>2</v>
      </c>
      <c r="D2829">
        <v>5</v>
      </c>
      <c r="G2829">
        <v>112</v>
      </c>
      <c r="L2829">
        <v>0</v>
      </c>
      <c r="M2829" t="s">
        <v>125</v>
      </c>
      <c r="P2829" t="s">
        <v>125</v>
      </c>
      <c r="R2829" t="s">
        <v>125</v>
      </c>
      <c r="S2829" t="s">
        <v>63</v>
      </c>
      <c r="V2829" t="s">
        <v>125</v>
      </c>
      <c r="X2829" t="s">
        <v>125</v>
      </c>
      <c r="Y2829" t="s">
        <v>125</v>
      </c>
      <c r="Z2829" t="s">
        <v>125</v>
      </c>
      <c r="AA2829" t="s">
        <v>125</v>
      </c>
      <c r="AB2829" t="s">
        <v>125</v>
      </c>
      <c r="AC2829" t="s">
        <v>125</v>
      </c>
      <c r="AE2829" t="s">
        <v>125</v>
      </c>
      <c r="AF2829">
        <v>0</v>
      </c>
      <c r="AG2829" t="s">
        <v>125</v>
      </c>
      <c r="AH2829">
        <v>0</v>
      </c>
      <c r="AK2829">
        <v>0</v>
      </c>
    </row>
    <row r="2830" spans="1:37" x14ac:dyDescent="0.25">
      <c r="A2830" t="s">
        <v>79</v>
      </c>
      <c r="B2830">
        <v>11</v>
      </c>
      <c r="C2830">
        <v>2</v>
      </c>
      <c r="D2830">
        <v>5</v>
      </c>
      <c r="E2830">
        <v>1</v>
      </c>
      <c r="G2830">
        <v>1125</v>
      </c>
      <c r="H2830" t="s">
        <v>63</v>
      </c>
      <c r="I2830" t="s">
        <v>80</v>
      </c>
      <c r="J2830" t="s">
        <v>141</v>
      </c>
      <c r="L2830">
        <v>0</v>
      </c>
      <c r="M2830" t="s">
        <v>125</v>
      </c>
      <c r="O2830" t="s">
        <v>125</v>
      </c>
      <c r="P2830" t="s">
        <v>125</v>
      </c>
      <c r="Q2830" t="s">
        <v>125</v>
      </c>
      <c r="R2830" t="s">
        <v>125</v>
      </c>
      <c r="S2830" t="s">
        <v>125</v>
      </c>
      <c r="T2830">
        <v>0</v>
      </c>
      <c r="V2830" t="s">
        <v>125</v>
      </c>
      <c r="AE2830" t="s">
        <v>125</v>
      </c>
      <c r="AF2830">
        <v>0</v>
      </c>
      <c r="AG2830" t="s">
        <v>125</v>
      </c>
      <c r="AH2830">
        <v>0</v>
      </c>
      <c r="AK2830">
        <v>0</v>
      </c>
    </row>
    <row r="2831" spans="1:37" x14ac:dyDescent="0.25">
      <c r="A2831" t="s">
        <v>79</v>
      </c>
      <c r="B2831">
        <v>11</v>
      </c>
      <c r="C2831">
        <v>2</v>
      </c>
      <c r="D2831">
        <v>5</v>
      </c>
      <c r="E2831">
        <v>2</v>
      </c>
      <c r="G2831">
        <v>1125</v>
      </c>
      <c r="H2831" t="s">
        <v>63</v>
      </c>
      <c r="I2831" t="s">
        <v>88</v>
      </c>
      <c r="J2831" t="s">
        <v>142</v>
      </c>
      <c r="L2831">
        <v>0</v>
      </c>
      <c r="M2831" t="s">
        <v>125</v>
      </c>
      <c r="O2831" t="s">
        <v>125</v>
      </c>
      <c r="P2831" t="s">
        <v>125</v>
      </c>
      <c r="Q2831" t="s">
        <v>125</v>
      </c>
      <c r="R2831" t="s">
        <v>125</v>
      </c>
      <c r="S2831" t="s">
        <v>125</v>
      </c>
      <c r="T2831">
        <v>0</v>
      </c>
      <c r="V2831" t="s">
        <v>125</v>
      </c>
      <c r="AE2831" t="s">
        <v>125</v>
      </c>
      <c r="AF2831">
        <v>0</v>
      </c>
      <c r="AG2831" t="s">
        <v>125</v>
      </c>
      <c r="AH2831">
        <v>0</v>
      </c>
      <c r="AK2831">
        <v>0</v>
      </c>
    </row>
    <row r="2832" spans="1:37" x14ac:dyDescent="0.25">
      <c r="A2832" t="s">
        <v>79</v>
      </c>
      <c r="B2832">
        <v>11</v>
      </c>
      <c r="C2832">
        <v>2</v>
      </c>
      <c r="D2832">
        <v>5</v>
      </c>
      <c r="E2832">
        <v>3</v>
      </c>
      <c r="G2832">
        <v>1125</v>
      </c>
      <c r="H2832" t="s">
        <v>63</v>
      </c>
      <c r="I2832" t="s">
        <v>95</v>
      </c>
      <c r="J2832" t="s">
        <v>143</v>
      </c>
      <c r="L2832">
        <v>0</v>
      </c>
      <c r="M2832" t="s">
        <v>125</v>
      </c>
      <c r="O2832" t="s">
        <v>125</v>
      </c>
      <c r="P2832" t="s">
        <v>125</v>
      </c>
      <c r="Q2832" t="s">
        <v>125</v>
      </c>
      <c r="R2832" t="s">
        <v>125</v>
      </c>
      <c r="S2832" t="s">
        <v>125</v>
      </c>
      <c r="T2832">
        <v>0</v>
      </c>
      <c r="V2832" t="s">
        <v>125</v>
      </c>
      <c r="AE2832" t="s">
        <v>125</v>
      </c>
      <c r="AF2832">
        <v>0</v>
      </c>
      <c r="AG2832" t="s">
        <v>125</v>
      </c>
      <c r="AH2832">
        <v>0</v>
      </c>
      <c r="AK2832">
        <v>0</v>
      </c>
    </row>
    <row r="2833" spans="1:37" x14ac:dyDescent="0.25">
      <c r="A2833" t="s">
        <v>79</v>
      </c>
      <c r="B2833">
        <v>11</v>
      </c>
      <c r="C2833">
        <v>2</v>
      </c>
      <c r="D2833">
        <v>5</v>
      </c>
      <c r="E2833">
        <v>4</v>
      </c>
      <c r="G2833">
        <v>1125</v>
      </c>
      <c r="H2833" t="s">
        <v>63</v>
      </c>
      <c r="I2833" t="s">
        <v>102</v>
      </c>
      <c r="J2833" t="s">
        <v>144</v>
      </c>
      <c r="L2833">
        <v>0</v>
      </c>
      <c r="M2833" t="s">
        <v>125</v>
      </c>
      <c r="O2833" t="s">
        <v>125</v>
      </c>
      <c r="P2833" t="s">
        <v>125</v>
      </c>
      <c r="Q2833" t="s">
        <v>125</v>
      </c>
      <c r="R2833" t="s">
        <v>125</v>
      </c>
      <c r="S2833" t="s">
        <v>125</v>
      </c>
      <c r="T2833">
        <v>0</v>
      </c>
      <c r="V2833" t="s">
        <v>125</v>
      </c>
      <c r="AE2833" t="s">
        <v>125</v>
      </c>
      <c r="AF2833">
        <v>0</v>
      </c>
      <c r="AG2833" t="s">
        <v>125</v>
      </c>
      <c r="AH2833">
        <v>0</v>
      </c>
      <c r="AK2833">
        <v>0</v>
      </c>
    </row>
    <row r="2834" spans="1:37" x14ac:dyDescent="0.25">
      <c r="A2834" t="s">
        <v>79</v>
      </c>
      <c r="B2834">
        <v>11</v>
      </c>
      <c r="C2834">
        <v>2</v>
      </c>
      <c r="D2834">
        <v>5</v>
      </c>
      <c r="E2834">
        <v>5</v>
      </c>
      <c r="G2834">
        <v>1125</v>
      </c>
      <c r="H2834" t="s">
        <v>63</v>
      </c>
      <c r="I2834" t="s">
        <v>109</v>
      </c>
      <c r="J2834" t="s">
        <v>145</v>
      </c>
      <c r="L2834">
        <v>0</v>
      </c>
      <c r="M2834" t="s">
        <v>125</v>
      </c>
      <c r="O2834" t="s">
        <v>125</v>
      </c>
      <c r="P2834" t="s">
        <v>125</v>
      </c>
      <c r="Q2834" t="s">
        <v>125</v>
      </c>
      <c r="R2834" t="s">
        <v>125</v>
      </c>
      <c r="S2834" t="s">
        <v>125</v>
      </c>
      <c r="T2834">
        <v>0</v>
      </c>
      <c r="V2834" t="s">
        <v>125</v>
      </c>
      <c r="AE2834" t="s">
        <v>125</v>
      </c>
      <c r="AF2834">
        <v>0</v>
      </c>
      <c r="AG2834" t="s">
        <v>125</v>
      </c>
      <c r="AH2834">
        <v>0</v>
      </c>
      <c r="AK2834">
        <v>0</v>
      </c>
    </row>
    <row r="2835" spans="1:37" x14ac:dyDescent="0.25">
      <c r="A2835" t="s">
        <v>79</v>
      </c>
      <c r="B2835">
        <v>11</v>
      </c>
      <c r="C2835">
        <v>2</v>
      </c>
      <c r="D2835">
        <v>5</v>
      </c>
      <c r="E2835">
        <v>6</v>
      </c>
      <c r="G2835">
        <v>1125</v>
      </c>
      <c r="H2835" t="s">
        <v>63</v>
      </c>
      <c r="I2835" t="s">
        <v>116</v>
      </c>
      <c r="J2835" t="s">
        <v>146</v>
      </c>
      <c r="L2835">
        <v>0</v>
      </c>
      <c r="M2835" t="s">
        <v>125</v>
      </c>
      <c r="O2835" t="s">
        <v>125</v>
      </c>
      <c r="P2835" t="s">
        <v>125</v>
      </c>
      <c r="Q2835" t="s">
        <v>125</v>
      </c>
      <c r="R2835" t="s">
        <v>125</v>
      </c>
      <c r="S2835" t="s">
        <v>125</v>
      </c>
      <c r="T2835">
        <v>0</v>
      </c>
      <c r="V2835" t="s">
        <v>125</v>
      </c>
      <c r="AE2835" t="s">
        <v>125</v>
      </c>
      <c r="AF2835">
        <v>0</v>
      </c>
      <c r="AG2835" t="s">
        <v>125</v>
      </c>
      <c r="AH2835">
        <v>0</v>
      </c>
      <c r="AK2835">
        <v>0</v>
      </c>
    </row>
    <row r="2836" spans="1:37" x14ac:dyDescent="0.25">
      <c r="A2836" t="s">
        <v>79</v>
      </c>
      <c r="B2836">
        <v>11</v>
      </c>
      <c r="C2836">
        <v>2</v>
      </c>
      <c r="D2836">
        <v>5</v>
      </c>
      <c r="E2836">
        <v>7</v>
      </c>
      <c r="G2836">
        <v>1125</v>
      </c>
      <c r="H2836" t="s">
        <v>63</v>
      </c>
      <c r="I2836" t="s">
        <v>123</v>
      </c>
      <c r="J2836" t="s">
        <v>147</v>
      </c>
      <c r="L2836">
        <v>0</v>
      </c>
      <c r="M2836" t="s">
        <v>125</v>
      </c>
      <c r="O2836" t="s">
        <v>125</v>
      </c>
      <c r="P2836" t="s">
        <v>125</v>
      </c>
      <c r="Q2836" t="s">
        <v>125</v>
      </c>
      <c r="R2836" t="s">
        <v>125</v>
      </c>
      <c r="S2836" t="s">
        <v>125</v>
      </c>
      <c r="T2836">
        <v>0</v>
      </c>
      <c r="V2836" t="s">
        <v>125</v>
      </c>
      <c r="AE2836" t="s">
        <v>125</v>
      </c>
      <c r="AF2836">
        <v>0</v>
      </c>
      <c r="AG2836" t="s">
        <v>125</v>
      </c>
      <c r="AH2836">
        <v>0</v>
      </c>
      <c r="AK2836">
        <v>0</v>
      </c>
    </row>
    <row r="2837" spans="1:37" x14ac:dyDescent="0.25">
      <c r="A2837" t="s">
        <v>79</v>
      </c>
      <c r="B2837">
        <v>11</v>
      </c>
      <c r="C2837">
        <v>2</v>
      </c>
      <c r="D2837">
        <v>5</v>
      </c>
      <c r="E2837">
        <v>8</v>
      </c>
      <c r="G2837">
        <v>1125</v>
      </c>
      <c r="H2837" t="s">
        <v>63</v>
      </c>
      <c r="I2837" t="s">
        <v>126</v>
      </c>
      <c r="J2837" t="s">
        <v>148</v>
      </c>
      <c r="L2837">
        <v>0</v>
      </c>
      <c r="M2837" t="s">
        <v>125</v>
      </c>
      <c r="O2837" t="s">
        <v>125</v>
      </c>
      <c r="P2837" t="s">
        <v>125</v>
      </c>
      <c r="Q2837" t="s">
        <v>125</v>
      </c>
      <c r="R2837" t="s">
        <v>125</v>
      </c>
      <c r="S2837" t="s">
        <v>125</v>
      </c>
      <c r="T2837">
        <v>0</v>
      </c>
      <c r="V2837" t="s">
        <v>125</v>
      </c>
      <c r="AE2837" t="s">
        <v>125</v>
      </c>
      <c r="AF2837">
        <v>0</v>
      </c>
      <c r="AG2837" t="s">
        <v>125</v>
      </c>
      <c r="AH2837">
        <v>0</v>
      </c>
      <c r="AK2837">
        <v>0</v>
      </c>
    </row>
    <row r="2838" spans="1:37" x14ac:dyDescent="0.25">
      <c r="A2838" t="s">
        <v>79</v>
      </c>
      <c r="B2838">
        <v>11</v>
      </c>
      <c r="C2838">
        <v>2</v>
      </c>
      <c r="D2838">
        <v>5</v>
      </c>
      <c r="E2838">
        <v>9</v>
      </c>
      <c r="G2838">
        <v>1125</v>
      </c>
      <c r="H2838" t="s">
        <v>63</v>
      </c>
      <c r="I2838" t="s">
        <v>74</v>
      </c>
      <c r="J2838" t="s">
        <v>149</v>
      </c>
      <c r="L2838">
        <v>0</v>
      </c>
      <c r="M2838" t="s">
        <v>125</v>
      </c>
      <c r="O2838" t="s">
        <v>125</v>
      </c>
      <c r="P2838" t="s">
        <v>125</v>
      </c>
      <c r="Q2838" t="s">
        <v>125</v>
      </c>
      <c r="R2838" t="s">
        <v>125</v>
      </c>
      <c r="S2838" t="s">
        <v>125</v>
      </c>
      <c r="T2838">
        <v>0</v>
      </c>
      <c r="V2838" t="s">
        <v>125</v>
      </c>
      <c r="AE2838" t="s">
        <v>125</v>
      </c>
      <c r="AF2838">
        <v>0</v>
      </c>
      <c r="AG2838" t="s">
        <v>125</v>
      </c>
      <c r="AH2838">
        <v>0</v>
      </c>
      <c r="AK2838">
        <v>0</v>
      </c>
    </row>
    <row r="2839" spans="1:37" x14ac:dyDescent="0.25">
      <c r="A2839" t="s">
        <v>79</v>
      </c>
      <c r="B2839">
        <v>11</v>
      </c>
      <c r="C2839">
        <v>2</v>
      </c>
      <c r="D2839">
        <v>5</v>
      </c>
      <c r="E2839">
        <v>10</v>
      </c>
      <c r="G2839">
        <v>1125</v>
      </c>
      <c r="H2839" t="s">
        <v>63</v>
      </c>
      <c r="I2839" t="s">
        <v>129</v>
      </c>
      <c r="J2839" t="s">
        <v>150</v>
      </c>
      <c r="L2839">
        <v>0</v>
      </c>
      <c r="M2839" t="s">
        <v>125</v>
      </c>
      <c r="O2839" t="s">
        <v>125</v>
      </c>
      <c r="P2839" t="s">
        <v>125</v>
      </c>
      <c r="Q2839" t="s">
        <v>125</v>
      </c>
      <c r="R2839" t="s">
        <v>125</v>
      </c>
      <c r="S2839" t="s">
        <v>125</v>
      </c>
      <c r="T2839">
        <v>0</v>
      </c>
      <c r="V2839" t="s">
        <v>125</v>
      </c>
      <c r="AE2839" t="s">
        <v>125</v>
      </c>
      <c r="AF2839">
        <v>0</v>
      </c>
      <c r="AG2839" t="s">
        <v>125</v>
      </c>
      <c r="AH2839">
        <v>0</v>
      </c>
      <c r="AK2839">
        <v>0</v>
      </c>
    </row>
    <row r="2840" spans="1:37" x14ac:dyDescent="0.25">
      <c r="A2840" t="s">
        <v>79</v>
      </c>
      <c r="B2840">
        <v>11</v>
      </c>
      <c r="C2840">
        <v>2</v>
      </c>
      <c r="D2840">
        <v>5</v>
      </c>
      <c r="E2840">
        <v>11</v>
      </c>
      <c r="G2840">
        <v>1125</v>
      </c>
      <c r="H2840" t="s">
        <v>63</v>
      </c>
      <c r="I2840" t="s">
        <v>131</v>
      </c>
      <c r="J2840" t="s">
        <v>151</v>
      </c>
      <c r="L2840">
        <v>0</v>
      </c>
      <c r="M2840" t="s">
        <v>125</v>
      </c>
      <c r="O2840" t="s">
        <v>125</v>
      </c>
      <c r="P2840" t="s">
        <v>125</v>
      </c>
      <c r="Q2840" t="s">
        <v>125</v>
      </c>
      <c r="R2840" t="s">
        <v>125</v>
      </c>
      <c r="S2840" t="s">
        <v>125</v>
      </c>
      <c r="T2840">
        <v>0</v>
      </c>
      <c r="V2840" t="s">
        <v>125</v>
      </c>
      <c r="AE2840" t="s">
        <v>125</v>
      </c>
      <c r="AF2840">
        <v>0</v>
      </c>
      <c r="AG2840" t="s">
        <v>125</v>
      </c>
      <c r="AH2840">
        <v>0</v>
      </c>
      <c r="AK2840">
        <v>0</v>
      </c>
    </row>
    <row r="2841" spans="1:37" x14ac:dyDescent="0.25">
      <c r="A2841" t="s">
        <v>79</v>
      </c>
      <c r="B2841">
        <v>11</v>
      </c>
      <c r="C2841">
        <v>2</v>
      </c>
      <c r="D2841">
        <v>5</v>
      </c>
      <c r="E2841">
        <v>12</v>
      </c>
      <c r="G2841">
        <v>1125</v>
      </c>
      <c r="H2841" t="s">
        <v>63</v>
      </c>
      <c r="I2841" t="s">
        <v>133</v>
      </c>
      <c r="J2841" t="s">
        <v>152</v>
      </c>
      <c r="L2841">
        <v>0</v>
      </c>
      <c r="M2841" t="s">
        <v>125</v>
      </c>
      <c r="O2841" t="s">
        <v>125</v>
      </c>
      <c r="P2841" t="s">
        <v>125</v>
      </c>
      <c r="Q2841" t="s">
        <v>125</v>
      </c>
      <c r="R2841" t="s">
        <v>125</v>
      </c>
      <c r="S2841" t="s">
        <v>125</v>
      </c>
      <c r="T2841">
        <v>0</v>
      </c>
      <c r="V2841" t="s">
        <v>125</v>
      </c>
      <c r="AE2841" t="s">
        <v>125</v>
      </c>
      <c r="AF2841">
        <v>0</v>
      </c>
      <c r="AG2841" t="s">
        <v>125</v>
      </c>
      <c r="AH2841">
        <v>0</v>
      </c>
      <c r="AK2841">
        <v>0</v>
      </c>
    </row>
    <row r="2842" spans="1:37" x14ac:dyDescent="0.25">
      <c r="A2842" t="s">
        <v>79</v>
      </c>
      <c r="B2842">
        <v>11</v>
      </c>
      <c r="C2842">
        <v>2</v>
      </c>
      <c r="D2842">
        <v>5</v>
      </c>
      <c r="E2842">
        <v>13</v>
      </c>
      <c r="G2842">
        <v>1125</v>
      </c>
      <c r="H2842" t="s">
        <v>63</v>
      </c>
      <c r="I2842" t="s">
        <v>135</v>
      </c>
      <c r="J2842" t="s">
        <v>153</v>
      </c>
      <c r="L2842">
        <v>0</v>
      </c>
      <c r="M2842" t="s">
        <v>125</v>
      </c>
      <c r="O2842" t="s">
        <v>125</v>
      </c>
      <c r="P2842" t="s">
        <v>125</v>
      </c>
      <c r="Q2842" t="s">
        <v>125</v>
      </c>
      <c r="R2842" t="s">
        <v>125</v>
      </c>
      <c r="S2842" t="s">
        <v>125</v>
      </c>
      <c r="T2842">
        <v>0</v>
      </c>
      <c r="V2842" t="s">
        <v>125</v>
      </c>
      <c r="AE2842" t="s">
        <v>125</v>
      </c>
      <c r="AF2842">
        <v>0</v>
      </c>
      <c r="AG2842" t="s">
        <v>125</v>
      </c>
      <c r="AH2842">
        <v>0</v>
      </c>
      <c r="AK2842">
        <v>0</v>
      </c>
    </row>
    <row r="2843" spans="1:37" x14ac:dyDescent="0.25">
      <c r="A2843" t="s">
        <v>79</v>
      </c>
      <c r="B2843">
        <v>11</v>
      </c>
      <c r="C2843">
        <v>2</v>
      </c>
      <c r="D2843">
        <v>5</v>
      </c>
      <c r="E2843">
        <v>14</v>
      </c>
      <c r="G2843">
        <v>1125</v>
      </c>
      <c r="H2843" t="s">
        <v>63</v>
      </c>
      <c r="I2843" t="s">
        <v>137</v>
      </c>
      <c r="J2843" t="s">
        <v>154</v>
      </c>
      <c r="L2843">
        <v>0</v>
      </c>
      <c r="M2843" t="s">
        <v>125</v>
      </c>
      <c r="O2843" t="s">
        <v>125</v>
      </c>
      <c r="P2843" t="s">
        <v>125</v>
      </c>
      <c r="Q2843" t="s">
        <v>125</v>
      </c>
      <c r="R2843" t="s">
        <v>125</v>
      </c>
      <c r="S2843" t="s">
        <v>125</v>
      </c>
      <c r="T2843">
        <v>0</v>
      </c>
      <c r="V2843" t="s">
        <v>125</v>
      </c>
      <c r="AE2843" t="s">
        <v>125</v>
      </c>
      <c r="AF2843">
        <v>0</v>
      </c>
      <c r="AG2843" t="s">
        <v>125</v>
      </c>
      <c r="AH2843">
        <v>0</v>
      </c>
      <c r="AK2843">
        <v>0</v>
      </c>
    </row>
    <row r="2844" spans="1:37" x14ac:dyDescent="0.25">
      <c r="A2844" t="s">
        <v>79</v>
      </c>
      <c r="B2844">
        <v>11</v>
      </c>
      <c r="C2844">
        <v>2</v>
      </c>
      <c r="D2844">
        <v>5</v>
      </c>
      <c r="E2844">
        <v>15</v>
      </c>
      <c r="G2844">
        <v>1125</v>
      </c>
      <c r="H2844" t="s">
        <v>63</v>
      </c>
      <c r="I2844" t="s">
        <v>139</v>
      </c>
      <c r="J2844" t="s">
        <v>155</v>
      </c>
      <c r="L2844">
        <v>0</v>
      </c>
      <c r="M2844" t="s">
        <v>125</v>
      </c>
      <c r="O2844" t="s">
        <v>125</v>
      </c>
      <c r="P2844" t="s">
        <v>125</v>
      </c>
      <c r="Q2844" t="s">
        <v>125</v>
      </c>
      <c r="R2844" t="s">
        <v>125</v>
      </c>
      <c r="S2844" t="s">
        <v>125</v>
      </c>
      <c r="T2844">
        <v>0</v>
      </c>
      <c r="V2844" t="s">
        <v>125</v>
      </c>
      <c r="AE2844" t="s">
        <v>125</v>
      </c>
      <c r="AF2844">
        <v>0</v>
      </c>
      <c r="AG2844" t="s">
        <v>125</v>
      </c>
      <c r="AH2844">
        <v>0</v>
      </c>
      <c r="AK2844">
        <v>0</v>
      </c>
    </row>
    <row r="2845" spans="1:37" x14ac:dyDescent="0.25">
      <c r="L2845">
        <v>0</v>
      </c>
    </row>
    <row r="2846" spans="1:37" x14ac:dyDescent="0.25">
      <c r="L2846">
        <v>0</v>
      </c>
    </row>
    <row r="2847" spans="1:37" x14ac:dyDescent="0.25">
      <c r="A2847" t="s">
        <v>66</v>
      </c>
      <c r="B2847">
        <v>11</v>
      </c>
      <c r="C2847">
        <v>3</v>
      </c>
      <c r="G2847">
        <v>11</v>
      </c>
      <c r="H2847" t="s">
        <v>3654</v>
      </c>
      <c r="I2847" t="s">
        <v>3819</v>
      </c>
      <c r="M2847" t="s">
        <v>3820</v>
      </c>
      <c r="N2847" t="s">
        <v>3819</v>
      </c>
      <c r="P2847" t="s">
        <v>3821</v>
      </c>
      <c r="V2847" t="s">
        <v>3822</v>
      </c>
      <c r="Y2847" t="s">
        <v>3823</v>
      </c>
      <c r="AA2847" t="s">
        <v>3824</v>
      </c>
      <c r="AC2847" t="s">
        <v>63</v>
      </c>
      <c r="AE2847" t="s">
        <v>3825</v>
      </c>
      <c r="AF2847">
        <v>0</v>
      </c>
      <c r="AG2847" t="s">
        <v>3826</v>
      </c>
      <c r="AH2847">
        <v>0</v>
      </c>
      <c r="AK2847">
        <v>0</v>
      </c>
    </row>
    <row r="2848" spans="1:37" x14ac:dyDescent="0.25">
      <c r="L2848">
        <v>0</v>
      </c>
    </row>
    <row r="2849" spans="1:37" x14ac:dyDescent="0.25">
      <c r="A2849" t="s">
        <v>70</v>
      </c>
      <c r="B2849">
        <v>11</v>
      </c>
      <c r="C2849">
        <v>3</v>
      </c>
      <c r="D2849">
        <v>1</v>
      </c>
      <c r="G2849">
        <v>113</v>
      </c>
      <c r="M2849" t="s">
        <v>3827</v>
      </c>
      <c r="O2849" t="s">
        <v>3828</v>
      </c>
      <c r="P2849" t="s">
        <v>3829</v>
      </c>
      <c r="Q2849" t="s">
        <v>1869</v>
      </c>
      <c r="R2849" t="s">
        <v>179</v>
      </c>
      <c r="S2849" t="s">
        <v>3830</v>
      </c>
      <c r="V2849" t="s">
        <v>3822</v>
      </c>
      <c r="X2849" t="s">
        <v>3831</v>
      </c>
      <c r="Y2849" t="s">
        <v>3823</v>
      </c>
      <c r="Z2849" t="s">
        <v>3832</v>
      </c>
      <c r="AA2849" t="s">
        <v>3824</v>
      </c>
      <c r="AB2849" t="s">
        <v>63</v>
      </c>
      <c r="AC2849" t="s">
        <v>63</v>
      </c>
      <c r="AE2849" t="s">
        <v>3825</v>
      </c>
      <c r="AF2849">
        <v>0</v>
      </c>
      <c r="AG2849" t="s">
        <v>3826</v>
      </c>
      <c r="AH2849">
        <v>0</v>
      </c>
      <c r="AK2849">
        <v>0</v>
      </c>
    </row>
    <row r="2850" spans="1:37" x14ac:dyDescent="0.25">
      <c r="A2850" t="s">
        <v>79</v>
      </c>
      <c r="B2850">
        <v>11</v>
      </c>
      <c r="C2850">
        <v>3</v>
      </c>
      <c r="D2850">
        <v>1</v>
      </c>
      <c r="E2850">
        <v>1</v>
      </c>
      <c r="G2850">
        <v>1131</v>
      </c>
      <c r="H2850" t="s">
        <v>3828</v>
      </c>
      <c r="I2850" t="s">
        <v>80</v>
      </c>
      <c r="J2850" t="s">
        <v>3833</v>
      </c>
      <c r="L2850">
        <v>0</v>
      </c>
      <c r="M2850" t="s">
        <v>3834</v>
      </c>
      <c r="O2850" t="s">
        <v>3835</v>
      </c>
      <c r="P2850" t="s">
        <v>3836</v>
      </c>
      <c r="Q2850" t="s">
        <v>3837</v>
      </c>
      <c r="R2850" t="s">
        <v>210</v>
      </c>
      <c r="S2850" t="s">
        <v>3838</v>
      </c>
      <c r="T2850">
        <v>174</v>
      </c>
      <c r="U2850">
        <v>261</v>
      </c>
      <c r="V2850" t="s">
        <v>3839</v>
      </c>
      <c r="AE2850" t="s">
        <v>3840</v>
      </c>
      <c r="AF2850">
        <v>0</v>
      </c>
      <c r="AG2850" t="s">
        <v>3841</v>
      </c>
      <c r="AH2850">
        <v>0</v>
      </c>
      <c r="AK2850">
        <v>0</v>
      </c>
    </row>
    <row r="2851" spans="1:37" x14ac:dyDescent="0.25">
      <c r="A2851" t="s">
        <v>79</v>
      </c>
      <c r="B2851">
        <v>11</v>
      </c>
      <c r="C2851">
        <v>3</v>
      </c>
      <c r="D2851">
        <v>1</v>
      </c>
      <c r="E2851">
        <v>2</v>
      </c>
      <c r="G2851">
        <v>1131</v>
      </c>
      <c r="H2851" t="s">
        <v>3828</v>
      </c>
      <c r="I2851" t="s">
        <v>88</v>
      </c>
      <c r="J2851" t="s">
        <v>3842</v>
      </c>
      <c r="L2851">
        <v>0</v>
      </c>
      <c r="M2851" t="s">
        <v>3843</v>
      </c>
      <c r="O2851" t="s">
        <v>3688</v>
      </c>
      <c r="P2851" t="s">
        <v>3689</v>
      </c>
      <c r="Q2851" t="s">
        <v>3844</v>
      </c>
      <c r="R2851" t="s">
        <v>229</v>
      </c>
      <c r="S2851" t="s">
        <v>3691</v>
      </c>
      <c r="T2851">
        <v>174</v>
      </c>
      <c r="U2851">
        <v>15</v>
      </c>
      <c r="V2851" t="s">
        <v>3845</v>
      </c>
      <c r="AE2851" t="s">
        <v>3846</v>
      </c>
      <c r="AF2851">
        <v>0</v>
      </c>
      <c r="AG2851" t="s">
        <v>3847</v>
      </c>
      <c r="AH2851">
        <v>0</v>
      </c>
      <c r="AK2851">
        <v>0</v>
      </c>
    </row>
    <row r="2852" spans="1:37" x14ac:dyDescent="0.25">
      <c r="A2852" t="s">
        <v>79</v>
      </c>
      <c r="B2852">
        <v>11</v>
      </c>
      <c r="C2852">
        <v>3</v>
      </c>
      <c r="D2852">
        <v>1</v>
      </c>
      <c r="E2852">
        <v>3</v>
      </c>
      <c r="G2852">
        <v>1131</v>
      </c>
      <c r="H2852" t="s">
        <v>3828</v>
      </c>
      <c r="I2852" t="s">
        <v>95</v>
      </c>
      <c r="J2852" t="s">
        <v>3848</v>
      </c>
      <c r="L2852">
        <v>0</v>
      </c>
      <c r="M2852" t="s">
        <v>3849</v>
      </c>
      <c r="O2852" t="s">
        <v>3697</v>
      </c>
      <c r="P2852" t="s">
        <v>3698</v>
      </c>
      <c r="Q2852" t="s">
        <v>3850</v>
      </c>
      <c r="R2852" t="s">
        <v>229</v>
      </c>
      <c r="S2852" t="s">
        <v>1322</v>
      </c>
      <c r="T2852">
        <v>174</v>
      </c>
      <c r="U2852">
        <v>73</v>
      </c>
      <c r="V2852" t="s">
        <v>3851</v>
      </c>
      <c r="AE2852" t="s">
        <v>3852</v>
      </c>
      <c r="AF2852">
        <v>0</v>
      </c>
      <c r="AG2852" t="s">
        <v>3853</v>
      </c>
      <c r="AH2852">
        <v>0</v>
      </c>
      <c r="AK2852">
        <v>0</v>
      </c>
    </row>
    <row r="2853" spans="1:37" x14ac:dyDescent="0.25">
      <c r="A2853" t="s">
        <v>79</v>
      </c>
      <c r="B2853">
        <v>11</v>
      </c>
      <c r="C2853">
        <v>3</v>
      </c>
      <c r="D2853">
        <v>1</v>
      </c>
      <c r="E2853">
        <v>4</v>
      </c>
      <c r="G2853">
        <v>1131</v>
      </c>
      <c r="H2853" t="s">
        <v>3828</v>
      </c>
      <c r="I2853" t="s">
        <v>102</v>
      </c>
      <c r="J2853" t="s">
        <v>3854</v>
      </c>
      <c r="L2853">
        <v>0</v>
      </c>
      <c r="M2853" t="s">
        <v>125</v>
      </c>
      <c r="O2853" t="s">
        <v>125</v>
      </c>
      <c r="P2853" t="s">
        <v>125</v>
      </c>
      <c r="Q2853" t="s">
        <v>125</v>
      </c>
      <c r="R2853" t="s">
        <v>125</v>
      </c>
      <c r="S2853" t="s">
        <v>125</v>
      </c>
      <c r="T2853">
        <v>174</v>
      </c>
      <c r="V2853" t="s">
        <v>125</v>
      </c>
      <c r="AE2853" t="s">
        <v>125</v>
      </c>
      <c r="AF2853">
        <v>0</v>
      </c>
      <c r="AG2853" t="s">
        <v>125</v>
      </c>
      <c r="AH2853">
        <v>0</v>
      </c>
      <c r="AK2853">
        <v>0</v>
      </c>
    </row>
    <row r="2854" spans="1:37" x14ac:dyDescent="0.25">
      <c r="A2854" t="s">
        <v>79</v>
      </c>
      <c r="B2854">
        <v>11</v>
      </c>
      <c r="C2854">
        <v>3</v>
      </c>
      <c r="D2854">
        <v>1</v>
      </c>
      <c r="E2854">
        <v>5</v>
      </c>
      <c r="G2854">
        <v>1131</v>
      </c>
      <c r="H2854" t="s">
        <v>3828</v>
      </c>
      <c r="I2854" t="s">
        <v>109</v>
      </c>
      <c r="J2854" t="s">
        <v>3855</v>
      </c>
      <c r="L2854">
        <v>0</v>
      </c>
      <c r="M2854" t="s">
        <v>125</v>
      </c>
      <c r="O2854" t="s">
        <v>125</v>
      </c>
      <c r="P2854" t="s">
        <v>125</v>
      </c>
      <c r="Q2854" t="s">
        <v>125</v>
      </c>
      <c r="R2854" t="s">
        <v>125</v>
      </c>
      <c r="S2854" t="s">
        <v>125</v>
      </c>
      <c r="T2854">
        <v>174</v>
      </c>
      <c r="V2854" t="s">
        <v>125</v>
      </c>
      <c r="AE2854" t="s">
        <v>125</v>
      </c>
      <c r="AF2854">
        <v>0</v>
      </c>
      <c r="AG2854" t="s">
        <v>125</v>
      </c>
      <c r="AH2854">
        <v>0</v>
      </c>
      <c r="AK2854">
        <v>0</v>
      </c>
    </row>
    <row r="2855" spans="1:37" x14ac:dyDescent="0.25">
      <c r="A2855" t="s">
        <v>79</v>
      </c>
      <c r="B2855">
        <v>11</v>
      </c>
      <c r="C2855">
        <v>3</v>
      </c>
      <c r="D2855">
        <v>1</v>
      </c>
      <c r="E2855">
        <v>6</v>
      </c>
      <c r="G2855">
        <v>1131</v>
      </c>
      <c r="H2855" t="s">
        <v>3828</v>
      </c>
      <c r="I2855" t="s">
        <v>116</v>
      </c>
      <c r="J2855" t="s">
        <v>3856</v>
      </c>
      <c r="L2855">
        <v>0</v>
      </c>
      <c r="M2855" t="s">
        <v>125</v>
      </c>
      <c r="O2855" t="s">
        <v>125</v>
      </c>
      <c r="P2855" t="s">
        <v>125</v>
      </c>
      <c r="Q2855" t="s">
        <v>125</v>
      </c>
      <c r="R2855" t="s">
        <v>125</v>
      </c>
      <c r="S2855" t="s">
        <v>125</v>
      </c>
      <c r="T2855">
        <v>174</v>
      </c>
      <c r="V2855" t="s">
        <v>125</v>
      </c>
      <c r="AE2855" t="s">
        <v>125</v>
      </c>
      <c r="AF2855">
        <v>0</v>
      </c>
      <c r="AG2855" t="s">
        <v>125</v>
      </c>
      <c r="AH2855">
        <v>0</v>
      </c>
      <c r="AK2855">
        <v>0</v>
      </c>
    </row>
    <row r="2856" spans="1:37" x14ac:dyDescent="0.25">
      <c r="A2856" t="s">
        <v>79</v>
      </c>
      <c r="B2856">
        <v>11</v>
      </c>
      <c r="C2856">
        <v>3</v>
      </c>
      <c r="D2856">
        <v>1</v>
      </c>
      <c r="E2856">
        <v>7</v>
      </c>
      <c r="G2856">
        <v>1131</v>
      </c>
      <c r="H2856" t="s">
        <v>3828</v>
      </c>
      <c r="I2856" t="s">
        <v>123</v>
      </c>
      <c r="J2856" t="s">
        <v>3857</v>
      </c>
      <c r="L2856">
        <v>0</v>
      </c>
      <c r="M2856" t="s">
        <v>125</v>
      </c>
      <c r="O2856" t="s">
        <v>125</v>
      </c>
      <c r="P2856" t="s">
        <v>125</v>
      </c>
      <c r="Q2856" t="s">
        <v>125</v>
      </c>
      <c r="R2856" t="s">
        <v>125</v>
      </c>
      <c r="S2856" t="s">
        <v>125</v>
      </c>
      <c r="T2856">
        <v>174</v>
      </c>
      <c r="V2856" t="s">
        <v>125</v>
      </c>
      <c r="AE2856" t="s">
        <v>125</v>
      </c>
      <c r="AF2856">
        <v>0</v>
      </c>
      <c r="AG2856" t="s">
        <v>125</v>
      </c>
      <c r="AH2856">
        <v>0</v>
      </c>
      <c r="AK2856">
        <v>0</v>
      </c>
    </row>
    <row r="2857" spans="1:37" x14ac:dyDescent="0.25">
      <c r="A2857" t="s">
        <v>79</v>
      </c>
      <c r="B2857">
        <v>11</v>
      </c>
      <c r="C2857">
        <v>3</v>
      </c>
      <c r="D2857">
        <v>1</v>
      </c>
      <c r="E2857">
        <v>8</v>
      </c>
      <c r="G2857">
        <v>1131</v>
      </c>
      <c r="H2857" t="s">
        <v>3828</v>
      </c>
      <c r="I2857" t="s">
        <v>126</v>
      </c>
      <c r="J2857" t="s">
        <v>3858</v>
      </c>
      <c r="L2857">
        <v>0</v>
      </c>
      <c r="M2857" t="s">
        <v>125</v>
      </c>
      <c r="O2857" t="s">
        <v>125</v>
      </c>
      <c r="P2857" t="s">
        <v>125</v>
      </c>
      <c r="Q2857" t="s">
        <v>125</v>
      </c>
      <c r="R2857" t="s">
        <v>125</v>
      </c>
      <c r="S2857" t="s">
        <v>125</v>
      </c>
      <c r="T2857">
        <v>174</v>
      </c>
      <c r="V2857" t="s">
        <v>125</v>
      </c>
      <c r="AE2857" t="s">
        <v>125</v>
      </c>
      <c r="AF2857">
        <v>0</v>
      </c>
      <c r="AG2857" t="s">
        <v>125</v>
      </c>
      <c r="AH2857">
        <v>0</v>
      </c>
      <c r="AK2857">
        <v>0</v>
      </c>
    </row>
    <row r="2858" spans="1:37" x14ac:dyDescent="0.25">
      <c r="A2858" t="s">
        <v>79</v>
      </c>
      <c r="B2858">
        <v>11</v>
      </c>
      <c r="C2858">
        <v>3</v>
      </c>
      <c r="D2858">
        <v>1</v>
      </c>
      <c r="E2858">
        <v>9</v>
      </c>
      <c r="G2858">
        <v>1131</v>
      </c>
      <c r="H2858" t="s">
        <v>3828</v>
      </c>
      <c r="I2858" t="s">
        <v>74</v>
      </c>
      <c r="J2858" t="s">
        <v>3859</v>
      </c>
      <c r="L2858">
        <v>0</v>
      </c>
      <c r="M2858" t="s">
        <v>125</v>
      </c>
      <c r="O2858" t="s">
        <v>125</v>
      </c>
      <c r="P2858" t="s">
        <v>125</v>
      </c>
      <c r="Q2858" t="s">
        <v>125</v>
      </c>
      <c r="R2858" t="s">
        <v>125</v>
      </c>
      <c r="S2858" t="s">
        <v>125</v>
      </c>
      <c r="T2858">
        <v>174</v>
      </c>
      <c r="V2858" t="s">
        <v>125</v>
      </c>
      <c r="AE2858" t="s">
        <v>125</v>
      </c>
      <c r="AF2858">
        <v>0</v>
      </c>
      <c r="AG2858" t="s">
        <v>125</v>
      </c>
      <c r="AH2858">
        <v>0</v>
      </c>
      <c r="AK2858">
        <v>0</v>
      </c>
    </row>
    <row r="2859" spans="1:37" x14ac:dyDescent="0.25">
      <c r="A2859" t="s">
        <v>79</v>
      </c>
      <c r="B2859">
        <v>11</v>
      </c>
      <c r="C2859">
        <v>3</v>
      </c>
      <c r="D2859">
        <v>1</v>
      </c>
      <c r="E2859">
        <v>10</v>
      </c>
      <c r="G2859">
        <v>1131</v>
      </c>
      <c r="H2859" t="s">
        <v>3828</v>
      </c>
      <c r="I2859" t="s">
        <v>129</v>
      </c>
      <c r="J2859" t="s">
        <v>3860</v>
      </c>
      <c r="L2859">
        <v>0</v>
      </c>
      <c r="M2859" t="s">
        <v>125</v>
      </c>
      <c r="O2859" t="s">
        <v>125</v>
      </c>
      <c r="P2859" t="s">
        <v>125</v>
      </c>
      <c r="Q2859" t="s">
        <v>125</v>
      </c>
      <c r="R2859" t="s">
        <v>125</v>
      </c>
      <c r="S2859" t="s">
        <v>125</v>
      </c>
      <c r="T2859">
        <v>174</v>
      </c>
      <c r="V2859" t="s">
        <v>125</v>
      </c>
      <c r="AE2859" t="s">
        <v>125</v>
      </c>
      <c r="AF2859">
        <v>0</v>
      </c>
      <c r="AG2859" t="s">
        <v>125</v>
      </c>
      <c r="AH2859">
        <v>0</v>
      </c>
      <c r="AK2859">
        <v>0</v>
      </c>
    </row>
    <row r="2860" spans="1:37" x14ac:dyDescent="0.25">
      <c r="A2860" t="s">
        <v>79</v>
      </c>
      <c r="B2860">
        <v>11</v>
      </c>
      <c r="C2860">
        <v>3</v>
      </c>
      <c r="D2860">
        <v>1</v>
      </c>
      <c r="E2860">
        <v>11</v>
      </c>
      <c r="G2860">
        <v>1131</v>
      </c>
      <c r="H2860" t="s">
        <v>3828</v>
      </c>
      <c r="I2860" t="s">
        <v>131</v>
      </c>
      <c r="J2860" t="s">
        <v>3861</v>
      </c>
      <c r="L2860">
        <v>0</v>
      </c>
      <c r="M2860" t="s">
        <v>125</v>
      </c>
      <c r="O2860" t="s">
        <v>125</v>
      </c>
      <c r="P2860" t="s">
        <v>125</v>
      </c>
      <c r="Q2860" t="s">
        <v>125</v>
      </c>
      <c r="R2860" t="s">
        <v>125</v>
      </c>
      <c r="S2860" t="s">
        <v>125</v>
      </c>
      <c r="T2860">
        <v>174</v>
      </c>
      <c r="V2860" t="s">
        <v>125</v>
      </c>
      <c r="AE2860" t="s">
        <v>125</v>
      </c>
      <c r="AF2860">
        <v>0</v>
      </c>
      <c r="AG2860" t="s">
        <v>125</v>
      </c>
      <c r="AH2860">
        <v>0</v>
      </c>
      <c r="AK2860">
        <v>0</v>
      </c>
    </row>
    <row r="2861" spans="1:37" x14ac:dyDescent="0.25">
      <c r="A2861" t="s">
        <v>79</v>
      </c>
      <c r="B2861">
        <v>11</v>
      </c>
      <c r="C2861">
        <v>3</v>
      </c>
      <c r="D2861">
        <v>1</v>
      </c>
      <c r="E2861">
        <v>12</v>
      </c>
      <c r="G2861">
        <v>1131</v>
      </c>
      <c r="H2861" t="s">
        <v>3828</v>
      </c>
      <c r="I2861" t="s">
        <v>133</v>
      </c>
      <c r="J2861" t="s">
        <v>3862</v>
      </c>
      <c r="L2861">
        <v>0</v>
      </c>
      <c r="M2861" t="s">
        <v>125</v>
      </c>
      <c r="O2861" t="s">
        <v>125</v>
      </c>
      <c r="P2861" t="s">
        <v>125</v>
      </c>
      <c r="Q2861" t="s">
        <v>125</v>
      </c>
      <c r="R2861" t="s">
        <v>125</v>
      </c>
      <c r="S2861" t="s">
        <v>125</v>
      </c>
      <c r="T2861">
        <v>174</v>
      </c>
      <c r="V2861" t="s">
        <v>125</v>
      </c>
      <c r="AE2861" t="s">
        <v>125</v>
      </c>
      <c r="AF2861">
        <v>0</v>
      </c>
      <c r="AG2861" t="s">
        <v>125</v>
      </c>
      <c r="AH2861">
        <v>0</v>
      </c>
      <c r="AK2861">
        <v>0</v>
      </c>
    </row>
    <row r="2862" spans="1:37" x14ac:dyDescent="0.25">
      <c r="A2862" t="s">
        <v>79</v>
      </c>
      <c r="B2862">
        <v>11</v>
      </c>
      <c r="C2862">
        <v>3</v>
      </c>
      <c r="D2862">
        <v>1</v>
      </c>
      <c r="E2862">
        <v>13</v>
      </c>
      <c r="G2862">
        <v>1131</v>
      </c>
      <c r="H2862" t="s">
        <v>3828</v>
      </c>
      <c r="I2862" t="s">
        <v>135</v>
      </c>
      <c r="J2862" t="s">
        <v>3863</v>
      </c>
      <c r="L2862">
        <v>0</v>
      </c>
      <c r="M2862" t="s">
        <v>125</v>
      </c>
      <c r="O2862" t="s">
        <v>125</v>
      </c>
      <c r="P2862" t="s">
        <v>125</v>
      </c>
      <c r="Q2862" t="s">
        <v>125</v>
      </c>
      <c r="R2862" t="s">
        <v>125</v>
      </c>
      <c r="S2862" t="s">
        <v>125</v>
      </c>
      <c r="T2862">
        <v>174</v>
      </c>
      <c r="V2862" t="s">
        <v>125</v>
      </c>
      <c r="AE2862" t="s">
        <v>125</v>
      </c>
      <c r="AF2862">
        <v>0</v>
      </c>
      <c r="AG2862" t="s">
        <v>125</v>
      </c>
      <c r="AH2862">
        <v>0</v>
      </c>
      <c r="AK2862">
        <v>0</v>
      </c>
    </row>
    <row r="2863" spans="1:37" x14ac:dyDescent="0.25">
      <c r="A2863" t="s">
        <v>79</v>
      </c>
      <c r="B2863">
        <v>11</v>
      </c>
      <c r="C2863">
        <v>3</v>
      </c>
      <c r="D2863">
        <v>1</v>
      </c>
      <c r="E2863">
        <v>14</v>
      </c>
      <c r="G2863">
        <v>1131</v>
      </c>
      <c r="H2863" t="s">
        <v>3828</v>
      </c>
      <c r="I2863" t="s">
        <v>137</v>
      </c>
      <c r="J2863" t="s">
        <v>3864</v>
      </c>
      <c r="L2863">
        <v>0</v>
      </c>
      <c r="M2863" t="s">
        <v>125</v>
      </c>
      <c r="O2863" t="s">
        <v>125</v>
      </c>
      <c r="P2863" t="s">
        <v>125</v>
      </c>
      <c r="Q2863" t="s">
        <v>125</v>
      </c>
      <c r="R2863" t="s">
        <v>125</v>
      </c>
      <c r="S2863" t="s">
        <v>125</v>
      </c>
      <c r="T2863">
        <v>174</v>
      </c>
      <c r="V2863" t="s">
        <v>125</v>
      </c>
      <c r="AE2863" t="s">
        <v>125</v>
      </c>
      <c r="AF2863">
        <v>0</v>
      </c>
      <c r="AG2863" t="s">
        <v>125</v>
      </c>
      <c r="AH2863">
        <v>0</v>
      </c>
      <c r="AK2863">
        <v>0</v>
      </c>
    </row>
    <row r="2864" spans="1:37" x14ac:dyDescent="0.25">
      <c r="A2864" t="s">
        <v>79</v>
      </c>
      <c r="B2864">
        <v>11</v>
      </c>
      <c r="C2864">
        <v>3</v>
      </c>
      <c r="D2864">
        <v>1</v>
      </c>
      <c r="E2864">
        <v>15</v>
      </c>
      <c r="G2864">
        <v>1131</v>
      </c>
      <c r="H2864" t="s">
        <v>3828</v>
      </c>
      <c r="I2864" t="s">
        <v>139</v>
      </c>
      <c r="J2864" t="s">
        <v>3865</v>
      </c>
      <c r="L2864">
        <v>0</v>
      </c>
      <c r="M2864" t="s">
        <v>125</v>
      </c>
      <c r="O2864" t="s">
        <v>125</v>
      </c>
      <c r="P2864" t="s">
        <v>125</v>
      </c>
      <c r="Q2864" t="s">
        <v>125</v>
      </c>
      <c r="R2864" t="s">
        <v>125</v>
      </c>
      <c r="S2864" t="s">
        <v>125</v>
      </c>
      <c r="T2864">
        <v>174</v>
      </c>
      <c r="V2864" t="s">
        <v>125</v>
      </c>
      <c r="AE2864" t="s">
        <v>125</v>
      </c>
      <c r="AF2864">
        <v>0</v>
      </c>
      <c r="AG2864" t="s">
        <v>125</v>
      </c>
      <c r="AH2864">
        <v>0</v>
      </c>
      <c r="AK2864">
        <v>0</v>
      </c>
    </row>
    <row r="2865" spans="1:37" x14ac:dyDescent="0.25">
      <c r="L2865">
        <v>0</v>
      </c>
    </row>
    <row r="2866" spans="1:37" x14ac:dyDescent="0.25">
      <c r="A2866" t="s">
        <v>70</v>
      </c>
      <c r="B2866">
        <v>11</v>
      </c>
      <c r="C2866">
        <v>3</v>
      </c>
      <c r="D2866">
        <v>2</v>
      </c>
      <c r="G2866">
        <v>113</v>
      </c>
      <c r="L2866">
        <v>0</v>
      </c>
      <c r="M2866" t="s">
        <v>125</v>
      </c>
      <c r="P2866" t="s">
        <v>125</v>
      </c>
      <c r="R2866" t="s">
        <v>125</v>
      </c>
      <c r="S2866" t="s">
        <v>63</v>
      </c>
      <c r="V2866" t="s">
        <v>125</v>
      </c>
      <c r="X2866" t="s">
        <v>125</v>
      </c>
      <c r="Y2866" t="s">
        <v>125</v>
      </c>
      <c r="Z2866" t="s">
        <v>125</v>
      </c>
      <c r="AA2866" t="s">
        <v>125</v>
      </c>
      <c r="AB2866" t="s">
        <v>125</v>
      </c>
      <c r="AC2866" t="s">
        <v>125</v>
      </c>
      <c r="AE2866" t="s">
        <v>125</v>
      </c>
      <c r="AF2866">
        <v>0</v>
      </c>
      <c r="AG2866" t="s">
        <v>125</v>
      </c>
      <c r="AH2866">
        <v>0</v>
      </c>
      <c r="AK2866">
        <v>0</v>
      </c>
    </row>
    <row r="2867" spans="1:37" x14ac:dyDescent="0.25">
      <c r="A2867" t="s">
        <v>79</v>
      </c>
      <c r="B2867">
        <v>11</v>
      </c>
      <c r="C2867">
        <v>3</v>
      </c>
      <c r="D2867">
        <v>2</v>
      </c>
      <c r="E2867">
        <v>1</v>
      </c>
      <c r="G2867">
        <v>1132</v>
      </c>
      <c r="H2867" t="s">
        <v>63</v>
      </c>
      <c r="I2867" t="s">
        <v>80</v>
      </c>
      <c r="J2867" t="s">
        <v>141</v>
      </c>
      <c r="L2867">
        <v>0</v>
      </c>
      <c r="M2867" t="s">
        <v>125</v>
      </c>
      <c r="O2867" t="s">
        <v>125</v>
      </c>
      <c r="P2867" t="s">
        <v>125</v>
      </c>
      <c r="Q2867" t="s">
        <v>125</v>
      </c>
      <c r="R2867" t="s">
        <v>125</v>
      </c>
      <c r="S2867" t="s">
        <v>125</v>
      </c>
      <c r="T2867">
        <v>0</v>
      </c>
      <c r="V2867" t="s">
        <v>125</v>
      </c>
      <c r="AE2867" t="s">
        <v>125</v>
      </c>
      <c r="AF2867">
        <v>0</v>
      </c>
      <c r="AG2867" t="s">
        <v>125</v>
      </c>
      <c r="AH2867">
        <v>0</v>
      </c>
      <c r="AK2867">
        <v>0</v>
      </c>
    </row>
    <row r="2868" spans="1:37" x14ac:dyDescent="0.25">
      <c r="A2868" t="s">
        <v>79</v>
      </c>
      <c r="B2868">
        <v>11</v>
      </c>
      <c r="C2868">
        <v>3</v>
      </c>
      <c r="D2868">
        <v>2</v>
      </c>
      <c r="E2868">
        <v>2</v>
      </c>
      <c r="G2868">
        <v>1132</v>
      </c>
      <c r="H2868" t="s">
        <v>63</v>
      </c>
      <c r="I2868" t="s">
        <v>88</v>
      </c>
      <c r="J2868" t="s">
        <v>142</v>
      </c>
      <c r="L2868">
        <v>0</v>
      </c>
      <c r="M2868" t="s">
        <v>125</v>
      </c>
      <c r="O2868" t="s">
        <v>125</v>
      </c>
      <c r="P2868" t="s">
        <v>125</v>
      </c>
      <c r="Q2868" t="s">
        <v>125</v>
      </c>
      <c r="R2868" t="s">
        <v>125</v>
      </c>
      <c r="S2868" t="s">
        <v>125</v>
      </c>
      <c r="T2868">
        <v>0</v>
      </c>
      <c r="V2868" t="s">
        <v>125</v>
      </c>
      <c r="AE2868" t="s">
        <v>125</v>
      </c>
      <c r="AF2868">
        <v>0</v>
      </c>
      <c r="AG2868" t="s">
        <v>125</v>
      </c>
      <c r="AH2868">
        <v>0</v>
      </c>
      <c r="AK2868">
        <v>0</v>
      </c>
    </row>
    <row r="2869" spans="1:37" x14ac:dyDescent="0.25">
      <c r="A2869" t="s">
        <v>79</v>
      </c>
      <c r="B2869">
        <v>11</v>
      </c>
      <c r="C2869">
        <v>3</v>
      </c>
      <c r="D2869">
        <v>2</v>
      </c>
      <c r="E2869">
        <v>3</v>
      </c>
      <c r="G2869">
        <v>1132</v>
      </c>
      <c r="H2869" t="s">
        <v>63</v>
      </c>
      <c r="I2869" t="s">
        <v>95</v>
      </c>
      <c r="J2869" t="s">
        <v>143</v>
      </c>
      <c r="L2869">
        <v>0</v>
      </c>
      <c r="M2869" t="s">
        <v>125</v>
      </c>
      <c r="O2869" t="s">
        <v>125</v>
      </c>
      <c r="P2869" t="s">
        <v>125</v>
      </c>
      <c r="Q2869" t="s">
        <v>125</v>
      </c>
      <c r="R2869" t="s">
        <v>125</v>
      </c>
      <c r="S2869" t="s">
        <v>125</v>
      </c>
      <c r="T2869">
        <v>0</v>
      </c>
      <c r="V2869" t="s">
        <v>125</v>
      </c>
      <c r="AE2869" t="s">
        <v>125</v>
      </c>
      <c r="AF2869">
        <v>0</v>
      </c>
      <c r="AG2869" t="s">
        <v>125</v>
      </c>
      <c r="AH2869">
        <v>0</v>
      </c>
      <c r="AK2869">
        <v>0</v>
      </c>
    </row>
    <row r="2870" spans="1:37" x14ac:dyDescent="0.25">
      <c r="A2870" t="s">
        <v>79</v>
      </c>
      <c r="B2870">
        <v>11</v>
      </c>
      <c r="C2870">
        <v>3</v>
      </c>
      <c r="D2870">
        <v>2</v>
      </c>
      <c r="E2870">
        <v>4</v>
      </c>
      <c r="G2870">
        <v>1132</v>
      </c>
      <c r="H2870" t="s">
        <v>63</v>
      </c>
      <c r="I2870" t="s">
        <v>102</v>
      </c>
      <c r="J2870" t="s">
        <v>144</v>
      </c>
      <c r="L2870">
        <v>0</v>
      </c>
      <c r="M2870" t="s">
        <v>125</v>
      </c>
      <c r="O2870" t="s">
        <v>125</v>
      </c>
      <c r="P2870" t="s">
        <v>125</v>
      </c>
      <c r="Q2870" t="s">
        <v>125</v>
      </c>
      <c r="R2870" t="s">
        <v>125</v>
      </c>
      <c r="S2870" t="s">
        <v>125</v>
      </c>
      <c r="T2870">
        <v>0</v>
      </c>
      <c r="V2870" t="s">
        <v>125</v>
      </c>
      <c r="AE2870" t="s">
        <v>125</v>
      </c>
      <c r="AF2870">
        <v>0</v>
      </c>
      <c r="AG2870" t="s">
        <v>125</v>
      </c>
      <c r="AH2870">
        <v>0</v>
      </c>
      <c r="AK2870">
        <v>0</v>
      </c>
    </row>
    <row r="2871" spans="1:37" x14ac:dyDescent="0.25">
      <c r="A2871" t="s">
        <v>79</v>
      </c>
      <c r="B2871">
        <v>11</v>
      </c>
      <c r="C2871">
        <v>3</v>
      </c>
      <c r="D2871">
        <v>2</v>
      </c>
      <c r="E2871">
        <v>5</v>
      </c>
      <c r="G2871">
        <v>1132</v>
      </c>
      <c r="H2871" t="s">
        <v>63</v>
      </c>
      <c r="I2871" t="s">
        <v>109</v>
      </c>
      <c r="J2871" t="s">
        <v>145</v>
      </c>
      <c r="L2871">
        <v>0</v>
      </c>
      <c r="M2871" t="s">
        <v>125</v>
      </c>
      <c r="O2871" t="s">
        <v>125</v>
      </c>
      <c r="P2871" t="s">
        <v>125</v>
      </c>
      <c r="Q2871" t="s">
        <v>125</v>
      </c>
      <c r="R2871" t="s">
        <v>125</v>
      </c>
      <c r="S2871" t="s">
        <v>125</v>
      </c>
      <c r="T2871">
        <v>0</v>
      </c>
      <c r="V2871" t="s">
        <v>125</v>
      </c>
      <c r="AE2871" t="s">
        <v>125</v>
      </c>
      <c r="AF2871">
        <v>0</v>
      </c>
      <c r="AG2871" t="s">
        <v>125</v>
      </c>
      <c r="AH2871">
        <v>0</v>
      </c>
      <c r="AK2871">
        <v>0</v>
      </c>
    </row>
    <row r="2872" spans="1:37" x14ac:dyDescent="0.25">
      <c r="A2872" t="s">
        <v>79</v>
      </c>
      <c r="B2872">
        <v>11</v>
      </c>
      <c r="C2872">
        <v>3</v>
      </c>
      <c r="D2872">
        <v>2</v>
      </c>
      <c r="E2872">
        <v>6</v>
      </c>
      <c r="G2872">
        <v>1132</v>
      </c>
      <c r="H2872" t="s">
        <v>63</v>
      </c>
      <c r="I2872" t="s">
        <v>116</v>
      </c>
      <c r="J2872" t="s">
        <v>146</v>
      </c>
      <c r="L2872">
        <v>0</v>
      </c>
      <c r="M2872" t="s">
        <v>125</v>
      </c>
      <c r="O2872" t="s">
        <v>125</v>
      </c>
      <c r="P2872" t="s">
        <v>125</v>
      </c>
      <c r="Q2872" t="s">
        <v>125</v>
      </c>
      <c r="R2872" t="s">
        <v>125</v>
      </c>
      <c r="S2872" t="s">
        <v>125</v>
      </c>
      <c r="T2872">
        <v>0</v>
      </c>
      <c r="V2872" t="s">
        <v>125</v>
      </c>
      <c r="AE2872" t="s">
        <v>125</v>
      </c>
      <c r="AF2872">
        <v>0</v>
      </c>
      <c r="AG2872" t="s">
        <v>125</v>
      </c>
      <c r="AH2872">
        <v>0</v>
      </c>
      <c r="AK2872">
        <v>0</v>
      </c>
    </row>
    <row r="2873" spans="1:37" x14ac:dyDescent="0.25">
      <c r="A2873" t="s">
        <v>79</v>
      </c>
      <c r="B2873">
        <v>11</v>
      </c>
      <c r="C2873">
        <v>3</v>
      </c>
      <c r="D2873">
        <v>2</v>
      </c>
      <c r="E2873">
        <v>7</v>
      </c>
      <c r="G2873">
        <v>1132</v>
      </c>
      <c r="H2873" t="s">
        <v>63</v>
      </c>
      <c r="I2873" t="s">
        <v>123</v>
      </c>
      <c r="J2873" t="s">
        <v>147</v>
      </c>
      <c r="L2873">
        <v>0</v>
      </c>
      <c r="M2873" t="s">
        <v>125</v>
      </c>
      <c r="O2873" t="s">
        <v>125</v>
      </c>
      <c r="P2873" t="s">
        <v>125</v>
      </c>
      <c r="Q2873" t="s">
        <v>125</v>
      </c>
      <c r="R2873" t="s">
        <v>125</v>
      </c>
      <c r="S2873" t="s">
        <v>125</v>
      </c>
      <c r="T2873">
        <v>0</v>
      </c>
      <c r="V2873" t="s">
        <v>125</v>
      </c>
      <c r="AE2873" t="s">
        <v>125</v>
      </c>
      <c r="AF2873">
        <v>0</v>
      </c>
      <c r="AG2873" t="s">
        <v>125</v>
      </c>
      <c r="AH2873">
        <v>0</v>
      </c>
      <c r="AK2873">
        <v>0</v>
      </c>
    </row>
    <row r="2874" spans="1:37" x14ac:dyDescent="0.25">
      <c r="A2874" t="s">
        <v>79</v>
      </c>
      <c r="B2874">
        <v>11</v>
      </c>
      <c r="C2874">
        <v>3</v>
      </c>
      <c r="D2874">
        <v>2</v>
      </c>
      <c r="E2874">
        <v>8</v>
      </c>
      <c r="G2874">
        <v>1132</v>
      </c>
      <c r="H2874" t="s">
        <v>63</v>
      </c>
      <c r="I2874" t="s">
        <v>126</v>
      </c>
      <c r="J2874" t="s">
        <v>148</v>
      </c>
      <c r="L2874">
        <v>0</v>
      </c>
      <c r="M2874" t="s">
        <v>125</v>
      </c>
      <c r="O2874" t="s">
        <v>125</v>
      </c>
      <c r="P2874" t="s">
        <v>125</v>
      </c>
      <c r="Q2874" t="s">
        <v>125</v>
      </c>
      <c r="R2874" t="s">
        <v>125</v>
      </c>
      <c r="S2874" t="s">
        <v>125</v>
      </c>
      <c r="T2874">
        <v>0</v>
      </c>
      <c r="V2874" t="s">
        <v>125</v>
      </c>
      <c r="AE2874" t="s">
        <v>125</v>
      </c>
      <c r="AF2874">
        <v>0</v>
      </c>
      <c r="AG2874" t="s">
        <v>125</v>
      </c>
      <c r="AH2874">
        <v>0</v>
      </c>
      <c r="AK2874">
        <v>0</v>
      </c>
    </row>
    <row r="2875" spans="1:37" x14ac:dyDescent="0.25">
      <c r="A2875" t="s">
        <v>79</v>
      </c>
      <c r="B2875">
        <v>11</v>
      </c>
      <c r="C2875">
        <v>3</v>
      </c>
      <c r="D2875">
        <v>2</v>
      </c>
      <c r="E2875">
        <v>9</v>
      </c>
      <c r="G2875">
        <v>1132</v>
      </c>
      <c r="H2875" t="s">
        <v>63</v>
      </c>
      <c r="I2875" t="s">
        <v>74</v>
      </c>
      <c r="J2875" t="s">
        <v>149</v>
      </c>
      <c r="L2875">
        <v>0</v>
      </c>
      <c r="M2875" t="s">
        <v>125</v>
      </c>
      <c r="O2875" t="s">
        <v>125</v>
      </c>
      <c r="P2875" t="s">
        <v>125</v>
      </c>
      <c r="Q2875" t="s">
        <v>125</v>
      </c>
      <c r="R2875" t="s">
        <v>125</v>
      </c>
      <c r="S2875" t="s">
        <v>125</v>
      </c>
      <c r="T2875">
        <v>0</v>
      </c>
      <c r="V2875" t="s">
        <v>125</v>
      </c>
      <c r="AE2875" t="s">
        <v>125</v>
      </c>
      <c r="AF2875">
        <v>0</v>
      </c>
      <c r="AG2875" t="s">
        <v>125</v>
      </c>
      <c r="AH2875">
        <v>0</v>
      </c>
      <c r="AK2875">
        <v>0</v>
      </c>
    </row>
    <row r="2876" spans="1:37" x14ac:dyDescent="0.25">
      <c r="A2876" t="s">
        <v>79</v>
      </c>
      <c r="B2876">
        <v>11</v>
      </c>
      <c r="C2876">
        <v>3</v>
      </c>
      <c r="D2876">
        <v>2</v>
      </c>
      <c r="E2876">
        <v>10</v>
      </c>
      <c r="G2876">
        <v>1132</v>
      </c>
      <c r="H2876" t="s">
        <v>63</v>
      </c>
      <c r="I2876" t="s">
        <v>129</v>
      </c>
      <c r="J2876" t="s">
        <v>150</v>
      </c>
      <c r="L2876">
        <v>0</v>
      </c>
      <c r="M2876" t="s">
        <v>125</v>
      </c>
      <c r="O2876" t="s">
        <v>125</v>
      </c>
      <c r="P2876" t="s">
        <v>125</v>
      </c>
      <c r="Q2876" t="s">
        <v>125</v>
      </c>
      <c r="R2876" t="s">
        <v>125</v>
      </c>
      <c r="S2876" t="s">
        <v>125</v>
      </c>
      <c r="T2876">
        <v>0</v>
      </c>
      <c r="V2876" t="s">
        <v>125</v>
      </c>
      <c r="AE2876" t="s">
        <v>125</v>
      </c>
      <c r="AF2876">
        <v>0</v>
      </c>
      <c r="AG2876" t="s">
        <v>125</v>
      </c>
      <c r="AH2876">
        <v>0</v>
      </c>
      <c r="AK2876">
        <v>0</v>
      </c>
    </row>
    <row r="2877" spans="1:37" x14ac:dyDescent="0.25">
      <c r="A2877" t="s">
        <v>79</v>
      </c>
      <c r="B2877">
        <v>11</v>
      </c>
      <c r="C2877">
        <v>3</v>
      </c>
      <c r="D2877">
        <v>2</v>
      </c>
      <c r="E2877">
        <v>11</v>
      </c>
      <c r="G2877">
        <v>1132</v>
      </c>
      <c r="H2877" t="s">
        <v>63</v>
      </c>
      <c r="I2877" t="s">
        <v>131</v>
      </c>
      <c r="J2877" t="s">
        <v>151</v>
      </c>
      <c r="L2877">
        <v>0</v>
      </c>
      <c r="M2877" t="s">
        <v>125</v>
      </c>
      <c r="O2877" t="s">
        <v>125</v>
      </c>
      <c r="P2877" t="s">
        <v>125</v>
      </c>
      <c r="Q2877" t="s">
        <v>125</v>
      </c>
      <c r="R2877" t="s">
        <v>125</v>
      </c>
      <c r="S2877" t="s">
        <v>125</v>
      </c>
      <c r="T2877">
        <v>0</v>
      </c>
      <c r="V2877" t="s">
        <v>125</v>
      </c>
      <c r="AE2877" t="s">
        <v>125</v>
      </c>
      <c r="AF2877">
        <v>0</v>
      </c>
      <c r="AG2877" t="s">
        <v>125</v>
      </c>
      <c r="AH2877">
        <v>0</v>
      </c>
      <c r="AK2877">
        <v>0</v>
      </c>
    </row>
    <row r="2878" spans="1:37" x14ac:dyDescent="0.25">
      <c r="A2878" t="s">
        <v>79</v>
      </c>
      <c r="B2878">
        <v>11</v>
      </c>
      <c r="C2878">
        <v>3</v>
      </c>
      <c r="D2878">
        <v>2</v>
      </c>
      <c r="E2878">
        <v>12</v>
      </c>
      <c r="G2878">
        <v>1132</v>
      </c>
      <c r="H2878" t="s">
        <v>63</v>
      </c>
      <c r="I2878" t="s">
        <v>133</v>
      </c>
      <c r="J2878" t="s">
        <v>152</v>
      </c>
      <c r="L2878">
        <v>0</v>
      </c>
      <c r="M2878" t="s">
        <v>125</v>
      </c>
      <c r="O2878" t="s">
        <v>125</v>
      </c>
      <c r="P2878" t="s">
        <v>125</v>
      </c>
      <c r="Q2878" t="s">
        <v>125</v>
      </c>
      <c r="R2878" t="s">
        <v>125</v>
      </c>
      <c r="S2878" t="s">
        <v>125</v>
      </c>
      <c r="T2878">
        <v>0</v>
      </c>
      <c r="V2878" t="s">
        <v>125</v>
      </c>
      <c r="AE2878" t="s">
        <v>125</v>
      </c>
      <c r="AF2878">
        <v>0</v>
      </c>
      <c r="AG2878" t="s">
        <v>125</v>
      </c>
      <c r="AH2878">
        <v>0</v>
      </c>
      <c r="AK2878">
        <v>0</v>
      </c>
    </row>
    <row r="2879" spans="1:37" x14ac:dyDescent="0.25">
      <c r="A2879" t="s">
        <v>79</v>
      </c>
      <c r="B2879">
        <v>11</v>
      </c>
      <c r="C2879">
        <v>3</v>
      </c>
      <c r="D2879">
        <v>2</v>
      </c>
      <c r="E2879">
        <v>13</v>
      </c>
      <c r="G2879">
        <v>1132</v>
      </c>
      <c r="H2879" t="s">
        <v>63</v>
      </c>
      <c r="I2879" t="s">
        <v>135</v>
      </c>
      <c r="J2879" t="s">
        <v>153</v>
      </c>
      <c r="L2879">
        <v>0</v>
      </c>
      <c r="M2879" t="s">
        <v>125</v>
      </c>
      <c r="O2879" t="s">
        <v>125</v>
      </c>
      <c r="P2879" t="s">
        <v>125</v>
      </c>
      <c r="Q2879" t="s">
        <v>125</v>
      </c>
      <c r="R2879" t="s">
        <v>125</v>
      </c>
      <c r="S2879" t="s">
        <v>125</v>
      </c>
      <c r="T2879">
        <v>0</v>
      </c>
      <c r="V2879" t="s">
        <v>125</v>
      </c>
      <c r="AE2879" t="s">
        <v>125</v>
      </c>
      <c r="AF2879">
        <v>0</v>
      </c>
      <c r="AG2879" t="s">
        <v>125</v>
      </c>
      <c r="AH2879">
        <v>0</v>
      </c>
      <c r="AK2879">
        <v>0</v>
      </c>
    </row>
    <row r="2880" spans="1:37" x14ac:dyDescent="0.25">
      <c r="A2880" t="s">
        <v>79</v>
      </c>
      <c r="B2880">
        <v>11</v>
      </c>
      <c r="C2880">
        <v>3</v>
      </c>
      <c r="D2880">
        <v>2</v>
      </c>
      <c r="E2880">
        <v>14</v>
      </c>
      <c r="G2880">
        <v>1132</v>
      </c>
      <c r="H2880" t="s">
        <v>63</v>
      </c>
      <c r="I2880" t="s">
        <v>137</v>
      </c>
      <c r="J2880" t="s">
        <v>154</v>
      </c>
      <c r="L2880">
        <v>0</v>
      </c>
      <c r="M2880" t="s">
        <v>125</v>
      </c>
      <c r="O2880" t="s">
        <v>125</v>
      </c>
      <c r="P2880" t="s">
        <v>125</v>
      </c>
      <c r="Q2880" t="s">
        <v>125</v>
      </c>
      <c r="R2880" t="s">
        <v>125</v>
      </c>
      <c r="S2880" t="s">
        <v>125</v>
      </c>
      <c r="T2880">
        <v>0</v>
      </c>
      <c r="V2880" t="s">
        <v>125</v>
      </c>
      <c r="AE2880" t="s">
        <v>125</v>
      </c>
      <c r="AF2880">
        <v>0</v>
      </c>
      <c r="AG2880" t="s">
        <v>125</v>
      </c>
      <c r="AH2880">
        <v>0</v>
      </c>
      <c r="AK2880">
        <v>0</v>
      </c>
    </row>
    <row r="2881" spans="1:37" x14ac:dyDescent="0.25">
      <c r="A2881" t="s">
        <v>79</v>
      </c>
      <c r="B2881">
        <v>11</v>
      </c>
      <c r="C2881">
        <v>3</v>
      </c>
      <c r="D2881">
        <v>2</v>
      </c>
      <c r="E2881">
        <v>15</v>
      </c>
      <c r="G2881">
        <v>1132</v>
      </c>
      <c r="H2881" t="s">
        <v>63</v>
      </c>
      <c r="I2881" t="s">
        <v>139</v>
      </c>
      <c r="J2881" t="s">
        <v>155</v>
      </c>
      <c r="L2881">
        <v>0</v>
      </c>
      <c r="M2881" t="s">
        <v>125</v>
      </c>
      <c r="O2881" t="s">
        <v>125</v>
      </c>
      <c r="P2881" t="s">
        <v>125</v>
      </c>
      <c r="Q2881" t="s">
        <v>125</v>
      </c>
      <c r="R2881" t="s">
        <v>125</v>
      </c>
      <c r="S2881" t="s">
        <v>125</v>
      </c>
      <c r="T2881">
        <v>0</v>
      </c>
      <c r="V2881" t="s">
        <v>125</v>
      </c>
      <c r="AE2881" t="s">
        <v>125</v>
      </c>
      <c r="AF2881">
        <v>0</v>
      </c>
      <c r="AG2881" t="s">
        <v>125</v>
      </c>
      <c r="AH2881">
        <v>0</v>
      </c>
      <c r="AK2881">
        <v>0</v>
      </c>
    </row>
    <row r="2882" spans="1:37" x14ac:dyDescent="0.25">
      <c r="L2882">
        <v>0</v>
      </c>
    </row>
    <row r="2883" spans="1:37" x14ac:dyDescent="0.25">
      <c r="A2883" t="s">
        <v>70</v>
      </c>
      <c r="B2883">
        <v>11</v>
      </c>
      <c r="C2883">
        <v>3</v>
      </c>
      <c r="D2883">
        <v>3</v>
      </c>
      <c r="G2883">
        <v>113</v>
      </c>
      <c r="L2883">
        <v>0</v>
      </c>
      <c r="M2883" t="s">
        <v>125</v>
      </c>
      <c r="P2883" t="s">
        <v>125</v>
      </c>
      <c r="R2883" t="s">
        <v>125</v>
      </c>
      <c r="S2883" t="s">
        <v>63</v>
      </c>
      <c r="V2883" t="s">
        <v>125</v>
      </c>
      <c r="X2883" t="s">
        <v>125</v>
      </c>
      <c r="Y2883" t="s">
        <v>125</v>
      </c>
      <c r="Z2883" t="s">
        <v>125</v>
      </c>
      <c r="AA2883" t="s">
        <v>125</v>
      </c>
      <c r="AB2883" t="s">
        <v>125</v>
      </c>
      <c r="AC2883" t="s">
        <v>125</v>
      </c>
      <c r="AE2883" t="s">
        <v>125</v>
      </c>
      <c r="AF2883">
        <v>0</v>
      </c>
      <c r="AG2883" t="s">
        <v>125</v>
      </c>
      <c r="AH2883">
        <v>0</v>
      </c>
      <c r="AK2883">
        <v>0</v>
      </c>
    </row>
    <row r="2884" spans="1:37" x14ac:dyDescent="0.25">
      <c r="A2884" t="s">
        <v>79</v>
      </c>
      <c r="B2884">
        <v>11</v>
      </c>
      <c r="C2884">
        <v>3</v>
      </c>
      <c r="D2884">
        <v>3</v>
      </c>
      <c r="E2884">
        <v>1</v>
      </c>
      <c r="G2884">
        <v>1133</v>
      </c>
      <c r="H2884" t="s">
        <v>63</v>
      </c>
      <c r="I2884" t="s">
        <v>80</v>
      </c>
      <c r="J2884" t="s">
        <v>141</v>
      </c>
      <c r="L2884">
        <v>0</v>
      </c>
      <c r="M2884" t="s">
        <v>125</v>
      </c>
      <c r="O2884" t="s">
        <v>125</v>
      </c>
      <c r="P2884" t="s">
        <v>125</v>
      </c>
      <c r="Q2884" t="s">
        <v>125</v>
      </c>
      <c r="R2884" t="s">
        <v>125</v>
      </c>
      <c r="S2884" t="s">
        <v>125</v>
      </c>
      <c r="T2884">
        <v>0</v>
      </c>
      <c r="V2884" t="s">
        <v>125</v>
      </c>
      <c r="AE2884" t="s">
        <v>125</v>
      </c>
      <c r="AF2884">
        <v>0</v>
      </c>
      <c r="AG2884" t="s">
        <v>125</v>
      </c>
      <c r="AH2884">
        <v>0</v>
      </c>
      <c r="AK2884">
        <v>0</v>
      </c>
    </row>
    <row r="2885" spans="1:37" x14ac:dyDescent="0.25">
      <c r="A2885" t="s">
        <v>79</v>
      </c>
      <c r="B2885">
        <v>11</v>
      </c>
      <c r="C2885">
        <v>3</v>
      </c>
      <c r="D2885">
        <v>3</v>
      </c>
      <c r="E2885">
        <v>2</v>
      </c>
      <c r="G2885">
        <v>1133</v>
      </c>
      <c r="H2885" t="s">
        <v>63</v>
      </c>
      <c r="I2885" t="s">
        <v>88</v>
      </c>
      <c r="J2885" t="s">
        <v>142</v>
      </c>
      <c r="L2885">
        <v>0</v>
      </c>
      <c r="M2885" t="s">
        <v>125</v>
      </c>
      <c r="O2885" t="s">
        <v>125</v>
      </c>
      <c r="P2885" t="s">
        <v>125</v>
      </c>
      <c r="Q2885" t="s">
        <v>125</v>
      </c>
      <c r="R2885" t="s">
        <v>125</v>
      </c>
      <c r="S2885" t="s">
        <v>125</v>
      </c>
      <c r="T2885">
        <v>0</v>
      </c>
      <c r="V2885" t="s">
        <v>125</v>
      </c>
      <c r="AE2885" t="s">
        <v>125</v>
      </c>
      <c r="AF2885">
        <v>0</v>
      </c>
      <c r="AG2885" t="s">
        <v>125</v>
      </c>
      <c r="AH2885">
        <v>0</v>
      </c>
      <c r="AK2885">
        <v>0</v>
      </c>
    </row>
    <row r="2886" spans="1:37" x14ac:dyDescent="0.25">
      <c r="A2886" t="s">
        <v>79</v>
      </c>
      <c r="B2886">
        <v>11</v>
      </c>
      <c r="C2886">
        <v>3</v>
      </c>
      <c r="D2886">
        <v>3</v>
      </c>
      <c r="E2886">
        <v>3</v>
      </c>
      <c r="G2886">
        <v>1133</v>
      </c>
      <c r="H2886" t="s">
        <v>63</v>
      </c>
      <c r="I2886" t="s">
        <v>95</v>
      </c>
      <c r="J2886" t="s">
        <v>143</v>
      </c>
      <c r="L2886">
        <v>0</v>
      </c>
      <c r="M2886" t="s">
        <v>125</v>
      </c>
      <c r="O2886" t="s">
        <v>125</v>
      </c>
      <c r="P2886" t="s">
        <v>125</v>
      </c>
      <c r="Q2886" t="s">
        <v>125</v>
      </c>
      <c r="R2886" t="s">
        <v>125</v>
      </c>
      <c r="S2886" t="s">
        <v>125</v>
      </c>
      <c r="T2886">
        <v>0</v>
      </c>
      <c r="V2886" t="s">
        <v>125</v>
      </c>
      <c r="AE2886" t="s">
        <v>125</v>
      </c>
      <c r="AF2886">
        <v>0</v>
      </c>
      <c r="AG2886" t="s">
        <v>125</v>
      </c>
      <c r="AH2886">
        <v>0</v>
      </c>
      <c r="AK2886">
        <v>0</v>
      </c>
    </row>
    <row r="2887" spans="1:37" x14ac:dyDescent="0.25">
      <c r="A2887" t="s">
        <v>79</v>
      </c>
      <c r="B2887">
        <v>11</v>
      </c>
      <c r="C2887">
        <v>3</v>
      </c>
      <c r="D2887">
        <v>3</v>
      </c>
      <c r="E2887">
        <v>4</v>
      </c>
      <c r="G2887">
        <v>1133</v>
      </c>
      <c r="H2887" t="s">
        <v>63</v>
      </c>
      <c r="I2887" t="s">
        <v>102</v>
      </c>
      <c r="J2887" t="s">
        <v>144</v>
      </c>
      <c r="L2887">
        <v>0</v>
      </c>
      <c r="M2887" t="s">
        <v>125</v>
      </c>
      <c r="O2887" t="s">
        <v>125</v>
      </c>
      <c r="P2887" t="s">
        <v>125</v>
      </c>
      <c r="Q2887" t="s">
        <v>125</v>
      </c>
      <c r="R2887" t="s">
        <v>125</v>
      </c>
      <c r="S2887" t="s">
        <v>125</v>
      </c>
      <c r="T2887">
        <v>0</v>
      </c>
      <c r="V2887" t="s">
        <v>125</v>
      </c>
      <c r="AE2887" t="s">
        <v>125</v>
      </c>
      <c r="AF2887">
        <v>0</v>
      </c>
      <c r="AG2887" t="s">
        <v>125</v>
      </c>
      <c r="AH2887">
        <v>0</v>
      </c>
      <c r="AK2887">
        <v>0</v>
      </c>
    </row>
    <row r="2888" spans="1:37" x14ac:dyDescent="0.25">
      <c r="A2888" t="s">
        <v>79</v>
      </c>
      <c r="B2888">
        <v>11</v>
      </c>
      <c r="C2888">
        <v>3</v>
      </c>
      <c r="D2888">
        <v>3</v>
      </c>
      <c r="E2888">
        <v>5</v>
      </c>
      <c r="G2888">
        <v>1133</v>
      </c>
      <c r="H2888" t="s">
        <v>63</v>
      </c>
      <c r="I2888" t="s">
        <v>109</v>
      </c>
      <c r="J2888" t="s">
        <v>145</v>
      </c>
      <c r="L2888">
        <v>0</v>
      </c>
      <c r="M2888" t="s">
        <v>125</v>
      </c>
      <c r="O2888" t="s">
        <v>125</v>
      </c>
      <c r="P2888" t="s">
        <v>125</v>
      </c>
      <c r="Q2888" t="s">
        <v>125</v>
      </c>
      <c r="R2888" t="s">
        <v>125</v>
      </c>
      <c r="S2888" t="s">
        <v>125</v>
      </c>
      <c r="T2888">
        <v>0</v>
      </c>
      <c r="V2888" t="s">
        <v>125</v>
      </c>
      <c r="AE2888" t="s">
        <v>125</v>
      </c>
      <c r="AF2888">
        <v>0</v>
      </c>
      <c r="AG2888" t="s">
        <v>125</v>
      </c>
      <c r="AH2888">
        <v>0</v>
      </c>
      <c r="AK2888">
        <v>0</v>
      </c>
    </row>
    <row r="2889" spans="1:37" x14ac:dyDescent="0.25">
      <c r="A2889" t="s">
        <v>79</v>
      </c>
      <c r="B2889">
        <v>11</v>
      </c>
      <c r="C2889">
        <v>3</v>
      </c>
      <c r="D2889">
        <v>3</v>
      </c>
      <c r="E2889">
        <v>6</v>
      </c>
      <c r="G2889">
        <v>1133</v>
      </c>
      <c r="H2889" t="s">
        <v>63</v>
      </c>
      <c r="I2889" t="s">
        <v>116</v>
      </c>
      <c r="J2889" t="s">
        <v>146</v>
      </c>
      <c r="L2889">
        <v>0</v>
      </c>
      <c r="M2889" t="s">
        <v>125</v>
      </c>
      <c r="O2889" t="s">
        <v>125</v>
      </c>
      <c r="P2889" t="s">
        <v>125</v>
      </c>
      <c r="Q2889" t="s">
        <v>125</v>
      </c>
      <c r="R2889" t="s">
        <v>125</v>
      </c>
      <c r="S2889" t="s">
        <v>125</v>
      </c>
      <c r="T2889">
        <v>0</v>
      </c>
      <c r="V2889" t="s">
        <v>125</v>
      </c>
      <c r="AE2889" t="s">
        <v>125</v>
      </c>
      <c r="AF2889">
        <v>0</v>
      </c>
      <c r="AG2889" t="s">
        <v>125</v>
      </c>
      <c r="AH2889">
        <v>0</v>
      </c>
      <c r="AK2889">
        <v>0</v>
      </c>
    </row>
    <row r="2890" spans="1:37" x14ac:dyDescent="0.25">
      <c r="A2890" t="s">
        <v>79</v>
      </c>
      <c r="B2890">
        <v>11</v>
      </c>
      <c r="C2890">
        <v>3</v>
      </c>
      <c r="D2890">
        <v>3</v>
      </c>
      <c r="E2890">
        <v>7</v>
      </c>
      <c r="G2890">
        <v>1133</v>
      </c>
      <c r="H2890" t="s">
        <v>63</v>
      </c>
      <c r="I2890" t="s">
        <v>123</v>
      </c>
      <c r="J2890" t="s">
        <v>147</v>
      </c>
      <c r="L2890">
        <v>0</v>
      </c>
      <c r="M2890" t="s">
        <v>125</v>
      </c>
      <c r="O2890" t="s">
        <v>125</v>
      </c>
      <c r="P2890" t="s">
        <v>125</v>
      </c>
      <c r="Q2890" t="s">
        <v>125</v>
      </c>
      <c r="R2890" t="s">
        <v>125</v>
      </c>
      <c r="S2890" t="s">
        <v>125</v>
      </c>
      <c r="T2890">
        <v>0</v>
      </c>
      <c r="V2890" t="s">
        <v>125</v>
      </c>
      <c r="AE2890" t="s">
        <v>125</v>
      </c>
      <c r="AF2890">
        <v>0</v>
      </c>
      <c r="AG2890" t="s">
        <v>125</v>
      </c>
      <c r="AH2890">
        <v>0</v>
      </c>
      <c r="AK2890">
        <v>0</v>
      </c>
    </row>
    <row r="2891" spans="1:37" x14ac:dyDescent="0.25">
      <c r="A2891" t="s">
        <v>79</v>
      </c>
      <c r="B2891">
        <v>11</v>
      </c>
      <c r="C2891">
        <v>3</v>
      </c>
      <c r="D2891">
        <v>3</v>
      </c>
      <c r="E2891">
        <v>8</v>
      </c>
      <c r="G2891">
        <v>1133</v>
      </c>
      <c r="H2891" t="s">
        <v>63</v>
      </c>
      <c r="I2891" t="s">
        <v>126</v>
      </c>
      <c r="J2891" t="s">
        <v>148</v>
      </c>
      <c r="L2891">
        <v>0</v>
      </c>
      <c r="M2891" t="s">
        <v>125</v>
      </c>
      <c r="O2891" t="s">
        <v>125</v>
      </c>
      <c r="P2891" t="s">
        <v>125</v>
      </c>
      <c r="Q2891" t="s">
        <v>125</v>
      </c>
      <c r="R2891" t="s">
        <v>125</v>
      </c>
      <c r="S2891" t="s">
        <v>125</v>
      </c>
      <c r="T2891">
        <v>0</v>
      </c>
      <c r="V2891" t="s">
        <v>125</v>
      </c>
      <c r="AE2891" t="s">
        <v>125</v>
      </c>
      <c r="AF2891">
        <v>0</v>
      </c>
      <c r="AG2891" t="s">
        <v>125</v>
      </c>
      <c r="AH2891">
        <v>0</v>
      </c>
      <c r="AK2891">
        <v>0</v>
      </c>
    </row>
    <row r="2892" spans="1:37" x14ac:dyDescent="0.25">
      <c r="A2892" t="s">
        <v>79</v>
      </c>
      <c r="B2892">
        <v>11</v>
      </c>
      <c r="C2892">
        <v>3</v>
      </c>
      <c r="D2892">
        <v>3</v>
      </c>
      <c r="E2892">
        <v>9</v>
      </c>
      <c r="G2892">
        <v>1133</v>
      </c>
      <c r="H2892" t="s">
        <v>63</v>
      </c>
      <c r="I2892" t="s">
        <v>74</v>
      </c>
      <c r="J2892" t="s">
        <v>149</v>
      </c>
      <c r="L2892">
        <v>0</v>
      </c>
      <c r="M2892" t="s">
        <v>125</v>
      </c>
      <c r="O2892" t="s">
        <v>125</v>
      </c>
      <c r="P2892" t="s">
        <v>125</v>
      </c>
      <c r="Q2892" t="s">
        <v>125</v>
      </c>
      <c r="R2892" t="s">
        <v>125</v>
      </c>
      <c r="S2892" t="s">
        <v>125</v>
      </c>
      <c r="T2892">
        <v>0</v>
      </c>
      <c r="V2892" t="s">
        <v>125</v>
      </c>
      <c r="AE2892" t="s">
        <v>125</v>
      </c>
      <c r="AF2892">
        <v>0</v>
      </c>
      <c r="AG2892" t="s">
        <v>125</v>
      </c>
      <c r="AH2892">
        <v>0</v>
      </c>
      <c r="AK2892">
        <v>0</v>
      </c>
    </row>
    <row r="2893" spans="1:37" x14ac:dyDescent="0.25">
      <c r="A2893" t="s">
        <v>79</v>
      </c>
      <c r="B2893">
        <v>11</v>
      </c>
      <c r="C2893">
        <v>3</v>
      </c>
      <c r="D2893">
        <v>3</v>
      </c>
      <c r="E2893">
        <v>10</v>
      </c>
      <c r="G2893">
        <v>1133</v>
      </c>
      <c r="H2893" t="s">
        <v>63</v>
      </c>
      <c r="I2893" t="s">
        <v>129</v>
      </c>
      <c r="J2893" t="s">
        <v>150</v>
      </c>
      <c r="L2893">
        <v>0</v>
      </c>
      <c r="M2893" t="s">
        <v>125</v>
      </c>
      <c r="O2893" t="s">
        <v>125</v>
      </c>
      <c r="P2893" t="s">
        <v>125</v>
      </c>
      <c r="Q2893" t="s">
        <v>125</v>
      </c>
      <c r="R2893" t="s">
        <v>125</v>
      </c>
      <c r="S2893" t="s">
        <v>125</v>
      </c>
      <c r="T2893">
        <v>0</v>
      </c>
      <c r="V2893" t="s">
        <v>125</v>
      </c>
      <c r="AE2893" t="s">
        <v>125</v>
      </c>
      <c r="AF2893">
        <v>0</v>
      </c>
      <c r="AG2893" t="s">
        <v>125</v>
      </c>
      <c r="AH2893">
        <v>0</v>
      </c>
      <c r="AK2893">
        <v>0</v>
      </c>
    </row>
    <row r="2894" spans="1:37" x14ac:dyDescent="0.25">
      <c r="A2894" t="s">
        <v>79</v>
      </c>
      <c r="B2894">
        <v>11</v>
      </c>
      <c r="C2894">
        <v>3</v>
      </c>
      <c r="D2894">
        <v>3</v>
      </c>
      <c r="E2894">
        <v>11</v>
      </c>
      <c r="G2894">
        <v>1133</v>
      </c>
      <c r="H2894" t="s">
        <v>63</v>
      </c>
      <c r="I2894" t="s">
        <v>131</v>
      </c>
      <c r="J2894" t="s">
        <v>151</v>
      </c>
      <c r="L2894">
        <v>0</v>
      </c>
      <c r="M2894" t="s">
        <v>125</v>
      </c>
      <c r="O2894" t="s">
        <v>125</v>
      </c>
      <c r="P2894" t="s">
        <v>125</v>
      </c>
      <c r="Q2894" t="s">
        <v>125</v>
      </c>
      <c r="R2894" t="s">
        <v>125</v>
      </c>
      <c r="S2894" t="s">
        <v>125</v>
      </c>
      <c r="T2894">
        <v>0</v>
      </c>
      <c r="V2894" t="s">
        <v>125</v>
      </c>
      <c r="AE2894" t="s">
        <v>125</v>
      </c>
      <c r="AF2894">
        <v>0</v>
      </c>
      <c r="AG2894" t="s">
        <v>125</v>
      </c>
      <c r="AH2894">
        <v>0</v>
      </c>
      <c r="AK2894">
        <v>0</v>
      </c>
    </row>
    <row r="2895" spans="1:37" x14ac:dyDescent="0.25">
      <c r="A2895" t="s">
        <v>79</v>
      </c>
      <c r="B2895">
        <v>11</v>
      </c>
      <c r="C2895">
        <v>3</v>
      </c>
      <c r="D2895">
        <v>3</v>
      </c>
      <c r="E2895">
        <v>12</v>
      </c>
      <c r="G2895">
        <v>1133</v>
      </c>
      <c r="H2895" t="s">
        <v>63</v>
      </c>
      <c r="I2895" t="s">
        <v>133</v>
      </c>
      <c r="J2895" t="s">
        <v>152</v>
      </c>
      <c r="L2895">
        <v>0</v>
      </c>
      <c r="M2895" t="s">
        <v>125</v>
      </c>
      <c r="O2895" t="s">
        <v>125</v>
      </c>
      <c r="P2895" t="s">
        <v>125</v>
      </c>
      <c r="Q2895" t="s">
        <v>125</v>
      </c>
      <c r="R2895" t="s">
        <v>125</v>
      </c>
      <c r="S2895" t="s">
        <v>125</v>
      </c>
      <c r="T2895">
        <v>0</v>
      </c>
      <c r="V2895" t="s">
        <v>125</v>
      </c>
      <c r="AE2895" t="s">
        <v>125</v>
      </c>
      <c r="AF2895">
        <v>0</v>
      </c>
      <c r="AG2895" t="s">
        <v>125</v>
      </c>
      <c r="AH2895">
        <v>0</v>
      </c>
      <c r="AK2895">
        <v>0</v>
      </c>
    </row>
    <row r="2896" spans="1:37" x14ac:dyDescent="0.25">
      <c r="A2896" t="s">
        <v>79</v>
      </c>
      <c r="B2896">
        <v>11</v>
      </c>
      <c r="C2896">
        <v>3</v>
      </c>
      <c r="D2896">
        <v>3</v>
      </c>
      <c r="E2896">
        <v>13</v>
      </c>
      <c r="G2896">
        <v>1133</v>
      </c>
      <c r="H2896" t="s">
        <v>63</v>
      </c>
      <c r="I2896" t="s">
        <v>135</v>
      </c>
      <c r="J2896" t="s">
        <v>153</v>
      </c>
      <c r="L2896">
        <v>0</v>
      </c>
      <c r="M2896" t="s">
        <v>125</v>
      </c>
      <c r="O2896" t="s">
        <v>125</v>
      </c>
      <c r="P2896" t="s">
        <v>125</v>
      </c>
      <c r="Q2896" t="s">
        <v>125</v>
      </c>
      <c r="R2896" t="s">
        <v>125</v>
      </c>
      <c r="S2896" t="s">
        <v>125</v>
      </c>
      <c r="T2896">
        <v>0</v>
      </c>
      <c r="V2896" t="s">
        <v>125</v>
      </c>
      <c r="AE2896" t="s">
        <v>125</v>
      </c>
      <c r="AF2896">
        <v>0</v>
      </c>
      <c r="AG2896" t="s">
        <v>125</v>
      </c>
      <c r="AH2896">
        <v>0</v>
      </c>
      <c r="AK2896">
        <v>0</v>
      </c>
    </row>
    <row r="2897" spans="1:37" x14ac:dyDescent="0.25">
      <c r="A2897" t="s">
        <v>79</v>
      </c>
      <c r="B2897">
        <v>11</v>
      </c>
      <c r="C2897">
        <v>3</v>
      </c>
      <c r="D2897">
        <v>3</v>
      </c>
      <c r="E2897">
        <v>14</v>
      </c>
      <c r="G2897">
        <v>1133</v>
      </c>
      <c r="H2897" t="s">
        <v>63</v>
      </c>
      <c r="I2897" t="s">
        <v>137</v>
      </c>
      <c r="J2897" t="s">
        <v>154</v>
      </c>
      <c r="L2897">
        <v>0</v>
      </c>
      <c r="M2897" t="s">
        <v>125</v>
      </c>
      <c r="O2897" t="s">
        <v>125</v>
      </c>
      <c r="P2897" t="s">
        <v>125</v>
      </c>
      <c r="Q2897" t="s">
        <v>125</v>
      </c>
      <c r="R2897" t="s">
        <v>125</v>
      </c>
      <c r="S2897" t="s">
        <v>125</v>
      </c>
      <c r="T2897">
        <v>0</v>
      </c>
      <c r="V2897" t="s">
        <v>125</v>
      </c>
      <c r="AE2897" t="s">
        <v>125</v>
      </c>
      <c r="AF2897">
        <v>0</v>
      </c>
      <c r="AG2897" t="s">
        <v>125</v>
      </c>
      <c r="AH2897">
        <v>0</v>
      </c>
      <c r="AK2897">
        <v>0</v>
      </c>
    </row>
    <row r="2898" spans="1:37" x14ac:dyDescent="0.25">
      <c r="A2898" t="s">
        <v>79</v>
      </c>
      <c r="B2898">
        <v>11</v>
      </c>
      <c r="C2898">
        <v>3</v>
      </c>
      <c r="D2898">
        <v>3</v>
      </c>
      <c r="E2898">
        <v>15</v>
      </c>
      <c r="G2898">
        <v>1133</v>
      </c>
      <c r="H2898" t="s">
        <v>63</v>
      </c>
      <c r="I2898" t="s">
        <v>139</v>
      </c>
      <c r="J2898" t="s">
        <v>155</v>
      </c>
      <c r="L2898">
        <v>0</v>
      </c>
      <c r="M2898" t="s">
        <v>125</v>
      </c>
      <c r="O2898" t="s">
        <v>125</v>
      </c>
      <c r="P2898" t="s">
        <v>125</v>
      </c>
      <c r="Q2898" t="s">
        <v>125</v>
      </c>
      <c r="R2898" t="s">
        <v>125</v>
      </c>
      <c r="S2898" t="s">
        <v>125</v>
      </c>
      <c r="T2898">
        <v>0</v>
      </c>
      <c r="V2898" t="s">
        <v>125</v>
      </c>
      <c r="AE2898" t="s">
        <v>125</v>
      </c>
      <c r="AF2898">
        <v>0</v>
      </c>
      <c r="AG2898" t="s">
        <v>125</v>
      </c>
      <c r="AH2898">
        <v>0</v>
      </c>
      <c r="AK2898">
        <v>0</v>
      </c>
    </row>
    <row r="2899" spans="1:37" x14ac:dyDescent="0.25">
      <c r="L2899">
        <v>0</v>
      </c>
    </row>
    <row r="2900" spans="1:37" x14ac:dyDescent="0.25">
      <c r="A2900" t="s">
        <v>70</v>
      </c>
      <c r="B2900">
        <v>11</v>
      </c>
      <c r="C2900">
        <v>3</v>
      </c>
      <c r="D2900">
        <v>4</v>
      </c>
      <c r="G2900">
        <v>113</v>
      </c>
      <c r="L2900">
        <v>0</v>
      </c>
      <c r="M2900" t="s">
        <v>125</v>
      </c>
      <c r="P2900" t="s">
        <v>125</v>
      </c>
      <c r="R2900" t="s">
        <v>125</v>
      </c>
      <c r="S2900" t="s">
        <v>63</v>
      </c>
      <c r="V2900" t="s">
        <v>125</v>
      </c>
      <c r="X2900" t="s">
        <v>125</v>
      </c>
      <c r="Y2900" t="s">
        <v>125</v>
      </c>
      <c r="Z2900" t="s">
        <v>125</v>
      </c>
      <c r="AA2900" t="s">
        <v>125</v>
      </c>
      <c r="AB2900" t="s">
        <v>125</v>
      </c>
      <c r="AC2900" t="s">
        <v>125</v>
      </c>
      <c r="AE2900" t="s">
        <v>125</v>
      </c>
      <c r="AF2900">
        <v>0</v>
      </c>
      <c r="AG2900" t="s">
        <v>125</v>
      </c>
      <c r="AH2900">
        <v>0</v>
      </c>
      <c r="AK2900">
        <v>0</v>
      </c>
    </row>
    <row r="2901" spans="1:37" x14ac:dyDescent="0.25">
      <c r="A2901" t="s">
        <v>79</v>
      </c>
      <c r="B2901">
        <v>11</v>
      </c>
      <c r="C2901">
        <v>3</v>
      </c>
      <c r="D2901">
        <v>4</v>
      </c>
      <c r="E2901">
        <v>1</v>
      </c>
      <c r="G2901">
        <v>1134</v>
      </c>
      <c r="H2901" t="s">
        <v>63</v>
      </c>
      <c r="I2901" t="s">
        <v>80</v>
      </c>
      <c r="J2901" t="s">
        <v>141</v>
      </c>
      <c r="L2901">
        <v>0</v>
      </c>
      <c r="M2901" t="s">
        <v>125</v>
      </c>
      <c r="O2901" t="s">
        <v>125</v>
      </c>
      <c r="P2901" t="s">
        <v>125</v>
      </c>
      <c r="Q2901" t="s">
        <v>125</v>
      </c>
      <c r="R2901" t="s">
        <v>125</v>
      </c>
      <c r="S2901" t="s">
        <v>125</v>
      </c>
      <c r="T2901">
        <v>0</v>
      </c>
      <c r="V2901" t="s">
        <v>125</v>
      </c>
      <c r="AE2901" t="s">
        <v>125</v>
      </c>
      <c r="AF2901">
        <v>0</v>
      </c>
      <c r="AG2901" t="s">
        <v>125</v>
      </c>
      <c r="AH2901">
        <v>0</v>
      </c>
      <c r="AK2901">
        <v>0</v>
      </c>
    </row>
    <row r="2902" spans="1:37" x14ac:dyDescent="0.25">
      <c r="A2902" t="s">
        <v>79</v>
      </c>
      <c r="B2902">
        <v>11</v>
      </c>
      <c r="C2902">
        <v>3</v>
      </c>
      <c r="D2902">
        <v>4</v>
      </c>
      <c r="E2902">
        <v>2</v>
      </c>
      <c r="G2902">
        <v>1134</v>
      </c>
      <c r="H2902" t="s">
        <v>63</v>
      </c>
      <c r="I2902" t="s">
        <v>88</v>
      </c>
      <c r="J2902" t="s">
        <v>142</v>
      </c>
      <c r="L2902">
        <v>0</v>
      </c>
      <c r="M2902" t="s">
        <v>125</v>
      </c>
      <c r="O2902" t="s">
        <v>125</v>
      </c>
      <c r="P2902" t="s">
        <v>125</v>
      </c>
      <c r="Q2902" t="s">
        <v>125</v>
      </c>
      <c r="R2902" t="s">
        <v>125</v>
      </c>
      <c r="S2902" t="s">
        <v>125</v>
      </c>
      <c r="T2902">
        <v>0</v>
      </c>
      <c r="V2902" t="s">
        <v>125</v>
      </c>
      <c r="AE2902" t="s">
        <v>125</v>
      </c>
      <c r="AF2902">
        <v>0</v>
      </c>
      <c r="AG2902" t="s">
        <v>125</v>
      </c>
      <c r="AH2902">
        <v>0</v>
      </c>
      <c r="AK2902">
        <v>0</v>
      </c>
    </row>
    <row r="2903" spans="1:37" x14ac:dyDescent="0.25">
      <c r="A2903" t="s">
        <v>79</v>
      </c>
      <c r="B2903">
        <v>11</v>
      </c>
      <c r="C2903">
        <v>3</v>
      </c>
      <c r="D2903">
        <v>4</v>
      </c>
      <c r="E2903">
        <v>3</v>
      </c>
      <c r="G2903">
        <v>1134</v>
      </c>
      <c r="H2903" t="s">
        <v>63</v>
      </c>
      <c r="I2903" t="s">
        <v>95</v>
      </c>
      <c r="J2903" t="s">
        <v>143</v>
      </c>
      <c r="L2903">
        <v>0</v>
      </c>
      <c r="M2903" t="s">
        <v>125</v>
      </c>
      <c r="O2903" t="s">
        <v>125</v>
      </c>
      <c r="P2903" t="s">
        <v>125</v>
      </c>
      <c r="Q2903" t="s">
        <v>125</v>
      </c>
      <c r="R2903" t="s">
        <v>125</v>
      </c>
      <c r="S2903" t="s">
        <v>125</v>
      </c>
      <c r="T2903">
        <v>0</v>
      </c>
      <c r="V2903" t="s">
        <v>125</v>
      </c>
      <c r="AE2903" t="s">
        <v>125</v>
      </c>
      <c r="AF2903">
        <v>0</v>
      </c>
      <c r="AG2903" t="s">
        <v>125</v>
      </c>
      <c r="AH2903">
        <v>0</v>
      </c>
      <c r="AK2903">
        <v>0</v>
      </c>
    </row>
    <row r="2904" spans="1:37" x14ac:dyDescent="0.25">
      <c r="A2904" t="s">
        <v>79</v>
      </c>
      <c r="B2904">
        <v>11</v>
      </c>
      <c r="C2904">
        <v>3</v>
      </c>
      <c r="D2904">
        <v>4</v>
      </c>
      <c r="E2904">
        <v>4</v>
      </c>
      <c r="G2904">
        <v>1134</v>
      </c>
      <c r="H2904" t="s">
        <v>63</v>
      </c>
      <c r="I2904" t="s">
        <v>102</v>
      </c>
      <c r="J2904" t="s">
        <v>144</v>
      </c>
      <c r="L2904">
        <v>0</v>
      </c>
      <c r="M2904" t="s">
        <v>125</v>
      </c>
      <c r="O2904" t="s">
        <v>125</v>
      </c>
      <c r="P2904" t="s">
        <v>125</v>
      </c>
      <c r="Q2904" t="s">
        <v>125</v>
      </c>
      <c r="R2904" t="s">
        <v>125</v>
      </c>
      <c r="S2904" t="s">
        <v>125</v>
      </c>
      <c r="T2904">
        <v>0</v>
      </c>
      <c r="V2904" t="s">
        <v>125</v>
      </c>
      <c r="AE2904" t="s">
        <v>125</v>
      </c>
      <c r="AF2904">
        <v>0</v>
      </c>
      <c r="AG2904" t="s">
        <v>125</v>
      </c>
      <c r="AH2904">
        <v>0</v>
      </c>
      <c r="AK2904">
        <v>0</v>
      </c>
    </row>
    <row r="2905" spans="1:37" x14ac:dyDescent="0.25">
      <c r="A2905" t="s">
        <v>79</v>
      </c>
      <c r="B2905">
        <v>11</v>
      </c>
      <c r="C2905">
        <v>3</v>
      </c>
      <c r="D2905">
        <v>4</v>
      </c>
      <c r="E2905">
        <v>5</v>
      </c>
      <c r="G2905">
        <v>1134</v>
      </c>
      <c r="H2905" t="s">
        <v>63</v>
      </c>
      <c r="I2905" t="s">
        <v>109</v>
      </c>
      <c r="J2905" t="s">
        <v>145</v>
      </c>
      <c r="L2905">
        <v>0</v>
      </c>
      <c r="M2905" t="s">
        <v>125</v>
      </c>
      <c r="O2905" t="s">
        <v>125</v>
      </c>
      <c r="P2905" t="s">
        <v>125</v>
      </c>
      <c r="Q2905" t="s">
        <v>125</v>
      </c>
      <c r="R2905" t="s">
        <v>125</v>
      </c>
      <c r="S2905" t="s">
        <v>125</v>
      </c>
      <c r="T2905">
        <v>0</v>
      </c>
      <c r="V2905" t="s">
        <v>125</v>
      </c>
      <c r="AE2905" t="s">
        <v>125</v>
      </c>
      <c r="AF2905">
        <v>0</v>
      </c>
      <c r="AG2905" t="s">
        <v>125</v>
      </c>
      <c r="AH2905">
        <v>0</v>
      </c>
      <c r="AK2905">
        <v>0</v>
      </c>
    </row>
    <row r="2906" spans="1:37" x14ac:dyDescent="0.25">
      <c r="A2906" t="s">
        <v>79</v>
      </c>
      <c r="B2906">
        <v>11</v>
      </c>
      <c r="C2906">
        <v>3</v>
      </c>
      <c r="D2906">
        <v>4</v>
      </c>
      <c r="E2906">
        <v>6</v>
      </c>
      <c r="G2906">
        <v>1134</v>
      </c>
      <c r="H2906" t="s">
        <v>63</v>
      </c>
      <c r="I2906" t="s">
        <v>116</v>
      </c>
      <c r="J2906" t="s">
        <v>146</v>
      </c>
      <c r="L2906">
        <v>0</v>
      </c>
      <c r="M2906" t="s">
        <v>125</v>
      </c>
      <c r="O2906" t="s">
        <v>125</v>
      </c>
      <c r="P2906" t="s">
        <v>125</v>
      </c>
      <c r="Q2906" t="s">
        <v>125</v>
      </c>
      <c r="R2906" t="s">
        <v>125</v>
      </c>
      <c r="S2906" t="s">
        <v>125</v>
      </c>
      <c r="T2906">
        <v>0</v>
      </c>
      <c r="V2906" t="s">
        <v>125</v>
      </c>
      <c r="AE2906" t="s">
        <v>125</v>
      </c>
      <c r="AF2906">
        <v>0</v>
      </c>
      <c r="AG2906" t="s">
        <v>125</v>
      </c>
      <c r="AH2906">
        <v>0</v>
      </c>
      <c r="AK2906">
        <v>0</v>
      </c>
    </row>
    <row r="2907" spans="1:37" x14ac:dyDescent="0.25">
      <c r="A2907" t="s">
        <v>79</v>
      </c>
      <c r="B2907">
        <v>11</v>
      </c>
      <c r="C2907">
        <v>3</v>
      </c>
      <c r="D2907">
        <v>4</v>
      </c>
      <c r="E2907">
        <v>7</v>
      </c>
      <c r="G2907">
        <v>1134</v>
      </c>
      <c r="H2907" t="s">
        <v>63</v>
      </c>
      <c r="I2907" t="s">
        <v>123</v>
      </c>
      <c r="J2907" t="s">
        <v>147</v>
      </c>
      <c r="L2907">
        <v>0</v>
      </c>
      <c r="M2907" t="s">
        <v>125</v>
      </c>
      <c r="O2907" t="s">
        <v>125</v>
      </c>
      <c r="P2907" t="s">
        <v>125</v>
      </c>
      <c r="Q2907" t="s">
        <v>125</v>
      </c>
      <c r="R2907" t="s">
        <v>125</v>
      </c>
      <c r="S2907" t="s">
        <v>125</v>
      </c>
      <c r="T2907">
        <v>0</v>
      </c>
      <c r="V2907" t="s">
        <v>125</v>
      </c>
      <c r="AE2907" t="s">
        <v>125</v>
      </c>
      <c r="AF2907">
        <v>0</v>
      </c>
      <c r="AG2907" t="s">
        <v>125</v>
      </c>
      <c r="AH2907">
        <v>0</v>
      </c>
      <c r="AK2907">
        <v>0</v>
      </c>
    </row>
    <row r="2908" spans="1:37" x14ac:dyDescent="0.25">
      <c r="A2908" t="s">
        <v>79</v>
      </c>
      <c r="B2908">
        <v>11</v>
      </c>
      <c r="C2908">
        <v>3</v>
      </c>
      <c r="D2908">
        <v>4</v>
      </c>
      <c r="E2908">
        <v>8</v>
      </c>
      <c r="G2908">
        <v>1134</v>
      </c>
      <c r="H2908" t="s">
        <v>63</v>
      </c>
      <c r="I2908" t="s">
        <v>126</v>
      </c>
      <c r="J2908" t="s">
        <v>148</v>
      </c>
      <c r="L2908">
        <v>0</v>
      </c>
      <c r="M2908" t="s">
        <v>125</v>
      </c>
      <c r="O2908" t="s">
        <v>125</v>
      </c>
      <c r="P2908" t="s">
        <v>125</v>
      </c>
      <c r="Q2908" t="s">
        <v>125</v>
      </c>
      <c r="R2908" t="s">
        <v>125</v>
      </c>
      <c r="S2908" t="s">
        <v>125</v>
      </c>
      <c r="T2908">
        <v>0</v>
      </c>
      <c r="V2908" t="s">
        <v>125</v>
      </c>
      <c r="AE2908" t="s">
        <v>125</v>
      </c>
      <c r="AF2908">
        <v>0</v>
      </c>
      <c r="AG2908" t="s">
        <v>125</v>
      </c>
      <c r="AH2908">
        <v>0</v>
      </c>
      <c r="AK2908">
        <v>0</v>
      </c>
    </row>
    <row r="2909" spans="1:37" x14ac:dyDescent="0.25">
      <c r="A2909" t="s">
        <v>79</v>
      </c>
      <c r="B2909">
        <v>11</v>
      </c>
      <c r="C2909">
        <v>3</v>
      </c>
      <c r="D2909">
        <v>4</v>
      </c>
      <c r="E2909">
        <v>9</v>
      </c>
      <c r="G2909">
        <v>1134</v>
      </c>
      <c r="H2909" t="s">
        <v>63</v>
      </c>
      <c r="I2909" t="s">
        <v>74</v>
      </c>
      <c r="J2909" t="s">
        <v>149</v>
      </c>
      <c r="L2909">
        <v>0</v>
      </c>
      <c r="M2909" t="s">
        <v>125</v>
      </c>
      <c r="O2909" t="s">
        <v>125</v>
      </c>
      <c r="P2909" t="s">
        <v>125</v>
      </c>
      <c r="Q2909" t="s">
        <v>125</v>
      </c>
      <c r="R2909" t="s">
        <v>125</v>
      </c>
      <c r="S2909" t="s">
        <v>125</v>
      </c>
      <c r="T2909">
        <v>0</v>
      </c>
      <c r="V2909" t="s">
        <v>125</v>
      </c>
      <c r="AE2909" t="s">
        <v>125</v>
      </c>
      <c r="AF2909">
        <v>0</v>
      </c>
      <c r="AG2909" t="s">
        <v>125</v>
      </c>
      <c r="AH2909">
        <v>0</v>
      </c>
      <c r="AK2909">
        <v>0</v>
      </c>
    </row>
    <row r="2910" spans="1:37" x14ac:dyDescent="0.25">
      <c r="A2910" t="s">
        <v>79</v>
      </c>
      <c r="B2910">
        <v>11</v>
      </c>
      <c r="C2910">
        <v>3</v>
      </c>
      <c r="D2910">
        <v>4</v>
      </c>
      <c r="E2910">
        <v>10</v>
      </c>
      <c r="G2910">
        <v>1134</v>
      </c>
      <c r="H2910" t="s">
        <v>63</v>
      </c>
      <c r="I2910" t="s">
        <v>129</v>
      </c>
      <c r="J2910" t="s">
        <v>150</v>
      </c>
      <c r="L2910">
        <v>0</v>
      </c>
      <c r="M2910" t="s">
        <v>125</v>
      </c>
      <c r="O2910" t="s">
        <v>125</v>
      </c>
      <c r="P2910" t="s">
        <v>125</v>
      </c>
      <c r="Q2910" t="s">
        <v>125</v>
      </c>
      <c r="R2910" t="s">
        <v>125</v>
      </c>
      <c r="S2910" t="s">
        <v>125</v>
      </c>
      <c r="T2910">
        <v>0</v>
      </c>
      <c r="V2910" t="s">
        <v>125</v>
      </c>
      <c r="AE2910" t="s">
        <v>125</v>
      </c>
      <c r="AF2910">
        <v>0</v>
      </c>
      <c r="AG2910" t="s">
        <v>125</v>
      </c>
      <c r="AH2910">
        <v>0</v>
      </c>
      <c r="AK2910">
        <v>0</v>
      </c>
    </row>
    <row r="2911" spans="1:37" x14ac:dyDescent="0.25">
      <c r="A2911" t="s">
        <v>79</v>
      </c>
      <c r="B2911">
        <v>11</v>
      </c>
      <c r="C2911">
        <v>3</v>
      </c>
      <c r="D2911">
        <v>4</v>
      </c>
      <c r="E2911">
        <v>11</v>
      </c>
      <c r="G2911">
        <v>1134</v>
      </c>
      <c r="H2911" t="s">
        <v>63</v>
      </c>
      <c r="I2911" t="s">
        <v>131</v>
      </c>
      <c r="J2911" t="s">
        <v>151</v>
      </c>
      <c r="L2911">
        <v>0</v>
      </c>
      <c r="M2911" t="s">
        <v>125</v>
      </c>
      <c r="O2911" t="s">
        <v>125</v>
      </c>
      <c r="P2911" t="s">
        <v>125</v>
      </c>
      <c r="Q2911" t="s">
        <v>125</v>
      </c>
      <c r="R2911" t="s">
        <v>125</v>
      </c>
      <c r="S2911" t="s">
        <v>125</v>
      </c>
      <c r="T2911">
        <v>0</v>
      </c>
      <c r="V2911" t="s">
        <v>125</v>
      </c>
      <c r="AE2911" t="s">
        <v>125</v>
      </c>
      <c r="AF2911">
        <v>0</v>
      </c>
      <c r="AG2911" t="s">
        <v>125</v>
      </c>
      <c r="AH2911">
        <v>0</v>
      </c>
      <c r="AK2911">
        <v>0</v>
      </c>
    </row>
    <row r="2912" spans="1:37" x14ac:dyDescent="0.25">
      <c r="A2912" t="s">
        <v>79</v>
      </c>
      <c r="B2912">
        <v>11</v>
      </c>
      <c r="C2912">
        <v>3</v>
      </c>
      <c r="D2912">
        <v>4</v>
      </c>
      <c r="E2912">
        <v>12</v>
      </c>
      <c r="G2912">
        <v>1134</v>
      </c>
      <c r="H2912" t="s">
        <v>63</v>
      </c>
      <c r="I2912" t="s">
        <v>133</v>
      </c>
      <c r="J2912" t="s">
        <v>152</v>
      </c>
      <c r="L2912">
        <v>0</v>
      </c>
      <c r="M2912" t="s">
        <v>125</v>
      </c>
      <c r="O2912" t="s">
        <v>125</v>
      </c>
      <c r="P2912" t="s">
        <v>125</v>
      </c>
      <c r="Q2912" t="s">
        <v>125</v>
      </c>
      <c r="R2912" t="s">
        <v>125</v>
      </c>
      <c r="S2912" t="s">
        <v>125</v>
      </c>
      <c r="T2912">
        <v>0</v>
      </c>
      <c r="V2912" t="s">
        <v>125</v>
      </c>
      <c r="AE2912" t="s">
        <v>125</v>
      </c>
      <c r="AF2912">
        <v>0</v>
      </c>
      <c r="AG2912" t="s">
        <v>125</v>
      </c>
      <c r="AH2912">
        <v>0</v>
      </c>
      <c r="AK2912">
        <v>0</v>
      </c>
    </row>
    <row r="2913" spans="1:37" x14ac:dyDescent="0.25">
      <c r="A2913" t="s">
        <v>79</v>
      </c>
      <c r="B2913">
        <v>11</v>
      </c>
      <c r="C2913">
        <v>3</v>
      </c>
      <c r="D2913">
        <v>4</v>
      </c>
      <c r="E2913">
        <v>13</v>
      </c>
      <c r="G2913">
        <v>1134</v>
      </c>
      <c r="H2913" t="s">
        <v>63</v>
      </c>
      <c r="I2913" t="s">
        <v>135</v>
      </c>
      <c r="J2913" t="s">
        <v>153</v>
      </c>
      <c r="L2913">
        <v>0</v>
      </c>
      <c r="M2913" t="s">
        <v>125</v>
      </c>
      <c r="O2913" t="s">
        <v>125</v>
      </c>
      <c r="P2913" t="s">
        <v>125</v>
      </c>
      <c r="Q2913" t="s">
        <v>125</v>
      </c>
      <c r="R2913" t="s">
        <v>125</v>
      </c>
      <c r="S2913" t="s">
        <v>125</v>
      </c>
      <c r="T2913">
        <v>0</v>
      </c>
      <c r="V2913" t="s">
        <v>125</v>
      </c>
      <c r="AE2913" t="s">
        <v>125</v>
      </c>
      <c r="AF2913">
        <v>0</v>
      </c>
      <c r="AG2913" t="s">
        <v>125</v>
      </c>
      <c r="AH2913">
        <v>0</v>
      </c>
      <c r="AK2913">
        <v>0</v>
      </c>
    </row>
    <row r="2914" spans="1:37" x14ac:dyDescent="0.25">
      <c r="A2914" t="s">
        <v>79</v>
      </c>
      <c r="B2914">
        <v>11</v>
      </c>
      <c r="C2914">
        <v>3</v>
      </c>
      <c r="D2914">
        <v>4</v>
      </c>
      <c r="E2914">
        <v>14</v>
      </c>
      <c r="G2914">
        <v>1134</v>
      </c>
      <c r="H2914" t="s">
        <v>63</v>
      </c>
      <c r="I2914" t="s">
        <v>137</v>
      </c>
      <c r="J2914" t="s">
        <v>154</v>
      </c>
      <c r="L2914">
        <v>0</v>
      </c>
      <c r="M2914" t="s">
        <v>125</v>
      </c>
      <c r="O2914" t="s">
        <v>125</v>
      </c>
      <c r="P2914" t="s">
        <v>125</v>
      </c>
      <c r="Q2914" t="s">
        <v>125</v>
      </c>
      <c r="R2914" t="s">
        <v>125</v>
      </c>
      <c r="S2914" t="s">
        <v>125</v>
      </c>
      <c r="T2914">
        <v>0</v>
      </c>
      <c r="V2914" t="s">
        <v>125</v>
      </c>
      <c r="AE2914" t="s">
        <v>125</v>
      </c>
      <c r="AF2914">
        <v>0</v>
      </c>
      <c r="AG2914" t="s">
        <v>125</v>
      </c>
      <c r="AH2914">
        <v>0</v>
      </c>
      <c r="AK2914">
        <v>0</v>
      </c>
    </row>
    <row r="2915" spans="1:37" x14ac:dyDescent="0.25">
      <c r="A2915" t="s">
        <v>79</v>
      </c>
      <c r="B2915">
        <v>11</v>
      </c>
      <c r="C2915">
        <v>3</v>
      </c>
      <c r="D2915">
        <v>4</v>
      </c>
      <c r="E2915">
        <v>15</v>
      </c>
      <c r="G2915">
        <v>1134</v>
      </c>
      <c r="H2915" t="s">
        <v>63</v>
      </c>
      <c r="I2915" t="s">
        <v>139</v>
      </c>
      <c r="J2915" t="s">
        <v>155</v>
      </c>
      <c r="L2915">
        <v>0</v>
      </c>
      <c r="M2915" t="s">
        <v>125</v>
      </c>
      <c r="O2915" t="s">
        <v>125</v>
      </c>
      <c r="P2915" t="s">
        <v>125</v>
      </c>
      <c r="Q2915" t="s">
        <v>125</v>
      </c>
      <c r="R2915" t="s">
        <v>125</v>
      </c>
      <c r="S2915" t="s">
        <v>125</v>
      </c>
      <c r="T2915">
        <v>0</v>
      </c>
      <c r="V2915" t="s">
        <v>125</v>
      </c>
      <c r="AE2915" t="s">
        <v>125</v>
      </c>
      <c r="AF2915">
        <v>0</v>
      </c>
      <c r="AG2915" t="s">
        <v>125</v>
      </c>
      <c r="AH2915">
        <v>0</v>
      </c>
      <c r="AK2915">
        <v>0</v>
      </c>
    </row>
    <row r="2916" spans="1:37" x14ac:dyDescent="0.25">
      <c r="L2916">
        <v>0</v>
      </c>
    </row>
    <row r="2917" spans="1:37" x14ac:dyDescent="0.25">
      <c r="A2917" t="s">
        <v>70</v>
      </c>
      <c r="B2917">
        <v>11</v>
      </c>
      <c r="C2917">
        <v>3</v>
      </c>
      <c r="D2917">
        <v>5</v>
      </c>
      <c r="G2917">
        <v>113</v>
      </c>
      <c r="L2917">
        <v>0</v>
      </c>
      <c r="M2917" t="s">
        <v>125</v>
      </c>
      <c r="P2917" t="s">
        <v>125</v>
      </c>
      <c r="R2917" t="s">
        <v>125</v>
      </c>
      <c r="S2917" t="s">
        <v>63</v>
      </c>
      <c r="V2917" t="s">
        <v>125</v>
      </c>
      <c r="X2917" t="s">
        <v>125</v>
      </c>
      <c r="Y2917" t="s">
        <v>125</v>
      </c>
      <c r="Z2917" t="s">
        <v>125</v>
      </c>
      <c r="AA2917" t="s">
        <v>125</v>
      </c>
      <c r="AB2917" t="s">
        <v>125</v>
      </c>
      <c r="AC2917" t="s">
        <v>125</v>
      </c>
      <c r="AE2917" t="s">
        <v>125</v>
      </c>
      <c r="AF2917">
        <v>0</v>
      </c>
      <c r="AG2917" t="s">
        <v>125</v>
      </c>
      <c r="AH2917">
        <v>0</v>
      </c>
      <c r="AK2917">
        <v>0</v>
      </c>
    </row>
    <row r="2918" spans="1:37" x14ac:dyDescent="0.25">
      <c r="A2918" t="s">
        <v>79</v>
      </c>
      <c r="B2918">
        <v>11</v>
      </c>
      <c r="C2918">
        <v>3</v>
      </c>
      <c r="D2918">
        <v>5</v>
      </c>
      <c r="E2918">
        <v>1</v>
      </c>
      <c r="G2918">
        <v>1135</v>
      </c>
      <c r="H2918" t="s">
        <v>63</v>
      </c>
      <c r="I2918" t="s">
        <v>80</v>
      </c>
      <c r="J2918" t="s">
        <v>141</v>
      </c>
      <c r="L2918">
        <v>0</v>
      </c>
      <c r="M2918" t="s">
        <v>125</v>
      </c>
      <c r="O2918" t="s">
        <v>125</v>
      </c>
      <c r="P2918" t="s">
        <v>125</v>
      </c>
      <c r="Q2918" t="s">
        <v>125</v>
      </c>
      <c r="R2918" t="s">
        <v>125</v>
      </c>
      <c r="S2918" t="s">
        <v>125</v>
      </c>
      <c r="T2918">
        <v>0</v>
      </c>
      <c r="V2918" t="s">
        <v>125</v>
      </c>
      <c r="AE2918" t="s">
        <v>125</v>
      </c>
      <c r="AF2918">
        <v>0</v>
      </c>
      <c r="AG2918" t="s">
        <v>125</v>
      </c>
      <c r="AH2918">
        <v>0</v>
      </c>
      <c r="AK2918">
        <v>0</v>
      </c>
    </row>
    <row r="2919" spans="1:37" x14ac:dyDescent="0.25">
      <c r="A2919" t="s">
        <v>79</v>
      </c>
      <c r="B2919">
        <v>11</v>
      </c>
      <c r="C2919">
        <v>3</v>
      </c>
      <c r="D2919">
        <v>5</v>
      </c>
      <c r="E2919">
        <v>2</v>
      </c>
      <c r="G2919">
        <v>1135</v>
      </c>
      <c r="H2919" t="s">
        <v>63</v>
      </c>
      <c r="I2919" t="s">
        <v>88</v>
      </c>
      <c r="J2919" t="s">
        <v>142</v>
      </c>
      <c r="L2919">
        <v>0</v>
      </c>
      <c r="M2919" t="s">
        <v>125</v>
      </c>
      <c r="O2919" t="s">
        <v>125</v>
      </c>
      <c r="P2919" t="s">
        <v>125</v>
      </c>
      <c r="Q2919" t="s">
        <v>125</v>
      </c>
      <c r="R2919" t="s">
        <v>125</v>
      </c>
      <c r="S2919" t="s">
        <v>125</v>
      </c>
      <c r="T2919">
        <v>0</v>
      </c>
      <c r="V2919" t="s">
        <v>125</v>
      </c>
      <c r="AE2919" t="s">
        <v>125</v>
      </c>
      <c r="AF2919">
        <v>0</v>
      </c>
      <c r="AG2919" t="s">
        <v>125</v>
      </c>
      <c r="AH2919">
        <v>0</v>
      </c>
      <c r="AK2919">
        <v>0</v>
      </c>
    </row>
    <row r="2920" spans="1:37" x14ac:dyDescent="0.25">
      <c r="A2920" t="s">
        <v>79</v>
      </c>
      <c r="B2920">
        <v>11</v>
      </c>
      <c r="C2920">
        <v>3</v>
      </c>
      <c r="D2920">
        <v>5</v>
      </c>
      <c r="E2920">
        <v>3</v>
      </c>
      <c r="G2920">
        <v>1135</v>
      </c>
      <c r="H2920" t="s">
        <v>63</v>
      </c>
      <c r="I2920" t="s">
        <v>95</v>
      </c>
      <c r="J2920" t="s">
        <v>143</v>
      </c>
      <c r="L2920">
        <v>0</v>
      </c>
      <c r="M2920" t="s">
        <v>125</v>
      </c>
      <c r="O2920" t="s">
        <v>125</v>
      </c>
      <c r="P2920" t="s">
        <v>125</v>
      </c>
      <c r="Q2920" t="s">
        <v>125</v>
      </c>
      <c r="R2920" t="s">
        <v>125</v>
      </c>
      <c r="S2920" t="s">
        <v>125</v>
      </c>
      <c r="T2920">
        <v>0</v>
      </c>
      <c r="V2920" t="s">
        <v>125</v>
      </c>
      <c r="AE2920" t="s">
        <v>125</v>
      </c>
      <c r="AF2920">
        <v>0</v>
      </c>
      <c r="AG2920" t="s">
        <v>125</v>
      </c>
      <c r="AH2920">
        <v>0</v>
      </c>
      <c r="AK2920">
        <v>0</v>
      </c>
    </row>
    <row r="2921" spans="1:37" x14ac:dyDescent="0.25">
      <c r="A2921" t="s">
        <v>79</v>
      </c>
      <c r="B2921">
        <v>11</v>
      </c>
      <c r="C2921">
        <v>3</v>
      </c>
      <c r="D2921">
        <v>5</v>
      </c>
      <c r="E2921">
        <v>4</v>
      </c>
      <c r="G2921">
        <v>1135</v>
      </c>
      <c r="H2921" t="s">
        <v>63</v>
      </c>
      <c r="I2921" t="s">
        <v>102</v>
      </c>
      <c r="J2921" t="s">
        <v>144</v>
      </c>
      <c r="L2921">
        <v>0</v>
      </c>
      <c r="M2921" t="s">
        <v>125</v>
      </c>
      <c r="O2921" t="s">
        <v>125</v>
      </c>
      <c r="P2921" t="s">
        <v>125</v>
      </c>
      <c r="Q2921" t="s">
        <v>125</v>
      </c>
      <c r="R2921" t="s">
        <v>125</v>
      </c>
      <c r="S2921" t="s">
        <v>125</v>
      </c>
      <c r="T2921">
        <v>0</v>
      </c>
      <c r="V2921" t="s">
        <v>125</v>
      </c>
      <c r="AE2921" t="s">
        <v>125</v>
      </c>
      <c r="AF2921">
        <v>0</v>
      </c>
      <c r="AG2921" t="s">
        <v>125</v>
      </c>
      <c r="AH2921">
        <v>0</v>
      </c>
      <c r="AK2921">
        <v>0</v>
      </c>
    </row>
    <row r="2922" spans="1:37" x14ac:dyDescent="0.25">
      <c r="A2922" t="s">
        <v>79</v>
      </c>
      <c r="B2922">
        <v>11</v>
      </c>
      <c r="C2922">
        <v>3</v>
      </c>
      <c r="D2922">
        <v>5</v>
      </c>
      <c r="E2922">
        <v>5</v>
      </c>
      <c r="G2922">
        <v>1135</v>
      </c>
      <c r="H2922" t="s">
        <v>63</v>
      </c>
      <c r="I2922" t="s">
        <v>109</v>
      </c>
      <c r="J2922" t="s">
        <v>145</v>
      </c>
      <c r="L2922">
        <v>0</v>
      </c>
      <c r="M2922" t="s">
        <v>125</v>
      </c>
      <c r="O2922" t="s">
        <v>125</v>
      </c>
      <c r="P2922" t="s">
        <v>125</v>
      </c>
      <c r="Q2922" t="s">
        <v>125</v>
      </c>
      <c r="R2922" t="s">
        <v>125</v>
      </c>
      <c r="S2922" t="s">
        <v>125</v>
      </c>
      <c r="T2922">
        <v>0</v>
      </c>
      <c r="V2922" t="s">
        <v>125</v>
      </c>
      <c r="AE2922" t="s">
        <v>125</v>
      </c>
      <c r="AF2922">
        <v>0</v>
      </c>
      <c r="AG2922" t="s">
        <v>125</v>
      </c>
      <c r="AH2922">
        <v>0</v>
      </c>
      <c r="AK2922">
        <v>0</v>
      </c>
    </row>
    <row r="2923" spans="1:37" x14ac:dyDescent="0.25">
      <c r="A2923" t="s">
        <v>79</v>
      </c>
      <c r="B2923">
        <v>11</v>
      </c>
      <c r="C2923">
        <v>3</v>
      </c>
      <c r="D2923">
        <v>5</v>
      </c>
      <c r="E2923">
        <v>6</v>
      </c>
      <c r="G2923">
        <v>1135</v>
      </c>
      <c r="H2923" t="s">
        <v>63</v>
      </c>
      <c r="I2923" t="s">
        <v>116</v>
      </c>
      <c r="J2923" t="s">
        <v>146</v>
      </c>
      <c r="L2923">
        <v>0</v>
      </c>
      <c r="M2923" t="s">
        <v>125</v>
      </c>
      <c r="O2923" t="s">
        <v>125</v>
      </c>
      <c r="P2923" t="s">
        <v>125</v>
      </c>
      <c r="Q2923" t="s">
        <v>125</v>
      </c>
      <c r="R2923" t="s">
        <v>125</v>
      </c>
      <c r="S2923" t="s">
        <v>125</v>
      </c>
      <c r="T2923">
        <v>0</v>
      </c>
      <c r="V2923" t="s">
        <v>125</v>
      </c>
      <c r="AE2923" t="s">
        <v>125</v>
      </c>
      <c r="AF2923">
        <v>0</v>
      </c>
      <c r="AG2923" t="s">
        <v>125</v>
      </c>
      <c r="AH2923">
        <v>0</v>
      </c>
      <c r="AK2923">
        <v>0</v>
      </c>
    </row>
    <row r="2924" spans="1:37" x14ac:dyDescent="0.25">
      <c r="A2924" t="s">
        <v>79</v>
      </c>
      <c r="B2924">
        <v>11</v>
      </c>
      <c r="C2924">
        <v>3</v>
      </c>
      <c r="D2924">
        <v>5</v>
      </c>
      <c r="E2924">
        <v>7</v>
      </c>
      <c r="G2924">
        <v>1135</v>
      </c>
      <c r="H2924" t="s">
        <v>63</v>
      </c>
      <c r="I2924" t="s">
        <v>123</v>
      </c>
      <c r="J2924" t="s">
        <v>147</v>
      </c>
      <c r="L2924">
        <v>0</v>
      </c>
      <c r="M2924" t="s">
        <v>125</v>
      </c>
      <c r="O2924" t="s">
        <v>125</v>
      </c>
      <c r="P2924" t="s">
        <v>125</v>
      </c>
      <c r="Q2924" t="s">
        <v>125</v>
      </c>
      <c r="R2924" t="s">
        <v>125</v>
      </c>
      <c r="S2924" t="s">
        <v>125</v>
      </c>
      <c r="T2924">
        <v>0</v>
      </c>
      <c r="V2924" t="s">
        <v>125</v>
      </c>
      <c r="AE2924" t="s">
        <v>125</v>
      </c>
      <c r="AF2924">
        <v>0</v>
      </c>
      <c r="AG2924" t="s">
        <v>125</v>
      </c>
      <c r="AH2924">
        <v>0</v>
      </c>
      <c r="AK2924">
        <v>0</v>
      </c>
    </row>
    <row r="2925" spans="1:37" x14ac:dyDescent="0.25">
      <c r="A2925" t="s">
        <v>79</v>
      </c>
      <c r="B2925">
        <v>11</v>
      </c>
      <c r="C2925">
        <v>3</v>
      </c>
      <c r="D2925">
        <v>5</v>
      </c>
      <c r="E2925">
        <v>8</v>
      </c>
      <c r="G2925">
        <v>1135</v>
      </c>
      <c r="H2925" t="s">
        <v>63</v>
      </c>
      <c r="I2925" t="s">
        <v>126</v>
      </c>
      <c r="J2925" t="s">
        <v>148</v>
      </c>
      <c r="L2925">
        <v>0</v>
      </c>
      <c r="M2925" t="s">
        <v>125</v>
      </c>
      <c r="O2925" t="s">
        <v>125</v>
      </c>
      <c r="P2925" t="s">
        <v>125</v>
      </c>
      <c r="Q2925" t="s">
        <v>125</v>
      </c>
      <c r="R2925" t="s">
        <v>125</v>
      </c>
      <c r="S2925" t="s">
        <v>125</v>
      </c>
      <c r="T2925">
        <v>0</v>
      </c>
      <c r="V2925" t="s">
        <v>125</v>
      </c>
      <c r="AE2925" t="s">
        <v>125</v>
      </c>
      <c r="AF2925">
        <v>0</v>
      </c>
      <c r="AG2925" t="s">
        <v>125</v>
      </c>
      <c r="AH2925">
        <v>0</v>
      </c>
      <c r="AK2925">
        <v>0</v>
      </c>
    </row>
    <row r="2926" spans="1:37" x14ac:dyDescent="0.25">
      <c r="A2926" t="s">
        <v>79</v>
      </c>
      <c r="B2926">
        <v>11</v>
      </c>
      <c r="C2926">
        <v>3</v>
      </c>
      <c r="D2926">
        <v>5</v>
      </c>
      <c r="E2926">
        <v>9</v>
      </c>
      <c r="G2926">
        <v>1135</v>
      </c>
      <c r="H2926" t="s">
        <v>63</v>
      </c>
      <c r="I2926" t="s">
        <v>74</v>
      </c>
      <c r="J2926" t="s">
        <v>149</v>
      </c>
      <c r="L2926">
        <v>0</v>
      </c>
      <c r="M2926" t="s">
        <v>125</v>
      </c>
      <c r="O2926" t="s">
        <v>125</v>
      </c>
      <c r="P2926" t="s">
        <v>125</v>
      </c>
      <c r="Q2926" t="s">
        <v>125</v>
      </c>
      <c r="R2926" t="s">
        <v>125</v>
      </c>
      <c r="S2926" t="s">
        <v>125</v>
      </c>
      <c r="T2926">
        <v>0</v>
      </c>
      <c r="V2926" t="s">
        <v>125</v>
      </c>
      <c r="AE2926" t="s">
        <v>125</v>
      </c>
      <c r="AF2926">
        <v>0</v>
      </c>
      <c r="AG2926" t="s">
        <v>125</v>
      </c>
      <c r="AH2926">
        <v>0</v>
      </c>
      <c r="AK2926">
        <v>0</v>
      </c>
    </row>
    <row r="2927" spans="1:37" x14ac:dyDescent="0.25">
      <c r="A2927" t="s">
        <v>79</v>
      </c>
      <c r="B2927">
        <v>11</v>
      </c>
      <c r="C2927">
        <v>3</v>
      </c>
      <c r="D2927">
        <v>5</v>
      </c>
      <c r="E2927">
        <v>10</v>
      </c>
      <c r="G2927">
        <v>1135</v>
      </c>
      <c r="H2927" t="s">
        <v>63</v>
      </c>
      <c r="I2927" t="s">
        <v>129</v>
      </c>
      <c r="J2927" t="s">
        <v>150</v>
      </c>
      <c r="L2927">
        <v>0</v>
      </c>
      <c r="M2927" t="s">
        <v>125</v>
      </c>
      <c r="O2927" t="s">
        <v>125</v>
      </c>
      <c r="P2927" t="s">
        <v>125</v>
      </c>
      <c r="Q2927" t="s">
        <v>125</v>
      </c>
      <c r="R2927" t="s">
        <v>125</v>
      </c>
      <c r="S2927" t="s">
        <v>125</v>
      </c>
      <c r="T2927">
        <v>0</v>
      </c>
      <c r="V2927" t="s">
        <v>125</v>
      </c>
      <c r="AE2927" t="s">
        <v>125</v>
      </c>
      <c r="AF2927">
        <v>0</v>
      </c>
      <c r="AG2927" t="s">
        <v>125</v>
      </c>
      <c r="AH2927">
        <v>0</v>
      </c>
      <c r="AK2927">
        <v>0</v>
      </c>
    </row>
    <row r="2928" spans="1:37" x14ac:dyDescent="0.25">
      <c r="A2928" t="s">
        <v>79</v>
      </c>
      <c r="B2928">
        <v>11</v>
      </c>
      <c r="C2928">
        <v>3</v>
      </c>
      <c r="D2928">
        <v>5</v>
      </c>
      <c r="E2928">
        <v>11</v>
      </c>
      <c r="G2928">
        <v>1135</v>
      </c>
      <c r="H2928" t="s">
        <v>63</v>
      </c>
      <c r="I2928" t="s">
        <v>131</v>
      </c>
      <c r="J2928" t="s">
        <v>151</v>
      </c>
      <c r="L2928">
        <v>0</v>
      </c>
      <c r="M2928" t="s">
        <v>125</v>
      </c>
      <c r="O2928" t="s">
        <v>125</v>
      </c>
      <c r="P2928" t="s">
        <v>125</v>
      </c>
      <c r="Q2928" t="s">
        <v>125</v>
      </c>
      <c r="R2928" t="s">
        <v>125</v>
      </c>
      <c r="S2928" t="s">
        <v>125</v>
      </c>
      <c r="T2928">
        <v>0</v>
      </c>
      <c r="V2928" t="s">
        <v>125</v>
      </c>
      <c r="AE2928" t="s">
        <v>125</v>
      </c>
      <c r="AF2928">
        <v>0</v>
      </c>
      <c r="AG2928" t="s">
        <v>125</v>
      </c>
      <c r="AH2928">
        <v>0</v>
      </c>
      <c r="AK2928">
        <v>0</v>
      </c>
    </row>
    <row r="2929" spans="1:37" x14ac:dyDescent="0.25">
      <c r="A2929" t="s">
        <v>79</v>
      </c>
      <c r="B2929">
        <v>11</v>
      </c>
      <c r="C2929">
        <v>3</v>
      </c>
      <c r="D2929">
        <v>5</v>
      </c>
      <c r="E2929">
        <v>12</v>
      </c>
      <c r="G2929">
        <v>1135</v>
      </c>
      <c r="H2929" t="s">
        <v>63</v>
      </c>
      <c r="I2929" t="s">
        <v>133</v>
      </c>
      <c r="J2929" t="s">
        <v>152</v>
      </c>
      <c r="L2929">
        <v>0</v>
      </c>
      <c r="M2929" t="s">
        <v>125</v>
      </c>
      <c r="O2929" t="s">
        <v>125</v>
      </c>
      <c r="P2929" t="s">
        <v>125</v>
      </c>
      <c r="Q2929" t="s">
        <v>125</v>
      </c>
      <c r="R2929" t="s">
        <v>125</v>
      </c>
      <c r="S2929" t="s">
        <v>125</v>
      </c>
      <c r="T2929">
        <v>0</v>
      </c>
      <c r="V2929" t="s">
        <v>125</v>
      </c>
      <c r="AE2929" t="s">
        <v>125</v>
      </c>
      <c r="AF2929">
        <v>0</v>
      </c>
      <c r="AG2929" t="s">
        <v>125</v>
      </c>
      <c r="AH2929">
        <v>0</v>
      </c>
      <c r="AK2929">
        <v>0</v>
      </c>
    </row>
    <row r="2930" spans="1:37" x14ac:dyDescent="0.25">
      <c r="A2930" t="s">
        <v>79</v>
      </c>
      <c r="B2930">
        <v>11</v>
      </c>
      <c r="C2930">
        <v>3</v>
      </c>
      <c r="D2930">
        <v>5</v>
      </c>
      <c r="E2930">
        <v>13</v>
      </c>
      <c r="G2930">
        <v>1135</v>
      </c>
      <c r="H2930" t="s">
        <v>63</v>
      </c>
      <c r="I2930" t="s">
        <v>135</v>
      </c>
      <c r="J2930" t="s">
        <v>153</v>
      </c>
      <c r="L2930">
        <v>0</v>
      </c>
      <c r="M2930" t="s">
        <v>125</v>
      </c>
      <c r="O2930" t="s">
        <v>125</v>
      </c>
      <c r="P2930" t="s">
        <v>125</v>
      </c>
      <c r="Q2930" t="s">
        <v>125</v>
      </c>
      <c r="R2930" t="s">
        <v>125</v>
      </c>
      <c r="S2930" t="s">
        <v>125</v>
      </c>
      <c r="T2930">
        <v>0</v>
      </c>
      <c r="V2930" t="s">
        <v>125</v>
      </c>
      <c r="AE2930" t="s">
        <v>125</v>
      </c>
      <c r="AF2930">
        <v>0</v>
      </c>
      <c r="AG2930" t="s">
        <v>125</v>
      </c>
      <c r="AH2930">
        <v>0</v>
      </c>
      <c r="AK2930">
        <v>0</v>
      </c>
    </row>
    <row r="2931" spans="1:37" x14ac:dyDescent="0.25">
      <c r="A2931" t="s">
        <v>79</v>
      </c>
      <c r="B2931">
        <v>11</v>
      </c>
      <c r="C2931">
        <v>3</v>
      </c>
      <c r="D2931">
        <v>5</v>
      </c>
      <c r="E2931">
        <v>14</v>
      </c>
      <c r="G2931">
        <v>1135</v>
      </c>
      <c r="H2931" t="s">
        <v>63</v>
      </c>
      <c r="I2931" t="s">
        <v>137</v>
      </c>
      <c r="J2931" t="s">
        <v>154</v>
      </c>
      <c r="L2931">
        <v>0</v>
      </c>
      <c r="M2931" t="s">
        <v>125</v>
      </c>
      <c r="O2931" t="s">
        <v>125</v>
      </c>
      <c r="P2931" t="s">
        <v>125</v>
      </c>
      <c r="Q2931" t="s">
        <v>125</v>
      </c>
      <c r="R2931" t="s">
        <v>125</v>
      </c>
      <c r="S2931" t="s">
        <v>125</v>
      </c>
      <c r="T2931">
        <v>0</v>
      </c>
      <c r="V2931" t="s">
        <v>125</v>
      </c>
      <c r="AE2931" t="s">
        <v>125</v>
      </c>
      <c r="AF2931">
        <v>0</v>
      </c>
      <c r="AG2931" t="s">
        <v>125</v>
      </c>
      <c r="AH2931">
        <v>0</v>
      </c>
      <c r="AK2931">
        <v>0</v>
      </c>
    </row>
    <row r="2932" spans="1:37" x14ac:dyDescent="0.25">
      <c r="A2932" t="s">
        <v>79</v>
      </c>
      <c r="B2932">
        <v>11</v>
      </c>
      <c r="C2932">
        <v>3</v>
      </c>
      <c r="D2932">
        <v>5</v>
      </c>
      <c r="E2932">
        <v>15</v>
      </c>
      <c r="G2932">
        <v>1135</v>
      </c>
      <c r="H2932" t="s">
        <v>63</v>
      </c>
      <c r="I2932" t="s">
        <v>139</v>
      </c>
      <c r="J2932" t="s">
        <v>155</v>
      </c>
      <c r="L2932">
        <v>0</v>
      </c>
      <c r="M2932" t="s">
        <v>125</v>
      </c>
      <c r="O2932" t="s">
        <v>125</v>
      </c>
      <c r="P2932" t="s">
        <v>125</v>
      </c>
      <c r="Q2932" t="s">
        <v>125</v>
      </c>
      <c r="R2932" t="s">
        <v>125</v>
      </c>
      <c r="S2932" t="s">
        <v>125</v>
      </c>
      <c r="T2932">
        <v>0</v>
      </c>
      <c r="V2932" t="s">
        <v>125</v>
      </c>
      <c r="AE2932" t="s">
        <v>125</v>
      </c>
      <c r="AF2932">
        <v>0</v>
      </c>
      <c r="AG2932" t="s">
        <v>125</v>
      </c>
      <c r="AH2932">
        <v>0</v>
      </c>
      <c r="AK2932">
        <v>0</v>
      </c>
    </row>
    <row r="2933" spans="1:37" x14ac:dyDescent="0.25">
      <c r="L2933">
        <v>0</v>
      </c>
    </row>
    <row r="2934" spans="1:37" x14ac:dyDescent="0.25">
      <c r="L2934">
        <v>0</v>
      </c>
    </row>
    <row r="2935" spans="1:37" x14ac:dyDescent="0.25">
      <c r="A2935" t="s">
        <v>56</v>
      </c>
      <c r="F2935">
        <v>12</v>
      </c>
      <c r="L2935">
        <v>12</v>
      </c>
      <c r="M2935" t="s">
        <v>131</v>
      </c>
      <c r="N2935" t="s">
        <v>3866</v>
      </c>
      <c r="P2935" t="s">
        <v>3867</v>
      </c>
      <c r="V2935" t="s">
        <v>3868</v>
      </c>
      <c r="Y2935" t="s">
        <v>3869</v>
      </c>
      <c r="AA2935" t="s">
        <v>3870</v>
      </c>
      <c r="AC2935" t="s">
        <v>3871</v>
      </c>
      <c r="AE2935" t="s">
        <v>3872</v>
      </c>
      <c r="AF2935">
        <v>0</v>
      </c>
      <c r="AG2935" t="s">
        <v>3873</v>
      </c>
      <c r="AH2935">
        <v>0</v>
      </c>
      <c r="AK2935">
        <v>0</v>
      </c>
    </row>
    <row r="2936" spans="1:37" x14ac:dyDescent="0.25">
      <c r="L2936">
        <v>0</v>
      </c>
    </row>
    <row r="2937" spans="1:37" x14ac:dyDescent="0.25">
      <c r="A2937" t="s">
        <v>66</v>
      </c>
      <c r="B2937">
        <v>12</v>
      </c>
      <c r="C2937">
        <v>1</v>
      </c>
      <c r="G2937">
        <v>12</v>
      </c>
      <c r="H2937" t="s">
        <v>3866</v>
      </c>
      <c r="I2937" t="s">
        <v>3874</v>
      </c>
      <c r="M2937" t="s">
        <v>3875</v>
      </c>
      <c r="N2937" t="s">
        <v>3874</v>
      </c>
      <c r="P2937" t="s">
        <v>3876</v>
      </c>
      <c r="V2937" t="s">
        <v>3877</v>
      </c>
      <c r="Y2937" t="s">
        <v>3878</v>
      </c>
      <c r="AA2937" t="s">
        <v>3879</v>
      </c>
      <c r="AC2937" t="s">
        <v>63</v>
      </c>
      <c r="AE2937" t="s">
        <v>3880</v>
      </c>
      <c r="AF2937">
        <v>0</v>
      </c>
      <c r="AG2937" t="s">
        <v>3881</v>
      </c>
      <c r="AH2937">
        <v>0</v>
      </c>
      <c r="AK2937">
        <v>0</v>
      </c>
    </row>
    <row r="2938" spans="1:37" x14ac:dyDescent="0.25">
      <c r="L2938">
        <v>0</v>
      </c>
    </row>
    <row r="2939" spans="1:37" x14ac:dyDescent="0.25">
      <c r="A2939" t="s">
        <v>70</v>
      </c>
      <c r="B2939">
        <v>12</v>
      </c>
      <c r="C2939">
        <v>1</v>
      </c>
      <c r="D2939">
        <v>1</v>
      </c>
      <c r="G2939">
        <v>121</v>
      </c>
      <c r="M2939" t="s">
        <v>3882</v>
      </c>
      <c r="O2939" t="s">
        <v>3883</v>
      </c>
      <c r="P2939" t="s">
        <v>3884</v>
      </c>
      <c r="Q2939" t="s">
        <v>3885</v>
      </c>
      <c r="R2939" t="s">
        <v>382</v>
      </c>
      <c r="S2939" t="s">
        <v>3886</v>
      </c>
      <c r="V2939" t="s">
        <v>3877</v>
      </c>
      <c r="X2939" t="s">
        <v>3887</v>
      </c>
      <c r="Y2939" t="s">
        <v>3878</v>
      </c>
      <c r="Z2939" t="s">
        <v>3888</v>
      </c>
      <c r="AA2939" t="s">
        <v>3879</v>
      </c>
      <c r="AB2939" t="s">
        <v>63</v>
      </c>
      <c r="AC2939" t="s">
        <v>63</v>
      </c>
      <c r="AE2939" t="s">
        <v>3880</v>
      </c>
      <c r="AF2939">
        <v>0</v>
      </c>
      <c r="AG2939" t="s">
        <v>3881</v>
      </c>
      <c r="AH2939">
        <v>0</v>
      </c>
      <c r="AK2939">
        <v>0</v>
      </c>
    </row>
    <row r="2940" spans="1:37" x14ac:dyDescent="0.25">
      <c r="A2940" t="s">
        <v>79</v>
      </c>
      <c r="B2940">
        <v>12</v>
      </c>
      <c r="C2940">
        <v>1</v>
      </c>
      <c r="D2940">
        <v>1</v>
      </c>
      <c r="E2940">
        <v>1</v>
      </c>
      <c r="G2940">
        <v>1211</v>
      </c>
      <c r="H2940" t="s">
        <v>3883</v>
      </c>
      <c r="I2940" t="s">
        <v>80</v>
      </c>
      <c r="J2940" t="s">
        <v>3889</v>
      </c>
      <c r="L2940">
        <v>0</v>
      </c>
      <c r="M2940" t="s">
        <v>3890</v>
      </c>
      <c r="O2940" t="s">
        <v>3891</v>
      </c>
      <c r="P2940" t="s">
        <v>3892</v>
      </c>
      <c r="Q2940" t="s">
        <v>3893</v>
      </c>
      <c r="R2940" t="s">
        <v>210</v>
      </c>
      <c r="S2940" t="s">
        <v>3894</v>
      </c>
      <c r="T2940">
        <v>42</v>
      </c>
      <c r="U2940">
        <v>22</v>
      </c>
      <c r="V2940" t="s">
        <v>3895</v>
      </c>
      <c r="AE2940" t="s">
        <v>3896</v>
      </c>
      <c r="AF2940">
        <v>0</v>
      </c>
      <c r="AG2940" t="s">
        <v>3897</v>
      </c>
      <c r="AH2940">
        <v>0</v>
      </c>
      <c r="AK2940">
        <v>0</v>
      </c>
    </row>
    <row r="2941" spans="1:37" x14ac:dyDescent="0.25">
      <c r="A2941" t="s">
        <v>79</v>
      </c>
      <c r="B2941">
        <v>12</v>
      </c>
      <c r="C2941">
        <v>1</v>
      </c>
      <c r="D2941">
        <v>1</v>
      </c>
      <c r="E2941">
        <v>2</v>
      </c>
      <c r="G2941">
        <v>1211</v>
      </c>
      <c r="H2941" t="s">
        <v>3883</v>
      </c>
      <c r="I2941" t="s">
        <v>88</v>
      </c>
      <c r="J2941" t="s">
        <v>3898</v>
      </c>
      <c r="L2941">
        <v>0</v>
      </c>
      <c r="M2941" t="s">
        <v>3899</v>
      </c>
      <c r="O2941" t="s">
        <v>3495</v>
      </c>
      <c r="P2941" t="s">
        <v>3496</v>
      </c>
      <c r="Q2941" t="s">
        <v>109</v>
      </c>
      <c r="R2941" t="s">
        <v>382</v>
      </c>
      <c r="S2941" t="s">
        <v>1054</v>
      </c>
      <c r="T2941">
        <v>42</v>
      </c>
      <c r="U2941">
        <v>254</v>
      </c>
      <c r="V2941" t="s">
        <v>3900</v>
      </c>
      <c r="AE2941" t="s">
        <v>3901</v>
      </c>
      <c r="AF2941">
        <v>0</v>
      </c>
      <c r="AG2941" t="s">
        <v>3902</v>
      </c>
      <c r="AH2941">
        <v>0</v>
      </c>
      <c r="AK2941">
        <v>0</v>
      </c>
    </row>
    <row r="2942" spans="1:37" x14ac:dyDescent="0.25">
      <c r="A2942" t="s">
        <v>79</v>
      </c>
      <c r="B2942">
        <v>12</v>
      </c>
      <c r="C2942">
        <v>1</v>
      </c>
      <c r="D2942">
        <v>1</v>
      </c>
      <c r="E2942">
        <v>3</v>
      </c>
      <c r="G2942">
        <v>1211</v>
      </c>
      <c r="H2942" t="s">
        <v>3883</v>
      </c>
      <c r="I2942" t="s">
        <v>95</v>
      </c>
      <c r="J2942" t="s">
        <v>3903</v>
      </c>
      <c r="L2942">
        <v>0</v>
      </c>
      <c r="M2942" t="s">
        <v>3904</v>
      </c>
      <c r="O2942" t="s">
        <v>3905</v>
      </c>
      <c r="P2942" t="s">
        <v>3906</v>
      </c>
      <c r="Q2942" t="s">
        <v>3907</v>
      </c>
      <c r="R2942" t="s">
        <v>179</v>
      </c>
      <c r="S2942" t="s">
        <v>3908</v>
      </c>
      <c r="T2942">
        <v>42</v>
      </c>
      <c r="U2942">
        <v>43</v>
      </c>
      <c r="V2942" t="s">
        <v>3909</v>
      </c>
      <c r="AE2942" t="s">
        <v>3910</v>
      </c>
      <c r="AF2942">
        <v>0</v>
      </c>
      <c r="AG2942" t="s">
        <v>3911</v>
      </c>
      <c r="AH2942">
        <v>0</v>
      </c>
      <c r="AK2942">
        <v>0</v>
      </c>
    </row>
    <row r="2943" spans="1:37" x14ac:dyDescent="0.25">
      <c r="A2943" t="s">
        <v>79</v>
      </c>
      <c r="B2943">
        <v>12</v>
      </c>
      <c r="C2943">
        <v>1</v>
      </c>
      <c r="D2943">
        <v>1</v>
      </c>
      <c r="E2943">
        <v>4</v>
      </c>
      <c r="G2943">
        <v>1211</v>
      </c>
      <c r="H2943" t="s">
        <v>3883</v>
      </c>
      <c r="I2943" t="s">
        <v>102</v>
      </c>
      <c r="J2943" t="s">
        <v>3912</v>
      </c>
      <c r="L2943">
        <v>0</v>
      </c>
      <c r="M2943" t="s">
        <v>3913</v>
      </c>
      <c r="O2943" t="s">
        <v>3914</v>
      </c>
      <c r="P2943" t="s">
        <v>3915</v>
      </c>
      <c r="Q2943" t="s">
        <v>3916</v>
      </c>
      <c r="R2943" t="s">
        <v>210</v>
      </c>
      <c r="S2943" t="s">
        <v>3917</v>
      </c>
      <c r="T2943">
        <v>42</v>
      </c>
      <c r="U2943">
        <v>1</v>
      </c>
      <c r="V2943" t="s">
        <v>714</v>
      </c>
      <c r="AE2943" t="s">
        <v>3918</v>
      </c>
      <c r="AF2943">
        <v>0</v>
      </c>
      <c r="AG2943" t="s">
        <v>3919</v>
      </c>
      <c r="AH2943">
        <v>0</v>
      </c>
      <c r="AK2943">
        <v>0</v>
      </c>
    </row>
    <row r="2944" spans="1:37" x14ac:dyDescent="0.25">
      <c r="A2944" t="s">
        <v>79</v>
      </c>
      <c r="B2944">
        <v>12</v>
      </c>
      <c r="C2944">
        <v>1</v>
      </c>
      <c r="D2944">
        <v>1</v>
      </c>
      <c r="E2944">
        <v>5</v>
      </c>
      <c r="G2944">
        <v>1211</v>
      </c>
      <c r="H2944" t="s">
        <v>3883</v>
      </c>
      <c r="I2944" t="s">
        <v>109</v>
      </c>
      <c r="J2944" t="s">
        <v>3920</v>
      </c>
      <c r="L2944">
        <v>0</v>
      </c>
      <c r="M2944" t="s">
        <v>3921</v>
      </c>
      <c r="O2944" t="s">
        <v>3922</v>
      </c>
      <c r="P2944" t="s">
        <v>3923</v>
      </c>
      <c r="Q2944" t="s">
        <v>80</v>
      </c>
      <c r="R2944" t="s">
        <v>382</v>
      </c>
      <c r="S2944" t="s">
        <v>3924</v>
      </c>
      <c r="T2944">
        <v>42</v>
      </c>
      <c r="U2944">
        <v>85</v>
      </c>
      <c r="V2944" t="s">
        <v>3925</v>
      </c>
      <c r="AE2944" t="s">
        <v>3926</v>
      </c>
      <c r="AF2944">
        <v>0</v>
      </c>
      <c r="AG2944" t="s">
        <v>3927</v>
      </c>
      <c r="AH2944">
        <v>0</v>
      </c>
      <c r="AK2944">
        <v>0</v>
      </c>
    </row>
    <row r="2945" spans="1:37" x14ac:dyDescent="0.25">
      <c r="A2945" t="s">
        <v>79</v>
      </c>
      <c r="B2945">
        <v>12</v>
      </c>
      <c r="C2945">
        <v>1</v>
      </c>
      <c r="D2945">
        <v>1</v>
      </c>
      <c r="E2945">
        <v>6</v>
      </c>
      <c r="G2945">
        <v>1211</v>
      </c>
      <c r="H2945" t="s">
        <v>3883</v>
      </c>
      <c r="I2945" t="s">
        <v>116</v>
      </c>
      <c r="J2945" t="s">
        <v>3928</v>
      </c>
      <c r="L2945">
        <v>0</v>
      </c>
      <c r="M2945" t="s">
        <v>3929</v>
      </c>
      <c r="O2945" t="s">
        <v>3930</v>
      </c>
      <c r="P2945" t="s">
        <v>3931</v>
      </c>
      <c r="Q2945" t="s">
        <v>3932</v>
      </c>
      <c r="R2945" t="s">
        <v>229</v>
      </c>
      <c r="S2945" t="s">
        <v>3933</v>
      </c>
      <c r="T2945">
        <v>42</v>
      </c>
      <c r="U2945">
        <v>63</v>
      </c>
      <c r="V2945" t="s">
        <v>3934</v>
      </c>
      <c r="AE2945" t="s">
        <v>3935</v>
      </c>
      <c r="AF2945">
        <v>0</v>
      </c>
      <c r="AG2945" t="s">
        <v>3936</v>
      </c>
      <c r="AH2945">
        <v>0</v>
      </c>
      <c r="AK2945">
        <v>0</v>
      </c>
    </row>
    <row r="2946" spans="1:37" x14ac:dyDescent="0.25">
      <c r="A2946" t="s">
        <v>79</v>
      </c>
      <c r="B2946">
        <v>12</v>
      </c>
      <c r="C2946">
        <v>1</v>
      </c>
      <c r="D2946">
        <v>1</v>
      </c>
      <c r="E2946">
        <v>7</v>
      </c>
      <c r="G2946">
        <v>1211</v>
      </c>
      <c r="H2946" t="s">
        <v>3883</v>
      </c>
      <c r="I2946" t="s">
        <v>123</v>
      </c>
      <c r="J2946" t="s">
        <v>3937</v>
      </c>
      <c r="L2946">
        <v>0</v>
      </c>
      <c r="M2946" t="s">
        <v>3938</v>
      </c>
      <c r="O2946" t="s">
        <v>294</v>
      </c>
      <c r="P2946" t="s">
        <v>295</v>
      </c>
      <c r="Q2946" t="s">
        <v>3939</v>
      </c>
      <c r="R2946" t="s">
        <v>229</v>
      </c>
      <c r="S2946" t="s">
        <v>297</v>
      </c>
      <c r="T2946">
        <v>42</v>
      </c>
      <c r="U2946">
        <v>42</v>
      </c>
      <c r="V2946" t="s">
        <v>3940</v>
      </c>
      <c r="AE2946" t="s">
        <v>3941</v>
      </c>
      <c r="AF2946">
        <v>0</v>
      </c>
      <c r="AG2946" t="s">
        <v>3942</v>
      </c>
      <c r="AH2946">
        <v>0</v>
      </c>
      <c r="AK2946">
        <v>0</v>
      </c>
    </row>
    <row r="2947" spans="1:37" x14ac:dyDescent="0.25">
      <c r="A2947" t="s">
        <v>79</v>
      </c>
      <c r="B2947">
        <v>12</v>
      </c>
      <c r="C2947">
        <v>1</v>
      </c>
      <c r="D2947">
        <v>1</v>
      </c>
      <c r="E2947">
        <v>8</v>
      </c>
      <c r="G2947">
        <v>1211</v>
      </c>
      <c r="H2947" t="s">
        <v>3883</v>
      </c>
      <c r="I2947" t="s">
        <v>126</v>
      </c>
      <c r="J2947" t="s">
        <v>3943</v>
      </c>
      <c r="L2947">
        <v>0</v>
      </c>
      <c r="M2947" t="s">
        <v>125</v>
      </c>
      <c r="O2947" t="s">
        <v>125</v>
      </c>
      <c r="P2947" t="s">
        <v>125</v>
      </c>
      <c r="Q2947" t="s">
        <v>125</v>
      </c>
      <c r="R2947" t="s">
        <v>125</v>
      </c>
      <c r="S2947" t="s">
        <v>125</v>
      </c>
      <c r="T2947">
        <v>42</v>
      </c>
      <c r="V2947" t="s">
        <v>125</v>
      </c>
      <c r="AE2947" t="s">
        <v>125</v>
      </c>
      <c r="AF2947">
        <v>0</v>
      </c>
      <c r="AG2947" t="s">
        <v>125</v>
      </c>
      <c r="AH2947">
        <v>0</v>
      </c>
      <c r="AK2947">
        <v>0</v>
      </c>
    </row>
    <row r="2948" spans="1:37" x14ac:dyDescent="0.25">
      <c r="A2948" t="s">
        <v>79</v>
      </c>
      <c r="B2948">
        <v>12</v>
      </c>
      <c r="C2948">
        <v>1</v>
      </c>
      <c r="D2948">
        <v>1</v>
      </c>
      <c r="E2948">
        <v>9</v>
      </c>
      <c r="G2948">
        <v>1211</v>
      </c>
      <c r="H2948" t="s">
        <v>3883</v>
      </c>
      <c r="I2948" t="s">
        <v>74</v>
      </c>
      <c r="J2948" t="s">
        <v>3944</v>
      </c>
      <c r="L2948">
        <v>0</v>
      </c>
      <c r="M2948" t="s">
        <v>125</v>
      </c>
      <c r="O2948" t="s">
        <v>125</v>
      </c>
      <c r="P2948" t="s">
        <v>125</v>
      </c>
      <c r="Q2948" t="s">
        <v>125</v>
      </c>
      <c r="R2948" t="s">
        <v>125</v>
      </c>
      <c r="S2948" t="s">
        <v>125</v>
      </c>
      <c r="T2948">
        <v>42</v>
      </c>
      <c r="V2948" t="s">
        <v>125</v>
      </c>
      <c r="AE2948" t="s">
        <v>125</v>
      </c>
      <c r="AF2948">
        <v>0</v>
      </c>
      <c r="AG2948" t="s">
        <v>125</v>
      </c>
      <c r="AH2948">
        <v>0</v>
      </c>
      <c r="AK2948">
        <v>0</v>
      </c>
    </row>
    <row r="2949" spans="1:37" x14ac:dyDescent="0.25">
      <c r="A2949" t="s">
        <v>79</v>
      </c>
      <c r="B2949">
        <v>12</v>
      </c>
      <c r="C2949">
        <v>1</v>
      </c>
      <c r="D2949">
        <v>1</v>
      </c>
      <c r="E2949">
        <v>10</v>
      </c>
      <c r="G2949">
        <v>1211</v>
      </c>
      <c r="H2949" t="s">
        <v>3883</v>
      </c>
      <c r="I2949" t="s">
        <v>129</v>
      </c>
      <c r="J2949" t="s">
        <v>3945</v>
      </c>
      <c r="L2949">
        <v>0</v>
      </c>
      <c r="M2949" t="s">
        <v>125</v>
      </c>
      <c r="O2949" t="s">
        <v>125</v>
      </c>
      <c r="P2949" t="s">
        <v>125</v>
      </c>
      <c r="Q2949" t="s">
        <v>125</v>
      </c>
      <c r="R2949" t="s">
        <v>125</v>
      </c>
      <c r="S2949" t="s">
        <v>125</v>
      </c>
      <c r="T2949">
        <v>42</v>
      </c>
      <c r="V2949" t="s">
        <v>125</v>
      </c>
      <c r="AE2949" t="s">
        <v>125</v>
      </c>
      <c r="AF2949">
        <v>0</v>
      </c>
      <c r="AG2949" t="s">
        <v>125</v>
      </c>
      <c r="AH2949">
        <v>0</v>
      </c>
      <c r="AK2949">
        <v>0</v>
      </c>
    </row>
    <row r="2950" spans="1:37" x14ac:dyDescent="0.25">
      <c r="A2950" t="s">
        <v>79</v>
      </c>
      <c r="B2950">
        <v>12</v>
      </c>
      <c r="C2950">
        <v>1</v>
      </c>
      <c r="D2950">
        <v>1</v>
      </c>
      <c r="E2950">
        <v>11</v>
      </c>
      <c r="G2950">
        <v>1211</v>
      </c>
      <c r="H2950" t="s">
        <v>3883</v>
      </c>
      <c r="I2950" t="s">
        <v>131</v>
      </c>
      <c r="J2950" t="s">
        <v>3946</v>
      </c>
      <c r="L2950">
        <v>0</v>
      </c>
      <c r="M2950" t="s">
        <v>125</v>
      </c>
      <c r="O2950" t="s">
        <v>125</v>
      </c>
      <c r="P2950" t="s">
        <v>125</v>
      </c>
      <c r="Q2950" t="s">
        <v>125</v>
      </c>
      <c r="R2950" t="s">
        <v>125</v>
      </c>
      <c r="S2950" t="s">
        <v>125</v>
      </c>
      <c r="T2950">
        <v>42</v>
      </c>
      <c r="V2950" t="s">
        <v>125</v>
      </c>
      <c r="AE2950" t="s">
        <v>125</v>
      </c>
      <c r="AF2950">
        <v>0</v>
      </c>
      <c r="AG2950" t="s">
        <v>125</v>
      </c>
      <c r="AH2950">
        <v>0</v>
      </c>
      <c r="AK2950">
        <v>0</v>
      </c>
    </row>
    <row r="2951" spans="1:37" x14ac:dyDescent="0.25">
      <c r="A2951" t="s">
        <v>79</v>
      </c>
      <c r="B2951">
        <v>12</v>
      </c>
      <c r="C2951">
        <v>1</v>
      </c>
      <c r="D2951">
        <v>1</v>
      </c>
      <c r="E2951">
        <v>12</v>
      </c>
      <c r="G2951">
        <v>1211</v>
      </c>
      <c r="H2951" t="s">
        <v>3883</v>
      </c>
      <c r="I2951" t="s">
        <v>133</v>
      </c>
      <c r="J2951" t="s">
        <v>3947</v>
      </c>
      <c r="L2951">
        <v>0</v>
      </c>
      <c r="M2951" t="s">
        <v>125</v>
      </c>
      <c r="O2951" t="s">
        <v>125</v>
      </c>
      <c r="P2951" t="s">
        <v>125</v>
      </c>
      <c r="Q2951" t="s">
        <v>125</v>
      </c>
      <c r="R2951" t="s">
        <v>125</v>
      </c>
      <c r="S2951" t="s">
        <v>125</v>
      </c>
      <c r="T2951">
        <v>42</v>
      </c>
      <c r="V2951" t="s">
        <v>125</v>
      </c>
      <c r="AE2951" t="s">
        <v>125</v>
      </c>
      <c r="AF2951">
        <v>0</v>
      </c>
      <c r="AG2951" t="s">
        <v>125</v>
      </c>
      <c r="AH2951">
        <v>0</v>
      </c>
      <c r="AK2951">
        <v>0</v>
      </c>
    </row>
    <row r="2952" spans="1:37" x14ac:dyDescent="0.25">
      <c r="A2952" t="s">
        <v>79</v>
      </c>
      <c r="B2952">
        <v>12</v>
      </c>
      <c r="C2952">
        <v>1</v>
      </c>
      <c r="D2952">
        <v>1</v>
      </c>
      <c r="E2952">
        <v>13</v>
      </c>
      <c r="G2952">
        <v>1211</v>
      </c>
      <c r="H2952" t="s">
        <v>3883</v>
      </c>
      <c r="I2952" t="s">
        <v>135</v>
      </c>
      <c r="J2952" t="s">
        <v>3948</v>
      </c>
      <c r="L2952">
        <v>0</v>
      </c>
      <c r="M2952" t="s">
        <v>125</v>
      </c>
      <c r="O2952" t="s">
        <v>125</v>
      </c>
      <c r="P2952" t="s">
        <v>125</v>
      </c>
      <c r="Q2952" t="s">
        <v>125</v>
      </c>
      <c r="R2952" t="s">
        <v>125</v>
      </c>
      <c r="S2952" t="s">
        <v>125</v>
      </c>
      <c r="T2952">
        <v>42</v>
      </c>
      <c r="V2952" t="s">
        <v>125</v>
      </c>
      <c r="AE2952" t="s">
        <v>125</v>
      </c>
      <c r="AF2952">
        <v>0</v>
      </c>
      <c r="AG2952" t="s">
        <v>125</v>
      </c>
      <c r="AH2952">
        <v>0</v>
      </c>
      <c r="AK2952">
        <v>0</v>
      </c>
    </row>
    <row r="2953" spans="1:37" x14ac:dyDescent="0.25">
      <c r="A2953" t="s">
        <v>79</v>
      </c>
      <c r="B2953">
        <v>12</v>
      </c>
      <c r="C2953">
        <v>1</v>
      </c>
      <c r="D2953">
        <v>1</v>
      </c>
      <c r="E2953">
        <v>14</v>
      </c>
      <c r="G2953">
        <v>1211</v>
      </c>
      <c r="H2953" t="s">
        <v>3883</v>
      </c>
      <c r="I2953" t="s">
        <v>137</v>
      </c>
      <c r="J2953" t="s">
        <v>3949</v>
      </c>
      <c r="L2953">
        <v>0</v>
      </c>
      <c r="M2953" t="s">
        <v>125</v>
      </c>
      <c r="O2953" t="s">
        <v>125</v>
      </c>
      <c r="P2953" t="s">
        <v>125</v>
      </c>
      <c r="Q2953" t="s">
        <v>125</v>
      </c>
      <c r="R2953" t="s">
        <v>125</v>
      </c>
      <c r="S2953" t="s">
        <v>125</v>
      </c>
      <c r="T2953">
        <v>42</v>
      </c>
      <c r="V2953" t="s">
        <v>125</v>
      </c>
      <c r="AE2953" t="s">
        <v>125</v>
      </c>
      <c r="AF2953">
        <v>0</v>
      </c>
      <c r="AG2953" t="s">
        <v>125</v>
      </c>
      <c r="AH2953">
        <v>0</v>
      </c>
      <c r="AK2953">
        <v>0</v>
      </c>
    </row>
    <row r="2954" spans="1:37" x14ac:dyDescent="0.25">
      <c r="A2954" t="s">
        <v>79</v>
      </c>
      <c r="B2954">
        <v>12</v>
      </c>
      <c r="C2954">
        <v>1</v>
      </c>
      <c r="D2954">
        <v>1</v>
      </c>
      <c r="E2954">
        <v>15</v>
      </c>
      <c r="G2954">
        <v>1211</v>
      </c>
      <c r="H2954" t="s">
        <v>3883</v>
      </c>
      <c r="I2954" t="s">
        <v>139</v>
      </c>
      <c r="J2954" t="s">
        <v>3950</v>
      </c>
      <c r="L2954">
        <v>0</v>
      </c>
      <c r="M2954" t="s">
        <v>125</v>
      </c>
      <c r="O2954" t="s">
        <v>125</v>
      </c>
      <c r="P2954" t="s">
        <v>125</v>
      </c>
      <c r="Q2954" t="s">
        <v>125</v>
      </c>
      <c r="R2954" t="s">
        <v>125</v>
      </c>
      <c r="S2954" t="s">
        <v>125</v>
      </c>
      <c r="T2954">
        <v>42</v>
      </c>
      <c r="V2954" t="s">
        <v>125</v>
      </c>
      <c r="AE2954" t="s">
        <v>125</v>
      </c>
      <c r="AF2954">
        <v>0</v>
      </c>
      <c r="AG2954" t="s">
        <v>125</v>
      </c>
      <c r="AH2954">
        <v>0</v>
      </c>
      <c r="AK2954">
        <v>0</v>
      </c>
    </row>
    <row r="2955" spans="1:37" x14ac:dyDescent="0.25">
      <c r="L2955">
        <v>0</v>
      </c>
    </row>
    <row r="2956" spans="1:37" x14ac:dyDescent="0.25">
      <c r="A2956" t="s">
        <v>70</v>
      </c>
      <c r="B2956">
        <v>12</v>
      </c>
      <c r="C2956">
        <v>1</v>
      </c>
      <c r="D2956">
        <v>2</v>
      </c>
      <c r="G2956">
        <v>121</v>
      </c>
      <c r="L2956">
        <v>0</v>
      </c>
      <c r="M2956" t="s">
        <v>125</v>
      </c>
      <c r="P2956" t="s">
        <v>125</v>
      </c>
      <c r="R2956" t="s">
        <v>125</v>
      </c>
      <c r="S2956" t="s">
        <v>63</v>
      </c>
      <c r="V2956" t="s">
        <v>125</v>
      </c>
      <c r="X2956" t="s">
        <v>125</v>
      </c>
      <c r="Y2956" t="s">
        <v>125</v>
      </c>
      <c r="Z2956" t="s">
        <v>125</v>
      </c>
      <c r="AA2956" t="s">
        <v>125</v>
      </c>
      <c r="AB2956" t="s">
        <v>125</v>
      </c>
      <c r="AC2956" t="s">
        <v>125</v>
      </c>
      <c r="AE2956" t="s">
        <v>125</v>
      </c>
      <c r="AF2956">
        <v>0</v>
      </c>
      <c r="AG2956" t="s">
        <v>125</v>
      </c>
      <c r="AH2956">
        <v>0</v>
      </c>
      <c r="AK2956">
        <v>0</v>
      </c>
    </row>
    <row r="2957" spans="1:37" x14ac:dyDescent="0.25">
      <c r="A2957" t="s">
        <v>79</v>
      </c>
      <c r="B2957">
        <v>12</v>
      </c>
      <c r="C2957">
        <v>1</v>
      </c>
      <c r="D2957">
        <v>2</v>
      </c>
      <c r="E2957">
        <v>1</v>
      </c>
      <c r="G2957">
        <v>1212</v>
      </c>
      <c r="H2957" t="s">
        <v>63</v>
      </c>
      <c r="I2957" t="s">
        <v>80</v>
      </c>
      <c r="J2957" t="s">
        <v>141</v>
      </c>
      <c r="L2957">
        <v>0</v>
      </c>
      <c r="M2957" t="s">
        <v>125</v>
      </c>
      <c r="O2957" t="s">
        <v>125</v>
      </c>
      <c r="P2957" t="s">
        <v>125</v>
      </c>
      <c r="Q2957" t="s">
        <v>125</v>
      </c>
      <c r="R2957" t="s">
        <v>125</v>
      </c>
      <c r="S2957" t="s">
        <v>125</v>
      </c>
      <c r="T2957">
        <v>0</v>
      </c>
      <c r="V2957" t="s">
        <v>125</v>
      </c>
      <c r="AE2957" t="s">
        <v>125</v>
      </c>
      <c r="AF2957">
        <v>0</v>
      </c>
      <c r="AG2957" t="s">
        <v>125</v>
      </c>
      <c r="AH2957">
        <v>0</v>
      </c>
      <c r="AK2957">
        <v>0</v>
      </c>
    </row>
    <row r="2958" spans="1:37" x14ac:dyDescent="0.25">
      <c r="A2958" t="s">
        <v>79</v>
      </c>
      <c r="B2958">
        <v>12</v>
      </c>
      <c r="C2958">
        <v>1</v>
      </c>
      <c r="D2958">
        <v>2</v>
      </c>
      <c r="E2958">
        <v>2</v>
      </c>
      <c r="G2958">
        <v>1212</v>
      </c>
      <c r="H2958" t="s">
        <v>63</v>
      </c>
      <c r="I2958" t="s">
        <v>88</v>
      </c>
      <c r="J2958" t="s">
        <v>142</v>
      </c>
      <c r="L2958">
        <v>0</v>
      </c>
      <c r="M2958" t="s">
        <v>125</v>
      </c>
      <c r="O2958" t="s">
        <v>125</v>
      </c>
      <c r="P2958" t="s">
        <v>125</v>
      </c>
      <c r="Q2958" t="s">
        <v>125</v>
      </c>
      <c r="R2958" t="s">
        <v>125</v>
      </c>
      <c r="S2958" t="s">
        <v>125</v>
      </c>
      <c r="T2958">
        <v>0</v>
      </c>
      <c r="V2958" t="s">
        <v>125</v>
      </c>
      <c r="AE2958" t="s">
        <v>125</v>
      </c>
      <c r="AF2958">
        <v>0</v>
      </c>
      <c r="AG2958" t="s">
        <v>125</v>
      </c>
      <c r="AH2958">
        <v>0</v>
      </c>
      <c r="AK2958">
        <v>0</v>
      </c>
    </row>
    <row r="2959" spans="1:37" x14ac:dyDescent="0.25">
      <c r="A2959" t="s">
        <v>79</v>
      </c>
      <c r="B2959">
        <v>12</v>
      </c>
      <c r="C2959">
        <v>1</v>
      </c>
      <c r="D2959">
        <v>2</v>
      </c>
      <c r="E2959">
        <v>3</v>
      </c>
      <c r="G2959">
        <v>1212</v>
      </c>
      <c r="H2959" t="s">
        <v>63</v>
      </c>
      <c r="I2959" t="s">
        <v>95</v>
      </c>
      <c r="J2959" t="s">
        <v>143</v>
      </c>
      <c r="L2959">
        <v>0</v>
      </c>
      <c r="M2959" t="s">
        <v>125</v>
      </c>
      <c r="O2959" t="s">
        <v>125</v>
      </c>
      <c r="P2959" t="s">
        <v>125</v>
      </c>
      <c r="Q2959" t="s">
        <v>125</v>
      </c>
      <c r="R2959" t="s">
        <v>125</v>
      </c>
      <c r="S2959" t="s">
        <v>125</v>
      </c>
      <c r="T2959">
        <v>0</v>
      </c>
      <c r="V2959" t="s">
        <v>125</v>
      </c>
      <c r="AE2959" t="s">
        <v>125</v>
      </c>
      <c r="AF2959">
        <v>0</v>
      </c>
      <c r="AG2959" t="s">
        <v>125</v>
      </c>
      <c r="AH2959">
        <v>0</v>
      </c>
      <c r="AK2959">
        <v>0</v>
      </c>
    </row>
    <row r="2960" spans="1:37" x14ac:dyDescent="0.25">
      <c r="A2960" t="s">
        <v>79</v>
      </c>
      <c r="B2960">
        <v>12</v>
      </c>
      <c r="C2960">
        <v>1</v>
      </c>
      <c r="D2960">
        <v>2</v>
      </c>
      <c r="E2960">
        <v>4</v>
      </c>
      <c r="G2960">
        <v>1212</v>
      </c>
      <c r="H2960" t="s">
        <v>63</v>
      </c>
      <c r="I2960" t="s">
        <v>102</v>
      </c>
      <c r="J2960" t="s">
        <v>144</v>
      </c>
      <c r="L2960">
        <v>0</v>
      </c>
      <c r="M2960" t="s">
        <v>125</v>
      </c>
      <c r="O2960" t="s">
        <v>125</v>
      </c>
      <c r="P2960" t="s">
        <v>125</v>
      </c>
      <c r="Q2960" t="s">
        <v>125</v>
      </c>
      <c r="R2960" t="s">
        <v>125</v>
      </c>
      <c r="S2960" t="s">
        <v>125</v>
      </c>
      <c r="T2960">
        <v>0</v>
      </c>
      <c r="V2960" t="s">
        <v>125</v>
      </c>
      <c r="AE2960" t="s">
        <v>125</v>
      </c>
      <c r="AF2960">
        <v>0</v>
      </c>
      <c r="AG2960" t="s">
        <v>125</v>
      </c>
      <c r="AH2960">
        <v>0</v>
      </c>
      <c r="AK2960">
        <v>0</v>
      </c>
    </row>
    <row r="2961" spans="1:37" x14ac:dyDescent="0.25">
      <c r="A2961" t="s">
        <v>79</v>
      </c>
      <c r="B2961">
        <v>12</v>
      </c>
      <c r="C2961">
        <v>1</v>
      </c>
      <c r="D2961">
        <v>2</v>
      </c>
      <c r="E2961">
        <v>5</v>
      </c>
      <c r="G2961">
        <v>1212</v>
      </c>
      <c r="H2961" t="s">
        <v>63</v>
      </c>
      <c r="I2961" t="s">
        <v>109</v>
      </c>
      <c r="J2961" t="s">
        <v>145</v>
      </c>
      <c r="L2961">
        <v>0</v>
      </c>
      <c r="M2961" t="s">
        <v>125</v>
      </c>
      <c r="O2961" t="s">
        <v>125</v>
      </c>
      <c r="P2961" t="s">
        <v>125</v>
      </c>
      <c r="Q2961" t="s">
        <v>125</v>
      </c>
      <c r="R2961" t="s">
        <v>125</v>
      </c>
      <c r="S2961" t="s">
        <v>125</v>
      </c>
      <c r="T2961">
        <v>0</v>
      </c>
      <c r="V2961" t="s">
        <v>125</v>
      </c>
      <c r="AE2961" t="s">
        <v>125</v>
      </c>
      <c r="AF2961">
        <v>0</v>
      </c>
      <c r="AG2961" t="s">
        <v>125</v>
      </c>
      <c r="AH2961">
        <v>0</v>
      </c>
      <c r="AK2961">
        <v>0</v>
      </c>
    </row>
    <row r="2962" spans="1:37" x14ac:dyDescent="0.25">
      <c r="A2962" t="s">
        <v>79</v>
      </c>
      <c r="B2962">
        <v>12</v>
      </c>
      <c r="C2962">
        <v>1</v>
      </c>
      <c r="D2962">
        <v>2</v>
      </c>
      <c r="E2962">
        <v>6</v>
      </c>
      <c r="G2962">
        <v>1212</v>
      </c>
      <c r="H2962" t="s">
        <v>63</v>
      </c>
      <c r="I2962" t="s">
        <v>116</v>
      </c>
      <c r="J2962" t="s">
        <v>146</v>
      </c>
      <c r="L2962">
        <v>0</v>
      </c>
      <c r="M2962" t="s">
        <v>125</v>
      </c>
      <c r="O2962" t="s">
        <v>125</v>
      </c>
      <c r="P2962" t="s">
        <v>125</v>
      </c>
      <c r="Q2962" t="s">
        <v>125</v>
      </c>
      <c r="R2962" t="s">
        <v>125</v>
      </c>
      <c r="S2962" t="s">
        <v>125</v>
      </c>
      <c r="T2962">
        <v>0</v>
      </c>
      <c r="V2962" t="s">
        <v>125</v>
      </c>
      <c r="AE2962" t="s">
        <v>125</v>
      </c>
      <c r="AF2962">
        <v>0</v>
      </c>
      <c r="AG2962" t="s">
        <v>125</v>
      </c>
      <c r="AH2962">
        <v>0</v>
      </c>
      <c r="AK2962">
        <v>0</v>
      </c>
    </row>
    <row r="2963" spans="1:37" x14ac:dyDescent="0.25">
      <c r="A2963" t="s">
        <v>79</v>
      </c>
      <c r="B2963">
        <v>12</v>
      </c>
      <c r="C2963">
        <v>1</v>
      </c>
      <c r="D2963">
        <v>2</v>
      </c>
      <c r="E2963">
        <v>7</v>
      </c>
      <c r="G2963">
        <v>1212</v>
      </c>
      <c r="H2963" t="s">
        <v>63</v>
      </c>
      <c r="I2963" t="s">
        <v>123</v>
      </c>
      <c r="J2963" t="s">
        <v>147</v>
      </c>
      <c r="L2963">
        <v>0</v>
      </c>
      <c r="M2963" t="s">
        <v>125</v>
      </c>
      <c r="O2963" t="s">
        <v>125</v>
      </c>
      <c r="P2963" t="s">
        <v>125</v>
      </c>
      <c r="Q2963" t="s">
        <v>125</v>
      </c>
      <c r="R2963" t="s">
        <v>125</v>
      </c>
      <c r="S2963" t="s">
        <v>125</v>
      </c>
      <c r="T2963">
        <v>0</v>
      </c>
      <c r="V2963" t="s">
        <v>125</v>
      </c>
      <c r="AE2963" t="s">
        <v>125</v>
      </c>
      <c r="AF2963">
        <v>0</v>
      </c>
      <c r="AG2963" t="s">
        <v>125</v>
      </c>
      <c r="AH2963">
        <v>0</v>
      </c>
      <c r="AK2963">
        <v>0</v>
      </c>
    </row>
    <row r="2964" spans="1:37" x14ac:dyDescent="0.25">
      <c r="A2964" t="s">
        <v>79</v>
      </c>
      <c r="B2964">
        <v>12</v>
      </c>
      <c r="C2964">
        <v>1</v>
      </c>
      <c r="D2964">
        <v>2</v>
      </c>
      <c r="E2964">
        <v>8</v>
      </c>
      <c r="G2964">
        <v>1212</v>
      </c>
      <c r="H2964" t="s">
        <v>63</v>
      </c>
      <c r="I2964" t="s">
        <v>126</v>
      </c>
      <c r="J2964" t="s">
        <v>148</v>
      </c>
      <c r="L2964">
        <v>0</v>
      </c>
      <c r="M2964" t="s">
        <v>125</v>
      </c>
      <c r="O2964" t="s">
        <v>125</v>
      </c>
      <c r="P2964" t="s">
        <v>125</v>
      </c>
      <c r="Q2964" t="s">
        <v>125</v>
      </c>
      <c r="R2964" t="s">
        <v>125</v>
      </c>
      <c r="S2964" t="s">
        <v>125</v>
      </c>
      <c r="T2964">
        <v>0</v>
      </c>
      <c r="V2964" t="s">
        <v>125</v>
      </c>
      <c r="AE2964" t="s">
        <v>125</v>
      </c>
      <c r="AF2964">
        <v>0</v>
      </c>
      <c r="AG2964" t="s">
        <v>125</v>
      </c>
      <c r="AH2964">
        <v>0</v>
      </c>
      <c r="AK2964">
        <v>0</v>
      </c>
    </row>
    <row r="2965" spans="1:37" x14ac:dyDescent="0.25">
      <c r="A2965" t="s">
        <v>79</v>
      </c>
      <c r="B2965">
        <v>12</v>
      </c>
      <c r="C2965">
        <v>1</v>
      </c>
      <c r="D2965">
        <v>2</v>
      </c>
      <c r="E2965">
        <v>9</v>
      </c>
      <c r="G2965">
        <v>1212</v>
      </c>
      <c r="H2965" t="s">
        <v>63</v>
      </c>
      <c r="I2965" t="s">
        <v>74</v>
      </c>
      <c r="J2965" t="s">
        <v>149</v>
      </c>
      <c r="L2965">
        <v>0</v>
      </c>
      <c r="M2965" t="s">
        <v>125</v>
      </c>
      <c r="O2965" t="s">
        <v>125</v>
      </c>
      <c r="P2965" t="s">
        <v>125</v>
      </c>
      <c r="Q2965" t="s">
        <v>125</v>
      </c>
      <c r="R2965" t="s">
        <v>125</v>
      </c>
      <c r="S2965" t="s">
        <v>125</v>
      </c>
      <c r="T2965">
        <v>0</v>
      </c>
      <c r="V2965" t="s">
        <v>125</v>
      </c>
      <c r="AE2965" t="s">
        <v>125</v>
      </c>
      <c r="AF2965">
        <v>0</v>
      </c>
      <c r="AG2965" t="s">
        <v>125</v>
      </c>
      <c r="AH2965">
        <v>0</v>
      </c>
      <c r="AK2965">
        <v>0</v>
      </c>
    </row>
    <row r="2966" spans="1:37" x14ac:dyDescent="0.25">
      <c r="A2966" t="s">
        <v>79</v>
      </c>
      <c r="B2966">
        <v>12</v>
      </c>
      <c r="C2966">
        <v>1</v>
      </c>
      <c r="D2966">
        <v>2</v>
      </c>
      <c r="E2966">
        <v>10</v>
      </c>
      <c r="G2966">
        <v>1212</v>
      </c>
      <c r="H2966" t="s">
        <v>63</v>
      </c>
      <c r="I2966" t="s">
        <v>129</v>
      </c>
      <c r="J2966" t="s">
        <v>150</v>
      </c>
      <c r="L2966">
        <v>0</v>
      </c>
      <c r="M2966" t="s">
        <v>125</v>
      </c>
      <c r="O2966" t="s">
        <v>125</v>
      </c>
      <c r="P2966" t="s">
        <v>125</v>
      </c>
      <c r="Q2966" t="s">
        <v>125</v>
      </c>
      <c r="R2966" t="s">
        <v>125</v>
      </c>
      <c r="S2966" t="s">
        <v>125</v>
      </c>
      <c r="T2966">
        <v>0</v>
      </c>
      <c r="V2966" t="s">
        <v>125</v>
      </c>
      <c r="AE2966" t="s">
        <v>125</v>
      </c>
      <c r="AF2966">
        <v>0</v>
      </c>
      <c r="AG2966" t="s">
        <v>125</v>
      </c>
      <c r="AH2966">
        <v>0</v>
      </c>
      <c r="AK2966">
        <v>0</v>
      </c>
    </row>
    <row r="2967" spans="1:37" x14ac:dyDescent="0.25">
      <c r="A2967" t="s">
        <v>79</v>
      </c>
      <c r="B2967">
        <v>12</v>
      </c>
      <c r="C2967">
        <v>1</v>
      </c>
      <c r="D2967">
        <v>2</v>
      </c>
      <c r="E2967">
        <v>11</v>
      </c>
      <c r="G2967">
        <v>1212</v>
      </c>
      <c r="H2967" t="s">
        <v>63</v>
      </c>
      <c r="I2967" t="s">
        <v>131</v>
      </c>
      <c r="J2967" t="s">
        <v>151</v>
      </c>
      <c r="L2967">
        <v>0</v>
      </c>
      <c r="M2967" t="s">
        <v>125</v>
      </c>
      <c r="O2967" t="s">
        <v>125</v>
      </c>
      <c r="P2967" t="s">
        <v>125</v>
      </c>
      <c r="Q2967" t="s">
        <v>125</v>
      </c>
      <c r="R2967" t="s">
        <v>125</v>
      </c>
      <c r="S2967" t="s">
        <v>125</v>
      </c>
      <c r="T2967">
        <v>0</v>
      </c>
      <c r="V2967" t="s">
        <v>125</v>
      </c>
      <c r="AE2967" t="s">
        <v>125</v>
      </c>
      <c r="AF2967">
        <v>0</v>
      </c>
      <c r="AG2967" t="s">
        <v>125</v>
      </c>
      <c r="AH2967">
        <v>0</v>
      </c>
      <c r="AK2967">
        <v>0</v>
      </c>
    </row>
    <row r="2968" spans="1:37" x14ac:dyDescent="0.25">
      <c r="A2968" t="s">
        <v>79</v>
      </c>
      <c r="B2968">
        <v>12</v>
      </c>
      <c r="C2968">
        <v>1</v>
      </c>
      <c r="D2968">
        <v>2</v>
      </c>
      <c r="E2968">
        <v>12</v>
      </c>
      <c r="G2968">
        <v>1212</v>
      </c>
      <c r="H2968" t="s">
        <v>63</v>
      </c>
      <c r="I2968" t="s">
        <v>133</v>
      </c>
      <c r="J2968" t="s">
        <v>152</v>
      </c>
      <c r="L2968">
        <v>0</v>
      </c>
      <c r="M2968" t="s">
        <v>125</v>
      </c>
      <c r="O2968" t="s">
        <v>125</v>
      </c>
      <c r="P2968" t="s">
        <v>125</v>
      </c>
      <c r="Q2968" t="s">
        <v>125</v>
      </c>
      <c r="R2968" t="s">
        <v>125</v>
      </c>
      <c r="S2968" t="s">
        <v>125</v>
      </c>
      <c r="T2968">
        <v>0</v>
      </c>
      <c r="V2968" t="s">
        <v>125</v>
      </c>
      <c r="AE2968" t="s">
        <v>125</v>
      </c>
      <c r="AF2968">
        <v>0</v>
      </c>
      <c r="AG2968" t="s">
        <v>125</v>
      </c>
      <c r="AH2968">
        <v>0</v>
      </c>
      <c r="AK2968">
        <v>0</v>
      </c>
    </row>
    <row r="2969" spans="1:37" x14ac:dyDescent="0.25">
      <c r="A2969" t="s">
        <v>79</v>
      </c>
      <c r="B2969">
        <v>12</v>
      </c>
      <c r="C2969">
        <v>1</v>
      </c>
      <c r="D2969">
        <v>2</v>
      </c>
      <c r="E2969">
        <v>13</v>
      </c>
      <c r="G2969">
        <v>1212</v>
      </c>
      <c r="H2969" t="s">
        <v>63</v>
      </c>
      <c r="I2969" t="s">
        <v>135</v>
      </c>
      <c r="J2969" t="s">
        <v>153</v>
      </c>
      <c r="L2969">
        <v>0</v>
      </c>
      <c r="M2969" t="s">
        <v>125</v>
      </c>
      <c r="O2969" t="s">
        <v>125</v>
      </c>
      <c r="P2969" t="s">
        <v>125</v>
      </c>
      <c r="Q2969" t="s">
        <v>125</v>
      </c>
      <c r="R2969" t="s">
        <v>125</v>
      </c>
      <c r="S2969" t="s">
        <v>125</v>
      </c>
      <c r="T2969">
        <v>0</v>
      </c>
      <c r="V2969" t="s">
        <v>125</v>
      </c>
      <c r="AE2969" t="s">
        <v>125</v>
      </c>
      <c r="AF2969">
        <v>0</v>
      </c>
      <c r="AG2969" t="s">
        <v>125</v>
      </c>
      <c r="AH2969">
        <v>0</v>
      </c>
      <c r="AK2969">
        <v>0</v>
      </c>
    </row>
    <row r="2970" spans="1:37" x14ac:dyDescent="0.25">
      <c r="A2970" t="s">
        <v>79</v>
      </c>
      <c r="B2970">
        <v>12</v>
      </c>
      <c r="C2970">
        <v>1</v>
      </c>
      <c r="D2970">
        <v>2</v>
      </c>
      <c r="E2970">
        <v>14</v>
      </c>
      <c r="G2970">
        <v>1212</v>
      </c>
      <c r="H2970" t="s">
        <v>63</v>
      </c>
      <c r="I2970" t="s">
        <v>137</v>
      </c>
      <c r="J2970" t="s">
        <v>154</v>
      </c>
      <c r="L2970">
        <v>0</v>
      </c>
      <c r="M2970" t="s">
        <v>125</v>
      </c>
      <c r="O2970" t="s">
        <v>125</v>
      </c>
      <c r="P2970" t="s">
        <v>125</v>
      </c>
      <c r="Q2970" t="s">
        <v>125</v>
      </c>
      <c r="R2970" t="s">
        <v>125</v>
      </c>
      <c r="S2970" t="s">
        <v>125</v>
      </c>
      <c r="T2970">
        <v>0</v>
      </c>
      <c r="V2970" t="s">
        <v>125</v>
      </c>
      <c r="AE2970" t="s">
        <v>125</v>
      </c>
      <c r="AF2970">
        <v>0</v>
      </c>
      <c r="AG2970" t="s">
        <v>125</v>
      </c>
      <c r="AH2970">
        <v>0</v>
      </c>
      <c r="AK2970">
        <v>0</v>
      </c>
    </row>
    <row r="2971" spans="1:37" x14ac:dyDescent="0.25">
      <c r="A2971" t="s">
        <v>79</v>
      </c>
      <c r="B2971">
        <v>12</v>
      </c>
      <c r="C2971">
        <v>1</v>
      </c>
      <c r="D2971">
        <v>2</v>
      </c>
      <c r="E2971">
        <v>15</v>
      </c>
      <c r="G2971">
        <v>1212</v>
      </c>
      <c r="H2971" t="s">
        <v>63</v>
      </c>
      <c r="I2971" t="s">
        <v>139</v>
      </c>
      <c r="J2971" t="s">
        <v>155</v>
      </c>
      <c r="L2971">
        <v>0</v>
      </c>
      <c r="M2971" t="s">
        <v>125</v>
      </c>
      <c r="O2971" t="s">
        <v>125</v>
      </c>
      <c r="P2971" t="s">
        <v>125</v>
      </c>
      <c r="Q2971" t="s">
        <v>125</v>
      </c>
      <c r="R2971" t="s">
        <v>125</v>
      </c>
      <c r="S2971" t="s">
        <v>125</v>
      </c>
      <c r="T2971">
        <v>0</v>
      </c>
      <c r="V2971" t="s">
        <v>125</v>
      </c>
      <c r="AE2971" t="s">
        <v>125</v>
      </c>
      <c r="AF2971">
        <v>0</v>
      </c>
      <c r="AG2971" t="s">
        <v>125</v>
      </c>
      <c r="AH2971">
        <v>0</v>
      </c>
      <c r="AK2971">
        <v>0</v>
      </c>
    </row>
    <row r="2972" spans="1:37" x14ac:dyDescent="0.25">
      <c r="L2972">
        <v>0</v>
      </c>
    </row>
    <row r="2973" spans="1:37" x14ac:dyDescent="0.25">
      <c r="A2973" t="s">
        <v>70</v>
      </c>
      <c r="B2973">
        <v>12</v>
      </c>
      <c r="C2973">
        <v>1</v>
      </c>
      <c r="D2973">
        <v>3</v>
      </c>
      <c r="G2973">
        <v>121</v>
      </c>
      <c r="L2973">
        <v>0</v>
      </c>
      <c r="M2973" t="s">
        <v>125</v>
      </c>
      <c r="P2973" t="s">
        <v>125</v>
      </c>
      <c r="R2973" t="s">
        <v>125</v>
      </c>
      <c r="S2973" t="s">
        <v>63</v>
      </c>
      <c r="V2973" t="s">
        <v>125</v>
      </c>
      <c r="X2973" t="s">
        <v>125</v>
      </c>
      <c r="Y2973" t="s">
        <v>125</v>
      </c>
      <c r="Z2973" t="s">
        <v>125</v>
      </c>
      <c r="AA2973" t="s">
        <v>125</v>
      </c>
      <c r="AB2973" t="s">
        <v>125</v>
      </c>
      <c r="AC2973" t="s">
        <v>125</v>
      </c>
      <c r="AE2973" t="s">
        <v>125</v>
      </c>
      <c r="AF2973">
        <v>0</v>
      </c>
      <c r="AG2973" t="s">
        <v>125</v>
      </c>
      <c r="AH2973">
        <v>0</v>
      </c>
      <c r="AK2973">
        <v>0</v>
      </c>
    </row>
    <row r="2974" spans="1:37" x14ac:dyDescent="0.25">
      <c r="A2974" t="s">
        <v>79</v>
      </c>
      <c r="B2974">
        <v>12</v>
      </c>
      <c r="C2974">
        <v>1</v>
      </c>
      <c r="D2974">
        <v>3</v>
      </c>
      <c r="E2974">
        <v>1</v>
      </c>
      <c r="G2974">
        <v>1213</v>
      </c>
      <c r="H2974" t="s">
        <v>63</v>
      </c>
      <c r="I2974" t="s">
        <v>80</v>
      </c>
      <c r="J2974" t="s">
        <v>141</v>
      </c>
      <c r="L2974">
        <v>0</v>
      </c>
      <c r="M2974" t="s">
        <v>125</v>
      </c>
      <c r="O2974" t="s">
        <v>125</v>
      </c>
      <c r="P2974" t="s">
        <v>125</v>
      </c>
      <c r="Q2974" t="s">
        <v>125</v>
      </c>
      <c r="R2974" t="s">
        <v>125</v>
      </c>
      <c r="S2974" t="s">
        <v>125</v>
      </c>
      <c r="T2974">
        <v>0</v>
      </c>
      <c r="V2974" t="s">
        <v>125</v>
      </c>
      <c r="AE2974" t="s">
        <v>125</v>
      </c>
      <c r="AF2974">
        <v>0</v>
      </c>
      <c r="AG2974" t="s">
        <v>125</v>
      </c>
      <c r="AH2974">
        <v>0</v>
      </c>
      <c r="AK2974">
        <v>0</v>
      </c>
    </row>
    <row r="2975" spans="1:37" x14ac:dyDescent="0.25">
      <c r="A2975" t="s">
        <v>79</v>
      </c>
      <c r="B2975">
        <v>12</v>
      </c>
      <c r="C2975">
        <v>1</v>
      </c>
      <c r="D2975">
        <v>3</v>
      </c>
      <c r="E2975">
        <v>2</v>
      </c>
      <c r="G2975">
        <v>1213</v>
      </c>
      <c r="H2975" t="s">
        <v>63</v>
      </c>
      <c r="I2975" t="s">
        <v>88</v>
      </c>
      <c r="J2975" t="s">
        <v>142</v>
      </c>
      <c r="L2975">
        <v>0</v>
      </c>
      <c r="M2975" t="s">
        <v>125</v>
      </c>
      <c r="O2975" t="s">
        <v>125</v>
      </c>
      <c r="P2975" t="s">
        <v>125</v>
      </c>
      <c r="Q2975" t="s">
        <v>125</v>
      </c>
      <c r="R2975" t="s">
        <v>125</v>
      </c>
      <c r="S2975" t="s">
        <v>125</v>
      </c>
      <c r="T2975">
        <v>0</v>
      </c>
      <c r="V2975" t="s">
        <v>125</v>
      </c>
      <c r="AE2975" t="s">
        <v>125</v>
      </c>
      <c r="AF2975">
        <v>0</v>
      </c>
      <c r="AG2975" t="s">
        <v>125</v>
      </c>
      <c r="AH2975">
        <v>0</v>
      </c>
      <c r="AK2975">
        <v>0</v>
      </c>
    </row>
    <row r="2976" spans="1:37" x14ac:dyDescent="0.25">
      <c r="A2976" t="s">
        <v>79</v>
      </c>
      <c r="B2976">
        <v>12</v>
      </c>
      <c r="C2976">
        <v>1</v>
      </c>
      <c r="D2976">
        <v>3</v>
      </c>
      <c r="E2976">
        <v>3</v>
      </c>
      <c r="G2976">
        <v>1213</v>
      </c>
      <c r="H2976" t="s">
        <v>63</v>
      </c>
      <c r="I2976" t="s">
        <v>95</v>
      </c>
      <c r="J2976" t="s">
        <v>143</v>
      </c>
      <c r="L2976">
        <v>0</v>
      </c>
      <c r="M2976" t="s">
        <v>125</v>
      </c>
      <c r="O2976" t="s">
        <v>125</v>
      </c>
      <c r="P2976" t="s">
        <v>125</v>
      </c>
      <c r="Q2976" t="s">
        <v>125</v>
      </c>
      <c r="R2976" t="s">
        <v>125</v>
      </c>
      <c r="S2976" t="s">
        <v>125</v>
      </c>
      <c r="T2976">
        <v>0</v>
      </c>
      <c r="V2976" t="s">
        <v>125</v>
      </c>
      <c r="AE2976" t="s">
        <v>125</v>
      </c>
      <c r="AF2976">
        <v>0</v>
      </c>
      <c r="AG2976" t="s">
        <v>125</v>
      </c>
      <c r="AH2976">
        <v>0</v>
      </c>
      <c r="AK2976">
        <v>0</v>
      </c>
    </row>
    <row r="2977" spans="1:37" x14ac:dyDescent="0.25">
      <c r="A2977" t="s">
        <v>79</v>
      </c>
      <c r="B2977">
        <v>12</v>
      </c>
      <c r="C2977">
        <v>1</v>
      </c>
      <c r="D2977">
        <v>3</v>
      </c>
      <c r="E2977">
        <v>4</v>
      </c>
      <c r="G2977">
        <v>1213</v>
      </c>
      <c r="H2977" t="s">
        <v>63</v>
      </c>
      <c r="I2977" t="s">
        <v>102</v>
      </c>
      <c r="J2977" t="s">
        <v>144</v>
      </c>
      <c r="L2977">
        <v>0</v>
      </c>
      <c r="M2977" t="s">
        <v>125</v>
      </c>
      <c r="O2977" t="s">
        <v>125</v>
      </c>
      <c r="P2977" t="s">
        <v>125</v>
      </c>
      <c r="Q2977" t="s">
        <v>125</v>
      </c>
      <c r="R2977" t="s">
        <v>125</v>
      </c>
      <c r="S2977" t="s">
        <v>125</v>
      </c>
      <c r="T2977">
        <v>0</v>
      </c>
      <c r="V2977" t="s">
        <v>125</v>
      </c>
      <c r="AE2977" t="s">
        <v>125</v>
      </c>
      <c r="AF2977">
        <v>0</v>
      </c>
      <c r="AG2977" t="s">
        <v>125</v>
      </c>
      <c r="AH2977">
        <v>0</v>
      </c>
      <c r="AK2977">
        <v>0</v>
      </c>
    </row>
    <row r="2978" spans="1:37" x14ac:dyDescent="0.25">
      <c r="A2978" t="s">
        <v>79</v>
      </c>
      <c r="B2978">
        <v>12</v>
      </c>
      <c r="C2978">
        <v>1</v>
      </c>
      <c r="D2978">
        <v>3</v>
      </c>
      <c r="E2978">
        <v>5</v>
      </c>
      <c r="G2978">
        <v>1213</v>
      </c>
      <c r="H2978" t="s">
        <v>63</v>
      </c>
      <c r="I2978" t="s">
        <v>109</v>
      </c>
      <c r="J2978" t="s">
        <v>145</v>
      </c>
      <c r="L2978">
        <v>0</v>
      </c>
      <c r="M2978" t="s">
        <v>125</v>
      </c>
      <c r="O2978" t="s">
        <v>125</v>
      </c>
      <c r="P2978" t="s">
        <v>125</v>
      </c>
      <c r="Q2978" t="s">
        <v>125</v>
      </c>
      <c r="R2978" t="s">
        <v>125</v>
      </c>
      <c r="S2978" t="s">
        <v>125</v>
      </c>
      <c r="T2978">
        <v>0</v>
      </c>
      <c r="V2978" t="s">
        <v>125</v>
      </c>
      <c r="AE2978" t="s">
        <v>125</v>
      </c>
      <c r="AF2978">
        <v>0</v>
      </c>
      <c r="AG2978" t="s">
        <v>125</v>
      </c>
      <c r="AH2978">
        <v>0</v>
      </c>
      <c r="AK2978">
        <v>0</v>
      </c>
    </row>
    <row r="2979" spans="1:37" x14ac:dyDescent="0.25">
      <c r="A2979" t="s">
        <v>79</v>
      </c>
      <c r="B2979">
        <v>12</v>
      </c>
      <c r="C2979">
        <v>1</v>
      </c>
      <c r="D2979">
        <v>3</v>
      </c>
      <c r="E2979">
        <v>6</v>
      </c>
      <c r="G2979">
        <v>1213</v>
      </c>
      <c r="H2979" t="s">
        <v>63</v>
      </c>
      <c r="I2979" t="s">
        <v>116</v>
      </c>
      <c r="J2979" t="s">
        <v>146</v>
      </c>
      <c r="L2979">
        <v>0</v>
      </c>
      <c r="M2979" t="s">
        <v>125</v>
      </c>
      <c r="O2979" t="s">
        <v>125</v>
      </c>
      <c r="P2979" t="s">
        <v>125</v>
      </c>
      <c r="Q2979" t="s">
        <v>125</v>
      </c>
      <c r="R2979" t="s">
        <v>125</v>
      </c>
      <c r="S2979" t="s">
        <v>125</v>
      </c>
      <c r="T2979">
        <v>0</v>
      </c>
      <c r="V2979" t="s">
        <v>125</v>
      </c>
      <c r="AE2979" t="s">
        <v>125</v>
      </c>
      <c r="AF2979">
        <v>0</v>
      </c>
      <c r="AG2979" t="s">
        <v>125</v>
      </c>
      <c r="AH2979">
        <v>0</v>
      </c>
      <c r="AK2979">
        <v>0</v>
      </c>
    </row>
    <row r="2980" spans="1:37" x14ac:dyDescent="0.25">
      <c r="A2980" t="s">
        <v>79</v>
      </c>
      <c r="B2980">
        <v>12</v>
      </c>
      <c r="C2980">
        <v>1</v>
      </c>
      <c r="D2980">
        <v>3</v>
      </c>
      <c r="E2980">
        <v>7</v>
      </c>
      <c r="G2980">
        <v>1213</v>
      </c>
      <c r="H2980" t="s">
        <v>63</v>
      </c>
      <c r="I2980" t="s">
        <v>123</v>
      </c>
      <c r="J2980" t="s">
        <v>147</v>
      </c>
      <c r="L2980">
        <v>0</v>
      </c>
      <c r="M2980" t="s">
        <v>125</v>
      </c>
      <c r="O2980" t="s">
        <v>125</v>
      </c>
      <c r="P2980" t="s">
        <v>125</v>
      </c>
      <c r="Q2980" t="s">
        <v>125</v>
      </c>
      <c r="R2980" t="s">
        <v>125</v>
      </c>
      <c r="S2980" t="s">
        <v>125</v>
      </c>
      <c r="T2980">
        <v>0</v>
      </c>
      <c r="V2980" t="s">
        <v>125</v>
      </c>
      <c r="AE2980" t="s">
        <v>125</v>
      </c>
      <c r="AF2980">
        <v>0</v>
      </c>
      <c r="AG2980" t="s">
        <v>125</v>
      </c>
      <c r="AH2980">
        <v>0</v>
      </c>
      <c r="AK2980">
        <v>0</v>
      </c>
    </row>
    <row r="2981" spans="1:37" x14ac:dyDescent="0.25">
      <c r="A2981" t="s">
        <v>79</v>
      </c>
      <c r="B2981">
        <v>12</v>
      </c>
      <c r="C2981">
        <v>1</v>
      </c>
      <c r="D2981">
        <v>3</v>
      </c>
      <c r="E2981">
        <v>8</v>
      </c>
      <c r="G2981">
        <v>1213</v>
      </c>
      <c r="H2981" t="s">
        <v>63</v>
      </c>
      <c r="I2981" t="s">
        <v>126</v>
      </c>
      <c r="J2981" t="s">
        <v>148</v>
      </c>
      <c r="L2981">
        <v>0</v>
      </c>
      <c r="M2981" t="s">
        <v>125</v>
      </c>
      <c r="O2981" t="s">
        <v>125</v>
      </c>
      <c r="P2981" t="s">
        <v>125</v>
      </c>
      <c r="Q2981" t="s">
        <v>125</v>
      </c>
      <c r="R2981" t="s">
        <v>125</v>
      </c>
      <c r="S2981" t="s">
        <v>125</v>
      </c>
      <c r="T2981">
        <v>0</v>
      </c>
      <c r="V2981" t="s">
        <v>125</v>
      </c>
      <c r="AE2981" t="s">
        <v>125</v>
      </c>
      <c r="AF2981">
        <v>0</v>
      </c>
      <c r="AG2981" t="s">
        <v>125</v>
      </c>
      <c r="AH2981">
        <v>0</v>
      </c>
      <c r="AK2981">
        <v>0</v>
      </c>
    </row>
    <row r="2982" spans="1:37" x14ac:dyDescent="0.25">
      <c r="A2982" t="s">
        <v>79</v>
      </c>
      <c r="B2982">
        <v>12</v>
      </c>
      <c r="C2982">
        <v>1</v>
      </c>
      <c r="D2982">
        <v>3</v>
      </c>
      <c r="E2982">
        <v>9</v>
      </c>
      <c r="G2982">
        <v>1213</v>
      </c>
      <c r="H2982" t="s">
        <v>63</v>
      </c>
      <c r="I2982" t="s">
        <v>74</v>
      </c>
      <c r="J2982" t="s">
        <v>149</v>
      </c>
      <c r="L2982">
        <v>0</v>
      </c>
      <c r="M2982" t="s">
        <v>125</v>
      </c>
      <c r="O2982" t="s">
        <v>125</v>
      </c>
      <c r="P2982" t="s">
        <v>125</v>
      </c>
      <c r="Q2982" t="s">
        <v>125</v>
      </c>
      <c r="R2982" t="s">
        <v>125</v>
      </c>
      <c r="S2982" t="s">
        <v>125</v>
      </c>
      <c r="T2982">
        <v>0</v>
      </c>
      <c r="V2982" t="s">
        <v>125</v>
      </c>
      <c r="AE2982" t="s">
        <v>125</v>
      </c>
      <c r="AF2982">
        <v>0</v>
      </c>
      <c r="AG2982" t="s">
        <v>125</v>
      </c>
      <c r="AH2982">
        <v>0</v>
      </c>
      <c r="AK2982">
        <v>0</v>
      </c>
    </row>
    <row r="2983" spans="1:37" x14ac:dyDescent="0.25">
      <c r="A2983" t="s">
        <v>79</v>
      </c>
      <c r="B2983">
        <v>12</v>
      </c>
      <c r="C2983">
        <v>1</v>
      </c>
      <c r="D2983">
        <v>3</v>
      </c>
      <c r="E2983">
        <v>10</v>
      </c>
      <c r="G2983">
        <v>1213</v>
      </c>
      <c r="H2983" t="s">
        <v>63</v>
      </c>
      <c r="I2983" t="s">
        <v>129</v>
      </c>
      <c r="J2983" t="s">
        <v>150</v>
      </c>
      <c r="L2983">
        <v>0</v>
      </c>
      <c r="M2983" t="s">
        <v>125</v>
      </c>
      <c r="O2983" t="s">
        <v>125</v>
      </c>
      <c r="P2983" t="s">
        <v>125</v>
      </c>
      <c r="Q2983" t="s">
        <v>125</v>
      </c>
      <c r="R2983" t="s">
        <v>125</v>
      </c>
      <c r="S2983" t="s">
        <v>125</v>
      </c>
      <c r="T2983">
        <v>0</v>
      </c>
      <c r="V2983" t="s">
        <v>125</v>
      </c>
      <c r="AE2983" t="s">
        <v>125</v>
      </c>
      <c r="AF2983">
        <v>0</v>
      </c>
      <c r="AG2983" t="s">
        <v>125</v>
      </c>
      <c r="AH2983">
        <v>0</v>
      </c>
      <c r="AK2983">
        <v>0</v>
      </c>
    </row>
    <row r="2984" spans="1:37" x14ac:dyDescent="0.25">
      <c r="A2984" t="s">
        <v>79</v>
      </c>
      <c r="B2984">
        <v>12</v>
      </c>
      <c r="C2984">
        <v>1</v>
      </c>
      <c r="D2984">
        <v>3</v>
      </c>
      <c r="E2984">
        <v>11</v>
      </c>
      <c r="G2984">
        <v>1213</v>
      </c>
      <c r="H2984" t="s">
        <v>63</v>
      </c>
      <c r="I2984" t="s">
        <v>131</v>
      </c>
      <c r="J2984" t="s">
        <v>151</v>
      </c>
      <c r="L2984">
        <v>0</v>
      </c>
      <c r="M2984" t="s">
        <v>125</v>
      </c>
      <c r="O2984" t="s">
        <v>125</v>
      </c>
      <c r="P2984" t="s">
        <v>125</v>
      </c>
      <c r="Q2984" t="s">
        <v>125</v>
      </c>
      <c r="R2984" t="s">
        <v>125</v>
      </c>
      <c r="S2984" t="s">
        <v>125</v>
      </c>
      <c r="T2984">
        <v>0</v>
      </c>
      <c r="V2984" t="s">
        <v>125</v>
      </c>
      <c r="AE2984" t="s">
        <v>125</v>
      </c>
      <c r="AF2984">
        <v>0</v>
      </c>
      <c r="AG2984" t="s">
        <v>125</v>
      </c>
      <c r="AH2984">
        <v>0</v>
      </c>
      <c r="AK2984">
        <v>0</v>
      </c>
    </row>
    <row r="2985" spans="1:37" x14ac:dyDescent="0.25">
      <c r="A2985" t="s">
        <v>79</v>
      </c>
      <c r="B2985">
        <v>12</v>
      </c>
      <c r="C2985">
        <v>1</v>
      </c>
      <c r="D2985">
        <v>3</v>
      </c>
      <c r="E2985">
        <v>12</v>
      </c>
      <c r="G2985">
        <v>1213</v>
      </c>
      <c r="H2985" t="s">
        <v>63</v>
      </c>
      <c r="I2985" t="s">
        <v>133</v>
      </c>
      <c r="J2985" t="s">
        <v>152</v>
      </c>
      <c r="L2985">
        <v>0</v>
      </c>
      <c r="M2985" t="s">
        <v>125</v>
      </c>
      <c r="O2985" t="s">
        <v>125</v>
      </c>
      <c r="P2985" t="s">
        <v>125</v>
      </c>
      <c r="Q2985" t="s">
        <v>125</v>
      </c>
      <c r="R2985" t="s">
        <v>125</v>
      </c>
      <c r="S2985" t="s">
        <v>125</v>
      </c>
      <c r="T2985">
        <v>0</v>
      </c>
      <c r="V2985" t="s">
        <v>125</v>
      </c>
      <c r="AE2985" t="s">
        <v>125</v>
      </c>
      <c r="AF2985">
        <v>0</v>
      </c>
      <c r="AG2985" t="s">
        <v>125</v>
      </c>
      <c r="AH2985">
        <v>0</v>
      </c>
      <c r="AK2985">
        <v>0</v>
      </c>
    </row>
    <row r="2986" spans="1:37" x14ac:dyDescent="0.25">
      <c r="A2986" t="s">
        <v>79</v>
      </c>
      <c r="B2986">
        <v>12</v>
      </c>
      <c r="C2986">
        <v>1</v>
      </c>
      <c r="D2986">
        <v>3</v>
      </c>
      <c r="E2986">
        <v>13</v>
      </c>
      <c r="G2986">
        <v>1213</v>
      </c>
      <c r="H2986" t="s">
        <v>63</v>
      </c>
      <c r="I2986" t="s">
        <v>135</v>
      </c>
      <c r="J2986" t="s">
        <v>153</v>
      </c>
      <c r="L2986">
        <v>0</v>
      </c>
      <c r="M2986" t="s">
        <v>125</v>
      </c>
      <c r="O2986" t="s">
        <v>125</v>
      </c>
      <c r="P2986" t="s">
        <v>125</v>
      </c>
      <c r="Q2986" t="s">
        <v>125</v>
      </c>
      <c r="R2986" t="s">
        <v>125</v>
      </c>
      <c r="S2986" t="s">
        <v>125</v>
      </c>
      <c r="T2986">
        <v>0</v>
      </c>
      <c r="V2986" t="s">
        <v>125</v>
      </c>
      <c r="AE2986" t="s">
        <v>125</v>
      </c>
      <c r="AF2986">
        <v>0</v>
      </c>
      <c r="AG2986" t="s">
        <v>125</v>
      </c>
      <c r="AH2986">
        <v>0</v>
      </c>
      <c r="AK2986">
        <v>0</v>
      </c>
    </row>
    <row r="2987" spans="1:37" x14ac:dyDescent="0.25">
      <c r="A2987" t="s">
        <v>79</v>
      </c>
      <c r="B2987">
        <v>12</v>
      </c>
      <c r="C2987">
        <v>1</v>
      </c>
      <c r="D2987">
        <v>3</v>
      </c>
      <c r="E2987">
        <v>14</v>
      </c>
      <c r="G2987">
        <v>1213</v>
      </c>
      <c r="H2987" t="s">
        <v>63</v>
      </c>
      <c r="I2987" t="s">
        <v>137</v>
      </c>
      <c r="J2987" t="s">
        <v>154</v>
      </c>
      <c r="L2987">
        <v>0</v>
      </c>
      <c r="M2987" t="s">
        <v>125</v>
      </c>
      <c r="O2987" t="s">
        <v>125</v>
      </c>
      <c r="P2987" t="s">
        <v>125</v>
      </c>
      <c r="Q2987" t="s">
        <v>125</v>
      </c>
      <c r="R2987" t="s">
        <v>125</v>
      </c>
      <c r="S2987" t="s">
        <v>125</v>
      </c>
      <c r="T2987">
        <v>0</v>
      </c>
      <c r="V2987" t="s">
        <v>125</v>
      </c>
      <c r="AE2987" t="s">
        <v>125</v>
      </c>
      <c r="AF2987">
        <v>0</v>
      </c>
      <c r="AG2987" t="s">
        <v>125</v>
      </c>
      <c r="AH2987">
        <v>0</v>
      </c>
      <c r="AK2987">
        <v>0</v>
      </c>
    </row>
    <row r="2988" spans="1:37" x14ac:dyDescent="0.25">
      <c r="A2988" t="s">
        <v>79</v>
      </c>
      <c r="B2988">
        <v>12</v>
      </c>
      <c r="C2988">
        <v>1</v>
      </c>
      <c r="D2988">
        <v>3</v>
      </c>
      <c r="E2988">
        <v>15</v>
      </c>
      <c r="G2988">
        <v>1213</v>
      </c>
      <c r="H2988" t="s">
        <v>63</v>
      </c>
      <c r="I2988" t="s">
        <v>139</v>
      </c>
      <c r="J2988" t="s">
        <v>155</v>
      </c>
      <c r="L2988">
        <v>0</v>
      </c>
      <c r="M2988" t="s">
        <v>125</v>
      </c>
      <c r="O2988" t="s">
        <v>125</v>
      </c>
      <c r="P2988" t="s">
        <v>125</v>
      </c>
      <c r="Q2988" t="s">
        <v>125</v>
      </c>
      <c r="R2988" t="s">
        <v>125</v>
      </c>
      <c r="S2988" t="s">
        <v>125</v>
      </c>
      <c r="T2988">
        <v>0</v>
      </c>
      <c r="V2988" t="s">
        <v>125</v>
      </c>
      <c r="AE2988" t="s">
        <v>125</v>
      </c>
      <c r="AF2988">
        <v>0</v>
      </c>
      <c r="AG2988" t="s">
        <v>125</v>
      </c>
      <c r="AH2988">
        <v>0</v>
      </c>
      <c r="AK2988">
        <v>0</v>
      </c>
    </row>
    <row r="2989" spans="1:37" x14ac:dyDescent="0.25">
      <c r="L2989">
        <v>0</v>
      </c>
    </row>
    <row r="2990" spans="1:37" x14ac:dyDescent="0.25">
      <c r="A2990" t="s">
        <v>70</v>
      </c>
      <c r="B2990">
        <v>12</v>
      </c>
      <c r="C2990">
        <v>1</v>
      </c>
      <c r="D2990">
        <v>4</v>
      </c>
      <c r="G2990">
        <v>121</v>
      </c>
      <c r="L2990">
        <v>0</v>
      </c>
      <c r="M2990" t="s">
        <v>125</v>
      </c>
      <c r="P2990" t="s">
        <v>125</v>
      </c>
      <c r="R2990" t="s">
        <v>125</v>
      </c>
      <c r="S2990" t="s">
        <v>63</v>
      </c>
      <c r="V2990" t="s">
        <v>125</v>
      </c>
      <c r="X2990" t="s">
        <v>125</v>
      </c>
      <c r="Y2990" t="s">
        <v>125</v>
      </c>
      <c r="Z2990" t="s">
        <v>125</v>
      </c>
      <c r="AA2990" t="s">
        <v>125</v>
      </c>
      <c r="AB2990" t="s">
        <v>125</v>
      </c>
      <c r="AC2990" t="s">
        <v>125</v>
      </c>
      <c r="AE2990" t="s">
        <v>125</v>
      </c>
      <c r="AF2990">
        <v>0</v>
      </c>
      <c r="AG2990" t="s">
        <v>125</v>
      </c>
      <c r="AH2990">
        <v>0</v>
      </c>
      <c r="AK2990">
        <v>0</v>
      </c>
    </row>
    <row r="2991" spans="1:37" x14ac:dyDescent="0.25">
      <c r="A2991" t="s">
        <v>79</v>
      </c>
      <c r="B2991">
        <v>12</v>
      </c>
      <c r="C2991">
        <v>1</v>
      </c>
      <c r="D2991">
        <v>4</v>
      </c>
      <c r="E2991">
        <v>1</v>
      </c>
      <c r="G2991">
        <v>1214</v>
      </c>
      <c r="H2991" t="s">
        <v>63</v>
      </c>
      <c r="I2991" t="s">
        <v>80</v>
      </c>
      <c r="J2991" t="s">
        <v>141</v>
      </c>
      <c r="L2991">
        <v>0</v>
      </c>
      <c r="M2991" t="s">
        <v>125</v>
      </c>
      <c r="O2991" t="s">
        <v>125</v>
      </c>
      <c r="P2991" t="s">
        <v>125</v>
      </c>
      <c r="Q2991" t="s">
        <v>125</v>
      </c>
      <c r="R2991" t="s">
        <v>125</v>
      </c>
      <c r="S2991" t="s">
        <v>125</v>
      </c>
      <c r="T2991">
        <v>0</v>
      </c>
      <c r="V2991" t="s">
        <v>125</v>
      </c>
      <c r="AE2991" t="s">
        <v>125</v>
      </c>
      <c r="AF2991">
        <v>0</v>
      </c>
      <c r="AG2991" t="s">
        <v>125</v>
      </c>
      <c r="AH2991">
        <v>0</v>
      </c>
      <c r="AK2991">
        <v>0</v>
      </c>
    </row>
    <row r="2992" spans="1:37" x14ac:dyDescent="0.25">
      <c r="A2992" t="s">
        <v>79</v>
      </c>
      <c r="B2992">
        <v>12</v>
      </c>
      <c r="C2992">
        <v>1</v>
      </c>
      <c r="D2992">
        <v>4</v>
      </c>
      <c r="E2992">
        <v>2</v>
      </c>
      <c r="G2992">
        <v>1214</v>
      </c>
      <c r="H2992" t="s">
        <v>63</v>
      </c>
      <c r="I2992" t="s">
        <v>88</v>
      </c>
      <c r="J2992" t="s">
        <v>142</v>
      </c>
      <c r="L2992">
        <v>0</v>
      </c>
      <c r="M2992" t="s">
        <v>125</v>
      </c>
      <c r="O2992" t="s">
        <v>125</v>
      </c>
      <c r="P2992" t="s">
        <v>125</v>
      </c>
      <c r="Q2992" t="s">
        <v>125</v>
      </c>
      <c r="R2992" t="s">
        <v>125</v>
      </c>
      <c r="S2992" t="s">
        <v>125</v>
      </c>
      <c r="T2992">
        <v>0</v>
      </c>
      <c r="V2992" t="s">
        <v>125</v>
      </c>
      <c r="AE2992" t="s">
        <v>125</v>
      </c>
      <c r="AF2992">
        <v>0</v>
      </c>
      <c r="AG2992" t="s">
        <v>125</v>
      </c>
      <c r="AH2992">
        <v>0</v>
      </c>
      <c r="AK2992">
        <v>0</v>
      </c>
    </row>
    <row r="2993" spans="1:37" x14ac:dyDescent="0.25">
      <c r="A2993" t="s">
        <v>79</v>
      </c>
      <c r="B2993">
        <v>12</v>
      </c>
      <c r="C2993">
        <v>1</v>
      </c>
      <c r="D2993">
        <v>4</v>
      </c>
      <c r="E2993">
        <v>3</v>
      </c>
      <c r="G2993">
        <v>1214</v>
      </c>
      <c r="H2993" t="s">
        <v>63</v>
      </c>
      <c r="I2993" t="s">
        <v>95</v>
      </c>
      <c r="J2993" t="s">
        <v>143</v>
      </c>
      <c r="L2993">
        <v>0</v>
      </c>
      <c r="M2993" t="s">
        <v>125</v>
      </c>
      <c r="O2993" t="s">
        <v>125</v>
      </c>
      <c r="P2993" t="s">
        <v>125</v>
      </c>
      <c r="Q2993" t="s">
        <v>125</v>
      </c>
      <c r="R2993" t="s">
        <v>125</v>
      </c>
      <c r="S2993" t="s">
        <v>125</v>
      </c>
      <c r="T2993">
        <v>0</v>
      </c>
      <c r="V2993" t="s">
        <v>125</v>
      </c>
      <c r="AE2993" t="s">
        <v>125</v>
      </c>
      <c r="AF2993">
        <v>0</v>
      </c>
      <c r="AG2993" t="s">
        <v>125</v>
      </c>
      <c r="AH2993">
        <v>0</v>
      </c>
      <c r="AK2993">
        <v>0</v>
      </c>
    </row>
    <row r="2994" spans="1:37" x14ac:dyDescent="0.25">
      <c r="A2994" t="s">
        <v>79</v>
      </c>
      <c r="B2994">
        <v>12</v>
      </c>
      <c r="C2994">
        <v>1</v>
      </c>
      <c r="D2994">
        <v>4</v>
      </c>
      <c r="E2994">
        <v>4</v>
      </c>
      <c r="G2994">
        <v>1214</v>
      </c>
      <c r="H2994" t="s">
        <v>63</v>
      </c>
      <c r="I2994" t="s">
        <v>102</v>
      </c>
      <c r="J2994" t="s">
        <v>144</v>
      </c>
      <c r="L2994">
        <v>0</v>
      </c>
      <c r="M2994" t="s">
        <v>125</v>
      </c>
      <c r="O2994" t="s">
        <v>125</v>
      </c>
      <c r="P2994" t="s">
        <v>125</v>
      </c>
      <c r="Q2994" t="s">
        <v>125</v>
      </c>
      <c r="R2994" t="s">
        <v>125</v>
      </c>
      <c r="S2994" t="s">
        <v>125</v>
      </c>
      <c r="T2994">
        <v>0</v>
      </c>
      <c r="V2994" t="s">
        <v>125</v>
      </c>
      <c r="AE2994" t="s">
        <v>125</v>
      </c>
      <c r="AF2994">
        <v>0</v>
      </c>
      <c r="AG2994" t="s">
        <v>125</v>
      </c>
      <c r="AH2994">
        <v>0</v>
      </c>
      <c r="AK2994">
        <v>0</v>
      </c>
    </row>
    <row r="2995" spans="1:37" x14ac:dyDescent="0.25">
      <c r="A2995" t="s">
        <v>79</v>
      </c>
      <c r="B2995">
        <v>12</v>
      </c>
      <c r="C2995">
        <v>1</v>
      </c>
      <c r="D2995">
        <v>4</v>
      </c>
      <c r="E2995">
        <v>5</v>
      </c>
      <c r="G2995">
        <v>1214</v>
      </c>
      <c r="H2995" t="s">
        <v>63</v>
      </c>
      <c r="I2995" t="s">
        <v>109</v>
      </c>
      <c r="J2995" t="s">
        <v>145</v>
      </c>
      <c r="L2995">
        <v>0</v>
      </c>
      <c r="M2995" t="s">
        <v>125</v>
      </c>
      <c r="O2995" t="s">
        <v>125</v>
      </c>
      <c r="P2995" t="s">
        <v>125</v>
      </c>
      <c r="Q2995" t="s">
        <v>125</v>
      </c>
      <c r="R2995" t="s">
        <v>125</v>
      </c>
      <c r="S2995" t="s">
        <v>125</v>
      </c>
      <c r="T2995">
        <v>0</v>
      </c>
      <c r="V2995" t="s">
        <v>125</v>
      </c>
      <c r="AE2995" t="s">
        <v>125</v>
      </c>
      <c r="AF2995">
        <v>0</v>
      </c>
      <c r="AG2995" t="s">
        <v>125</v>
      </c>
      <c r="AH2995">
        <v>0</v>
      </c>
      <c r="AK2995">
        <v>0</v>
      </c>
    </row>
    <row r="2996" spans="1:37" x14ac:dyDescent="0.25">
      <c r="A2996" t="s">
        <v>79</v>
      </c>
      <c r="B2996">
        <v>12</v>
      </c>
      <c r="C2996">
        <v>1</v>
      </c>
      <c r="D2996">
        <v>4</v>
      </c>
      <c r="E2996">
        <v>6</v>
      </c>
      <c r="G2996">
        <v>1214</v>
      </c>
      <c r="H2996" t="s">
        <v>63</v>
      </c>
      <c r="I2996" t="s">
        <v>116</v>
      </c>
      <c r="J2996" t="s">
        <v>146</v>
      </c>
      <c r="L2996">
        <v>0</v>
      </c>
      <c r="M2996" t="s">
        <v>125</v>
      </c>
      <c r="O2996" t="s">
        <v>125</v>
      </c>
      <c r="P2996" t="s">
        <v>125</v>
      </c>
      <c r="Q2996" t="s">
        <v>125</v>
      </c>
      <c r="R2996" t="s">
        <v>125</v>
      </c>
      <c r="S2996" t="s">
        <v>125</v>
      </c>
      <c r="T2996">
        <v>0</v>
      </c>
      <c r="V2996" t="s">
        <v>125</v>
      </c>
      <c r="AE2996" t="s">
        <v>125</v>
      </c>
      <c r="AF2996">
        <v>0</v>
      </c>
      <c r="AG2996" t="s">
        <v>125</v>
      </c>
      <c r="AH2996">
        <v>0</v>
      </c>
      <c r="AK2996">
        <v>0</v>
      </c>
    </row>
    <row r="2997" spans="1:37" x14ac:dyDescent="0.25">
      <c r="A2997" t="s">
        <v>79</v>
      </c>
      <c r="B2997">
        <v>12</v>
      </c>
      <c r="C2997">
        <v>1</v>
      </c>
      <c r="D2997">
        <v>4</v>
      </c>
      <c r="E2997">
        <v>7</v>
      </c>
      <c r="G2997">
        <v>1214</v>
      </c>
      <c r="H2997" t="s">
        <v>63</v>
      </c>
      <c r="I2997" t="s">
        <v>123</v>
      </c>
      <c r="J2997" t="s">
        <v>147</v>
      </c>
      <c r="L2997">
        <v>0</v>
      </c>
      <c r="M2997" t="s">
        <v>125</v>
      </c>
      <c r="O2997" t="s">
        <v>125</v>
      </c>
      <c r="P2997" t="s">
        <v>125</v>
      </c>
      <c r="Q2997" t="s">
        <v>125</v>
      </c>
      <c r="R2997" t="s">
        <v>125</v>
      </c>
      <c r="S2997" t="s">
        <v>125</v>
      </c>
      <c r="T2997">
        <v>0</v>
      </c>
      <c r="V2997" t="s">
        <v>125</v>
      </c>
      <c r="AE2997" t="s">
        <v>125</v>
      </c>
      <c r="AF2997">
        <v>0</v>
      </c>
      <c r="AG2997" t="s">
        <v>125</v>
      </c>
      <c r="AH2997">
        <v>0</v>
      </c>
      <c r="AK2997">
        <v>0</v>
      </c>
    </row>
    <row r="2998" spans="1:37" x14ac:dyDescent="0.25">
      <c r="A2998" t="s">
        <v>79</v>
      </c>
      <c r="B2998">
        <v>12</v>
      </c>
      <c r="C2998">
        <v>1</v>
      </c>
      <c r="D2998">
        <v>4</v>
      </c>
      <c r="E2998">
        <v>8</v>
      </c>
      <c r="G2998">
        <v>1214</v>
      </c>
      <c r="H2998" t="s">
        <v>63</v>
      </c>
      <c r="I2998" t="s">
        <v>126</v>
      </c>
      <c r="J2998" t="s">
        <v>148</v>
      </c>
      <c r="L2998">
        <v>0</v>
      </c>
      <c r="M2998" t="s">
        <v>125</v>
      </c>
      <c r="O2998" t="s">
        <v>125</v>
      </c>
      <c r="P2998" t="s">
        <v>125</v>
      </c>
      <c r="Q2998" t="s">
        <v>125</v>
      </c>
      <c r="R2998" t="s">
        <v>125</v>
      </c>
      <c r="S2998" t="s">
        <v>125</v>
      </c>
      <c r="T2998">
        <v>0</v>
      </c>
      <c r="V2998" t="s">
        <v>125</v>
      </c>
      <c r="AE2998" t="s">
        <v>125</v>
      </c>
      <c r="AF2998">
        <v>0</v>
      </c>
      <c r="AG2998" t="s">
        <v>125</v>
      </c>
      <c r="AH2998">
        <v>0</v>
      </c>
      <c r="AK2998">
        <v>0</v>
      </c>
    </row>
    <row r="2999" spans="1:37" x14ac:dyDescent="0.25">
      <c r="A2999" t="s">
        <v>79</v>
      </c>
      <c r="B2999">
        <v>12</v>
      </c>
      <c r="C2999">
        <v>1</v>
      </c>
      <c r="D2999">
        <v>4</v>
      </c>
      <c r="E2999">
        <v>9</v>
      </c>
      <c r="G2999">
        <v>1214</v>
      </c>
      <c r="H2999" t="s">
        <v>63</v>
      </c>
      <c r="I2999" t="s">
        <v>74</v>
      </c>
      <c r="J2999" t="s">
        <v>149</v>
      </c>
      <c r="L2999">
        <v>0</v>
      </c>
      <c r="M2999" t="s">
        <v>125</v>
      </c>
      <c r="O2999" t="s">
        <v>125</v>
      </c>
      <c r="P2999" t="s">
        <v>125</v>
      </c>
      <c r="Q2999" t="s">
        <v>125</v>
      </c>
      <c r="R2999" t="s">
        <v>125</v>
      </c>
      <c r="S2999" t="s">
        <v>125</v>
      </c>
      <c r="T2999">
        <v>0</v>
      </c>
      <c r="V2999" t="s">
        <v>125</v>
      </c>
      <c r="AE2999" t="s">
        <v>125</v>
      </c>
      <c r="AF2999">
        <v>0</v>
      </c>
      <c r="AG2999" t="s">
        <v>125</v>
      </c>
      <c r="AH2999">
        <v>0</v>
      </c>
      <c r="AK2999">
        <v>0</v>
      </c>
    </row>
    <row r="3000" spans="1:37" x14ac:dyDescent="0.25">
      <c r="A3000" t="s">
        <v>79</v>
      </c>
      <c r="B3000">
        <v>12</v>
      </c>
      <c r="C3000">
        <v>1</v>
      </c>
      <c r="D3000">
        <v>4</v>
      </c>
      <c r="E3000">
        <v>10</v>
      </c>
      <c r="G3000">
        <v>1214</v>
      </c>
      <c r="H3000" t="s">
        <v>63</v>
      </c>
      <c r="I3000" t="s">
        <v>129</v>
      </c>
      <c r="J3000" t="s">
        <v>150</v>
      </c>
      <c r="L3000">
        <v>0</v>
      </c>
      <c r="M3000" t="s">
        <v>125</v>
      </c>
      <c r="O3000" t="s">
        <v>125</v>
      </c>
      <c r="P3000" t="s">
        <v>125</v>
      </c>
      <c r="Q3000" t="s">
        <v>125</v>
      </c>
      <c r="R3000" t="s">
        <v>125</v>
      </c>
      <c r="S3000" t="s">
        <v>125</v>
      </c>
      <c r="T3000">
        <v>0</v>
      </c>
      <c r="V3000" t="s">
        <v>125</v>
      </c>
      <c r="AE3000" t="s">
        <v>125</v>
      </c>
      <c r="AF3000">
        <v>0</v>
      </c>
      <c r="AG3000" t="s">
        <v>125</v>
      </c>
      <c r="AH3000">
        <v>0</v>
      </c>
      <c r="AK3000">
        <v>0</v>
      </c>
    </row>
    <row r="3001" spans="1:37" x14ac:dyDescent="0.25">
      <c r="A3001" t="s">
        <v>79</v>
      </c>
      <c r="B3001">
        <v>12</v>
      </c>
      <c r="C3001">
        <v>1</v>
      </c>
      <c r="D3001">
        <v>4</v>
      </c>
      <c r="E3001">
        <v>11</v>
      </c>
      <c r="G3001">
        <v>1214</v>
      </c>
      <c r="H3001" t="s">
        <v>63</v>
      </c>
      <c r="I3001" t="s">
        <v>131</v>
      </c>
      <c r="J3001" t="s">
        <v>151</v>
      </c>
      <c r="L3001">
        <v>0</v>
      </c>
      <c r="M3001" t="s">
        <v>125</v>
      </c>
      <c r="O3001" t="s">
        <v>125</v>
      </c>
      <c r="P3001" t="s">
        <v>125</v>
      </c>
      <c r="Q3001" t="s">
        <v>125</v>
      </c>
      <c r="R3001" t="s">
        <v>125</v>
      </c>
      <c r="S3001" t="s">
        <v>125</v>
      </c>
      <c r="T3001">
        <v>0</v>
      </c>
      <c r="V3001" t="s">
        <v>125</v>
      </c>
      <c r="AE3001" t="s">
        <v>125</v>
      </c>
      <c r="AF3001">
        <v>0</v>
      </c>
      <c r="AG3001" t="s">
        <v>125</v>
      </c>
      <c r="AH3001">
        <v>0</v>
      </c>
      <c r="AK3001">
        <v>0</v>
      </c>
    </row>
    <row r="3002" spans="1:37" x14ac:dyDescent="0.25">
      <c r="A3002" t="s">
        <v>79</v>
      </c>
      <c r="B3002">
        <v>12</v>
      </c>
      <c r="C3002">
        <v>1</v>
      </c>
      <c r="D3002">
        <v>4</v>
      </c>
      <c r="E3002">
        <v>12</v>
      </c>
      <c r="G3002">
        <v>1214</v>
      </c>
      <c r="H3002" t="s">
        <v>63</v>
      </c>
      <c r="I3002" t="s">
        <v>133</v>
      </c>
      <c r="J3002" t="s">
        <v>152</v>
      </c>
      <c r="L3002">
        <v>0</v>
      </c>
      <c r="M3002" t="s">
        <v>125</v>
      </c>
      <c r="O3002" t="s">
        <v>125</v>
      </c>
      <c r="P3002" t="s">
        <v>125</v>
      </c>
      <c r="Q3002" t="s">
        <v>125</v>
      </c>
      <c r="R3002" t="s">
        <v>125</v>
      </c>
      <c r="S3002" t="s">
        <v>125</v>
      </c>
      <c r="T3002">
        <v>0</v>
      </c>
      <c r="V3002" t="s">
        <v>125</v>
      </c>
      <c r="AE3002" t="s">
        <v>125</v>
      </c>
      <c r="AF3002">
        <v>0</v>
      </c>
      <c r="AG3002" t="s">
        <v>125</v>
      </c>
      <c r="AH3002">
        <v>0</v>
      </c>
      <c r="AK3002">
        <v>0</v>
      </c>
    </row>
    <row r="3003" spans="1:37" x14ac:dyDescent="0.25">
      <c r="A3003" t="s">
        <v>79</v>
      </c>
      <c r="B3003">
        <v>12</v>
      </c>
      <c r="C3003">
        <v>1</v>
      </c>
      <c r="D3003">
        <v>4</v>
      </c>
      <c r="E3003">
        <v>13</v>
      </c>
      <c r="G3003">
        <v>1214</v>
      </c>
      <c r="H3003" t="s">
        <v>63</v>
      </c>
      <c r="I3003" t="s">
        <v>135</v>
      </c>
      <c r="J3003" t="s">
        <v>153</v>
      </c>
      <c r="L3003">
        <v>0</v>
      </c>
      <c r="M3003" t="s">
        <v>125</v>
      </c>
      <c r="O3003" t="s">
        <v>125</v>
      </c>
      <c r="P3003" t="s">
        <v>125</v>
      </c>
      <c r="Q3003" t="s">
        <v>125</v>
      </c>
      <c r="R3003" t="s">
        <v>125</v>
      </c>
      <c r="S3003" t="s">
        <v>125</v>
      </c>
      <c r="T3003">
        <v>0</v>
      </c>
      <c r="V3003" t="s">
        <v>125</v>
      </c>
      <c r="AE3003" t="s">
        <v>125</v>
      </c>
      <c r="AF3003">
        <v>0</v>
      </c>
      <c r="AG3003" t="s">
        <v>125</v>
      </c>
      <c r="AH3003">
        <v>0</v>
      </c>
      <c r="AK3003">
        <v>0</v>
      </c>
    </row>
    <row r="3004" spans="1:37" x14ac:dyDescent="0.25">
      <c r="A3004" t="s">
        <v>79</v>
      </c>
      <c r="B3004">
        <v>12</v>
      </c>
      <c r="C3004">
        <v>1</v>
      </c>
      <c r="D3004">
        <v>4</v>
      </c>
      <c r="E3004">
        <v>14</v>
      </c>
      <c r="G3004">
        <v>1214</v>
      </c>
      <c r="H3004" t="s">
        <v>63</v>
      </c>
      <c r="I3004" t="s">
        <v>137</v>
      </c>
      <c r="J3004" t="s">
        <v>154</v>
      </c>
      <c r="L3004">
        <v>0</v>
      </c>
      <c r="M3004" t="s">
        <v>125</v>
      </c>
      <c r="O3004" t="s">
        <v>125</v>
      </c>
      <c r="P3004" t="s">
        <v>125</v>
      </c>
      <c r="Q3004" t="s">
        <v>125</v>
      </c>
      <c r="R3004" t="s">
        <v>125</v>
      </c>
      <c r="S3004" t="s">
        <v>125</v>
      </c>
      <c r="T3004">
        <v>0</v>
      </c>
      <c r="V3004" t="s">
        <v>125</v>
      </c>
      <c r="AE3004" t="s">
        <v>125</v>
      </c>
      <c r="AF3004">
        <v>0</v>
      </c>
      <c r="AG3004" t="s">
        <v>125</v>
      </c>
      <c r="AH3004">
        <v>0</v>
      </c>
      <c r="AK3004">
        <v>0</v>
      </c>
    </row>
    <row r="3005" spans="1:37" x14ac:dyDescent="0.25">
      <c r="A3005" t="s">
        <v>79</v>
      </c>
      <c r="B3005">
        <v>12</v>
      </c>
      <c r="C3005">
        <v>1</v>
      </c>
      <c r="D3005">
        <v>4</v>
      </c>
      <c r="E3005">
        <v>15</v>
      </c>
      <c r="G3005">
        <v>1214</v>
      </c>
      <c r="H3005" t="s">
        <v>63</v>
      </c>
      <c r="I3005" t="s">
        <v>139</v>
      </c>
      <c r="J3005" t="s">
        <v>155</v>
      </c>
      <c r="L3005">
        <v>0</v>
      </c>
      <c r="M3005" t="s">
        <v>125</v>
      </c>
      <c r="O3005" t="s">
        <v>125</v>
      </c>
      <c r="P3005" t="s">
        <v>125</v>
      </c>
      <c r="Q3005" t="s">
        <v>125</v>
      </c>
      <c r="R3005" t="s">
        <v>125</v>
      </c>
      <c r="S3005" t="s">
        <v>125</v>
      </c>
      <c r="T3005">
        <v>0</v>
      </c>
      <c r="V3005" t="s">
        <v>125</v>
      </c>
      <c r="AE3005" t="s">
        <v>125</v>
      </c>
      <c r="AF3005">
        <v>0</v>
      </c>
      <c r="AG3005" t="s">
        <v>125</v>
      </c>
      <c r="AH3005">
        <v>0</v>
      </c>
      <c r="AK3005">
        <v>0</v>
      </c>
    </row>
    <row r="3006" spans="1:37" x14ac:dyDescent="0.25">
      <c r="L3006">
        <v>0</v>
      </c>
    </row>
    <row r="3007" spans="1:37" x14ac:dyDescent="0.25">
      <c r="A3007" t="s">
        <v>70</v>
      </c>
      <c r="B3007">
        <v>12</v>
      </c>
      <c r="C3007">
        <v>1</v>
      </c>
      <c r="D3007">
        <v>5</v>
      </c>
      <c r="G3007">
        <v>121</v>
      </c>
      <c r="L3007">
        <v>0</v>
      </c>
      <c r="M3007" t="s">
        <v>125</v>
      </c>
      <c r="P3007" t="s">
        <v>125</v>
      </c>
      <c r="R3007" t="s">
        <v>125</v>
      </c>
      <c r="S3007" t="s">
        <v>63</v>
      </c>
      <c r="V3007" t="s">
        <v>125</v>
      </c>
      <c r="X3007" t="s">
        <v>125</v>
      </c>
      <c r="Y3007" t="s">
        <v>125</v>
      </c>
      <c r="Z3007" t="s">
        <v>125</v>
      </c>
      <c r="AA3007" t="s">
        <v>125</v>
      </c>
      <c r="AB3007" t="s">
        <v>125</v>
      </c>
      <c r="AC3007" t="s">
        <v>125</v>
      </c>
      <c r="AE3007" t="s">
        <v>125</v>
      </c>
      <c r="AF3007">
        <v>0</v>
      </c>
      <c r="AG3007" t="s">
        <v>125</v>
      </c>
      <c r="AH3007">
        <v>0</v>
      </c>
      <c r="AK3007">
        <v>0</v>
      </c>
    </row>
    <row r="3008" spans="1:37" x14ac:dyDescent="0.25">
      <c r="A3008" t="s">
        <v>79</v>
      </c>
      <c r="B3008">
        <v>12</v>
      </c>
      <c r="C3008">
        <v>1</v>
      </c>
      <c r="D3008">
        <v>5</v>
      </c>
      <c r="E3008">
        <v>1</v>
      </c>
      <c r="G3008">
        <v>1215</v>
      </c>
      <c r="H3008" t="s">
        <v>63</v>
      </c>
      <c r="I3008" t="s">
        <v>80</v>
      </c>
      <c r="J3008" t="s">
        <v>141</v>
      </c>
      <c r="L3008">
        <v>0</v>
      </c>
      <c r="M3008" t="s">
        <v>125</v>
      </c>
      <c r="O3008" t="s">
        <v>125</v>
      </c>
      <c r="P3008" t="s">
        <v>125</v>
      </c>
      <c r="Q3008" t="s">
        <v>125</v>
      </c>
      <c r="R3008" t="s">
        <v>125</v>
      </c>
      <c r="S3008" t="s">
        <v>125</v>
      </c>
      <c r="T3008">
        <v>0</v>
      </c>
      <c r="V3008" t="s">
        <v>125</v>
      </c>
      <c r="AE3008" t="s">
        <v>125</v>
      </c>
      <c r="AF3008">
        <v>0</v>
      </c>
      <c r="AG3008" t="s">
        <v>125</v>
      </c>
      <c r="AH3008">
        <v>0</v>
      </c>
      <c r="AK3008">
        <v>0</v>
      </c>
    </row>
    <row r="3009" spans="1:37" x14ac:dyDescent="0.25">
      <c r="A3009" t="s">
        <v>79</v>
      </c>
      <c r="B3009">
        <v>12</v>
      </c>
      <c r="C3009">
        <v>1</v>
      </c>
      <c r="D3009">
        <v>5</v>
      </c>
      <c r="E3009">
        <v>2</v>
      </c>
      <c r="G3009">
        <v>1215</v>
      </c>
      <c r="H3009" t="s">
        <v>63</v>
      </c>
      <c r="I3009" t="s">
        <v>88</v>
      </c>
      <c r="J3009" t="s">
        <v>142</v>
      </c>
      <c r="L3009">
        <v>0</v>
      </c>
      <c r="M3009" t="s">
        <v>125</v>
      </c>
      <c r="O3009" t="s">
        <v>125</v>
      </c>
      <c r="P3009" t="s">
        <v>125</v>
      </c>
      <c r="Q3009" t="s">
        <v>125</v>
      </c>
      <c r="R3009" t="s">
        <v>125</v>
      </c>
      <c r="S3009" t="s">
        <v>125</v>
      </c>
      <c r="T3009">
        <v>0</v>
      </c>
      <c r="V3009" t="s">
        <v>125</v>
      </c>
      <c r="AE3009" t="s">
        <v>125</v>
      </c>
      <c r="AF3009">
        <v>0</v>
      </c>
      <c r="AG3009" t="s">
        <v>125</v>
      </c>
      <c r="AH3009">
        <v>0</v>
      </c>
      <c r="AK3009">
        <v>0</v>
      </c>
    </row>
    <row r="3010" spans="1:37" x14ac:dyDescent="0.25">
      <c r="A3010" t="s">
        <v>79</v>
      </c>
      <c r="B3010">
        <v>12</v>
      </c>
      <c r="C3010">
        <v>1</v>
      </c>
      <c r="D3010">
        <v>5</v>
      </c>
      <c r="E3010">
        <v>3</v>
      </c>
      <c r="G3010">
        <v>1215</v>
      </c>
      <c r="H3010" t="s">
        <v>63</v>
      </c>
      <c r="I3010" t="s">
        <v>95</v>
      </c>
      <c r="J3010" t="s">
        <v>143</v>
      </c>
      <c r="L3010">
        <v>0</v>
      </c>
      <c r="M3010" t="s">
        <v>125</v>
      </c>
      <c r="O3010" t="s">
        <v>125</v>
      </c>
      <c r="P3010" t="s">
        <v>125</v>
      </c>
      <c r="Q3010" t="s">
        <v>125</v>
      </c>
      <c r="R3010" t="s">
        <v>125</v>
      </c>
      <c r="S3010" t="s">
        <v>125</v>
      </c>
      <c r="T3010">
        <v>0</v>
      </c>
      <c r="V3010" t="s">
        <v>125</v>
      </c>
      <c r="AE3010" t="s">
        <v>125</v>
      </c>
      <c r="AF3010">
        <v>0</v>
      </c>
      <c r="AG3010" t="s">
        <v>125</v>
      </c>
      <c r="AH3010">
        <v>0</v>
      </c>
      <c r="AK3010">
        <v>0</v>
      </c>
    </row>
    <row r="3011" spans="1:37" x14ac:dyDescent="0.25">
      <c r="A3011" t="s">
        <v>79</v>
      </c>
      <c r="B3011">
        <v>12</v>
      </c>
      <c r="C3011">
        <v>1</v>
      </c>
      <c r="D3011">
        <v>5</v>
      </c>
      <c r="E3011">
        <v>4</v>
      </c>
      <c r="G3011">
        <v>1215</v>
      </c>
      <c r="H3011" t="s">
        <v>63</v>
      </c>
      <c r="I3011" t="s">
        <v>102</v>
      </c>
      <c r="J3011" t="s">
        <v>144</v>
      </c>
      <c r="L3011">
        <v>0</v>
      </c>
      <c r="M3011" t="s">
        <v>125</v>
      </c>
      <c r="O3011" t="s">
        <v>125</v>
      </c>
      <c r="P3011" t="s">
        <v>125</v>
      </c>
      <c r="Q3011" t="s">
        <v>125</v>
      </c>
      <c r="R3011" t="s">
        <v>125</v>
      </c>
      <c r="S3011" t="s">
        <v>125</v>
      </c>
      <c r="T3011">
        <v>0</v>
      </c>
      <c r="V3011" t="s">
        <v>125</v>
      </c>
      <c r="AE3011" t="s">
        <v>125</v>
      </c>
      <c r="AF3011">
        <v>0</v>
      </c>
      <c r="AG3011" t="s">
        <v>125</v>
      </c>
      <c r="AH3011">
        <v>0</v>
      </c>
      <c r="AK3011">
        <v>0</v>
      </c>
    </row>
    <row r="3012" spans="1:37" x14ac:dyDescent="0.25">
      <c r="A3012" t="s">
        <v>79</v>
      </c>
      <c r="B3012">
        <v>12</v>
      </c>
      <c r="C3012">
        <v>1</v>
      </c>
      <c r="D3012">
        <v>5</v>
      </c>
      <c r="E3012">
        <v>5</v>
      </c>
      <c r="G3012">
        <v>1215</v>
      </c>
      <c r="H3012" t="s">
        <v>63</v>
      </c>
      <c r="I3012" t="s">
        <v>109</v>
      </c>
      <c r="J3012" t="s">
        <v>145</v>
      </c>
      <c r="L3012">
        <v>0</v>
      </c>
      <c r="M3012" t="s">
        <v>125</v>
      </c>
      <c r="O3012" t="s">
        <v>125</v>
      </c>
      <c r="P3012" t="s">
        <v>125</v>
      </c>
      <c r="Q3012" t="s">
        <v>125</v>
      </c>
      <c r="R3012" t="s">
        <v>125</v>
      </c>
      <c r="S3012" t="s">
        <v>125</v>
      </c>
      <c r="T3012">
        <v>0</v>
      </c>
      <c r="V3012" t="s">
        <v>125</v>
      </c>
      <c r="AE3012" t="s">
        <v>125</v>
      </c>
      <c r="AF3012">
        <v>0</v>
      </c>
      <c r="AG3012" t="s">
        <v>125</v>
      </c>
      <c r="AH3012">
        <v>0</v>
      </c>
      <c r="AK3012">
        <v>0</v>
      </c>
    </row>
    <row r="3013" spans="1:37" x14ac:dyDescent="0.25">
      <c r="A3013" t="s">
        <v>79</v>
      </c>
      <c r="B3013">
        <v>12</v>
      </c>
      <c r="C3013">
        <v>1</v>
      </c>
      <c r="D3013">
        <v>5</v>
      </c>
      <c r="E3013">
        <v>6</v>
      </c>
      <c r="G3013">
        <v>1215</v>
      </c>
      <c r="H3013" t="s">
        <v>63</v>
      </c>
      <c r="I3013" t="s">
        <v>116</v>
      </c>
      <c r="J3013" t="s">
        <v>146</v>
      </c>
      <c r="L3013">
        <v>0</v>
      </c>
      <c r="M3013" t="s">
        <v>125</v>
      </c>
      <c r="O3013" t="s">
        <v>125</v>
      </c>
      <c r="P3013" t="s">
        <v>125</v>
      </c>
      <c r="Q3013" t="s">
        <v>125</v>
      </c>
      <c r="R3013" t="s">
        <v>125</v>
      </c>
      <c r="S3013" t="s">
        <v>125</v>
      </c>
      <c r="T3013">
        <v>0</v>
      </c>
      <c r="V3013" t="s">
        <v>125</v>
      </c>
      <c r="AE3013" t="s">
        <v>125</v>
      </c>
      <c r="AF3013">
        <v>0</v>
      </c>
      <c r="AG3013" t="s">
        <v>125</v>
      </c>
      <c r="AH3013">
        <v>0</v>
      </c>
      <c r="AK3013">
        <v>0</v>
      </c>
    </row>
    <row r="3014" spans="1:37" x14ac:dyDescent="0.25">
      <c r="A3014" t="s">
        <v>79</v>
      </c>
      <c r="B3014">
        <v>12</v>
      </c>
      <c r="C3014">
        <v>1</v>
      </c>
      <c r="D3014">
        <v>5</v>
      </c>
      <c r="E3014">
        <v>7</v>
      </c>
      <c r="G3014">
        <v>1215</v>
      </c>
      <c r="H3014" t="s">
        <v>63</v>
      </c>
      <c r="I3014" t="s">
        <v>123</v>
      </c>
      <c r="J3014" t="s">
        <v>147</v>
      </c>
      <c r="L3014">
        <v>0</v>
      </c>
      <c r="M3014" t="s">
        <v>125</v>
      </c>
      <c r="O3014" t="s">
        <v>125</v>
      </c>
      <c r="P3014" t="s">
        <v>125</v>
      </c>
      <c r="Q3014" t="s">
        <v>125</v>
      </c>
      <c r="R3014" t="s">
        <v>125</v>
      </c>
      <c r="S3014" t="s">
        <v>125</v>
      </c>
      <c r="T3014">
        <v>0</v>
      </c>
      <c r="V3014" t="s">
        <v>125</v>
      </c>
      <c r="AE3014" t="s">
        <v>125</v>
      </c>
      <c r="AF3014">
        <v>0</v>
      </c>
      <c r="AG3014" t="s">
        <v>125</v>
      </c>
      <c r="AH3014">
        <v>0</v>
      </c>
      <c r="AK3014">
        <v>0</v>
      </c>
    </row>
    <row r="3015" spans="1:37" x14ac:dyDescent="0.25">
      <c r="A3015" t="s">
        <v>79</v>
      </c>
      <c r="B3015">
        <v>12</v>
      </c>
      <c r="C3015">
        <v>1</v>
      </c>
      <c r="D3015">
        <v>5</v>
      </c>
      <c r="E3015">
        <v>8</v>
      </c>
      <c r="G3015">
        <v>1215</v>
      </c>
      <c r="H3015" t="s">
        <v>63</v>
      </c>
      <c r="I3015" t="s">
        <v>126</v>
      </c>
      <c r="J3015" t="s">
        <v>148</v>
      </c>
      <c r="L3015">
        <v>0</v>
      </c>
      <c r="M3015" t="s">
        <v>125</v>
      </c>
      <c r="O3015" t="s">
        <v>125</v>
      </c>
      <c r="P3015" t="s">
        <v>125</v>
      </c>
      <c r="Q3015" t="s">
        <v>125</v>
      </c>
      <c r="R3015" t="s">
        <v>125</v>
      </c>
      <c r="S3015" t="s">
        <v>125</v>
      </c>
      <c r="T3015">
        <v>0</v>
      </c>
      <c r="V3015" t="s">
        <v>125</v>
      </c>
      <c r="AE3015" t="s">
        <v>125</v>
      </c>
      <c r="AF3015">
        <v>0</v>
      </c>
      <c r="AG3015" t="s">
        <v>125</v>
      </c>
      <c r="AH3015">
        <v>0</v>
      </c>
      <c r="AK3015">
        <v>0</v>
      </c>
    </row>
    <row r="3016" spans="1:37" x14ac:dyDescent="0.25">
      <c r="A3016" t="s">
        <v>79</v>
      </c>
      <c r="B3016">
        <v>12</v>
      </c>
      <c r="C3016">
        <v>1</v>
      </c>
      <c r="D3016">
        <v>5</v>
      </c>
      <c r="E3016">
        <v>9</v>
      </c>
      <c r="G3016">
        <v>1215</v>
      </c>
      <c r="H3016" t="s">
        <v>63</v>
      </c>
      <c r="I3016" t="s">
        <v>74</v>
      </c>
      <c r="J3016" t="s">
        <v>149</v>
      </c>
      <c r="L3016">
        <v>0</v>
      </c>
      <c r="M3016" t="s">
        <v>125</v>
      </c>
      <c r="O3016" t="s">
        <v>125</v>
      </c>
      <c r="P3016" t="s">
        <v>125</v>
      </c>
      <c r="Q3016" t="s">
        <v>125</v>
      </c>
      <c r="R3016" t="s">
        <v>125</v>
      </c>
      <c r="S3016" t="s">
        <v>125</v>
      </c>
      <c r="T3016">
        <v>0</v>
      </c>
      <c r="V3016" t="s">
        <v>125</v>
      </c>
      <c r="AE3016" t="s">
        <v>125</v>
      </c>
      <c r="AF3016">
        <v>0</v>
      </c>
      <c r="AG3016" t="s">
        <v>125</v>
      </c>
      <c r="AH3016">
        <v>0</v>
      </c>
      <c r="AK3016">
        <v>0</v>
      </c>
    </row>
    <row r="3017" spans="1:37" x14ac:dyDescent="0.25">
      <c r="A3017" t="s">
        <v>79</v>
      </c>
      <c r="B3017">
        <v>12</v>
      </c>
      <c r="C3017">
        <v>1</v>
      </c>
      <c r="D3017">
        <v>5</v>
      </c>
      <c r="E3017">
        <v>10</v>
      </c>
      <c r="G3017">
        <v>1215</v>
      </c>
      <c r="H3017" t="s">
        <v>63</v>
      </c>
      <c r="I3017" t="s">
        <v>129</v>
      </c>
      <c r="J3017" t="s">
        <v>150</v>
      </c>
      <c r="L3017">
        <v>0</v>
      </c>
      <c r="M3017" t="s">
        <v>125</v>
      </c>
      <c r="O3017" t="s">
        <v>125</v>
      </c>
      <c r="P3017" t="s">
        <v>125</v>
      </c>
      <c r="Q3017" t="s">
        <v>125</v>
      </c>
      <c r="R3017" t="s">
        <v>125</v>
      </c>
      <c r="S3017" t="s">
        <v>125</v>
      </c>
      <c r="T3017">
        <v>0</v>
      </c>
      <c r="V3017" t="s">
        <v>125</v>
      </c>
      <c r="AE3017" t="s">
        <v>125</v>
      </c>
      <c r="AF3017">
        <v>0</v>
      </c>
      <c r="AG3017" t="s">
        <v>125</v>
      </c>
      <c r="AH3017">
        <v>0</v>
      </c>
      <c r="AK3017">
        <v>0</v>
      </c>
    </row>
    <row r="3018" spans="1:37" x14ac:dyDescent="0.25">
      <c r="A3018" t="s">
        <v>79</v>
      </c>
      <c r="B3018">
        <v>12</v>
      </c>
      <c r="C3018">
        <v>1</v>
      </c>
      <c r="D3018">
        <v>5</v>
      </c>
      <c r="E3018">
        <v>11</v>
      </c>
      <c r="G3018">
        <v>1215</v>
      </c>
      <c r="H3018" t="s">
        <v>63</v>
      </c>
      <c r="I3018" t="s">
        <v>131</v>
      </c>
      <c r="J3018" t="s">
        <v>151</v>
      </c>
      <c r="L3018">
        <v>0</v>
      </c>
      <c r="M3018" t="s">
        <v>125</v>
      </c>
      <c r="O3018" t="s">
        <v>125</v>
      </c>
      <c r="P3018" t="s">
        <v>125</v>
      </c>
      <c r="Q3018" t="s">
        <v>125</v>
      </c>
      <c r="R3018" t="s">
        <v>125</v>
      </c>
      <c r="S3018" t="s">
        <v>125</v>
      </c>
      <c r="T3018">
        <v>0</v>
      </c>
      <c r="V3018" t="s">
        <v>125</v>
      </c>
      <c r="AE3018" t="s">
        <v>125</v>
      </c>
      <c r="AF3018">
        <v>0</v>
      </c>
      <c r="AG3018" t="s">
        <v>125</v>
      </c>
      <c r="AH3018">
        <v>0</v>
      </c>
      <c r="AK3018">
        <v>0</v>
      </c>
    </row>
    <row r="3019" spans="1:37" x14ac:dyDescent="0.25">
      <c r="A3019" t="s">
        <v>79</v>
      </c>
      <c r="B3019">
        <v>12</v>
      </c>
      <c r="C3019">
        <v>1</v>
      </c>
      <c r="D3019">
        <v>5</v>
      </c>
      <c r="E3019">
        <v>12</v>
      </c>
      <c r="G3019">
        <v>1215</v>
      </c>
      <c r="H3019" t="s">
        <v>63</v>
      </c>
      <c r="I3019" t="s">
        <v>133</v>
      </c>
      <c r="J3019" t="s">
        <v>152</v>
      </c>
      <c r="L3019">
        <v>0</v>
      </c>
      <c r="M3019" t="s">
        <v>125</v>
      </c>
      <c r="O3019" t="s">
        <v>125</v>
      </c>
      <c r="P3019" t="s">
        <v>125</v>
      </c>
      <c r="Q3019" t="s">
        <v>125</v>
      </c>
      <c r="R3019" t="s">
        <v>125</v>
      </c>
      <c r="S3019" t="s">
        <v>125</v>
      </c>
      <c r="T3019">
        <v>0</v>
      </c>
      <c r="V3019" t="s">
        <v>125</v>
      </c>
      <c r="AE3019" t="s">
        <v>125</v>
      </c>
      <c r="AF3019">
        <v>0</v>
      </c>
      <c r="AG3019" t="s">
        <v>125</v>
      </c>
      <c r="AH3019">
        <v>0</v>
      </c>
      <c r="AK3019">
        <v>0</v>
      </c>
    </row>
    <row r="3020" spans="1:37" x14ac:dyDescent="0.25">
      <c r="A3020" t="s">
        <v>79</v>
      </c>
      <c r="B3020">
        <v>12</v>
      </c>
      <c r="C3020">
        <v>1</v>
      </c>
      <c r="D3020">
        <v>5</v>
      </c>
      <c r="E3020">
        <v>13</v>
      </c>
      <c r="G3020">
        <v>1215</v>
      </c>
      <c r="H3020" t="s">
        <v>63</v>
      </c>
      <c r="I3020" t="s">
        <v>135</v>
      </c>
      <c r="J3020" t="s">
        <v>153</v>
      </c>
      <c r="L3020">
        <v>0</v>
      </c>
      <c r="M3020" t="s">
        <v>125</v>
      </c>
      <c r="O3020" t="s">
        <v>125</v>
      </c>
      <c r="P3020" t="s">
        <v>125</v>
      </c>
      <c r="Q3020" t="s">
        <v>125</v>
      </c>
      <c r="R3020" t="s">
        <v>125</v>
      </c>
      <c r="S3020" t="s">
        <v>125</v>
      </c>
      <c r="T3020">
        <v>0</v>
      </c>
      <c r="V3020" t="s">
        <v>125</v>
      </c>
      <c r="AE3020" t="s">
        <v>125</v>
      </c>
      <c r="AF3020">
        <v>0</v>
      </c>
      <c r="AG3020" t="s">
        <v>125</v>
      </c>
      <c r="AH3020">
        <v>0</v>
      </c>
      <c r="AK3020">
        <v>0</v>
      </c>
    </row>
    <row r="3021" spans="1:37" x14ac:dyDescent="0.25">
      <c r="A3021" t="s">
        <v>79</v>
      </c>
      <c r="B3021">
        <v>12</v>
      </c>
      <c r="C3021">
        <v>1</v>
      </c>
      <c r="D3021">
        <v>5</v>
      </c>
      <c r="E3021">
        <v>14</v>
      </c>
      <c r="G3021">
        <v>1215</v>
      </c>
      <c r="H3021" t="s">
        <v>63</v>
      </c>
      <c r="I3021" t="s">
        <v>137</v>
      </c>
      <c r="J3021" t="s">
        <v>154</v>
      </c>
      <c r="L3021">
        <v>0</v>
      </c>
      <c r="M3021" t="s">
        <v>125</v>
      </c>
      <c r="O3021" t="s">
        <v>125</v>
      </c>
      <c r="P3021" t="s">
        <v>125</v>
      </c>
      <c r="Q3021" t="s">
        <v>125</v>
      </c>
      <c r="R3021" t="s">
        <v>125</v>
      </c>
      <c r="S3021" t="s">
        <v>125</v>
      </c>
      <c r="T3021">
        <v>0</v>
      </c>
      <c r="V3021" t="s">
        <v>125</v>
      </c>
      <c r="AE3021" t="s">
        <v>125</v>
      </c>
      <c r="AF3021">
        <v>0</v>
      </c>
      <c r="AG3021" t="s">
        <v>125</v>
      </c>
      <c r="AH3021">
        <v>0</v>
      </c>
      <c r="AK3021">
        <v>0</v>
      </c>
    </row>
    <row r="3022" spans="1:37" x14ac:dyDescent="0.25">
      <c r="A3022" t="s">
        <v>79</v>
      </c>
      <c r="B3022">
        <v>12</v>
      </c>
      <c r="C3022">
        <v>1</v>
      </c>
      <c r="D3022">
        <v>5</v>
      </c>
      <c r="E3022">
        <v>15</v>
      </c>
      <c r="G3022">
        <v>1215</v>
      </c>
      <c r="H3022" t="s">
        <v>63</v>
      </c>
      <c r="I3022" t="s">
        <v>139</v>
      </c>
      <c r="J3022" t="s">
        <v>155</v>
      </c>
      <c r="L3022">
        <v>0</v>
      </c>
      <c r="M3022" t="s">
        <v>125</v>
      </c>
      <c r="O3022" t="s">
        <v>125</v>
      </c>
      <c r="P3022" t="s">
        <v>125</v>
      </c>
      <c r="Q3022" t="s">
        <v>125</v>
      </c>
      <c r="R3022" t="s">
        <v>125</v>
      </c>
      <c r="S3022" t="s">
        <v>125</v>
      </c>
      <c r="T3022">
        <v>0</v>
      </c>
      <c r="V3022" t="s">
        <v>125</v>
      </c>
      <c r="AE3022" t="s">
        <v>125</v>
      </c>
      <c r="AF3022">
        <v>0</v>
      </c>
      <c r="AG3022" t="s">
        <v>125</v>
      </c>
      <c r="AH3022">
        <v>0</v>
      </c>
      <c r="AK3022">
        <v>0</v>
      </c>
    </row>
    <row r="3023" spans="1:37" x14ac:dyDescent="0.25">
      <c r="L3023">
        <v>0</v>
      </c>
    </row>
    <row r="3024" spans="1:37" x14ac:dyDescent="0.25">
      <c r="L3024">
        <v>0</v>
      </c>
    </row>
    <row r="3025" spans="1:37" x14ac:dyDescent="0.25">
      <c r="A3025" t="s">
        <v>66</v>
      </c>
      <c r="B3025">
        <v>12</v>
      </c>
      <c r="C3025">
        <v>2</v>
      </c>
      <c r="G3025">
        <v>12</v>
      </c>
      <c r="H3025" t="s">
        <v>3866</v>
      </c>
      <c r="I3025" t="s">
        <v>3951</v>
      </c>
      <c r="M3025" t="s">
        <v>3952</v>
      </c>
      <c r="N3025" t="s">
        <v>3951</v>
      </c>
      <c r="P3025" t="s">
        <v>3953</v>
      </c>
      <c r="V3025" t="s">
        <v>3954</v>
      </c>
      <c r="Y3025" t="s">
        <v>3955</v>
      </c>
      <c r="AA3025" t="s">
        <v>3956</v>
      </c>
      <c r="AC3025" t="s">
        <v>63</v>
      </c>
      <c r="AE3025" t="s">
        <v>3957</v>
      </c>
      <c r="AF3025">
        <v>0</v>
      </c>
      <c r="AG3025" t="s">
        <v>3958</v>
      </c>
      <c r="AH3025">
        <v>0</v>
      </c>
      <c r="AK3025">
        <v>0</v>
      </c>
    </row>
    <row r="3026" spans="1:37" x14ac:dyDescent="0.25">
      <c r="L3026">
        <v>0</v>
      </c>
    </row>
    <row r="3027" spans="1:37" x14ac:dyDescent="0.25">
      <c r="A3027" t="s">
        <v>70</v>
      </c>
      <c r="B3027">
        <v>12</v>
      </c>
      <c r="C3027">
        <v>2</v>
      </c>
      <c r="D3027">
        <v>1</v>
      </c>
      <c r="G3027">
        <v>122</v>
      </c>
      <c r="M3027" t="s">
        <v>3959</v>
      </c>
      <c r="O3027" t="s">
        <v>3960</v>
      </c>
      <c r="P3027" t="s">
        <v>3961</v>
      </c>
      <c r="Q3027" t="s">
        <v>3962</v>
      </c>
      <c r="R3027" t="s">
        <v>192</v>
      </c>
      <c r="S3027" t="s">
        <v>3963</v>
      </c>
      <c r="V3027" t="s">
        <v>3954</v>
      </c>
      <c r="X3027" t="s">
        <v>3964</v>
      </c>
      <c r="Y3027" t="s">
        <v>3955</v>
      </c>
      <c r="Z3027" t="s">
        <v>3965</v>
      </c>
      <c r="AA3027" t="s">
        <v>3956</v>
      </c>
      <c r="AB3027" t="s">
        <v>63</v>
      </c>
      <c r="AC3027" t="s">
        <v>63</v>
      </c>
      <c r="AE3027" t="s">
        <v>3957</v>
      </c>
      <c r="AF3027">
        <v>0</v>
      </c>
      <c r="AG3027" t="s">
        <v>3958</v>
      </c>
      <c r="AH3027">
        <v>0</v>
      </c>
      <c r="AK3027">
        <v>0</v>
      </c>
    </row>
    <row r="3028" spans="1:37" x14ac:dyDescent="0.25">
      <c r="A3028" t="s">
        <v>79</v>
      </c>
      <c r="B3028">
        <v>12</v>
      </c>
      <c r="C3028">
        <v>2</v>
      </c>
      <c r="D3028">
        <v>1</v>
      </c>
      <c r="E3028">
        <v>1</v>
      </c>
      <c r="G3028">
        <v>1221</v>
      </c>
      <c r="H3028" t="s">
        <v>3960</v>
      </c>
      <c r="I3028" t="s">
        <v>80</v>
      </c>
      <c r="J3028" t="s">
        <v>3966</v>
      </c>
      <c r="L3028">
        <v>0</v>
      </c>
      <c r="M3028" t="s">
        <v>3967</v>
      </c>
      <c r="O3028" t="s">
        <v>3968</v>
      </c>
      <c r="P3028" t="s">
        <v>3969</v>
      </c>
      <c r="Q3028" t="s">
        <v>57</v>
      </c>
      <c r="R3028" t="s">
        <v>192</v>
      </c>
      <c r="S3028" t="s">
        <v>3970</v>
      </c>
      <c r="T3028">
        <v>184</v>
      </c>
      <c r="U3028">
        <v>184</v>
      </c>
      <c r="V3028" t="s">
        <v>3970</v>
      </c>
      <c r="AE3028" t="s">
        <v>3971</v>
      </c>
      <c r="AF3028">
        <v>0</v>
      </c>
      <c r="AG3028" t="s">
        <v>3972</v>
      </c>
      <c r="AH3028">
        <v>0</v>
      </c>
      <c r="AK3028">
        <v>0</v>
      </c>
    </row>
    <row r="3029" spans="1:37" x14ac:dyDescent="0.25">
      <c r="A3029" t="s">
        <v>79</v>
      </c>
      <c r="B3029">
        <v>12</v>
      </c>
      <c r="C3029">
        <v>2</v>
      </c>
      <c r="D3029">
        <v>1</v>
      </c>
      <c r="E3029">
        <v>2</v>
      </c>
      <c r="G3029">
        <v>1221</v>
      </c>
      <c r="H3029" t="s">
        <v>3960</v>
      </c>
      <c r="I3029" t="s">
        <v>88</v>
      </c>
      <c r="J3029" t="s">
        <v>3973</v>
      </c>
      <c r="L3029">
        <v>0</v>
      </c>
      <c r="M3029" t="s">
        <v>3974</v>
      </c>
      <c r="O3029" t="s">
        <v>3435</v>
      </c>
      <c r="P3029" t="s">
        <v>3436</v>
      </c>
      <c r="Q3029" t="s">
        <v>3975</v>
      </c>
      <c r="R3029" t="s">
        <v>210</v>
      </c>
      <c r="S3029" t="s">
        <v>3437</v>
      </c>
      <c r="T3029">
        <v>184</v>
      </c>
      <c r="U3029">
        <v>237</v>
      </c>
      <c r="V3029" t="s">
        <v>3976</v>
      </c>
      <c r="AE3029" t="s">
        <v>3977</v>
      </c>
      <c r="AF3029">
        <v>0</v>
      </c>
      <c r="AG3029" t="s">
        <v>3978</v>
      </c>
      <c r="AH3029">
        <v>0</v>
      </c>
      <c r="AK3029">
        <v>0</v>
      </c>
    </row>
    <row r="3030" spans="1:37" x14ac:dyDescent="0.25">
      <c r="A3030" t="s">
        <v>79</v>
      </c>
      <c r="B3030">
        <v>12</v>
      </c>
      <c r="C3030">
        <v>2</v>
      </c>
      <c r="D3030">
        <v>1</v>
      </c>
      <c r="E3030">
        <v>3</v>
      </c>
      <c r="G3030">
        <v>1221</v>
      </c>
      <c r="H3030" t="s">
        <v>3960</v>
      </c>
      <c r="I3030" t="s">
        <v>95</v>
      </c>
      <c r="J3030" t="s">
        <v>3979</v>
      </c>
      <c r="L3030">
        <v>0</v>
      </c>
      <c r="M3030" t="s">
        <v>3980</v>
      </c>
      <c r="O3030" t="s">
        <v>3930</v>
      </c>
      <c r="P3030" t="s">
        <v>3931</v>
      </c>
      <c r="Q3030" t="s">
        <v>3981</v>
      </c>
      <c r="R3030" t="s">
        <v>229</v>
      </c>
      <c r="S3030" t="s">
        <v>3933</v>
      </c>
      <c r="T3030">
        <v>184</v>
      </c>
      <c r="U3030">
        <v>100</v>
      </c>
      <c r="V3030" t="s">
        <v>3982</v>
      </c>
      <c r="AE3030" t="s">
        <v>3983</v>
      </c>
      <c r="AF3030">
        <v>0</v>
      </c>
      <c r="AG3030" t="s">
        <v>3984</v>
      </c>
      <c r="AH3030">
        <v>0</v>
      </c>
      <c r="AK3030">
        <v>0</v>
      </c>
    </row>
    <row r="3031" spans="1:37" x14ac:dyDescent="0.25">
      <c r="A3031" t="s">
        <v>79</v>
      </c>
      <c r="B3031">
        <v>12</v>
      </c>
      <c r="C3031">
        <v>2</v>
      </c>
      <c r="D3031">
        <v>1</v>
      </c>
      <c r="E3031">
        <v>4</v>
      </c>
      <c r="G3031">
        <v>1221</v>
      </c>
      <c r="H3031" t="s">
        <v>3960</v>
      </c>
      <c r="I3031" t="s">
        <v>102</v>
      </c>
      <c r="J3031" t="s">
        <v>3985</v>
      </c>
      <c r="L3031">
        <v>0</v>
      </c>
      <c r="M3031" t="s">
        <v>3986</v>
      </c>
      <c r="O3031" t="s">
        <v>294</v>
      </c>
      <c r="P3031" t="s">
        <v>295</v>
      </c>
      <c r="Q3031" t="s">
        <v>3987</v>
      </c>
      <c r="R3031" t="s">
        <v>229</v>
      </c>
      <c r="S3031" t="s">
        <v>297</v>
      </c>
      <c r="T3031">
        <v>184</v>
      </c>
      <c r="U3031">
        <v>50</v>
      </c>
      <c r="V3031" t="s">
        <v>3988</v>
      </c>
      <c r="AE3031" t="s">
        <v>3989</v>
      </c>
      <c r="AF3031">
        <v>0</v>
      </c>
      <c r="AG3031" t="s">
        <v>3990</v>
      </c>
      <c r="AH3031">
        <v>0</v>
      </c>
      <c r="AK3031">
        <v>0</v>
      </c>
    </row>
    <row r="3032" spans="1:37" x14ac:dyDescent="0.25">
      <c r="A3032" t="s">
        <v>79</v>
      </c>
      <c r="B3032">
        <v>12</v>
      </c>
      <c r="C3032">
        <v>2</v>
      </c>
      <c r="D3032">
        <v>1</v>
      </c>
      <c r="E3032">
        <v>5</v>
      </c>
      <c r="G3032">
        <v>1221</v>
      </c>
      <c r="H3032" t="s">
        <v>3960</v>
      </c>
      <c r="I3032" t="s">
        <v>109</v>
      </c>
      <c r="J3032" t="s">
        <v>3991</v>
      </c>
      <c r="L3032">
        <v>0</v>
      </c>
      <c r="M3032" t="s">
        <v>125</v>
      </c>
      <c r="O3032" t="s">
        <v>125</v>
      </c>
      <c r="P3032" t="s">
        <v>125</v>
      </c>
      <c r="Q3032" t="s">
        <v>125</v>
      </c>
      <c r="R3032" t="s">
        <v>125</v>
      </c>
      <c r="S3032" t="s">
        <v>125</v>
      </c>
      <c r="T3032">
        <v>184</v>
      </c>
      <c r="V3032" t="s">
        <v>125</v>
      </c>
      <c r="AE3032" t="s">
        <v>125</v>
      </c>
      <c r="AF3032">
        <v>0</v>
      </c>
      <c r="AG3032" t="s">
        <v>125</v>
      </c>
      <c r="AH3032">
        <v>0</v>
      </c>
      <c r="AK3032">
        <v>0</v>
      </c>
    </row>
    <row r="3033" spans="1:37" x14ac:dyDescent="0.25">
      <c r="A3033" t="s">
        <v>79</v>
      </c>
      <c r="B3033">
        <v>12</v>
      </c>
      <c r="C3033">
        <v>2</v>
      </c>
      <c r="D3033">
        <v>1</v>
      </c>
      <c r="E3033">
        <v>6</v>
      </c>
      <c r="G3033">
        <v>1221</v>
      </c>
      <c r="H3033" t="s">
        <v>3960</v>
      </c>
      <c r="I3033" t="s">
        <v>116</v>
      </c>
      <c r="J3033" t="s">
        <v>3992</v>
      </c>
      <c r="L3033">
        <v>0</v>
      </c>
      <c r="M3033" t="s">
        <v>125</v>
      </c>
      <c r="O3033" t="s">
        <v>125</v>
      </c>
      <c r="P3033" t="s">
        <v>125</v>
      </c>
      <c r="Q3033" t="s">
        <v>125</v>
      </c>
      <c r="R3033" t="s">
        <v>125</v>
      </c>
      <c r="S3033" t="s">
        <v>125</v>
      </c>
      <c r="T3033">
        <v>184</v>
      </c>
      <c r="V3033" t="s">
        <v>125</v>
      </c>
      <c r="AE3033" t="s">
        <v>125</v>
      </c>
      <c r="AF3033">
        <v>0</v>
      </c>
      <c r="AG3033" t="s">
        <v>125</v>
      </c>
      <c r="AH3033">
        <v>0</v>
      </c>
      <c r="AK3033">
        <v>0</v>
      </c>
    </row>
    <row r="3034" spans="1:37" x14ac:dyDescent="0.25">
      <c r="A3034" t="s">
        <v>79</v>
      </c>
      <c r="B3034">
        <v>12</v>
      </c>
      <c r="C3034">
        <v>2</v>
      </c>
      <c r="D3034">
        <v>1</v>
      </c>
      <c r="E3034">
        <v>7</v>
      </c>
      <c r="G3034">
        <v>1221</v>
      </c>
      <c r="H3034" t="s">
        <v>3960</v>
      </c>
      <c r="I3034" t="s">
        <v>123</v>
      </c>
      <c r="J3034" t="s">
        <v>3993</v>
      </c>
      <c r="L3034">
        <v>0</v>
      </c>
      <c r="M3034" t="s">
        <v>125</v>
      </c>
      <c r="O3034" t="s">
        <v>125</v>
      </c>
      <c r="P3034" t="s">
        <v>125</v>
      </c>
      <c r="Q3034" t="s">
        <v>125</v>
      </c>
      <c r="R3034" t="s">
        <v>125</v>
      </c>
      <c r="S3034" t="s">
        <v>125</v>
      </c>
      <c r="T3034">
        <v>184</v>
      </c>
      <c r="V3034" t="s">
        <v>125</v>
      </c>
      <c r="AE3034" t="s">
        <v>125</v>
      </c>
      <c r="AF3034">
        <v>0</v>
      </c>
      <c r="AG3034" t="s">
        <v>125</v>
      </c>
      <c r="AH3034">
        <v>0</v>
      </c>
      <c r="AK3034">
        <v>0</v>
      </c>
    </row>
    <row r="3035" spans="1:37" x14ac:dyDescent="0.25">
      <c r="A3035" t="s">
        <v>79</v>
      </c>
      <c r="B3035">
        <v>12</v>
      </c>
      <c r="C3035">
        <v>2</v>
      </c>
      <c r="D3035">
        <v>1</v>
      </c>
      <c r="E3035">
        <v>8</v>
      </c>
      <c r="G3035">
        <v>1221</v>
      </c>
      <c r="H3035" t="s">
        <v>3960</v>
      </c>
      <c r="I3035" t="s">
        <v>126</v>
      </c>
      <c r="J3035" t="s">
        <v>3994</v>
      </c>
      <c r="L3035">
        <v>0</v>
      </c>
      <c r="M3035" t="s">
        <v>125</v>
      </c>
      <c r="O3035" t="s">
        <v>125</v>
      </c>
      <c r="P3035" t="s">
        <v>125</v>
      </c>
      <c r="Q3035" t="s">
        <v>125</v>
      </c>
      <c r="R3035" t="s">
        <v>125</v>
      </c>
      <c r="S3035" t="s">
        <v>125</v>
      </c>
      <c r="T3035">
        <v>184</v>
      </c>
      <c r="V3035" t="s">
        <v>125</v>
      </c>
      <c r="AE3035" t="s">
        <v>125</v>
      </c>
      <c r="AF3035">
        <v>0</v>
      </c>
      <c r="AG3035" t="s">
        <v>125</v>
      </c>
      <c r="AH3035">
        <v>0</v>
      </c>
      <c r="AK3035">
        <v>0</v>
      </c>
    </row>
    <row r="3036" spans="1:37" x14ac:dyDescent="0.25">
      <c r="A3036" t="s">
        <v>79</v>
      </c>
      <c r="B3036">
        <v>12</v>
      </c>
      <c r="C3036">
        <v>2</v>
      </c>
      <c r="D3036">
        <v>1</v>
      </c>
      <c r="E3036">
        <v>9</v>
      </c>
      <c r="G3036">
        <v>1221</v>
      </c>
      <c r="H3036" t="s">
        <v>3960</v>
      </c>
      <c r="I3036" t="s">
        <v>74</v>
      </c>
      <c r="J3036" t="s">
        <v>3995</v>
      </c>
      <c r="L3036">
        <v>0</v>
      </c>
      <c r="M3036" t="s">
        <v>125</v>
      </c>
      <c r="O3036" t="s">
        <v>125</v>
      </c>
      <c r="P3036" t="s">
        <v>125</v>
      </c>
      <c r="Q3036" t="s">
        <v>125</v>
      </c>
      <c r="R3036" t="s">
        <v>125</v>
      </c>
      <c r="S3036" t="s">
        <v>125</v>
      </c>
      <c r="T3036">
        <v>184</v>
      </c>
      <c r="V3036" t="s">
        <v>125</v>
      </c>
      <c r="AE3036" t="s">
        <v>125</v>
      </c>
      <c r="AF3036">
        <v>0</v>
      </c>
      <c r="AG3036" t="s">
        <v>125</v>
      </c>
      <c r="AH3036">
        <v>0</v>
      </c>
      <c r="AK3036">
        <v>0</v>
      </c>
    </row>
    <row r="3037" spans="1:37" x14ac:dyDescent="0.25">
      <c r="A3037" t="s">
        <v>79</v>
      </c>
      <c r="B3037">
        <v>12</v>
      </c>
      <c r="C3037">
        <v>2</v>
      </c>
      <c r="D3037">
        <v>1</v>
      </c>
      <c r="E3037">
        <v>10</v>
      </c>
      <c r="G3037">
        <v>1221</v>
      </c>
      <c r="H3037" t="s">
        <v>3960</v>
      </c>
      <c r="I3037" t="s">
        <v>129</v>
      </c>
      <c r="J3037" t="s">
        <v>3996</v>
      </c>
      <c r="L3037">
        <v>0</v>
      </c>
      <c r="M3037" t="s">
        <v>125</v>
      </c>
      <c r="O3037" t="s">
        <v>125</v>
      </c>
      <c r="P3037" t="s">
        <v>125</v>
      </c>
      <c r="Q3037" t="s">
        <v>125</v>
      </c>
      <c r="R3037" t="s">
        <v>125</v>
      </c>
      <c r="S3037" t="s">
        <v>125</v>
      </c>
      <c r="T3037">
        <v>184</v>
      </c>
      <c r="V3037" t="s">
        <v>125</v>
      </c>
      <c r="AE3037" t="s">
        <v>125</v>
      </c>
      <c r="AF3037">
        <v>0</v>
      </c>
      <c r="AG3037" t="s">
        <v>125</v>
      </c>
      <c r="AH3037">
        <v>0</v>
      </c>
      <c r="AK3037">
        <v>0</v>
      </c>
    </row>
    <row r="3038" spans="1:37" x14ac:dyDescent="0.25">
      <c r="A3038" t="s">
        <v>79</v>
      </c>
      <c r="B3038">
        <v>12</v>
      </c>
      <c r="C3038">
        <v>2</v>
      </c>
      <c r="D3038">
        <v>1</v>
      </c>
      <c r="E3038">
        <v>11</v>
      </c>
      <c r="G3038">
        <v>1221</v>
      </c>
      <c r="H3038" t="s">
        <v>3960</v>
      </c>
      <c r="I3038" t="s">
        <v>131</v>
      </c>
      <c r="J3038" t="s">
        <v>3997</v>
      </c>
      <c r="L3038">
        <v>0</v>
      </c>
      <c r="M3038" t="s">
        <v>125</v>
      </c>
      <c r="O3038" t="s">
        <v>125</v>
      </c>
      <c r="P3038" t="s">
        <v>125</v>
      </c>
      <c r="Q3038" t="s">
        <v>125</v>
      </c>
      <c r="R3038" t="s">
        <v>125</v>
      </c>
      <c r="S3038" t="s">
        <v>125</v>
      </c>
      <c r="T3038">
        <v>184</v>
      </c>
      <c r="V3038" t="s">
        <v>125</v>
      </c>
      <c r="AE3038" t="s">
        <v>125</v>
      </c>
      <c r="AF3038">
        <v>0</v>
      </c>
      <c r="AG3038" t="s">
        <v>125</v>
      </c>
      <c r="AH3038">
        <v>0</v>
      </c>
      <c r="AK3038">
        <v>0</v>
      </c>
    </row>
    <row r="3039" spans="1:37" x14ac:dyDescent="0.25">
      <c r="A3039" t="s">
        <v>79</v>
      </c>
      <c r="B3039">
        <v>12</v>
      </c>
      <c r="C3039">
        <v>2</v>
      </c>
      <c r="D3039">
        <v>1</v>
      </c>
      <c r="E3039">
        <v>12</v>
      </c>
      <c r="G3039">
        <v>1221</v>
      </c>
      <c r="H3039" t="s">
        <v>3960</v>
      </c>
      <c r="I3039" t="s">
        <v>133</v>
      </c>
      <c r="J3039" t="s">
        <v>3998</v>
      </c>
      <c r="L3039">
        <v>0</v>
      </c>
      <c r="M3039" t="s">
        <v>125</v>
      </c>
      <c r="O3039" t="s">
        <v>125</v>
      </c>
      <c r="P3039" t="s">
        <v>125</v>
      </c>
      <c r="Q3039" t="s">
        <v>125</v>
      </c>
      <c r="R3039" t="s">
        <v>125</v>
      </c>
      <c r="S3039" t="s">
        <v>125</v>
      </c>
      <c r="T3039">
        <v>184</v>
      </c>
      <c r="V3039" t="s">
        <v>125</v>
      </c>
      <c r="AE3039" t="s">
        <v>125</v>
      </c>
      <c r="AF3039">
        <v>0</v>
      </c>
      <c r="AG3039" t="s">
        <v>125</v>
      </c>
      <c r="AH3039">
        <v>0</v>
      </c>
      <c r="AK3039">
        <v>0</v>
      </c>
    </row>
    <row r="3040" spans="1:37" x14ac:dyDescent="0.25">
      <c r="A3040" t="s">
        <v>79</v>
      </c>
      <c r="B3040">
        <v>12</v>
      </c>
      <c r="C3040">
        <v>2</v>
      </c>
      <c r="D3040">
        <v>1</v>
      </c>
      <c r="E3040">
        <v>13</v>
      </c>
      <c r="G3040">
        <v>1221</v>
      </c>
      <c r="H3040" t="s">
        <v>3960</v>
      </c>
      <c r="I3040" t="s">
        <v>135</v>
      </c>
      <c r="J3040" t="s">
        <v>3999</v>
      </c>
      <c r="L3040">
        <v>0</v>
      </c>
      <c r="M3040" t="s">
        <v>125</v>
      </c>
      <c r="O3040" t="s">
        <v>125</v>
      </c>
      <c r="P3040" t="s">
        <v>125</v>
      </c>
      <c r="Q3040" t="s">
        <v>125</v>
      </c>
      <c r="R3040" t="s">
        <v>125</v>
      </c>
      <c r="S3040" t="s">
        <v>125</v>
      </c>
      <c r="T3040">
        <v>184</v>
      </c>
      <c r="V3040" t="s">
        <v>125</v>
      </c>
      <c r="AE3040" t="s">
        <v>125</v>
      </c>
      <c r="AF3040">
        <v>0</v>
      </c>
      <c r="AG3040" t="s">
        <v>125</v>
      </c>
      <c r="AH3040">
        <v>0</v>
      </c>
      <c r="AK3040">
        <v>0</v>
      </c>
    </row>
    <row r="3041" spans="1:37" x14ac:dyDescent="0.25">
      <c r="A3041" t="s">
        <v>79</v>
      </c>
      <c r="B3041">
        <v>12</v>
      </c>
      <c r="C3041">
        <v>2</v>
      </c>
      <c r="D3041">
        <v>1</v>
      </c>
      <c r="E3041">
        <v>14</v>
      </c>
      <c r="G3041">
        <v>1221</v>
      </c>
      <c r="H3041" t="s">
        <v>3960</v>
      </c>
      <c r="I3041" t="s">
        <v>137</v>
      </c>
      <c r="J3041" t="s">
        <v>4000</v>
      </c>
      <c r="L3041">
        <v>0</v>
      </c>
      <c r="M3041" t="s">
        <v>125</v>
      </c>
      <c r="O3041" t="s">
        <v>125</v>
      </c>
      <c r="P3041" t="s">
        <v>125</v>
      </c>
      <c r="Q3041" t="s">
        <v>125</v>
      </c>
      <c r="R3041" t="s">
        <v>125</v>
      </c>
      <c r="S3041" t="s">
        <v>125</v>
      </c>
      <c r="T3041">
        <v>184</v>
      </c>
      <c r="V3041" t="s">
        <v>125</v>
      </c>
      <c r="AE3041" t="s">
        <v>125</v>
      </c>
      <c r="AF3041">
        <v>0</v>
      </c>
      <c r="AG3041" t="s">
        <v>125</v>
      </c>
      <c r="AH3041">
        <v>0</v>
      </c>
      <c r="AK3041">
        <v>0</v>
      </c>
    </row>
    <row r="3042" spans="1:37" x14ac:dyDescent="0.25">
      <c r="A3042" t="s">
        <v>79</v>
      </c>
      <c r="B3042">
        <v>12</v>
      </c>
      <c r="C3042">
        <v>2</v>
      </c>
      <c r="D3042">
        <v>1</v>
      </c>
      <c r="E3042">
        <v>15</v>
      </c>
      <c r="G3042">
        <v>1221</v>
      </c>
      <c r="H3042" t="s">
        <v>3960</v>
      </c>
      <c r="I3042" t="s">
        <v>139</v>
      </c>
      <c r="J3042" t="s">
        <v>4001</v>
      </c>
      <c r="L3042">
        <v>0</v>
      </c>
      <c r="M3042" t="s">
        <v>125</v>
      </c>
      <c r="O3042" t="s">
        <v>125</v>
      </c>
      <c r="P3042" t="s">
        <v>125</v>
      </c>
      <c r="Q3042" t="s">
        <v>125</v>
      </c>
      <c r="R3042" t="s">
        <v>125</v>
      </c>
      <c r="S3042" t="s">
        <v>125</v>
      </c>
      <c r="T3042">
        <v>184</v>
      </c>
      <c r="V3042" t="s">
        <v>125</v>
      </c>
      <c r="AE3042" t="s">
        <v>125</v>
      </c>
      <c r="AF3042">
        <v>0</v>
      </c>
      <c r="AG3042" t="s">
        <v>125</v>
      </c>
      <c r="AH3042">
        <v>0</v>
      </c>
      <c r="AK3042">
        <v>0</v>
      </c>
    </row>
    <row r="3043" spans="1:37" x14ac:dyDescent="0.25">
      <c r="L3043">
        <v>0</v>
      </c>
    </row>
    <row r="3044" spans="1:37" x14ac:dyDescent="0.25">
      <c r="A3044" t="s">
        <v>70</v>
      </c>
      <c r="B3044">
        <v>12</v>
      </c>
      <c r="C3044">
        <v>2</v>
      </c>
      <c r="D3044">
        <v>2</v>
      </c>
      <c r="G3044">
        <v>122</v>
      </c>
      <c r="L3044">
        <v>0</v>
      </c>
      <c r="M3044" t="s">
        <v>125</v>
      </c>
      <c r="P3044" t="s">
        <v>125</v>
      </c>
      <c r="R3044" t="s">
        <v>125</v>
      </c>
      <c r="S3044" t="s">
        <v>63</v>
      </c>
      <c r="V3044" t="s">
        <v>125</v>
      </c>
      <c r="X3044" t="s">
        <v>125</v>
      </c>
      <c r="Y3044" t="s">
        <v>125</v>
      </c>
      <c r="Z3044" t="s">
        <v>125</v>
      </c>
      <c r="AA3044" t="s">
        <v>125</v>
      </c>
      <c r="AB3044" t="s">
        <v>125</v>
      </c>
      <c r="AC3044" t="s">
        <v>125</v>
      </c>
      <c r="AE3044" t="s">
        <v>125</v>
      </c>
      <c r="AF3044">
        <v>0</v>
      </c>
      <c r="AG3044" t="s">
        <v>125</v>
      </c>
      <c r="AH3044">
        <v>0</v>
      </c>
      <c r="AK3044">
        <v>0</v>
      </c>
    </row>
    <row r="3045" spans="1:37" x14ac:dyDescent="0.25">
      <c r="A3045" t="s">
        <v>79</v>
      </c>
      <c r="B3045">
        <v>12</v>
      </c>
      <c r="C3045">
        <v>2</v>
      </c>
      <c r="D3045">
        <v>2</v>
      </c>
      <c r="E3045">
        <v>1</v>
      </c>
      <c r="G3045">
        <v>1222</v>
      </c>
      <c r="H3045" t="s">
        <v>63</v>
      </c>
      <c r="I3045" t="s">
        <v>80</v>
      </c>
      <c r="J3045" t="s">
        <v>141</v>
      </c>
      <c r="L3045">
        <v>0</v>
      </c>
      <c r="M3045" t="s">
        <v>125</v>
      </c>
      <c r="O3045" t="s">
        <v>125</v>
      </c>
      <c r="P3045" t="s">
        <v>125</v>
      </c>
      <c r="Q3045" t="s">
        <v>125</v>
      </c>
      <c r="R3045" t="s">
        <v>125</v>
      </c>
      <c r="S3045" t="s">
        <v>125</v>
      </c>
      <c r="T3045">
        <v>0</v>
      </c>
      <c r="V3045" t="s">
        <v>125</v>
      </c>
      <c r="AE3045" t="s">
        <v>125</v>
      </c>
      <c r="AF3045">
        <v>0</v>
      </c>
      <c r="AG3045" t="s">
        <v>125</v>
      </c>
      <c r="AH3045">
        <v>0</v>
      </c>
      <c r="AK3045">
        <v>0</v>
      </c>
    </row>
    <row r="3046" spans="1:37" x14ac:dyDescent="0.25">
      <c r="A3046" t="s">
        <v>79</v>
      </c>
      <c r="B3046">
        <v>12</v>
      </c>
      <c r="C3046">
        <v>2</v>
      </c>
      <c r="D3046">
        <v>2</v>
      </c>
      <c r="E3046">
        <v>2</v>
      </c>
      <c r="G3046">
        <v>1222</v>
      </c>
      <c r="H3046" t="s">
        <v>63</v>
      </c>
      <c r="I3046" t="s">
        <v>88</v>
      </c>
      <c r="J3046" t="s">
        <v>142</v>
      </c>
      <c r="L3046">
        <v>0</v>
      </c>
      <c r="M3046" t="s">
        <v>125</v>
      </c>
      <c r="O3046" t="s">
        <v>125</v>
      </c>
      <c r="P3046" t="s">
        <v>125</v>
      </c>
      <c r="Q3046" t="s">
        <v>125</v>
      </c>
      <c r="R3046" t="s">
        <v>125</v>
      </c>
      <c r="S3046" t="s">
        <v>125</v>
      </c>
      <c r="T3046">
        <v>0</v>
      </c>
      <c r="V3046" t="s">
        <v>125</v>
      </c>
      <c r="AE3046" t="s">
        <v>125</v>
      </c>
      <c r="AF3046">
        <v>0</v>
      </c>
      <c r="AG3046" t="s">
        <v>125</v>
      </c>
      <c r="AH3046">
        <v>0</v>
      </c>
      <c r="AK3046">
        <v>0</v>
      </c>
    </row>
    <row r="3047" spans="1:37" x14ac:dyDescent="0.25">
      <c r="A3047" t="s">
        <v>79</v>
      </c>
      <c r="B3047">
        <v>12</v>
      </c>
      <c r="C3047">
        <v>2</v>
      </c>
      <c r="D3047">
        <v>2</v>
      </c>
      <c r="E3047">
        <v>3</v>
      </c>
      <c r="G3047">
        <v>1222</v>
      </c>
      <c r="H3047" t="s">
        <v>63</v>
      </c>
      <c r="I3047" t="s">
        <v>95</v>
      </c>
      <c r="J3047" t="s">
        <v>143</v>
      </c>
      <c r="L3047">
        <v>0</v>
      </c>
      <c r="M3047" t="s">
        <v>125</v>
      </c>
      <c r="O3047" t="s">
        <v>125</v>
      </c>
      <c r="P3047" t="s">
        <v>125</v>
      </c>
      <c r="Q3047" t="s">
        <v>125</v>
      </c>
      <c r="R3047" t="s">
        <v>125</v>
      </c>
      <c r="S3047" t="s">
        <v>125</v>
      </c>
      <c r="T3047">
        <v>0</v>
      </c>
      <c r="V3047" t="s">
        <v>125</v>
      </c>
      <c r="AE3047" t="s">
        <v>125</v>
      </c>
      <c r="AF3047">
        <v>0</v>
      </c>
      <c r="AG3047" t="s">
        <v>125</v>
      </c>
      <c r="AH3047">
        <v>0</v>
      </c>
      <c r="AK3047">
        <v>0</v>
      </c>
    </row>
    <row r="3048" spans="1:37" x14ac:dyDescent="0.25">
      <c r="A3048" t="s">
        <v>79</v>
      </c>
      <c r="B3048">
        <v>12</v>
      </c>
      <c r="C3048">
        <v>2</v>
      </c>
      <c r="D3048">
        <v>2</v>
      </c>
      <c r="E3048">
        <v>4</v>
      </c>
      <c r="G3048">
        <v>1222</v>
      </c>
      <c r="H3048" t="s">
        <v>63</v>
      </c>
      <c r="I3048" t="s">
        <v>102</v>
      </c>
      <c r="J3048" t="s">
        <v>144</v>
      </c>
      <c r="L3048">
        <v>0</v>
      </c>
      <c r="M3048" t="s">
        <v>125</v>
      </c>
      <c r="O3048" t="s">
        <v>125</v>
      </c>
      <c r="P3048" t="s">
        <v>125</v>
      </c>
      <c r="Q3048" t="s">
        <v>125</v>
      </c>
      <c r="R3048" t="s">
        <v>125</v>
      </c>
      <c r="S3048" t="s">
        <v>125</v>
      </c>
      <c r="T3048">
        <v>0</v>
      </c>
      <c r="V3048" t="s">
        <v>125</v>
      </c>
      <c r="AE3048" t="s">
        <v>125</v>
      </c>
      <c r="AF3048">
        <v>0</v>
      </c>
      <c r="AG3048" t="s">
        <v>125</v>
      </c>
      <c r="AH3048">
        <v>0</v>
      </c>
      <c r="AK3048">
        <v>0</v>
      </c>
    </row>
    <row r="3049" spans="1:37" x14ac:dyDescent="0.25">
      <c r="A3049" t="s">
        <v>79</v>
      </c>
      <c r="B3049">
        <v>12</v>
      </c>
      <c r="C3049">
        <v>2</v>
      </c>
      <c r="D3049">
        <v>2</v>
      </c>
      <c r="E3049">
        <v>5</v>
      </c>
      <c r="G3049">
        <v>1222</v>
      </c>
      <c r="H3049" t="s">
        <v>63</v>
      </c>
      <c r="I3049" t="s">
        <v>109</v>
      </c>
      <c r="J3049" t="s">
        <v>145</v>
      </c>
      <c r="L3049">
        <v>0</v>
      </c>
      <c r="M3049" t="s">
        <v>125</v>
      </c>
      <c r="O3049" t="s">
        <v>125</v>
      </c>
      <c r="P3049" t="s">
        <v>125</v>
      </c>
      <c r="Q3049" t="s">
        <v>125</v>
      </c>
      <c r="R3049" t="s">
        <v>125</v>
      </c>
      <c r="S3049" t="s">
        <v>125</v>
      </c>
      <c r="T3049">
        <v>0</v>
      </c>
      <c r="V3049" t="s">
        <v>125</v>
      </c>
      <c r="AE3049" t="s">
        <v>125</v>
      </c>
      <c r="AF3049">
        <v>0</v>
      </c>
      <c r="AG3049" t="s">
        <v>125</v>
      </c>
      <c r="AH3049">
        <v>0</v>
      </c>
      <c r="AK3049">
        <v>0</v>
      </c>
    </row>
    <row r="3050" spans="1:37" x14ac:dyDescent="0.25">
      <c r="A3050" t="s">
        <v>79</v>
      </c>
      <c r="B3050">
        <v>12</v>
      </c>
      <c r="C3050">
        <v>2</v>
      </c>
      <c r="D3050">
        <v>2</v>
      </c>
      <c r="E3050">
        <v>6</v>
      </c>
      <c r="G3050">
        <v>1222</v>
      </c>
      <c r="H3050" t="s">
        <v>63</v>
      </c>
      <c r="I3050" t="s">
        <v>116</v>
      </c>
      <c r="J3050" t="s">
        <v>146</v>
      </c>
      <c r="L3050">
        <v>0</v>
      </c>
      <c r="M3050" t="s">
        <v>125</v>
      </c>
      <c r="O3050" t="s">
        <v>125</v>
      </c>
      <c r="P3050" t="s">
        <v>125</v>
      </c>
      <c r="Q3050" t="s">
        <v>125</v>
      </c>
      <c r="R3050" t="s">
        <v>125</v>
      </c>
      <c r="S3050" t="s">
        <v>125</v>
      </c>
      <c r="T3050">
        <v>0</v>
      </c>
      <c r="V3050" t="s">
        <v>125</v>
      </c>
      <c r="AE3050" t="s">
        <v>125</v>
      </c>
      <c r="AF3050">
        <v>0</v>
      </c>
      <c r="AG3050" t="s">
        <v>125</v>
      </c>
      <c r="AH3050">
        <v>0</v>
      </c>
      <c r="AK3050">
        <v>0</v>
      </c>
    </row>
    <row r="3051" spans="1:37" x14ac:dyDescent="0.25">
      <c r="A3051" t="s">
        <v>79</v>
      </c>
      <c r="B3051">
        <v>12</v>
      </c>
      <c r="C3051">
        <v>2</v>
      </c>
      <c r="D3051">
        <v>2</v>
      </c>
      <c r="E3051">
        <v>7</v>
      </c>
      <c r="G3051">
        <v>1222</v>
      </c>
      <c r="H3051" t="s">
        <v>63</v>
      </c>
      <c r="I3051" t="s">
        <v>123</v>
      </c>
      <c r="J3051" t="s">
        <v>147</v>
      </c>
      <c r="L3051">
        <v>0</v>
      </c>
      <c r="M3051" t="s">
        <v>125</v>
      </c>
      <c r="O3051" t="s">
        <v>125</v>
      </c>
      <c r="P3051" t="s">
        <v>125</v>
      </c>
      <c r="Q3051" t="s">
        <v>125</v>
      </c>
      <c r="R3051" t="s">
        <v>125</v>
      </c>
      <c r="S3051" t="s">
        <v>125</v>
      </c>
      <c r="T3051">
        <v>0</v>
      </c>
      <c r="V3051" t="s">
        <v>125</v>
      </c>
      <c r="AE3051" t="s">
        <v>125</v>
      </c>
      <c r="AF3051">
        <v>0</v>
      </c>
      <c r="AG3051" t="s">
        <v>125</v>
      </c>
      <c r="AH3051">
        <v>0</v>
      </c>
      <c r="AK3051">
        <v>0</v>
      </c>
    </row>
    <row r="3052" spans="1:37" x14ac:dyDescent="0.25">
      <c r="A3052" t="s">
        <v>79</v>
      </c>
      <c r="B3052">
        <v>12</v>
      </c>
      <c r="C3052">
        <v>2</v>
      </c>
      <c r="D3052">
        <v>2</v>
      </c>
      <c r="E3052">
        <v>8</v>
      </c>
      <c r="G3052">
        <v>1222</v>
      </c>
      <c r="H3052" t="s">
        <v>63</v>
      </c>
      <c r="I3052" t="s">
        <v>126</v>
      </c>
      <c r="J3052" t="s">
        <v>148</v>
      </c>
      <c r="L3052">
        <v>0</v>
      </c>
      <c r="M3052" t="s">
        <v>125</v>
      </c>
      <c r="O3052" t="s">
        <v>125</v>
      </c>
      <c r="P3052" t="s">
        <v>125</v>
      </c>
      <c r="Q3052" t="s">
        <v>125</v>
      </c>
      <c r="R3052" t="s">
        <v>125</v>
      </c>
      <c r="S3052" t="s">
        <v>125</v>
      </c>
      <c r="T3052">
        <v>0</v>
      </c>
      <c r="V3052" t="s">
        <v>125</v>
      </c>
      <c r="AE3052" t="s">
        <v>125</v>
      </c>
      <c r="AF3052">
        <v>0</v>
      </c>
      <c r="AG3052" t="s">
        <v>125</v>
      </c>
      <c r="AH3052">
        <v>0</v>
      </c>
      <c r="AK3052">
        <v>0</v>
      </c>
    </row>
    <row r="3053" spans="1:37" x14ac:dyDescent="0.25">
      <c r="A3053" t="s">
        <v>79</v>
      </c>
      <c r="B3053">
        <v>12</v>
      </c>
      <c r="C3053">
        <v>2</v>
      </c>
      <c r="D3053">
        <v>2</v>
      </c>
      <c r="E3053">
        <v>9</v>
      </c>
      <c r="G3053">
        <v>1222</v>
      </c>
      <c r="H3053" t="s">
        <v>63</v>
      </c>
      <c r="I3053" t="s">
        <v>74</v>
      </c>
      <c r="J3053" t="s">
        <v>149</v>
      </c>
      <c r="L3053">
        <v>0</v>
      </c>
      <c r="M3053" t="s">
        <v>125</v>
      </c>
      <c r="O3053" t="s">
        <v>125</v>
      </c>
      <c r="P3053" t="s">
        <v>125</v>
      </c>
      <c r="Q3053" t="s">
        <v>125</v>
      </c>
      <c r="R3053" t="s">
        <v>125</v>
      </c>
      <c r="S3053" t="s">
        <v>125</v>
      </c>
      <c r="T3053">
        <v>0</v>
      </c>
      <c r="V3053" t="s">
        <v>125</v>
      </c>
      <c r="AE3053" t="s">
        <v>125</v>
      </c>
      <c r="AF3053">
        <v>0</v>
      </c>
      <c r="AG3053" t="s">
        <v>125</v>
      </c>
      <c r="AH3053">
        <v>0</v>
      </c>
      <c r="AK3053">
        <v>0</v>
      </c>
    </row>
    <row r="3054" spans="1:37" x14ac:dyDescent="0.25">
      <c r="A3054" t="s">
        <v>79</v>
      </c>
      <c r="B3054">
        <v>12</v>
      </c>
      <c r="C3054">
        <v>2</v>
      </c>
      <c r="D3054">
        <v>2</v>
      </c>
      <c r="E3054">
        <v>10</v>
      </c>
      <c r="G3054">
        <v>1222</v>
      </c>
      <c r="H3054" t="s">
        <v>63</v>
      </c>
      <c r="I3054" t="s">
        <v>129</v>
      </c>
      <c r="J3054" t="s">
        <v>150</v>
      </c>
      <c r="L3054">
        <v>0</v>
      </c>
      <c r="M3054" t="s">
        <v>125</v>
      </c>
      <c r="O3054" t="s">
        <v>125</v>
      </c>
      <c r="P3054" t="s">
        <v>125</v>
      </c>
      <c r="Q3054" t="s">
        <v>125</v>
      </c>
      <c r="R3054" t="s">
        <v>125</v>
      </c>
      <c r="S3054" t="s">
        <v>125</v>
      </c>
      <c r="T3054">
        <v>0</v>
      </c>
      <c r="V3054" t="s">
        <v>125</v>
      </c>
      <c r="AE3054" t="s">
        <v>125</v>
      </c>
      <c r="AF3054">
        <v>0</v>
      </c>
      <c r="AG3054" t="s">
        <v>125</v>
      </c>
      <c r="AH3054">
        <v>0</v>
      </c>
      <c r="AK3054">
        <v>0</v>
      </c>
    </row>
    <row r="3055" spans="1:37" x14ac:dyDescent="0.25">
      <c r="A3055" t="s">
        <v>79</v>
      </c>
      <c r="B3055">
        <v>12</v>
      </c>
      <c r="C3055">
        <v>2</v>
      </c>
      <c r="D3055">
        <v>2</v>
      </c>
      <c r="E3055">
        <v>11</v>
      </c>
      <c r="G3055">
        <v>1222</v>
      </c>
      <c r="H3055" t="s">
        <v>63</v>
      </c>
      <c r="I3055" t="s">
        <v>131</v>
      </c>
      <c r="J3055" t="s">
        <v>151</v>
      </c>
      <c r="L3055">
        <v>0</v>
      </c>
      <c r="M3055" t="s">
        <v>125</v>
      </c>
      <c r="O3055" t="s">
        <v>125</v>
      </c>
      <c r="P3055" t="s">
        <v>125</v>
      </c>
      <c r="Q3055" t="s">
        <v>125</v>
      </c>
      <c r="R3055" t="s">
        <v>125</v>
      </c>
      <c r="S3055" t="s">
        <v>125</v>
      </c>
      <c r="T3055">
        <v>0</v>
      </c>
      <c r="V3055" t="s">
        <v>125</v>
      </c>
      <c r="AE3055" t="s">
        <v>125</v>
      </c>
      <c r="AF3055">
        <v>0</v>
      </c>
      <c r="AG3055" t="s">
        <v>125</v>
      </c>
      <c r="AH3055">
        <v>0</v>
      </c>
      <c r="AK3055">
        <v>0</v>
      </c>
    </row>
    <row r="3056" spans="1:37" x14ac:dyDescent="0.25">
      <c r="A3056" t="s">
        <v>79</v>
      </c>
      <c r="B3056">
        <v>12</v>
      </c>
      <c r="C3056">
        <v>2</v>
      </c>
      <c r="D3056">
        <v>2</v>
      </c>
      <c r="E3056">
        <v>12</v>
      </c>
      <c r="G3056">
        <v>1222</v>
      </c>
      <c r="H3056" t="s">
        <v>63</v>
      </c>
      <c r="I3056" t="s">
        <v>133</v>
      </c>
      <c r="J3056" t="s">
        <v>152</v>
      </c>
      <c r="L3056">
        <v>0</v>
      </c>
      <c r="M3056" t="s">
        <v>125</v>
      </c>
      <c r="O3056" t="s">
        <v>125</v>
      </c>
      <c r="P3056" t="s">
        <v>125</v>
      </c>
      <c r="Q3056" t="s">
        <v>125</v>
      </c>
      <c r="R3056" t="s">
        <v>125</v>
      </c>
      <c r="S3056" t="s">
        <v>125</v>
      </c>
      <c r="T3056">
        <v>0</v>
      </c>
      <c r="V3056" t="s">
        <v>125</v>
      </c>
      <c r="AE3056" t="s">
        <v>125</v>
      </c>
      <c r="AF3056">
        <v>0</v>
      </c>
      <c r="AG3056" t="s">
        <v>125</v>
      </c>
      <c r="AH3056">
        <v>0</v>
      </c>
      <c r="AK3056">
        <v>0</v>
      </c>
    </row>
    <row r="3057" spans="1:37" x14ac:dyDescent="0.25">
      <c r="A3057" t="s">
        <v>79</v>
      </c>
      <c r="B3057">
        <v>12</v>
      </c>
      <c r="C3057">
        <v>2</v>
      </c>
      <c r="D3057">
        <v>2</v>
      </c>
      <c r="E3057">
        <v>13</v>
      </c>
      <c r="G3057">
        <v>1222</v>
      </c>
      <c r="H3057" t="s">
        <v>63</v>
      </c>
      <c r="I3057" t="s">
        <v>135</v>
      </c>
      <c r="J3057" t="s">
        <v>153</v>
      </c>
      <c r="L3057">
        <v>0</v>
      </c>
      <c r="M3057" t="s">
        <v>125</v>
      </c>
      <c r="O3057" t="s">
        <v>125</v>
      </c>
      <c r="P3057" t="s">
        <v>125</v>
      </c>
      <c r="Q3057" t="s">
        <v>125</v>
      </c>
      <c r="R3057" t="s">
        <v>125</v>
      </c>
      <c r="S3057" t="s">
        <v>125</v>
      </c>
      <c r="T3057">
        <v>0</v>
      </c>
      <c r="V3057" t="s">
        <v>125</v>
      </c>
      <c r="AE3057" t="s">
        <v>125</v>
      </c>
      <c r="AF3057">
        <v>0</v>
      </c>
      <c r="AG3057" t="s">
        <v>125</v>
      </c>
      <c r="AH3057">
        <v>0</v>
      </c>
      <c r="AK3057">
        <v>0</v>
      </c>
    </row>
    <row r="3058" spans="1:37" x14ac:dyDescent="0.25">
      <c r="A3058" t="s">
        <v>79</v>
      </c>
      <c r="B3058">
        <v>12</v>
      </c>
      <c r="C3058">
        <v>2</v>
      </c>
      <c r="D3058">
        <v>2</v>
      </c>
      <c r="E3058">
        <v>14</v>
      </c>
      <c r="G3058">
        <v>1222</v>
      </c>
      <c r="H3058" t="s">
        <v>63</v>
      </c>
      <c r="I3058" t="s">
        <v>137</v>
      </c>
      <c r="J3058" t="s">
        <v>154</v>
      </c>
      <c r="L3058">
        <v>0</v>
      </c>
      <c r="M3058" t="s">
        <v>125</v>
      </c>
      <c r="O3058" t="s">
        <v>125</v>
      </c>
      <c r="P3058" t="s">
        <v>125</v>
      </c>
      <c r="Q3058" t="s">
        <v>125</v>
      </c>
      <c r="R3058" t="s">
        <v>125</v>
      </c>
      <c r="S3058" t="s">
        <v>125</v>
      </c>
      <c r="T3058">
        <v>0</v>
      </c>
      <c r="V3058" t="s">
        <v>125</v>
      </c>
      <c r="AE3058" t="s">
        <v>125</v>
      </c>
      <c r="AF3058">
        <v>0</v>
      </c>
      <c r="AG3058" t="s">
        <v>125</v>
      </c>
      <c r="AH3058">
        <v>0</v>
      </c>
      <c r="AK3058">
        <v>0</v>
      </c>
    </row>
    <row r="3059" spans="1:37" x14ac:dyDescent="0.25">
      <c r="A3059" t="s">
        <v>79</v>
      </c>
      <c r="B3059">
        <v>12</v>
      </c>
      <c r="C3059">
        <v>2</v>
      </c>
      <c r="D3059">
        <v>2</v>
      </c>
      <c r="E3059">
        <v>15</v>
      </c>
      <c r="G3059">
        <v>1222</v>
      </c>
      <c r="H3059" t="s">
        <v>63</v>
      </c>
      <c r="I3059" t="s">
        <v>139</v>
      </c>
      <c r="J3059" t="s">
        <v>155</v>
      </c>
      <c r="L3059">
        <v>0</v>
      </c>
      <c r="M3059" t="s">
        <v>125</v>
      </c>
      <c r="O3059" t="s">
        <v>125</v>
      </c>
      <c r="P3059" t="s">
        <v>125</v>
      </c>
      <c r="Q3059" t="s">
        <v>125</v>
      </c>
      <c r="R3059" t="s">
        <v>125</v>
      </c>
      <c r="S3059" t="s">
        <v>125</v>
      </c>
      <c r="T3059">
        <v>0</v>
      </c>
      <c r="V3059" t="s">
        <v>125</v>
      </c>
      <c r="AE3059" t="s">
        <v>125</v>
      </c>
      <c r="AF3059">
        <v>0</v>
      </c>
      <c r="AG3059" t="s">
        <v>125</v>
      </c>
      <c r="AH3059">
        <v>0</v>
      </c>
      <c r="AK3059">
        <v>0</v>
      </c>
    </row>
    <row r="3060" spans="1:37" x14ac:dyDescent="0.25">
      <c r="L3060">
        <v>0</v>
      </c>
    </row>
    <row r="3061" spans="1:37" x14ac:dyDescent="0.25">
      <c r="A3061" t="s">
        <v>70</v>
      </c>
      <c r="B3061">
        <v>12</v>
      </c>
      <c r="C3061">
        <v>2</v>
      </c>
      <c r="D3061">
        <v>3</v>
      </c>
      <c r="G3061">
        <v>122</v>
      </c>
      <c r="L3061">
        <v>0</v>
      </c>
      <c r="M3061" t="s">
        <v>125</v>
      </c>
      <c r="P3061" t="s">
        <v>125</v>
      </c>
      <c r="R3061" t="s">
        <v>125</v>
      </c>
      <c r="S3061" t="s">
        <v>63</v>
      </c>
      <c r="V3061" t="s">
        <v>125</v>
      </c>
      <c r="X3061" t="s">
        <v>125</v>
      </c>
      <c r="Y3061" t="s">
        <v>125</v>
      </c>
      <c r="Z3061" t="s">
        <v>125</v>
      </c>
      <c r="AA3061" t="s">
        <v>125</v>
      </c>
      <c r="AB3061" t="s">
        <v>125</v>
      </c>
      <c r="AC3061" t="s">
        <v>125</v>
      </c>
      <c r="AE3061" t="s">
        <v>125</v>
      </c>
      <c r="AF3061">
        <v>0</v>
      </c>
      <c r="AG3061" t="s">
        <v>125</v>
      </c>
      <c r="AH3061">
        <v>0</v>
      </c>
      <c r="AK3061">
        <v>0</v>
      </c>
    </row>
    <row r="3062" spans="1:37" x14ac:dyDescent="0.25">
      <c r="A3062" t="s">
        <v>79</v>
      </c>
      <c r="B3062">
        <v>12</v>
      </c>
      <c r="C3062">
        <v>2</v>
      </c>
      <c r="D3062">
        <v>3</v>
      </c>
      <c r="E3062">
        <v>1</v>
      </c>
      <c r="G3062">
        <v>1223</v>
      </c>
      <c r="H3062" t="s">
        <v>63</v>
      </c>
      <c r="I3062" t="s">
        <v>80</v>
      </c>
      <c r="J3062" t="s">
        <v>141</v>
      </c>
      <c r="L3062">
        <v>0</v>
      </c>
      <c r="M3062" t="s">
        <v>125</v>
      </c>
      <c r="O3062" t="s">
        <v>125</v>
      </c>
      <c r="P3062" t="s">
        <v>125</v>
      </c>
      <c r="Q3062" t="s">
        <v>125</v>
      </c>
      <c r="R3062" t="s">
        <v>125</v>
      </c>
      <c r="S3062" t="s">
        <v>125</v>
      </c>
      <c r="T3062">
        <v>0</v>
      </c>
      <c r="V3062" t="s">
        <v>125</v>
      </c>
      <c r="AE3062" t="s">
        <v>125</v>
      </c>
      <c r="AF3062">
        <v>0</v>
      </c>
      <c r="AG3062" t="s">
        <v>125</v>
      </c>
      <c r="AH3062">
        <v>0</v>
      </c>
      <c r="AK3062">
        <v>0</v>
      </c>
    </row>
    <row r="3063" spans="1:37" x14ac:dyDescent="0.25">
      <c r="A3063" t="s">
        <v>79</v>
      </c>
      <c r="B3063">
        <v>12</v>
      </c>
      <c r="C3063">
        <v>2</v>
      </c>
      <c r="D3063">
        <v>3</v>
      </c>
      <c r="E3063">
        <v>2</v>
      </c>
      <c r="G3063">
        <v>1223</v>
      </c>
      <c r="H3063" t="s">
        <v>63</v>
      </c>
      <c r="I3063" t="s">
        <v>88</v>
      </c>
      <c r="J3063" t="s">
        <v>142</v>
      </c>
      <c r="L3063">
        <v>0</v>
      </c>
      <c r="M3063" t="s">
        <v>125</v>
      </c>
      <c r="O3063" t="s">
        <v>125</v>
      </c>
      <c r="P3063" t="s">
        <v>125</v>
      </c>
      <c r="Q3063" t="s">
        <v>125</v>
      </c>
      <c r="R3063" t="s">
        <v>125</v>
      </c>
      <c r="S3063" t="s">
        <v>125</v>
      </c>
      <c r="T3063">
        <v>0</v>
      </c>
      <c r="V3063" t="s">
        <v>125</v>
      </c>
      <c r="AE3063" t="s">
        <v>125</v>
      </c>
      <c r="AF3063">
        <v>0</v>
      </c>
      <c r="AG3063" t="s">
        <v>125</v>
      </c>
      <c r="AH3063">
        <v>0</v>
      </c>
      <c r="AK3063">
        <v>0</v>
      </c>
    </row>
    <row r="3064" spans="1:37" x14ac:dyDescent="0.25">
      <c r="A3064" t="s">
        <v>79</v>
      </c>
      <c r="B3064">
        <v>12</v>
      </c>
      <c r="C3064">
        <v>2</v>
      </c>
      <c r="D3064">
        <v>3</v>
      </c>
      <c r="E3064">
        <v>3</v>
      </c>
      <c r="G3064">
        <v>1223</v>
      </c>
      <c r="H3064" t="s">
        <v>63</v>
      </c>
      <c r="I3064" t="s">
        <v>95</v>
      </c>
      <c r="J3064" t="s">
        <v>143</v>
      </c>
      <c r="L3064">
        <v>0</v>
      </c>
      <c r="M3064" t="s">
        <v>125</v>
      </c>
      <c r="O3064" t="s">
        <v>125</v>
      </c>
      <c r="P3064" t="s">
        <v>125</v>
      </c>
      <c r="Q3064" t="s">
        <v>125</v>
      </c>
      <c r="R3064" t="s">
        <v>125</v>
      </c>
      <c r="S3064" t="s">
        <v>125</v>
      </c>
      <c r="T3064">
        <v>0</v>
      </c>
      <c r="V3064" t="s">
        <v>125</v>
      </c>
      <c r="AE3064" t="s">
        <v>125</v>
      </c>
      <c r="AF3064">
        <v>0</v>
      </c>
      <c r="AG3064" t="s">
        <v>125</v>
      </c>
      <c r="AH3064">
        <v>0</v>
      </c>
      <c r="AK3064">
        <v>0</v>
      </c>
    </row>
    <row r="3065" spans="1:37" x14ac:dyDescent="0.25">
      <c r="A3065" t="s">
        <v>79</v>
      </c>
      <c r="B3065">
        <v>12</v>
      </c>
      <c r="C3065">
        <v>2</v>
      </c>
      <c r="D3065">
        <v>3</v>
      </c>
      <c r="E3065">
        <v>4</v>
      </c>
      <c r="G3065">
        <v>1223</v>
      </c>
      <c r="H3065" t="s">
        <v>63</v>
      </c>
      <c r="I3065" t="s">
        <v>102</v>
      </c>
      <c r="J3065" t="s">
        <v>144</v>
      </c>
      <c r="L3065">
        <v>0</v>
      </c>
      <c r="M3065" t="s">
        <v>125</v>
      </c>
      <c r="O3065" t="s">
        <v>125</v>
      </c>
      <c r="P3065" t="s">
        <v>125</v>
      </c>
      <c r="Q3065" t="s">
        <v>125</v>
      </c>
      <c r="R3065" t="s">
        <v>125</v>
      </c>
      <c r="S3065" t="s">
        <v>125</v>
      </c>
      <c r="T3065">
        <v>0</v>
      </c>
      <c r="V3065" t="s">
        <v>125</v>
      </c>
      <c r="AE3065" t="s">
        <v>125</v>
      </c>
      <c r="AF3065">
        <v>0</v>
      </c>
      <c r="AG3065" t="s">
        <v>125</v>
      </c>
      <c r="AH3065">
        <v>0</v>
      </c>
      <c r="AK3065">
        <v>0</v>
      </c>
    </row>
    <row r="3066" spans="1:37" x14ac:dyDescent="0.25">
      <c r="A3066" t="s">
        <v>79</v>
      </c>
      <c r="B3066">
        <v>12</v>
      </c>
      <c r="C3066">
        <v>2</v>
      </c>
      <c r="D3066">
        <v>3</v>
      </c>
      <c r="E3066">
        <v>5</v>
      </c>
      <c r="G3066">
        <v>1223</v>
      </c>
      <c r="H3066" t="s">
        <v>63</v>
      </c>
      <c r="I3066" t="s">
        <v>109</v>
      </c>
      <c r="J3066" t="s">
        <v>145</v>
      </c>
      <c r="L3066">
        <v>0</v>
      </c>
      <c r="M3066" t="s">
        <v>125</v>
      </c>
      <c r="O3066" t="s">
        <v>125</v>
      </c>
      <c r="P3066" t="s">
        <v>125</v>
      </c>
      <c r="Q3066" t="s">
        <v>125</v>
      </c>
      <c r="R3066" t="s">
        <v>125</v>
      </c>
      <c r="S3066" t="s">
        <v>125</v>
      </c>
      <c r="T3066">
        <v>0</v>
      </c>
      <c r="V3066" t="s">
        <v>125</v>
      </c>
      <c r="AE3066" t="s">
        <v>125</v>
      </c>
      <c r="AF3066">
        <v>0</v>
      </c>
      <c r="AG3066" t="s">
        <v>125</v>
      </c>
      <c r="AH3066">
        <v>0</v>
      </c>
      <c r="AK3066">
        <v>0</v>
      </c>
    </row>
    <row r="3067" spans="1:37" x14ac:dyDescent="0.25">
      <c r="A3067" t="s">
        <v>79</v>
      </c>
      <c r="B3067">
        <v>12</v>
      </c>
      <c r="C3067">
        <v>2</v>
      </c>
      <c r="D3067">
        <v>3</v>
      </c>
      <c r="E3067">
        <v>6</v>
      </c>
      <c r="G3067">
        <v>1223</v>
      </c>
      <c r="H3067" t="s">
        <v>63</v>
      </c>
      <c r="I3067" t="s">
        <v>116</v>
      </c>
      <c r="J3067" t="s">
        <v>146</v>
      </c>
      <c r="L3067">
        <v>0</v>
      </c>
      <c r="M3067" t="s">
        <v>125</v>
      </c>
      <c r="O3067" t="s">
        <v>125</v>
      </c>
      <c r="P3067" t="s">
        <v>125</v>
      </c>
      <c r="Q3067" t="s">
        <v>125</v>
      </c>
      <c r="R3067" t="s">
        <v>125</v>
      </c>
      <c r="S3067" t="s">
        <v>125</v>
      </c>
      <c r="T3067">
        <v>0</v>
      </c>
      <c r="V3067" t="s">
        <v>125</v>
      </c>
      <c r="AE3067" t="s">
        <v>125</v>
      </c>
      <c r="AF3067">
        <v>0</v>
      </c>
      <c r="AG3067" t="s">
        <v>125</v>
      </c>
      <c r="AH3067">
        <v>0</v>
      </c>
      <c r="AK3067">
        <v>0</v>
      </c>
    </row>
    <row r="3068" spans="1:37" x14ac:dyDescent="0.25">
      <c r="A3068" t="s">
        <v>79</v>
      </c>
      <c r="B3068">
        <v>12</v>
      </c>
      <c r="C3068">
        <v>2</v>
      </c>
      <c r="D3068">
        <v>3</v>
      </c>
      <c r="E3068">
        <v>7</v>
      </c>
      <c r="G3068">
        <v>1223</v>
      </c>
      <c r="H3068" t="s">
        <v>63</v>
      </c>
      <c r="I3068" t="s">
        <v>123</v>
      </c>
      <c r="J3068" t="s">
        <v>147</v>
      </c>
      <c r="L3068">
        <v>0</v>
      </c>
      <c r="M3068" t="s">
        <v>125</v>
      </c>
      <c r="O3068" t="s">
        <v>125</v>
      </c>
      <c r="P3068" t="s">
        <v>125</v>
      </c>
      <c r="Q3068" t="s">
        <v>125</v>
      </c>
      <c r="R3068" t="s">
        <v>125</v>
      </c>
      <c r="S3068" t="s">
        <v>125</v>
      </c>
      <c r="T3068">
        <v>0</v>
      </c>
      <c r="V3068" t="s">
        <v>125</v>
      </c>
      <c r="AE3068" t="s">
        <v>125</v>
      </c>
      <c r="AF3068">
        <v>0</v>
      </c>
      <c r="AG3068" t="s">
        <v>125</v>
      </c>
      <c r="AH3068">
        <v>0</v>
      </c>
      <c r="AK3068">
        <v>0</v>
      </c>
    </row>
    <row r="3069" spans="1:37" x14ac:dyDescent="0.25">
      <c r="A3069" t="s">
        <v>79</v>
      </c>
      <c r="B3069">
        <v>12</v>
      </c>
      <c r="C3069">
        <v>2</v>
      </c>
      <c r="D3069">
        <v>3</v>
      </c>
      <c r="E3069">
        <v>8</v>
      </c>
      <c r="G3069">
        <v>1223</v>
      </c>
      <c r="H3069" t="s">
        <v>63</v>
      </c>
      <c r="I3069" t="s">
        <v>126</v>
      </c>
      <c r="J3069" t="s">
        <v>148</v>
      </c>
      <c r="L3069">
        <v>0</v>
      </c>
      <c r="M3069" t="s">
        <v>125</v>
      </c>
      <c r="O3069" t="s">
        <v>125</v>
      </c>
      <c r="P3069" t="s">
        <v>125</v>
      </c>
      <c r="Q3069" t="s">
        <v>125</v>
      </c>
      <c r="R3069" t="s">
        <v>125</v>
      </c>
      <c r="S3069" t="s">
        <v>125</v>
      </c>
      <c r="T3069">
        <v>0</v>
      </c>
      <c r="V3069" t="s">
        <v>125</v>
      </c>
      <c r="AE3069" t="s">
        <v>125</v>
      </c>
      <c r="AF3069">
        <v>0</v>
      </c>
      <c r="AG3069" t="s">
        <v>125</v>
      </c>
      <c r="AH3069">
        <v>0</v>
      </c>
      <c r="AK3069">
        <v>0</v>
      </c>
    </row>
    <row r="3070" spans="1:37" x14ac:dyDescent="0.25">
      <c r="A3070" t="s">
        <v>79</v>
      </c>
      <c r="B3070">
        <v>12</v>
      </c>
      <c r="C3070">
        <v>2</v>
      </c>
      <c r="D3070">
        <v>3</v>
      </c>
      <c r="E3070">
        <v>9</v>
      </c>
      <c r="G3070">
        <v>1223</v>
      </c>
      <c r="H3070" t="s">
        <v>63</v>
      </c>
      <c r="I3070" t="s">
        <v>74</v>
      </c>
      <c r="J3070" t="s">
        <v>149</v>
      </c>
      <c r="L3070">
        <v>0</v>
      </c>
      <c r="M3070" t="s">
        <v>125</v>
      </c>
      <c r="O3070" t="s">
        <v>125</v>
      </c>
      <c r="P3070" t="s">
        <v>125</v>
      </c>
      <c r="Q3070" t="s">
        <v>125</v>
      </c>
      <c r="R3070" t="s">
        <v>125</v>
      </c>
      <c r="S3070" t="s">
        <v>125</v>
      </c>
      <c r="T3070">
        <v>0</v>
      </c>
      <c r="V3070" t="s">
        <v>125</v>
      </c>
      <c r="AE3070" t="s">
        <v>125</v>
      </c>
      <c r="AF3070">
        <v>0</v>
      </c>
      <c r="AG3070" t="s">
        <v>125</v>
      </c>
      <c r="AH3070">
        <v>0</v>
      </c>
      <c r="AK3070">
        <v>0</v>
      </c>
    </row>
    <row r="3071" spans="1:37" x14ac:dyDescent="0.25">
      <c r="A3071" t="s">
        <v>79</v>
      </c>
      <c r="B3071">
        <v>12</v>
      </c>
      <c r="C3071">
        <v>2</v>
      </c>
      <c r="D3071">
        <v>3</v>
      </c>
      <c r="E3071">
        <v>10</v>
      </c>
      <c r="G3071">
        <v>1223</v>
      </c>
      <c r="H3071" t="s">
        <v>63</v>
      </c>
      <c r="I3071" t="s">
        <v>129</v>
      </c>
      <c r="J3071" t="s">
        <v>150</v>
      </c>
      <c r="L3071">
        <v>0</v>
      </c>
      <c r="M3071" t="s">
        <v>125</v>
      </c>
      <c r="O3071" t="s">
        <v>125</v>
      </c>
      <c r="P3071" t="s">
        <v>125</v>
      </c>
      <c r="Q3071" t="s">
        <v>125</v>
      </c>
      <c r="R3071" t="s">
        <v>125</v>
      </c>
      <c r="S3071" t="s">
        <v>125</v>
      </c>
      <c r="T3071">
        <v>0</v>
      </c>
      <c r="V3071" t="s">
        <v>125</v>
      </c>
      <c r="AE3071" t="s">
        <v>125</v>
      </c>
      <c r="AF3071">
        <v>0</v>
      </c>
      <c r="AG3071" t="s">
        <v>125</v>
      </c>
      <c r="AH3071">
        <v>0</v>
      </c>
      <c r="AK3071">
        <v>0</v>
      </c>
    </row>
    <row r="3072" spans="1:37" x14ac:dyDescent="0.25">
      <c r="A3072" t="s">
        <v>79</v>
      </c>
      <c r="B3072">
        <v>12</v>
      </c>
      <c r="C3072">
        <v>2</v>
      </c>
      <c r="D3072">
        <v>3</v>
      </c>
      <c r="E3072">
        <v>11</v>
      </c>
      <c r="G3072">
        <v>1223</v>
      </c>
      <c r="H3072" t="s">
        <v>63</v>
      </c>
      <c r="I3072" t="s">
        <v>131</v>
      </c>
      <c r="J3072" t="s">
        <v>151</v>
      </c>
      <c r="L3072">
        <v>0</v>
      </c>
      <c r="M3072" t="s">
        <v>125</v>
      </c>
      <c r="O3072" t="s">
        <v>125</v>
      </c>
      <c r="P3072" t="s">
        <v>125</v>
      </c>
      <c r="Q3072" t="s">
        <v>125</v>
      </c>
      <c r="R3072" t="s">
        <v>125</v>
      </c>
      <c r="S3072" t="s">
        <v>125</v>
      </c>
      <c r="T3072">
        <v>0</v>
      </c>
      <c r="V3072" t="s">
        <v>125</v>
      </c>
      <c r="AE3072" t="s">
        <v>125</v>
      </c>
      <c r="AF3072">
        <v>0</v>
      </c>
      <c r="AG3072" t="s">
        <v>125</v>
      </c>
      <c r="AH3072">
        <v>0</v>
      </c>
      <c r="AK3072">
        <v>0</v>
      </c>
    </row>
    <row r="3073" spans="1:37" x14ac:dyDescent="0.25">
      <c r="A3073" t="s">
        <v>79</v>
      </c>
      <c r="B3073">
        <v>12</v>
      </c>
      <c r="C3073">
        <v>2</v>
      </c>
      <c r="D3073">
        <v>3</v>
      </c>
      <c r="E3073">
        <v>12</v>
      </c>
      <c r="G3073">
        <v>1223</v>
      </c>
      <c r="H3073" t="s">
        <v>63</v>
      </c>
      <c r="I3073" t="s">
        <v>133</v>
      </c>
      <c r="J3073" t="s">
        <v>152</v>
      </c>
      <c r="L3073">
        <v>0</v>
      </c>
      <c r="M3073" t="s">
        <v>125</v>
      </c>
      <c r="O3073" t="s">
        <v>125</v>
      </c>
      <c r="P3073" t="s">
        <v>125</v>
      </c>
      <c r="Q3073" t="s">
        <v>125</v>
      </c>
      <c r="R3073" t="s">
        <v>125</v>
      </c>
      <c r="S3073" t="s">
        <v>125</v>
      </c>
      <c r="T3073">
        <v>0</v>
      </c>
      <c r="V3073" t="s">
        <v>125</v>
      </c>
      <c r="AE3073" t="s">
        <v>125</v>
      </c>
      <c r="AF3073">
        <v>0</v>
      </c>
      <c r="AG3073" t="s">
        <v>125</v>
      </c>
      <c r="AH3073">
        <v>0</v>
      </c>
      <c r="AK3073">
        <v>0</v>
      </c>
    </row>
    <row r="3074" spans="1:37" x14ac:dyDescent="0.25">
      <c r="A3074" t="s">
        <v>79</v>
      </c>
      <c r="B3074">
        <v>12</v>
      </c>
      <c r="C3074">
        <v>2</v>
      </c>
      <c r="D3074">
        <v>3</v>
      </c>
      <c r="E3074">
        <v>13</v>
      </c>
      <c r="G3074">
        <v>1223</v>
      </c>
      <c r="H3074" t="s">
        <v>63</v>
      </c>
      <c r="I3074" t="s">
        <v>135</v>
      </c>
      <c r="J3074" t="s">
        <v>153</v>
      </c>
      <c r="L3074">
        <v>0</v>
      </c>
      <c r="M3074" t="s">
        <v>125</v>
      </c>
      <c r="O3074" t="s">
        <v>125</v>
      </c>
      <c r="P3074" t="s">
        <v>125</v>
      </c>
      <c r="Q3074" t="s">
        <v>125</v>
      </c>
      <c r="R3074" t="s">
        <v>125</v>
      </c>
      <c r="S3074" t="s">
        <v>125</v>
      </c>
      <c r="T3074">
        <v>0</v>
      </c>
      <c r="V3074" t="s">
        <v>125</v>
      </c>
      <c r="AE3074" t="s">
        <v>125</v>
      </c>
      <c r="AF3074">
        <v>0</v>
      </c>
      <c r="AG3074" t="s">
        <v>125</v>
      </c>
      <c r="AH3074">
        <v>0</v>
      </c>
      <c r="AK3074">
        <v>0</v>
      </c>
    </row>
    <row r="3075" spans="1:37" x14ac:dyDescent="0.25">
      <c r="A3075" t="s">
        <v>79</v>
      </c>
      <c r="B3075">
        <v>12</v>
      </c>
      <c r="C3075">
        <v>2</v>
      </c>
      <c r="D3075">
        <v>3</v>
      </c>
      <c r="E3075">
        <v>14</v>
      </c>
      <c r="G3075">
        <v>1223</v>
      </c>
      <c r="H3075" t="s">
        <v>63</v>
      </c>
      <c r="I3075" t="s">
        <v>137</v>
      </c>
      <c r="J3075" t="s">
        <v>154</v>
      </c>
      <c r="L3075">
        <v>0</v>
      </c>
      <c r="M3075" t="s">
        <v>125</v>
      </c>
      <c r="O3075" t="s">
        <v>125</v>
      </c>
      <c r="P3075" t="s">
        <v>125</v>
      </c>
      <c r="Q3075" t="s">
        <v>125</v>
      </c>
      <c r="R3075" t="s">
        <v>125</v>
      </c>
      <c r="S3075" t="s">
        <v>125</v>
      </c>
      <c r="T3075">
        <v>0</v>
      </c>
      <c r="V3075" t="s">
        <v>125</v>
      </c>
      <c r="AE3075" t="s">
        <v>125</v>
      </c>
      <c r="AF3075">
        <v>0</v>
      </c>
      <c r="AG3075" t="s">
        <v>125</v>
      </c>
      <c r="AH3075">
        <v>0</v>
      </c>
      <c r="AK3075">
        <v>0</v>
      </c>
    </row>
    <row r="3076" spans="1:37" x14ac:dyDescent="0.25">
      <c r="A3076" t="s">
        <v>79</v>
      </c>
      <c r="B3076">
        <v>12</v>
      </c>
      <c r="C3076">
        <v>2</v>
      </c>
      <c r="D3076">
        <v>3</v>
      </c>
      <c r="E3076">
        <v>15</v>
      </c>
      <c r="G3076">
        <v>1223</v>
      </c>
      <c r="H3076" t="s">
        <v>63</v>
      </c>
      <c r="I3076" t="s">
        <v>139</v>
      </c>
      <c r="J3076" t="s">
        <v>155</v>
      </c>
      <c r="L3076">
        <v>0</v>
      </c>
      <c r="M3076" t="s">
        <v>125</v>
      </c>
      <c r="O3076" t="s">
        <v>125</v>
      </c>
      <c r="P3076" t="s">
        <v>125</v>
      </c>
      <c r="Q3076" t="s">
        <v>125</v>
      </c>
      <c r="R3076" t="s">
        <v>125</v>
      </c>
      <c r="S3076" t="s">
        <v>125</v>
      </c>
      <c r="T3076">
        <v>0</v>
      </c>
      <c r="V3076" t="s">
        <v>125</v>
      </c>
      <c r="AE3076" t="s">
        <v>125</v>
      </c>
      <c r="AF3076">
        <v>0</v>
      </c>
      <c r="AG3076" t="s">
        <v>125</v>
      </c>
      <c r="AH3076">
        <v>0</v>
      </c>
      <c r="AK3076">
        <v>0</v>
      </c>
    </row>
    <row r="3077" spans="1:37" x14ac:dyDescent="0.25">
      <c r="L3077">
        <v>0</v>
      </c>
    </row>
    <row r="3078" spans="1:37" x14ac:dyDescent="0.25">
      <c r="A3078" t="s">
        <v>70</v>
      </c>
      <c r="B3078">
        <v>12</v>
      </c>
      <c r="C3078">
        <v>2</v>
      </c>
      <c r="D3078">
        <v>4</v>
      </c>
      <c r="G3078">
        <v>122</v>
      </c>
      <c r="L3078">
        <v>0</v>
      </c>
      <c r="M3078" t="s">
        <v>125</v>
      </c>
      <c r="P3078" t="s">
        <v>125</v>
      </c>
      <c r="R3078" t="s">
        <v>125</v>
      </c>
      <c r="S3078" t="s">
        <v>63</v>
      </c>
      <c r="V3078" t="s">
        <v>125</v>
      </c>
      <c r="X3078" t="s">
        <v>125</v>
      </c>
      <c r="Y3078" t="s">
        <v>125</v>
      </c>
      <c r="Z3078" t="s">
        <v>125</v>
      </c>
      <c r="AA3078" t="s">
        <v>125</v>
      </c>
      <c r="AB3078" t="s">
        <v>125</v>
      </c>
      <c r="AC3078" t="s">
        <v>125</v>
      </c>
      <c r="AE3078" t="s">
        <v>125</v>
      </c>
      <c r="AF3078">
        <v>0</v>
      </c>
      <c r="AG3078" t="s">
        <v>125</v>
      </c>
      <c r="AH3078">
        <v>0</v>
      </c>
      <c r="AK3078">
        <v>0</v>
      </c>
    </row>
    <row r="3079" spans="1:37" x14ac:dyDescent="0.25">
      <c r="A3079" t="s">
        <v>79</v>
      </c>
      <c r="B3079">
        <v>12</v>
      </c>
      <c r="C3079">
        <v>2</v>
      </c>
      <c r="D3079">
        <v>4</v>
      </c>
      <c r="E3079">
        <v>1</v>
      </c>
      <c r="G3079">
        <v>1224</v>
      </c>
      <c r="H3079" t="s">
        <v>63</v>
      </c>
      <c r="I3079" t="s">
        <v>80</v>
      </c>
      <c r="J3079" t="s">
        <v>141</v>
      </c>
      <c r="L3079">
        <v>0</v>
      </c>
      <c r="M3079" t="s">
        <v>125</v>
      </c>
      <c r="O3079" t="s">
        <v>125</v>
      </c>
      <c r="P3079" t="s">
        <v>125</v>
      </c>
      <c r="Q3079" t="s">
        <v>125</v>
      </c>
      <c r="R3079" t="s">
        <v>125</v>
      </c>
      <c r="S3079" t="s">
        <v>125</v>
      </c>
      <c r="T3079">
        <v>0</v>
      </c>
      <c r="V3079" t="s">
        <v>125</v>
      </c>
      <c r="AE3079" t="s">
        <v>125</v>
      </c>
      <c r="AF3079">
        <v>0</v>
      </c>
      <c r="AG3079" t="s">
        <v>125</v>
      </c>
      <c r="AH3079">
        <v>0</v>
      </c>
      <c r="AK3079">
        <v>0</v>
      </c>
    </row>
    <row r="3080" spans="1:37" x14ac:dyDescent="0.25">
      <c r="A3080" t="s">
        <v>79</v>
      </c>
      <c r="B3080">
        <v>12</v>
      </c>
      <c r="C3080">
        <v>2</v>
      </c>
      <c r="D3080">
        <v>4</v>
      </c>
      <c r="E3080">
        <v>2</v>
      </c>
      <c r="G3080">
        <v>1224</v>
      </c>
      <c r="H3080" t="s">
        <v>63</v>
      </c>
      <c r="I3080" t="s">
        <v>88</v>
      </c>
      <c r="J3080" t="s">
        <v>142</v>
      </c>
      <c r="L3080">
        <v>0</v>
      </c>
      <c r="M3080" t="s">
        <v>125</v>
      </c>
      <c r="O3080" t="s">
        <v>125</v>
      </c>
      <c r="P3080" t="s">
        <v>125</v>
      </c>
      <c r="Q3080" t="s">
        <v>125</v>
      </c>
      <c r="R3080" t="s">
        <v>125</v>
      </c>
      <c r="S3080" t="s">
        <v>125</v>
      </c>
      <c r="T3080">
        <v>0</v>
      </c>
      <c r="V3080" t="s">
        <v>125</v>
      </c>
      <c r="AE3080" t="s">
        <v>125</v>
      </c>
      <c r="AF3080">
        <v>0</v>
      </c>
      <c r="AG3080" t="s">
        <v>125</v>
      </c>
      <c r="AH3080">
        <v>0</v>
      </c>
      <c r="AK3080">
        <v>0</v>
      </c>
    </row>
    <row r="3081" spans="1:37" x14ac:dyDescent="0.25">
      <c r="A3081" t="s">
        <v>79</v>
      </c>
      <c r="B3081">
        <v>12</v>
      </c>
      <c r="C3081">
        <v>2</v>
      </c>
      <c r="D3081">
        <v>4</v>
      </c>
      <c r="E3081">
        <v>3</v>
      </c>
      <c r="G3081">
        <v>1224</v>
      </c>
      <c r="H3081" t="s">
        <v>63</v>
      </c>
      <c r="I3081" t="s">
        <v>95</v>
      </c>
      <c r="J3081" t="s">
        <v>143</v>
      </c>
      <c r="L3081">
        <v>0</v>
      </c>
      <c r="M3081" t="s">
        <v>125</v>
      </c>
      <c r="O3081" t="s">
        <v>125</v>
      </c>
      <c r="P3081" t="s">
        <v>125</v>
      </c>
      <c r="Q3081" t="s">
        <v>125</v>
      </c>
      <c r="R3081" t="s">
        <v>125</v>
      </c>
      <c r="S3081" t="s">
        <v>125</v>
      </c>
      <c r="T3081">
        <v>0</v>
      </c>
      <c r="V3081" t="s">
        <v>125</v>
      </c>
      <c r="AE3081" t="s">
        <v>125</v>
      </c>
      <c r="AF3081">
        <v>0</v>
      </c>
      <c r="AG3081" t="s">
        <v>125</v>
      </c>
      <c r="AH3081">
        <v>0</v>
      </c>
      <c r="AK3081">
        <v>0</v>
      </c>
    </row>
    <row r="3082" spans="1:37" x14ac:dyDescent="0.25">
      <c r="A3082" t="s">
        <v>79</v>
      </c>
      <c r="B3082">
        <v>12</v>
      </c>
      <c r="C3082">
        <v>2</v>
      </c>
      <c r="D3082">
        <v>4</v>
      </c>
      <c r="E3082">
        <v>4</v>
      </c>
      <c r="G3082">
        <v>1224</v>
      </c>
      <c r="H3082" t="s">
        <v>63</v>
      </c>
      <c r="I3082" t="s">
        <v>102</v>
      </c>
      <c r="J3082" t="s">
        <v>144</v>
      </c>
      <c r="L3082">
        <v>0</v>
      </c>
      <c r="M3082" t="s">
        <v>125</v>
      </c>
      <c r="O3082" t="s">
        <v>125</v>
      </c>
      <c r="P3082" t="s">
        <v>125</v>
      </c>
      <c r="Q3082" t="s">
        <v>125</v>
      </c>
      <c r="R3082" t="s">
        <v>125</v>
      </c>
      <c r="S3082" t="s">
        <v>125</v>
      </c>
      <c r="T3082">
        <v>0</v>
      </c>
      <c r="V3082" t="s">
        <v>125</v>
      </c>
      <c r="AE3082" t="s">
        <v>125</v>
      </c>
      <c r="AF3082">
        <v>0</v>
      </c>
      <c r="AG3082" t="s">
        <v>125</v>
      </c>
      <c r="AH3082">
        <v>0</v>
      </c>
      <c r="AK3082">
        <v>0</v>
      </c>
    </row>
    <row r="3083" spans="1:37" x14ac:dyDescent="0.25">
      <c r="A3083" t="s">
        <v>79</v>
      </c>
      <c r="B3083">
        <v>12</v>
      </c>
      <c r="C3083">
        <v>2</v>
      </c>
      <c r="D3083">
        <v>4</v>
      </c>
      <c r="E3083">
        <v>5</v>
      </c>
      <c r="G3083">
        <v>1224</v>
      </c>
      <c r="H3083" t="s">
        <v>63</v>
      </c>
      <c r="I3083" t="s">
        <v>109</v>
      </c>
      <c r="J3083" t="s">
        <v>145</v>
      </c>
      <c r="L3083">
        <v>0</v>
      </c>
      <c r="M3083" t="s">
        <v>125</v>
      </c>
      <c r="O3083" t="s">
        <v>125</v>
      </c>
      <c r="P3083" t="s">
        <v>125</v>
      </c>
      <c r="Q3083" t="s">
        <v>125</v>
      </c>
      <c r="R3083" t="s">
        <v>125</v>
      </c>
      <c r="S3083" t="s">
        <v>125</v>
      </c>
      <c r="T3083">
        <v>0</v>
      </c>
      <c r="V3083" t="s">
        <v>125</v>
      </c>
      <c r="AE3083" t="s">
        <v>125</v>
      </c>
      <c r="AF3083">
        <v>0</v>
      </c>
      <c r="AG3083" t="s">
        <v>125</v>
      </c>
      <c r="AH3083">
        <v>0</v>
      </c>
      <c r="AK3083">
        <v>0</v>
      </c>
    </row>
    <row r="3084" spans="1:37" x14ac:dyDescent="0.25">
      <c r="A3084" t="s">
        <v>79</v>
      </c>
      <c r="B3084">
        <v>12</v>
      </c>
      <c r="C3084">
        <v>2</v>
      </c>
      <c r="D3084">
        <v>4</v>
      </c>
      <c r="E3084">
        <v>6</v>
      </c>
      <c r="G3084">
        <v>1224</v>
      </c>
      <c r="H3084" t="s">
        <v>63</v>
      </c>
      <c r="I3084" t="s">
        <v>116</v>
      </c>
      <c r="J3084" t="s">
        <v>146</v>
      </c>
      <c r="L3084">
        <v>0</v>
      </c>
      <c r="M3084" t="s">
        <v>125</v>
      </c>
      <c r="O3084" t="s">
        <v>125</v>
      </c>
      <c r="P3084" t="s">
        <v>125</v>
      </c>
      <c r="Q3084" t="s">
        <v>125</v>
      </c>
      <c r="R3084" t="s">
        <v>125</v>
      </c>
      <c r="S3084" t="s">
        <v>125</v>
      </c>
      <c r="T3084">
        <v>0</v>
      </c>
      <c r="V3084" t="s">
        <v>125</v>
      </c>
      <c r="AE3084" t="s">
        <v>125</v>
      </c>
      <c r="AF3084">
        <v>0</v>
      </c>
      <c r="AG3084" t="s">
        <v>125</v>
      </c>
      <c r="AH3084">
        <v>0</v>
      </c>
      <c r="AK3084">
        <v>0</v>
      </c>
    </row>
    <row r="3085" spans="1:37" x14ac:dyDescent="0.25">
      <c r="A3085" t="s">
        <v>79</v>
      </c>
      <c r="B3085">
        <v>12</v>
      </c>
      <c r="C3085">
        <v>2</v>
      </c>
      <c r="D3085">
        <v>4</v>
      </c>
      <c r="E3085">
        <v>7</v>
      </c>
      <c r="G3085">
        <v>1224</v>
      </c>
      <c r="H3085" t="s">
        <v>63</v>
      </c>
      <c r="I3085" t="s">
        <v>123</v>
      </c>
      <c r="J3085" t="s">
        <v>147</v>
      </c>
      <c r="L3085">
        <v>0</v>
      </c>
      <c r="M3085" t="s">
        <v>125</v>
      </c>
      <c r="O3085" t="s">
        <v>125</v>
      </c>
      <c r="P3085" t="s">
        <v>125</v>
      </c>
      <c r="Q3085" t="s">
        <v>125</v>
      </c>
      <c r="R3085" t="s">
        <v>125</v>
      </c>
      <c r="S3085" t="s">
        <v>125</v>
      </c>
      <c r="T3085">
        <v>0</v>
      </c>
      <c r="V3085" t="s">
        <v>125</v>
      </c>
      <c r="AE3085" t="s">
        <v>125</v>
      </c>
      <c r="AF3085">
        <v>0</v>
      </c>
      <c r="AG3085" t="s">
        <v>125</v>
      </c>
      <c r="AH3085">
        <v>0</v>
      </c>
      <c r="AK3085">
        <v>0</v>
      </c>
    </row>
    <row r="3086" spans="1:37" x14ac:dyDescent="0.25">
      <c r="A3086" t="s">
        <v>79</v>
      </c>
      <c r="B3086">
        <v>12</v>
      </c>
      <c r="C3086">
        <v>2</v>
      </c>
      <c r="D3086">
        <v>4</v>
      </c>
      <c r="E3086">
        <v>8</v>
      </c>
      <c r="G3086">
        <v>1224</v>
      </c>
      <c r="H3086" t="s">
        <v>63</v>
      </c>
      <c r="I3086" t="s">
        <v>126</v>
      </c>
      <c r="J3086" t="s">
        <v>148</v>
      </c>
      <c r="L3086">
        <v>0</v>
      </c>
      <c r="M3086" t="s">
        <v>125</v>
      </c>
      <c r="O3086" t="s">
        <v>125</v>
      </c>
      <c r="P3086" t="s">
        <v>125</v>
      </c>
      <c r="Q3086" t="s">
        <v>125</v>
      </c>
      <c r="R3086" t="s">
        <v>125</v>
      </c>
      <c r="S3086" t="s">
        <v>125</v>
      </c>
      <c r="T3086">
        <v>0</v>
      </c>
      <c r="V3086" t="s">
        <v>125</v>
      </c>
      <c r="AE3086" t="s">
        <v>125</v>
      </c>
      <c r="AF3086">
        <v>0</v>
      </c>
      <c r="AG3086" t="s">
        <v>125</v>
      </c>
      <c r="AH3086">
        <v>0</v>
      </c>
      <c r="AK3086">
        <v>0</v>
      </c>
    </row>
    <row r="3087" spans="1:37" x14ac:dyDescent="0.25">
      <c r="A3087" t="s">
        <v>79</v>
      </c>
      <c r="B3087">
        <v>12</v>
      </c>
      <c r="C3087">
        <v>2</v>
      </c>
      <c r="D3087">
        <v>4</v>
      </c>
      <c r="E3087">
        <v>9</v>
      </c>
      <c r="G3087">
        <v>1224</v>
      </c>
      <c r="H3087" t="s">
        <v>63</v>
      </c>
      <c r="I3087" t="s">
        <v>74</v>
      </c>
      <c r="J3087" t="s">
        <v>149</v>
      </c>
      <c r="L3087">
        <v>0</v>
      </c>
      <c r="M3087" t="s">
        <v>125</v>
      </c>
      <c r="O3087" t="s">
        <v>125</v>
      </c>
      <c r="P3087" t="s">
        <v>125</v>
      </c>
      <c r="Q3087" t="s">
        <v>125</v>
      </c>
      <c r="R3087" t="s">
        <v>125</v>
      </c>
      <c r="S3087" t="s">
        <v>125</v>
      </c>
      <c r="T3087">
        <v>0</v>
      </c>
      <c r="V3087" t="s">
        <v>125</v>
      </c>
      <c r="AE3087" t="s">
        <v>125</v>
      </c>
      <c r="AF3087">
        <v>0</v>
      </c>
      <c r="AG3087" t="s">
        <v>125</v>
      </c>
      <c r="AH3087">
        <v>0</v>
      </c>
      <c r="AK3087">
        <v>0</v>
      </c>
    </row>
    <row r="3088" spans="1:37" x14ac:dyDescent="0.25">
      <c r="A3088" t="s">
        <v>79</v>
      </c>
      <c r="B3088">
        <v>12</v>
      </c>
      <c r="C3088">
        <v>2</v>
      </c>
      <c r="D3088">
        <v>4</v>
      </c>
      <c r="E3088">
        <v>10</v>
      </c>
      <c r="G3088">
        <v>1224</v>
      </c>
      <c r="H3088" t="s">
        <v>63</v>
      </c>
      <c r="I3088" t="s">
        <v>129</v>
      </c>
      <c r="J3088" t="s">
        <v>150</v>
      </c>
      <c r="L3088">
        <v>0</v>
      </c>
      <c r="M3088" t="s">
        <v>125</v>
      </c>
      <c r="O3088" t="s">
        <v>125</v>
      </c>
      <c r="P3088" t="s">
        <v>125</v>
      </c>
      <c r="Q3088" t="s">
        <v>125</v>
      </c>
      <c r="R3088" t="s">
        <v>125</v>
      </c>
      <c r="S3088" t="s">
        <v>125</v>
      </c>
      <c r="T3088">
        <v>0</v>
      </c>
      <c r="V3088" t="s">
        <v>125</v>
      </c>
      <c r="AE3088" t="s">
        <v>125</v>
      </c>
      <c r="AF3088">
        <v>0</v>
      </c>
      <c r="AG3088" t="s">
        <v>125</v>
      </c>
      <c r="AH3088">
        <v>0</v>
      </c>
      <c r="AK3088">
        <v>0</v>
      </c>
    </row>
    <row r="3089" spans="1:37" x14ac:dyDescent="0.25">
      <c r="A3089" t="s">
        <v>79</v>
      </c>
      <c r="B3089">
        <v>12</v>
      </c>
      <c r="C3089">
        <v>2</v>
      </c>
      <c r="D3089">
        <v>4</v>
      </c>
      <c r="E3089">
        <v>11</v>
      </c>
      <c r="G3089">
        <v>1224</v>
      </c>
      <c r="H3089" t="s">
        <v>63</v>
      </c>
      <c r="I3089" t="s">
        <v>131</v>
      </c>
      <c r="J3089" t="s">
        <v>151</v>
      </c>
      <c r="L3089">
        <v>0</v>
      </c>
      <c r="M3089" t="s">
        <v>125</v>
      </c>
      <c r="O3089" t="s">
        <v>125</v>
      </c>
      <c r="P3089" t="s">
        <v>125</v>
      </c>
      <c r="Q3089" t="s">
        <v>125</v>
      </c>
      <c r="R3089" t="s">
        <v>125</v>
      </c>
      <c r="S3089" t="s">
        <v>125</v>
      </c>
      <c r="T3089">
        <v>0</v>
      </c>
      <c r="V3089" t="s">
        <v>125</v>
      </c>
      <c r="AE3089" t="s">
        <v>125</v>
      </c>
      <c r="AF3089">
        <v>0</v>
      </c>
      <c r="AG3089" t="s">
        <v>125</v>
      </c>
      <c r="AH3089">
        <v>0</v>
      </c>
      <c r="AK3089">
        <v>0</v>
      </c>
    </row>
    <row r="3090" spans="1:37" x14ac:dyDescent="0.25">
      <c r="A3090" t="s">
        <v>79</v>
      </c>
      <c r="B3090">
        <v>12</v>
      </c>
      <c r="C3090">
        <v>2</v>
      </c>
      <c r="D3090">
        <v>4</v>
      </c>
      <c r="E3090">
        <v>12</v>
      </c>
      <c r="G3090">
        <v>1224</v>
      </c>
      <c r="H3090" t="s">
        <v>63</v>
      </c>
      <c r="I3090" t="s">
        <v>133</v>
      </c>
      <c r="J3090" t="s">
        <v>152</v>
      </c>
      <c r="L3090">
        <v>0</v>
      </c>
      <c r="M3090" t="s">
        <v>125</v>
      </c>
      <c r="O3090" t="s">
        <v>125</v>
      </c>
      <c r="P3090" t="s">
        <v>125</v>
      </c>
      <c r="Q3090" t="s">
        <v>125</v>
      </c>
      <c r="R3090" t="s">
        <v>125</v>
      </c>
      <c r="S3090" t="s">
        <v>125</v>
      </c>
      <c r="T3090">
        <v>0</v>
      </c>
      <c r="V3090" t="s">
        <v>125</v>
      </c>
      <c r="AE3090" t="s">
        <v>125</v>
      </c>
      <c r="AF3090">
        <v>0</v>
      </c>
      <c r="AG3090" t="s">
        <v>125</v>
      </c>
      <c r="AH3090">
        <v>0</v>
      </c>
      <c r="AK3090">
        <v>0</v>
      </c>
    </row>
    <row r="3091" spans="1:37" x14ac:dyDescent="0.25">
      <c r="A3091" t="s">
        <v>79</v>
      </c>
      <c r="B3091">
        <v>12</v>
      </c>
      <c r="C3091">
        <v>2</v>
      </c>
      <c r="D3091">
        <v>4</v>
      </c>
      <c r="E3091">
        <v>13</v>
      </c>
      <c r="G3091">
        <v>1224</v>
      </c>
      <c r="H3091" t="s">
        <v>63</v>
      </c>
      <c r="I3091" t="s">
        <v>135</v>
      </c>
      <c r="J3091" t="s">
        <v>153</v>
      </c>
      <c r="L3091">
        <v>0</v>
      </c>
      <c r="M3091" t="s">
        <v>125</v>
      </c>
      <c r="O3091" t="s">
        <v>125</v>
      </c>
      <c r="P3091" t="s">
        <v>125</v>
      </c>
      <c r="Q3091" t="s">
        <v>125</v>
      </c>
      <c r="R3091" t="s">
        <v>125</v>
      </c>
      <c r="S3091" t="s">
        <v>125</v>
      </c>
      <c r="T3091">
        <v>0</v>
      </c>
      <c r="V3091" t="s">
        <v>125</v>
      </c>
      <c r="AE3091" t="s">
        <v>125</v>
      </c>
      <c r="AF3091">
        <v>0</v>
      </c>
      <c r="AG3091" t="s">
        <v>125</v>
      </c>
      <c r="AH3091">
        <v>0</v>
      </c>
      <c r="AK3091">
        <v>0</v>
      </c>
    </row>
    <row r="3092" spans="1:37" x14ac:dyDescent="0.25">
      <c r="A3092" t="s">
        <v>79</v>
      </c>
      <c r="B3092">
        <v>12</v>
      </c>
      <c r="C3092">
        <v>2</v>
      </c>
      <c r="D3092">
        <v>4</v>
      </c>
      <c r="E3092">
        <v>14</v>
      </c>
      <c r="G3092">
        <v>1224</v>
      </c>
      <c r="H3092" t="s">
        <v>63</v>
      </c>
      <c r="I3092" t="s">
        <v>137</v>
      </c>
      <c r="J3092" t="s">
        <v>154</v>
      </c>
      <c r="L3092">
        <v>0</v>
      </c>
      <c r="M3092" t="s">
        <v>125</v>
      </c>
      <c r="O3092" t="s">
        <v>125</v>
      </c>
      <c r="P3092" t="s">
        <v>125</v>
      </c>
      <c r="Q3092" t="s">
        <v>125</v>
      </c>
      <c r="R3092" t="s">
        <v>125</v>
      </c>
      <c r="S3092" t="s">
        <v>125</v>
      </c>
      <c r="T3092">
        <v>0</v>
      </c>
      <c r="V3092" t="s">
        <v>125</v>
      </c>
      <c r="AE3092" t="s">
        <v>125</v>
      </c>
      <c r="AF3092">
        <v>0</v>
      </c>
      <c r="AG3092" t="s">
        <v>125</v>
      </c>
      <c r="AH3092">
        <v>0</v>
      </c>
      <c r="AK3092">
        <v>0</v>
      </c>
    </row>
    <row r="3093" spans="1:37" x14ac:dyDescent="0.25">
      <c r="A3093" t="s">
        <v>79</v>
      </c>
      <c r="B3093">
        <v>12</v>
      </c>
      <c r="C3093">
        <v>2</v>
      </c>
      <c r="D3093">
        <v>4</v>
      </c>
      <c r="E3093">
        <v>15</v>
      </c>
      <c r="G3093">
        <v>1224</v>
      </c>
      <c r="H3093" t="s">
        <v>63</v>
      </c>
      <c r="I3093" t="s">
        <v>139</v>
      </c>
      <c r="J3093" t="s">
        <v>155</v>
      </c>
      <c r="L3093">
        <v>0</v>
      </c>
      <c r="M3093" t="s">
        <v>125</v>
      </c>
      <c r="O3093" t="s">
        <v>125</v>
      </c>
      <c r="P3093" t="s">
        <v>125</v>
      </c>
      <c r="Q3093" t="s">
        <v>125</v>
      </c>
      <c r="R3093" t="s">
        <v>125</v>
      </c>
      <c r="S3093" t="s">
        <v>125</v>
      </c>
      <c r="T3093">
        <v>0</v>
      </c>
      <c r="V3093" t="s">
        <v>125</v>
      </c>
      <c r="AE3093" t="s">
        <v>125</v>
      </c>
      <c r="AF3093">
        <v>0</v>
      </c>
      <c r="AG3093" t="s">
        <v>125</v>
      </c>
      <c r="AH3093">
        <v>0</v>
      </c>
      <c r="AK3093">
        <v>0</v>
      </c>
    </row>
    <row r="3094" spans="1:37" x14ac:dyDescent="0.25">
      <c r="L3094">
        <v>0</v>
      </c>
    </row>
    <row r="3095" spans="1:37" x14ac:dyDescent="0.25">
      <c r="A3095" t="s">
        <v>70</v>
      </c>
      <c r="B3095">
        <v>12</v>
      </c>
      <c r="C3095">
        <v>2</v>
      </c>
      <c r="D3095">
        <v>5</v>
      </c>
      <c r="G3095">
        <v>122</v>
      </c>
      <c r="L3095">
        <v>0</v>
      </c>
      <c r="M3095" t="s">
        <v>125</v>
      </c>
      <c r="P3095" t="s">
        <v>125</v>
      </c>
      <c r="R3095" t="s">
        <v>125</v>
      </c>
      <c r="S3095" t="s">
        <v>63</v>
      </c>
      <c r="V3095" t="s">
        <v>125</v>
      </c>
      <c r="X3095" t="s">
        <v>125</v>
      </c>
      <c r="Y3095" t="s">
        <v>125</v>
      </c>
      <c r="Z3095" t="s">
        <v>125</v>
      </c>
      <c r="AA3095" t="s">
        <v>125</v>
      </c>
      <c r="AB3095" t="s">
        <v>125</v>
      </c>
      <c r="AC3095" t="s">
        <v>125</v>
      </c>
      <c r="AE3095" t="s">
        <v>125</v>
      </c>
      <c r="AF3095">
        <v>0</v>
      </c>
      <c r="AG3095" t="s">
        <v>125</v>
      </c>
      <c r="AH3095">
        <v>0</v>
      </c>
      <c r="AK3095">
        <v>0</v>
      </c>
    </row>
    <row r="3096" spans="1:37" x14ac:dyDescent="0.25">
      <c r="A3096" t="s">
        <v>79</v>
      </c>
      <c r="B3096">
        <v>12</v>
      </c>
      <c r="C3096">
        <v>2</v>
      </c>
      <c r="D3096">
        <v>5</v>
      </c>
      <c r="E3096">
        <v>1</v>
      </c>
      <c r="G3096">
        <v>1225</v>
      </c>
      <c r="H3096" t="s">
        <v>63</v>
      </c>
      <c r="I3096" t="s">
        <v>80</v>
      </c>
      <c r="J3096" t="s">
        <v>141</v>
      </c>
      <c r="L3096">
        <v>0</v>
      </c>
      <c r="M3096" t="s">
        <v>125</v>
      </c>
      <c r="O3096" t="s">
        <v>125</v>
      </c>
      <c r="P3096" t="s">
        <v>125</v>
      </c>
      <c r="Q3096" t="s">
        <v>125</v>
      </c>
      <c r="R3096" t="s">
        <v>125</v>
      </c>
      <c r="S3096" t="s">
        <v>125</v>
      </c>
      <c r="T3096">
        <v>0</v>
      </c>
      <c r="V3096" t="s">
        <v>125</v>
      </c>
      <c r="AE3096" t="s">
        <v>125</v>
      </c>
      <c r="AF3096">
        <v>0</v>
      </c>
      <c r="AG3096" t="s">
        <v>125</v>
      </c>
      <c r="AH3096">
        <v>0</v>
      </c>
      <c r="AK3096">
        <v>0</v>
      </c>
    </row>
    <row r="3097" spans="1:37" x14ac:dyDescent="0.25">
      <c r="A3097" t="s">
        <v>79</v>
      </c>
      <c r="B3097">
        <v>12</v>
      </c>
      <c r="C3097">
        <v>2</v>
      </c>
      <c r="D3097">
        <v>5</v>
      </c>
      <c r="E3097">
        <v>2</v>
      </c>
      <c r="G3097">
        <v>1225</v>
      </c>
      <c r="H3097" t="s">
        <v>63</v>
      </c>
      <c r="I3097" t="s">
        <v>88</v>
      </c>
      <c r="J3097" t="s">
        <v>142</v>
      </c>
      <c r="L3097">
        <v>0</v>
      </c>
      <c r="M3097" t="s">
        <v>125</v>
      </c>
      <c r="O3097" t="s">
        <v>125</v>
      </c>
      <c r="P3097" t="s">
        <v>125</v>
      </c>
      <c r="Q3097" t="s">
        <v>125</v>
      </c>
      <c r="R3097" t="s">
        <v>125</v>
      </c>
      <c r="S3097" t="s">
        <v>125</v>
      </c>
      <c r="T3097">
        <v>0</v>
      </c>
      <c r="V3097" t="s">
        <v>125</v>
      </c>
      <c r="AE3097" t="s">
        <v>125</v>
      </c>
      <c r="AF3097">
        <v>0</v>
      </c>
      <c r="AG3097" t="s">
        <v>125</v>
      </c>
      <c r="AH3097">
        <v>0</v>
      </c>
      <c r="AK3097">
        <v>0</v>
      </c>
    </row>
    <row r="3098" spans="1:37" x14ac:dyDescent="0.25">
      <c r="A3098" t="s">
        <v>79</v>
      </c>
      <c r="B3098">
        <v>12</v>
      </c>
      <c r="C3098">
        <v>2</v>
      </c>
      <c r="D3098">
        <v>5</v>
      </c>
      <c r="E3098">
        <v>3</v>
      </c>
      <c r="G3098">
        <v>1225</v>
      </c>
      <c r="H3098" t="s">
        <v>63</v>
      </c>
      <c r="I3098" t="s">
        <v>95</v>
      </c>
      <c r="J3098" t="s">
        <v>143</v>
      </c>
      <c r="L3098">
        <v>0</v>
      </c>
      <c r="M3098" t="s">
        <v>125</v>
      </c>
      <c r="O3098" t="s">
        <v>125</v>
      </c>
      <c r="P3098" t="s">
        <v>125</v>
      </c>
      <c r="Q3098" t="s">
        <v>125</v>
      </c>
      <c r="R3098" t="s">
        <v>125</v>
      </c>
      <c r="S3098" t="s">
        <v>125</v>
      </c>
      <c r="T3098">
        <v>0</v>
      </c>
      <c r="V3098" t="s">
        <v>125</v>
      </c>
      <c r="AE3098" t="s">
        <v>125</v>
      </c>
      <c r="AF3098">
        <v>0</v>
      </c>
      <c r="AG3098" t="s">
        <v>125</v>
      </c>
      <c r="AH3098">
        <v>0</v>
      </c>
      <c r="AK3098">
        <v>0</v>
      </c>
    </row>
    <row r="3099" spans="1:37" x14ac:dyDescent="0.25">
      <c r="A3099" t="s">
        <v>79</v>
      </c>
      <c r="B3099">
        <v>12</v>
      </c>
      <c r="C3099">
        <v>2</v>
      </c>
      <c r="D3099">
        <v>5</v>
      </c>
      <c r="E3099">
        <v>4</v>
      </c>
      <c r="G3099">
        <v>1225</v>
      </c>
      <c r="H3099" t="s">
        <v>63</v>
      </c>
      <c r="I3099" t="s">
        <v>102</v>
      </c>
      <c r="J3099" t="s">
        <v>144</v>
      </c>
      <c r="L3099">
        <v>0</v>
      </c>
      <c r="M3099" t="s">
        <v>125</v>
      </c>
      <c r="O3099" t="s">
        <v>125</v>
      </c>
      <c r="P3099" t="s">
        <v>125</v>
      </c>
      <c r="Q3099" t="s">
        <v>125</v>
      </c>
      <c r="R3099" t="s">
        <v>125</v>
      </c>
      <c r="S3099" t="s">
        <v>125</v>
      </c>
      <c r="T3099">
        <v>0</v>
      </c>
      <c r="V3099" t="s">
        <v>125</v>
      </c>
      <c r="AE3099" t="s">
        <v>125</v>
      </c>
      <c r="AF3099">
        <v>0</v>
      </c>
      <c r="AG3099" t="s">
        <v>125</v>
      </c>
      <c r="AH3099">
        <v>0</v>
      </c>
      <c r="AK3099">
        <v>0</v>
      </c>
    </row>
    <row r="3100" spans="1:37" x14ac:dyDescent="0.25">
      <c r="A3100" t="s">
        <v>79</v>
      </c>
      <c r="B3100">
        <v>12</v>
      </c>
      <c r="C3100">
        <v>2</v>
      </c>
      <c r="D3100">
        <v>5</v>
      </c>
      <c r="E3100">
        <v>5</v>
      </c>
      <c r="G3100">
        <v>1225</v>
      </c>
      <c r="H3100" t="s">
        <v>63</v>
      </c>
      <c r="I3100" t="s">
        <v>109</v>
      </c>
      <c r="J3100" t="s">
        <v>145</v>
      </c>
      <c r="L3100">
        <v>0</v>
      </c>
      <c r="M3100" t="s">
        <v>125</v>
      </c>
      <c r="O3100" t="s">
        <v>125</v>
      </c>
      <c r="P3100" t="s">
        <v>125</v>
      </c>
      <c r="Q3100" t="s">
        <v>125</v>
      </c>
      <c r="R3100" t="s">
        <v>125</v>
      </c>
      <c r="S3100" t="s">
        <v>125</v>
      </c>
      <c r="T3100">
        <v>0</v>
      </c>
      <c r="V3100" t="s">
        <v>125</v>
      </c>
      <c r="AE3100" t="s">
        <v>125</v>
      </c>
      <c r="AF3100">
        <v>0</v>
      </c>
      <c r="AG3100" t="s">
        <v>125</v>
      </c>
      <c r="AH3100">
        <v>0</v>
      </c>
      <c r="AK3100">
        <v>0</v>
      </c>
    </row>
    <row r="3101" spans="1:37" x14ac:dyDescent="0.25">
      <c r="A3101" t="s">
        <v>79</v>
      </c>
      <c r="B3101">
        <v>12</v>
      </c>
      <c r="C3101">
        <v>2</v>
      </c>
      <c r="D3101">
        <v>5</v>
      </c>
      <c r="E3101">
        <v>6</v>
      </c>
      <c r="G3101">
        <v>1225</v>
      </c>
      <c r="H3101" t="s">
        <v>63</v>
      </c>
      <c r="I3101" t="s">
        <v>116</v>
      </c>
      <c r="J3101" t="s">
        <v>146</v>
      </c>
      <c r="L3101">
        <v>0</v>
      </c>
      <c r="M3101" t="s">
        <v>125</v>
      </c>
      <c r="O3101" t="s">
        <v>125</v>
      </c>
      <c r="P3101" t="s">
        <v>125</v>
      </c>
      <c r="Q3101" t="s">
        <v>125</v>
      </c>
      <c r="R3101" t="s">
        <v>125</v>
      </c>
      <c r="S3101" t="s">
        <v>125</v>
      </c>
      <c r="T3101">
        <v>0</v>
      </c>
      <c r="V3101" t="s">
        <v>125</v>
      </c>
      <c r="AE3101" t="s">
        <v>125</v>
      </c>
      <c r="AF3101">
        <v>0</v>
      </c>
      <c r="AG3101" t="s">
        <v>125</v>
      </c>
      <c r="AH3101">
        <v>0</v>
      </c>
      <c r="AK3101">
        <v>0</v>
      </c>
    </row>
    <row r="3102" spans="1:37" x14ac:dyDescent="0.25">
      <c r="A3102" t="s">
        <v>79</v>
      </c>
      <c r="B3102">
        <v>12</v>
      </c>
      <c r="C3102">
        <v>2</v>
      </c>
      <c r="D3102">
        <v>5</v>
      </c>
      <c r="E3102">
        <v>7</v>
      </c>
      <c r="G3102">
        <v>1225</v>
      </c>
      <c r="H3102" t="s">
        <v>63</v>
      </c>
      <c r="I3102" t="s">
        <v>123</v>
      </c>
      <c r="J3102" t="s">
        <v>147</v>
      </c>
      <c r="L3102">
        <v>0</v>
      </c>
      <c r="M3102" t="s">
        <v>125</v>
      </c>
      <c r="O3102" t="s">
        <v>125</v>
      </c>
      <c r="P3102" t="s">
        <v>125</v>
      </c>
      <c r="Q3102" t="s">
        <v>125</v>
      </c>
      <c r="R3102" t="s">
        <v>125</v>
      </c>
      <c r="S3102" t="s">
        <v>125</v>
      </c>
      <c r="T3102">
        <v>0</v>
      </c>
      <c r="V3102" t="s">
        <v>125</v>
      </c>
      <c r="AE3102" t="s">
        <v>125</v>
      </c>
      <c r="AF3102">
        <v>0</v>
      </c>
      <c r="AG3102" t="s">
        <v>125</v>
      </c>
      <c r="AH3102">
        <v>0</v>
      </c>
      <c r="AK3102">
        <v>0</v>
      </c>
    </row>
    <row r="3103" spans="1:37" x14ac:dyDescent="0.25">
      <c r="A3103" t="s">
        <v>79</v>
      </c>
      <c r="B3103">
        <v>12</v>
      </c>
      <c r="C3103">
        <v>2</v>
      </c>
      <c r="D3103">
        <v>5</v>
      </c>
      <c r="E3103">
        <v>8</v>
      </c>
      <c r="G3103">
        <v>1225</v>
      </c>
      <c r="H3103" t="s">
        <v>63</v>
      </c>
      <c r="I3103" t="s">
        <v>126</v>
      </c>
      <c r="J3103" t="s">
        <v>148</v>
      </c>
      <c r="L3103">
        <v>0</v>
      </c>
      <c r="M3103" t="s">
        <v>125</v>
      </c>
      <c r="O3103" t="s">
        <v>125</v>
      </c>
      <c r="P3103" t="s">
        <v>125</v>
      </c>
      <c r="Q3103" t="s">
        <v>125</v>
      </c>
      <c r="R3103" t="s">
        <v>125</v>
      </c>
      <c r="S3103" t="s">
        <v>125</v>
      </c>
      <c r="T3103">
        <v>0</v>
      </c>
      <c r="V3103" t="s">
        <v>125</v>
      </c>
      <c r="AE3103" t="s">
        <v>125</v>
      </c>
      <c r="AF3103">
        <v>0</v>
      </c>
      <c r="AG3103" t="s">
        <v>125</v>
      </c>
      <c r="AH3103">
        <v>0</v>
      </c>
      <c r="AK3103">
        <v>0</v>
      </c>
    </row>
    <row r="3104" spans="1:37" x14ac:dyDescent="0.25">
      <c r="A3104" t="s">
        <v>79</v>
      </c>
      <c r="B3104">
        <v>12</v>
      </c>
      <c r="C3104">
        <v>2</v>
      </c>
      <c r="D3104">
        <v>5</v>
      </c>
      <c r="E3104">
        <v>9</v>
      </c>
      <c r="G3104">
        <v>1225</v>
      </c>
      <c r="H3104" t="s">
        <v>63</v>
      </c>
      <c r="I3104" t="s">
        <v>74</v>
      </c>
      <c r="J3104" t="s">
        <v>149</v>
      </c>
      <c r="L3104">
        <v>0</v>
      </c>
      <c r="M3104" t="s">
        <v>125</v>
      </c>
      <c r="O3104" t="s">
        <v>125</v>
      </c>
      <c r="P3104" t="s">
        <v>125</v>
      </c>
      <c r="Q3104" t="s">
        <v>125</v>
      </c>
      <c r="R3104" t="s">
        <v>125</v>
      </c>
      <c r="S3104" t="s">
        <v>125</v>
      </c>
      <c r="T3104">
        <v>0</v>
      </c>
      <c r="V3104" t="s">
        <v>125</v>
      </c>
      <c r="AE3104" t="s">
        <v>125</v>
      </c>
      <c r="AF3104">
        <v>0</v>
      </c>
      <c r="AG3104" t="s">
        <v>125</v>
      </c>
      <c r="AH3104">
        <v>0</v>
      </c>
      <c r="AK3104">
        <v>0</v>
      </c>
    </row>
    <row r="3105" spans="1:37" x14ac:dyDescent="0.25">
      <c r="A3105" t="s">
        <v>79</v>
      </c>
      <c r="B3105">
        <v>12</v>
      </c>
      <c r="C3105">
        <v>2</v>
      </c>
      <c r="D3105">
        <v>5</v>
      </c>
      <c r="E3105">
        <v>10</v>
      </c>
      <c r="G3105">
        <v>1225</v>
      </c>
      <c r="H3105" t="s">
        <v>63</v>
      </c>
      <c r="I3105" t="s">
        <v>129</v>
      </c>
      <c r="J3105" t="s">
        <v>150</v>
      </c>
      <c r="L3105">
        <v>0</v>
      </c>
      <c r="M3105" t="s">
        <v>125</v>
      </c>
      <c r="O3105" t="s">
        <v>125</v>
      </c>
      <c r="P3105" t="s">
        <v>125</v>
      </c>
      <c r="Q3105" t="s">
        <v>125</v>
      </c>
      <c r="R3105" t="s">
        <v>125</v>
      </c>
      <c r="S3105" t="s">
        <v>125</v>
      </c>
      <c r="T3105">
        <v>0</v>
      </c>
      <c r="V3105" t="s">
        <v>125</v>
      </c>
      <c r="AE3105" t="s">
        <v>125</v>
      </c>
      <c r="AF3105">
        <v>0</v>
      </c>
      <c r="AG3105" t="s">
        <v>125</v>
      </c>
      <c r="AH3105">
        <v>0</v>
      </c>
      <c r="AK3105">
        <v>0</v>
      </c>
    </row>
    <row r="3106" spans="1:37" x14ac:dyDescent="0.25">
      <c r="A3106" t="s">
        <v>79</v>
      </c>
      <c r="B3106">
        <v>12</v>
      </c>
      <c r="C3106">
        <v>2</v>
      </c>
      <c r="D3106">
        <v>5</v>
      </c>
      <c r="E3106">
        <v>11</v>
      </c>
      <c r="G3106">
        <v>1225</v>
      </c>
      <c r="H3106" t="s">
        <v>63</v>
      </c>
      <c r="I3106" t="s">
        <v>131</v>
      </c>
      <c r="J3106" t="s">
        <v>151</v>
      </c>
      <c r="L3106">
        <v>0</v>
      </c>
      <c r="M3106" t="s">
        <v>125</v>
      </c>
      <c r="O3106" t="s">
        <v>125</v>
      </c>
      <c r="P3106" t="s">
        <v>125</v>
      </c>
      <c r="Q3106" t="s">
        <v>125</v>
      </c>
      <c r="R3106" t="s">
        <v>125</v>
      </c>
      <c r="S3106" t="s">
        <v>125</v>
      </c>
      <c r="T3106">
        <v>0</v>
      </c>
      <c r="V3106" t="s">
        <v>125</v>
      </c>
      <c r="AE3106" t="s">
        <v>125</v>
      </c>
      <c r="AF3106">
        <v>0</v>
      </c>
      <c r="AG3106" t="s">
        <v>125</v>
      </c>
      <c r="AH3106">
        <v>0</v>
      </c>
      <c r="AK3106">
        <v>0</v>
      </c>
    </row>
    <row r="3107" spans="1:37" x14ac:dyDescent="0.25">
      <c r="A3107" t="s">
        <v>79</v>
      </c>
      <c r="B3107">
        <v>12</v>
      </c>
      <c r="C3107">
        <v>2</v>
      </c>
      <c r="D3107">
        <v>5</v>
      </c>
      <c r="E3107">
        <v>12</v>
      </c>
      <c r="G3107">
        <v>1225</v>
      </c>
      <c r="H3107" t="s">
        <v>63</v>
      </c>
      <c r="I3107" t="s">
        <v>133</v>
      </c>
      <c r="J3107" t="s">
        <v>152</v>
      </c>
      <c r="L3107">
        <v>0</v>
      </c>
      <c r="M3107" t="s">
        <v>125</v>
      </c>
      <c r="O3107" t="s">
        <v>125</v>
      </c>
      <c r="P3107" t="s">
        <v>125</v>
      </c>
      <c r="Q3107" t="s">
        <v>125</v>
      </c>
      <c r="R3107" t="s">
        <v>125</v>
      </c>
      <c r="S3107" t="s">
        <v>125</v>
      </c>
      <c r="T3107">
        <v>0</v>
      </c>
      <c r="V3107" t="s">
        <v>125</v>
      </c>
      <c r="AE3107" t="s">
        <v>125</v>
      </c>
      <c r="AF3107">
        <v>0</v>
      </c>
      <c r="AG3107" t="s">
        <v>125</v>
      </c>
      <c r="AH3107">
        <v>0</v>
      </c>
      <c r="AK3107">
        <v>0</v>
      </c>
    </row>
    <row r="3108" spans="1:37" x14ac:dyDescent="0.25">
      <c r="A3108" t="s">
        <v>79</v>
      </c>
      <c r="B3108">
        <v>12</v>
      </c>
      <c r="C3108">
        <v>2</v>
      </c>
      <c r="D3108">
        <v>5</v>
      </c>
      <c r="E3108">
        <v>13</v>
      </c>
      <c r="G3108">
        <v>1225</v>
      </c>
      <c r="H3108" t="s">
        <v>63</v>
      </c>
      <c r="I3108" t="s">
        <v>135</v>
      </c>
      <c r="J3108" t="s">
        <v>153</v>
      </c>
      <c r="L3108">
        <v>0</v>
      </c>
      <c r="M3108" t="s">
        <v>125</v>
      </c>
      <c r="O3108" t="s">
        <v>125</v>
      </c>
      <c r="P3108" t="s">
        <v>125</v>
      </c>
      <c r="Q3108" t="s">
        <v>125</v>
      </c>
      <c r="R3108" t="s">
        <v>125</v>
      </c>
      <c r="S3108" t="s">
        <v>125</v>
      </c>
      <c r="T3108">
        <v>0</v>
      </c>
      <c r="V3108" t="s">
        <v>125</v>
      </c>
      <c r="AE3108" t="s">
        <v>125</v>
      </c>
      <c r="AF3108">
        <v>0</v>
      </c>
      <c r="AG3108" t="s">
        <v>125</v>
      </c>
      <c r="AH3108">
        <v>0</v>
      </c>
      <c r="AK3108">
        <v>0</v>
      </c>
    </row>
    <row r="3109" spans="1:37" x14ac:dyDescent="0.25">
      <c r="A3109" t="s">
        <v>79</v>
      </c>
      <c r="B3109">
        <v>12</v>
      </c>
      <c r="C3109">
        <v>2</v>
      </c>
      <c r="D3109">
        <v>5</v>
      </c>
      <c r="E3109">
        <v>14</v>
      </c>
      <c r="G3109">
        <v>1225</v>
      </c>
      <c r="H3109" t="s">
        <v>63</v>
      </c>
      <c r="I3109" t="s">
        <v>137</v>
      </c>
      <c r="J3109" t="s">
        <v>154</v>
      </c>
      <c r="L3109">
        <v>0</v>
      </c>
      <c r="M3109" t="s">
        <v>125</v>
      </c>
      <c r="O3109" t="s">
        <v>125</v>
      </c>
      <c r="P3109" t="s">
        <v>125</v>
      </c>
      <c r="Q3109" t="s">
        <v>125</v>
      </c>
      <c r="R3109" t="s">
        <v>125</v>
      </c>
      <c r="S3109" t="s">
        <v>125</v>
      </c>
      <c r="T3109">
        <v>0</v>
      </c>
      <c r="V3109" t="s">
        <v>125</v>
      </c>
      <c r="AE3109" t="s">
        <v>125</v>
      </c>
      <c r="AF3109">
        <v>0</v>
      </c>
      <c r="AG3109" t="s">
        <v>125</v>
      </c>
      <c r="AH3109">
        <v>0</v>
      </c>
      <c r="AK3109">
        <v>0</v>
      </c>
    </row>
    <row r="3110" spans="1:37" x14ac:dyDescent="0.25">
      <c r="A3110" t="s">
        <v>79</v>
      </c>
      <c r="B3110">
        <v>12</v>
      </c>
      <c r="C3110">
        <v>2</v>
      </c>
      <c r="D3110">
        <v>5</v>
      </c>
      <c r="E3110">
        <v>15</v>
      </c>
      <c r="G3110">
        <v>1225</v>
      </c>
      <c r="H3110" t="s">
        <v>63</v>
      </c>
      <c r="I3110" t="s">
        <v>139</v>
      </c>
      <c r="J3110" t="s">
        <v>155</v>
      </c>
      <c r="L3110">
        <v>0</v>
      </c>
      <c r="M3110" t="s">
        <v>125</v>
      </c>
      <c r="O3110" t="s">
        <v>125</v>
      </c>
      <c r="P3110" t="s">
        <v>125</v>
      </c>
      <c r="Q3110" t="s">
        <v>125</v>
      </c>
      <c r="R3110" t="s">
        <v>125</v>
      </c>
      <c r="S3110" t="s">
        <v>125</v>
      </c>
      <c r="T3110">
        <v>0</v>
      </c>
      <c r="V3110" t="s">
        <v>125</v>
      </c>
      <c r="AE3110" t="s">
        <v>125</v>
      </c>
      <c r="AF3110">
        <v>0</v>
      </c>
      <c r="AG3110" t="s">
        <v>125</v>
      </c>
      <c r="AH3110">
        <v>0</v>
      </c>
      <c r="AK3110">
        <v>0</v>
      </c>
    </row>
    <row r="3111" spans="1:37" x14ac:dyDescent="0.25">
      <c r="L3111">
        <v>0</v>
      </c>
    </row>
    <row r="3112" spans="1:37" x14ac:dyDescent="0.25">
      <c r="L3112">
        <v>0</v>
      </c>
    </row>
    <row r="3113" spans="1:37" x14ac:dyDescent="0.25">
      <c r="A3113" t="s">
        <v>66</v>
      </c>
      <c r="B3113">
        <v>12</v>
      </c>
      <c r="C3113">
        <v>3</v>
      </c>
      <c r="G3113">
        <v>12</v>
      </c>
      <c r="H3113" t="s">
        <v>3866</v>
      </c>
      <c r="I3113" t="s">
        <v>4002</v>
      </c>
      <c r="M3113" t="s">
        <v>4003</v>
      </c>
      <c r="N3113" t="s">
        <v>4002</v>
      </c>
      <c r="P3113" t="s">
        <v>4004</v>
      </c>
      <c r="V3113" t="s">
        <v>4005</v>
      </c>
      <c r="Y3113" t="s">
        <v>4006</v>
      </c>
      <c r="AA3113" t="s">
        <v>4007</v>
      </c>
      <c r="AC3113" t="s">
        <v>3871</v>
      </c>
      <c r="AE3113" t="s">
        <v>4008</v>
      </c>
      <c r="AF3113">
        <v>0</v>
      </c>
      <c r="AG3113" t="s">
        <v>4009</v>
      </c>
      <c r="AH3113">
        <v>0</v>
      </c>
      <c r="AK3113">
        <v>0</v>
      </c>
    </row>
    <row r="3114" spans="1:37" x14ac:dyDescent="0.25">
      <c r="L3114">
        <v>0</v>
      </c>
    </row>
    <row r="3115" spans="1:37" x14ac:dyDescent="0.25">
      <c r="A3115" t="s">
        <v>70</v>
      </c>
      <c r="B3115">
        <v>12</v>
      </c>
      <c r="C3115">
        <v>3</v>
      </c>
      <c r="D3115">
        <v>1</v>
      </c>
      <c r="G3115">
        <v>123</v>
      </c>
      <c r="M3115" t="s">
        <v>4010</v>
      </c>
      <c r="O3115" t="s">
        <v>4011</v>
      </c>
      <c r="P3115" t="s">
        <v>4012</v>
      </c>
      <c r="Q3115" t="s">
        <v>4013</v>
      </c>
      <c r="R3115" t="s">
        <v>192</v>
      </c>
      <c r="S3115" t="s">
        <v>4014</v>
      </c>
      <c r="V3115" t="s">
        <v>4005</v>
      </c>
      <c r="X3115" t="s">
        <v>4015</v>
      </c>
      <c r="Y3115" t="s">
        <v>4006</v>
      </c>
      <c r="Z3115" t="s">
        <v>4016</v>
      </c>
      <c r="AA3115" t="s">
        <v>4007</v>
      </c>
      <c r="AB3115" t="s">
        <v>3048</v>
      </c>
      <c r="AC3115" t="s">
        <v>3871</v>
      </c>
      <c r="AE3115" t="s">
        <v>4008</v>
      </c>
      <c r="AF3115">
        <v>0</v>
      </c>
      <c r="AG3115" t="s">
        <v>4009</v>
      </c>
      <c r="AH3115">
        <v>0</v>
      </c>
      <c r="AK3115">
        <v>0</v>
      </c>
    </row>
    <row r="3116" spans="1:37" x14ac:dyDescent="0.25">
      <c r="A3116" t="s">
        <v>79</v>
      </c>
      <c r="B3116">
        <v>12</v>
      </c>
      <c r="C3116">
        <v>3</v>
      </c>
      <c r="D3116">
        <v>1</v>
      </c>
      <c r="E3116">
        <v>1</v>
      </c>
      <c r="G3116">
        <v>1231</v>
      </c>
      <c r="H3116" t="s">
        <v>4011</v>
      </c>
      <c r="I3116" t="s">
        <v>80</v>
      </c>
      <c r="J3116" t="s">
        <v>4017</v>
      </c>
      <c r="L3116">
        <v>0</v>
      </c>
      <c r="M3116" t="s">
        <v>4018</v>
      </c>
      <c r="O3116" t="s">
        <v>4019</v>
      </c>
      <c r="P3116" t="s">
        <v>4020</v>
      </c>
      <c r="Q3116" t="s">
        <v>4021</v>
      </c>
      <c r="R3116" t="s">
        <v>192</v>
      </c>
      <c r="S3116" t="s">
        <v>4022</v>
      </c>
      <c r="T3116">
        <v>252</v>
      </c>
      <c r="U3116">
        <v>262</v>
      </c>
      <c r="V3116" t="s">
        <v>4023</v>
      </c>
      <c r="AE3116" t="s">
        <v>4024</v>
      </c>
      <c r="AF3116">
        <v>0</v>
      </c>
      <c r="AG3116" t="s">
        <v>4025</v>
      </c>
      <c r="AH3116">
        <v>0</v>
      </c>
      <c r="AK3116">
        <v>0</v>
      </c>
    </row>
    <row r="3117" spans="1:37" x14ac:dyDescent="0.25">
      <c r="A3117" t="s">
        <v>79</v>
      </c>
      <c r="B3117">
        <v>12</v>
      </c>
      <c r="C3117">
        <v>3</v>
      </c>
      <c r="D3117">
        <v>1</v>
      </c>
      <c r="E3117">
        <v>2</v>
      </c>
      <c r="G3117">
        <v>1231</v>
      </c>
      <c r="H3117" t="s">
        <v>4011</v>
      </c>
      <c r="I3117" t="s">
        <v>88</v>
      </c>
      <c r="J3117" t="s">
        <v>4026</v>
      </c>
      <c r="L3117">
        <v>0</v>
      </c>
      <c r="M3117" t="s">
        <v>4027</v>
      </c>
      <c r="O3117" t="s">
        <v>4028</v>
      </c>
      <c r="P3117" t="s">
        <v>4029</v>
      </c>
      <c r="Q3117" t="s">
        <v>1093</v>
      </c>
      <c r="R3117" t="s">
        <v>268</v>
      </c>
      <c r="S3117" t="s">
        <v>4030</v>
      </c>
      <c r="T3117">
        <v>252</v>
      </c>
      <c r="U3117">
        <v>2</v>
      </c>
      <c r="V3117" t="s">
        <v>4031</v>
      </c>
      <c r="AE3117" t="s">
        <v>4032</v>
      </c>
      <c r="AF3117">
        <v>0</v>
      </c>
      <c r="AG3117" t="s">
        <v>4033</v>
      </c>
      <c r="AH3117">
        <v>0</v>
      </c>
      <c r="AK3117">
        <v>0</v>
      </c>
    </row>
    <row r="3118" spans="1:37" x14ac:dyDescent="0.25">
      <c r="A3118" t="s">
        <v>79</v>
      </c>
      <c r="B3118">
        <v>12</v>
      </c>
      <c r="C3118">
        <v>3</v>
      </c>
      <c r="D3118">
        <v>1</v>
      </c>
      <c r="E3118">
        <v>3</v>
      </c>
      <c r="G3118">
        <v>1231</v>
      </c>
      <c r="H3118" t="s">
        <v>4011</v>
      </c>
      <c r="I3118" t="s">
        <v>95</v>
      </c>
      <c r="J3118" t="s">
        <v>4034</v>
      </c>
      <c r="L3118">
        <v>0</v>
      </c>
      <c r="M3118" t="s">
        <v>4035</v>
      </c>
      <c r="O3118" t="s">
        <v>3930</v>
      </c>
      <c r="P3118" t="s">
        <v>3931</v>
      </c>
      <c r="Q3118" t="s">
        <v>4036</v>
      </c>
      <c r="R3118" t="s">
        <v>229</v>
      </c>
      <c r="S3118" t="s">
        <v>3933</v>
      </c>
      <c r="T3118">
        <v>252</v>
      </c>
      <c r="U3118">
        <v>105</v>
      </c>
      <c r="V3118" t="s">
        <v>4037</v>
      </c>
      <c r="AE3118" t="s">
        <v>4038</v>
      </c>
      <c r="AF3118">
        <v>0</v>
      </c>
      <c r="AG3118" t="s">
        <v>4039</v>
      </c>
      <c r="AH3118">
        <v>0</v>
      </c>
      <c r="AK3118">
        <v>0</v>
      </c>
    </row>
    <row r="3119" spans="1:37" x14ac:dyDescent="0.25">
      <c r="A3119" t="s">
        <v>79</v>
      </c>
      <c r="B3119">
        <v>12</v>
      </c>
      <c r="C3119">
        <v>3</v>
      </c>
      <c r="D3119">
        <v>1</v>
      </c>
      <c r="E3119">
        <v>4</v>
      </c>
      <c r="G3119">
        <v>1231</v>
      </c>
      <c r="H3119" t="s">
        <v>4011</v>
      </c>
      <c r="I3119" t="s">
        <v>102</v>
      </c>
      <c r="J3119" t="s">
        <v>4040</v>
      </c>
      <c r="L3119">
        <v>0</v>
      </c>
      <c r="M3119" t="s">
        <v>4041</v>
      </c>
      <c r="O3119" t="s">
        <v>294</v>
      </c>
      <c r="P3119" t="s">
        <v>295</v>
      </c>
      <c r="Q3119" t="s">
        <v>4042</v>
      </c>
      <c r="R3119" t="s">
        <v>229</v>
      </c>
      <c r="S3119" t="s">
        <v>297</v>
      </c>
      <c r="T3119">
        <v>252</v>
      </c>
      <c r="U3119">
        <v>53</v>
      </c>
      <c r="V3119" t="s">
        <v>4043</v>
      </c>
      <c r="AE3119" t="s">
        <v>4044</v>
      </c>
      <c r="AF3119">
        <v>0</v>
      </c>
      <c r="AG3119" t="s">
        <v>4045</v>
      </c>
      <c r="AH3119">
        <v>0</v>
      </c>
      <c r="AK3119">
        <v>0</v>
      </c>
    </row>
    <row r="3120" spans="1:37" x14ac:dyDescent="0.25">
      <c r="A3120" t="s">
        <v>79</v>
      </c>
      <c r="B3120">
        <v>12</v>
      </c>
      <c r="C3120">
        <v>3</v>
      </c>
      <c r="D3120">
        <v>1</v>
      </c>
      <c r="E3120">
        <v>5</v>
      </c>
      <c r="G3120">
        <v>1231</v>
      </c>
      <c r="H3120" t="s">
        <v>4011</v>
      </c>
      <c r="I3120" t="s">
        <v>109</v>
      </c>
      <c r="J3120" t="s">
        <v>4046</v>
      </c>
      <c r="L3120">
        <v>0</v>
      </c>
      <c r="M3120" t="s">
        <v>4047</v>
      </c>
      <c r="O3120" t="s">
        <v>245</v>
      </c>
      <c r="P3120" t="s">
        <v>246</v>
      </c>
      <c r="Q3120" t="s">
        <v>4048</v>
      </c>
      <c r="R3120" t="s">
        <v>248</v>
      </c>
      <c r="S3120" t="s">
        <v>249</v>
      </c>
      <c r="T3120">
        <v>252</v>
      </c>
      <c r="U3120">
        <v>5</v>
      </c>
      <c r="V3120" t="s">
        <v>4049</v>
      </c>
      <c r="AE3120" t="s">
        <v>4050</v>
      </c>
      <c r="AF3120">
        <v>0</v>
      </c>
      <c r="AG3120" t="s">
        <v>4051</v>
      </c>
      <c r="AH3120">
        <v>0</v>
      </c>
      <c r="AK3120">
        <v>0</v>
      </c>
    </row>
    <row r="3121" spans="1:37" x14ac:dyDescent="0.25">
      <c r="A3121" t="s">
        <v>79</v>
      </c>
      <c r="B3121">
        <v>12</v>
      </c>
      <c r="C3121">
        <v>3</v>
      </c>
      <c r="D3121">
        <v>1</v>
      </c>
      <c r="E3121">
        <v>6</v>
      </c>
      <c r="G3121">
        <v>1231</v>
      </c>
      <c r="H3121" t="s">
        <v>4011</v>
      </c>
      <c r="I3121" t="s">
        <v>116</v>
      </c>
      <c r="J3121" t="s">
        <v>4052</v>
      </c>
      <c r="L3121">
        <v>0</v>
      </c>
      <c r="M3121" t="s">
        <v>4053</v>
      </c>
      <c r="O3121" t="s">
        <v>255</v>
      </c>
      <c r="P3121" t="s">
        <v>256</v>
      </c>
      <c r="Q3121" t="s">
        <v>4054</v>
      </c>
      <c r="R3121" t="s">
        <v>258</v>
      </c>
      <c r="S3121" t="s">
        <v>259</v>
      </c>
      <c r="T3121">
        <v>252</v>
      </c>
      <c r="U3121">
        <v>100</v>
      </c>
      <c r="V3121" t="s">
        <v>884</v>
      </c>
      <c r="AE3121" t="s">
        <v>4055</v>
      </c>
      <c r="AF3121">
        <v>0</v>
      </c>
      <c r="AG3121" t="s">
        <v>4056</v>
      </c>
      <c r="AH3121">
        <v>0</v>
      </c>
      <c r="AK3121">
        <v>0</v>
      </c>
    </row>
    <row r="3122" spans="1:37" x14ac:dyDescent="0.25">
      <c r="A3122" t="s">
        <v>79</v>
      </c>
      <c r="B3122">
        <v>12</v>
      </c>
      <c r="C3122">
        <v>3</v>
      </c>
      <c r="D3122">
        <v>1</v>
      </c>
      <c r="E3122">
        <v>7</v>
      </c>
      <c r="G3122">
        <v>1231</v>
      </c>
      <c r="H3122" t="s">
        <v>4011</v>
      </c>
      <c r="I3122" t="s">
        <v>123</v>
      </c>
      <c r="J3122" t="s">
        <v>4057</v>
      </c>
      <c r="L3122">
        <v>0</v>
      </c>
      <c r="M3122" t="s">
        <v>125</v>
      </c>
      <c r="O3122" t="s">
        <v>125</v>
      </c>
      <c r="P3122" t="s">
        <v>125</v>
      </c>
      <c r="Q3122" t="s">
        <v>125</v>
      </c>
      <c r="R3122" t="s">
        <v>125</v>
      </c>
      <c r="S3122" t="s">
        <v>125</v>
      </c>
      <c r="T3122">
        <v>252</v>
      </c>
      <c r="V3122" t="s">
        <v>125</v>
      </c>
      <c r="AE3122" t="s">
        <v>125</v>
      </c>
      <c r="AF3122">
        <v>0</v>
      </c>
      <c r="AG3122" t="s">
        <v>125</v>
      </c>
      <c r="AH3122">
        <v>0</v>
      </c>
      <c r="AK3122">
        <v>0</v>
      </c>
    </row>
    <row r="3123" spans="1:37" x14ac:dyDescent="0.25">
      <c r="A3123" t="s">
        <v>79</v>
      </c>
      <c r="B3123">
        <v>12</v>
      </c>
      <c r="C3123">
        <v>3</v>
      </c>
      <c r="D3123">
        <v>1</v>
      </c>
      <c r="E3123">
        <v>8</v>
      </c>
      <c r="G3123">
        <v>1231</v>
      </c>
      <c r="H3123" t="s">
        <v>4011</v>
      </c>
      <c r="I3123" t="s">
        <v>126</v>
      </c>
      <c r="J3123" t="s">
        <v>4058</v>
      </c>
      <c r="L3123">
        <v>0</v>
      </c>
      <c r="M3123" t="s">
        <v>125</v>
      </c>
      <c r="O3123" t="s">
        <v>125</v>
      </c>
      <c r="P3123" t="s">
        <v>125</v>
      </c>
      <c r="Q3123" t="s">
        <v>125</v>
      </c>
      <c r="R3123" t="s">
        <v>125</v>
      </c>
      <c r="S3123" t="s">
        <v>125</v>
      </c>
      <c r="T3123">
        <v>252</v>
      </c>
      <c r="V3123" t="s">
        <v>125</v>
      </c>
      <c r="AE3123" t="s">
        <v>125</v>
      </c>
      <c r="AF3123">
        <v>0</v>
      </c>
      <c r="AG3123" t="s">
        <v>125</v>
      </c>
      <c r="AH3123">
        <v>0</v>
      </c>
      <c r="AK3123">
        <v>0</v>
      </c>
    </row>
    <row r="3124" spans="1:37" x14ac:dyDescent="0.25">
      <c r="A3124" t="s">
        <v>79</v>
      </c>
      <c r="B3124">
        <v>12</v>
      </c>
      <c r="C3124">
        <v>3</v>
      </c>
      <c r="D3124">
        <v>1</v>
      </c>
      <c r="E3124">
        <v>9</v>
      </c>
      <c r="G3124">
        <v>1231</v>
      </c>
      <c r="H3124" t="s">
        <v>4011</v>
      </c>
      <c r="I3124" t="s">
        <v>74</v>
      </c>
      <c r="J3124" t="s">
        <v>4059</v>
      </c>
      <c r="L3124">
        <v>0</v>
      </c>
      <c r="M3124" t="s">
        <v>125</v>
      </c>
      <c r="O3124" t="s">
        <v>125</v>
      </c>
      <c r="P3124" t="s">
        <v>125</v>
      </c>
      <c r="Q3124" t="s">
        <v>125</v>
      </c>
      <c r="R3124" t="s">
        <v>125</v>
      </c>
      <c r="S3124" t="s">
        <v>125</v>
      </c>
      <c r="T3124">
        <v>252</v>
      </c>
      <c r="V3124" t="s">
        <v>125</v>
      </c>
      <c r="AE3124" t="s">
        <v>125</v>
      </c>
      <c r="AF3124">
        <v>0</v>
      </c>
      <c r="AG3124" t="s">
        <v>125</v>
      </c>
      <c r="AH3124">
        <v>0</v>
      </c>
      <c r="AK3124">
        <v>0</v>
      </c>
    </row>
    <row r="3125" spans="1:37" x14ac:dyDescent="0.25">
      <c r="A3125" t="s">
        <v>79</v>
      </c>
      <c r="B3125">
        <v>12</v>
      </c>
      <c r="C3125">
        <v>3</v>
      </c>
      <c r="D3125">
        <v>1</v>
      </c>
      <c r="E3125">
        <v>10</v>
      </c>
      <c r="G3125">
        <v>1231</v>
      </c>
      <c r="H3125" t="s">
        <v>4011</v>
      </c>
      <c r="I3125" t="s">
        <v>129</v>
      </c>
      <c r="J3125" t="s">
        <v>4060</v>
      </c>
      <c r="L3125">
        <v>0</v>
      </c>
      <c r="M3125" t="s">
        <v>125</v>
      </c>
      <c r="O3125" t="s">
        <v>125</v>
      </c>
      <c r="P3125" t="s">
        <v>125</v>
      </c>
      <c r="Q3125" t="s">
        <v>125</v>
      </c>
      <c r="R3125" t="s">
        <v>125</v>
      </c>
      <c r="S3125" t="s">
        <v>125</v>
      </c>
      <c r="T3125">
        <v>252</v>
      </c>
      <c r="V3125" t="s">
        <v>125</v>
      </c>
      <c r="AE3125" t="s">
        <v>125</v>
      </c>
      <c r="AF3125">
        <v>0</v>
      </c>
      <c r="AG3125" t="s">
        <v>125</v>
      </c>
      <c r="AH3125">
        <v>0</v>
      </c>
      <c r="AK3125">
        <v>0</v>
      </c>
    </row>
    <row r="3126" spans="1:37" x14ac:dyDescent="0.25">
      <c r="A3126" t="s">
        <v>79</v>
      </c>
      <c r="B3126">
        <v>12</v>
      </c>
      <c r="C3126">
        <v>3</v>
      </c>
      <c r="D3126">
        <v>1</v>
      </c>
      <c r="E3126">
        <v>11</v>
      </c>
      <c r="G3126">
        <v>1231</v>
      </c>
      <c r="H3126" t="s">
        <v>4011</v>
      </c>
      <c r="I3126" t="s">
        <v>131</v>
      </c>
      <c r="J3126" t="s">
        <v>4061</v>
      </c>
      <c r="L3126">
        <v>0</v>
      </c>
      <c r="M3126" t="s">
        <v>125</v>
      </c>
      <c r="O3126" t="s">
        <v>125</v>
      </c>
      <c r="P3126" t="s">
        <v>125</v>
      </c>
      <c r="Q3126" t="s">
        <v>125</v>
      </c>
      <c r="R3126" t="s">
        <v>125</v>
      </c>
      <c r="S3126" t="s">
        <v>125</v>
      </c>
      <c r="T3126">
        <v>252</v>
      </c>
      <c r="V3126" t="s">
        <v>125</v>
      </c>
      <c r="AE3126" t="s">
        <v>125</v>
      </c>
      <c r="AF3126">
        <v>0</v>
      </c>
      <c r="AG3126" t="s">
        <v>125</v>
      </c>
      <c r="AH3126">
        <v>0</v>
      </c>
      <c r="AK3126">
        <v>0</v>
      </c>
    </row>
    <row r="3127" spans="1:37" x14ac:dyDescent="0.25">
      <c r="A3127" t="s">
        <v>79</v>
      </c>
      <c r="B3127">
        <v>12</v>
      </c>
      <c r="C3127">
        <v>3</v>
      </c>
      <c r="D3127">
        <v>1</v>
      </c>
      <c r="E3127">
        <v>12</v>
      </c>
      <c r="G3127">
        <v>1231</v>
      </c>
      <c r="H3127" t="s">
        <v>4011</v>
      </c>
      <c r="I3127" t="s">
        <v>133</v>
      </c>
      <c r="J3127" t="s">
        <v>4062</v>
      </c>
      <c r="L3127">
        <v>0</v>
      </c>
      <c r="M3127" t="s">
        <v>125</v>
      </c>
      <c r="O3127" t="s">
        <v>125</v>
      </c>
      <c r="P3127" t="s">
        <v>125</v>
      </c>
      <c r="Q3127" t="s">
        <v>125</v>
      </c>
      <c r="R3127" t="s">
        <v>125</v>
      </c>
      <c r="S3127" t="s">
        <v>125</v>
      </c>
      <c r="T3127">
        <v>252</v>
      </c>
      <c r="V3127" t="s">
        <v>125</v>
      </c>
      <c r="AE3127" t="s">
        <v>125</v>
      </c>
      <c r="AF3127">
        <v>0</v>
      </c>
      <c r="AG3127" t="s">
        <v>125</v>
      </c>
      <c r="AH3127">
        <v>0</v>
      </c>
      <c r="AK3127">
        <v>0</v>
      </c>
    </row>
    <row r="3128" spans="1:37" x14ac:dyDescent="0.25">
      <c r="A3128" t="s">
        <v>79</v>
      </c>
      <c r="B3128">
        <v>12</v>
      </c>
      <c r="C3128">
        <v>3</v>
      </c>
      <c r="D3128">
        <v>1</v>
      </c>
      <c r="E3128">
        <v>13</v>
      </c>
      <c r="G3128">
        <v>1231</v>
      </c>
      <c r="H3128" t="s">
        <v>4011</v>
      </c>
      <c r="I3128" t="s">
        <v>135</v>
      </c>
      <c r="J3128" t="s">
        <v>4063</v>
      </c>
      <c r="L3128">
        <v>0</v>
      </c>
      <c r="M3128" t="s">
        <v>125</v>
      </c>
      <c r="O3128" t="s">
        <v>125</v>
      </c>
      <c r="P3128" t="s">
        <v>125</v>
      </c>
      <c r="Q3128" t="s">
        <v>125</v>
      </c>
      <c r="R3128" t="s">
        <v>125</v>
      </c>
      <c r="S3128" t="s">
        <v>125</v>
      </c>
      <c r="T3128">
        <v>252</v>
      </c>
      <c r="V3128" t="s">
        <v>125</v>
      </c>
      <c r="AE3128" t="s">
        <v>125</v>
      </c>
      <c r="AF3128">
        <v>0</v>
      </c>
      <c r="AG3128" t="s">
        <v>125</v>
      </c>
      <c r="AH3128">
        <v>0</v>
      </c>
      <c r="AK3128">
        <v>0</v>
      </c>
    </row>
    <row r="3129" spans="1:37" x14ac:dyDescent="0.25">
      <c r="A3129" t="s">
        <v>79</v>
      </c>
      <c r="B3129">
        <v>12</v>
      </c>
      <c r="C3129">
        <v>3</v>
      </c>
      <c r="D3129">
        <v>1</v>
      </c>
      <c r="E3129">
        <v>14</v>
      </c>
      <c r="G3129">
        <v>1231</v>
      </c>
      <c r="H3129" t="s">
        <v>4011</v>
      </c>
      <c r="I3129" t="s">
        <v>137</v>
      </c>
      <c r="J3129" t="s">
        <v>4064</v>
      </c>
      <c r="L3129">
        <v>0</v>
      </c>
      <c r="M3129" t="s">
        <v>125</v>
      </c>
      <c r="O3129" t="s">
        <v>125</v>
      </c>
      <c r="P3129" t="s">
        <v>125</v>
      </c>
      <c r="Q3129" t="s">
        <v>125</v>
      </c>
      <c r="R3129" t="s">
        <v>125</v>
      </c>
      <c r="S3129" t="s">
        <v>125</v>
      </c>
      <c r="T3129">
        <v>252</v>
      </c>
      <c r="V3129" t="s">
        <v>125</v>
      </c>
      <c r="AE3129" t="s">
        <v>125</v>
      </c>
      <c r="AF3129">
        <v>0</v>
      </c>
      <c r="AG3129" t="s">
        <v>125</v>
      </c>
      <c r="AH3129">
        <v>0</v>
      </c>
      <c r="AK3129">
        <v>0</v>
      </c>
    </row>
    <row r="3130" spans="1:37" x14ac:dyDescent="0.25">
      <c r="A3130" t="s">
        <v>79</v>
      </c>
      <c r="B3130">
        <v>12</v>
      </c>
      <c r="C3130">
        <v>3</v>
      </c>
      <c r="D3130">
        <v>1</v>
      </c>
      <c r="E3130">
        <v>15</v>
      </c>
      <c r="G3130">
        <v>1231</v>
      </c>
      <c r="H3130" t="s">
        <v>4011</v>
      </c>
      <c r="I3130" t="s">
        <v>139</v>
      </c>
      <c r="J3130" t="s">
        <v>4065</v>
      </c>
      <c r="L3130">
        <v>0</v>
      </c>
      <c r="M3130" t="s">
        <v>125</v>
      </c>
      <c r="O3130" t="s">
        <v>125</v>
      </c>
      <c r="P3130" t="s">
        <v>125</v>
      </c>
      <c r="Q3130" t="s">
        <v>125</v>
      </c>
      <c r="R3130" t="s">
        <v>125</v>
      </c>
      <c r="S3130" t="s">
        <v>125</v>
      </c>
      <c r="T3130">
        <v>252</v>
      </c>
      <c r="V3130" t="s">
        <v>125</v>
      </c>
      <c r="AE3130" t="s">
        <v>125</v>
      </c>
      <c r="AF3130">
        <v>0</v>
      </c>
      <c r="AG3130" t="s">
        <v>125</v>
      </c>
      <c r="AH3130">
        <v>0</v>
      </c>
      <c r="AK3130">
        <v>0</v>
      </c>
    </row>
    <row r="3131" spans="1:37" x14ac:dyDescent="0.25">
      <c r="L3131">
        <v>0</v>
      </c>
    </row>
    <row r="3132" spans="1:37" x14ac:dyDescent="0.25">
      <c r="A3132" t="s">
        <v>70</v>
      </c>
      <c r="B3132">
        <v>12</v>
      </c>
      <c r="C3132">
        <v>3</v>
      </c>
      <c r="D3132">
        <v>2</v>
      </c>
      <c r="G3132">
        <v>123</v>
      </c>
      <c r="L3132">
        <v>0</v>
      </c>
      <c r="M3132" t="s">
        <v>125</v>
      </c>
      <c r="P3132" t="s">
        <v>125</v>
      </c>
      <c r="R3132" t="s">
        <v>125</v>
      </c>
      <c r="S3132" t="s">
        <v>63</v>
      </c>
      <c r="V3132" t="s">
        <v>125</v>
      </c>
      <c r="X3132" t="s">
        <v>125</v>
      </c>
      <c r="Y3132" t="s">
        <v>125</v>
      </c>
      <c r="Z3132" t="s">
        <v>125</v>
      </c>
      <c r="AA3132" t="s">
        <v>125</v>
      </c>
      <c r="AB3132" t="s">
        <v>125</v>
      </c>
      <c r="AC3132" t="s">
        <v>125</v>
      </c>
      <c r="AE3132" t="s">
        <v>125</v>
      </c>
      <c r="AF3132">
        <v>0</v>
      </c>
      <c r="AG3132" t="s">
        <v>125</v>
      </c>
      <c r="AH3132">
        <v>0</v>
      </c>
      <c r="AK3132">
        <v>0</v>
      </c>
    </row>
    <row r="3133" spans="1:37" x14ac:dyDescent="0.25">
      <c r="A3133" t="s">
        <v>79</v>
      </c>
      <c r="B3133">
        <v>12</v>
      </c>
      <c r="C3133">
        <v>3</v>
      </c>
      <c r="D3133">
        <v>2</v>
      </c>
      <c r="E3133">
        <v>1</v>
      </c>
      <c r="G3133">
        <v>1232</v>
      </c>
      <c r="H3133" t="s">
        <v>63</v>
      </c>
      <c r="I3133" t="s">
        <v>80</v>
      </c>
      <c r="J3133" t="s">
        <v>141</v>
      </c>
      <c r="L3133">
        <v>0</v>
      </c>
      <c r="M3133" t="s">
        <v>125</v>
      </c>
      <c r="O3133" t="s">
        <v>125</v>
      </c>
      <c r="P3133" t="s">
        <v>125</v>
      </c>
      <c r="Q3133" t="s">
        <v>125</v>
      </c>
      <c r="R3133" t="s">
        <v>125</v>
      </c>
      <c r="S3133" t="s">
        <v>125</v>
      </c>
      <c r="T3133">
        <v>0</v>
      </c>
      <c r="V3133" t="s">
        <v>125</v>
      </c>
      <c r="AE3133" t="s">
        <v>125</v>
      </c>
      <c r="AF3133">
        <v>0</v>
      </c>
      <c r="AG3133" t="s">
        <v>125</v>
      </c>
      <c r="AH3133">
        <v>0</v>
      </c>
      <c r="AK3133">
        <v>0</v>
      </c>
    </row>
    <row r="3134" spans="1:37" x14ac:dyDescent="0.25">
      <c r="A3134" t="s">
        <v>79</v>
      </c>
      <c r="B3134">
        <v>12</v>
      </c>
      <c r="C3134">
        <v>3</v>
      </c>
      <c r="D3134">
        <v>2</v>
      </c>
      <c r="E3134">
        <v>2</v>
      </c>
      <c r="G3134">
        <v>1232</v>
      </c>
      <c r="H3134" t="s">
        <v>63</v>
      </c>
      <c r="I3134" t="s">
        <v>88</v>
      </c>
      <c r="J3134" t="s">
        <v>142</v>
      </c>
      <c r="L3134">
        <v>0</v>
      </c>
      <c r="M3134" t="s">
        <v>125</v>
      </c>
      <c r="O3134" t="s">
        <v>125</v>
      </c>
      <c r="P3134" t="s">
        <v>125</v>
      </c>
      <c r="Q3134" t="s">
        <v>125</v>
      </c>
      <c r="R3134" t="s">
        <v>125</v>
      </c>
      <c r="S3134" t="s">
        <v>125</v>
      </c>
      <c r="T3134">
        <v>0</v>
      </c>
      <c r="V3134" t="s">
        <v>125</v>
      </c>
      <c r="AE3134" t="s">
        <v>125</v>
      </c>
      <c r="AF3134">
        <v>0</v>
      </c>
      <c r="AG3134" t="s">
        <v>125</v>
      </c>
      <c r="AH3134">
        <v>0</v>
      </c>
      <c r="AK3134">
        <v>0</v>
      </c>
    </row>
    <row r="3135" spans="1:37" x14ac:dyDescent="0.25">
      <c r="A3135" t="s">
        <v>79</v>
      </c>
      <c r="B3135">
        <v>12</v>
      </c>
      <c r="C3135">
        <v>3</v>
      </c>
      <c r="D3135">
        <v>2</v>
      </c>
      <c r="E3135">
        <v>3</v>
      </c>
      <c r="G3135">
        <v>1232</v>
      </c>
      <c r="H3135" t="s">
        <v>63</v>
      </c>
      <c r="I3135" t="s">
        <v>95</v>
      </c>
      <c r="J3135" t="s">
        <v>143</v>
      </c>
      <c r="L3135">
        <v>0</v>
      </c>
      <c r="M3135" t="s">
        <v>125</v>
      </c>
      <c r="O3135" t="s">
        <v>125</v>
      </c>
      <c r="P3135" t="s">
        <v>125</v>
      </c>
      <c r="Q3135" t="s">
        <v>125</v>
      </c>
      <c r="R3135" t="s">
        <v>125</v>
      </c>
      <c r="S3135" t="s">
        <v>125</v>
      </c>
      <c r="T3135">
        <v>0</v>
      </c>
      <c r="V3135" t="s">
        <v>125</v>
      </c>
      <c r="AE3135" t="s">
        <v>125</v>
      </c>
      <c r="AF3135">
        <v>0</v>
      </c>
      <c r="AG3135" t="s">
        <v>125</v>
      </c>
      <c r="AH3135">
        <v>0</v>
      </c>
      <c r="AK3135">
        <v>0</v>
      </c>
    </row>
    <row r="3136" spans="1:37" x14ac:dyDescent="0.25">
      <c r="A3136" t="s">
        <v>79</v>
      </c>
      <c r="B3136">
        <v>12</v>
      </c>
      <c r="C3136">
        <v>3</v>
      </c>
      <c r="D3136">
        <v>2</v>
      </c>
      <c r="E3136">
        <v>4</v>
      </c>
      <c r="G3136">
        <v>1232</v>
      </c>
      <c r="H3136" t="s">
        <v>63</v>
      </c>
      <c r="I3136" t="s">
        <v>102</v>
      </c>
      <c r="J3136" t="s">
        <v>144</v>
      </c>
      <c r="L3136">
        <v>0</v>
      </c>
      <c r="M3136" t="s">
        <v>125</v>
      </c>
      <c r="O3136" t="s">
        <v>125</v>
      </c>
      <c r="P3136" t="s">
        <v>125</v>
      </c>
      <c r="Q3136" t="s">
        <v>125</v>
      </c>
      <c r="R3136" t="s">
        <v>125</v>
      </c>
      <c r="S3136" t="s">
        <v>125</v>
      </c>
      <c r="T3136">
        <v>0</v>
      </c>
      <c r="V3136" t="s">
        <v>125</v>
      </c>
      <c r="AE3136" t="s">
        <v>125</v>
      </c>
      <c r="AF3136">
        <v>0</v>
      </c>
      <c r="AG3136" t="s">
        <v>125</v>
      </c>
      <c r="AH3136">
        <v>0</v>
      </c>
      <c r="AK3136">
        <v>0</v>
      </c>
    </row>
    <row r="3137" spans="1:37" x14ac:dyDescent="0.25">
      <c r="A3137" t="s">
        <v>79</v>
      </c>
      <c r="B3137">
        <v>12</v>
      </c>
      <c r="C3137">
        <v>3</v>
      </c>
      <c r="D3137">
        <v>2</v>
      </c>
      <c r="E3137">
        <v>5</v>
      </c>
      <c r="G3137">
        <v>1232</v>
      </c>
      <c r="H3137" t="s">
        <v>63</v>
      </c>
      <c r="I3137" t="s">
        <v>109</v>
      </c>
      <c r="J3137" t="s">
        <v>145</v>
      </c>
      <c r="L3137">
        <v>0</v>
      </c>
      <c r="M3137" t="s">
        <v>125</v>
      </c>
      <c r="O3137" t="s">
        <v>125</v>
      </c>
      <c r="P3137" t="s">
        <v>125</v>
      </c>
      <c r="Q3137" t="s">
        <v>125</v>
      </c>
      <c r="R3137" t="s">
        <v>125</v>
      </c>
      <c r="S3137" t="s">
        <v>125</v>
      </c>
      <c r="T3137">
        <v>0</v>
      </c>
      <c r="V3137" t="s">
        <v>125</v>
      </c>
      <c r="AE3137" t="s">
        <v>125</v>
      </c>
      <c r="AF3137">
        <v>0</v>
      </c>
      <c r="AG3137" t="s">
        <v>125</v>
      </c>
      <c r="AH3137">
        <v>0</v>
      </c>
      <c r="AK3137">
        <v>0</v>
      </c>
    </row>
    <row r="3138" spans="1:37" x14ac:dyDescent="0.25">
      <c r="A3138" t="s">
        <v>79</v>
      </c>
      <c r="B3138">
        <v>12</v>
      </c>
      <c r="C3138">
        <v>3</v>
      </c>
      <c r="D3138">
        <v>2</v>
      </c>
      <c r="E3138">
        <v>6</v>
      </c>
      <c r="G3138">
        <v>1232</v>
      </c>
      <c r="H3138" t="s">
        <v>63</v>
      </c>
      <c r="I3138" t="s">
        <v>116</v>
      </c>
      <c r="J3138" t="s">
        <v>146</v>
      </c>
      <c r="L3138">
        <v>0</v>
      </c>
      <c r="M3138" t="s">
        <v>125</v>
      </c>
      <c r="O3138" t="s">
        <v>125</v>
      </c>
      <c r="P3138" t="s">
        <v>125</v>
      </c>
      <c r="Q3138" t="s">
        <v>125</v>
      </c>
      <c r="R3138" t="s">
        <v>125</v>
      </c>
      <c r="S3138" t="s">
        <v>125</v>
      </c>
      <c r="T3138">
        <v>0</v>
      </c>
      <c r="V3138" t="s">
        <v>125</v>
      </c>
      <c r="AE3138" t="s">
        <v>125</v>
      </c>
      <c r="AF3138">
        <v>0</v>
      </c>
      <c r="AG3138" t="s">
        <v>125</v>
      </c>
      <c r="AH3138">
        <v>0</v>
      </c>
      <c r="AK3138">
        <v>0</v>
      </c>
    </row>
    <row r="3139" spans="1:37" x14ac:dyDescent="0.25">
      <c r="A3139" t="s">
        <v>79</v>
      </c>
      <c r="B3139">
        <v>12</v>
      </c>
      <c r="C3139">
        <v>3</v>
      </c>
      <c r="D3139">
        <v>2</v>
      </c>
      <c r="E3139">
        <v>7</v>
      </c>
      <c r="G3139">
        <v>1232</v>
      </c>
      <c r="H3139" t="s">
        <v>63</v>
      </c>
      <c r="I3139" t="s">
        <v>123</v>
      </c>
      <c r="J3139" t="s">
        <v>147</v>
      </c>
      <c r="L3139">
        <v>0</v>
      </c>
      <c r="M3139" t="s">
        <v>125</v>
      </c>
      <c r="O3139" t="s">
        <v>125</v>
      </c>
      <c r="P3139" t="s">
        <v>125</v>
      </c>
      <c r="Q3139" t="s">
        <v>125</v>
      </c>
      <c r="R3139" t="s">
        <v>125</v>
      </c>
      <c r="S3139" t="s">
        <v>125</v>
      </c>
      <c r="T3139">
        <v>0</v>
      </c>
      <c r="V3139" t="s">
        <v>125</v>
      </c>
      <c r="AE3139" t="s">
        <v>125</v>
      </c>
      <c r="AF3139">
        <v>0</v>
      </c>
      <c r="AG3139" t="s">
        <v>125</v>
      </c>
      <c r="AH3139">
        <v>0</v>
      </c>
      <c r="AK3139">
        <v>0</v>
      </c>
    </row>
    <row r="3140" spans="1:37" x14ac:dyDescent="0.25">
      <c r="A3140" t="s">
        <v>79</v>
      </c>
      <c r="B3140">
        <v>12</v>
      </c>
      <c r="C3140">
        <v>3</v>
      </c>
      <c r="D3140">
        <v>2</v>
      </c>
      <c r="E3140">
        <v>8</v>
      </c>
      <c r="G3140">
        <v>1232</v>
      </c>
      <c r="H3140" t="s">
        <v>63</v>
      </c>
      <c r="I3140" t="s">
        <v>126</v>
      </c>
      <c r="J3140" t="s">
        <v>148</v>
      </c>
      <c r="L3140">
        <v>0</v>
      </c>
      <c r="M3140" t="s">
        <v>125</v>
      </c>
      <c r="O3140" t="s">
        <v>125</v>
      </c>
      <c r="P3140" t="s">
        <v>125</v>
      </c>
      <c r="Q3140" t="s">
        <v>125</v>
      </c>
      <c r="R3140" t="s">
        <v>125</v>
      </c>
      <c r="S3140" t="s">
        <v>125</v>
      </c>
      <c r="T3140">
        <v>0</v>
      </c>
      <c r="V3140" t="s">
        <v>125</v>
      </c>
      <c r="AE3140" t="s">
        <v>125</v>
      </c>
      <c r="AF3140">
        <v>0</v>
      </c>
      <c r="AG3140" t="s">
        <v>125</v>
      </c>
      <c r="AH3140">
        <v>0</v>
      </c>
      <c r="AK3140">
        <v>0</v>
      </c>
    </row>
    <row r="3141" spans="1:37" x14ac:dyDescent="0.25">
      <c r="A3141" t="s">
        <v>79</v>
      </c>
      <c r="B3141">
        <v>12</v>
      </c>
      <c r="C3141">
        <v>3</v>
      </c>
      <c r="D3141">
        <v>2</v>
      </c>
      <c r="E3141">
        <v>9</v>
      </c>
      <c r="G3141">
        <v>1232</v>
      </c>
      <c r="H3141" t="s">
        <v>63</v>
      </c>
      <c r="I3141" t="s">
        <v>74</v>
      </c>
      <c r="J3141" t="s">
        <v>149</v>
      </c>
      <c r="L3141">
        <v>0</v>
      </c>
      <c r="M3141" t="s">
        <v>125</v>
      </c>
      <c r="O3141" t="s">
        <v>125</v>
      </c>
      <c r="P3141" t="s">
        <v>125</v>
      </c>
      <c r="Q3141" t="s">
        <v>125</v>
      </c>
      <c r="R3141" t="s">
        <v>125</v>
      </c>
      <c r="S3141" t="s">
        <v>125</v>
      </c>
      <c r="T3141">
        <v>0</v>
      </c>
      <c r="V3141" t="s">
        <v>125</v>
      </c>
      <c r="AE3141" t="s">
        <v>125</v>
      </c>
      <c r="AF3141">
        <v>0</v>
      </c>
      <c r="AG3141" t="s">
        <v>125</v>
      </c>
      <c r="AH3141">
        <v>0</v>
      </c>
      <c r="AK3141">
        <v>0</v>
      </c>
    </row>
    <row r="3142" spans="1:37" x14ac:dyDescent="0.25">
      <c r="A3142" t="s">
        <v>79</v>
      </c>
      <c r="B3142">
        <v>12</v>
      </c>
      <c r="C3142">
        <v>3</v>
      </c>
      <c r="D3142">
        <v>2</v>
      </c>
      <c r="E3142">
        <v>10</v>
      </c>
      <c r="G3142">
        <v>1232</v>
      </c>
      <c r="H3142" t="s">
        <v>63</v>
      </c>
      <c r="I3142" t="s">
        <v>129</v>
      </c>
      <c r="J3142" t="s">
        <v>150</v>
      </c>
      <c r="L3142">
        <v>0</v>
      </c>
      <c r="M3142" t="s">
        <v>125</v>
      </c>
      <c r="O3142" t="s">
        <v>125</v>
      </c>
      <c r="P3142" t="s">
        <v>125</v>
      </c>
      <c r="Q3142" t="s">
        <v>125</v>
      </c>
      <c r="R3142" t="s">
        <v>125</v>
      </c>
      <c r="S3142" t="s">
        <v>125</v>
      </c>
      <c r="T3142">
        <v>0</v>
      </c>
      <c r="V3142" t="s">
        <v>125</v>
      </c>
      <c r="AE3142" t="s">
        <v>125</v>
      </c>
      <c r="AF3142">
        <v>0</v>
      </c>
      <c r="AG3142" t="s">
        <v>125</v>
      </c>
      <c r="AH3142">
        <v>0</v>
      </c>
      <c r="AK3142">
        <v>0</v>
      </c>
    </row>
    <row r="3143" spans="1:37" x14ac:dyDescent="0.25">
      <c r="A3143" t="s">
        <v>79</v>
      </c>
      <c r="B3143">
        <v>12</v>
      </c>
      <c r="C3143">
        <v>3</v>
      </c>
      <c r="D3143">
        <v>2</v>
      </c>
      <c r="E3143">
        <v>11</v>
      </c>
      <c r="G3143">
        <v>1232</v>
      </c>
      <c r="H3143" t="s">
        <v>63</v>
      </c>
      <c r="I3143" t="s">
        <v>131</v>
      </c>
      <c r="J3143" t="s">
        <v>151</v>
      </c>
      <c r="L3143">
        <v>0</v>
      </c>
      <c r="M3143" t="s">
        <v>125</v>
      </c>
      <c r="O3143" t="s">
        <v>125</v>
      </c>
      <c r="P3143" t="s">
        <v>125</v>
      </c>
      <c r="Q3143" t="s">
        <v>125</v>
      </c>
      <c r="R3143" t="s">
        <v>125</v>
      </c>
      <c r="S3143" t="s">
        <v>125</v>
      </c>
      <c r="T3143">
        <v>0</v>
      </c>
      <c r="V3143" t="s">
        <v>125</v>
      </c>
      <c r="AE3143" t="s">
        <v>125</v>
      </c>
      <c r="AF3143">
        <v>0</v>
      </c>
      <c r="AG3143" t="s">
        <v>125</v>
      </c>
      <c r="AH3143">
        <v>0</v>
      </c>
      <c r="AK3143">
        <v>0</v>
      </c>
    </row>
    <row r="3144" spans="1:37" x14ac:dyDescent="0.25">
      <c r="A3144" t="s">
        <v>79</v>
      </c>
      <c r="B3144">
        <v>12</v>
      </c>
      <c r="C3144">
        <v>3</v>
      </c>
      <c r="D3144">
        <v>2</v>
      </c>
      <c r="E3144">
        <v>12</v>
      </c>
      <c r="G3144">
        <v>1232</v>
      </c>
      <c r="H3144" t="s">
        <v>63</v>
      </c>
      <c r="I3144" t="s">
        <v>133</v>
      </c>
      <c r="J3144" t="s">
        <v>152</v>
      </c>
      <c r="L3144">
        <v>0</v>
      </c>
      <c r="M3144" t="s">
        <v>125</v>
      </c>
      <c r="O3144" t="s">
        <v>125</v>
      </c>
      <c r="P3144" t="s">
        <v>125</v>
      </c>
      <c r="Q3144" t="s">
        <v>125</v>
      </c>
      <c r="R3144" t="s">
        <v>125</v>
      </c>
      <c r="S3144" t="s">
        <v>125</v>
      </c>
      <c r="T3144">
        <v>0</v>
      </c>
      <c r="V3144" t="s">
        <v>125</v>
      </c>
      <c r="AE3144" t="s">
        <v>125</v>
      </c>
      <c r="AF3144">
        <v>0</v>
      </c>
      <c r="AG3144" t="s">
        <v>125</v>
      </c>
      <c r="AH3144">
        <v>0</v>
      </c>
      <c r="AK3144">
        <v>0</v>
      </c>
    </row>
    <row r="3145" spans="1:37" x14ac:dyDescent="0.25">
      <c r="A3145" t="s">
        <v>79</v>
      </c>
      <c r="B3145">
        <v>12</v>
      </c>
      <c r="C3145">
        <v>3</v>
      </c>
      <c r="D3145">
        <v>2</v>
      </c>
      <c r="E3145">
        <v>13</v>
      </c>
      <c r="G3145">
        <v>1232</v>
      </c>
      <c r="H3145" t="s">
        <v>63</v>
      </c>
      <c r="I3145" t="s">
        <v>135</v>
      </c>
      <c r="J3145" t="s">
        <v>153</v>
      </c>
      <c r="L3145">
        <v>0</v>
      </c>
      <c r="M3145" t="s">
        <v>125</v>
      </c>
      <c r="O3145" t="s">
        <v>125</v>
      </c>
      <c r="P3145" t="s">
        <v>125</v>
      </c>
      <c r="Q3145" t="s">
        <v>125</v>
      </c>
      <c r="R3145" t="s">
        <v>125</v>
      </c>
      <c r="S3145" t="s">
        <v>125</v>
      </c>
      <c r="T3145">
        <v>0</v>
      </c>
      <c r="V3145" t="s">
        <v>125</v>
      </c>
      <c r="AE3145" t="s">
        <v>125</v>
      </c>
      <c r="AF3145">
        <v>0</v>
      </c>
      <c r="AG3145" t="s">
        <v>125</v>
      </c>
      <c r="AH3145">
        <v>0</v>
      </c>
      <c r="AK3145">
        <v>0</v>
      </c>
    </row>
    <row r="3146" spans="1:37" x14ac:dyDescent="0.25">
      <c r="A3146" t="s">
        <v>79</v>
      </c>
      <c r="B3146">
        <v>12</v>
      </c>
      <c r="C3146">
        <v>3</v>
      </c>
      <c r="D3146">
        <v>2</v>
      </c>
      <c r="E3146">
        <v>14</v>
      </c>
      <c r="G3146">
        <v>1232</v>
      </c>
      <c r="H3146" t="s">
        <v>63</v>
      </c>
      <c r="I3146" t="s">
        <v>137</v>
      </c>
      <c r="J3146" t="s">
        <v>154</v>
      </c>
      <c r="L3146">
        <v>0</v>
      </c>
      <c r="M3146" t="s">
        <v>125</v>
      </c>
      <c r="O3146" t="s">
        <v>125</v>
      </c>
      <c r="P3146" t="s">
        <v>125</v>
      </c>
      <c r="Q3146" t="s">
        <v>125</v>
      </c>
      <c r="R3146" t="s">
        <v>125</v>
      </c>
      <c r="S3146" t="s">
        <v>125</v>
      </c>
      <c r="T3146">
        <v>0</v>
      </c>
      <c r="V3146" t="s">
        <v>125</v>
      </c>
      <c r="AE3146" t="s">
        <v>125</v>
      </c>
      <c r="AF3146">
        <v>0</v>
      </c>
      <c r="AG3146" t="s">
        <v>125</v>
      </c>
      <c r="AH3146">
        <v>0</v>
      </c>
      <c r="AK3146">
        <v>0</v>
      </c>
    </row>
    <row r="3147" spans="1:37" x14ac:dyDescent="0.25">
      <c r="A3147" t="s">
        <v>79</v>
      </c>
      <c r="B3147">
        <v>12</v>
      </c>
      <c r="C3147">
        <v>3</v>
      </c>
      <c r="D3147">
        <v>2</v>
      </c>
      <c r="E3147">
        <v>15</v>
      </c>
      <c r="G3147">
        <v>1232</v>
      </c>
      <c r="H3147" t="s">
        <v>63</v>
      </c>
      <c r="I3147" t="s">
        <v>139</v>
      </c>
      <c r="J3147" t="s">
        <v>155</v>
      </c>
      <c r="L3147">
        <v>0</v>
      </c>
      <c r="M3147" t="s">
        <v>125</v>
      </c>
      <c r="O3147" t="s">
        <v>125</v>
      </c>
      <c r="P3147" t="s">
        <v>125</v>
      </c>
      <c r="Q3147" t="s">
        <v>125</v>
      </c>
      <c r="R3147" t="s">
        <v>125</v>
      </c>
      <c r="S3147" t="s">
        <v>125</v>
      </c>
      <c r="T3147">
        <v>0</v>
      </c>
      <c r="V3147" t="s">
        <v>125</v>
      </c>
      <c r="AE3147" t="s">
        <v>125</v>
      </c>
      <c r="AF3147">
        <v>0</v>
      </c>
      <c r="AG3147" t="s">
        <v>125</v>
      </c>
      <c r="AH3147">
        <v>0</v>
      </c>
      <c r="AK3147">
        <v>0</v>
      </c>
    </row>
    <row r="3148" spans="1:37" x14ac:dyDescent="0.25">
      <c r="L3148">
        <v>0</v>
      </c>
    </row>
    <row r="3149" spans="1:37" x14ac:dyDescent="0.25">
      <c r="A3149" t="s">
        <v>70</v>
      </c>
      <c r="B3149">
        <v>12</v>
      </c>
      <c r="C3149">
        <v>3</v>
      </c>
      <c r="D3149">
        <v>3</v>
      </c>
      <c r="G3149">
        <v>123</v>
      </c>
      <c r="L3149">
        <v>0</v>
      </c>
      <c r="M3149" t="s">
        <v>125</v>
      </c>
      <c r="P3149" t="s">
        <v>125</v>
      </c>
      <c r="R3149" t="s">
        <v>125</v>
      </c>
      <c r="S3149" t="s">
        <v>63</v>
      </c>
      <c r="V3149" t="s">
        <v>125</v>
      </c>
      <c r="X3149" t="s">
        <v>125</v>
      </c>
      <c r="Y3149" t="s">
        <v>125</v>
      </c>
      <c r="Z3149" t="s">
        <v>125</v>
      </c>
      <c r="AA3149" t="s">
        <v>125</v>
      </c>
      <c r="AB3149" t="s">
        <v>125</v>
      </c>
      <c r="AC3149" t="s">
        <v>125</v>
      </c>
      <c r="AE3149" t="s">
        <v>125</v>
      </c>
      <c r="AF3149">
        <v>0</v>
      </c>
      <c r="AG3149" t="s">
        <v>125</v>
      </c>
      <c r="AH3149">
        <v>0</v>
      </c>
      <c r="AK3149">
        <v>0</v>
      </c>
    </row>
    <row r="3150" spans="1:37" x14ac:dyDescent="0.25">
      <c r="A3150" t="s">
        <v>79</v>
      </c>
      <c r="B3150">
        <v>12</v>
      </c>
      <c r="C3150">
        <v>3</v>
      </c>
      <c r="D3150">
        <v>3</v>
      </c>
      <c r="E3150">
        <v>1</v>
      </c>
      <c r="G3150">
        <v>1233</v>
      </c>
      <c r="H3150" t="s">
        <v>63</v>
      </c>
      <c r="I3150" t="s">
        <v>80</v>
      </c>
      <c r="J3150" t="s">
        <v>141</v>
      </c>
      <c r="L3150">
        <v>0</v>
      </c>
      <c r="M3150" t="s">
        <v>125</v>
      </c>
      <c r="O3150" t="s">
        <v>125</v>
      </c>
      <c r="P3150" t="s">
        <v>125</v>
      </c>
      <c r="Q3150" t="s">
        <v>125</v>
      </c>
      <c r="R3150" t="s">
        <v>125</v>
      </c>
      <c r="S3150" t="s">
        <v>125</v>
      </c>
      <c r="T3150">
        <v>0</v>
      </c>
      <c r="V3150" t="s">
        <v>125</v>
      </c>
      <c r="AE3150" t="s">
        <v>125</v>
      </c>
      <c r="AF3150">
        <v>0</v>
      </c>
      <c r="AG3150" t="s">
        <v>125</v>
      </c>
      <c r="AH3150">
        <v>0</v>
      </c>
      <c r="AK3150">
        <v>0</v>
      </c>
    </row>
    <row r="3151" spans="1:37" x14ac:dyDescent="0.25">
      <c r="A3151" t="s">
        <v>79</v>
      </c>
      <c r="B3151">
        <v>12</v>
      </c>
      <c r="C3151">
        <v>3</v>
      </c>
      <c r="D3151">
        <v>3</v>
      </c>
      <c r="E3151">
        <v>2</v>
      </c>
      <c r="G3151">
        <v>1233</v>
      </c>
      <c r="H3151" t="s">
        <v>63</v>
      </c>
      <c r="I3151" t="s">
        <v>88</v>
      </c>
      <c r="J3151" t="s">
        <v>142</v>
      </c>
      <c r="L3151">
        <v>0</v>
      </c>
      <c r="M3151" t="s">
        <v>125</v>
      </c>
      <c r="O3151" t="s">
        <v>125</v>
      </c>
      <c r="P3151" t="s">
        <v>125</v>
      </c>
      <c r="Q3151" t="s">
        <v>125</v>
      </c>
      <c r="R3151" t="s">
        <v>125</v>
      </c>
      <c r="S3151" t="s">
        <v>125</v>
      </c>
      <c r="T3151">
        <v>0</v>
      </c>
      <c r="V3151" t="s">
        <v>125</v>
      </c>
      <c r="AE3151" t="s">
        <v>125</v>
      </c>
      <c r="AF3151">
        <v>0</v>
      </c>
      <c r="AG3151" t="s">
        <v>125</v>
      </c>
      <c r="AH3151">
        <v>0</v>
      </c>
      <c r="AK3151">
        <v>0</v>
      </c>
    </row>
    <row r="3152" spans="1:37" x14ac:dyDescent="0.25">
      <c r="A3152" t="s">
        <v>79</v>
      </c>
      <c r="B3152">
        <v>12</v>
      </c>
      <c r="C3152">
        <v>3</v>
      </c>
      <c r="D3152">
        <v>3</v>
      </c>
      <c r="E3152">
        <v>3</v>
      </c>
      <c r="G3152">
        <v>1233</v>
      </c>
      <c r="H3152" t="s">
        <v>63</v>
      </c>
      <c r="I3152" t="s">
        <v>95</v>
      </c>
      <c r="J3152" t="s">
        <v>143</v>
      </c>
      <c r="L3152">
        <v>0</v>
      </c>
      <c r="M3152" t="s">
        <v>125</v>
      </c>
      <c r="O3152" t="s">
        <v>125</v>
      </c>
      <c r="P3152" t="s">
        <v>125</v>
      </c>
      <c r="Q3152" t="s">
        <v>125</v>
      </c>
      <c r="R3152" t="s">
        <v>125</v>
      </c>
      <c r="S3152" t="s">
        <v>125</v>
      </c>
      <c r="T3152">
        <v>0</v>
      </c>
      <c r="V3152" t="s">
        <v>125</v>
      </c>
      <c r="AE3152" t="s">
        <v>125</v>
      </c>
      <c r="AF3152">
        <v>0</v>
      </c>
      <c r="AG3152" t="s">
        <v>125</v>
      </c>
      <c r="AH3152">
        <v>0</v>
      </c>
      <c r="AK3152">
        <v>0</v>
      </c>
    </row>
    <row r="3153" spans="1:37" x14ac:dyDescent="0.25">
      <c r="A3153" t="s">
        <v>79</v>
      </c>
      <c r="B3153">
        <v>12</v>
      </c>
      <c r="C3153">
        <v>3</v>
      </c>
      <c r="D3153">
        <v>3</v>
      </c>
      <c r="E3153">
        <v>4</v>
      </c>
      <c r="G3153">
        <v>1233</v>
      </c>
      <c r="H3153" t="s">
        <v>63</v>
      </c>
      <c r="I3153" t="s">
        <v>102</v>
      </c>
      <c r="J3153" t="s">
        <v>144</v>
      </c>
      <c r="L3153">
        <v>0</v>
      </c>
      <c r="M3153" t="s">
        <v>125</v>
      </c>
      <c r="O3153" t="s">
        <v>125</v>
      </c>
      <c r="P3153" t="s">
        <v>125</v>
      </c>
      <c r="Q3153" t="s">
        <v>125</v>
      </c>
      <c r="R3153" t="s">
        <v>125</v>
      </c>
      <c r="S3153" t="s">
        <v>125</v>
      </c>
      <c r="T3153">
        <v>0</v>
      </c>
      <c r="V3153" t="s">
        <v>125</v>
      </c>
      <c r="AE3153" t="s">
        <v>125</v>
      </c>
      <c r="AF3153">
        <v>0</v>
      </c>
      <c r="AG3153" t="s">
        <v>125</v>
      </c>
      <c r="AH3153">
        <v>0</v>
      </c>
      <c r="AK3153">
        <v>0</v>
      </c>
    </row>
    <row r="3154" spans="1:37" x14ac:dyDescent="0.25">
      <c r="A3154" t="s">
        <v>79</v>
      </c>
      <c r="B3154">
        <v>12</v>
      </c>
      <c r="C3154">
        <v>3</v>
      </c>
      <c r="D3154">
        <v>3</v>
      </c>
      <c r="E3154">
        <v>5</v>
      </c>
      <c r="G3154">
        <v>1233</v>
      </c>
      <c r="H3154" t="s">
        <v>63</v>
      </c>
      <c r="I3154" t="s">
        <v>109</v>
      </c>
      <c r="J3154" t="s">
        <v>145</v>
      </c>
      <c r="L3154">
        <v>0</v>
      </c>
      <c r="M3154" t="s">
        <v>125</v>
      </c>
      <c r="O3154" t="s">
        <v>125</v>
      </c>
      <c r="P3154" t="s">
        <v>125</v>
      </c>
      <c r="Q3154" t="s">
        <v>125</v>
      </c>
      <c r="R3154" t="s">
        <v>125</v>
      </c>
      <c r="S3154" t="s">
        <v>125</v>
      </c>
      <c r="T3154">
        <v>0</v>
      </c>
      <c r="V3154" t="s">
        <v>125</v>
      </c>
      <c r="AE3154" t="s">
        <v>125</v>
      </c>
      <c r="AF3154">
        <v>0</v>
      </c>
      <c r="AG3154" t="s">
        <v>125</v>
      </c>
      <c r="AH3154">
        <v>0</v>
      </c>
      <c r="AK3154">
        <v>0</v>
      </c>
    </row>
    <row r="3155" spans="1:37" x14ac:dyDescent="0.25">
      <c r="A3155" t="s">
        <v>79</v>
      </c>
      <c r="B3155">
        <v>12</v>
      </c>
      <c r="C3155">
        <v>3</v>
      </c>
      <c r="D3155">
        <v>3</v>
      </c>
      <c r="E3155">
        <v>6</v>
      </c>
      <c r="G3155">
        <v>1233</v>
      </c>
      <c r="H3155" t="s">
        <v>63</v>
      </c>
      <c r="I3155" t="s">
        <v>116</v>
      </c>
      <c r="J3155" t="s">
        <v>146</v>
      </c>
      <c r="L3155">
        <v>0</v>
      </c>
      <c r="M3155" t="s">
        <v>125</v>
      </c>
      <c r="O3155" t="s">
        <v>125</v>
      </c>
      <c r="P3155" t="s">
        <v>125</v>
      </c>
      <c r="Q3155" t="s">
        <v>125</v>
      </c>
      <c r="R3155" t="s">
        <v>125</v>
      </c>
      <c r="S3155" t="s">
        <v>125</v>
      </c>
      <c r="T3155">
        <v>0</v>
      </c>
      <c r="V3155" t="s">
        <v>125</v>
      </c>
      <c r="AE3155" t="s">
        <v>125</v>
      </c>
      <c r="AF3155">
        <v>0</v>
      </c>
      <c r="AG3155" t="s">
        <v>125</v>
      </c>
      <c r="AH3155">
        <v>0</v>
      </c>
      <c r="AK3155">
        <v>0</v>
      </c>
    </row>
    <row r="3156" spans="1:37" x14ac:dyDescent="0.25">
      <c r="A3156" t="s">
        <v>79</v>
      </c>
      <c r="B3156">
        <v>12</v>
      </c>
      <c r="C3156">
        <v>3</v>
      </c>
      <c r="D3156">
        <v>3</v>
      </c>
      <c r="E3156">
        <v>7</v>
      </c>
      <c r="G3156">
        <v>1233</v>
      </c>
      <c r="H3156" t="s">
        <v>63</v>
      </c>
      <c r="I3156" t="s">
        <v>123</v>
      </c>
      <c r="J3156" t="s">
        <v>147</v>
      </c>
      <c r="L3156">
        <v>0</v>
      </c>
      <c r="M3156" t="s">
        <v>125</v>
      </c>
      <c r="O3156" t="s">
        <v>125</v>
      </c>
      <c r="P3156" t="s">
        <v>125</v>
      </c>
      <c r="Q3156" t="s">
        <v>125</v>
      </c>
      <c r="R3156" t="s">
        <v>125</v>
      </c>
      <c r="S3156" t="s">
        <v>125</v>
      </c>
      <c r="T3156">
        <v>0</v>
      </c>
      <c r="V3156" t="s">
        <v>125</v>
      </c>
      <c r="AE3156" t="s">
        <v>125</v>
      </c>
      <c r="AF3156">
        <v>0</v>
      </c>
      <c r="AG3156" t="s">
        <v>125</v>
      </c>
      <c r="AH3156">
        <v>0</v>
      </c>
      <c r="AK3156">
        <v>0</v>
      </c>
    </row>
    <row r="3157" spans="1:37" x14ac:dyDescent="0.25">
      <c r="A3157" t="s">
        <v>79</v>
      </c>
      <c r="B3157">
        <v>12</v>
      </c>
      <c r="C3157">
        <v>3</v>
      </c>
      <c r="D3157">
        <v>3</v>
      </c>
      <c r="E3157">
        <v>8</v>
      </c>
      <c r="G3157">
        <v>1233</v>
      </c>
      <c r="H3157" t="s">
        <v>63</v>
      </c>
      <c r="I3157" t="s">
        <v>126</v>
      </c>
      <c r="J3157" t="s">
        <v>148</v>
      </c>
      <c r="L3157">
        <v>0</v>
      </c>
      <c r="M3157" t="s">
        <v>125</v>
      </c>
      <c r="O3157" t="s">
        <v>125</v>
      </c>
      <c r="P3157" t="s">
        <v>125</v>
      </c>
      <c r="Q3157" t="s">
        <v>125</v>
      </c>
      <c r="R3157" t="s">
        <v>125</v>
      </c>
      <c r="S3157" t="s">
        <v>125</v>
      </c>
      <c r="T3157">
        <v>0</v>
      </c>
      <c r="V3157" t="s">
        <v>125</v>
      </c>
      <c r="AE3157" t="s">
        <v>125</v>
      </c>
      <c r="AF3157">
        <v>0</v>
      </c>
      <c r="AG3157" t="s">
        <v>125</v>
      </c>
      <c r="AH3157">
        <v>0</v>
      </c>
      <c r="AK3157">
        <v>0</v>
      </c>
    </row>
    <row r="3158" spans="1:37" x14ac:dyDescent="0.25">
      <c r="A3158" t="s">
        <v>79</v>
      </c>
      <c r="B3158">
        <v>12</v>
      </c>
      <c r="C3158">
        <v>3</v>
      </c>
      <c r="D3158">
        <v>3</v>
      </c>
      <c r="E3158">
        <v>9</v>
      </c>
      <c r="G3158">
        <v>1233</v>
      </c>
      <c r="H3158" t="s">
        <v>63</v>
      </c>
      <c r="I3158" t="s">
        <v>74</v>
      </c>
      <c r="J3158" t="s">
        <v>149</v>
      </c>
      <c r="L3158">
        <v>0</v>
      </c>
      <c r="M3158" t="s">
        <v>125</v>
      </c>
      <c r="O3158" t="s">
        <v>125</v>
      </c>
      <c r="P3158" t="s">
        <v>125</v>
      </c>
      <c r="Q3158" t="s">
        <v>125</v>
      </c>
      <c r="R3158" t="s">
        <v>125</v>
      </c>
      <c r="S3158" t="s">
        <v>125</v>
      </c>
      <c r="T3158">
        <v>0</v>
      </c>
      <c r="V3158" t="s">
        <v>125</v>
      </c>
      <c r="AE3158" t="s">
        <v>125</v>
      </c>
      <c r="AF3158">
        <v>0</v>
      </c>
      <c r="AG3158" t="s">
        <v>125</v>
      </c>
      <c r="AH3158">
        <v>0</v>
      </c>
      <c r="AK3158">
        <v>0</v>
      </c>
    </row>
    <row r="3159" spans="1:37" x14ac:dyDescent="0.25">
      <c r="A3159" t="s">
        <v>79</v>
      </c>
      <c r="B3159">
        <v>12</v>
      </c>
      <c r="C3159">
        <v>3</v>
      </c>
      <c r="D3159">
        <v>3</v>
      </c>
      <c r="E3159">
        <v>10</v>
      </c>
      <c r="G3159">
        <v>1233</v>
      </c>
      <c r="H3159" t="s">
        <v>63</v>
      </c>
      <c r="I3159" t="s">
        <v>129</v>
      </c>
      <c r="J3159" t="s">
        <v>150</v>
      </c>
      <c r="L3159">
        <v>0</v>
      </c>
      <c r="M3159" t="s">
        <v>125</v>
      </c>
      <c r="O3159" t="s">
        <v>125</v>
      </c>
      <c r="P3159" t="s">
        <v>125</v>
      </c>
      <c r="Q3159" t="s">
        <v>125</v>
      </c>
      <c r="R3159" t="s">
        <v>125</v>
      </c>
      <c r="S3159" t="s">
        <v>125</v>
      </c>
      <c r="T3159">
        <v>0</v>
      </c>
      <c r="V3159" t="s">
        <v>125</v>
      </c>
      <c r="AE3159" t="s">
        <v>125</v>
      </c>
      <c r="AF3159">
        <v>0</v>
      </c>
      <c r="AG3159" t="s">
        <v>125</v>
      </c>
      <c r="AH3159">
        <v>0</v>
      </c>
      <c r="AK3159">
        <v>0</v>
      </c>
    </row>
    <row r="3160" spans="1:37" x14ac:dyDescent="0.25">
      <c r="A3160" t="s">
        <v>79</v>
      </c>
      <c r="B3160">
        <v>12</v>
      </c>
      <c r="C3160">
        <v>3</v>
      </c>
      <c r="D3160">
        <v>3</v>
      </c>
      <c r="E3160">
        <v>11</v>
      </c>
      <c r="G3160">
        <v>1233</v>
      </c>
      <c r="H3160" t="s">
        <v>63</v>
      </c>
      <c r="I3160" t="s">
        <v>131</v>
      </c>
      <c r="J3160" t="s">
        <v>151</v>
      </c>
      <c r="L3160">
        <v>0</v>
      </c>
      <c r="M3160" t="s">
        <v>125</v>
      </c>
      <c r="O3160" t="s">
        <v>125</v>
      </c>
      <c r="P3160" t="s">
        <v>125</v>
      </c>
      <c r="Q3160" t="s">
        <v>125</v>
      </c>
      <c r="R3160" t="s">
        <v>125</v>
      </c>
      <c r="S3160" t="s">
        <v>125</v>
      </c>
      <c r="T3160">
        <v>0</v>
      </c>
      <c r="V3160" t="s">
        <v>125</v>
      </c>
      <c r="AE3160" t="s">
        <v>125</v>
      </c>
      <c r="AF3160">
        <v>0</v>
      </c>
      <c r="AG3160" t="s">
        <v>125</v>
      </c>
      <c r="AH3160">
        <v>0</v>
      </c>
      <c r="AK3160">
        <v>0</v>
      </c>
    </row>
    <row r="3161" spans="1:37" x14ac:dyDescent="0.25">
      <c r="A3161" t="s">
        <v>79</v>
      </c>
      <c r="B3161">
        <v>12</v>
      </c>
      <c r="C3161">
        <v>3</v>
      </c>
      <c r="D3161">
        <v>3</v>
      </c>
      <c r="E3161">
        <v>12</v>
      </c>
      <c r="G3161">
        <v>1233</v>
      </c>
      <c r="H3161" t="s">
        <v>63</v>
      </c>
      <c r="I3161" t="s">
        <v>133</v>
      </c>
      <c r="J3161" t="s">
        <v>152</v>
      </c>
      <c r="L3161">
        <v>0</v>
      </c>
      <c r="M3161" t="s">
        <v>125</v>
      </c>
      <c r="O3161" t="s">
        <v>125</v>
      </c>
      <c r="P3161" t="s">
        <v>125</v>
      </c>
      <c r="Q3161" t="s">
        <v>125</v>
      </c>
      <c r="R3161" t="s">
        <v>125</v>
      </c>
      <c r="S3161" t="s">
        <v>125</v>
      </c>
      <c r="T3161">
        <v>0</v>
      </c>
      <c r="V3161" t="s">
        <v>125</v>
      </c>
      <c r="AE3161" t="s">
        <v>125</v>
      </c>
      <c r="AF3161">
        <v>0</v>
      </c>
      <c r="AG3161" t="s">
        <v>125</v>
      </c>
      <c r="AH3161">
        <v>0</v>
      </c>
      <c r="AK3161">
        <v>0</v>
      </c>
    </row>
    <row r="3162" spans="1:37" x14ac:dyDescent="0.25">
      <c r="A3162" t="s">
        <v>79</v>
      </c>
      <c r="B3162">
        <v>12</v>
      </c>
      <c r="C3162">
        <v>3</v>
      </c>
      <c r="D3162">
        <v>3</v>
      </c>
      <c r="E3162">
        <v>13</v>
      </c>
      <c r="G3162">
        <v>1233</v>
      </c>
      <c r="H3162" t="s">
        <v>63</v>
      </c>
      <c r="I3162" t="s">
        <v>135</v>
      </c>
      <c r="J3162" t="s">
        <v>153</v>
      </c>
      <c r="L3162">
        <v>0</v>
      </c>
      <c r="M3162" t="s">
        <v>125</v>
      </c>
      <c r="O3162" t="s">
        <v>125</v>
      </c>
      <c r="P3162" t="s">
        <v>125</v>
      </c>
      <c r="Q3162" t="s">
        <v>125</v>
      </c>
      <c r="R3162" t="s">
        <v>125</v>
      </c>
      <c r="S3162" t="s">
        <v>125</v>
      </c>
      <c r="T3162">
        <v>0</v>
      </c>
      <c r="V3162" t="s">
        <v>125</v>
      </c>
      <c r="AE3162" t="s">
        <v>125</v>
      </c>
      <c r="AF3162">
        <v>0</v>
      </c>
      <c r="AG3162" t="s">
        <v>125</v>
      </c>
      <c r="AH3162">
        <v>0</v>
      </c>
      <c r="AK3162">
        <v>0</v>
      </c>
    </row>
    <row r="3163" spans="1:37" x14ac:dyDescent="0.25">
      <c r="A3163" t="s">
        <v>79</v>
      </c>
      <c r="B3163">
        <v>12</v>
      </c>
      <c r="C3163">
        <v>3</v>
      </c>
      <c r="D3163">
        <v>3</v>
      </c>
      <c r="E3163">
        <v>14</v>
      </c>
      <c r="G3163">
        <v>1233</v>
      </c>
      <c r="H3163" t="s">
        <v>63</v>
      </c>
      <c r="I3163" t="s">
        <v>137</v>
      </c>
      <c r="J3163" t="s">
        <v>154</v>
      </c>
      <c r="L3163">
        <v>0</v>
      </c>
      <c r="M3163" t="s">
        <v>125</v>
      </c>
      <c r="O3163" t="s">
        <v>125</v>
      </c>
      <c r="P3163" t="s">
        <v>125</v>
      </c>
      <c r="Q3163" t="s">
        <v>125</v>
      </c>
      <c r="R3163" t="s">
        <v>125</v>
      </c>
      <c r="S3163" t="s">
        <v>125</v>
      </c>
      <c r="T3163">
        <v>0</v>
      </c>
      <c r="V3163" t="s">
        <v>125</v>
      </c>
      <c r="AE3163" t="s">
        <v>125</v>
      </c>
      <c r="AF3163">
        <v>0</v>
      </c>
      <c r="AG3163" t="s">
        <v>125</v>
      </c>
      <c r="AH3163">
        <v>0</v>
      </c>
      <c r="AK3163">
        <v>0</v>
      </c>
    </row>
    <row r="3164" spans="1:37" x14ac:dyDescent="0.25">
      <c r="A3164" t="s">
        <v>79</v>
      </c>
      <c r="B3164">
        <v>12</v>
      </c>
      <c r="C3164">
        <v>3</v>
      </c>
      <c r="D3164">
        <v>3</v>
      </c>
      <c r="E3164">
        <v>15</v>
      </c>
      <c r="G3164">
        <v>1233</v>
      </c>
      <c r="H3164" t="s">
        <v>63</v>
      </c>
      <c r="I3164" t="s">
        <v>139</v>
      </c>
      <c r="J3164" t="s">
        <v>155</v>
      </c>
      <c r="L3164">
        <v>0</v>
      </c>
      <c r="M3164" t="s">
        <v>125</v>
      </c>
      <c r="O3164" t="s">
        <v>125</v>
      </c>
      <c r="P3164" t="s">
        <v>125</v>
      </c>
      <c r="Q3164" t="s">
        <v>125</v>
      </c>
      <c r="R3164" t="s">
        <v>125</v>
      </c>
      <c r="S3164" t="s">
        <v>125</v>
      </c>
      <c r="T3164">
        <v>0</v>
      </c>
      <c r="V3164" t="s">
        <v>125</v>
      </c>
      <c r="AE3164" t="s">
        <v>125</v>
      </c>
      <c r="AF3164">
        <v>0</v>
      </c>
      <c r="AG3164" t="s">
        <v>125</v>
      </c>
      <c r="AH3164">
        <v>0</v>
      </c>
      <c r="AK3164">
        <v>0</v>
      </c>
    </row>
    <row r="3165" spans="1:37" x14ac:dyDescent="0.25">
      <c r="L3165">
        <v>0</v>
      </c>
    </row>
    <row r="3166" spans="1:37" x14ac:dyDescent="0.25">
      <c r="A3166" t="s">
        <v>70</v>
      </c>
      <c r="B3166">
        <v>12</v>
      </c>
      <c r="C3166">
        <v>3</v>
      </c>
      <c r="D3166">
        <v>4</v>
      </c>
      <c r="G3166">
        <v>123</v>
      </c>
      <c r="L3166">
        <v>0</v>
      </c>
      <c r="M3166" t="s">
        <v>125</v>
      </c>
      <c r="P3166" t="s">
        <v>125</v>
      </c>
      <c r="R3166" t="s">
        <v>125</v>
      </c>
      <c r="S3166" t="s">
        <v>63</v>
      </c>
      <c r="V3166" t="s">
        <v>125</v>
      </c>
      <c r="X3166" t="s">
        <v>125</v>
      </c>
      <c r="Y3166" t="s">
        <v>125</v>
      </c>
      <c r="Z3166" t="s">
        <v>125</v>
      </c>
      <c r="AA3166" t="s">
        <v>125</v>
      </c>
      <c r="AB3166" t="s">
        <v>125</v>
      </c>
      <c r="AC3166" t="s">
        <v>125</v>
      </c>
      <c r="AE3166" t="s">
        <v>125</v>
      </c>
      <c r="AF3166">
        <v>0</v>
      </c>
      <c r="AG3166" t="s">
        <v>125</v>
      </c>
      <c r="AH3166">
        <v>0</v>
      </c>
      <c r="AK3166">
        <v>0</v>
      </c>
    </row>
    <row r="3167" spans="1:37" x14ac:dyDescent="0.25">
      <c r="A3167" t="s">
        <v>79</v>
      </c>
      <c r="B3167">
        <v>12</v>
      </c>
      <c r="C3167">
        <v>3</v>
      </c>
      <c r="D3167">
        <v>4</v>
      </c>
      <c r="E3167">
        <v>1</v>
      </c>
      <c r="G3167">
        <v>1234</v>
      </c>
      <c r="H3167" t="s">
        <v>63</v>
      </c>
      <c r="I3167" t="s">
        <v>80</v>
      </c>
      <c r="J3167" t="s">
        <v>141</v>
      </c>
      <c r="L3167">
        <v>0</v>
      </c>
      <c r="M3167" t="s">
        <v>125</v>
      </c>
      <c r="O3167" t="s">
        <v>125</v>
      </c>
      <c r="P3167" t="s">
        <v>125</v>
      </c>
      <c r="Q3167" t="s">
        <v>125</v>
      </c>
      <c r="R3167" t="s">
        <v>125</v>
      </c>
      <c r="S3167" t="s">
        <v>125</v>
      </c>
      <c r="T3167">
        <v>0</v>
      </c>
      <c r="V3167" t="s">
        <v>125</v>
      </c>
      <c r="AE3167" t="s">
        <v>125</v>
      </c>
      <c r="AF3167">
        <v>0</v>
      </c>
      <c r="AG3167" t="s">
        <v>125</v>
      </c>
      <c r="AH3167">
        <v>0</v>
      </c>
      <c r="AK3167">
        <v>0</v>
      </c>
    </row>
    <row r="3168" spans="1:37" x14ac:dyDescent="0.25">
      <c r="A3168" t="s">
        <v>79</v>
      </c>
      <c r="B3168">
        <v>12</v>
      </c>
      <c r="C3168">
        <v>3</v>
      </c>
      <c r="D3168">
        <v>4</v>
      </c>
      <c r="E3168">
        <v>2</v>
      </c>
      <c r="G3168">
        <v>1234</v>
      </c>
      <c r="H3168" t="s">
        <v>63</v>
      </c>
      <c r="I3168" t="s">
        <v>88</v>
      </c>
      <c r="J3168" t="s">
        <v>142</v>
      </c>
      <c r="L3168">
        <v>0</v>
      </c>
      <c r="M3168" t="s">
        <v>125</v>
      </c>
      <c r="O3168" t="s">
        <v>125</v>
      </c>
      <c r="P3168" t="s">
        <v>125</v>
      </c>
      <c r="Q3168" t="s">
        <v>125</v>
      </c>
      <c r="R3168" t="s">
        <v>125</v>
      </c>
      <c r="S3168" t="s">
        <v>125</v>
      </c>
      <c r="T3168">
        <v>0</v>
      </c>
      <c r="V3168" t="s">
        <v>125</v>
      </c>
      <c r="AE3168" t="s">
        <v>125</v>
      </c>
      <c r="AF3168">
        <v>0</v>
      </c>
      <c r="AG3168" t="s">
        <v>125</v>
      </c>
      <c r="AH3168">
        <v>0</v>
      </c>
      <c r="AK3168">
        <v>0</v>
      </c>
    </row>
    <row r="3169" spans="1:37" x14ac:dyDescent="0.25">
      <c r="A3169" t="s">
        <v>79</v>
      </c>
      <c r="B3169">
        <v>12</v>
      </c>
      <c r="C3169">
        <v>3</v>
      </c>
      <c r="D3169">
        <v>4</v>
      </c>
      <c r="E3169">
        <v>3</v>
      </c>
      <c r="G3169">
        <v>1234</v>
      </c>
      <c r="H3169" t="s">
        <v>63</v>
      </c>
      <c r="I3169" t="s">
        <v>95</v>
      </c>
      <c r="J3169" t="s">
        <v>143</v>
      </c>
      <c r="L3169">
        <v>0</v>
      </c>
      <c r="M3169" t="s">
        <v>125</v>
      </c>
      <c r="O3169" t="s">
        <v>125</v>
      </c>
      <c r="P3169" t="s">
        <v>125</v>
      </c>
      <c r="Q3169" t="s">
        <v>125</v>
      </c>
      <c r="R3169" t="s">
        <v>125</v>
      </c>
      <c r="S3169" t="s">
        <v>125</v>
      </c>
      <c r="T3169">
        <v>0</v>
      </c>
      <c r="V3169" t="s">
        <v>125</v>
      </c>
      <c r="AE3169" t="s">
        <v>125</v>
      </c>
      <c r="AF3169">
        <v>0</v>
      </c>
      <c r="AG3169" t="s">
        <v>125</v>
      </c>
      <c r="AH3169">
        <v>0</v>
      </c>
      <c r="AK3169">
        <v>0</v>
      </c>
    </row>
    <row r="3170" spans="1:37" x14ac:dyDescent="0.25">
      <c r="A3170" t="s">
        <v>79</v>
      </c>
      <c r="B3170">
        <v>12</v>
      </c>
      <c r="C3170">
        <v>3</v>
      </c>
      <c r="D3170">
        <v>4</v>
      </c>
      <c r="E3170">
        <v>4</v>
      </c>
      <c r="G3170">
        <v>1234</v>
      </c>
      <c r="H3170" t="s">
        <v>63</v>
      </c>
      <c r="I3170" t="s">
        <v>102</v>
      </c>
      <c r="J3170" t="s">
        <v>144</v>
      </c>
      <c r="L3170">
        <v>0</v>
      </c>
      <c r="M3170" t="s">
        <v>125</v>
      </c>
      <c r="O3170" t="s">
        <v>125</v>
      </c>
      <c r="P3170" t="s">
        <v>125</v>
      </c>
      <c r="Q3170" t="s">
        <v>125</v>
      </c>
      <c r="R3170" t="s">
        <v>125</v>
      </c>
      <c r="S3170" t="s">
        <v>125</v>
      </c>
      <c r="T3170">
        <v>0</v>
      </c>
      <c r="V3170" t="s">
        <v>125</v>
      </c>
      <c r="AE3170" t="s">
        <v>125</v>
      </c>
      <c r="AF3170">
        <v>0</v>
      </c>
      <c r="AG3170" t="s">
        <v>125</v>
      </c>
      <c r="AH3170">
        <v>0</v>
      </c>
      <c r="AK3170">
        <v>0</v>
      </c>
    </row>
    <row r="3171" spans="1:37" x14ac:dyDescent="0.25">
      <c r="A3171" t="s">
        <v>79</v>
      </c>
      <c r="B3171">
        <v>12</v>
      </c>
      <c r="C3171">
        <v>3</v>
      </c>
      <c r="D3171">
        <v>4</v>
      </c>
      <c r="E3171">
        <v>5</v>
      </c>
      <c r="G3171">
        <v>1234</v>
      </c>
      <c r="H3171" t="s">
        <v>63</v>
      </c>
      <c r="I3171" t="s">
        <v>109</v>
      </c>
      <c r="J3171" t="s">
        <v>145</v>
      </c>
      <c r="L3171">
        <v>0</v>
      </c>
      <c r="M3171" t="s">
        <v>125</v>
      </c>
      <c r="O3171" t="s">
        <v>125</v>
      </c>
      <c r="P3171" t="s">
        <v>125</v>
      </c>
      <c r="Q3171" t="s">
        <v>125</v>
      </c>
      <c r="R3171" t="s">
        <v>125</v>
      </c>
      <c r="S3171" t="s">
        <v>125</v>
      </c>
      <c r="T3171">
        <v>0</v>
      </c>
      <c r="V3171" t="s">
        <v>125</v>
      </c>
      <c r="AE3171" t="s">
        <v>125</v>
      </c>
      <c r="AF3171">
        <v>0</v>
      </c>
      <c r="AG3171" t="s">
        <v>125</v>
      </c>
      <c r="AH3171">
        <v>0</v>
      </c>
      <c r="AK3171">
        <v>0</v>
      </c>
    </row>
    <row r="3172" spans="1:37" x14ac:dyDescent="0.25">
      <c r="A3172" t="s">
        <v>79</v>
      </c>
      <c r="B3172">
        <v>12</v>
      </c>
      <c r="C3172">
        <v>3</v>
      </c>
      <c r="D3172">
        <v>4</v>
      </c>
      <c r="E3172">
        <v>6</v>
      </c>
      <c r="G3172">
        <v>1234</v>
      </c>
      <c r="H3172" t="s">
        <v>63</v>
      </c>
      <c r="I3172" t="s">
        <v>116</v>
      </c>
      <c r="J3172" t="s">
        <v>146</v>
      </c>
      <c r="L3172">
        <v>0</v>
      </c>
      <c r="M3172" t="s">
        <v>125</v>
      </c>
      <c r="O3172" t="s">
        <v>125</v>
      </c>
      <c r="P3172" t="s">
        <v>125</v>
      </c>
      <c r="Q3172" t="s">
        <v>125</v>
      </c>
      <c r="R3172" t="s">
        <v>125</v>
      </c>
      <c r="S3172" t="s">
        <v>125</v>
      </c>
      <c r="T3172">
        <v>0</v>
      </c>
      <c r="V3172" t="s">
        <v>125</v>
      </c>
      <c r="AE3172" t="s">
        <v>125</v>
      </c>
      <c r="AF3172">
        <v>0</v>
      </c>
      <c r="AG3172" t="s">
        <v>125</v>
      </c>
      <c r="AH3172">
        <v>0</v>
      </c>
      <c r="AK3172">
        <v>0</v>
      </c>
    </row>
    <row r="3173" spans="1:37" x14ac:dyDescent="0.25">
      <c r="A3173" t="s">
        <v>79</v>
      </c>
      <c r="B3173">
        <v>12</v>
      </c>
      <c r="C3173">
        <v>3</v>
      </c>
      <c r="D3173">
        <v>4</v>
      </c>
      <c r="E3173">
        <v>7</v>
      </c>
      <c r="G3173">
        <v>1234</v>
      </c>
      <c r="H3173" t="s">
        <v>63</v>
      </c>
      <c r="I3173" t="s">
        <v>123</v>
      </c>
      <c r="J3173" t="s">
        <v>147</v>
      </c>
      <c r="L3173">
        <v>0</v>
      </c>
      <c r="M3173" t="s">
        <v>125</v>
      </c>
      <c r="O3173" t="s">
        <v>125</v>
      </c>
      <c r="P3173" t="s">
        <v>125</v>
      </c>
      <c r="Q3173" t="s">
        <v>125</v>
      </c>
      <c r="R3173" t="s">
        <v>125</v>
      </c>
      <c r="S3173" t="s">
        <v>125</v>
      </c>
      <c r="T3173">
        <v>0</v>
      </c>
      <c r="V3173" t="s">
        <v>125</v>
      </c>
      <c r="AE3173" t="s">
        <v>125</v>
      </c>
      <c r="AF3173">
        <v>0</v>
      </c>
      <c r="AG3173" t="s">
        <v>125</v>
      </c>
      <c r="AH3173">
        <v>0</v>
      </c>
      <c r="AK3173">
        <v>0</v>
      </c>
    </row>
    <row r="3174" spans="1:37" x14ac:dyDescent="0.25">
      <c r="A3174" t="s">
        <v>79</v>
      </c>
      <c r="B3174">
        <v>12</v>
      </c>
      <c r="C3174">
        <v>3</v>
      </c>
      <c r="D3174">
        <v>4</v>
      </c>
      <c r="E3174">
        <v>8</v>
      </c>
      <c r="G3174">
        <v>1234</v>
      </c>
      <c r="H3174" t="s">
        <v>63</v>
      </c>
      <c r="I3174" t="s">
        <v>126</v>
      </c>
      <c r="J3174" t="s">
        <v>148</v>
      </c>
      <c r="L3174">
        <v>0</v>
      </c>
      <c r="M3174" t="s">
        <v>125</v>
      </c>
      <c r="O3174" t="s">
        <v>125</v>
      </c>
      <c r="P3174" t="s">
        <v>125</v>
      </c>
      <c r="Q3174" t="s">
        <v>125</v>
      </c>
      <c r="R3174" t="s">
        <v>125</v>
      </c>
      <c r="S3174" t="s">
        <v>125</v>
      </c>
      <c r="T3174">
        <v>0</v>
      </c>
      <c r="V3174" t="s">
        <v>125</v>
      </c>
      <c r="AE3174" t="s">
        <v>125</v>
      </c>
      <c r="AF3174">
        <v>0</v>
      </c>
      <c r="AG3174" t="s">
        <v>125</v>
      </c>
      <c r="AH3174">
        <v>0</v>
      </c>
      <c r="AK3174">
        <v>0</v>
      </c>
    </row>
    <row r="3175" spans="1:37" x14ac:dyDescent="0.25">
      <c r="A3175" t="s">
        <v>79</v>
      </c>
      <c r="B3175">
        <v>12</v>
      </c>
      <c r="C3175">
        <v>3</v>
      </c>
      <c r="D3175">
        <v>4</v>
      </c>
      <c r="E3175">
        <v>9</v>
      </c>
      <c r="G3175">
        <v>1234</v>
      </c>
      <c r="H3175" t="s">
        <v>63</v>
      </c>
      <c r="I3175" t="s">
        <v>74</v>
      </c>
      <c r="J3175" t="s">
        <v>149</v>
      </c>
      <c r="L3175">
        <v>0</v>
      </c>
      <c r="M3175" t="s">
        <v>125</v>
      </c>
      <c r="O3175" t="s">
        <v>125</v>
      </c>
      <c r="P3175" t="s">
        <v>125</v>
      </c>
      <c r="Q3175" t="s">
        <v>125</v>
      </c>
      <c r="R3175" t="s">
        <v>125</v>
      </c>
      <c r="S3175" t="s">
        <v>125</v>
      </c>
      <c r="T3175">
        <v>0</v>
      </c>
      <c r="V3175" t="s">
        <v>125</v>
      </c>
      <c r="AE3175" t="s">
        <v>125</v>
      </c>
      <c r="AF3175">
        <v>0</v>
      </c>
      <c r="AG3175" t="s">
        <v>125</v>
      </c>
      <c r="AH3175">
        <v>0</v>
      </c>
      <c r="AK3175">
        <v>0</v>
      </c>
    </row>
    <row r="3176" spans="1:37" x14ac:dyDescent="0.25">
      <c r="A3176" t="s">
        <v>79</v>
      </c>
      <c r="B3176">
        <v>12</v>
      </c>
      <c r="C3176">
        <v>3</v>
      </c>
      <c r="D3176">
        <v>4</v>
      </c>
      <c r="E3176">
        <v>10</v>
      </c>
      <c r="G3176">
        <v>1234</v>
      </c>
      <c r="H3176" t="s">
        <v>63</v>
      </c>
      <c r="I3176" t="s">
        <v>129</v>
      </c>
      <c r="J3176" t="s">
        <v>150</v>
      </c>
      <c r="L3176">
        <v>0</v>
      </c>
      <c r="M3176" t="s">
        <v>125</v>
      </c>
      <c r="O3176" t="s">
        <v>125</v>
      </c>
      <c r="P3176" t="s">
        <v>125</v>
      </c>
      <c r="Q3176" t="s">
        <v>125</v>
      </c>
      <c r="R3176" t="s">
        <v>125</v>
      </c>
      <c r="S3176" t="s">
        <v>125</v>
      </c>
      <c r="T3176">
        <v>0</v>
      </c>
      <c r="V3176" t="s">
        <v>125</v>
      </c>
      <c r="AE3176" t="s">
        <v>125</v>
      </c>
      <c r="AF3176">
        <v>0</v>
      </c>
      <c r="AG3176" t="s">
        <v>125</v>
      </c>
      <c r="AH3176">
        <v>0</v>
      </c>
      <c r="AK3176">
        <v>0</v>
      </c>
    </row>
    <row r="3177" spans="1:37" x14ac:dyDescent="0.25">
      <c r="A3177" t="s">
        <v>79</v>
      </c>
      <c r="B3177">
        <v>12</v>
      </c>
      <c r="C3177">
        <v>3</v>
      </c>
      <c r="D3177">
        <v>4</v>
      </c>
      <c r="E3177">
        <v>11</v>
      </c>
      <c r="G3177">
        <v>1234</v>
      </c>
      <c r="H3177" t="s">
        <v>63</v>
      </c>
      <c r="I3177" t="s">
        <v>131</v>
      </c>
      <c r="J3177" t="s">
        <v>151</v>
      </c>
      <c r="L3177">
        <v>0</v>
      </c>
      <c r="M3177" t="s">
        <v>125</v>
      </c>
      <c r="O3177" t="s">
        <v>125</v>
      </c>
      <c r="P3177" t="s">
        <v>125</v>
      </c>
      <c r="Q3177" t="s">
        <v>125</v>
      </c>
      <c r="R3177" t="s">
        <v>125</v>
      </c>
      <c r="S3177" t="s">
        <v>125</v>
      </c>
      <c r="T3177">
        <v>0</v>
      </c>
      <c r="V3177" t="s">
        <v>125</v>
      </c>
      <c r="AE3177" t="s">
        <v>125</v>
      </c>
      <c r="AF3177">
        <v>0</v>
      </c>
      <c r="AG3177" t="s">
        <v>125</v>
      </c>
      <c r="AH3177">
        <v>0</v>
      </c>
      <c r="AK3177">
        <v>0</v>
      </c>
    </row>
    <row r="3178" spans="1:37" x14ac:dyDescent="0.25">
      <c r="A3178" t="s">
        <v>79</v>
      </c>
      <c r="B3178">
        <v>12</v>
      </c>
      <c r="C3178">
        <v>3</v>
      </c>
      <c r="D3178">
        <v>4</v>
      </c>
      <c r="E3178">
        <v>12</v>
      </c>
      <c r="G3178">
        <v>1234</v>
      </c>
      <c r="H3178" t="s">
        <v>63</v>
      </c>
      <c r="I3178" t="s">
        <v>133</v>
      </c>
      <c r="J3178" t="s">
        <v>152</v>
      </c>
      <c r="L3178">
        <v>0</v>
      </c>
      <c r="M3178" t="s">
        <v>125</v>
      </c>
      <c r="O3178" t="s">
        <v>125</v>
      </c>
      <c r="P3178" t="s">
        <v>125</v>
      </c>
      <c r="Q3178" t="s">
        <v>125</v>
      </c>
      <c r="R3178" t="s">
        <v>125</v>
      </c>
      <c r="S3178" t="s">
        <v>125</v>
      </c>
      <c r="T3178">
        <v>0</v>
      </c>
      <c r="V3178" t="s">
        <v>125</v>
      </c>
      <c r="AE3178" t="s">
        <v>125</v>
      </c>
      <c r="AF3178">
        <v>0</v>
      </c>
      <c r="AG3178" t="s">
        <v>125</v>
      </c>
      <c r="AH3178">
        <v>0</v>
      </c>
      <c r="AK3178">
        <v>0</v>
      </c>
    </row>
    <row r="3179" spans="1:37" x14ac:dyDescent="0.25">
      <c r="A3179" t="s">
        <v>79</v>
      </c>
      <c r="B3179">
        <v>12</v>
      </c>
      <c r="C3179">
        <v>3</v>
      </c>
      <c r="D3179">
        <v>4</v>
      </c>
      <c r="E3179">
        <v>13</v>
      </c>
      <c r="G3179">
        <v>1234</v>
      </c>
      <c r="H3179" t="s">
        <v>63</v>
      </c>
      <c r="I3179" t="s">
        <v>135</v>
      </c>
      <c r="J3179" t="s">
        <v>153</v>
      </c>
      <c r="L3179">
        <v>0</v>
      </c>
      <c r="M3179" t="s">
        <v>125</v>
      </c>
      <c r="O3179" t="s">
        <v>125</v>
      </c>
      <c r="P3179" t="s">
        <v>125</v>
      </c>
      <c r="Q3179" t="s">
        <v>125</v>
      </c>
      <c r="R3179" t="s">
        <v>125</v>
      </c>
      <c r="S3179" t="s">
        <v>125</v>
      </c>
      <c r="T3179">
        <v>0</v>
      </c>
      <c r="V3179" t="s">
        <v>125</v>
      </c>
      <c r="AE3179" t="s">
        <v>125</v>
      </c>
      <c r="AF3179">
        <v>0</v>
      </c>
      <c r="AG3179" t="s">
        <v>125</v>
      </c>
      <c r="AH3179">
        <v>0</v>
      </c>
      <c r="AK3179">
        <v>0</v>
      </c>
    </row>
    <row r="3180" spans="1:37" x14ac:dyDescent="0.25">
      <c r="A3180" t="s">
        <v>79</v>
      </c>
      <c r="B3180">
        <v>12</v>
      </c>
      <c r="C3180">
        <v>3</v>
      </c>
      <c r="D3180">
        <v>4</v>
      </c>
      <c r="E3180">
        <v>14</v>
      </c>
      <c r="G3180">
        <v>1234</v>
      </c>
      <c r="H3180" t="s">
        <v>63</v>
      </c>
      <c r="I3180" t="s">
        <v>137</v>
      </c>
      <c r="J3180" t="s">
        <v>154</v>
      </c>
      <c r="L3180">
        <v>0</v>
      </c>
      <c r="M3180" t="s">
        <v>125</v>
      </c>
      <c r="O3180" t="s">
        <v>125</v>
      </c>
      <c r="P3180" t="s">
        <v>125</v>
      </c>
      <c r="Q3180" t="s">
        <v>125</v>
      </c>
      <c r="R3180" t="s">
        <v>125</v>
      </c>
      <c r="S3180" t="s">
        <v>125</v>
      </c>
      <c r="T3180">
        <v>0</v>
      </c>
      <c r="V3180" t="s">
        <v>125</v>
      </c>
      <c r="AE3180" t="s">
        <v>125</v>
      </c>
      <c r="AF3180">
        <v>0</v>
      </c>
      <c r="AG3180" t="s">
        <v>125</v>
      </c>
      <c r="AH3180">
        <v>0</v>
      </c>
      <c r="AK3180">
        <v>0</v>
      </c>
    </row>
    <row r="3181" spans="1:37" x14ac:dyDescent="0.25">
      <c r="A3181" t="s">
        <v>79</v>
      </c>
      <c r="B3181">
        <v>12</v>
      </c>
      <c r="C3181">
        <v>3</v>
      </c>
      <c r="D3181">
        <v>4</v>
      </c>
      <c r="E3181">
        <v>15</v>
      </c>
      <c r="G3181">
        <v>1234</v>
      </c>
      <c r="H3181" t="s">
        <v>63</v>
      </c>
      <c r="I3181" t="s">
        <v>139</v>
      </c>
      <c r="J3181" t="s">
        <v>155</v>
      </c>
      <c r="L3181">
        <v>0</v>
      </c>
      <c r="M3181" t="s">
        <v>125</v>
      </c>
      <c r="O3181" t="s">
        <v>125</v>
      </c>
      <c r="P3181" t="s">
        <v>125</v>
      </c>
      <c r="Q3181" t="s">
        <v>125</v>
      </c>
      <c r="R3181" t="s">
        <v>125</v>
      </c>
      <c r="S3181" t="s">
        <v>125</v>
      </c>
      <c r="T3181">
        <v>0</v>
      </c>
      <c r="V3181" t="s">
        <v>125</v>
      </c>
      <c r="AE3181" t="s">
        <v>125</v>
      </c>
      <c r="AF3181">
        <v>0</v>
      </c>
      <c r="AG3181" t="s">
        <v>125</v>
      </c>
      <c r="AH3181">
        <v>0</v>
      </c>
      <c r="AK3181">
        <v>0</v>
      </c>
    </row>
    <row r="3182" spans="1:37" x14ac:dyDescent="0.25">
      <c r="L3182">
        <v>0</v>
      </c>
    </row>
    <row r="3183" spans="1:37" x14ac:dyDescent="0.25">
      <c r="A3183" t="s">
        <v>70</v>
      </c>
      <c r="B3183">
        <v>12</v>
      </c>
      <c r="C3183">
        <v>3</v>
      </c>
      <c r="D3183">
        <v>5</v>
      </c>
      <c r="G3183">
        <v>123</v>
      </c>
      <c r="L3183">
        <v>0</v>
      </c>
      <c r="M3183" t="s">
        <v>125</v>
      </c>
      <c r="P3183" t="s">
        <v>125</v>
      </c>
      <c r="R3183" t="s">
        <v>125</v>
      </c>
      <c r="S3183" t="s">
        <v>63</v>
      </c>
      <c r="V3183" t="s">
        <v>125</v>
      </c>
      <c r="X3183" t="s">
        <v>125</v>
      </c>
      <c r="Y3183" t="s">
        <v>125</v>
      </c>
      <c r="Z3183" t="s">
        <v>125</v>
      </c>
      <c r="AA3183" t="s">
        <v>125</v>
      </c>
      <c r="AB3183" t="s">
        <v>125</v>
      </c>
      <c r="AC3183" t="s">
        <v>125</v>
      </c>
      <c r="AE3183" t="s">
        <v>125</v>
      </c>
      <c r="AF3183">
        <v>0</v>
      </c>
      <c r="AG3183" t="s">
        <v>125</v>
      </c>
      <c r="AH3183">
        <v>0</v>
      </c>
      <c r="AK3183">
        <v>0</v>
      </c>
    </row>
    <row r="3184" spans="1:37" x14ac:dyDescent="0.25">
      <c r="A3184" t="s">
        <v>79</v>
      </c>
      <c r="B3184">
        <v>12</v>
      </c>
      <c r="C3184">
        <v>3</v>
      </c>
      <c r="D3184">
        <v>5</v>
      </c>
      <c r="E3184">
        <v>1</v>
      </c>
      <c r="G3184">
        <v>1235</v>
      </c>
      <c r="H3184" t="s">
        <v>63</v>
      </c>
      <c r="I3184" t="s">
        <v>80</v>
      </c>
      <c r="J3184" t="s">
        <v>141</v>
      </c>
      <c r="L3184">
        <v>0</v>
      </c>
      <c r="M3184" t="s">
        <v>125</v>
      </c>
      <c r="O3184" t="s">
        <v>125</v>
      </c>
      <c r="P3184" t="s">
        <v>125</v>
      </c>
      <c r="Q3184" t="s">
        <v>125</v>
      </c>
      <c r="R3184" t="s">
        <v>125</v>
      </c>
      <c r="S3184" t="s">
        <v>125</v>
      </c>
      <c r="T3184">
        <v>0</v>
      </c>
      <c r="V3184" t="s">
        <v>125</v>
      </c>
      <c r="AE3184" t="s">
        <v>125</v>
      </c>
      <c r="AF3184">
        <v>0</v>
      </c>
      <c r="AG3184" t="s">
        <v>125</v>
      </c>
      <c r="AH3184">
        <v>0</v>
      </c>
      <c r="AK3184">
        <v>0</v>
      </c>
    </row>
    <row r="3185" spans="1:37" x14ac:dyDescent="0.25">
      <c r="A3185" t="s">
        <v>79</v>
      </c>
      <c r="B3185">
        <v>12</v>
      </c>
      <c r="C3185">
        <v>3</v>
      </c>
      <c r="D3185">
        <v>5</v>
      </c>
      <c r="E3185">
        <v>2</v>
      </c>
      <c r="G3185">
        <v>1235</v>
      </c>
      <c r="H3185" t="s">
        <v>63</v>
      </c>
      <c r="I3185" t="s">
        <v>88</v>
      </c>
      <c r="J3185" t="s">
        <v>142</v>
      </c>
      <c r="L3185">
        <v>0</v>
      </c>
      <c r="M3185" t="s">
        <v>125</v>
      </c>
      <c r="O3185" t="s">
        <v>125</v>
      </c>
      <c r="P3185" t="s">
        <v>125</v>
      </c>
      <c r="Q3185" t="s">
        <v>125</v>
      </c>
      <c r="R3185" t="s">
        <v>125</v>
      </c>
      <c r="S3185" t="s">
        <v>125</v>
      </c>
      <c r="T3185">
        <v>0</v>
      </c>
      <c r="V3185" t="s">
        <v>125</v>
      </c>
      <c r="AE3185" t="s">
        <v>125</v>
      </c>
      <c r="AF3185">
        <v>0</v>
      </c>
      <c r="AG3185" t="s">
        <v>125</v>
      </c>
      <c r="AH3185">
        <v>0</v>
      </c>
      <c r="AK3185">
        <v>0</v>
      </c>
    </row>
    <row r="3186" spans="1:37" x14ac:dyDescent="0.25">
      <c r="A3186" t="s">
        <v>79</v>
      </c>
      <c r="B3186">
        <v>12</v>
      </c>
      <c r="C3186">
        <v>3</v>
      </c>
      <c r="D3186">
        <v>5</v>
      </c>
      <c r="E3186">
        <v>3</v>
      </c>
      <c r="G3186">
        <v>1235</v>
      </c>
      <c r="H3186" t="s">
        <v>63</v>
      </c>
      <c r="I3186" t="s">
        <v>95</v>
      </c>
      <c r="J3186" t="s">
        <v>143</v>
      </c>
      <c r="L3186">
        <v>0</v>
      </c>
      <c r="M3186" t="s">
        <v>125</v>
      </c>
      <c r="O3186" t="s">
        <v>125</v>
      </c>
      <c r="P3186" t="s">
        <v>125</v>
      </c>
      <c r="Q3186" t="s">
        <v>125</v>
      </c>
      <c r="R3186" t="s">
        <v>125</v>
      </c>
      <c r="S3186" t="s">
        <v>125</v>
      </c>
      <c r="T3186">
        <v>0</v>
      </c>
      <c r="V3186" t="s">
        <v>125</v>
      </c>
      <c r="AE3186" t="s">
        <v>125</v>
      </c>
      <c r="AF3186">
        <v>0</v>
      </c>
      <c r="AG3186" t="s">
        <v>125</v>
      </c>
      <c r="AH3186">
        <v>0</v>
      </c>
      <c r="AK3186">
        <v>0</v>
      </c>
    </row>
    <row r="3187" spans="1:37" x14ac:dyDescent="0.25">
      <c r="A3187" t="s">
        <v>79</v>
      </c>
      <c r="B3187">
        <v>12</v>
      </c>
      <c r="C3187">
        <v>3</v>
      </c>
      <c r="D3187">
        <v>5</v>
      </c>
      <c r="E3187">
        <v>4</v>
      </c>
      <c r="G3187">
        <v>1235</v>
      </c>
      <c r="H3187" t="s">
        <v>63</v>
      </c>
      <c r="I3187" t="s">
        <v>102</v>
      </c>
      <c r="J3187" t="s">
        <v>144</v>
      </c>
      <c r="L3187">
        <v>0</v>
      </c>
      <c r="M3187" t="s">
        <v>125</v>
      </c>
      <c r="O3187" t="s">
        <v>125</v>
      </c>
      <c r="P3187" t="s">
        <v>125</v>
      </c>
      <c r="Q3187" t="s">
        <v>125</v>
      </c>
      <c r="R3187" t="s">
        <v>125</v>
      </c>
      <c r="S3187" t="s">
        <v>125</v>
      </c>
      <c r="T3187">
        <v>0</v>
      </c>
      <c r="V3187" t="s">
        <v>125</v>
      </c>
      <c r="AE3187" t="s">
        <v>125</v>
      </c>
      <c r="AF3187">
        <v>0</v>
      </c>
      <c r="AG3187" t="s">
        <v>125</v>
      </c>
      <c r="AH3187">
        <v>0</v>
      </c>
      <c r="AK3187">
        <v>0</v>
      </c>
    </row>
    <row r="3188" spans="1:37" x14ac:dyDescent="0.25">
      <c r="A3188" t="s">
        <v>79</v>
      </c>
      <c r="B3188">
        <v>12</v>
      </c>
      <c r="C3188">
        <v>3</v>
      </c>
      <c r="D3188">
        <v>5</v>
      </c>
      <c r="E3188">
        <v>5</v>
      </c>
      <c r="G3188">
        <v>1235</v>
      </c>
      <c r="H3188" t="s">
        <v>63</v>
      </c>
      <c r="I3188" t="s">
        <v>109</v>
      </c>
      <c r="J3188" t="s">
        <v>145</v>
      </c>
      <c r="L3188">
        <v>0</v>
      </c>
      <c r="M3188" t="s">
        <v>125</v>
      </c>
      <c r="O3188" t="s">
        <v>125</v>
      </c>
      <c r="P3188" t="s">
        <v>125</v>
      </c>
      <c r="Q3188" t="s">
        <v>125</v>
      </c>
      <c r="R3188" t="s">
        <v>125</v>
      </c>
      <c r="S3188" t="s">
        <v>125</v>
      </c>
      <c r="T3188">
        <v>0</v>
      </c>
      <c r="V3188" t="s">
        <v>125</v>
      </c>
      <c r="AE3188" t="s">
        <v>125</v>
      </c>
      <c r="AF3188">
        <v>0</v>
      </c>
      <c r="AG3188" t="s">
        <v>125</v>
      </c>
      <c r="AH3188">
        <v>0</v>
      </c>
      <c r="AK3188">
        <v>0</v>
      </c>
    </row>
    <row r="3189" spans="1:37" x14ac:dyDescent="0.25">
      <c r="A3189" t="s">
        <v>79</v>
      </c>
      <c r="B3189">
        <v>12</v>
      </c>
      <c r="C3189">
        <v>3</v>
      </c>
      <c r="D3189">
        <v>5</v>
      </c>
      <c r="E3189">
        <v>6</v>
      </c>
      <c r="G3189">
        <v>1235</v>
      </c>
      <c r="H3189" t="s">
        <v>63</v>
      </c>
      <c r="I3189" t="s">
        <v>116</v>
      </c>
      <c r="J3189" t="s">
        <v>146</v>
      </c>
      <c r="L3189">
        <v>0</v>
      </c>
      <c r="M3189" t="s">
        <v>125</v>
      </c>
      <c r="O3189" t="s">
        <v>125</v>
      </c>
      <c r="P3189" t="s">
        <v>125</v>
      </c>
      <c r="Q3189" t="s">
        <v>125</v>
      </c>
      <c r="R3189" t="s">
        <v>125</v>
      </c>
      <c r="S3189" t="s">
        <v>125</v>
      </c>
      <c r="T3189">
        <v>0</v>
      </c>
      <c r="V3189" t="s">
        <v>125</v>
      </c>
      <c r="AE3189" t="s">
        <v>125</v>
      </c>
      <c r="AF3189">
        <v>0</v>
      </c>
      <c r="AG3189" t="s">
        <v>125</v>
      </c>
      <c r="AH3189">
        <v>0</v>
      </c>
      <c r="AK3189">
        <v>0</v>
      </c>
    </row>
    <row r="3190" spans="1:37" x14ac:dyDescent="0.25">
      <c r="A3190" t="s">
        <v>79</v>
      </c>
      <c r="B3190">
        <v>12</v>
      </c>
      <c r="C3190">
        <v>3</v>
      </c>
      <c r="D3190">
        <v>5</v>
      </c>
      <c r="E3190">
        <v>7</v>
      </c>
      <c r="G3190">
        <v>1235</v>
      </c>
      <c r="H3190" t="s">
        <v>63</v>
      </c>
      <c r="I3190" t="s">
        <v>123</v>
      </c>
      <c r="J3190" t="s">
        <v>147</v>
      </c>
      <c r="L3190">
        <v>0</v>
      </c>
      <c r="M3190" t="s">
        <v>125</v>
      </c>
      <c r="O3190" t="s">
        <v>125</v>
      </c>
      <c r="P3190" t="s">
        <v>125</v>
      </c>
      <c r="Q3190" t="s">
        <v>125</v>
      </c>
      <c r="R3190" t="s">
        <v>125</v>
      </c>
      <c r="S3190" t="s">
        <v>125</v>
      </c>
      <c r="T3190">
        <v>0</v>
      </c>
      <c r="V3190" t="s">
        <v>125</v>
      </c>
      <c r="AE3190" t="s">
        <v>125</v>
      </c>
      <c r="AF3190">
        <v>0</v>
      </c>
      <c r="AG3190" t="s">
        <v>125</v>
      </c>
      <c r="AH3190">
        <v>0</v>
      </c>
      <c r="AK3190">
        <v>0</v>
      </c>
    </row>
    <row r="3191" spans="1:37" x14ac:dyDescent="0.25">
      <c r="A3191" t="s">
        <v>79</v>
      </c>
      <c r="B3191">
        <v>12</v>
      </c>
      <c r="C3191">
        <v>3</v>
      </c>
      <c r="D3191">
        <v>5</v>
      </c>
      <c r="E3191">
        <v>8</v>
      </c>
      <c r="G3191">
        <v>1235</v>
      </c>
      <c r="H3191" t="s">
        <v>63</v>
      </c>
      <c r="I3191" t="s">
        <v>126</v>
      </c>
      <c r="J3191" t="s">
        <v>148</v>
      </c>
      <c r="L3191">
        <v>0</v>
      </c>
      <c r="M3191" t="s">
        <v>125</v>
      </c>
      <c r="O3191" t="s">
        <v>125</v>
      </c>
      <c r="P3191" t="s">
        <v>125</v>
      </c>
      <c r="Q3191" t="s">
        <v>125</v>
      </c>
      <c r="R3191" t="s">
        <v>125</v>
      </c>
      <c r="S3191" t="s">
        <v>125</v>
      </c>
      <c r="T3191">
        <v>0</v>
      </c>
      <c r="V3191" t="s">
        <v>125</v>
      </c>
      <c r="AE3191" t="s">
        <v>125</v>
      </c>
      <c r="AF3191">
        <v>0</v>
      </c>
      <c r="AG3191" t="s">
        <v>125</v>
      </c>
      <c r="AH3191">
        <v>0</v>
      </c>
      <c r="AK3191">
        <v>0</v>
      </c>
    </row>
    <row r="3192" spans="1:37" x14ac:dyDescent="0.25">
      <c r="A3192" t="s">
        <v>79</v>
      </c>
      <c r="B3192">
        <v>12</v>
      </c>
      <c r="C3192">
        <v>3</v>
      </c>
      <c r="D3192">
        <v>5</v>
      </c>
      <c r="E3192">
        <v>9</v>
      </c>
      <c r="G3192">
        <v>1235</v>
      </c>
      <c r="H3192" t="s">
        <v>63</v>
      </c>
      <c r="I3192" t="s">
        <v>74</v>
      </c>
      <c r="J3192" t="s">
        <v>149</v>
      </c>
      <c r="L3192">
        <v>0</v>
      </c>
      <c r="M3192" t="s">
        <v>125</v>
      </c>
      <c r="O3192" t="s">
        <v>125</v>
      </c>
      <c r="P3192" t="s">
        <v>125</v>
      </c>
      <c r="Q3192" t="s">
        <v>125</v>
      </c>
      <c r="R3192" t="s">
        <v>125</v>
      </c>
      <c r="S3192" t="s">
        <v>125</v>
      </c>
      <c r="T3192">
        <v>0</v>
      </c>
      <c r="V3192" t="s">
        <v>125</v>
      </c>
      <c r="AE3192" t="s">
        <v>125</v>
      </c>
      <c r="AF3192">
        <v>0</v>
      </c>
      <c r="AG3192" t="s">
        <v>125</v>
      </c>
      <c r="AH3192">
        <v>0</v>
      </c>
      <c r="AK3192">
        <v>0</v>
      </c>
    </row>
    <row r="3193" spans="1:37" x14ac:dyDescent="0.25">
      <c r="A3193" t="s">
        <v>79</v>
      </c>
      <c r="B3193">
        <v>12</v>
      </c>
      <c r="C3193">
        <v>3</v>
      </c>
      <c r="D3193">
        <v>5</v>
      </c>
      <c r="E3193">
        <v>10</v>
      </c>
      <c r="G3193">
        <v>1235</v>
      </c>
      <c r="H3193" t="s">
        <v>63</v>
      </c>
      <c r="I3193" t="s">
        <v>129</v>
      </c>
      <c r="J3193" t="s">
        <v>150</v>
      </c>
      <c r="L3193">
        <v>0</v>
      </c>
      <c r="M3193" t="s">
        <v>125</v>
      </c>
      <c r="O3193" t="s">
        <v>125</v>
      </c>
      <c r="P3193" t="s">
        <v>125</v>
      </c>
      <c r="Q3193" t="s">
        <v>125</v>
      </c>
      <c r="R3193" t="s">
        <v>125</v>
      </c>
      <c r="S3193" t="s">
        <v>125</v>
      </c>
      <c r="T3193">
        <v>0</v>
      </c>
      <c r="V3193" t="s">
        <v>125</v>
      </c>
      <c r="AE3193" t="s">
        <v>125</v>
      </c>
      <c r="AF3193">
        <v>0</v>
      </c>
      <c r="AG3193" t="s">
        <v>125</v>
      </c>
      <c r="AH3193">
        <v>0</v>
      </c>
      <c r="AK3193">
        <v>0</v>
      </c>
    </row>
    <row r="3194" spans="1:37" x14ac:dyDescent="0.25">
      <c r="A3194" t="s">
        <v>79</v>
      </c>
      <c r="B3194">
        <v>12</v>
      </c>
      <c r="C3194">
        <v>3</v>
      </c>
      <c r="D3194">
        <v>5</v>
      </c>
      <c r="E3194">
        <v>11</v>
      </c>
      <c r="G3194">
        <v>1235</v>
      </c>
      <c r="H3194" t="s">
        <v>63</v>
      </c>
      <c r="I3194" t="s">
        <v>131</v>
      </c>
      <c r="J3194" t="s">
        <v>151</v>
      </c>
      <c r="L3194">
        <v>0</v>
      </c>
      <c r="M3194" t="s">
        <v>125</v>
      </c>
      <c r="O3194" t="s">
        <v>125</v>
      </c>
      <c r="P3194" t="s">
        <v>125</v>
      </c>
      <c r="Q3194" t="s">
        <v>125</v>
      </c>
      <c r="R3194" t="s">
        <v>125</v>
      </c>
      <c r="S3194" t="s">
        <v>125</v>
      </c>
      <c r="T3194">
        <v>0</v>
      </c>
      <c r="V3194" t="s">
        <v>125</v>
      </c>
      <c r="AE3194" t="s">
        <v>125</v>
      </c>
      <c r="AF3194">
        <v>0</v>
      </c>
      <c r="AG3194" t="s">
        <v>125</v>
      </c>
      <c r="AH3194">
        <v>0</v>
      </c>
      <c r="AK3194">
        <v>0</v>
      </c>
    </row>
    <row r="3195" spans="1:37" x14ac:dyDescent="0.25">
      <c r="A3195" t="s">
        <v>79</v>
      </c>
      <c r="B3195">
        <v>12</v>
      </c>
      <c r="C3195">
        <v>3</v>
      </c>
      <c r="D3195">
        <v>5</v>
      </c>
      <c r="E3195">
        <v>12</v>
      </c>
      <c r="G3195">
        <v>1235</v>
      </c>
      <c r="H3195" t="s">
        <v>63</v>
      </c>
      <c r="I3195" t="s">
        <v>133</v>
      </c>
      <c r="J3195" t="s">
        <v>152</v>
      </c>
      <c r="L3195">
        <v>0</v>
      </c>
      <c r="M3195" t="s">
        <v>125</v>
      </c>
      <c r="O3195" t="s">
        <v>125</v>
      </c>
      <c r="P3195" t="s">
        <v>125</v>
      </c>
      <c r="Q3195" t="s">
        <v>125</v>
      </c>
      <c r="R3195" t="s">
        <v>125</v>
      </c>
      <c r="S3195" t="s">
        <v>125</v>
      </c>
      <c r="T3195">
        <v>0</v>
      </c>
      <c r="V3195" t="s">
        <v>125</v>
      </c>
      <c r="AE3195" t="s">
        <v>125</v>
      </c>
      <c r="AF3195">
        <v>0</v>
      </c>
      <c r="AG3195" t="s">
        <v>125</v>
      </c>
      <c r="AH3195">
        <v>0</v>
      </c>
      <c r="AK3195">
        <v>0</v>
      </c>
    </row>
    <row r="3196" spans="1:37" x14ac:dyDescent="0.25">
      <c r="A3196" t="s">
        <v>79</v>
      </c>
      <c r="B3196">
        <v>12</v>
      </c>
      <c r="C3196">
        <v>3</v>
      </c>
      <c r="D3196">
        <v>5</v>
      </c>
      <c r="E3196">
        <v>13</v>
      </c>
      <c r="G3196">
        <v>1235</v>
      </c>
      <c r="H3196" t="s">
        <v>63</v>
      </c>
      <c r="I3196" t="s">
        <v>135</v>
      </c>
      <c r="J3196" t="s">
        <v>153</v>
      </c>
      <c r="L3196">
        <v>0</v>
      </c>
      <c r="M3196" t="s">
        <v>125</v>
      </c>
      <c r="O3196" t="s">
        <v>125</v>
      </c>
      <c r="P3196" t="s">
        <v>125</v>
      </c>
      <c r="Q3196" t="s">
        <v>125</v>
      </c>
      <c r="R3196" t="s">
        <v>125</v>
      </c>
      <c r="S3196" t="s">
        <v>125</v>
      </c>
      <c r="T3196">
        <v>0</v>
      </c>
      <c r="V3196" t="s">
        <v>125</v>
      </c>
      <c r="AE3196" t="s">
        <v>125</v>
      </c>
      <c r="AF3196">
        <v>0</v>
      </c>
      <c r="AG3196" t="s">
        <v>125</v>
      </c>
      <c r="AH3196">
        <v>0</v>
      </c>
      <c r="AK3196">
        <v>0</v>
      </c>
    </row>
    <row r="3197" spans="1:37" x14ac:dyDescent="0.25">
      <c r="A3197" t="s">
        <v>79</v>
      </c>
      <c r="B3197">
        <v>12</v>
      </c>
      <c r="C3197">
        <v>3</v>
      </c>
      <c r="D3197">
        <v>5</v>
      </c>
      <c r="E3197">
        <v>14</v>
      </c>
      <c r="G3197">
        <v>1235</v>
      </c>
      <c r="H3197" t="s">
        <v>63</v>
      </c>
      <c r="I3197" t="s">
        <v>137</v>
      </c>
      <c r="J3197" t="s">
        <v>154</v>
      </c>
      <c r="L3197">
        <v>0</v>
      </c>
      <c r="M3197" t="s">
        <v>125</v>
      </c>
      <c r="O3197" t="s">
        <v>125</v>
      </c>
      <c r="P3197" t="s">
        <v>125</v>
      </c>
      <c r="Q3197" t="s">
        <v>125</v>
      </c>
      <c r="R3197" t="s">
        <v>125</v>
      </c>
      <c r="S3197" t="s">
        <v>125</v>
      </c>
      <c r="T3197">
        <v>0</v>
      </c>
      <c r="V3197" t="s">
        <v>125</v>
      </c>
      <c r="AE3197" t="s">
        <v>125</v>
      </c>
      <c r="AF3197">
        <v>0</v>
      </c>
      <c r="AG3197" t="s">
        <v>125</v>
      </c>
      <c r="AH3197">
        <v>0</v>
      </c>
      <c r="AK3197">
        <v>0</v>
      </c>
    </row>
    <row r="3198" spans="1:37" x14ac:dyDescent="0.25">
      <c r="A3198" t="s">
        <v>79</v>
      </c>
      <c r="B3198">
        <v>12</v>
      </c>
      <c r="C3198">
        <v>3</v>
      </c>
      <c r="D3198">
        <v>5</v>
      </c>
      <c r="E3198">
        <v>15</v>
      </c>
      <c r="G3198">
        <v>1235</v>
      </c>
      <c r="H3198" t="s">
        <v>63</v>
      </c>
      <c r="I3198" t="s">
        <v>139</v>
      </c>
      <c r="J3198" t="s">
        <v>155</v>
      </c>
      <c r="L3198">
        <v>0</v>
      </c>
      <c r="M3198" t="s">
        <v>125</v>
      </c>
      <c r="O3198" t="s">
        <v>125</v>
      </c>
      <c r="P3198" t="s">
        <v>125</v>
      </c>
      <c r="Q3198" t="s">
        <v>125</v>
      </c>
      <c r="R3198" t="s">
        <v>125</v>
      </c>
      <c r="S3198" t="s">
        <v>125</v>
      </c>
      <c r="T3198">
        <v>0</v>
      </c>
      <c r="V3198" t="s">
        <v>125</v>
      </c>
      <c r="AE3198" t="s">
        <v>125</v>
      </c>
      <c r="AF3198">
        <v>0</v>
      </c>
      <c r="AG3198" t="s">
        <v>125</v>
      </c>
      <c r="AH3198">
        <v>0</v>
      </c>
      <c r="AK3198">
        <v>0</v>
      </c>
    </row>
    <row r="3199" spans="1:37" x14ac:dyDescent="0.25">
      <c r="L3199">
        <v>0</v>
      </c>
    </row>
    <row r="3200" spans="1:37" x14ac:dyDescent="0.25">
      <c r="L3200">
        <v>0</v>
      </c>
    </row>
    <row r="3201" spans="1:37" x14ac:dyDescent="0.25">
      <c r="A3201" t="s">
        <v>56</v>
      </c>
      <c r="F3201">
        <v>13</v>
      </c>
      <c r="L3201">
        <v>13</v>
      </c>
      <c r="M3201" t="s">
        <v>133</v>
      </c>
      <c r="N3201" t="s">
        <v>4066</v>
      </c>
      <c r="P3201" t="s">
        <v>4067</v>
      </c>
      <c r="V3201" t="s">
        <v>4068</v>
      </c>
      <c r="Y3201" t="s">
        <v>4069</v>
      </c>
      <c r="AA3201" t="s">
        <v>4070</v>
      </c>
      <c r="AC3201" t="s">
        <v>63</v>
      </c>
      <c r="AE3201" t="s">
        <v>4071</v>
      </c>
      <c r="AF3201">
        <v>0</v>
      </c>
      <c r="AG3201" t="s">
        <v>4072</v>
      </c>
      <c r="AH3201">
        <v>0</v>
      </c>
      <c r="AK3201">
        <v>0</v>
      </c>
    </row>
    <row r="3202" spans="1:37" x14ac:dyDescent="0.25">
      <c r="L3202">
        <v>0</v>
      </c>
    </row>
    <row r="3203" spans="1:37" x14ac:dyDescent="0.25">
      <c r="A3203" t="s">
        <v>66</v>
      </c>
      <c r="B3203">
        <v>13</v>
      </c>
      <c r="C3203">
        <v>1</v>
      </c>
      <c r="G3203">
        <v>13</v>
      </c>
      <c r="H3203" t="s">
        <v>4066</v>
      </c>
      <c r="I3203" t="s">
        <v>4073</v>
      </c>
      <c r="M3203" t="s">
        <v>4074</v>
      </c>
      <c r="N3203" t="s">
        <v>4073</v>
      </c>
      <c r="P3203" t="s">
        <v>4075</v>
      </c>
      <c r="V3203" t="s">
        <v>4076</v>
      </c>
      <c r="Y3203" t="s">
        <v>4077</v>
      </c>
      <c r="AA3203" t="s">
        <v>4078</v>
      </c>
      <c r="AC3203" t="s">
        <v>63</v>
      </c>
      <c r="AE3203" t="s">
        <v>4079</v>
      </c>
      <c r="AF3203">
        <v>0</v>
      </c>
      <c r="AG3203" t="s">
        <v>4080</v>
      </c>
      <c r="AH3203">
        <v>0</v>
      </c>
      <c r="AK3203">
        <v>0</v>
      </c>
    </row>
    <row r="3204" spans="1:37" x14ac:dyDescent="0.25">
      <c r="L3204">
        <v>0</v>
      </c>
    </row>
    <row r="3205" spans="1:37" x14ac:dyDescent="0.25">
      <c r="A3205" t="s">
        <v>70</v>
      </c>
      <c r="B3205">
        <v>13</v>
      </c>
      <c r="C3205">
        <v>1</v>
      </c>
      <c r="D3205">
        <v>1</v>
      </c>
      <c r="G3205">
        <v>131</v>
      </c>
      <c r="M3205" t="s">
        <v>4081</v>
      </c>
      <c r="O3205" t="s">
        <v>4082</v>
      </c>
      <c r="P3205" t="s">
        <v>4083</v>
      </c>
      <c r="Q3205" t="s">
        <v>4084</v>
      </c>
      <c r="R3205" t="s">
        <v>382</v>
      </c>
      <c r="S3205" t="s">
        <v>4085</v>
      </c>
      <c r="V3205" t="s">
        <v>4086</v>
      </c>
      <c r="X3205" t="s">
        <v>4087</v>
      </c>
      <c r="Y3205" t="s">
        <v>4088</v>
      </c>
      <c r="Z3205" t="s">
        <v>4089</v>
      </c>
      <c r="AA3205" t="s">
        <v>4090</v>
      </c>
      <c r="AB3205" t="s">
        <v>63</v>
      </c>
      <c r="AC3205" t="s">
        <v>63</v>
      </c>
      <c r="AE3205" t="s">
        <v>4091</v>
      </c>
      <c r="AF3205">
        <v>0</v>
      </c>
      <c r="AG3205" t="s">
        <v>4092</v>
      </c>
      <c r="AH3205">
        <v>0</v>
      </c>
      <c r="AK3205">
        <v>0</v>
      </c>
    </row>
    <row r="3206" spans="1:37" x14ac:dyDescent="0.25">
      <c r="A3206" t="s">
        <v>79</v>
      </c>
      <c r="B3206">
        <v>13</v>
      </c>
      <c r="C3206">
        <v>1</v>
      </c>
      <c r="D3206">
        <v>1</v>
      </c>
      <c r="E3206">
        <v>1</v>
      </c>
      <c r="G3206">
        <v>1311</v>
      </c>
      <c r="H3206" t="s">
        <v>4082</v>
      </c>
      <c r="I3206" t="s">
        <v>80</v>
      </c>
      <c r="J3206" t="s">
        <v>4093</v>
      </c>
      <c r="L3206">
        <v>0</v>
      </c>
      <c r="M3206" t="s">
        <v>4094</v>
      </c>
      <c r="O3206" t="s">
        <v>4095</v>
      </c>
      <c r="P3206" t="s">
        <v>4096</v>
      </c>
      <c r="Q3206" t="s">
        <v>57</v>
      </c>
      <c r="R3206" t="s">
        <v>382</v>
      </c>
      <c r="S3206" t="s">
        <v>1783</v>
      </c>
      <c r="T3206">
        <v>37</v>
      </c>
      <c r="U3206">
        <v>37</v>
      </c>
      <c r="V3206" t="s">
        <v>1783</v>
      </c>
      <c r="AE3206" t="s">
        <v>4097</v>
      </c>
      <c r="AF3206">
        <v>0</v>
      </c>
      <c r="AG3206" t="s">
        <v>4098</v>
      </c>
      <c r="AH3206">
        <v>0</v>
      </c>
      <c r="AK3206">
        <v>0</v>
      </c>
    </row>
    <row r="3207" spans="1:37" x14ac:dyDescent="0.25">
      <c r="A3207" t="s">
        <v>79</v>
      </c>
      <c r="B3207">
        <v>13</v>
      </c>
      <c r="C3207">
        <v>1</v>
      </c>
      <c r="D3207">
        <v>1</v>
      </c>
      <c r="E3207">
        <v>2</v>
      </c>
      <c r="G3207">
        <v>1311</v>
      </c>
      <c r="H3207" t="s">
        <v>4082</v>
      </c>
      <c r="I3207" t="s">
        <v>88</v>
      </c>
      <c r="J3207" t="s">
        <v>4099</v>
      </c>
      <c r="L3207">
        <v>0</v>
      </c>
      <c r="M3207" t="s">
        <v>4100</v>
      </c>
      <c r="O3207" t="s">
        <v>405</v>
      </c>
      <c r="P3207" t="s">
        <v>406</v>
      </c>
      <c r="Q3207" t="s">
        <v>57</v>
      </c>
      <c r="R3207" t="s">
        <v>382</v>
      </c>
      <c r="S3207" t="s">
        <v>407</v>
      </c>
      <c r="T3207">
        <v>37</v>
      </c>
      <c r="U3207">
        <v>37</v>
      </c>
      <c r="V3207" t="s">
        <v>407</v>
      </c>
      <c r="AE3207" t="s">
        <v>4101</v>
      </c>
      <c r="AF3207">
        <v>0</v>
      </c>
      <c r="AG3207" t="s">
        <v>4098</v>
      </c>
      <c r="AH3207">
        <v>0</v>
      </c>
      <c r="AK3207">
        <v>0</v>
      </c>
    </row>
    <row r="3208" spans="1:37" x14ac:dyDescent="0.25">
      <c r="A3208" t="s">
        <v>79</v>
      </c>
      <c r="B3208">
        <v>13</v>
      </c>
      <c r="C3208">
        <v>1</v>
      </c>
      <c r="D3208">
        <v>1</v>
      </c>
      <c r="E3208">
        <v>3</v>
      </c>
      <c r="G3208">
        <v>1311</v>
      </c>
      <c r="H3208" t="s">
        <v>4082</v>
      </c>
      <c r="I3208" t="s">
        <v>95</v>
      </c>
      <c r="J3208" t="s">
        <v>4102</v>
      </c>
      <c r="L3208">
        <v>0</v>
      </c>
      <c r="M3208" t="s">
        <v>125</v>
      </c>
      <c r="O3208" t="s">
        <v>125</v>
      </c>
      <c r="P3208" t="s">
        <v>125</v>
      </c>
      <c r="Q3208" t="s">
        <v>125</v>
      </c>
      <c r="R3208" t="s">
        <v>125</v>
      </c>
      <c r="S3208" t="s">
        <v>125</v>
      </c>
      <c r="T3208">
        <v>37</v>
      </c>
      <c r="V3208" t="s">
        <v>125</v>
      </c>
      <c r="AE3208" t="s">
        <v>125</v>
      </c>
      <c r="AF3208">
        <v>0</v>
      </c>
      <c r="AG3208" t="s">
        <v>125</v>
      </c>
      <c r="AH3208">
        <v>0</v>
      </c>
      <c r="AK3208">
        <v>0</v>
      </c>
    </row>
    <row r="3209" spans="1:37" x14ac:dyDescent="0.25">
      <c r="A3209" t="s">
        <v>79</v>
      </c>
      <c r="B3209">
        <v>13</v>
      </c>
      <c r="C3209">
        <v>1</v>
      </c>
      <c r="D3209">
        <v>1</v>
      </c>
      <c r="E3209">
        <v>4</v>
      </c>
      <c r="G3209">
        <v>1311</v>
      </c>
      <c r="H3209" t="s">
        <v>4082</v>
      </c>
      <c r="I3209" t="s">
        <v>102</v>
      </c>
      <c r="J3209" t="s">
        <v>4103</v>
      </c>
      <c r="L3209">
        <v>0</v>
      </c>
      <c r="M3209" t="s">
        <v>125</v>
      </c>
      <c r="O3209" t="s">
        <v>125</v>
      </c>
      <c r="P3209" t="s">
        <v>125</v>
      </c>
      <c r="Q3209" t="s">
        <v>125</v>
      </c>
      <c r="R3209" t="s">
        <v>125</v>
      </c>
      <c r="S3209" t="s">
        <v>125</v>
      </c>
      <c r="T3209">
        <v>37</v>
      </c>
      <c r="V3209" t="s">
        <v>125</v>
      </c>
      <c r="AE3209" t="s">
        <v>125</v>
      </c>
      <c r="AF3209">
        <v>0</v>
      </c>
      <c r="AG3209" t="s">
        <v>125</v>
      </c>
      <c r="AH3209">
        <v>0</v>
      </c>
      <c r="AK3209">
        <v>0</v>
      </c>
    </row>
    <row r="3210" spans="1:37" x14ac:dyDescent="0.25">
      <c r="A3210" t="s">
        <v>79</v>
      </c>
      <c r="B3210">
        <v>13</v>
      </c>
      <c r="C3210">
        <v>1</v>
      </c>
      <c r="D3210">
        <v>1</v>
      </c>
      <c r="E3210">
        <v>5</v>
      </c>
      <c r="G3210">
        <v>1311</v>
      </c>
      <c r="H3210" t="s">
        <v>4082</v>
      </c>
      <c r="I3210" t="s">
        <v>109</v>
      </c>
      <c r="J3210" t="s">
        <v>4104</v>
      </c>
      <c r="L3210">
        <v>0</v>
      </c>
      <c r="M3210" t="s">
        <v>125</v>
      </c>
      <c r="O3210" t="s">
        <v>125</v>
      </c>
      <c r="P3210" t="s">
        <v>125</v>
      </c>
      <c r="Q3210" t="s">
        <v>125</v>
      </c>
      <c r="R3210" t="s">
        <v>125</v>
      </c>
      <c r="S3210" t="s">
        <v>125</v>
      </c>
      <c r="T3210">
        <v>37</v>
      </c>
      <c r="V3210" t="s">
        <v>125</v>
      </c>
      <c r="AE3210" t="s">
        <v>125</v>
      </c>
      <c r="AF3210">
        <v>0</v>
      </c>
      <c r="AG3210" t="s">
        <v>125</v>
      </c>
      <c r="AH3210">
        <v>0</v>
      </c>
      <c r="AK3210">
        <v>0</v>
      </c>
    </row>
    <row r="3211" spans="1:37" x14ac:dyDescent="0.25">
      <c r="A3211" t="s">
        <v>79</v>
      </c>
      <c r="B3211">
        <v>13</v>
      </c>
      <c r="C3211">
        <v>1</v>
      </c>
      <c r="D3211">
        <v>1</v>
      </c>
      <c r="E3211">
        <v>6</v>
      </c>
      <c r="G3211">
        <v>1311</v>
      </c>
      <c r="H3211" t="s">
        <v>4082</v>
      </c>
      <c r="I3211" t="s">
        <v>116</v>
      </c>
      <c r="J3211" t="s">
        <v>4105</v>
      </c>
      <c r="L3211">
        <v>0</v>
      </c>
      <c r="M3211" t="s">
        <v>125</v>
      </c>
      <c r="O3211" t="s">
        <v>125</v>
      </c>
      <c r="P3211" t="s">
        <v>125</v>
      </c>
      <c r="Q3211" t="s">
        <v>125</v>
      </c>
      <c r="R3211" t="s">
        <v>125</v>
      </c>
      <c r="S3211" t="s">
        <v>125</v>
      </c>
      <c r="T3211">
        <v>37</v>
      </c>
      <c r="V3211" t="s">
        <v>125</v>
      </c>
      <c r="AE3211" t="s">
        <v>125</v>
      </c>
      <c r="AF3211">
        <v>0</v>
      </c>
      <c r="AG3211" t="s">
        <v>125</v>
      </c>
      <c r="AH3211">
        <v>0</v>
      </c>
      <c r="AK3211">
        <v>0</v>
      </c>
    </row>
    <row r="3212" spans="1:37" x14ac:dyDescent="0.25">
      <c r="A3212" t="s">
        <v>79</v>
      </c>
      <c r="B3212">
        <v>13</v>
      </c>
      <c r="C3212">
        <v>1</v>
      </c>
      <c r="D3212">
        <v>1</v>
      </c>
      <c r="E3212">
        <v>7</v>
      </c>
      <c r="G3212">
        <v>1311</v>
      </c>
      <c r="H3212" t="s">
        <v>4082</v>
      </c>
      <c r="I3212" t="s">
        <v>123</v>
      </c>
      <c r="J3212" t="s">
        <v>4106</v>
      </c>
      <c r="L3212">
        <v>0</v>
      </c>
      <c r="M3212" t="s">
        <v>125</v>
      </c>
      <c r="O3212" t="s">
        <v>125</v>
      </c>
      <c r="P3212" t="s">
        <v>125</v>
      </c>
      <c r="Q3212" t="s">
        <v>125</v>
      </c>
      <c r="R3212" t="s">
        <v>125</v>
      </c>
      <c r="S3212" t="s">
        <v>125</v>
      </c>
      <c r="T3212">
        <v>37</v>
      </c>
      <c r="V3212" t="s">
        <v>125</v>
      </c>
      <c r="AE3212" t="s">
        <v>125</v>
      </c>
      <c r="AF3212">
        <v>0</v>
      </c>
      <c r="AG3212" t="s">
        <v>125</v>
      </c>
      <c r="AH3212">
        <v>0</v>
      </c>
      <c r="AK3212">
        <v>0</v>
      </c>
    </row>
    <row r="3213" spans="1:37" x14ac:dyDescent="0.25">
      <c r="A3213" t="s">
        <v>79</v>
      </c>
      <c r="B3213">
        <v>13</v>
      </c>
      <c r="C3213">
        <v>1</v>
      </c>
      <c r="D3213">
        <v>1</v>
      </c>
      <c r="E3213">
        <v>8</v>
      </c>
      <c r="G3213">
        <v>1311</v>
      </c>
      <c r="H3213" t="s">
        <v>4082</v>
      </c>
      <c r="I3213" t="s">
        <v>126</v>
      </c>
      <c r="J3213" t="s">
        <v>4107</v>
      </c>
      <c r="L3213">
        <v>0</v>
      </c>
      <c r="M3213" t="s">
        <v>125</v>
      </c>
      <c r="O3213" t="s">
        <v>125</v>
      </c>
      <c r="P3213" t="s">
        <v>125</v>
      </c>
      <c r="Q3213" t="s">
        <v>125</v>
      </c>
      <c r="R3213" t="s">
        <v>125</v>
      </c>
      <c r="S3213" t="s">
        <v>125</v>
      </c>
      <c r="T3213">
        <v>37</v>
      </c>
      <c r="V3213" t="s">
        <v>125</v>
      </c>
      <c r="AE3213" t="s">
        <v>125</v>
      </c>
      <c r="AF3213">
        <v>0</v>
      </c>
      <c r="AG3213" t="s">
        <v>125</v>
      </c>
      <c r="AH3213">
        <v>0</v>
      </c>
      <c r="AK3213">
        <v>0</v>
      </c>
    </row>
    <row r="3214" spans="1:37" x14ac:dyDescent="0.25">
      <c r="A3214" t="s">
        <v>79</v>
      </c>
      <c r="B3214">
        <v>13</v>
      </c>
      <c r="C3214">
        <v>1</v>
      </c>
      <c r="D3214">
        <v>1</v>
      </c>
      <c r="E3214">
        <v>9</v>
      </c>
      <c r="G3214">
        <v>1311</v>
      </c>
      <c r="H3214" t="s">
        <v>4082</v>
      </c>
      <c r="I3214" t="s">
        <v>74</v>
      </c>
      <c r="J3214" t="s">
        <v>4108</v>
      </c>
      <c r="L3214">
        <v>0</v>
      </c>
      <c r="M3214" t="s">
        <v>125</v>
      </c>
      <c r="O3214" t="s">
        <v>125</v>
      </c>
      <c r="P3214" t="s">
        <v>125</v>
      </c>
      <c r="Q3214" t="s">
        <v>125</v>
      </c>
      <c r="R3214" t="s">
        <v>125</v>
      </c>
      <c r="S3214" t="s">
        <v>125</v>
      </c>
      <c r="T3214">
        <v>37</v>
      </c>
      <c r="V3214" t="s">
        <v>125</v>
      </c>
      <c r="AE3214" t="s">
        <v>125</v>
      </c>
      <c r="AF3214">
        <v>0</v>
      </c>
      <c r="AG3214" t="s">
        <v>125</v>
      </c>
      <c r="AH3214">
        <v>0</v>
      </c>
      <c r="AK3214">
        <v>0</v>
      </c>
    </row>
    <row r="3215" spans="1:37" x14ac:dyDescent="0.25">
      <c r="A3215" t="s">
        <v>79</v>
      </c>
      <c r="B3215">
        <v>13</v>
      </c>
      <c r="C3215">
        <v>1</v>
      </c>
      <c r="D3215">
        <v>1</v>
      </c>
      <c r="E3215">
        <v>10</v>
      </c>
      <c r="G3215">
        <v>1311</v>
      </c>
      <c r="H3215" t="s">
        <v>4082</v>
      </c>
      <c r="I3215" t="s">
        <v>129</v>
      </c>
      <c r="J3215" t="s">
        <v>4109</v>
      </c>
      <c r="L3215">
        <v>0</v>
      </c>
      <c r="M3215" t="s">
        <v>125</v>
      </c>
      <c r="O3215" t="s">
        <v>125</v>
      </c>
      <c r="P3215" t="s">
        <v>125</v>
      </c>
      <c r="Q3215" t="s">
        <v>125</v>
      </c>
      <c r="R3215" t="s">
        <v>125</v>
      </c>
      <c r="S3215" t="s">
        <v>125</v>
      </c>
      <c r="T3215">
        <v>37</v>
      </c>
      <c r="V3215" t="s">
        <v>125</v>
      </c>
      <c r="AE3215" t="s">
        <v>125</v>
      </c>
      <c r="AF3215">
        <v>0</v>
      </c>
      <c r="AG3215" t="s">
        <v>125</v>
      </c>
      <c r="AH3215">
        <v>0</v>
      </c>
      <c r="AK3215">
        <v>0</v>
      </c>
    </row>
    <row r="3216" spans="1:37" x14ac:dyDescent="0.25">
      <c r="A3216" t="s">
        <v>79</v>
      </c>
      <c r="B3216">
        <v>13</v>
      </c>
      <c r="C3216">
        <v>1</v>
      </c>
      <c r="D3216">
        <v>1</v>
      </c>
      <c r="E3216">
        <v>11</v>
      </c>
      <c r="G3216">
        <v>1311</v>
      </c>
      <c r="H3216" t="s">
        <v>4082</v>
      </c>
      <c r="I3216" t="s">
        <v>131</v>
      </c>
      <c r="J3216" t="s">
        <v>4110</v>
      </c>
      <c r="L3216">
        <v>0</v>
      </c>
      <c r="M3216" t="s">
        <v>125</v>
      </c>
      <c r="O3216" t="s">
        <v>125</v>
      </c>
      <c r="P3216" t="s">
        <v>125</v>
      </c>
      <c r="Q3216" t="s">
        <v>125</v>
      </c>
      <c r="R3216" t="s">
        <v>125</v>
      </c>
      <c r="S3216" t="s">
        <v>125</v>
      </c>
      <c r="T3216">
        <v>37</v>
      </c>
      <c r="V3216" t="s">
        <v>125</v>
      </c>
      <c r="AE3216" t="s">
        <v>125</v>
      </c>
      <c r="AF3216">
        <v>0</v>
      </c>
      <c r="AG3216" t="s">
        <v>125</v>
      </c>
      <c r="AH3216">
        <v>0</v>
      </c>
      <c r="AK3216">
        <v>0</v>
      </c>
    </row>
    <row r="3217" spans="1:37" x14ac:dyDescent="0.25">
      <c r="A3217" t="s">
        <v>79</v>
      </c>
      <c r="B3217">
        <v>13</v>
      </c>
      <c r="C3217">
        <v>1</v>
      </c>
      <c r="D3217">
        <v>1</v>
      </c>
      <c r="E3217">
        <v>12</v>
      </c>
      <c r="G3217">
        <v>1311</v>
      </c>
      <c r="H3217" t="s">
        <v>4082</v>
      </c>
      <c r="I3217" t="s">
        <v>133</v>
      </c>
      <c r="J3217" t="s">
        <v>4111</v>
      </c>
      <c r="L3217">
        <v>0</v>
      </c>
      <c r="M3217" t="s">
        <v>125</v>
      </c>
      <c r="O3217" t="s">
        <v>125</v>
      </c>
      <c r="P3217" t="s">
        <v>125</v>
      </c>
      <c r="Q3217" t="s">
        <v>125</v>
      </c>
      <c r="R3217" t="s">
        <v>125</v>
      </c>
      <c r="S3217" t="s">
        <v>125</v>
      </c>
      <c r="T3217">
        <v>37</v>
      </c>
      <c r="V3217" t="s">
        <v>125</v>
      </c>
      <c r="AE3217" t="s">
        <v>125</v>
      </c>
      <c r="AF3217">
        <v>0</v>
      </c>
      <c r="AG3217" t="s">
        <v>125</v>
      </c>
      <c r="AH3217">
        <v>0</v>
      </c>
      <c r="AK3217">
        <v>0</v>
      </c>
    </row>
    <row r="3218" spans="1:37" x14ac:dyDescent="0.25">
      <c r="A3218" t="s">
        <v>79</v>
      </c>
      <c r="B3218">
        <v>13</v>
      </c>
      <c r="C3218">
        <v>1</v>
      </c>
      <c r="D3218">
        <v>1</v>
      </c>
      <c r="E3218">
        <v>13</v>
      </c>
      <c r="G3218">
        <v>1311</v>
      </c>
      <c r="H3218" t="s">
        <v>4082</v>
      </c>
      <c r="I3218" t="s">
        <v>135</v>
      </c>
      <c r="J3218" t="s">
        <v>4112</v>
      </c>
      <c r="L3218">
        <v>0</v>
      </c>
      <c r="M3218" t="s">
        <v>125</v>
      </c>
      <c r="O3218" t="s">
        <v>125</v>
      </c>
      <c r="P3218" t="s">
        <v>125</v>
      </c>
      <c r="Q3218" t="s">
        <v>125</v>
      </c>
      <c r="R3218" t="s">
        <v>125</v>
      </c>
      <c r="S3218" t="s">
        <v>125</v>
      </c>
      <c r="T3218">
        <v>37</v>
      </c>
      <c r="V3218" t="s">
        <v>125</v>
      </c>
      <c r="AE3218" t="s">
        <v>125</v>
      </c>
      <c r="AF3218">
        <v>0</v>
      </c>
      <c r="AG3218" t="s">
        <v>125</v>
      </c>
      <c r="AH3218">
        <v>0</v>
      </c>
      <c r="AK3218">
        <v>0</v>
      </c>
    </row>
    <row r="3219" spans="1:37" x14ac:dyDescent="0.25">
      <c r="A3219" t="s">
        <v>79</v>
      </c>
      <c r="B3219">
        <v>13</v>
      </c>
      <c r="C3219">
        <v>1</v>
      </c>
      <c r="D3219">
        <v>1</v>
      </c>
      <c r="E3219">
        <v>14</v>
      </c>
      <c r="G3219">
        <v>1311</v>
      </c>
      <c r="H3219" t="s">
        <v>4082</v>
      </c>
      <c r="I3219" t="s">
        <v>137</v>
      </c>
      <c r="J3219" t="s">
        <v>4113</v>
      </c>
      <c r="L3219">
        <v>0</v>
      </c>
      <c r="M3219" t="s">
        <v>125</v>
      </c>
      <c r="O3219" t="s">
        <v>125</v>
      </c>
      <c r="P3219" t="s">
        <v>125</v>
      </c>
      <c r="Q3219" t="s">
        <v>125</v>
      </c>
      <c r="R3219" t="s">
        <v>125</v>
      </c>
      <c r="S3219" t="s">
        <v>125</v>
      </c>
      <c r="T3219">
        <v>37</v>
      </c>
      <c r="V3219" t="s">
        <v>125</v>
      </c>
      <c r="AE3219" t="s">
        <v>125</v>
      </c>
      <c r="AF3219">
        <v>0</v>
      </c>
      <c r="AG3219" t="s">
        <v>125</v>
      </c>
      <c r="AH3219">
        <v>0</v>
      </c>
      <c r="AK3219">
        <v>0</v>
      </c>
    </row>
    <row r="3220" spans="1:37" x14ac:dyDescent="0.25">
      <c r="A3220" t="s">
        <v>79</v>
      </c>
      <c r="B3220">
        <v>13</v>
      </c>
      <c r="C3220">
        <v>1</v>
      </c>
      <c r="D3220">
        <v>1</v>
      </c>
      <c r="E3220">
        <v>15</v>
      </c>
      <c r="G3220">
        <v>1311</v>
      </c>
      <c r="H3220" t="s">
        <v>4082</v>
      </c>
      <c r="I3220" t="s">
        <v>139</v>
      </c>
      <c r="J3220" t="s">
        <v>4114</v>
      </c>
      <c r="L3220">
        <v>0</v>
      </c>
      <c r="M3220" t="s">
        <v>125</v>
      </c>
      <c r="O3220" t="s">
        <v>125</v>
      </c>
      <c r="P3220" t="s">
        <v>125</v>
      </c>
      <c r="Q3220" t="s">
        <v>125</v>
      </c>
      <c r="R3220" t="s">
        <v>125</v>
      </c>
      <c r="S3220" t="s">
        <v>125</v>
      </c>
      <c r="T3220">
        <v>37</v>
      </c>
      <c r="V3220" t="s">
        <v>125</v>
      </c>
      <c r="AE3220" t="s">
        <v>125</v>
      </c>
      <c r="AF3220">
        <v>0</v>
      </c>
      <c r="AG3220" t="s">
        <v>125</v>
      </c>
      <c r="AH3220">
        <v>0</v>
      </c>
      <c r="AK3220">
        <v>0</v>
      </c>
    </row>
    <row r="3221" spans="1:37" x14ac:dyDescent="0.25">
      <c r="L3221">
        <v>0</v>
      </c>
    </row>
    <row r="3222" spans="1:37" x14ac:dyDescent="0.25">
      <c r="A3222" t="s">
        <v>70</v>
      </c>
      <c r="B3222">
        <v>13</v>
      </c>
      <c r="C3222">
        <v>1</v>
      </c>
      <c r="D3222">
        <v>2</v>
      </c>
      <c r="G3222">
        <v>131</v>
      </c>
      <c r="M3222" t="s">
        <v>4115</v>
      </c>
      <c r="O3222" t="s">
        <v>4116</v>
      </c>
      <c r="P3222" t="s">
        <v>4117</v>
      </c>
      <c r="Q3222" t="s">
        <v>202</v>
      </c>
      <c r="R3222" t="s">
        <v>382</v>
      </c>
      <c r="S3222" t="s">
        <v>4118</v>
      </c>
      <c r="V3222" t="s">
        <v>4119</v>
      </c>
      <c r="X3222" t="s">
        <v>4120</v>
      </c>
      <c r="Y3222" t="s">
        <v>4121</v>
      </c>
      <c r="Z3222" t="s">
        <v>4122</v>
      </c>
      <c r="AA3222" t="s">
        <v>4123</v>
      </c>
      <c r="AB3222" t="s">
        <v>63</v>
      </c>
      <c r="AC3222" t="s">
        <v>63</v>
      </c>
      <c r="AE3222" t="s">
        <v>4124</v>
      </c>
      <c r="AF3222">
        <v>0</v>
      </c>
      <c r="AG3222" t="s">
        <v>4125</v>
      </c>
      <c r="AH3222">
        <v>0</v>
      </c>
      <c r="AK3222">
        <v>0</v>
      </c>
    </row>
    <row r="3223" spans="1:37" x14ac:dyDescent="0.25">
      <c r="A3223" t="s">
        <v>79</v>
      </c>
      <c r="B3223">
        <v>13</v>
      </c>
      <c r="C3223">
        <v>1</v>
      </c>
      <c r="D3223">
        <v>2</v>
      </c>
      <c r="E3223">
        <v>1</v>
      </c>
      <c r="G3223">
        <v>1312</v>
      </c>
      <c r="H3223" t="s">
        <v>4116</v>
      </c>
      <c r="I3223" t="s">
        <v>80</v>
      </c>
      <c r="J3223" t="s">
        <v>4126</v>
      </c>
      <c r="L3223">
        <v>0</v>
      </c>
      <c r="M3223" t="s">
        <v>4127</v>
      </c>
      <c r="O3223" t="s">
        <v>4128</v>
      </c>
      <c r="P3223" t="s">
        <v>4129</v>
      </c>
      <c r="Q3223" t="s">
        <v>57</v>
      </c>
      <c r="R3223" t="s">
        <v>382</v>
      </c>
      <c r="S3223" t="s">
        <v>4130</v>
      </c>
      <c r="T3223">
        <v>38</v>
      </c>
      <c r="U3223">
        <v>38</v>
      </c>
      <c r="V3223" t="s">
        <v>4130</v>
      </c>
      <c r="AE3223" t="s">
        <v>4131</v>
      </c>
      <c r="AF3223">
        <v>0</v>
      </c>
      <c r="AG3223" t="s">
        <v>4132</v>
      </c>
      <c r="AH3223">
        <v>0</v>
      </c>
      <c r="AK3223">
        <v>0</v>
      </c>
    </row>
    <row r="3224" spans="1:37" x14ac:dyDescent="0.25">
      <c r="A3224" t="s">
        <v>79</v>
      </c>
      <c r="B3224">
        <v>13</v>
      </c>
      <c r="C3224">
        <v>1</v>
      </c>
      <c r="D3224">
        <v>2</v>
      </c>
      <c r="E3224">
        <v>2</v>
      </c>
      <c r="G3224">
        <v>1312</v>
      </c>
      <c r="H3224" t="s">
        <v>4116</v>
      </c>
      <c r="I3224" t="s">
        <v>88</v>
      </c>
      <c r="J3224" t="s">
        <v>4133</v>
      </c>
      <c r="L3224">
        <v>0</v>
      </c>
      <c r="M3224" t="s">
        <v>4134</v>
      </c>
      <c r="O3224" t="s">
        <v>4135</v>
      </c>
      <c r="P3224" t="s">
        <v>4136</v>
      </c>
      <c r="Q3224" t="s">
        <v>57</v>
      </c>
      <c r="R3224" t="s">
        <v>382</v>
      </c>
      <c r="S3224" t="s">
        <v>4137</v>
      </c>
      <c r="T3224">
        <v>38</v>
      </c>
      <c r="U3224">
        <v>38</v>
      </c>
      <c r="V3224" t="s">
        <v>4137</v>
      </c>
      <c r="AE3224" t="s">
        <v>4138</v>
      </c>
      <c r="AF3224">
        <v>0</v>
      </c>
      <c r="AG3224" t="s">
        <v>4132</v>
      </c>
      <c r="AH3224">
        <v>0</v>
      </c>
      <c r="AK3224">
        <v>0</v>
      </c>
    </row>
    <row r="3225" spans="1:37" x14ac:dyDescent="0.25">
      <c r="A3225" t="s">
        <v>79</v>
      </c>
      <c r="B3225">
        <v>13</v>
      </c>
      <c r="C3225">
        <v>1</v>
      </c>
      <c r="D3225">
        <v>2</v>
      </c>
      <c r="E3225">
        <v>3</v>
      </c>
      <c r="G3225">
        <v>1312</v>
      </c>
      <c r="H3225" t="s">
        <v>4116</v>
      </c>
      <c r="I3225" t="s">
        <v>95</v>
      </c>
      <c r="J3225" t="s">
        <v>4139</v>
      </c>
      <c r="L3225">
        <v>0</v>
      </c>
      <c r="M3225" t="s">
        <v>4140</v>
      </c>
      <c r="O3225" t="s">
        <v>4141</v>
      </c>
      <c r="P3225" t="s">
        <v>4142</v>
      </c>
      <c r="Q3225" t="s">
        <v>57</v>
      </c>
      <c r="R3225" t="s">
        <v>382</v>
      </c>
      <c r="S3225" t="s">
        <v>4143</v>
      </c>
      <c r="T3225">
        <v>38</v>
      </c>
      <c r="U3225">
        <v>38</v>
      </c>
      <c r="V3225" t="s">
        <v>4143</v>
      </c>
      <c r="AE3225" t="s">
        <v>4144</v>
      </c>
      <c r="AF3225">
        <v>0</v>
      </c>
      <c r="AG3225" t="s">
        <v>4132</v>
      </c>
      <c r="AH3225">
        <v>0</v>
      </c>
      <c r="AK3225">
        <v>0</v>
      </c>
    </row>
    <row r="3226" spans="1:37" x14ac:dyDescent="0.25">
      <c r="A3226" t="s">
        <v>79</v>
      </c>
      <c r="B3226">
        <v>13</v>
      </c>
      <c r="C3226">
        <v>1</v>
      </c>
      <c r="D3226">
        <v>2</v>
      </c>
      <c r="E3226">
        <v>4</v>
      </c>
      <c r="G3226">
        <v>1312</v>
      </c>
      <c r="H3226" t="s">
        <v>4116</v>
      </c>
      <c r="I3226" t="s">
        <v>102</v>
      </c>
      <c r="J3226" t="s">
        <v>4145</v>
      </c>
      <c r="L3226">
        <v>0</v>
      </c>
      <c r="M3226" t="s">
        <v>125</v>
      </c>
      <c r="O3226" t="s">
        <v>125</v>
      </c>
      <c r="P3226" t="s">
        <v>125</v>
      </c>
      <c r="Q3226" t="s">
        <v>125</v>
      </c>
      <c r="R3226" t="s">
        <v>125</v>
      </c>
      <c r="S3226" t="s">
        <v>125</v>
      </c>
      <c r="T3226">
        <v>38</v>
      </c>
      <c r="V3226" t="s">
        <v>125</v>
      </c>
      <c r="AE3226" t="s">
        <v>125</v>
      </c>
      <c r="AF3226">
        <v>0</v>
      </c>
      <c r="AG3226" t="s">
        <v>125</v>
      </c>
      <c r="AH3226">
        <v>0</v>
      </c>
      <c r="AK3226">
        <v>0</v>
      </c>
    </row>
    <row r="3227" spans="1:37" x14ac:dyDescent="0.25">
      <c r="A3227" t="s">
        <v>79</v>
      </c>
      <c r="B3227">
        <v>13</v>
      </c>
      <c r="C3227">
        <v>1</v>
      </c>
      <c r="D3227">
        <v>2</v>
      </c>
      <c r="E3227">
        <v>5</v>
      </c>
      <c r="G3227">
        <v>1312</v>
      </c>
      <c r="H3227" t="s">
        <v>4116</v>
      </c>
      <c r="I3227" t="s">
        <v>109</v>
      </c>
      <c r="J3227" t="s">
        <v>4146</v>
      </c>
      <c r="L3227">
        <v>0</v>
      </c>
      <c r="M3227" t="s">
        <v>125</v>
      </c>
      <c r="O3227" t="s">
        <v>125</v>
      </c>
      <c r="P3227" t="s">
        <v>125</v>
      </c>
      <c r="Q3227" t="s">
        <v>125</v>
      </c>
      <c r="R3227" t="s">
        <v>125</v>
      </c>
      <c r="S3227" t="s">
        <v>125</v>
      </c>
      <c r="T3227">
        <v>38</v>
      </c>
      <c r="V3227" t="s">
        <v>125</v>
      </c>
      <c r="AE3227" t="s">
        <v>125</v>
      </c>
      <c r="AF3227">
        <v>0</v>
      </c>
      <c r="AG3227" t="s">
        <v>125</v>
      </c>
      <c r="AH3227">
        <v>0</v>
      </c>
      <c r="AK3227">
        <v>0</v>
      </c>
    </row>
    <row r="3228" spans="1:37" x14ac:dyDescent="0.25">
      <c r="A3228" t="s">
        <v>79</v>
      </c>
      <c r="B3228">
        <v>13</v>
      </c>
      <c r="C3228">
        <v>1</v>
      </c>
      <c r="D3228">
        <v>2</v>
      </c>
      <c r="E3228">
        <v>6</v>
      </c>
      <c r="G3228">
        <v>1312</v>
      </c>
      <c r="H3228" t="s">
        <v>4116</v>
      </c>
      <c r="I3228" t="s">
        <v>116</v>
      </c>
      <c r="J3228" t="s">
        <v>4147</v>
      </c>
      <c r="L3228">
        <v>0</v>
      </c>
      <c r="M3228" t="s">
        <v>125</v>
      </c>
      <c r="O3228" t="s">
        <v>125</v>
      </c>
      <c r="P3228" t="s">
        <v>125</v>
      </c>
      <c r="Q3228" t="s">
        <v>125</v>
      </c>
      <c r="R3228" t="s">
        <v>125</v>
      </c>
      <c r="S3228" t="s">
        <v>125</v>
      </c>
      <c r="T3228">
        <v>38</v>
      </c>
      <c r="V3228" t="s">
        <v>125</v>
      </c>
      <c r="AE3228" t="s">
        <v>125</v>
      </c>
      <c r="AF3228">
        <v>0</v>
      </c>
      <c r="AG3228" t="s">
        <v>125</v>
      </c>
      <c r="AH3228">
        <v>0</v>
      </c>
      <c r="AK3228">
        <v>0</v>
      </c>
    </row>
    <row r="3229" spans="1:37" x14ac:dyDescent="0.25">
      <c r="A3229" t="s">
        <v>79</v>
      </c>
      <c r="B3229">
        <v>13</v>
      </c>
      <c r="C3229">
        <v>1</v>
      </c>
      <c r="D3229">
        <v>2</v>
      </c>
      <c r="E3229">
        <v>7</v>
      </c>
      <c r="G3229">
        <v>1312</v>
      </c>
      <c r="H3229" t="s">
        <v>4116</v>
      </c>
      <c r="I3229" t="s">
        <v>123</v>
      </c>
      <c r="J3229" t="s">
        <v>4148</v>
      </c>
      <c r="L3229">
        <v>0</v>
      </c>
      <c r="M3229" t="s">
        <v>125</v>
      </c>
      <c r="O3229" t="s">
        <v>125</v>
      </c>
      <c r="P3229" t="s">
        <v>125</v>
      </c>
      <c r="Q3229" t="s">
        <v>125</v>
      </c>
      <c r="R3229" t="s">
        <v>125</v>
      </c>
      <c r="S3229" t="s">
        <v>125</v>
      </c>
      <c r="T3229">
        <v>38</v>
      </c>
      <c r="V3229" t="s">
        <v>125</v>
      </c>
      <c r="AE3229" t="s">
        <v>125</v>
      </c>
      <c r="AF3229">
        <v>0</v>
      </c>
      <c r="AG3229" t="s">
        <v>125</v>
      </c>
      <c r="AH3229">
        <v>0</v>
      </c>
      <c r="AK3229">
        <v>0</v>
      </c>
    </row>
    <row r="3230" spans="1:37" x14ac:dyDescent="0.25">
      <c r="A3230" t="s">
        <v>79</v>
      </c>
      <c r="B3230">
        <v>13</v>
      </c>
      <c r="C3230">
        <v>1</v>
      </c>
      <c r="D3230">
        <v>2</v>
      </c>
      <c r="E3230">
        <v>8</v>
      </c>
      <c r="G3230">
        <v>1312</v>
      </c>
      <c r="H3230" t="s">
        <v>4116</v>
      </c>
      <c r="I3230" t="s">
        <v>126</v>
      </c>
      <c r="J3230" t="s">
        <v>4149</v>
      </c>
      <c r="L3230">
        <v>0</v>
      </c>
      <c r="M3230" t="s">
        <v>125</v>
      </c>
      <c r="O3230" t="s">
        <v>125</v>
      </c>
      <c r="P3230" t="s">
        <v>125</v>
      </c>
      <c r="Q3230" t="s">
        <v>125</v>
      </c>
      <c r="R3230" t="s">
        <v>125</v>
      </c>
      <c r="S3230" t="s">
        <v>125</v>
      </c>
      <c r="T3230">
        <v>38</v>
      </c>
      <c r="V3230" t="s">
        <v>125</v>
      </c>
      <c r="AE3230" t="s">
        <v>125</v>
      </c>
      <c r="AF3230">
        <v>0</v>
      </c>
      <c r="AG3230" t="s">
        <v>125</v>
      </c>
      <c r="AH3230">
        <v>0</v>
      </c>
      <c r="AK3230">
        <v>0</v>
      </c>
    </row>
    <row r="3231" spans="1:37" x14ac:dyDescent="0.25">
      <c r="A3231" t="s">
        <v>79</v>
      </c>
      <c r="B3231">
        <v>13</v>
      </c>
      <c r="C3231">
        <v>1</v>
      </c>
      <c r="D3231">
        <v>2</v>
      </c>
      <c r="E3231">
        <v>9</v>
      </c>
      <c r="G3231">
        <v>1312</v>
      </c>
      <c r="H3231" t="s">
        <v>4116</v>
      </c>
      <c r="I3231" t="s">
        <v>74</v>
      </c>
      <c r="J3231" t="s">
        <v>4150</v>
      </c>
      <c r="L3231">
        <v>0</v>
      </c>
      <c r="M3231" t="s">
        <v>125</v>
      </c>
      <c r="O3231" t="s">
        <v>125</v>
      </c>
      <c r="P3231" t="s">
        <v>125</v>
      </c>
      <c r="Q3231" t="s">
        <v>125</v>
      </c>
      <c r="R3231" t="s">
        <v>125</v>
      </c>
      <c r="S3231" t="s">
        <v>125</v>
      </c>
      <c r="T3231">
        <v>38</v>
      </c>
      <c r="V3231" t="s">
        <v>125</v>
      </c>
      <c r="AE3231" t="s">
        <v>125</v>
      </c>
      <c r="AF3231">
        <v>0</v>
      </c>
      <c r="AG3231" t="s">
        <v>125</v>
      </c>
      <c r="AH3231">
        <v>0</v>
      </c>
      <c r="AK3231">
        <v>0</v>
      </c>
    </row>
    <row r="3232" spans="1:37" x14ac:dyDescent="0.25">
      <c r="A3232" t="s">
        <v>79</v>
      </c>
      <c r="B3232">
        <v>13</v>
      </c>
      <c r="C3232">
        <v>1</v>
      </c>
      <c r="D3232">
        <v>2</v>
      </c>
      <c r="E3232">
        <v>10</v>
      </c>
      <c r="G3232">
        <v>1312</v>
      </c>
      <c r="H3232" t="s">
        <v>4116</v>
      </c>
      <c r="I3232" t="s">
        <v>129</v>
      </c>
      <c r="J3232" t="s">
        <v>4151</v>
      </c>
      <c r="L3232">
        <v>0</v>
      </c>
      <c r="M3232" t="s">
        <v>125</v>
      </c>
      <c r="O3232" t="s">
        <v>125</v>
      </c>
      <c r="P3232" t="s">
        <v>125</v>
      </c>
      <c r="Q3232" t="s">
        <v>125</v>
      </c>
      <c r="R3232" t="s">
        <v>125</v>
      </c>
      <c r="S3232" t="s">
        <v>125</v>
      </c>
      <c r="T3232">
        <v>38</v>
      </c>
      <c r="V3232" t="s">
        <v>125</v>
      </c>
      <c r="AE3232" t="s">
        <v>125</v>
      </c>
      <c r="AF3232">
        <v>0</v>
      </c>
      <c r="AG3232" t="s">
        <v>125</v>
      </c>
      <c r="AH3232">
        <v>0</v>
      </c>
      <c r="AK3232">
        <v>0</v>
      </c>
    </row>
    <row r="3233" spans="1:37" x14ac:dyDescent="0.25">
      <c r="A3233" t="s">
        <v>79</v>
      </c>
      <c r="B3233">
        <v>13</v>
      </c>
      <c r="C3233">
        <v>1</v>
      </c>
      <c r="D3233">
        <v>2</v>
      </c>
      <c r="E3233">
        <v>11</v>
      </c>
      <c r="G3233">
        <v>1312</v>
      </c>
      <c r="H3233" t="s">
        <v>4116</v>
      </c>
      <c r="I3233" t="s">
        <v>131</v>
      </c>
      <c r="J3233" t="s">
        <v>4152</v>
      </c>
      <c r="L3233">
        <v>0</v>
      </c>
      <c r="M3233" t="s">
        <v>125</v>
      </c>
      <c r="O3233" t="s">
        <v>125</v>
      </c>
      <c r="P3233" t="s">
        <v>125</v>
      </c>
      <c r="Q3233" t="s">
        <v>125</v>
      </c>
      <c r="R3233" t="s">
        <v>125</v>
      </c>
      <c r="S3233" t="s">
        <v>125</v>
      </c>
      <c r="T3233">
        <v>38</v>
      </c>
      <c r="V3233" t="s">
        <v>125</v>
      </c>
      <c r="AE3233" t="s">
        <v>125</v>
      </c>
      <c r="AF3233">
        <v>0</v>
      </c>
      <c r="AG3233" t="s">
        <v>125</v>
      </c>
      <c r="AH3233">
        <v>0</v>
      </c>
      <c r="AK3233">
        <v>0</v>
      </c>
    </row>
    <row r="3234" spans="1:37" x14ac:dyDescent="0.25">
      <c r="A3234" t="s">
        <v>79</v>
      </c>
      <c r="B3234">
        <v>13</v>
      </c>
      <c r="C3234">
        <v>1</v>
      </c>
      <c r="D3234">
        <v>2</v>
      </c>
      <c r="E3234">
        <v>12</v>
      </c>
      <c r="G3234">
        <v>1312</v>
      </c>
      <c r="H3234" t="s">
        <v>4116</v>
      </c>
      <c r="I3234" t="s">
        <v>133</v>
      </c>
      <c r="J3234" t="s">
        <v>4153</v>
      </c>
      <c r="L3234">
        <v>0</v>
      </c>
      <c r="M3234" t="s">
        <v>125</v>
      </c>
      <c r="O3234" t="s">
        <v>125</v>
      </c>
      <c r="P3234" t="s">
        <v>125</v>
      </c>
      <c r="Q3234" t="s">
        <v>125</v>
      </c>
      <c r="R3234" t="s">
        <v>125</v>
      </c>
      <c r="S3234" t="s">
        <v>125</v>
      </c>
      <c r="T3234">
        <v>38</v>
      </c>
      <c r="V3234" t="s">
        <v>125</v>
      </c>
      <c r="AE3234" t="s">
        <v>125</v>
      </c>
      <c r="AF3234">
        <v>0</v>
      </c>
      <c r="AG3234" t="s">
        <v>125</v>
      </c>
      <c r="AH3234">
        <v>0</v>
      </c>
      <c r="AK3234">
        <v>0</v>
      </c>
    </row>
    <row r="3235" spans="1:37" x14ac:dyDescent="0.25">
      <c r="A3235" t="s">
        <v>79</v>
      </c>
      <c r="B3235">
        <v>13</v>
      </c>
      <c r="C3235">
        <v>1</v>
      </c>
      <c r="D3235">
        <v>2</v>
      </c>
      <c r="E3235">
        <v>13</v>
      </c>
      <c r="G3235">
        <v>1312</v>
      </c>
      <c r="H3235" t="s">
        <v>4116</v>
      </c>
      <c r="I3235" t="s">
        <v>135</v>
      </c>
      <c r="J3235" t="s">
        <v>4154</v>
      </c>
      <c r="L3235">
        <v>0</v>
      </c>
      <c r="M3235" t="s">
        <v>125</v>
      </c>
      <c r="O3235" t="s">
        <v>125</v>
      </c>
      <c r="P3235" t="s">
        <v>125</v>
      </c>
      <c r="Q3235" t="s">
        <v>125</v>
      </c>
      <c r="R3235" t="s">
        <v>125</v>
      </c>
      <c r="S3235" t="s">
        <v>125</v>
      </c>
      <c r="T3235">
        <v>38</v>
      </c>
      <c r="V3235" t="s">
        <v>125</v>
      </c>
      <c r="AE3235" t="s">
        <v>125</v>
      </c>
      <c r="AF3235">
        <v>0</v>
      </c>
      <c r="AG3235" t="s">
        <v>125</v>
      </c>
      <c r="AH3235">
        <v>0</v>
      </c>
      <c r="AK3235">
        <v>0</v>
      </c>
    </row>
    <row r="3236" spans="1:37" x14ac:dyDescent="0.25">
      <c r="A3236" t="s">
        <v>79</v>
      </c>
      <c r="B3236">
        <v>13</v>
      </c>
      <c r="C3236">
        <v>1</v>
      </c>
      <c r="D3236">
        <v>2</v>
      </c>
      <c r="E3236">
        <v>14</v>
      </c>
      <c r="G3236">
        <v>1312</v>
      </c>
      <c r="H3236" t="s">
        <v>4116</v>
      </c>
      <c r="I3236" t="s">
        <v>137</v>
      </c>
      <c r="J3236" t="s">
        <v>4155</v>
      </c>
      <c r="L3236">
        <v>0</v>
      </c>
      <c r="M3236" t="s">
        <v>125</v>
      </c>
      <c r="O3236" t="s">
        <v>125</v>
      </c>
      <c r="P3236" t="s">
        <v>125</v>
      </c>
      <c r="Q3236" t="s">
        <v>125</v>
      </c>
      <c r="R3236" t="s">
        <v>125</v>
      </c>
      <c r="S3236" t="s">
        <v>125</v>
      </c>
      <c r="T3236">
        <v>38</v>
      </c>
      <c r="V3236" t="s">
        <v>125</v>
      </c>
      <c r="AE3236" t="s">
        <v>125</v>
      </c>
      <c r="AF3236">
        <v>0</v>
      </c>
      <c r="AG3236" t="s">
        <v>125</v>
      </c>
      <c r="AH3236">
        <v>0</v>
      </c>
      <c r="AK3236">
        <v>0</v>
      </c>
    </row>
    <row r="3237" spans="1:37" x14ac:dyDescent="0.25">
      <c r="A3237" t="s">
        <v>79</v>
      </c>
      <c r="B3237">
        <v>13</v>
      </c>
      <c r="C3237">
        <v>1</v>
      </c>
      <c r="D3237">
        <v>2</v>
      </c>
      <c r="E3237">
        <v>15</v>
      </c>
      <c r="G3237">
        <v>1312</v>
      </c>
      <c r="H3237" t="s">
        <v>4116</v>
      </c>
      <c r="I3237" t="s">
        <v>139</v>
      </c>
      <c r="J3237" t="s">
        <v>4156</v>
      </c>
      <c r="L3237">
        <v>0</v>
      </c>
      <c r="M3237" t="s">
        <v>125</v>
      </c>
      <c r="O3237" t="s">
        <v>125</v>
      </c>
      <c r="P3237" t="s">
        <v>125</v>
      </c>
      <c r="Q3237" t="s">
        <v>125</v>
      </c>
      <c r="R3237" t="s">
        <v>125</v>
      </c>
      <c r="S3237" t="s">
        <v>125</v>
      </c>
      <c r="T3237">
        <v>38</v>
      </c>
      <c r="V3237" t="s">
        <v>125</v>
      </c>
      <c r="AE3237" t="s">
        <v>125</v>
      </c>
      <c r="AF3237">
        <v>0</v>
      </c>
      <c r="AG3237" t="s">
        <v>125</v>
      </c>
      <c r="AH3237">
        <v>0</v>
      </c>
      <c r="AK3237">
        <v>0</v>
      </c>
    </row>
    <row r="3238" spans="1:37" x14ac:dyDescent="0.25">
      <c r="L3238">
        <v>0</v>
      </c>
    </row>
    <row r="3239" spans="1:37" x14ac:dyDescent="0.25">
      <c r="A3239" t="s">
        <v>70</v>
      </c>
      <c r="B3239">
        <v>13</v>
      </c>
      <c r="C3239">
        <v>1</v>
      </c>
      <c r="D3239">
        <v>3</v>
      </c>
      <c r="G3239">
        <v>131</v>
      </c>
      <c r="M3239" t="s">
        <v>4157</v>
      </c>
      <c r="O3239" t="s">
        <v>4158</v>
      </c>
      <c r="P3239" t="s">
        <v>4159</v>
      </c>
      <c r="Q3239" t="s">
        <v>486</v>
      </c>
      <c r="R3239" t="s">
        <v>382</v>
      </c>
      <c r="S3239" t="s">
        <v>4160</v>
      </c>
      <c r="V3239" t="s">
        <v>4161</v>
      </c>
      <c r="X3239" t="s">
        <v>4162</v>
      </c>
      <c r="Y3239" t="s">
        <v>4163</v>
      </c>
      <c r="Z3239" t="s">
        <v>4164</v>
      </c>
      <c r="AA3239" t="s">
        <v>4165</v>
      </c>
      <c r="AB3239" t="s">
        <v>63</v>
      </c>
      <c r="AC3239" t="s">
        <v>63</v>
      </c>
      <c r="AE3239" t="s">
        <v>4166</v>
      </c>
      <c r="AF3239">
        <v>0</v>
      </c>
      <c r="AG3239" t="s">
        <v>4167</v>
      </c>
      <c r="AH3239">
        <v>0</v>
      </c>
      <c r="AK3239">
        <v>0</v>
      </c>
    </row>
    <row r="3240" spans="1:37" x14ac:dyDescent="0.25">
      <c r="A3240" t="s">
        <v>79</v>
      </c>
      <c r="B3240">
        <v>13</v>
      </c>
      <c r="C3240">
        <v>1</v>
      </c>
      <c r="D3240">
        <v>3</v>
      </c>
      <c r="E3240">
        <v>1</v>
      </c>
      <c r="G3240">
        <v>1313</v>
      </c>
      <c r="H3240" t="s">
        <v>4158</v>
      </c>
      <c r="I3240" t="s">
        <v>80</v>
      </c>
      <c r="J3240" t="s">
        <v>4168</v>
      </c>
      <c r="L3240">
        <v>0</v>
      </c>
      <c r="M3240" t="s">
        <v>4169</v>
      </c>
      <c r="O3240" t="s">
        <v>4170</v>
      </c>
      <c r="P3240" t="s">
        <v>4171</v>
      </c>
      <c r="Q3240" t="s">
        <v>57</v>
      </c>
      <c r="R3240" t="s">
        <v>382</v>
      </c>
      <c r="S3240" t="s">
        <v>4172</v>
      </c>
      <c r="T3240">
        <v>20</v>
      </c>
      <c r="U3240">
        <v>20</v>
      </c>
      <c r="V3240" t="s">
        <v>4172</v>
      </c>
      <c r="AE3240" t="s">
        <v>4173</v>
      </c>
      <c r="AF3240">
        <v>0</v>
      </c>
      <c r="AG3240" t="s">
        <v>4174</v>
      </c>
      <c r="AH3240">
        <v>0</v>
      </c>
      <c r="AK3240">
        <v>0</v>
      </c>
    </row>
    <row r="3241" spans="1:37" x14ac:dyDescent="0.25">
      <c r="A3241" t="s">
        <v>79</v>
      </c>
      <c r="B3241">
        <v>13</v>
      </c>
      <c r="C3241">
        <v>1</v>
      </c>
      <c r="D3241">
        <v>3</v>
      </c>
      <c r="E3241">
        <v>2</v>
      </c>
      <c r="G3241">
        <v>1313</v>
      </c>
      <c r="H3241" t="s">
        <v>4158</v>
      </c>
      <c r="I3241" t="s">
        <v>88</v>
      </c>
      <c r="J3241" t="s">
        <v>4175</v>
      </c>
      <c r="L3241">
        <v>0</v>
      </c>
      <c r="M3241" t="s">
        <v>4176</v>
      </c>
      <c r="O3241" t="s">
        <v>4177</v>
      </c>
      <c r="P3241" t="s">
        <v>4178</v>
      </c>
      <c r="Q3241" t="s">
        <v>57</v>
      </c>
      <c r="R3241" t="s">
        <v>382</v>
      </c>
      <c r="S3241" t="s">
        <v>4179</v>
      </c>
      <c r="T3241">
        <v>20</v>
      </c>
      <c r="U3241">
        <v>20</v>
      </c>
      <c r="V3241" t="s">
        <v>4179</v>
      </c>
      <c r="AE3241" t="s">
        <v>4180</v>
      </c>
      <c r="AF3241">
        <v>0</v>
      </c>
      <c r="AG3241" t="s">
        <v>4174</v>
      </c>
      <c r="AH3241">
        <v>0</v>
      </c>
      <c r="AK3241">
        <v>0</v>
      </c>
    </row>
    <row r="3242" spans="1:37" x14ac:dyDescent="0.25">
      <c r="A3242" t="s">
        <v>79</v>
      </c>
      <c r="B3242">
        <v>13</v>
      </c>
      <c r="C3242">
        <v>1</v>
      </c>
      <c r="D3242">
        <v>3</v>
      </c>
      <c r="E3242">
        <v>3</v>
      </c>
      <c r="G3242">
        <v>1313</v>
      </c>
      <c r="H3242" t="s">
        <v>4158</v>
      </c>
      <c r="I3242" t="s">
        <v>95</v>
      </c>
      <c r="J3242" t="s">
        <v>4181</v>
      </c>
      <c r="L3242">
        <v>0</v>
      </c>
      <c r="M3242" t="s">
        <v>4182</v>
      </c>
      <c r="O3242" t="s">
        <v>4135</v>
      </c>
      <c r="P3242" t="s">
        <v>4136</v>
      </c>
      <c r="Q3242" t="s">
        <v>57</v>
      </c>
      <c r="R3242" t="s">
        <v>382</v>
      </c>
      <c r="S3242" t="s">
        <v>4137</v>
      </c>
      <c r="T3242">
        <v>20</v>
      </c>
      <c r="U3242">
        <v>20</v>
      </c>
      <c r="V3242" t="s">
        <v>4137</v>
      </c>
      <c r="AE3242" t="s">
        <v>4138</v>
      </c>
      <c r="AF3242">
        <v>0</v>
      </c>
      <c r="AG3242" t="s">
        <v>4174</v>
      </c>
      <c r="AH3242">
        <v>0</v>
      </c>
      <c r="AK3242">
        <v>0</v>
      </c>
    </row>
    <row r="3243" spans="1:37" x14ac:dyDescent="0.25">
      <c r="A3243" t="s">
        <v>79</v>
      </c>
      <c r="B3243">
        <v>13</v>
      </c>
      <c r="C3243">
        <v>1</v>
      </c>
      <c r="D3243">
        <v>3</v>
      </c>
      <c r="E3243">
        <v>4</v>
      </c>
      <c r="G3243">
        <v>1313</v>
      </c>
      <c r="H3243" t="s">
        <v>4158</v>
      </c>
      <c r="I3243" t="s">
        <v>102</v>
      </c>
      <c r="J3243" t="s">
        <v>4183</v>
      </c>
      <c r="L3243">
        <v>0</v>
      </c>
      <c r="M3243" t="s">
        <v>4184</v>
      </c>
      <c r="O3243" t="s">
        <v>4185</v>
      </c>
      <c r="P3243" t="s">
        <v>4186</v>
      </c>
      <c r="Q3243" t="s">
        <v>57</v>
      </c>
      <c r="R3243" t="s">
        <v>382</v>
      </c>
      <c r="S3243" t="s">
        <v>4187</v>
      </c>
      <c r="T3243">
        <v>20</v>
      </c>
      <c r="U3243">
        <v>20</v>
      </c>
      <c r="V3243" t="s">
        <v>4187</v>
      </c>
      <c r="AE3243" t="s">
        <v>4188</v>
      </c>
      <c r="AF3243">
        <v>0</v>
      </c>
      <c r="AG3243" t="s">
        <v>4174</v>
      </c>
      <c r="AH3243">
        <v>0</v>
      </c>
      <c r="AK3243">
        <v>0</v>
      </c>
    </row>
    <row r="3244" spans="1:37" x14ac:dyDescent="0.25">
      <c r="A3244" t="s">
        <v>79</v>
      </c>
      <c r="B3244">
        <v>13</v>
      </c>
      <c r="C3244">
        <v>1</v>
      </c>
      <c r="D3244">
        <v>3</v>
      </c>
      <c r="E3244">
        <v>5</v>
      </c>
      <c r="G3244">
        <v>1313</v>
      </c>
      <c r="H3244" t="s">
        <v>4158</v>
      </c>
      <c r="I3244" t="s">
        <v>109</v>
      </c>
      <c r="J3244" t="s">
        <v>4189</v>
      </c>
      <c r="L3244">
        <v>0</v>
      </c>
      <c r="M3244" t="s">
        <v>125</v>
      </c>
      <c r="O3244" t="s">
        <v>125</v>
      </c>
      <c r="P3244" t="s">
        <v>125</v>
      </c>
      <c r="Q3244" t="s">
        <v>125</v>
      </c>
      <c r="R3244" t="s">
        <v>125</v>
      </c>
      <c r="S3244" t="s">
        <v>125</v>
      </c>
      <c r="T3244">
        <v>20</v>
      </c>
      <c r="V3244" t="s">
        <v>125</v>
      </c>
      <c r="AE3244" t="s">
        <v>125</v>
      </c>
      <c r="AF3244">
        <v>0</v>
      </c>
      <c r="AG3244" t="s">
        <v>125</v>
      </c>
      <c r="AH3244">
        <v>0</v>
      </c>
      <c r="AK3244">
        <v>0</v>
      </c>
    </row>
    <row r="3245" spans="1:37" x14ac:dyDescent="0.25">
      <c r="A3245" t="s">
        <v>79</v>
      </c>
      <c r="B3245">
        <v>13</v>
      </c>
      <c r="C3245">
        <v>1</v>
      </c>
      <c r="D3245">
        <v>3</v>
      </c>
      <c r="E3245">
        <v>6</v>
      </c>
      <c r="G3245">
        <v>1313</v>
      </c>
      <c r="H3245" t="s">
        <v>4158</v>
      </c>
      <c r="I3245" t="s">
        <v>116</v>
      </c>
      <c r="J3245" t="s">
        <v>4190</v>
      </c>
      <c r="L3245">
        <v>0</v>
      </c>
      <c r="M3245" t="s">
        <v>125</v>
      </c>
      <c r="O3245" t="s">
        <v>125</v>
      </c>
      <c r="P3245" t="s">
        <v>125</v>
      </c>
      <c r="Q3245" t="s">
        <v>125</v>
      </c>
      <c r="R3245" t="s">
        <v>125</v>
      </c>
      <c r="S3245" t="s">
        <v>125</v>
      </c>
      <c r="T3245">
        <v>20</v>
      </c>
      <c r="V3245" t="s">
        <v>125</v>
      </c>
      <c r="AE3245" t="s">
        <v>125</v>
      </c>
      <c r="AF3245">
        <v>0</v>
      </c>
      <c r="AG3245" t="s">
        <v>125</v>
      </c>
      <c r="AH3245">
        <v>0</v>
      </c>
      <c r="AK3245">
        <v>0</v>
      </c>
    </row>
    <row r="3246" spans="1:37" x14ac:dyDescent="0.25">
      <c r="A3246" t="s">
        <v>79</v>
      </c>
      <c r="B3246">
        <v>13</v>
      </c>
      <c r="C3246">
        <v>1</v>
      </c>
      <c r="D3246">
        <v>3</v>
      </c>
      <c r="E3246">
        <v>7</v>
      </c>
      <c r="G3246">
        <v>1313</v>
      </c>
      <c r="H3246" t="s">
        <v>4158</v>
      </c>
      <c r="I3246" t="s">
        <v>123</v>
      </c>
      <c r="J3246" t="s">
        <v>4191</v>
      </c>
      <c r="L3246">
        <v>0</v>
      </c>
      <c r="M3246" t="s">
        <v>125</v>
      </c>
      <c r="O3246" t="s">
        <v>125</v>
      </c>
      <c r="P3246" t="s">
        <v>125</v>
      </c>
      <c r="Q3246" t="s">
        <v>125</v>
      </c>
      <c r="R3246" t="s">
        <v>125</v>
      </c>
      <c r="S3246" t="s">
        <v>125</v>
      </c>
      <c r="T3246">
        <v>20</v>
      </c>
      <c r="V3246" t="s">
        <v>125</v>
      </c>
      <c r="AE3246" t="s">
        <v>125</v>
      </c>
      <c r="AF3246">
        <v>0</v>
      </c>
      <c r="AG3246" t="s">
        <v>125</v>
      </c>
      <c r="AH3246">
        <v>0</v>
      </c>
      <c r="AK3246">
        <v>0</v>
      </c>
    </row>
    <row r="3247" spans="1:37" x14ac:dyDescent="0.25">
      <c r="A3247" t="s">
        <v>79</v>
      </c>
      <c r="B3247">
        <v>13</v>
      </c>
      <c r="C3247">
        <v>1</v>
      </c>
      <c r="D3247">
        <v>3</v>
      </c>
      <c r="E3247">
        <v>8</v>
      </c>
      <c r="G3247">
        <v>1313</v>
      </c>
      <c r="H3247" t="s">
        <v>4158</v>
      </c>
      <c r="I3247" t="s">
        <v>126</v>
      </c>
      <c r="J3247" t="s">
        <v>4192</v>
      </c>
      <c r="L3247">
        <v>0</v>
      </c>
      <c r="M3247" t="s">
        <v>125</v>
      </c>
      <c r="O3247" t="s">
        <v>125</v>
      </c>
      <c r="P3247" t="s">
        <v>125</v>
      </c>
      <c r="Q3247" t="s">
        <v>125</v>
      </c>
      <c r="R3247" t="s">
        <v>125</v>
      </c>
      <c r="S3247" t="s">
        <v>125</v>
      </c>
      <c r="T3247">
        <v>20</v>
      </c>
      <c r="V3247" t="s">
        <v>125</v>
      </c>
      <c r="AE3247" t="s">
        <v>125</v>
      </c>
      <c r="AF3247">
        <v>0</v>
      </c>
      <c r="AG3247" t="s">
        <v>125</v>
      </c>
      <c r="AH3247">
        <v>0</v>
      </c>
      <c r="AK3247">
        <v>0</v>
      </c>
    </row>
    <row r="3248" spans="1:37" x14ac:dyDescent="0.25">
      <c r="A3248" t="s">
        <v>79</v>
      </c>
      <c r="B3248">
        <v>13</v>
      </c>
      <c r="C3248">
        <v>1</v>
      </c>
      <c r="D3248">
        <v>3</v>
      </c>
      <c r="E3248">
        <v>9</v>
      </c>
      <c r="G3248">
        <v>1313</v>
      </c>
      <c r="H3248" t="s">
        <v>4158</v>
      </c>
      <c r="I3248" t="s">
        <v>74</v>
      </c>
      <c r="J3248" t="s">
        <v>4193</v>
      </c>
      <c r="L3248">
        <v>0</v>
      </c>
      <c r="M3248" t="s">
        <v>125</v>
      </c>
      <c r="O3248" t="s">
        <v>125</v>
      </c>
      <c r="P3248" t="s">
        <v>125</v>
      </c>
      <c r="Q3248" t="s">
        <v>125</v>
      </c>
      <c r="R3248" t="s">
        <v>125</v>
      </c>
      <c r="S3248" t="s">
        <v>125</v>
      </c>
      <c r="T3248">
        <v>20</v>
      </c>
      <c r="V3248" t="s">
        <v>125</v>
      </c>
      <c r="AE3248" t="s">
        <v>125</v>
      </c>
      <c r="AF3248">
        <v>0</v>
      </c>
      <c r="AG3248" t="s">
        <v>125</v>
      </c>
      <c r="AH3248">
        <v>0</v>
      </c>
      <c r="AK3248">
        <v>0</v>
      </c>
    </row>
    <row r="3249" spans="1:37" x14ac:dyDescent="0.25">
      <c r="A3249" t="s">
        <v>79</v>
      </c>
      <c r="B3249">
        <v>13</v>
      </c>
      <c r="C3249">
        <v>1</v>
      </c>
      <c r="D3249">
        <v>3</v>
      </c>
      <c r="E3249">
        <v>10</v>
      </c>
      <c r="G3249">
        <v>1313</v>
      </c>
      <c r="H3249" t="s">
        <v>4158</v>
      </c>
      <c r="I3249" t="s">
        <v>129</v>
      </c>
      <c r="J3249" t="s">
        <v>4194</v>
      </c>
      <c r="L3249">
        <v>0</v>
      </c>
      <c r="M3249" t="s">
        <v>125</v>
      </c>
      <c r="O3249" t="s">
        <v>125</v>
      </c>
      <c r="P3249" t="s">
        <v>125</v>
      </c>
      <c r="Q3249" t="s">
        <v>125</v>
      </c>
      <c r="R3249" t="s">
        <v>125</v>
      </c>
      <c r="S3249" t="s">
        <v>125</v>
      </c>
      <c r="T3249">
        <v>20</v>
      </c>
      <c r="V3249" t="s">
        <v>125</v>
      </c>
      <c r="AE3249" t="s">
        <v>125</v>
      </c>
      <c r="AF3249">
        <v>0</v>
      </c>
      <c r="AG3249" t="s">
        <v>125</v>
      </c>
      <c r="AH3249">
        <v>0</v>
      </c>
      <c r="AK3249">
        <v>0</v>
      </c>
    </row>
    <row r="3250" spans="1:37" x14ac:dyDescent="0.25">
      <c r="A3250" t="s">
        <v>79</v>
      </c>
      <c r="B3250">
        <v>13</v>
      </c>
      <c r="C3250">
        <v>1</v>
      </c>
      <c r="D3250">
        <v>3</v>
      </c>
      <c r="E3250">
        <v>11</v>
      </c>
      <c r="G3250">
        <v>1313</v>
      </c>
      <c r="H3250" t="s">
        <v>4158</v>
      </c>
      <c r="I3250" t="s">
        <v>131</v>
      </c>
      <c r="J3250" t="s">
        <v>4195</v>
      </c>
      <c r="L3250">
        <v>0</v>
      </c>
      <c r="M3250" t="s">
        <v>125</v>
      </c>
      <c r="O3250" t="s">
        <v>125</v>
      </c>
      <c r="P3250" t="s">
        <v>125</v>
      </c>
      <c r="Q3250" t="s">
        <v>125</v>
      </c>
      <c r="R3250" t="s">
        <v>125</v>
      </c>
      <c r="S3250" t="s">
        <v>125</v>
      </c>
      <c r="T3250">
        <v>20</v>
      </c>
      <c r="V3250" t="s">
        <v>125</v>
      </c>
      <c r="AE3250" t="s">
        <v>125</v>
      </c>
      <c r="AF3250">
        <v>0</v>
      </c>
      <c r="AG3250" t="s">
        <v>125</v>
      </c>
      <c r="AH3250">
        <v>0</v>
      </c>
      <c r="AK3250">
        <v>0</v>
      </c>
    </row>
    <row r="3251" spans="1:37" x14ac:dyDescent="0.25">
      <c r="A3251" t="s">
        <v>79</v>
      </c>
      <c r="B3251">
        <v>13</v>
      </c>
      <c r="C3251">
        <v>1</v>
      </c>
      <c r="D3251">
        <v>3</v>
      </c>
      <c r="E3251">
        <v>12</v>
      </c>
      <c r="G3251">
        <v>1313</v>
      </c>
      <c r="H3251" t="s">
        <v>4158</v>
      </c>
      <c r="I3251" t="s">
        <v>133</v>
      </c>
      <c r="J3251" t="s">
        <v>4196</v>
      </c>
      <c r="L3251">
        <v>0</v>
      </c>
      <c r="M3251" t="s">
        <v>125</v>
      </c>
      <c r="O3251" t="s">
        <v>125</v>
      </c>
      <c r="P3251" t="s">
        <v>125</v>
      </c>
      <c r="Q3251" t="s">
        <v>125</v>
      </c>
      <c r="R3251" t="s">
        <v>125</v>
      </c>
      <c r="S3251" t="s">
        <v>125</v>
      </c>
      <c r="T3251">
        <v>20</v>
      </c>
      <c r="V3251" t="s">
        <v>125</v>
      </c>
      <c r="AE3251" t="s">
        <v>125</v>
      </c>
      <c r="AF3251">
        <v>0</v>
      </c>
      <c r="AG3251" t="s">
        <v>125</v>
      </c>
      <c r="AH3251">
        <v>0</v>
      </c>
      <c r="AK3251">
        <v>0</v>
      </c>
    </row>
    <row r="3252" spans="1:37" x14ac:dyDescent="0.25">
      <c r="A3252" t="s">
        <v>79</v>
      </c>
      <c r="B3252">
        <v>13</v>
      </c>
      <c r="C3252">
        <v>1</v>
      </c>
      <c r="D3252">
        <v>3</v>
      </c>
      <c r="E3252">
        <v>13</v>
      </c>
      <c r="G3252">
        <v>1313</v>
      </c>
      <c r="H3252" t="s">
        <v>4158</v>
      </c>
      <c r="I3252" t="s">
        <v>135</v>
      </c>
      <c r="J3252" t="s">
        <v>4197</v>
      </c>
      <c r="L3252">
        <v>0</v>
      </c>
      <c r="M3252" t="s">
        <v>125</v>
      </c>
      <c r="O3252" t="s">
        <v>125</v>
      </c>
      <c r="P3252" t="s">
        <v>125</v>
      </c>
      <c r="Q3252" t="s">
        <v>125</v>
      </c>
      <c r="R3252" t="s">
        <v>125</v>
      </c>
      <c r="S3252" t="s">
        <v>125</v>
      </c>
      <c r="T3252">
        <v>20</v>
      </c>
      <c r="V3252" t="s">
        <v>125</v>
      </c>
      <c r="AE3252" t="s">
        <v>125</v>
      </c>
      <c r="AF3252">
        <v>0</v>
      </c>
      <c r="AG3252" t="s">
        <v>125</v>
      </c>
      <c r="AH3252">
        <v>0</v>
      </c>
      <c r="AK3252">
        <v>0</v>
      </c>
    </row>
    <row r="3253" spans="1:37" x14ac:dyDescent="0.25">
      <c r="A3253" t="s">
        <v>79</v>
      </c>
      <c r="B3253">
        <v>13</v>
      </c>
      <c r="C3253">
        <v>1</v>
      </c>
      <c r="D3253">
        <v>3</v>
      </c>
      <c r="E3253">
        <v>14</v>
      </c>
      <c r="G3253">
        <v>1313</v>
      </c>
      <c r="H3253" t="s">
        <v>4158</v>
      </c>
      <c r="I3253" t="s">
        <v>137</v>
      </c>
      <c r="J3253" t="s">
        <v>4198</v>
      </c>
      <c r="L3253">
        <v>0</v>
      </c>
      <c r="M3253" t="s">
        <v>125</v>
      </c>
      <c r="O3253" t="s">
        <v>125</v>
      </c>
      <c r="P3253" t="s">
        <v>125</v>
      </c>
      <c r="Q3253" t="s">
        <v>125</v>
      </c>
      <c r="R3253" t="s">
        <v>125</v>
      </c>
      <c r="S3253" t="s">
        <v>125</v>
      </c>
      <c r="T3253">
        <v>20</v>
      </c>
      <c r="V3253" t="s">
        <v>125</v>
      </c>
      <c r="AE3253" t="s">
        <v>125</v>
      </c>
      <c r="AF3253">
        <v>0</v>
      </c>
      <c r="AG3253" t="s">
        <v>125</v>
      </c>
      <c r="AH3253">
        <v>0</v>
      </c>
      <c r="AK3253">
        <v>0</v>
      </c>
    </row>
    <row r="3254" spans="1:37" x14ac:dyDescent="0.25">
      <c r="A3254" t="s">
        <v>79</v>
      </c>
      <c r="B3254">
        <v>13</v>
      </c>
      <c r="C3254">
        <v>1</v>
      </c>
      <c r="D3254">
        <v>3</v>
      </c>
      <c r="E3254">
        <v>15</v>
      </c>
      <c r="G3254">
        <v>1313</v>
      </c>
      <c r="H3254" t="s">
        <v>4158</v>
      </c>
      <c r="I3254" t="s">
        <v>139</v>
      </c>
      <c r="J3254" t="s">
        <v>4199</v>
      </c>
      <c r="L3254">
        <v>0</v>
      </c>
      <c r="M3254" t="s">
        <v>125</v>
      </c>
      <c r="O3254" t="s">
        <v>125</v>
      </c>
      <c r="P3254" t="s">
        <v>125</v>
      </c>
      <c r="Q3254" t="s">
        <v>125</v>
      </c>
      <c r="R3254" t="s">
        <v>125</v>
      </c>
      <c r="S3254" t="s">
        <v>125</v>
      </c>
      <c r="T3254">
        <v>20</v>
      </c>
      <c r="V3254" t="s">
        <v>125</v>
      </c>
      <c r="AE3254" t="s">
        <v>125</v>
      </c>
      <c r="AF3254">
        <v>0</v>
      </c>
      <c r="AG3254" t="s">
        <v>125</v>
      </c>
      <c r="AH3254">
        <v>0</v>
      </c>
      <c r="AK3254">
        <v>0</v>
      </c>
    </row>
    <row r="3255" spans="1:37" x14ac:dyDescent="0.25">
      <c r="L3255">
        <v>0</v>
      </c>
    </row>
    <row r="3256" spans="1:37" x14ac:dyDescent="0.25">
      <c r="A3256" t="s">
        <v>70</v>
      </c>
      <c r="B3256">
        <v>13</v>
      </c>
      <c r="C3256">
        <v>1</v>
      </c>
      <c r="D3256">
        <v>4</v>
      </c>
      <c r="G3256">
        <v>131</v>
      </c>
      <c r="L3256">
        <v>0</v>
      </c>
      <c r="M3256" t="s">
        <v>125</v>
      </c>
      <c r="P3256" t="s">
        <v>125</v>
      </c>
      <c r="R3256" t="s">
        <v>125</v>
      </c>
      <c r="S3256" t="s">
        <v>63</v>
      </c>
      <c r="V3256" t="s">
        <v>125</v>
      </c>
      <c r="X3256" t="s">
        <v>125</v>
      </c>
      <c r="Y3256" t="s">
        <v>125</v>
      </c>
      <c r="Z3256" t="s">
        <v>125</v>
      </c>
      <c r="AA3256" t="s">
        <v>125</v>
      </c>
      <c r="AB3256" t="s">
        <v>125</v>
      </c>
      <c r="AC3256" t="s">
        <v>125</v>
      </c>
      <c r="AE3256" t="s">
        <v>125</v>
      </c>
      <c r="AF3256">
        <v>0</v>
      </c>
      <c r="AG3256" t="s">
        <v>125</v>
      </c>
      <c r="AH3256">
        <v>0</v>
      </c>
      <c r="AK3256">
        <v>0</v>
      </c>
    </row>
    <row r="3257" spans="1:37" x14ac:dyDescent="0.25">
      <c r="A3257" t="s">
        <v>79</v>
      </c>
      <c r="B3257">
        <v>13</v>
      </c>
      <c r="C3257">
        <v>1</v>
      </c>
      <c r="D3257">
        <v>4</v>
      </c>
      <c r="E3257">
        <v>1</v>
      </c>
      <c r="G3257">
        <v>1314</v>
      </c>
      <c r="H3257" t="s">
        <v>63</v>
      </c>
      <c r="I3257" t="s">
        <v>80</v>
      </c>
      <c r="J3257" t="s">
        <v>141</v>
      </c>
      <c r="L3257">
        <v>0</v>
      </c>
      <c r="M3257" t="s">
        <v>125</v>
      </c>
      <c r="O3257" t="s">
        <v>125</v>
      </c>
      <c r="P3257" t="s">
        <v>125</v>
      </c>
      <c r="Q3257" t="s">
        <v>125</v>
      </c>
      <c r="R3257" t="s">
        <v>125</v>
      </c>
      <c r="S3257" t="s">
        <v>125</v>
      </c>
      <c r="T3257">
        <v>0</v>
      </c>
      <c r="V3257" t="s">
        <v>125</v>
      </c>
      <c r="AE3257" t="s">
        <v>125</v>
      </c>
      <c r="AF3257">
        <v>0</v>
      </c>
      <c r="AG3257" t="s">
        <v>125</v>
      </c>
      <c r="AH3257">
        <v>0</v>
      </c>
      <c r="AK3257">
        <v>0</v>
      </c>
    </row>
    <row r="3258" spans="1:37" x14ac:dyDescent="0.25">
      <c r="A3258" t="s">
        <v>79</v>
      </c>
      <c r="B3258">
        <v>13</v>
      </c>
      <c r="C3258">
        <v>1</v>
      </c>
      <c r="D3258">
        <v>4</v>
      </c>
      <c r="E3258">
        <v>2</v>
      </c>
      <c r="G3258">
        <v>1314</v>
      </c>
      <c r="H3258" t="s">
        <v>63</v>
      </c>
      <c r="I3258" t="s">
        <v>88</v>
      </c>
      <c r="J3258" t="s">
        <v>142</v>
      </c>
      <c r="L3258">
        <v>0</v>
      </c>
      <c r="M3258" t="s">
        <v>125</v>
      </c>
      <c r="O3258" t="s">
        <v>125</v>
      </c>
      <c r="P3258" t="s">
        <v>125</v>
      </c>
      <c r="Q3258" t="s">
        <v>125</v>
      </c>
      <c r="R3258" t="s">
        <v>125</v>
      </c>
      <c r="S3258" t="s">
        <v>125</v>
      </c>
      <c r="T3258">
        <v>0</v>
      </c>
      <c r="V3258" t="s">
        <v>125</v>
      </c>
      <c r="AE3258" t="s">
        <v>125</v>
      </c>
      <c r="AF3258">
        <v>0</v>
      </c>
      <c r="AG3258" t="s">
        <v>125</v>
      </c>
      <c r="AH3258">
        <v>0</v>
      </c>
      <c r="AK3258">
        <v>0</v>
      </c>
    </row>
    <row r="3259" spans="1:37" x14ac:dyDescent="0.25">
      <c r="A3259" t="s">
        <v>79</v>
      </c>
      <c r="B3259">
        <v>13</v>
      </c>
      <c r="C3259">
        <v>1</v>
      </c>
      <c r="D3259">
        <v>4</v>
      </c>
      <c r="E3259">
        <v>3</v>
      </c>
      <c r="G3259">
        <v>1314</v>
      </c>
      <c r="H3259" t="s">
        <v>63</v>
      </c>
      <c r="I3259" t="s">
        <v>95</v>
      </c>
      <c r="J3259" t="s">
        <v>143</v>
      </c>
      <c r="L3259">
        <v>0</v>
      </c>
      <c r="M3259" t="s">
        <v>125</v>
      </c>
      <c r="O3259" t="s">
        <v>125</v>
      </c>
      <c r="P3259" t="s">
        <v>125</v>
      </c>
      <c r="Q3259" t="s">
        <v>125</v>
      </c>
      <c r="R3259" t="s">
        <v>125</v>
      </c>
      <c r="S3259" t="s">
        <v>125</v>
      </c>
      <c r="T3259">
        <v>0</v>
      </c>
      <c r="V3259" t="s">
        <v>125</v>
      </c>
      <c r="AE3259" t="s">
        <v>125</v>
      </c>
      <c r="AF3259">
        <v>0</v>
      </c>
      <c r="AG3259" t="s">
        <v>125</v>
      </c>
      <c r="AH3259">
        <v>0</v>
      </c>
      <c r="AK3259">
        <v>0</v>
      </c>
    </row>
    <row r="3260" spans="1:37" x14ac:dyDescent="0.25">
      <c r="A3260" t="s">
        <v>79</v>
      </c>
      <c r="B3260">
        <v>13</v>
      </c>
      <c r="C3260">
        <v>1</v>
      </c>
      <c r="D3260">
        <v>4</v>
      </c>
      <c r="E3260">
        <v>4</v>
      </c>
      <c r="G3260">
        <v>1314</v>
      </c>
      <c r="H3260" t="s">
        <v>63</v>
      </c>
      <c r="I3260" t="s">
        <v>102</v>
      </c>
      <c r="J3260" t="s">
        <v>144</v>
      </c>
      <c r="L3260">
        <v>0</v>
      </c>
      <c r="M3260" t="s">
        <v>125</v>
      </c>
      <c r="O3260" t="s">
        <v>125</v>
      </c>
      <c r="P3260" t="s">
        <v>125</v>
      </c>
      <c r="Q3260" t="s">
        <v>125</v>
      </c>
      <c r="R3260" t="s">
        <v>125</v>
      </c>
      <c r="S3260" t="s">
        <v>125</v>
      </c>
      <c r="T3260">
        <v>0</v>
      </c>
      <c r="V3260" t="s">
        <v>125</v>
      </c>
      <c r="AE3260" t="s">
        <v>125</v>
      </c>
      <c r="AF3260">
        <v>0</v>
      </c>
      <c r="AG3260" t="s">
        <v>125</v>
      </c>
      <c r="AH3260">
        <v>0</v>
      </c>
      <c r="AK3260">
        <v>0</v>
      </c>
    </row>
    <row r="3261" spans="1:37" x14ac:dyDescent="0.25">
      <c r="A3261" t="s">
        <v>79</v>
      </c>
      <c r="B3261">
        <v>13</v>
      </c>
      <c r="C3261">
        <v>1</v>
      </c>
      <c r="D3261">
        <v>4</v>
      </c>
      <c r="E3261">
        <v>5</v>
      </c>
      <c r="G3261">
        <v>1314</v>
      </c>
      <c r="H3261" t="s">
        <v>63</v>
      </c>
      <c r="I3261" t="s">
        <v>109</v>
      </c>
      <c r="J3261" t="s">
        <v>145</v>
      </c>
      <c r="L3261">
        <v>0</v>
      </c>
      <c r="M3261" t="s">
        <v>125</v>
      </c>
      <c r="O3261" t="s">
        <v>125</v>
      </c>
      <c r="P3261" t="s">
        <v>125</v>
      </c>
      <c r="Q3261" t="s">
        <v>125</v>
      </c>
      <c r="R3261" t="s">
        <v>125</v>
      </c>
      <c r="S3261" t="s">
        <v>125</v>
      </c>
      <c r="T3261">
        <v>0</v>
      </c>
      <c r="V3261" t="s">
        <v>125</v>
      </c>
      <c r="AE3261" t="s">
        <v>125</v>
      </c>
      <c r="AF3261">
        <v>0</v>
      </c>
      <c r="AG3261" t="s">
        <v>125</v>
      </c>
      <c r="AH3261">
        <v>0</v>
      </c>
      <c r="AK3261">
        <v>0</v>
      </c>
    </row>
    <row r="3262" spans="1:37" x14ac:dyDescent="0.25">
      <c r="A3262" t="s">
        <v>79</v>
      </c>
      <c r="B3262">
        <v>13</v>
      </c>
      <c r="C3262">
        <v>1</v>
      </c>
      <c r="D3262">
        <v>4</v>
      </c>
      <c r="E3262">
        <v>6</v>
      </c>
      <c r="G3262">
        <v>1314</v>
      </c>
      <c r="H3262" t="s">
        <v>63</v>
      </c>
      <c r="I3262" t="s">
        <v>116</v>
      </c>
      <c r="J3262" t="s">
        <v>146</v>
      </c>
      <c r="L3262">
        <v>0</v>
      </c>
      <c r="M3262" t="s">
        <v>125</v>
      </c>
      <c r="O3262" t="s">
        <v>125</v>
      </c>
      <c r="P3262" t="s">
        <v>125</v>
      </c>
      <c r="Q3262" t="s">
        <v>125</v>
      </c>
      <c r="R3262" t="s">
        <v>125</v>
      </c>
      <c r="S3262" t="s">
        <v>125</v>
      </c>
      <c r="T3262">
        <v>0</v>
      </c>
      <c r="V3262" t="s">
        <v>125</v>
      </c>
      <c r="AE3262" t="s">
        <v>125</v>
      </c>
      <c r="AF3262">
        <v>0</v>
      </c>
      <c r="AG3262" t="s">
        <v>125</v>
      </c>
      <c r="AH3262">
        <v>0</v>
      </c>
      <c r="AK3262">
        <v>0</v>
      </c>
    </row>
    <row r="3263" spans="1:37" x14ac:dyDescent="0.25">
      <c r="A3263" t="s">
        <v>79</v>
      </c>
      <c r="B3263">
        <v>13</v>
      </c>
      <c r="C3263">
        <v>1</v>
      </c>
      <c r="D3263">
        <v>4</v>
      </c>
      <c r="E3263">
        <v>7</v>
      </c>
      <c r="G3263">
        <v>1314</v>
      </c>
      <c r="H3263" t="s">
        <v>63</v>
      </c>
      <c r="I3263" t="s">
        <v>123</v>
      </c>
      <c r="J3263" t="s">
        <v>147</v>
      </c>
      <c r="L3263">
        <v>0</v>
      </c>
      <c r="M3263" t="s">
        <v>125</v>
      </c>
      <c r="O3263" t="s">
        <v>125</v>
      </c>
      <c r="P3263" t="s">
        <v>125</v>
      </c>
      <c r="Q3263" t="s">
        <v>125</v>
      </c>
      <c r="R3263" t="s">
        <v>125</v>
      </c>
      <c r="S3263" t="s">
        <v>125</v>
      </c>
      <c r="T3263">
        <v>0</v>
      </c>
      <c r="V3263" t="s">
        <v>125</v>
      </c>
      <c r="AE3263" t="s">
        <v>125</v>
      </c>
      <c r="AF3263">
        <v>0</v>
      </c>
      <c r="AG3263" t="s">
        <v>125</v>
      </c>
      <c r="AH3263">
        <v>0</v>
      </c>
      <c r="AK3263">
        <v>0</v>
      </c>
    </row>
    <row r="3264" spans="1:37" x14ac:dyDescent="0.25">
      <c r="A3264" t="s">
        <v>79</v>
      </c>
      <c r="B3264">
        <v>13</v>
      </c>
      <c r="C3264">
        <v>1</v>
      </c>
      <c r="D3264">
        <v>4</v>
      </c>
      <c r="E3264">
        <v>8</v>
      </c>
      <c r="G3264">
        <v>1314</v>
      </c>
      <c r="H3264" t="s">
        <v>63</v>
      </c>
      <c r="I3264" t="s">
        <v>126</v>
      </c>
      <c r="J3264" t="s">
        <v>148</v>
      </c>
      <c r="L3264">
        <v>0</v>
      </c>
      <c r="M3264" t="s">
        <v>125</v>
      </c>
      <c r="O3264" t="s">
        <v>125</v>
      </c>
      <c r="P3264" t="s">
        <v>125</v>
      </c>
      <c r="Q3264" t="s">
        <v>125</v>
      </c>
      <c r="R3264" t="s">
        <v>125</v>
      </c>
      <c r="S3264" t="s">
        <v>125</v>
      </c>
      <c r="T3264">
        <v>0</v>
      </c>
      <c r="V3264" t="s">
        <v>125</v>
      </c>
      <c r="AE3264" t="s">
        <v>125</v>
      </c>
      <c r="AF3264">
        <v>0</v>
      </c>
      <c r="AG3264" t="s">
        <v>125</v>
      </c>
      <c r="AH3264">
        <v>0</v>
      </c>
      <c r="AK3264">
        <v>0</v>
      </c>
    </row>
    <row r="3265" spans="1:37" x14ac:dyDescent="0.25">
      <c r="A3265" t="s">
        <v>79</v>
      </c>
      <c r="B3265">
        <v>13</v>
      </c>
      <c r="C3265">
        <v>1</v>
      </c>
      <c r="D3265">
        <v>4</v>
      </c>
      <c r="E3265">
        <v>9</v>
      </c>
      <c r="G3265">
        <v>1314</v>
      </c>
      <c r="H3265" t="s">
        <v>63</v>
      </c>
      <c r="I3265" t="s">
        <v>74</v>
      </c>
      <c r="J3265" t="s">
        <v>149</v>
      </c>
      <c r="L3265">
        <v>0</v>
      </c>
      <c r="M3265" t="s">
        <v>125</v>
      </c>
      <c r="O3265" t="s">
        <v>125</v>
      </c>
      <c r="P3265" t="s">
        <v>125</v>
      </c>
      <c r="Q3265" t="s">
        <v>125</v>
      </c>
      <c r="R3265" t="s">
        <v>125</v>
      </c>
      <c r="S3265" t="s">
        <v>125</v>
      </c>
      <c r="T3265">
        <v>0</v>
      </c>
      <c r="V3265" t="s">
        <v>125</v>
      </c>
      <c r="AE3265" t="s">
        <v>125</v>
      </c>
      <c r="AF3265">
        <v>0</v>
      </c>
      <c r="AG3265" t="s">
        <v>125</v>
      </c>
      <c r="AH3265">
        <v>0</v>
      </c>
      <c r="AK3265">
        <v>0</v>
      </c>
    </row>
    <row r="3266" spans="1:37" x14ac:dyDescent="0.25">
      <c r="A3266" t="s">
        <v>79</v>
      </c>
      <c r="B3266">
        <v>13</v>
      </c>
      <c r="C3266">
        <v>1</v>
      </c>
      <c r="D3266">
        <v>4</v>
      </c>
      <c r="E3266">
        <v>10</v>
      </c>
      <c r="G3266">
        <v>1314</v>
      </c>
      <c r="H3266" t="s">
        <v>63</v>
      </c>
      <c r="I3266" t="s">
        <v>129</v>
      </c>
      <c r="J3266" t="s">
        <v>150</v>
      </c>
      <c r="L3266">
        <v>0</v>
      </c>
      <c r="M3266" t="s">
        <v>125</v>
      </c>
      <c r="O3266" t="s">
        <v>125</v>
      </c>
      <c r="P3266" t="s">
        <v>125</v>
      </c>
      <c r="Q3266" t="s">
        <v>125</v>
      </c>
      <c r="R3266" t="s">
        <v>125</v>
      </c>
      <c r="S3266" t="s">
        <v>125</v>
      </c>
      <c r="T3266">
        <v>0</v>
      </c>
      <c r="V3266" t="s">
        <v>125</v>
      </c>
      <c r="AE3266" t="s">
        <v>125</v>
      </c>
      <c r="AF3266">
        <v>0</v>
      </c>
      <c r="AG3266" t="s">
        <v>125</v>
      </c>
      <c r="AH3266">
        <v>0</v>
      </c>
      <c r="AK3266">
        <v>0</v>
      </c>
    </row>
    <row r="3267" spans="1:37" x14ac:dyDescent="0.25">
      <c r="A3267" t="s">
        <v>79</v>
      </c>
      <c r="B3267">
        <v>13</v>
      </c>
      <c r="C3267">
        <v>1</v>
      </c>
      <c r="D3267">
        <v>4</v>
      </c>
      <c r="E3267">
        <v>11</v>
      </c>
      <c r="G3267">
        <v>1314</v>
      </c>
      <c r="H3267" t="s">
        <v>63</v>
      </c>
      <c r="I3267" t="s">
        <v>131</v>
      </c>
      <c r="J3267" t="s">
        <v>151</v>
      </c>
      <c r="L3267">
        <v>0</v>
      </c>
      <c r="M3267" t="s">
        <v>125</v>
      </c>
      <c r="O3267" t="s">
        <v>125</v>
      </c>
      <c r="P3267" t="s">
        <v>125</v>
      </c>
      <c r="Q3267" t="s">
        <v>125</v>
      </c>
      <c r="R3267" t="s">
        <v>125</v>
      </c>
      <c r="S3267" t="s">
        <v>125</v>
      </c>
      <c r="T3267">
        <v>0</v>
      </c>
      <c r="V3267" t="s">
        <v>125</v>
      </c>
      <c r="AE3267" t="s">
        <v>125</v>
      </c>
      <c r="AF3267">
        <v>0</v>
      </c>
      <c r="AG3267" t="s">
        <v>125</v>
      </c>
      <c r="AH3267">
        <v>0</v>
      </c>
      <c r="AK3267">
        <v>0</v>
      </c>
    </row>
    <row r="3268" spans="1:37" x14ac:dyDescent="0.25">
      <c r="A3268" t="s">
        <v>79</v>
      </c>
      <c r="B3268">
        <v>13</v>
      </c>
      <c r="C3268">
        <v>1</v>
      </c>
      <c r="D3268">
        <v>4</v>
      </c>
      <c r="E3268">
        <v>12</v>
      </c>
      <c r="G3268">
        <v>1314</v>
      </c>
      <c r="H3268" t="s">
        <v>63</v>
      </c>
      <c r="I3268" t="s">
        <v>133</v>
      </c>
      <c r="J3268" t="s">
        <v>152</v>
      </c>
      <c r="L3268">
        <v>0</v>
      </c>
      <c r="M3268" t="s">
        <v>125</v>
      </c>
      <c r="O3268" t="s">
        <v>125</v>
      </c>
      <c r="P3268" t="s">
        <v>125</v>
      </c>
      <c r="Q3268" t="s">
        <v>125</v>
      </c>
      <c r="R3268" t="s">
        <v>125</v>
      </c>
      <c r="S3268" t="s">
        <v>125</v>
      </c>
      <c r="T3268">
        <v>0</v>
      </c>
      <c r="V3268" t="s">
        <v>125</v>
      </c>
      <c r="AE3268" t="s">
        <v>125</v>
      </c>
      <c r="AF3268">
        <v>0</v>
      </c>
      <c r="AG3268" t="s">
        <v>125</v>
      </c>
      <c r="AH3268">
        <v>0</v>
      </c>
      <c r="AK3268">
        <v>0</v>
      </c>
    </row>
    <row r="3269" spans="1:37" x14ac:dyDescent="0.25">
      <c r="A3269" t="s">
        <v>79</v>
      </c>
      <c r="B3269">
        <v>13</v>
      </c>
      <c r="C3269">
        <v>1</v>
      </c>
      <c r="D3269">
        <v>4</v>
      </c>
      <c r="E3269">
        <v>13</v>
      </c>
      <c r="G3269">
        <v>1314</v>
      </c>
      <c r="H3269" t="s">
        <v>63</v>
      </c>
      <c r="I3269" t="s">
        <v>135</v>
      </c>
      <c r="J3269" t="s">
        <v>153</v>
      </c>
      <c r="L3269">
        <v>0</v>
      </c>
      <c r="M3269" t="s">
        <v>125</v>
      </c>
      <c r="O3269" t="s">
        <v>125</v>
      </c>
      <c r="P3269" t="s">
        <v>125</v>
      </c>
      <c r="Q3269" t="s">
        <v>125</v>
      </c>
      <c r="R3269" t="s">
        <v>125</v>
      </c>
      <c r="S3269" t="s">
        <v>125</v>
      </c>
      <c r="T3269">
        <v>0</v>
      </c>
      <c r="V3269" t="s">
        <v>125</v>
      </c>
      <c r="AE3269" t="s">
        <v>125</v>
      </c>
      <c r="AF3269">
        <v>0</v>
      </c>
      <c r="AG3269" t="s">
        <v>125</v>
      </c>
      <c r="AH3269">
        <v>0</v>
      </c>
      <c r="AK3269">
        <v>0</v>
      </c>
    </row>
    <row r="3270" spans="1:37" x14ac:dyDescent="0.25">
      <c r="A3270" t="s">
        <v>79</v>
      </c>
      <c r="B3270">
        <v>13</v>
      </c>
      <c r="C3270">
        <v>1</v>
      </c>
      <c r="D3270">
        <v>4</v>
      </c>
      <c r="E3270">
        <v>14</v>
      </c>
      <c r="G3270">
        <v>1314</v>
      </c>
      <c r="H3270" t="s">
        <v>63</v>
      </c>
      <c r="I3270" t="s">
        <v>137</v>
      </c>
      <c r="J3270" t="s">
        <v>154</v>
      </c>
      <c r="L3270">
        <v>0</v>
      </c>
      <c r="M3270" t="s">
        <v>125</v>
      </c>
      <c r="O3270" t="s">
        <v>125</v>
      </c>
      <c r="P3270" t="s">
        <v>125</v>
      </c>
      <c r="Q3270" t="s">
        <v>125</v>
      </c>
      <c r="R3270" t="s">
        <v>125</v>
      </c>
      <c r="S3270" t="s">
        <v>125</v>
      </c>
      <c r="T3270">
        <v>0</v>
      </c>
      <c r="V3270" t="s">
        <v>125</v>
      </c>
      <c r="AE3270" t="s">
        <v>125</v>
      </c>
      <c r="AF3270">
        <v>0</v>
      </c>
      <c r="AG3270" t="s">
        <v>125</v>
      </c>
      <c r="AH3270">
        <v>0</v>
      </c>
      <c r="AK3270">
        <v>0</v>
      </c>
    </row>
    <row r="3271" spans="1:37" x14ac:dyDescent="0.25">
      <c r="A3271" t="s">
        <v>79</v>
      </c>
      <c r="B3271">
        <v>13</v>
      </c>
      <c r="C3271">
        <v>1</v>
      </c>
      <c r="D3271">
        <v>4</v>
      </c>
      <c r="E3271">
        <v>15</v>
      </c>
      <c r="G3271">
        <v>1314</v>
      </c>
      <c r="H3271" t="s">
        <v>63</v>
      </c>
      <c r="I3271" t="s">
        <v>139</v>
      </c>
      <c r="J3271" t="s">
        <v>155</v>
      </c>
      <c r="L3271">
        <v>0</v>
      </c>
      <c r="M3271" t="s">
        <v>125</v>
      </c>
      <c r="O3271" t="s">
        <v>125</v>
      </c>
      <c r="P3271" t="s">
        <v>125</v>
      </c>
      <c r="Q3271" t="s">
        <v>125</v>
      </c>
      <c r="R3271" t="s">
        <v>125</v>
      </c>
      <c r="S3271" t="s">
        <v>125</v>
      </c>
      <c r="T3271">
        <v>0</v>
      </c>
      <c r="V3271" t="s">
        <v>125</v>
      </c>
      <c r="AE3271" t="s">
        <v>125</v>
      </c>
      <c r="AF3271">
        <v>0</v>
      </c>
      <c r="AG3271" t="s">
        <v>125</v>
      </c>
      <c r="AH3271">
        <v>0</v>
      </c>
      <c r="AK3271">
        <v>0</v>
      </c>
    </row>
    <row r="3272" spans="1:37" x14ac:dyDescent="0.25">
      <c r="L3272">
        <v>0</v>
      </c>
    </row>
    <row r="3273" spans="1:37" x14ac:dyDescent="0.25">
      <c r="A3273" t="s">
        <v>70</v>
      </c>
      <c r="B3273">
        <v>13</v>
      </c>
      <c r="C3273">
        <v>1</v>
      </c>
      <c r="D3273">
        <v>5</v>
      </c>
      <c r="G3273">
        <v>131</v>
      </c>
      <c r="L3273">
        <v>0</v>
      </c>
      <c r="M3273" t="s">
        <v>125</v>
      </c>
      <c r="P3273" t="s">
        <v>125</v>
      </c>
      <c r="R3273" t="s">
        <v>125</v>
      </c>
      <c r="S3273" t="s">
        <v>63</v>
      </c>
      <c r="V3273" t="s">
        <v>125</v>
      </c>
      <c r="X3273" t="s">
        <v>125</v>
      </c>
      <c r="Y3273" t="s">
        <v>125</v>
      </c>
      <c r="Z3273" t="s">
        <v>125</v>
      </c>
      <c r="AA3273" t="s">
        <v>125</v>
      </c>
      <c r="AB3273" t="s">
        <v>125</v>
      </c>
      <c r="AC3273" t="s">
        <v>125</v>
      </c>
      <c r="AE3273" t="s">
        <v>125</v>
      </c>
      <c r="AF3273">
        <v>0</v>
      </c>
      <c r="AG3273" t="s">
        <v>125</v>
      </c>
      <c r="AH3273">
        <v>0</v>
      </c>
      <c r="AK3273">
        <v>0</v>
      </c>
    </row>
    <row r="3274" spans="1:37" x14ac:dyDescent="0.25">
      <c r="A3274" t="s">
        <v>79</v>
      </c>
      <c r="B3274">
        <v>13</v>
      </c>
      <c r="C3274">
        <v>1</v>
      </c>
      <c r="D3274">
        <v>5</v>
      </c>
      <c r="E3274">
        <v>1</v>
      </c>
      <c r="G3274">
        <v>1315</v>
      </c>
      <c r="H3274" t="s">
        <v>63</v>
      </c>
      <c r="I3274" t="s">
        <v>80</v>
      </c>
      <c r="J3274" t="s">
        <v>141</v>
      </c>
      <c r="L3274">
        <v>0</v>
      </c>
      <c r="M3274" t="s">
        <v>125</v>
      </c>
      <c r="O3274" t="s">
        <v>125</v>
      </c>
      <c r="P3274" t="s">
        <v>125</v>
      </c>
      <c r="Q3274" t="s">
        <v>125</v>
      </c>
      <c r="R3274" t="s">
        <v>125</v>
      </c>
      <c r="S3274" t="s">
        <v>125</v>
      </c>
      <c r="T3274">
        <v>0</v>
      </c>
      <c r="V3274" t="s">
        <v>125</v>
      </c>
      <c r="AE3274" t="s">
        <v>125</v>
      </c>
      <c r="AF3274">
        <v>0</v>
      </c>
      <c r="AG3274" t="s">
        <v>125</v>
      </c>
      <c r="AH3274">
        <v>0</v>
      </c>
      <c r="AK3274">
        <v>0</v>
      </c>
    </row>
    <row r="3275" spans="1:37" x14ac:dyDescent="0.25">
      <c r="A3275" t="s">
        <v>79</v>
      </c>
      <c r="B3275">
        <v>13</v>
      </c>
      <c r="C3275">
        <v>1</v>
      </c>
      <c r="D3275">
        <v>5</v>
      </c>
      <c r="E3275">
        <v>2</v>
      </c>
      <c r="G3275">
        <v>1315</v>
      </c>
      <c r="H3275" t="s">
        <v>63</v>
      </c>
      <c r="I3275" t="s">
        <v>88</v>
      </c>
      <c r="J3275" t="s">
        <v>142</v>
      </c>
      <c r="L3275">
        <v>0</v>
      </c>
      <c r="M3275" t="s">
        <v>125</v>
      </c>
      <c r="O3275" t="s">
        <v>125</v>
      </c>
      <c r="P3275" t="s">
        <v>125</v>
      </c>
      <c r="Q3275" t="s">
        <v>125</v>
      </c>
      <c r="R3275" t="s">
        <v>125</v>
      </c>
      <c r="S3275" t="s">
        <v>125</v>
      </c>
      <c r="T3275">
        <v>0</v>
      </c>
      <c r="V3275" t="s">
        <v>125</v>
      </c>
      <c r="AE3275" t="s">
        <v>125</v>
      </c>
      <c r="AF3275">
        <v>0</v>
      </c>
      <c r="AG3275" t="s">
        <v>125</v>
      </c>
      <c r="AH3275">
        <v>0</v>
      </c>
      <c r="AK3275">
        <v>0</v>
      </c>
    </row>
    <row r="3276" spans="1:37" x14ac:dyDescent="0.25">
      <c r="A3276" t="s">
        <v>79</v>
      </c>
      <c r="B3276">
        <v>13</v>
      </c>
      <c r="C3276">
        <v>1</v>
      </c>
      <c r="D3276">
        <v>5</v>
      </c>
      <c r="E3276">
        <v>3</v>
      </c>
      <c r="G3276">
        <v>1315</v>
      </c>
      <c r="H3276" t="s">
        <v>63</v>
      </c>
      <c r="I3276" t="s">
        <v>95</v>
      </c>
      <c r="J3276" t="s">
        <v>143</v>
      </c>
      <c r="L3276">
        <v>0</v>
      </c>
      <c r="M3276" t="s">
        <v>125</v>
      </c>
      <c r="O3276" t="s">
        <v>125</v>
      </c>
      <c r="P3276" t="s">
        <v>125</v>
      </c>
      <c r="Q3276" t="s">
        <v>125</v>
      </c>
      <c r="R3276" t="s">
        <v>125</v>
      </c>
      <c r="S3276" t="s">
        <v>125</v>
      </c>
      <c r="T3276">
        <v>0</v>
      </c>
      <c r="V3276" t="s">
        <v>125</v>
      </c>
      <c r="AE3276" t="s">
        <v>125</v>
      </c>
      <c r="AF3276">
        <v>0</v>
      </c>
      <c r="AG3276" t="s">
        <v>125</v>
      </c>
      <c r="AH3276">
        <v>0</v>
      </c>
      <c r="AK3276">
        <v>0</v>
      </c>
    </row>
    <row r="3277" spans="1:37" x14ac:dyDescent="0.25">
      <c r="A3277" t="s">
        <v>79</v>
      </c>
      <c r="B3277">
        <v>13</v>
      </c>
      <c r="C3277">
        <v>1</v>
      </c>
      <c r="D3277">
        <v>5</v>
      </c>
      <c r="E3277">
        <v>4</v>
      </c>
      <c r="G3277">
        <v>1315</v>
      </c>
      <c r="H3277" t="s">
        <v>63</v>
      </c>
      <c r="I3277" t="s">
        <v>102</v>
      </c>
      <c r="J3277" t="s">
        <v>144</v>
      </c>
      <c r="L3277">
        <v>0</v>
      </c>
      <c r="M3277" t="s">
        <v>125</v>
      </c>
      <c r="O3277" t="s">
        <v>125</v>
      </c>
      <c r="P3277" t="s">
        <v>125</v>
      </c>
      <c r="Q3277" t="s">
        <v>125</v>
      </c>
      <c r="R3277" t="s">
        <v>125</v>
      </c>
      <c r="S3277" t="s">
        <v>125</v>
      </c>
      <c r="T3277">
        <v>0</v>
      </c>
      <c r="V3277" t="s">
        <v>125</v>
      </c>
      <c r="AE3277" t="s">
        <v>125</v>
      </c>
      <c r="AF3277">
        <v>0</v>
      </c>
      <c r="AG3277" t="s">
        <v>125</v>
      </c>
      <c r="AH3277">
        <v>0</v>
      </c>
      <c r="AK3277">
        <v>0</v>
      </c>
    </row>
    <row r="3278" spans="1:37" x14ac:dyDescent="0.25">
      <c r="A3278" t="s">
        <v>79</v>
      </c>
      <c r="B3278">
        <v>13</v>
      </c>
      <c r="C3278">
        <v>1</v>
      </c>
      <c r="D3278">
        <v>5</v>
      </c>
      <c r="E3278">
        <v>5</v>
      </c>
      <c r="G3278">
        <v>1315</v>
      </c>
      <c r="H3278" t="s">
        <v>63</v>
      </c>
      <c r="I3278" t="s">
        <v>109</v>
      </c>
      <c r="J3278" t="s">
        <v>145</v>
      </c>
      <c r="L3278">
        <v>0</v>
      </c>
      <c r="M3278" t="s">
        <v>125</v>
      </c>
      <c r="O3278" t="s">
        <v>125</v>
      </c>
      <c r="P3278" t="s">
        <v>125</v>
      </c>
      <c r="Q3278" t="s">
        <v>125</v>
      </c>
      <c r="R3278" t="s">
        <v>125</v>
      </c>
      <c r="S3278" t="s">
        <v>125</v>
      </c>
      <c r="T3278">
        <v>0</v>
      </c>
      <c r="V3278" t="s">
        <v>125</v>
      </c>
      <c r="AE3278" t="s">
        <v>125</v>
      </c>
      <c r="AF3278">
        <v>0</v>
      </c>
      <c r="AG3278" t="s">
        <v>125</v>
      </c>
      <c r="AH3278">
        <v>0</v>
      </c>
      <c r="AK3278">
        <v>0</v>
      </c>
    </row>
    <row r="3279" spans="1:37" x14ac:dyDescent="0.25">
      <c r="A3279" t="s">
        <v>79</v>
      </c>
      <c r="B3279">
        <v>13</v>
      </c>
      <c r="C3279">
        <v>1</v>
      </c>
      <c r="D3279">
        <v>5</v>
      </c>
      <c r="E3279">
        <v>6</v>
      </c>
      <c r="G3279">
        <v>1315</v>
      </c>
      <c r="H3279" t="s">
        <v>63</v>
      </c>
      <c r="I3279" t="s">
        <v>116</v>
      </c>
      <c r="J3279" t="s">
        <v>146</v>
      </c>
      <c r="L3279">
        <v>0</v>
      </c>
      <c r="M3279" t="s">
        <v>125</v>
      </c>
      <c r="O3279" t="s">
        <v>125</v>
      </c>
      <c r="P3279" t="s">
        <v>125</v>
      </c>
      <c r="Q3279" t="s">
        <v>125</v>
      </c>
      <c r="R3279" t="s">
        <v>125</v>
      </c>
      <c r="S3279" t="s">
        <v>125</v>
      </c>
      <c r="T3279">
        <v>0</v>
      </c>
      <c r="V3279" t="s">
        <v>125</v>
      </c>
      <c r="AE3279" t="s">
        <v>125</v>
      </c>
      <c r="AF3279">
        <v>0</v>
      </c>
      <c r="AG3279" t="s">
        <v>125</v>
      </c>
      <c r="AH3279">
        <v>0</v>
      </c>
      <c r="AK3279">
        <v>0</v>
      </c>
    </row>
    <row r="3280" spans="1:37" x14ac:dyDescent="0.25">
      <c r="A3280" t="s">
        <v>79</v>
      </c>
      <c r="B3280">
        <v>13</v>
      </c>
      <c r="C3280">
        <v>1</v>
      </c>
      <c r="D3280">
        <v>5</v>
      </c>
      <c r="E3280">
        <v>7</v>
      </c>
      <c r="G3280">
        <v>1315</v>
      </c>
      <c r="H3280" t="s">
        <v>63</v>
      </c>
      <c r="I3280" t="s">
        <v>123</v>
      </c>
      <c r="J3280" t="s">
        <v>147</v>
      </c>
      <c r="L3280">
        <v>0</v>
      </c>
      <c r="M3280" t="s">
        <v>125</v>
      </c>
      <c r="O3280" t="s">
        <v>125</v>
      </c>
      <c r="P3280" t="s">
        <v>125</v>
      </c>
      <c r="Q3280" t="s">
        <v>125</v>
      </c>
      <c r="R3280" t="s">
        <v>125</v>
      </c>
      <c r="S3280" t="s">
        <v>125</v>
      </c>
      <c r="T3280">
        <v>0</v>
      </c>
      <c r="V3280" t="s">
        <v>125</v>
      </c>
      <c r="AE3280" t="s">
        <v>125</v>
      </c>
      <c r="AF3280">
        <v>0</v>
      </c>
      <c r="AG3280" t="s">
        <v>125</v>
      </c>
      <c r="AH3280">
        <v>0</v>
      </c>
      <c r="AK3280">
        <v>0</v>
      </c>
    </row>
    <row r="3281" spans="1:37" x14ac:dyDescent="0.25">
      <c r="A3281" t="s">
        <v>79</v>
      </c>
      <c r="B3281">
        <v>13</v>
      </c>
      <c r="C3281">
        <v>1</v>
      </c>
      <c r="D3281">
        <v>5</v>
      </c>
      <c r="E3281">
        <v>8</v>
      </c>
      <c r="G3281">
        <v>1315</v>
      </c>
      <c r="H3281" t="s">
        <v>63</v>
      </c>
      <c r="I3281" t="s">
        <v>126</v>
      </c>
      <c r="J3281" t="s">
        <v>148</v>
      </c>
      <c r="L3281">
        <v>0</v>
      </c>
      <c r="M3281" t="s">
        <v>125</v>
      </c>
      <c r="O3281" t="s">
        <v>125</v>
      </c>
      <c r="P3281" t="s">
        <v>125</v>
      </c>
      <c r="Q3281" t="s">
        <v>125</v>
      </c>
      <c r="R3281" t="s">
        <v>125</v>
      </c>
      <c r="S3281" t="s">
        <v>125</v>
      </c>
      <c r="T3281">
        <v>0</v>
      </c>
      <c r="V3281" t="s">
        <v>125</v>
      </c>
      <c r="AE3281" t="s">
        <v>125</v>
      </c>
      <c r="AF3281">
        <v>0</v>
      </c>
      <c r="AG3281" t="s">
        <v>125</v>
      </c>
      <c r="AH3281">
        <v>0</v>
      </c>
      <c r="AK3281">
        <v>0</v>
      </c>
    </row>
    <row r="3282" spans="1:37" x14ac:dyDescent="0.25">
      <c r="A3282" t="s">
        <v>79</v>
      </c>
      <c r="B3282">
        <v>13</v>
      </c>
      <c r="C3282">
        <v>1</v>
      </c>
      <c r="D3282">
        <v>5</v>
      </c>
      <c r="E3282">
        <v>9</v>
      </c>
      <c r="G3282">
        <v>1315</v>
      </c>
      <c r="H3282" t="s">
        <v>63</v>
      </c>
      <c r="I3282" t="s">
        <v>74</v>
      </c>
      <c r="J3282" t="s">
        <v>149</v>
      </c>
      <c r="L3282">
        <v>0</v>
      </c>
      <c r="M3282" t="s">
        <v>125</v>
      </c>
      <c r="O3282" t="s">
        <v>125</v>
      </c>
      <c r="P3282" t="s">
        <v>125</v>
      </c>
      <c r="Q3282" t="s">
        <v>125</v>
      </c>
      <c r="R3282" t="s">
        <v>125</v>
      </c>
      <c r="S3282" t="s">
        <v>125</v>
      </c>
      <c r="T3282">
        <v>0</v>
      </c>
      <c r="V3282" t="s">
        <v>125</v>
      </c>
      <c r="AE3282" t="s">
        <v>125</v>
      </c>
      <c r="AF3282">
        <v>0</v>
      </c>
      <c r="AG3282" t="s">
        <v>125</v>
      </c>
      <c r="AH3282">
        <v>0</v>
      </c>
      <c r="AK3282">
        <v>0</v>
      </c>
    </row>
    <row r="3283" spans="1:37" x14ac:dyDescent="0.25">
      <c r="A3283" t="s">
        <v>79</v>
      </c>
      <c r="B3283">
        <v>13</v>
      </c>
      <c r="C3283">
        <v>1</v>
      </c>
      <c r="D3283">
        <v>5</v>
      </c>
      <c r="E3283">
        <v>10</v>
      </c>
      <c r="G3283">
        <v>1315</v>
      </c>
      <c r="H3283" t="s">
        <v>63</v>
      </c>
      <c r="I3283" t="s">
        <v>129</v>
      </c>
      <c r="J3283" t="s">
        <v>150</v>
      </c>
      <c r="L3283">
        <v>0</v>
      </c>
      <c r="M3283" t="s">
        <v>125</v>
      </c>
      <c r="O3283" t="s">
        <v>125</v>
      </c>
      <c r="P3283" t="s">
        <v>125</v>
      </c>
      <c r="Q3283" t="s">
        <v>125</v>
      </c>
      <c r="R3283" t="s">
        <v>125</v>
      </c>
      <c r="S3283" t="s">
        <v>125</v>
      </c>
      <c r="T3283">
        <v>0</v>
      </c>
      <c r="V3283" t="s">
        <v>125</v>
      </c>
      <c r="AE3283" t="s">
        <v>125</v>
      </c>
      <c r="AF3283">
        <v>0</v>
      </c>
      <c r="AG3283" t="s">
        <v>125</v>
      </c>
      <c r="AH3283">
        <v>0</v>
      </c>
      <c r="AK3283">
        <v>0</v>
      </c>
    </row>
    <row r="3284" spans="1:37" x14ac:dyDescent="0.25">
      <c r="A3284" t="s">
        <v>79</v>
      </c>
      <c r="B3284">
        <v>13</v>
      </c>
      <c r="C3284">
        <v>1</v>
      </c>
      <c r="D3284">
        <v>5</v>
      </c>
      <c r="E3284">
        <v>11</v>
      </c>
      <c r="G3284">
        <v>1315</v>
      </c>
      <c r="H3284" t="s">
        <v>63</v>
      </c>
      <c r="I3284" t="s">
        <v>131</v>
      </c>
      <c r="J3284" t="s">
        <v>151</v>
      </c>
      <c r="L3284">
        <v>0</v>
      </c>
      <c r="M3284" t="s">
        <v>125</v>
      </c>
      <c r="O3284" t="s">
        <v>125</v>
      </c>
      <c r="P3284" t="s">
        <v>125</v>
      </c>
      <c r="Q3284" t="s">
        <v>125</v>
      </c>
      <c r="R3284" t="s">
        <v>125</v>
      </c>
      <c r="S3284" t="s">
        <v>125</v>
      </c>
      <c r="T3284">
        <v>0</v>
      </c>
      <c r="V3284" t="s">
        <v>125</v>
      </c>
      <c r="AE3284" t="s">
        <v>125</v>
      </c>
      <c r="AF3284">
        <v>0</v>
      </c>
      <c r="AG3284" t="s">
        <v>125</v>
      </c>
      <c r="AH3284">
        <v>0</v>
      </c>
      <c r="AK3284">
        <v>0</v>
      </c>
    </row>
    <row r="3285" spans="1:37" x14ac:dyDescent="0.25">
      <c r="A3285" t="s">
        <v>79</v>
      </c>
      <c r="B3285">
        <v>13</v>
      </c>
      <c r="C3285">
        <v>1</v>
      </c>
      <c r="D3285">
        <v>5</v>
      </c>
      <c r="E3285">
        <v>12</v>
      </c>
      <c r="G3285">
        <v>1315</v>
      </c>
      <c r="H3285" t="s">
        <v>63</v>
      </c>
      <c r="I3285" t="s">
        <v>133</v>
      </c>
      <c r="J3285" t="s">
        <v>152</v>
      </c>
      <c r="L3285">
        <v>0</v>
      </c>
      <c r="M3285" t="s">
        <v>125</v>
      </c>
      <c r="O3285" t="s">
        <v>125</v>
      </c>
      <c r="P3285" t="s">
        <v>125</v>
      </c>
      <c r="Q3285" t="s">
        <v>125</v>
      </c>
      <c r="R3285" t="s">
        <v>125</v>
      </c>
      <c r="S3285" t="s">
        <v>125</v>
      </c>
      <c r="T3285">
        <v>0</v>
      </c>
      <c r="V3285" t="s">
        <v>125</v>
      </c>
      <c r="AE3285" t="s">
        <v>125</v>
      </c>
      <c r="AF3285">
        <v>0</v>
      </c>
      <c r="AG3285" t="s">
        <v>125</v>
      </c>
      <c r="AH3285">
        <v>0</v>
      </c>
      <c r="AK3285">
        <v>0</v>
      </c>
    </row>
    <row r="3286" spans="1:37" x14ac:dyDescent="0.25">
      <c r="A3286" t="s">
        <v>79</v>
      </c>
      <c r="B3286">
        <v>13</v>
      </c>
      <c r="C3286">
        <v>1</v>
      </c>
      <c r="D3286">
        <v>5</v>
      </c>
      <c r="E3286">
        <v>13</v>
      </c>
      <c r="G3286">
        <v>1315</v>
      </c>
      <c r="H3286" t="s">
        <v>63</v>
      </c>
      <c r="I3286" t="s">
        <v>135</v>
      </c>
      <c r="J3286" t="s">
        <v>153</v>
      </c>
      <c r="L3286">
        <v>0</v>
      </c>
      <c r="M3286" t="s">
        <v>125</v>
      </c>
      <c r="O3286" t="s">
        <v>125</v>
      </c>
      <c r="P3286" t="s">
        <v>125</v>
      </c>
      <c r="Q3286" t="s">
        <v>125</v>
      </c>
      <c r="R3286" t="s">
        <v>125</v>
      </c>
      <c r="S3286" t="s">
        <v>125</v>
      </c>
      <c r="T3286">
        <v>0</v>
      </c>
      <c r="V3286" t="s">
        <v>125</v>
      </c>
      <c r="AE3286" t="s">
        <v>125</v>
      </c>
      <c r="AF3286">
        <v>0</v>
      </c>
      <c r="AG3286" t="s">
        <v>125</v>
      </c>
      <c r="AH3286">
        <v>0</v>
      </c>
      <c r="AK3286">
        <v>0</v>
      </c>
    </row>
    <row r="3287" spans="1:37" x14ac:dyDescent="0.25">
      <c r="A3287" t="s">
        <v>79</v>
      </c>
      <c r="B3287">
        <v>13</v>
      </c>
      <c r="C3287">
        <v>1</v>
      </c>
      <c r="D3287">
        <v>5</v>
      </c>
      <c r="E3287">
        <v>14</v>
      </c>
      <c r="G3287">
        <v>1315</v>
      </c>
      <c r="H3287" t="s">
        <v>63</v>
      </c>
      <c r="I3287" t="s">
        <v>137</v>
      </c>
      <c r="J3287" t="s">
        <v>154</v>
      </c>
      <c r="L3287">
        <v>0</v>
      </c>
      <c r="M3287" t="s">
        <v>125</v>
      </c>
      <c r="O3287" t="s">
        <v>125</v>
      </c>
      <c r="P3287" t="s">
        <v>125</v>
      </c>
      <c r="Q3287" t="s">
        <v>125</v>
      </c>
      <c r="R3287" t="s">
        <v>125</v>
      </c>
      <c r="S3287" t="s">
        <v>125</v>
      </c>
      <c r="T3287">
        <v>0</v>
      </c>
      <c r="V3287" t="s">
        <v>125</v>
      </c>
      <c r="AE3287" t="s">
        <v>125</v>
      </c>
      <c r="AF3287">
        <v>0</v>
      </c>
      <c r="AG3287" t="s">
        <v>125</v>
      </c>
      <c r="AH3287">
        <v>0</v>
      </c>
      <c r="AK3287">
        <v>0</v>
      </c>
    </row>
    <row r="3288" spans="1:37" x14ac:dyDescent="0.25">
      <c r="A3288" t="s">
        <v>79</v>
      </c>
      <c r="B3288">
        <v>13</v>
      </c>
      <c r="C3288">
        <v>1</v>
      </c>
      <c r="D3288">
        <v>5</v>
      </c>
      <c r="E3288">
        <v>15</v>
      </c>
      <c r="G3288">
        <v>1315</v>
      </c>
      <c r="H3288" t="s">
        <v>63</v>
      </c>
      <c r="I3288" t="s">
        <v>139</v>
      </c>
      <c r="J3288" t="s">
        <v>155</v>
      </c>
      <c r="L3288">
        <v>0</v>
      </c>
      <c r="M3288" t="s">
        <v>125</v>
      </c>
      <c r="O3288" t="s">
        <v>125</v>
      </c>
      <c r="P3288" t="s">
        <v>125</v>
      </c>
      <c r="Q3288" t="s">
        <v>125</v>
      </c>
      <c r="R3288" t="s">
        <v>125</v>
      </c>
      <c r="S3288" t="s">
        <v>125</v>
      </c>
      <c r="T3288">
        <v>0</v>
      </c>
      <c r="V3288" t="s">
        <v>125</v>
      </c>
      <c r="AE3288" t="s">
        <v>125</v>
      </c>
      <c r="AF3288">
        <v>0</v>
      </c>
      <c r="AG3288" t="s">
        <v>125</v>
      </c>
      <c r="AH3288">
        <v>0</v>
      </c>
      <c r="AK3288">
        <v>0</v>
      </c>
    </row>
    <row r="3289" spans="1:37" x14ac:dyDescent="0.25">
      <c r="L3289">
        <v>0</v>
      </c>
    </row>
    <row r="3290" spans="1:37" x14ac:dyDescent="0.25">
      <c r="L3290">
        <v>0</v>
      </c>
    </row>
    <row r="3291" spans="1:37" x14ac:dyDescent="0.25">
      <c r="A3291" t="s">
        <v>66</v>
      </c>
      <c r="B3291">
        <v>13</v>
      </c>
      <c r="C3291">
        <v>2</v>
      </c>
      <c r="G3291">
        <v>13</v>
      </c>
      <c r="H3291" t="s">
        <v>4066</v>
      </c>
      <c r="I3291" t="s">
        <v>4200</v>
      </c>
      <c r="M3291" t="s">
        <v>4201</v>
      </c>
      <c r="N3291" t="s">
        <v>4200</v>
      </c>
      <c r="P3291" t="s">
        <v>4202</v>
      </c>
      <c r="V3291" t="s">
        <v>4203</v>
      </c>
      <c r="Y3291" t="s">
        <v>4204</v>
      </c>
      <c r="AA3291" t="s">
        <v>4205</v>
      </c>
      <c r="AC3291" t="s">
        <v>63</v>
      </c>
      <c r="AE3291" t="s">
        <v>4206</v>
      </c>
      <c r="AF3291">
        <v>0</v>
      </c>
      <c r="AG3291" t="s">
        <v>4207</v>
      </c>
      <c r="AH3291">
        <v>0</v>
      </c>
      <c r="AK3291">
        <v>0</v>
      </c>
    </row>
    <row r="3292" spans="1:37" x14ac:dyDescent="0.25">
      <c r="L3292">
        <v>0</v>
      </c>
    </row>
    <row r="3293" spans="1:37" x14ac:dyDescent="0.25">
      <c r="A3293" t="s">
        <v>70</v>
      </c>
      <c r="B3293">
        <v>13</v>
      </c>
      <c r="C3293">
        <v>2</v>
      </c>
      <c r="D3293">
        <v>1</v>
      </c>
      <c r="G3293">
        <v>132</v>
      </c>
      <c r="M3293" t="s">
        <v>4208</v>
      </c>
      <c r="O3293" t="s">
        <v>4185</v>
      </c>
      <c r="P3293" t="s">
        <v>4186</v>
      </c>
      <c r="Q3293" t="s">
        <v>486</v>
      </c>
      <c r="R3293" t="s">
        <v>382</v>
      </c>
      <c r="S3293" t="s">
        <v>4187</v>
      </c>
      <c r="V3293" t="s">
        <v>4209</v>
      </c>
      <c r="X3293" t="s">
        <v>4210</v>
      </c>
      <c r="Y3293" t="s">
        <v>4211</v>
      </c>
      <c r="Z3293" t="s">
        <v>4212</v>
      </c>
      <c r="AA3293" t="s">
        <v>4213</v>
      </c>
      <c r="AB3293" t="s">
        <v>63</v>
      </c>
      <c r="AC3293" t="s">
        <v>63</v>
      </c>
      <c r="AE3293" t="s">
        <v>4214</v>
      </c>
      <c r="AF3293">
        <v>0</v>
      </c>
      <c r="AG3293" t="s">
        <v>4215</v>
      </c>
      <c r="AH3293">
        <v>0</v>
      </c>
      <c r="AK3293">
        <v>0</v>
      </c>
    </row>
    <row r="3294" spans="1:37" x14ac:dyDescent="0.25">
      <c r="A3294" t="s">
        <v>79</v>
      </c>
      <c r="B3294">
        <v>13</v>
      </c>
      <c r="C3294">
        <v>2</v>
      </c>
      <c r="D3294">
        <v>1</v>
      </c>
      <c r="E3294">
        <v>1</v>
      </c>
      <c r="G3294">
        <v>1321</v>
      </c>
      <c r="H3294" t="s">
        <v>4185</v>
      </c>
      <c r="I3294" t="s">
        <v>80</v>
      </c>
      <c r="J3294" t="s">
        <v>4216</v>
      </c>
      <c r="L3294">
        <v>0</v>
      </c>
      <c r="M3294" t="s">
        <v>4217</v>
      </c>
      <c r="O3294" t="s">
        <v>4218</v>
      </c>
      <c r="P3294" t="s">
        <v>4219</v>
      </c>
      <c r="Q3294" t="s">
        <v>4048</v>
      </c>
      <c r="R3294" t="s">
        <v>382</v>
      </c>
      <c r="S3294" t="s">
        <v>4220</v>
      </c>
      <c r="T3294">
        <v>20</v>
      </c>
      <c r="U3294">
        <v>0</v>
      </c>
      <c r="V3294" t="s">
        <v>4221</v>
      </c>
      <c r="AE3294" t="s">
        <v>4222</v>
      </c>
      <c r="AF3294">
        <v>0</v>
      </c>
      <c r="AG3294" t="s">
        <v>4223</v>
      </c>
      <c r="AH3294">
        <v>0</v>
      </c>
      <c r="AK3294">
        <v>0</v>
      </c>
    </row>
    <row r="3295" spans="1:37" x14ac:dyDescent="0.25">
      <c r="A3295" t="s">
        <v>79</v>
      </c>
      <c r="B3295">
        <v>13</v>
      </c>
      <c r="C3295">
        <v>2</v>
      </c>
      <c r="D3295">
        <v>1</v>
      </c>
      <c r="E3295">
        <v>2</v>
      </c>
      <c r="G3295">
        <v>1321</v>
      </c>
      <c r="H3295" t="s">
        <v>4185</v>
      </c>
      <c r="I3295" t="s">
        <v>88</v>
      </c>
      <c r="J3295" t="s">
        <v>4224</v>
      </c>
      <c r="L3295">
        <v>0</v>
      </c>
      <c r="M3295" t="s">
        <v>4225</v>
      </c>
      <c r="O3295" t="s">
        <v>4226</v>
      </c>
      <c r="P3295" t="s">
        <v>4227</v>
      </c>
      <c r="Q3295" t="s">
        <v>57</v>
      </c>
      <c r="R3295" t="s">
        <v>382</v>
      </c>
      <c r="S3295" t="s">
        <v>4228</v>
      </c>
      <c r="T3295">
        <v>20</v>
      </c>
      <c r="U3295">
        <v>20</v>
      </c>
      <c r="V3295" t="s">
        <v>4228</v>
      </c>
      <c r="AE3295" t="s">
        <v>4229</v>
      </c>
      <c r="AF3295">
        <v>0</v>
      </c>
      <c r="AG3295" t="s">
        <v>4174</v>
      </c>
      <c r="AH3295">
        <v>0</v>
      </c>
      <c r="AK3295">
        <v>0</v>
      </c>
    </row>
    <row r="3296" spans="1:37" x14ac:dyDescent="0.25">
      <c r="A3296" t="s">
        <v>79</v>
      </c>
      <c r="B3296">
        <v>13</v>
      </c>
      <c r="C3296">
        <v>2</v>
      </c>
      <c r="D3296">
        <v>1</v>
      </c>
      <c r="E3296">
        <v>3</v>
      </c>
      <c r="G3296">
        <v>1321</v>
      </c>
      <c r="H3296" t="s">
        <v>4185</v>
      </c>
      <c r="I3296" t="s">
        <v>95</v>
      </c>
      <c r="J3296" t="s">
        <v>4230</v>
      </c>
      <c r="L3296">
        <v>0</v>
      </c>
      <c r="M3296" t="s">
        <v>4231</v>
      </c>
      <c r="O3296" t="s">
        <v>2969</v>
      </c>
      <c r="P3296" t="s">
        <v>2970</v>
      </c>
      <c r="Q3296" t="s">
        <v>4232</v>
      </c>
      <c r="R3296" t="s">
        <v>229</v>
      </c>
      <c r="S3296" t="s">
        <v>2971</v>
      </c>
      <c r="T3296">
        <v>20</v>
      </c>
      <c r="U3296">
        <v>3</v>
      </c>
      <c r="V3296" t="s">
        <v>863</v>
      </c>
      <c r="AE3296" t="s">
        <v>4233</v>
      </c>
      <c r="AF3296">
        <v>0</v>
      </c>
      <c r="AG3296" t="s">
        <v>4234</v>
      </c>
      <c r="AH3296">
        <v>0</v>
      </c>
      <c r="AK3296">
        <v>0</v>
      </c>
    </row>
    <row r="3297" spans="1:37" x14ac:dyDescent="0.25">
      <c r="A3297" t="s">
        <v>79</v>
      </c>
      <c r="B3297">
        <v>13</v>
      </c>
      <c r="C3297">
        <v>2</v>
      </c>
      <c r="D3297">
        <v>1</v>
      </c>
      <c r="E3297">
        <v>4</v>
      </c>
      <c r="G3297">
        <v>1321</v>
      </c>
      <c r="H3297" t="s">
        <v>4185</v>
      </c>
      <c r="I3297" t="s">
        <v>102</v>
      </c>
      <c r="J3297" t="s">
        <v>4235</v>
      </c>
      <c r="L3297">
        <v>0</v>
      </c>
      <c r="M3297" t="s">
        <v>4236</v>
      </c>
      <c r="O3297" t="s">
        <v>294</v>
      </c>
      <c r="P3297" t="s">
        <v>295</v>
      </c>
      <c r="Q3297" t="s">
        <v>4237</v>
      </c>
      <c r="R3297" t="s">
        <v>229</v>
      </c>
      <c r="S3297" t="s">
        <v>297</v>
      </c>
      <c r="T3297">
        <v>20</v>
      </c>
      <c r="U3297">
        <v>1</v>
      </c>
      <c r="V3297" t="s">
        <v>4238</v>
      </c>
      <c r="AE3297" t="s">
        <v>4239</v>
      </c>
      <c r="AF3297">
        <v>0</v>
      </c>
      <c r="AG3297" t="s">
        <v>4240</v>
      </c>
      <c r="AH3297">
        <v>0</v>
      </c>
      <c r="AK3297">
        <v>0</v>
      </c>
    </row>
    <row r="3298" spans="1:37" x14ac:dyDescent="0.25">
      <c r="A3298" t="s">
        <v>79</v>
      </c>
      <c r="B3298">
        <v>13</v>
      </c>
      <c r="C3298">
        <v>2</v>
      </c>
      <c r="D3298">
        <v>1</v>
      </c>
      <c r="E3298">
        <v>5</v>
      </c>
      <c r="G3298">
        <v>1321</v>
      </c>
      <c r="H3298" t="s">
        <v>4185</v>
      </c>
      <c r="I3298" t="s">
        <v>109</v>
      </c>
      <c r="J3298" t="s">
        <v>4241</v>
      </c>
      <c r="L3298">
        <v>0</v>
      </c>
      <c r="M3298" t="s">
        <v>125</v>
      </c>
      <c r="O3298" t="s">
        <v>125</v>
      </c>
      <c r="P3298" t="s">
        <v>125</v>
      </c>
      <c r="Q3298" t="s">
        <v>125</v>
      </c>
      <c r="R3298" t="s">
        <v>125</v>
      </c>
      <c r="S3298" t="s">
        <v>125</v>
      </c>
      <c r="T3298">
        <v>20</v>
      </c>
      <c r="V3298" t="s">
        <v>125</v>
      </c>
      <c r="AE3298" t="s">
        <v>125</v>
      </c>
      <c r="AF3298">
        <v>0</v>
      </c>
      <c r="AG3298" t="s">
        <v>125</v>
      </c>
      <c r="AH3298">
        <v>0</v>
      </c>
      <c r="AK3298">
        <v>0</v>
      </c>
    </row>
    <row r="3299" spans="1:37" x14ac:dyDescent="0.25">
      <c r="A3299" t="s">
        <v>79</v>
      </c>
      <c r="B3299">
        <v>13</v>
      </c>
      <c r="C3299">
        <v>2</v>
      </c>
      <c r="D3299">
        <v>1</v>
      </c>
      <c r="E3299">
        <v>6</v>
      </c>
      <c r="G3299">
        <v>1321</v>
      </c>
      <c r="H3299" t="s">
        <v>4185</v>
      </c>
      <c r="I3299" t="s">
        <v>116</v>
      </c>
      <c r="J3299" t="s">
        <v>4242</v>
      </c>
      <c r="L3299">
        <v>0</v>
      </c>
      <c r="M3299" t="s">
        <v>125</v>
      </c>
      <c r="O3299" t="s">
        <v>125</v>
      </c>
      <c r="P3299" t="s">
        <v>125</v>
      </c>
      <c r="Q3299" t="s">
        <v>125</v>
      </c>
      <c r="R3299" t="s">
        <v>125</v>
      </c>
      <c r="S3299" t="s">
        <v>125</v>
      </c>
      <c r="T3299">
        <v>20</v>
      </c>
      <c r="V3299" t="s">
        <v>125</v>
      </c>
      <c r="AE3299" t="s">
        <v>125</v>
      </c>
      <c r="AF3299">
        <v>0</v>
      </c>
      <c r="AG3299" t="s">
        <v>125</v>
      </c>
      <c r="AH3299">
        <v>0</v>
      </c>
      <c r="AK3299">
        <v>0</v>
      </c>
    </row>
    <row r="3300" spans="1:37" x14ac:dyDescent="0.25">
      <c r="A3300" t="s">
        <v>79</v>
      </c>
      <c r="B3300">
        <v>13</v>
      </c>
      <c r="C3300">
        <v>2</v>
      </c>
      <c r="D3300">
        <v>1</v>
      </c>
      <c r="E3300">
        <v>7</v>
      </c>
      <c r="G3300">
        <v>1321</v>
      </c>
      <c r="H3300" t="s">
        <v>4185</v>
      </c>
      <c r="I3300" t="s">
        <v>123</v>
      </c>
      <c r="J3300" t="s">
        <v>4243</v>
      </c>
      <c r="L3300">
        <v>0</v>
      </c>
      <c r="M3300" t="s">
        <v>125</v>
      </c>
      <c r="O3300" t="s">
        <v>125</v>
      </c>
      <c r="P3300" t="s">
        <v>125</v>
      </c>
      <c r="Q3300" t="s">
        <v>125</v>
      </c>
      <c r="R3300" t="s">
        <v>125</v>
      </c>
      <c r="S3300" t="s">
        <v>125</v>
      </c>
      <c r="T3300">
        <v>20</v>
      </c>
      <c r="V3300" t="s">
        <v>125</v>
      </c>
      <c r="AE3300" t="s">
        <v>125</v>
      </c>
      <c r="AF3300">
        <v>0</v>
      </c>
      <c r="AG3300" t="s">
        <v>125</v>
      </c>
      <c r="AH3300">
        <v>0</v>
      </c>
      <c r="AK3300">
        <v>0</v>
      </c>
    </row>
    <row r="3301" spans="1:37" x14ac:dyDescent="0.25">
      <c r="A3301" t="s">
        <v>79</v>
      </c>
      <c r="B3301">
        <v>13</v>
      </c>
      <c r="C3301">
        <v>2</v>
      </c>
      <c r="D3301">
        <v>1</v>
      </c>
      <c r="E3301">
        <v>8</v>
      </c>
      <c r="G3301">
        <v>1321</v>
      </c>
      <c r="H3301" t="s">
        <v>4185</v>
      </c>
      <c r="I3301" t="s">
        <v>126</v>
      </c>
      <c r="J3301" t="s">
        <v>4244</v>
      </c>
      <c r="L3301">
        <v>0</v>
      </c>
      <c r="M3301" t="s">
        <v>125</v>
      </c>
      <c r="O3301" t="s">
        <v>125</v>
      </c>
      <c r="P3301" t="s">
        <v>125</v>
      </c>
      <c r="Q3301" t="s">
        <v>125</v>
      </c>
      <c r="R3301" t="s">
        <v>125</v>
      </c>
      <c r="S3301" t="s">
        <v>125</v>
      </c>
      <c r="T3301">
        <v>20</v>
      </c>
      <c r="V3301" t="s">
        <v>125</v>
      </c>
      <c r="AE3301" t="s">
        <v>125</v>
      </c>
      <c r="AF3301">
        <v>0</v>
      </c>
      <c r="AG3301" t="s">
        <v>125</v>
      </c>
      <c r="AH3301">
        <v>0</v>
      </c>
      <c r="AK3301">
        <v>0</v>
      </c>
    </row>
    <row r="3302" spans="1:37" x14ac:dyDescent="0.25">
      <c r="A3302" t="s">
        <v>79</v>
      </c>
      <c r="B3302">
        <v>13</v>
      </c>
      <c r="C3302">
        <v>2</v>
      </c>
      <c r="D3302">
        <v>1</v>
      </c>
      <c r="E3302">
        <v>9</v>
      </c>
      <c r="G3302">
        <v>1321</v>
      </c>
      <c r="H3302" t="s">
        <v>4185</v>
      </c>
      <c r="I3302" t="s">
        <v>74</v>
      </c>
      <c r="J3302" t="s">
        <v>4245</v>
      </c>
      <c r="L3302">
        <v>0</v>
      </c>
      <c r="M3302" t="s">
        <v>125</v>
      </c>
      <c r="O3302" t="s">
        <v>125</v>
      </c>
      <c r="P3302" t="s">
        <v>125</v>
      </c>
      <c r="Q3302" t="s">
        <v>125</v>
      </c>
      <c r="R3302" t="s">
        <v>125</v>
      </c>
      <c r="S3302" t="s">
        <v>125</v>
      </c>
      <c r="T3302">
        <v>20</v>
      </c>
      <c r="V3302" t="s">
        <v>125</v>
      </c>
      <c r="AE3302" t="s">
        <v>125</v>
      </c>
      <c r="AF3302">
        <v>0</v>
      </c>
      <c r="AG3302" t="s">
        <v>125</v>
      </c>
      <c r="AH3302">
        <v>0</v>
      </c>
      <c r="AK3302">
        <v>0</v>
      </c>
    </row>
    <row r="3303" spans="1:37" x14ac:dyDescent="0.25">
      <c r="A3303" t="s">
        <v>79</v>
      </c>
      <c r="B3303">
        <v>13</v>
      </c>
      <c r="C3303">
        <v>2</v>
      </c>
      <c r="D3303">
        <v>1</v>
      </c>
      <c r="E3303">
        <v>10</v>
      </c>
      <c r="G3303">
        <v>1321</v>
      </c>
      <c r="H3303" t="s">
        <v>4185</v>
      </c>
      <c r="I3303" t="s">
        <v>129</v>
      </c>
      <c r="J3303" t="s">
        <v>4246</v>
      </c>
      <c r="L3303">
        <v>0</v>
      </c>
      <c r="M3303" t="s">
        <v>125</v>
      </c>
      <c r="O3303" t="s">
        <v>125</v>
      </c>
      <c r="P3303" t="s">
        <v>125</v>
      </c>
      <c r="Q3303" t="s">
        <v>125</v>
      </c>
      <c r="R3303" t="s">
        <v>125</v>
      </c>
      <c r="S3303" t="s">
        <v>125</v>
      </c>
      <c r="T3303">
        <v>20</v>
      </c>
      <c r="V3303" t="s">
        <v>125</v>
      </c>
      <c r="AE3303" t="s">
        <v>125</v>
      </c>
      <c r="AF3303">
        <v>0</v>
      </c>
      <c r="AG3303" t="s">
        <v>125</v>
      </c>
      <c r="AH3303">
        <v>0</v>
      </c>
      <c r="AK3303">
        <v>0</v>
      </c>
    </row>
    <row r="3304" spans="1:37" x14ac:dyDescent="0.25">
      <c r="A3304" t="s">
        <v>79</v>
      </c>
      <c r="B3304">
        <v>13</v>
      </c>
      <c r="C3304">
        <v>2</v>
      </c>
      <c r="D3304">
        <v>1</v>
      </c>
      <c r="E3304">
        <v>11</v>
      </c>
      <c r="G3304">
        <v>1321</v>
      </c>
      <c r="H3304" t="s">
        <v>4185</v>
      </c>
      <c r="I3304" t="s">
        <v>131</v>
      </c>
      <c r="J3304" t="s">
        <v>4247</v>
      </c>
      <c r="L3304">
        <v>0</v>
      </c>
      <c r="M3304" t="s">
        <v>125</v>
      </c>
      <c r="O3304" t="s">
        <v>125</v>
      </c>
      <c r="P3304" t="s">
        <v>125</v>
      </c>
      <c r="Q3304" t="s">
        <v>125</v>
      </c>
      <c r="R3304" t="s">
        <v>125</v>
      </c>
      <c r="S3304" t="s">
        <v>125</v>
      </c>
      <c r="T3304">
        <v>20</v>
      </c>
      <c r="V3304" t="s">
        <v>125</v>
      </c>
      <c r="AE3304" t="s">
        <v>125</v>
      </c>
      <c r="AF3304">
        <v>0</v>
      </c>
      <c r="AG3304" t="s">
        <v>125</v>
      </c>
      <c r="AH3304">
        <v>0</v>
      </c>
      <c r="AK3304">
        <v>0</v>
      </c>
    </row>
    <row r="3305" spans="1:37" x14ac:dyDescent="0.25">
      <c r="A3305" t="s">
        <v>79</v>
      </c>
      <c r="B3305">
        <v>13</v>
      </c>
      <c r="C3305">
        <v>2</v>
      </c>
      <c r="D3305">
        <v>1</v>
      </c>
      <c r="E3305">
        <v>12</v>
      </c>
      <c r="G3305">
        <v>1321</v>
      </c>
      <c r="H3305" t="s">
        <v>4185</v>
      </c>
      <c r="I3305" t="s">
        <v>133</v>
      </c>
      <c r="J3305" t="s">
        <v>4248</v>
      </c>
      <c r="L3305">
        <v>0</v>
      </c>
      <c r="M3305" t="s">
        <v>125</v>
      </c>
      <c r="O3305" t="s">
        <v>125</v>
      </c>
      <c r="P3305" t="s">
        <v>125</v>
      </c>
      <c r="Q3305" t="s">
        <v>125</v>
      </c>
      <c r="R3305" t="s">
        <v>125</v>
      </c>
      <c r="S3305" t="s">
        <v>125</v>
      </c>
      <c r="T3305">
        <v>20</v>
      </c>
      <c r="V3305" t="s">
        <v>125</v>
      </c>
      <c r="AE3305" t="s">
        <v>125</v>
      </c>
      <c r="AF3305">
        <v>0</v>
      </c>
      <c r="AG3305" t="s">
        <v>125</v>
      </c>
      <c r="AH3305">
        <v>0</v>
      </c>
      <c r="AK3305">
        <v>0</v>
      </c>
    </row>
    <row r="3306" spans="1:37" x14ac:dyDescent="0.25">
      <c r="A3306" t="s">
        <v>79</v>
      </c>
      <c r="B3306">
        <v>13</v>
      </c>
      <c r="C3306">
        <v>2</v>
      </c>
      <c r="D3306">
        <v>1</v>
      </c>
      <c r="E3306">
        <v>13</v>
      </c>
      <c r="G3306">
        <v>1321</v>
      </c>
      <c r="H3306" t="s">
        <v>4185</v>
      </c>
      <c r="I3306" t="s">
        <v>135</v>
      </c>
      <c r="J3306" t="s">
        <v>4249</v>
      </c>
      <c r="L3306">
        <v>0</v>
      </c>
      <c r="M3306" t="s">
        <v>125</v>
      </c>
      <c r="O3306" t="s">
        <v>125</v>
      </c>
      <c r="P3306" t="s">
        <v>125</v>
      </c>
      <c r="Q3306" t="s">
        <v>125</v>
      </c>
      <c r="R3306" t="s">
        <v>125</v>
      </c>
      <c r="S3306" t="s">
        <v>125</v>
      </c>
      <c r="T3306">
        <v>20</v>
      </c>
      <c r="V3306" t="s">
        <v>125</v>
      </c>
      <c r="AE3306" t="s">
        <v>125</v>
      </c>
      <c r="AF3306">
        <v>0</v>
      </c>
      <c r="AG3306" t="s">
        <v>125</v>
      </c>
      <c r="AH3306">
        <v>0</v>
      </c>
      <c r="AK3306">
        <v>0</v>
      </c>
    </row>
    <row r="3307" spans="1:37" x14ac:dyDescent="0.25">
      <c r="A3307" t="s">
        <v>79</v>
      </c>
      <c r="B3307">
        <v>13</v>
      </c>
      <c r="C3307">
        <v>2</v>
      </c>
      <c r="D3307">
        <v>1</v>
      </c>
      <c r="E3307">
        <v>14</v>
      </c>
      <c r="G3307">
        <v>1321</v>
      </c>
      <c r="H3307" t="s">
        <v>4185</v>
      </c>
      <c r="I3307" t="s">
        <v>137</v>
      </c>
      <c r="J3307" t="s">
        <v>4250</v>
      </c>
      <c r="L3307">
        <v>0</v>
      </c>
      <c r="M3307" t="s">
        <v>125</v>
      </c>
      <c r="O3307" t="s">
        <v>125</v>
      </c>
      <c r="P3307" t="s">
        <v>125</v>
      </c>
      <c r="Q3307" t="s">
        <v>125</v>
      </c>
      <c r="R3307" t="s">
        <v>125</v>
      </c>
      <c r="S3307" t="s">
        <v>125</v>
      </c>
      <c r="T3307">
        <v>20</v>
      </c>
      <c r="V3307" t="s">
        <v>125</v>
      </c>
      <c r="AE3307" t="s">
        <v>125</v>
      </c>
      <c r="AF3307">
        <v>0</v>
      </c>
      <c r="AG3307" t="s">
        <v>125</v>
      </c>
      <c r="AH3307">
        <v>0</v>
      </c>
      <c r="AK3307">
        <v>0</v>
      </c>
    </row>
    <row r="3308" spans="1:37" x14ac:dyDescent="0.25">
      <c r="A3308" t="s">
        <v>79</v>
      </c>
      <c r="B3308">
        <v>13</v>
      </c>
      <c r="C3308">
        <v>2</v>
      </c>
      <c r="D3308">
        <v>1</v>
      </c>
      <c r="E3308">
        <v>15</v>
      </c>
      <c r="G3308">
        <v>1321</v>
      </c>
      <c r="H3308" t="s">
        <v>4185</v>
      </c>
      <c r="I3308" t="s">
        <v>139</v>
      </c>
      <c r="J3308" t="s">
        <v>4251</v>
      </c>
      <c r="L3308">
        <v>0</v>
      </c>
      <c r="M3308" t="s">
        <v>125</v>
      </c>
      <c r="O3308" t="s">
        <v>125</v>
      </c>
      <c r="P3308" t="s">
        <v>125</v>
      </c>
      <c r="Q3308" t="s">
        <v>125</v>
      </c>
      <c r="R3308" t="s">
        <v>125</v>
      </c>
      <c r="S3308" t="s">
        <v>125</v>
      </c>
      <c r="T3308">
        <v>20</v>
      </c>
      <c r="V3308" t="s">
        <v>125</v>
      </c>
      <c r="AE3308" t="s">
        <v>125</v>
      </c>
      <c r="AF3308">
        <v>0</v>
      </c>
      <c r="AG3308" t="s">
        <v>125</v>
      </c>
      <c r="AH3308">
        <v>0</v>
      </c>
      <c r="AK3308">
        <v>0</v>
      </c>
    </row>
    <row r="3309" spans="1:37" x14ac:dyDescent="0.25">
      <c r="L3309">
        <v>0</v>
      </c>
    </row>
    <row r="3310" spans="1:37" x14ac:dyDescent="0.25">
      <c r="A3310" t="s">
        <v>70</v>
      </c>
      <c r="B3310">
        <v>13</v>
      </c>
      <c r="C3310">
        <v>2</v>
      </c>
      <c r="D3310">
        <v>2</v>
      </c>
      <c r="G3310">
        <v>132</v>
      </c>
      <c r="M3310" t="s">
        <v>4252</v>
      </c>
      <c r="O3310" t="s">
        <v>4253</v>
      </c>
      <c r="P3310" t="s">
        <v>4254</v>
      </c>
      <c r="Q3310" t="s">
        <v>202</v>
      </c>
      <c r="R3310" t="s">
        <v>382</v>
      </c>
      <c r="S3310" t="s">
        <v>4255</v>
      </c>
      <c r="V3310" t="s">
        <v>4256</v>
      </c>
      <c r="X3310" t="s">
        <v>4257</v>
      </c>
      <c r="Y3310" t="s">
        <v>4258</v>
      </c>
      <c r="Z3310" t="s">
        <v>4259</v>
      </c>
      <c r="AA3310" t="s">
        <v>4260</v>
      </c>
      <c r="AB3310" t="s">
        <v>63</v>
      </c>
      <c r="AC3310" t="s">
        <v>63</v>
      </c>
      <c r="AE3310" t="s">
        <v>4261</v>
      </c>
      <c r="AF3310">
        <v>0</v>
      </c>
      <c r="AG3310" t="s">
        <v>4262</v>
      </c>
      <c r="AH3310">
        <v>0</v>
      </c>
      <c r="AK3310">
        <v>0</v>
      </c>
    </row>
    <row r="3311" spans="1:37" x14ac:dyDescent="0.25">
      <c r="A3311" t="s">
        <v>79</v>
      </c>
      <c r="B3311">
        <v>13</v>
      </c>
      <c r="C3311">
        <v>2</v>
      </c>
      <c r="D3311">
        <v>2</v>
      </c>
      <c r="E3311">
        <v>1</v>
      </c>
      <c r="G3311">
        <v>1322</v>
      </c>
      <c r="H3311" t="s">
        <v>4253</v>
      </c>
      <c r="I3311" t="s">
        <v>80</v>
      </c>
      <c r="J3311" t="s">
        <v>4263</v>
      </c>
      <c r="L3311">
        <v>0</v>
      </c>
      <c r="M3311" t="s">
        <v>4264</v>
      </c>
      <c r="O3311" t="s">
        <v>4218</v>
      </c>
      <c r="P3311" t="s">
        <v>4219</v>
      </c>
      <c r="Q3311" t="s">
        <v>4048</v>
      </c>
      <c r="R3311" t="s">
        <v>382</v>
      </c>
      <c r="S3311" t="s">
        <v>4220</v>
      </c>
      <c r="T3311">
        <v>38</v>
      </c>
      <c r="U3311">
        <v>1</v>
      </c>
      <c r="V3311" t="s">
        <v>4221</v>
      </c>
      <c r="AE3311" t="s">
        <v>4222</v>
      </c>
      <c r="AF3311">
        <v>0</v>
      </c>
      <c r="AG3311" t="s">
        <v>4265</v>
      </c>
      <c r="AH3311">
        <v>0</v>
      </c>
      <c r="AK3311">
        <v>0</v>
      </c>
    </row>
    <row r="3312" spans="1:37" x14ac:dyDescent="0.25">
      <c r="A3312" t="s">
        <v>79</v>
      </c>
      <c r="B3312">
        <v>13</v>
      </c>
      <c r="C3312">
        <v>2</v>
      </c>
      <c r="D3312">
        <v>2</v>
      </c>
      <c r="E3312">
        <v>2</v>
      </c>
      <c r="G3312">
        <v>1322</v>
      </c>
      <c r="H3312" t="s">
        <v>4253</v>
      </c>
      <c r="I3312" t="s">
        <v>88</v>
      </c>
      <c r="J3312" t="s">
        <v>4266</v>
      </c>
      <c r="L3312">
        <v>0</v>
      </c>
      <c r="M3312" t="s">
        <v>4267</v>
      </c>
      <c r="O3312" t="s">
        <v>4268</v>
      </c>
      <c r="P3312" t="s">
        <v>4269</v>
      </c>
      <c r="Q3312" t="s">
        <v>57</v>
      </c>
      <c r="R3312" t="s">
        <v>382</v>
      </c>
      <c r="S3312" t="s">
        <v>4270</v>
      </c>
      <c r="T3312">
        <v>38</v>
      </c>
      <c r="U3312">
        <v>38</v>
      </c>
      <c r="V3312" t="s">
        <v>4270</v>
      </c>
      <c r="AE3312" t="s">
        <v>4271</v>
      </c>
      <c r="AF3312">
        <v>0</v>
      </c>
      <c r="AG3312" t="s">
        <v>4132</v>
      </c>
      <c r="AH3312">
        <v>0</v>
      </c>
      <c r="AK3312">
        <v>0</v>
      </c>
    </row>
    <row r="3313" spans="1:37" x14ac:dyDescent="0.25">
      <c r="A3313" t="s">
        <v>79</v>
      </c>
      <c r="B3313">
        <v>13</v>
      </c>
      <c r="C3313">
        <v>2</v>
      </c>
      <c r="D3313">
        <v>2</v>
      </c>
      <c r="E3313">
        <v>3</v>
      </c>
      <c r="G3313">
        <v>1322</v>
      </c>
      <c r="H3313" t="s">
        <v>4253</v>
      </c>
      <c r="I3313" t="s">
        <v>95</v>
      </c>
      <c r="J3313" t="s">
        <v>4272</v>
      </c>
      <c r="L3313">
        <v>0</v>
      </c>
      <c r="M3313" t="s">
        <v>4273</v>
      </c>
      <c r="O3313" t="s">
        <v>2969</v>
      </c>
      <c r="P3313" t="s">
        <v>2970</v>
      </c>
      <c r="Q3313" t="s">
        <v>4274</v>
      </c>
      <c r="R3313" t="s">
        <v>229</v>
      </c>
      <c r="S3313" t="s">
        <v>2971</v>
      </c>
      <c r="T3313">
        <v>38</v>
      </c>
      <c r="U3313">
        <v>4</v>
      </c>
      <c r="V3313" t="s">
        <v>4275</v>
      </c>
      <c r="AE3313" t="s">
        <v>4276</v>
      </c>
      <c r="AF3313">
        <v>0</v>
      </c>
      <c r="AG3313" t="s">
        <v>4277</v>
      </c>
      <c r="AH3313">
        <v>0</v>
      </c>
      <c r="AK3313">
        <v>0</v>
      </c>
    </row>
    <row r="3314" spans="1:37" x14ac:dyDescent="0.25">
      <c r="A3314" t="s">
        <v>79</v>
      </c>
      <c r="B3314">
        <v>13</v>
      </c>
      <c r="C3314">
        <v>2</v>
      </c>
      <c r="D3314">
        <v>2</v>
      </c>
      <c r="E3314">
        <v>4</v>
      </c>
      <c r="G3314">
        <v>1322</v>
      </c>
      <c r="H3314" t="s">
        <v>4253</v>
      </c>
      <c r="I3314" t="s">
        <v>102</v>
      </c>
      <c r="J3314" t="s">
        <v>4278</v>
      </c>
      <c r="L3314">
        <v>0</v>
      </c>
      <c r="M3314" t="s">
        <v>4279</v>
      </c>
      <c r="O3314" t="s">
        <v>294</v>
      </c>
      <c r="P3314" t="s">
        <v>295</v>
      </c>
      <c r="Q3314" t="s">
        <v>4280</v>
      </c>
      <c r="R3314" t="s">
        <v>229</v>
      </c>
      <c r="S3314" t="s">
        <v>297</v>
      </c>
      <c r="T3314">
        <v>38</v>
      </c>
      <c r="U3314">
        <v>1</v>
      </c>
      <c r="V3314" t="s">
        <v>4050</v>
      </c>
      <c r="AE3314" t="s">
        <v>4281</v>
      </c>
      <c r="AF3314">
        <v>0</v>
      </c>
      <c r="AG3314" t="s">
        <v>4282</v>
      </c>
      <c r="AH3314">
        <v>0</v>
      </c>
      <c r="AK3314">
        <v>0</v>
      </c>
    </row>
    <row r="3315" spans="1:37" x14ac:dyDescent="0.25">
      <c r="A3315" t="s">
        <v>79</v>
      </c>
      <c r="B3315">
        <v>13</v>
      </c>
      <c r="C3315">
        <v>2</v>
      </c>
      <c r="D3315">
        <v>2</v>
      </c>
      <c r="E3315">
        <v>5</v>
      </c>
      <c r="G3315">
        <v>1322</v>
      </c>
      <c r="H3315" t="s">
        <v>4253</v>
      </c>
      <c r="I3315" t="s">
        <v>109</v>
      </c>
      <c r="J3315" t="s">
        <v>4283</v>
      </c>
      <c r="L3315">
        <v>0</v>
      </c>
      <c r="M3315" t="s">
        <v>125</v>
      </c>
      <c r="O3315" t="s">
        <v>125</v>
      </c>
      <c r="P3315" t="s">
        <v>125</v>
      </c>
      <c r="Q3315" t="s">
        <v>125</v>
      </c>
      <c r="R3315" t="s">
        <v>125</v>
      </c>
      <c r="S3315" t="s">
        <v>125</v>
      </c>
      <c r="T3315">
        <v>38</v>
      </c>
      <c r="V3315" t="s">
        <v>125</v>
      </c>
      <c r="AE3315" t="s">
        <v>125</v>
      </c>
      <c r="AF3315">
        <v>0</v>
      </c>
      <c r="AG3315" t="s">
        <v>125</v>
      </c>
      <c r="AH3315">
        <v>0</v>
      </c>
      <c r="AK3315">
        <v>0</v>
      </c>
    </row>
    <row r="3316" spans="1:37" x14ac:dyDescent="0.25">
      <c r="A3316" t="s">
        <v>79</v>
      </c>
      <c r="B3316">
        <v>13</v>
      </c>
      <c r="C3316">
        <v>2</v>
      </c>
      <c r="D3316">
        <v>2</v>
      </c>
      <c r="E3316">
        <v>6</v>
      </c>
      <c r="G3316">
        <v>1322</v>
      </c>
      <c r="H3316" t="s">
        <v>4253</v>
      </c>
      <c r="I3316" t="s">
        <v>116</v>
      </c>
      <c r="J3316" t="s">
        <v>4284</v>
      </c>
      <c r="L3316">
        <v>0</v>
      </c>
      <c r="M3316" t="s">
        <v>125</v>
      </c>
      <c r="O3316" t="s">
        <v>125</v>
      </c>
      <c r="P3316" t="s">
        <v>125</v>
      </c>
      <c r="Q3316" t="s">
        <v>125</v>
      </c>
      <c r="R3316" t="s">
        <v>125</v>
      </c>
      <c r="S3316" t="s">
        <v>125</v>
      </c>
      <c r="T3316">
        <v>38</v>
      </c>
      <c r="V3316" t="s">
        <v>125</v>
      </c>
      <c r="AE3316" t="s">
        <v>125</v>
      </c>
      <c r="AF3316">
        <v>0</v>
      </c>
      <c r="AG3316" t="s">
        <v>125</v>
      </c>
      <c r="AH3316">
        <v>0</v>
      </c>
      <c r="AK3316">
        <v>0</v>
      </c>
    </row>
    <row r="3317" spans="1:37" x14ac:dyDescent="0.25">
      <c r="A3317" t="s">
        <v>79</v>
      </c>
      <c r="B3317">
        <v>13</v>
      </c>
      <c r="C3317">
        <v>2</v>
      </c>
      <c r="D3317">
        <v>2</v>
      </c>
      <c r="E3317">
        <v>7</v>
      </c>
      <c r="G3317">
        <v>1322</v>
      </c>
      <c r="H3317" t="s">
        <v>4253</v>
      </c>
      <c r="I3317" t="s">
        <v>123</v>
      </c>
      <c r="J3317" t="s">
        <v>4285</v>
      </c>
      <c r="L3317">
        <v>0</v>
      </c>
      <c r="M3317" t="s">
        <v>125</v>
      </c>
      <c r="O3317" t="s">
        <v>125</v>
      </c>
      <c r="P3317" t="s">
        <v>125</v>
      </c>
      <c r="Q3317" t="s">
        <v>125</v>
      </c>
      <c r="R3317" t="s">
        <v>125</v>
      </c>
      <c r="S3317" t="s">
        <v>125</v>
      </c>
      <c r="T3317">
        <v>38</v>
      </c>
      <c r="V3317" t="s">
        <v>125</v>
      </c>
      <c r="AE3317" t="s">
        <v>125</v>
      </c>
      <c r="AF3317">
        <v>0</v>
      </c>
      <c r="AG3317" t="s">
        <v>125</v>
      </c>
      <c r="AH3317">
        <v>0</v>
      </c>
      <c r="AK3317">
        <v>0</v>
      </c>
    </row>
    <row r="3318" spans="1:37" x14ac:dyDescent="0.25">
      <c r="A3318" t="s">
        <v>79</v>
      </c>
      <c r="B3318">
        <v>13</v>
      </c>
      <c r="C3318">
        <v>2</v>
      </c>
      <c r="D3318">
        <v>2</v>
      </c>
      <c r="E3318">
        <v>8</v>
      </c>
      <c r="G3318">
        <v>1322</v>
      </c>
      <c r="H3318" t="s">
        <v>4253</v>
      </c>
      <c r="I3318" t="s">
        <v>126</v>
      </c>
      <c r="J3318" t="s">
        <v>4286</v>
      </c>
      <c r="L3318">
        <v>0</v>
      </c>
      <c r="M3318" t="s">
        <v>125</v>
      </c>
      <c r="O3318" t="s">
        <v>125</v>
      </c>
      <c r="P3318" t="s">
        <v>125</v>
      </c>
      <c r="Q3318" t="s">
        <v>125</v>
      </c>
      <c r="R3318" t="s">
        <v>125</v>
      </c>
      <c r="S3318" t="s">
        <v>125</v>
      </c>
      <c r="T3318">
        <v>38</v>
      </c>
      <c r="V3318" t="s">
        <v>125</v>
      </c>
      <c r="AE3318" t="s">
        <v>125</v>
      </c>
      <c r="AF3318">
        <v>0</v>
      </c>
      <c r="AG3318" t="s">
        <v>125</v>
      </c>
      <c r="AH3318">
        <v>0</v>
      </c>
      <c r="AK3318">
        <v>0</v>
      </c>
    </row>
    <row r="3319" spans="1:37" x14ac:dyDescent="0.25">
      <c r="A3319" t="s">
        <v>79</v>
      </c>
      <c r="B3319">
        <v>13</v>
      </c>
      <c r="C3319">
        <v>2</v>
      </c>
      <c r="D3319">
        <v>2</v>
      </c>
      <c r="E3319">
        <v>9</v>
      </c>
      <c r="G3319">
        <v>1322</v>
      </c>
      <c r="H3319" t="s">
        <v>4253</v>
      </c>
      <c r="I3319" t="s">
        <v>74</v>
      </c>
      <c r="J3319" t="s">
        <v>4287</v>
      </c>
      <c r="L3319">
        <v>0</v>
      </c>
      <c r="M3319" t="s">
        <v>125</v>
      </c>
      <c r="O3319" t="s">
        <v>125</v>
      </c>
      <c r="P3319" t="s">
        <v>125</v>
      </c>
      <c r="Q3319" t="s">
        <v>125</v>
      </c>
      <c r="R3319" t="s">
        <v>125</v>
      </c>
      <c r="S3319" t="s">
        <v>125</v>
      </c>
      <c r="T3319">
        <v>38</v>
      </c>
      <c r="V3319" t="s">
        <v>125</v>
      </c>
      <c r="AE3319" t="s">
        <v>125</v>
      </c>
      <c r="AF3319">
        <v>0</v>
      </c>
      <c r="AG3319" t="s">
        <v>125</v>
      </c>
      <c r="AH3319">
        <v>0</v>
      </c>
      <c r="AK3319">
        <v>0</v>
      </c>
    </row>
    <row r="3320" spans="1:37" x14ac:dyDescent="0.25">
      <c r="A3320" t="s">
        <v>79</v>
      </c>
      <c r="B3320">
        <v>13</v>
      </c>
      <c r="C3320">
        <v>2</v>
      </c>
      <c r="D3320">
        <v>2</v>
      </c>
      <c r="E3320">
        <v>10</v>
      </c>
      <c r="G3320">
        <v>1322</v>
      </c>
      <c r="H3320" t="s">
        <v>4253</v>
      </c>
      <c r="I3320" t="s">
        <v>129</v>
      </c>
      <c r="J3320" t="s">
        <v>4288</v>
      </c>
      <c r="L3320">
        <v>0</v>
      </c>
      <c r="M3320" t="s">
        <v>125</v>
      </c>
      <c r="O3320" t="s">
        <v>125</v>
      </c>
      <c r="P3320" t="s">
        <v>125</v>
      </c>
      <c r="Q3320" t="s">
        <v>125</v>
      </c>
      <c r="R3320" t="s">
        <v>125</v>
      </c>
      <c r="S3320" t="s">
        <v>125</v>
      </c>
      <c r="T3320">
        <v>38</v>
      </c>
      <c r="V3320" t="s">
        <v>125</v>
      </c>
      <c r="AE3320" t="s">
        <v>125</v>
      </c>
      <c r="AF3320">
        <v>0</v>
      </c>
      <c r="AG3320" t="s">
        <v>125</v>
      </c>
      <c r="AH3320">
        <v>0</v>
      </c>
      <c r="AK3320">
        <v>0</v>
      </c>
    </row>
    <row r="3321" spans="1:37" x14ac:dyDescent="0.25">
      <c r="A3321" t="s">
        <v>79</v>
      </c>
      <c r="B3321">
        <v>13</v>
      </c>
      <c r="C3321">
        <v>2</v>
      </c>
      <c r="D3321">
        <v>2</v>
      </c>
      <c r="E3321">
        <v>11</v>
      </c>
      <c r="G3321">
        <v>1322</v>
      </c>
      <c r="H3321" t="s">
        <v>4253</v>
      </c>
      <c r="I3321" t="s">
        <v>131</v>
      </c>
      <c r="J3321" t="s">
        <v>4289</v>
      </c>
      <c r="L3321">
        <v>0</v>
      </c>
      <c r="M3321" t="s">
        <v>125</v>
      </c>
      <c r="O3321" t="s">
        <v>125</v>
      </c>
      <c r="P3321" t="s">
        <v>125</v>
      </c>
      <c r="Q3321" t="s">
        <v>125</v>
      </c>
      <c r="R3321" t="s">
        <v>125</v>
      </c>
      <c r="S3321" t="s">
        <v>125</v>
      </c>
      <c r="T3321">
        <v>38</v>
      </c>
      <c r="V3321" t="s">
        <v>125</v>
      </c>
      <c r="AE3321" t="s">
        <v>125</v>
      </c>
      <c r="AF3321">
        <v>0</v>
      </c>
      <c r="AG3321" t="s">
        <v>125</v>
      </c>
      <c r="AH3321">
        <v>0</v>
      </c>
      <c r="AK3321">
        <v>0</v>
      </c>
    </row>
    <row r="3322" spans="1:37" x14ac:dyDescent="0.25">
      <c r="A3322" t="s">
        <v>79</v>
      </c>
      <c r="B3322">
        <v>13</v>
      </c>
      <c r="C3322">
        <v>2</v>
      </c>
      <c r="D3322">
        <v>2</v>
      </c>
      <c r="E3322">
        <v>12</v>
      </c>
      <c r="G3322">
        <v>1322</v>
      </c>
      <c r="H3322" t="s">
        <v>4253</v>
      </c>
      <c r="I3322" t="s">
        <v>133</v>
      </c>
      <c r="J3322" t="s">
        <v>4290</v>
      </c>
      <c r="L3322">
        <v>0</v>
      </c>
      <c r="M3322" t="s">
        <v>125</v>
      </c>
      <c r="O3322" t="s">
        <v>125</v>
      </c>
      <c r="P3322" t="s">
        <v>125</v>
      </c>
      <c r="Q3322" t="s">
        <v>125</v>
      </c>
      <c r="R3322" t="s">
        <v>125</v>
      </c>
      <c r="S3322" t="s">
        <v>125</v>
      </c>
      <c r="T3322">
        <v>38</v>
      </c>
      <c r="V3322" t="s">
        <v>125</v>
      </c>
      <c r="AE3322" t="s">
        <v>125</v>
      </c>
      <c r="AF3322">
        <v>0</v>
      </c>
      <c r="AG3322" t="s">
        <v>125</v>
      </c>
      <c r="AH3322">
        <v>0</v>
      </c>
      <c r="AK3322">
        <v>0</v>
      </c>
    </row>
    <row r="3323" spans="1:37" x14ac:dyDescent="0.25">
      <c r="A3323" t="s">
        <v>79</v>
      </c>
      <c r="B3323">
        <v>13</v>
      </c>
      <c r="C3323">
        <v>2</v>
      </c>
      <c r="D3323">
        <v>2</v>
      </c>
      <c r="E3323">
        <v>13</v>
      </c>
      <c r="G3323">
        <v>1322</v>
      </c>
      <c r="H3323" t="s">
        <v>4253</v>
      </c>
      <c r="I3323" t="s">
        <v>135</v>
      </c>
      <c r="J3323" t="s">
        <v>4291</v>
      </c>
      <c r="L3323">
        <v>0</v>
      </c>
      <c r="M3323" t="s">
        <v>125</v>
      </c>
      <c r="O3323" t="s">
        <v>125</v>
      </c>
      <c r="P3323" t="s">
        <v>125</v>
      </c>
      <c r="Q3323" t="s">
        <v>125</v>
      </c>
      <c r="R3323" t="s">
        <v>125</v>
      </c>
      <c r="S3323" t="s">
        <v>125</v>
      </c>
      <c r="T3323">
        <v>38</v>
      </c>
      <c r="V3323" t="s">
        <v>125</v>
      </c>
      <c r="AE3323" t="s">
        <v>125</v>
      </c>
      <c r="AF3323">
        <v>0</v>
      </c>
      <c r="AG3323" t="s">
        <v>125</v>
      </c>
      <c r="AH3323">
        <v>0</v>
      </c>
      <c r="AK3323">
        <v>0</v>
      </c>
    </row>
    <row r="3324" spans="1:37" x14ac:dyDescent="0.25">
      <c r="A3324" t="s">
        <v>79</v>
      </c>
      <c r="B3324">
        <v>13</v>
      </c>
      <c r="C3324">
        <v>2</v>
      </c>
      <c r="D3324">
        <v>2</v>
      </c>
      <c r="E3324">
        <v>14</v>
      </c>
      <c r="G3324">
        <v>1322</v>
      </c>
      <c r="H3324" t="s">
        <v>4253</v>
      </c>
      <c r="I3324" t="s">
        <v>137</v>
      </c>
      <c r="J3324" t="s">
        <v>4292</v>
      </c>
      <c r="L3324">
        <v>0</v>
      </c>
      <c r="M3324" t="s">
        <v>125</v>
      </c>
      <c r="O3324" t="s">
        <v>125</v>
      </c>
      <c r="P3324" t="s">
        <v>125</v>
      </c>
      <c r="Q3324" t="s">
        <v>125</v>
      </c>
      <c r="R3324" t="s">
        <v>125</v>
      </c>
      <c r="S3324" t="s">
        <v>125</v>
      </c>
      <c r="T3324">
        <v>38</v>
      </c>
      <c r="V3324" t="s">
        <v>125</v>
      </c>
      <c r="AE3324" t="s">
        <v>125</v>
      </c>
      <c r="AF3324">
        <v>0</v>
      </c>
      <c r="AG3324" t="s">
        <v>125</v>
      </c>
      <c r="AH3324">
        <v>0</v>
      </c>
      <c r="AK3324">
        <v>0</v>
      </c>
    </row>
    <row r="3325" spans="1:37" x14ac:dyDescent="0.25">
      <c r="A3325" t="s">
        <v>79</v>
      </c>
      <c r="B3325">
        <v>13</v>
      </c>
      <c r="C3325">
        <v>2</v>
      </c>
      <c r="D3325">
        <v>2</v>
      </c>
      <c r="E3325">
        <v>15</v>
      </c>
      <c r="G3325">
        <v>1322</v>
      </c>
      <c r="H3325" t="s">
        <v>4253</v>
      </c>
      <c r="I3325" t="s">
        <v>139</v>
      </c>
      <c r="J3325" t="s">
        <v>4293</v>
      </c>
      <c r="L3325">
        <v>0</v>
      </c>
      <c r="M3325" t="s">
        <v>125</v>
      </c>
      <c r="O3325" t="s">
        <v>125</v>
      </c>
      <c r="P3325" t="s">
        <v>125</v>
      </c>
      <c r="Q3325" t="s">
        <v>125</v>
      </c>
      <c r="R3325" t="s">
        <v>125</v>
      </c>
      <c r="S3325" t="s">
        <v>125</v>
      </c>
      <c r="T3325">
        <v>38</v>
      </c>
      <c r="V3325" t="s">
        <v>125</v>
      </c>
      <c r="AE3325" t="s">
        <v>125</v>
      </c>
      <c r="AF3325">
        <v>0</v>
      </c>
      <c r="AG3325" t="s">
        <v>125</v>
      </c>
      <c r="AH3325">
        <v>0</v>
      </c>
      <c r="AK3325">
        <v>0</v>
      </c>
    </row>
    <row r="3326" spans="1:37" x14ac:dyDescent="0.25">
      <c r="L3326">
        <v>0</v>
      </c>
    </row>
    <row r="3327" spans="1:37" x14ac:dyDescent="0.25">
      <c r="A3327" t="s">
        <v>70</v>
      </c>
      <c r="B3327">
        <v>13</v>
      </c>
      <c r="C3327">
        <v>2</v>
      </c>
      <c r="D3327">
        <v>3</v>
      </c>
      <c r="G3327">
        <v>132</v>
      </c>
      <c r="M3327" t="s">
        <v>4294</v>
      </c>
      <c r="O3327" t="s">
        <v>4295</v>
      </c>
      <c r="P3327" t="s">
        <v>4296</v>
      </c>
      <c r="Q3327" t="s">
        <v>4297</v>
      </c>
      <c r="R3327" t="s">
        <v>382</v>
      </c>
      <c r="S3327" t="s">
        <v>4298</v>
      </c>
      <c r="V3327" t="s">
        <v>4299</v>
      </c>
      <c r="X3327" t="s">
        <v>4300</v>
      </c>
      <c r="Y3327" t="s">
        <v>4301</v>
      </c>
      <c r="Z3327" t="s">
        <v>4302</v>
      </c>
      <c r="AA3327" t="s">
        <v>4303</v>
      </c>
      <c r="AB3327" t="s">
        <v>63</v>
      </c>
      <c r="AC3327" t="s">
        <v>63</v>
      </c>
      <c r="AE3327" t="s">
        <v>4304</v>
      </c>
      <c r="AF3327">
        <v>0</v>
      </c>
      <c r="AG3327" t="s">
        <v>4305</v>
      </c>
      <c r="AH3327">
        <v>0</v>
      </c>
      <c r="AK3327">
        <v>0</v>
      </c>
    </row>
    <row r="3328" spans="1:37" x14ac:dyDescent="0.25">
      <c r="A3328" t="s">
        <v>79</v>
      </c>
      <c r="B3328">
        <v>13</v>
      </c>
      <c r="C3328">
        <v>2</v>
      </c>
      <c r="D3328">
        <v>3</v>
      </c>
      <c r="E3328">
        <v>1</v>
      </c>
      <c r="G3328">
        <v>1323</v>
      </c>
      <c r="H3328" t="s">
        <v>4295</v>
      </c>
      <c r="I3328" t="s">
        <v>80</v>
      </c>
      <c r="J3328" t="s">
        <v>4306</v>
      </c>
      <c r="L3328">
        <v>0</v>
      </c>
      <c r="M3328" t="s">
        <v>4307</v>
      </c>
      <c r="O3328" t="s">
        <v>4308</v>
      </c>
      <c r="P3328" t="s">
        <v>4309</v>
      </c>
      <c r="Q3328" t="s">
        <v>57</v>
      </c>
      <c r="R3328" t="s">
        <v>382</v>
      </c>
      <c r="S3328" t="s">
        <v>4310</v>
      </c>
      <c r="T3328">
        <v>41</v>
      </c>
      <c r="U3328">
        <v>41</v>
      </c>
      <c r="V3328" t="s">
        <v>4310</v>
      </c>
      <c r="AE3328" t="s">
        <v>4311</v>
      </c>
      <c r="AF3328">
        <v>0</v>
      </c>
      <c r="AG3328" t="s">
        <v>4312</v>
      </c>
      <c r="AH3328">
        <v>0</v>
      </c>
      <c r="AK3328">
        <v>0</v>
      </c>
    </row>
    <row r="3329" spans="1:37" x14ac:dyDescent="0.25">
      <c r="A3329" t="s">
        <v>79</v>
      </c>
      <c r="B3329">
        <v>13</v>
      </c>
      <c r="C3329">
        <v>2</v>
      </c>
      <c r="D3329">
        <v>3</v>
      </c>
      <c r="E3329">
        <v>2</v>
      </c>
      <c r="G3329">
        <v>1323</v>
      </c>
      <c r="H3329" t="s">
        <v>4295</v>
      </c>
      <c r="I3329" t="s">
        <v>88</v>
      </c>
      <c r="J3329" t="s">
        <v>4313</v>
      </c>
      <c r="L3329">
        <v>0</v>
      </c>
      <c r="M3329" t="s">
        <v>4314</v>
      </c>
      <c r="O3329" t="s">
        <v>4135</v>
      </c>
      <c r="P3329" t="s">
        <v>4136</v>
      </c>
      <c r="Q3329" t="s">
        <v>57</v>
      </c>
      <c r="R3329" t="s">
        <v>382</v>
      </c>
      <c r="S3329" t="s">
        <v>4137</v>
      </c>
      <c r="T3329">
        <v>41</v>
      </c>
      <c r="U3329">
        <v>41</v>
      </c>
      <c r="V3329" t="s">
        <v>4137</v>
      </c>
      <c r="AE3329" t="s">
        <v>4138</v>
      </c>
      <c r="AF3329">
        <v>0</v>
      </c>
      <c r="AG3329" t="s">
        <v>4312</v>
      </c>
      <c r="AH3329">
        <v>0</v>
      </c>
      <c r="AK3329">
        <v>0</v>
      </c>
    </row>
    <row r="3330" spans="1:37" x14ac:dyDescent="0.25">
      <c r="A3330" t="s">
        <v>79</v>
      </c>
      <c r="B3330">
        <v>13</v>
      </c>
      <c r="C3330">
        <v>2</v>
      </c>
      <c r="D3330">
        <v>3</v>
      </c>
      <c r="E3330">
        <v>3</v>
      </c>
      <c r="G3330">
        <v>1323</v>
      </c>
      <c r="H3330" t="s">
        <v>4295</v>
      </c>
      <c r="I3330" t="s">
        <v>95</v>
      </c>
      <c r="J3330" t="s">
        <v>4315</v>
      </c>
      <c r="L3330">
        <v>0</v>
      </c>
      <c r="M3330" t="s">
        <v>4316</v>
      </c>
      <c r="O3330" t="s">
        <v>4317</v>
      </c>
      <c r="P3330" t="s">
        <v>4318</v>
      </c>
      <c r="Q3330" t="s">
        <v>57</v>
      </c>
      <c r="R3330" t="s">
        <v>382</v>
      </c>
      <c r="S3330" t="s">
        <v>4319</v>
      </c>
      <c r="T3330">
        <v>41</v>
      </c>
      <c r="U3330">
        <v>41</v>
      </c>
      <c r="V3330" t="s">
        <v>4319</v>
      </c>
      <c r="AE3330" t="s">
        <v>4320</v>
      </c>
      <c r="AF3330">
        <v>0</v>
      </c>
      <c r="AG3330" t="s">
        <v>4312</v>
      </c>
      <c r="AH3330">
        <v>0</v>
      </c>
      <c r="AK3330">
        <v>0</v>
      </c>
    </row>
    <row r="3331" spans="1:37" x14ac:dyDescent="0.25">
      <c r="A3331" t="s">
        <v>79</v>
      </c>
      <c r="B3331">
        <v>13</v>
      </c>
      <c r="C3331">
        <v>2</v>
      </c>
      <c r="D3331">
        <v>3</v>
      </c>
      <c r="E3331">
        <v>4</v>
      </c>
      <c r="G3331">
        <v>1323</v>
      </c>
      <c r="H3331" t="s">
        <v>4295</v>
      </c>
      <c r="I3331" t="s">
        <v>102</v>
      </c>
      <c r="J3331" t="s">
        <v>4321</v>
      </c>
      <c r="L3331">
        <v>0</v>
      </c>
      <c r="M3331" t="s">
        <v>125</v>
      </c>
      <c r="O3331" t="s">
        <v>125</v>
      </c>
      <c r="P3331" t="s">
        <v>125</v>
      </c>
      <c r="Q3331" t="s">
        <v>125</v>
      </c>
      <c r="R3331" t="s">
        <v>125</v>
      </c>
      <c r="S3331" t="s">
        <v>125</v>
      </c>
      <c r="T3331">
        <v>41</v>
      </c>
      <c r="V3331" t="s">
        <v>125</v>
      </c>
      <c r="AE3331" t="s">
        <v>125</v>
      </c>
      <c r="AF3331">
        <v>0</v>
      </c>
      <c r="AG3331" t="s">
        <v>125</v>
      </c>
      <c r="AH3331">
        <v>0</v>
      </c>
      <c r="AK3331">
        <v>0</v>
      </c>
    </row>
    <row r="3332" spans="1:37" x14ac:dyDescent="0.25">
      <c r="A3332" t="s">
        <v>79</v>
      </c>
      <c r="B3332">
        <v>13</v>
      </c>
      <c r="C3332">
        <v>2</v>
      </c>
      <c r="D3332">
        <v>3</v>
      </c>
      <c r="E3332">
        <v>5</v>
      </c>
      <c r="G3332">
        <v>1323</v>
      </c>
      <c r="H3332" t="s">
        <v>4295</v>
      </c>
      <c r="I3332" t="s">
        <v>109</v>
      </c>
      <c r="J3332" t="s">
        <v>4322</v>
      </c>
      <c r="L3332">
        <v>0</v>
      </c>
      <c r="M3332" t="s">
        <v>125</v>
      </c>
      <c r="O3332" t="s">
        <v>125</v>
      </c>
      <c r="P3332" t="s">
        <v>125</v>
      </c>
      <c r="Q3332" t="s">
        <v>125</v>
      </c>
      <c r="R3332" t="s">
        <v>125</v>
      </c>
      <c r="S3332" t="s">
        <v>125</v>
      </c>
      <c r="T3332">
        <v>41</v>
      </c>
      <c r="V3332" t="s">
        <v>125</v>
      </c>
      <c r="AE3332" t="s">
        <v>125</v>
      </c>
      <c r="AF3332">
        <v>0</v>
      </c>
      <c r="AG3332" t="s">
        <v>125</v>
      </c>
      <c r="AH3332">
        <v>0</v>
      </c>
      <c r="AK3332">
        <v>0</v>
      </c>
    </row>
    <row r="3333" spans="1:37" x14ac:dyDescent="0.25">
      <c r="A3333" t="s">
        <v>79</v>
      </c>
      <c r="B3333">
        <v>13</v>
      </c>
      <c r="C3333">
        <v>2</v>
      </c>
      <c r="D3333">
        <v>3</v>
      </c>
      <c r="E3333">
        <v>6</v>
      </c>
      <c r="G3333">
        <v>1323</v>
      </c>
      <c r="H3333" t="s">
        <v>4295</v>
      </c>
      <c r="I3333" t="s">
        <v>116</v>
      </c>
      <c r="J3333" t="s">
        <v>4323</v>
      </c>
      <c r="L3333">
        <v>0</v>
      </c>
      <c r="M3333" t="s">
        <v>125</v>
      </c>
      <c r="O3333" t="s">
        <v>125</v>
      </c>
      <c r="P3333" t="s">
        <v>125</v>
      </c>
      <c r="Q3333" t="s">
        <v>125</v>
      </c>
      <c r="R3333" t="s">
        <v>125</v>
      </c>
      <c r="S3333" t="s">
        <v>125</v>
      </c>
      <c r="T3333">
        <v>41</v>
      </c>
      <c r="V3333" t="s">
        <v>125</v>
      </c>
      <c r="AE3333" t="s">
        <v>125</v>
      </c>
      <c r="AF3333">
        <v>0</v>
      </c>
      <c r="AG3333" t="s">
        <v>125</v>
      </c>
      <c r="AH3333">
        <v>0</v>
      </c>
      <c r="AK3333">
        <v>0</v>
      </c>
    </row>
    <row r="3334" spans="1:37" x14ac:dyDescent="0.25">
      <c r="A3334" t="s">
        <v>79</v>
      </c>
      <c r="B3334">
        <v>13</v>
      </c>
      <c r="C3334">
        <v>2</v>
      </c>
      <c r="D3334">
        <v>3</v>
      </c>
      <c r="E3334">
        <v>7</v>
      </c>
      <c r="G3334">
        <v>1323</v>
      </c>
      <c r="H3334" t="s">
        <v>4295</v>
      </c>
      <c r="I3334" t="s">
        <v>123</v>
      </c>
      <c r="J3334" t="s">
        <v>4324</v>
      </c>
      <c r="L3334">
        <v>0</v>
      </c>
      <c r="M3334" t="s">
        <v>125</v>
      </c>
      <c r="O3334" t="s">
        <v>125</v>
      </c>
      <c r="P3334" t="s">
        <v>125</v>
      </c>
      <c r="Q3334" t="s">
        <v>125</v>
      </c>
      <c r="R3334" t="s">
        <v>125</v>
      </c>
      <c r="S3334" t="s">
        <v>125</v>
      </c>
      <c r="T3334">
        <v>41</v>
      </c>
      <c r="V3334" t="s">
        <v>125</v>
      </c>
      <c r="AE3334" t="s">
        <v>125</v>
      </c>
      <c r="AF3334">
        <v>0</v>
      </c>
      <c r="AG3334" t="s">
        <v>125</v>
      </c>
      <c r="AH3334">
        <v>0</v>
      </c>
      <c r="AK3334">
        <v>0</v>
      </c>
    </row>
    <row r="3335" spans="1:37" x14ac:dyDescent="0.25">
      <c r="A3335" t="s">
        <v>79</v>
      </c>
      <c r="B3335">
        <v>13</v>
      </c>
      <c r="C3335">
        <v>2</v>
      </c>
      <c r="D3335">
        <v>3</v>
      </c>
      <c r="E3335">
        <v>8</v>
      </c>
      <c r="G3335">
        <v>1323</v>
      </c>
      <c r="H3335" t="s">
        <v>4295</v>
      </c>
      <c r="I3335" t="s">
        <v>126</v>
      </c>
      <c r="J3335" t="s">
        <v>4325</v>
      </c>
      <c r="L3335">
        <v>0</v>
      </c>
      <c r="M3335" t="s">
        <v>125</v>
      </c>
      <c r="O3335" t="s">
        <v>125</v>
      </c>
      <c r="P3335" t="s">
        <v>125</v>
      </c>
      <c r="Q3335" t="s">
        <v>125</v>
      </c>
      <c r="R3335" t="s">
        <v>125</v>
      </c>
      <c r="S3335" t="s">
        <v>125</v>
      </c>
      <c r="T3335">
        <v>41</v>
      </c>
      <c r="V3335" t="s">
        <v>125</v>
      </c>
      <c r="AE3335" t="s">
        <v>125</v>
      </c>
      <c r="AF3335">
        <v>0</v>
      </c>
      <c r="AG3335" t="s">
        <v>125</v>
      </c>
      <c r="AH3335">
        <v>0</v>
      </c>
      <c r="AK3335">
        <v>0</v>
      </c>
    </row>
    <row r="3336" spans="1:37" x14ac:dyDescent="0.25">
      <c r="A3336" t="s">
        <v>79</v>
      </c>
      <c r="B3336">
        <v>13</v>
      </c>
      <c r="C3336">
        <v>2</v>
      </c>
      <c r="D3336">
        <v>3</v>
      </c>
      <c r="E3336">
        <v>9</v>
      </c>
      <c r="G3336">
        <v>1323</v>
      </c>
      <c r="H3336" t="s">
        <v>4295</v>
      </c>
      <c r="I3336" t="s">
        <v>74</v>
      </c>
      <c r="J3336" t="s">
        <v>4326</v>
      </c>
      <c r="L3336">
        <v>0</v>
      </c>
      <c r="M3336" t="s">
        <v>125</v>
      </c>
      <c r="O3336" t="s">
        <v>125</v>
      </c>
      <c r="P3336" t="s">
        <v>125</v>
      </c>
      <c r="Q3336" t="s">
        <v>125</v>
      </c>
      <c r="R3336" t="s">
        <v>125</v>
      </c>
      <c r="S3336" t="s">
        <v>125</v>
      </c>
      <c r="T3336">
        <v>41</v>
      </c>
      <c r="V3336" t="s">
        <v>125</v>
      </c>
      <c r="AE3336" t="s">
        <v>125</v>
      </c>
      <c r="AF3336">
        <v>0</v>
      </c>
      <c r="AG3336" t="s">
        <v>125</v>
      </c>
      <c r="AH3336">
        <v>0</v>
      </c>
      <c r="AK3336">
        <v>0</v>
      </c>
    </row>
    <row r="3337" spans="1:37" x14ac:dyDescent="0.25">
      <c r="A3337" t="s">
        <v>79</v>
      </c>
      <c r="B3337">
        <v>13</v>
      </c>
      <c r="C3337">
        <v>2</v>
      </c>
      <c r="D3337">
        <v>3</v>
      </c>
      <c r="E3337">
        <v>10</v>
      </c>
      <c r="G3337">
        <v>1323</v>
      </c>
      <c r="H3337" t="s">
        <v>4295</v>
      </c>
      <c r="I3337" t="s">
        <v>129</v>
      </c>
      <c r="J3337" t="s">
        <v>4327</v>
      </c>
      <c r="L3337">
        <v>0</v>
      </c>
      <c r="M3337" t="s">
        <v>125</v>
      </c>
      <c r="O3337" t="s">
        <v>125</v>
      </c>
      <c r="P3337" t="s">
        <v>125</v>
      </c>
      <c r="Q3337" t="s">
        <v>125</v>
      </c>
      <c r="R3337" t="s">
        <v>125</v>
      </c>
      <c r="S3337" t="s">
        <v>125</v>
      </c>
      <c r="T3337">
        <v>41</v>
      </c>
      <c r="V3337" t="s">
        <v>125</v>
      </c>
      <c r="AE3337" t="s">
        <v>125</v>
      </c>
      <c r="AF3337">
        <v>0</v>
      </c>
      <c r="AG3337" t="s">
        <v>125</v>
      </c>
      <c r="AH3337">
        <v>0</v>
      </c>
      <c r="AK3337">
        <v>0</v>
      </c>
    </row>
    <row r="3338" spans="1:37" x14ac:dyDescent="0.25">
      <c r="A3338" t="s">
        <v>79</v>
      </c>
      <c r="B3338">
        <v>13</v>
      </c>
      <c r="C3338">
        <v>2</v>
      </c>
      <c r="D3338">
        <v>3</v>
      </c>
      <c r="E3338">
        <v>11</v>
      </c>
      <c r="G3338">
        <v>1323</v>
      </c>
      <c r="H3338" t="s">
        <v>4295</v>
      </c>
      <c r="I3338" t="s">
        <v>131</v>
      </c>
      <c r="J3338" t="s">
        <v>4328</v>
      </c>
      <c r="L3338">
        <v>0</v>
      </c>
      <c r="M3338" t="s">
        <v>125</v>
      </c>
      <c r="O3338" t="s">
        <v>125</v>
      </c>
      <c r="P3338" t="s">
        <v>125</v>
      </c>
      <c r="Q3338" t="s">
        <v>125</v>
      </c>
      <c r="R3338" t="s">
        <v>125</v>
      </c>
      <c r="S3338" t="s">
        <v>125</v>
      </c>
      <c r="T3338">
        <v>41</v>
      </c>
      <c r="V3338" t="s">
        <v>125</v>
      </c>
      <c r="AE3338" t="s">
        <v>125</v>
      </c>
      <c r="AF3338">
        <v>0</v>
      </c>
      <c r="AG3338" t="s">
        <v>125</v>
      </c>
      <c r="AH3338">
        <v>0</v>
      </c>
      <c r="AK3338">
        <v>0</v>
      </c>
    </row>
    <row r="3339" spans="1:37" x14ac:dyDescent="0.25">
      <c r="A3339" t="s">
        <v>79</v>
      </c>
      <c r="B3339">
        <v>13</v>
      </c>
      <c r="C3339">
        <v>2</v>
      </c>
      <c r="D3339">
        <v>3</v>
      </c>
      <c r="E3339">
        <v>12</v>
      </c>
      <c r="G3339">
        <v>1323</v>
      </c>
      <c r="H3339" t="s">
        <v>4295</v>
      </c>
      <c r="I3339" t="s">
        <v>133</v>
      </c>
      <c r="J3339" t="s">
        <v>4329</v>
      </c>
      <c r="L3339">
        <v>0</v>
      </c>
      <c r="M3339" t="s">
        <v>125</v>
      </c>
      <c r="O3339" t="s">
        <v>125</v>
      </c>
      <c r="P3339" t="s">
        <v>125</v>
      </c>
      <c r="Q3339" t="s">
        <v>125</v>
      </c>
      <c r="R3339" t="s">
        <v>125</v>
      </c>
      <c r="S3339" t="s">
        <v>125</v>
      </c>
      <c r="T3339">
        <v>41</v>
      </c>
      <c r="V3339" t="s">
        <v>125</v>
      </c>
      <c r="AE3339" t="s">
        <v>125</v>
      </c>
      <c r="AF3339">
        <v>0</v>
      </c>
      <c r="AG3339" t="s">
        <v>125</v>
      </c>
      <c r="AH3339">
        <v>0</v>
      </c>
      <c r="AK3339">
        <v>0</v>
      </c>
    </row>
    <row r="3340" spans="1:37" x14ac:dyDescent="0.25">
      <c r="A3340" t="s">
        <v>79</v>
      </c>
      <c r="B3340">
        <v>13</v>
      </c>
      <c r="C3340">
        <v>2</v>
      </c>
      <c r="D3340">
        <v>3</v>
      </c>
      <c r="E3340">
        <v>13</v>
      </c>
      <c r="G3340">
        <v>1323</v>
      </c>
      <c r="H3340" t="s">
        <v>4295</v>
      </c>
      <c r="I3340" t="s">
        <v>135</v>
      </c>
      <c r="J3340" t="s">
        <v>4330</v>
      </c>
      <c r="L3340">
        <v>0</v>
      </c>
      <c r="M3340" t="s">
        <v>125</v>
      </c>
      <c r="O3340" t="s">
        <v>125</v>
      </c>
      <c r="P3340" t="s">
        <v>125</v>
      </c>
      <c r="Q3340" t="s">
        <v>125</v>
      </c>
      <c r="R3340" t="s">
        <v>125</v>
      </c>
      <c r="S3340" t="s">
        <v>125</v>
      </c>
      <c r="T3340">
        <v>41</v>
      </c>
      <c r="V3340" t="s">
        <v>125</v>
      </c>
      <c r="AE3340" t="s">
        <v>125</v>
      </c>
      <c r="AF3340">
        <v>0</v>
      </c>
      <c r="AG3340" t="s">
        <v>125</v>
      </c>
      <c r="AH3340">
        <v>0</v>
      </c>
      <c r="AK3340">
        <v>0</v>
      </c>
    </row>
    <row r="3341" spans="1:37" x14ac:dyDescent="0.25">
      <c r="A3341" t="s">
        <v>79</v>
      </c>
      <c r="B3341">
        <v>13</v>
      </c>
      <c r="C3341">
        <v>2</v>
      </c>
      <c r="D3341">
        <v>3</v>
      </c>
      <c r="E3341">
        <v>14</v>
      </c>
      <c r="G3341">
        <v>1323</v>
      </c>
      <c r="H3341" t="s">
        <v>4295</v>
      </c>
      <c r="I3341" t="s">
        <v>137</v>
      </c>
      <c r="J3341" t="s">
        <v>4331</v>
      </c>
      <c r="L3341">
        <v>0</v>
      </c>
      <c r="M3341" t="s">
        <v>125</v>
      </c>
      <c r="O3341" t="s">
        <v>125</v>
      </c>
      <c r="P3341" t="s">
        <v>125</v>
      </c>
      <c r="Q3341" t="s">
        <v>125</v>
      </c>
      <c r="R3341" t="s">
        <v>125</v>
      </c>
      <c r="S3341" t="s">
        <v>125</v>
      </c>
      <c r="T3341">
        <v>41</v>
      </c>
      <c r="V3341" t="s">
        <v>125</v>
      </c>
      <c r="AE3341" t="s">
        <v>125</v>
      </c>
      <c r="AF3341">
        <v>0</v>
      </c>
      <c r="AG3341" t="s">
        <v>125</v>
      </c>
      <c r="AH3341">
        <v>0</v>
      </c>
      <c r="AK3341">
        <v>0</v>
      </c>
    </row>
    <row r="3342" spans="1:37" x14ac:dyDescent="0.25">
      <c r="A3342" t="s">
        <v>79</v>
      </c>
      <c r="B3342">
        <v>13</v>
      </c>
      <c r="C3342">
        <v>2</v>
      </c>
      <c r="D3342">
        <v>3</v>
      </c>
      <c r="E3342">
        <v>15</v>
      </c>
      <c r="G3342">
        <v>1323</v>
      </c>
      <c r="H3342" t="s">
        <v>4295</v>
      </c>
      <c r="I3342" t="s">
        <v>139</v>
      </c>
      <c r="J3342" t="s">
        <v>4332</v>
      </c>
      <c r="L3342">
        <v>0</v>
      </c>
      <c r="M3342" t="s">
        <v>125</v>
      </c>
      <c r="O3342" t="s">
        <v>125</v>
      </c>
      <c r="P3342" t="s">
        <v>125</v>
      </c>
      <c r="Q3342" t="s">
        <v>125</v>
      </c>
      <c r="R3342" t="s">
        <v>125</v>
      </c>
      <c r="S3342" t="s">
        <v>125</v>
      </c>
      <c r="T3342">
        <v>41</v>
      </c>
      <c r="V3342" t="s">
        <v>125</v>
      </c>
      <c r="AE3342" t="s">
        <v>125</v>
      </c>
      <c r="AF3342">
        <v>0</v>
      </c>
      <c r="AG3342" t="s">
        <v>125</v>
      </c>
      <c r="AH3342">
        <v>0</v>
      </c>
      <c r="AK3342">
        <v>0</v>
      </c>
    </row>
    <row r="3343" spans="1:37" x14ac:dyDescent="0.25">
      <c r="L3343">
        <v>0</v>
      </c>
    </row>
    <row r="3344" spans="1:37" x14ac:dyDescent="0.25">
      <c r="A3344" t="s">
        <v>70</v>
      </c>
      <c r="B3344">
        <v>13</v>
      </c>
      <c r="C3344">
        <v>2</v>
      </c>
      <c r="D3344">
        <v>4</v>
      </c>
      <c r="G3344">
        <v>132</v>
      </c>
      <c r="M3344" t="s">
        <v>4333</v>
      </c>
      <c r="O3344" t="s">
        <v>4334</v>
      </c>
      <c r="P3344" t="s">
        <v>4335</v>
      </c>
      <c r="Q3344" t="s">
        <v>4297</v>
      </c>
      <c r="R3344" t="s">
        <v>382</v>
      </c>
      <c r="S3344" t="s">
        <v>4336</v>
      </c>
      <c r="V3344" t="s">
        <v>4337</v>
      </c>
      <c r="X3344" t="s">
        <v>4338</v>
      </c>
      <c r="Y3344" t="s">
        <v>4339</v>
      </c>
      <c r="Z3344" t="s">
        <v>4340</v>
      </c>
      <c r="AA3344" t="s">
        <v>4341</v>
      </c>
      <c r="AB3344" t="s">
        <v>63</v>
      </c>
      <c r="AC3344" t="s">
        <v>63</v>
      </c>
      <c r="AE3344" t="s">
        <v>4342</v>
      </c>
      <c r="AF3344">
        <v>0</v>
      </c>
      <c r="AG3344" t="s">
        <v>4343</v>
      </c>
      <c r="AH3344">
        <v>0</v>
      </c>
      <c r="AK3344">
        <v>0</v>
      </c>
    </row>
    <row r="3345" spans="1:37" x14ac:dyDescent="0.25">
      <c r="A3345" t="s">
        <v>79</v>
      </c>
      <c r="B3345">
        <v>13</v>
      </c>
      <c r="C3345">
        <v>2</v>
      </c>
      <c r="D3345">
        <v>4</v>
      </c>
      <c r="E3345">
        <v>1</v>
      </c>
      <c r="G3345">
        <v>1324</v>
      </c>
      <c r="H3345" t="s">
        <v>4334</v>
      </c>
      <c r="I3345" t="s">
        <v>80</v>
      </c>
      <c r="J3345" t="s">
        <v>4344</v>
      </c>
      <c r="L3345">
        <v>0</v>
      </c>
      <c r="M3345" t="s">
        <v>4345</v>
      </c>
      <c r="O3345" t="s">
        <v>4218</v>
      </c>
      <c r="P3345" t="s">
        <v>4219</v>
      </c>
      <c r="Q3345" t="s">
        <v>4346</v>
      </c>
      <c r="R3345" t="s">
        <v>382</v>
      </c>
      <c r="S3345" t="s">
        <v>4220</v>
      </c>
      <c r="T3345">
        <v>41</v>
      </c>
      <c r="U3345">
        <v>2</v>
      </c>
      <c r="V3345" t="s">
        <v>1789</v>
      </c>
      <c r="AE3345" t="s">
        <v>4347</v>
      </c>
      <c r="AF3345">
        <v>0</v>
      </c>
      <c r="AG3345" t="s">
        <v>4348</v>
      </c>
      <c r="AH3345">
        <v>0</v>
      </c>
      <c r="AK3345">
        <v>0</v>
      </c>
    </row>
    <row r="3346" spans="1:37" x14ac:dyDescent="0.25">
      <c r="A3346" t="s">
        <v>79</v>
      </c>
      <c r="B3346">
        <v>13</v>
      </c>
      <c r="C3346">
        <v>2</v>
      </c>
      <c r="D3346">
        <v>4</v>
      </c>
      <c r="E3346">
        <v>2</v>
      </c>
      <c r="G3346">
        <v>1324</v>
      </c>
      <c r="H3346" t="s">
        <v>4334</v>
      </c>
      <c r="I3346" t="s">
        <v>88</v>
      </c>
      <c r="J3346" t="s">
        <v>4349</v>
      </c>
      <c r="L3346">
        <v>0</v>
      </c>
      <c r="M3346" t="s">
        <v>4350</v>
      </c>
      <c r="O3346" t="s">
        <v>4351</v>
      </c>
      <c r="P3346" t="s">
        <v>4352</v>
      </c>
      <c r="Q3346" t="s">
        <v>57</v>
      </c>
      <c r="R3346" t="s">
        <v>382</v>
      </c>
      <c r="S3346" t="s">
        <v>4353</v>
      </c>
      <c r="T3346">
        <v>41</v>
      </c>
      <c r="U3346">
        <v>41</v>
      </c>
      <c r="V3346" t="s">
        <v>4353</v>
      </c>
      <c r="AE3346" t="s">
        <v>4354</v>
      </c>
      <c r="AF3346">
        <v>0</v>
      </c>
      <c r="AG3346" t="s">
        <v>4312</v>
      </c>
      <c r="AH3346">
        <v>0</v>
      </c>
      <c r="AK3346">
        <v>0</v>
      </c>
    </row>
    <row r="3347" spans="1:37" x14ac:dyDescent="0.25">
      <c r="A3347" t="s">
        <v>79</v>
      </c>
      <c r="B3347">
        <v>13</v>
      </c>
      <c r="C3347">
        <v>2</v>
      </c>
      <c r="D3347">
        <v>4</v>
      </c>
      <c r="E3347">
        <v>3</v>
      </c>
      <c r="G3347">
        <v>1324</v>
      </c>
      <c r="H3347" t="s">
        <v>4334</v>
      </c>
      <c r="I3347" t="s">
        <v>95</v>
      </c>
      <c r="J3347" t="s">
        <v>4355</v>
      </c>
      <c r="L3347">
        <v>0</v>
      </c>
      <c r="M3347" t="s">
        <v>4356</v>
      </c>
      <c r="O3347" t="s">
        <v>2969</v>
      </c>
      <c r="P3347" t="s">
        <v>2970</v>
      </c>
      <c r="Q3347" t="s">
        <v>561</v>
      </c>
      <c r="R3347" t="s">
        <v>229</v>
      </c>
      <c r="S3347" t="s">
        <v>2971</v>
      </c>
      <c r="T3347">
        <v>41</v>
      </c>
      <c r="U3347">
        <v>9</v>
      </c>
      <c r="V3347" t="s">
        <v>4357</v>
      </c>
      <c r="AE3347" t="s">
        <v>4358</v>
      </c>
      <c r="AF3347">
        <v>0</v>
      </c>
      <c r="AG3347" t="s">
        <v>4359</v>
      </c>
      <c r="AH3347">
        <v>0</v>
      </c>
      <c r="AK3347">
        <v>0</v>
      </c>
    </row>
    <row r="3348" spans="1:37" x14ac:dyDescent="0.25">
      <c r="A3348" t="s">
        <v>79</v>
      </c>
      <c r="B3348">
        <v>13</v>
      </c>
      <c r="C3348">
        <v>2</v>
      </c>
      <c r="D3348">
        <v>4</v>
      </c>
      <c r="E3348">
        <v>4</v>
      </c>
      <c r="G3348">
        <v>1324</v>
      </c>
      <c r="H3348" t="s">
        <v>4334</v>
      </c>
      <c r="I3348" t="s">
        <v>102</v>
      </c>
      <c r="J3348" t="s">
        <v>4360</v>
      </c>
      <c r="L3348">
        <v>0</v>
      </c>
      <c r="M3348" t="s">
        <v>4361</v>
      </c>
      <c r="O3348" t="s">
        <v>294</v>
      </c>
      <c r="P3348" t="s">
        <v>295</v>
      </c>
      <c r="Q3348" t="s">
        <v>4362</v>
      </c>
      <c r="R3348" t="s">
        <v>229</v>
      </c>
      <c r="S3348" t="s">
        <v>297</v>
      </c>
      <c r="T3348">
        <v>41</v>
      </c>
      <c r="U3348">
        <v>3</v>
      </c>
      <c r="V3348" t="s">
        <v>4363</v>
      </c>
      <c r="AE3348" t="s">
        <v>4364</v>
      </c>
      <c r="AF3348">
        <v>0</v>
      </c>
      <c r="AG3348" t="s">
        <v>4365</v>
      </c>
      <c r="AH3348">
        <v>0</v>
      </c>
      <c r="AK3348">
        <v>0</v>
      </c>
    </row>
    <row r="3349" spans="1:37" x14ac:dyDescent="0.25">
      <c r="A3349" t="s">
        <v>79</v>
      </c>
      <c r="B3349">
        <v>13</v>
      </c>
      <c r="C3349">
        <v>2</v>
      </c>
      <c r="D3349">
        <v>4</v>
      </c>
      <c r="E3349">
        <v>5</v>
      </c>
      <c r="G3349">
        <v>1324</v>
      </c>
      <c r="H3349" t="s">
        <v>4334</v>
      </c>
      <c r="I3349" t="s">
        <v>109</v>
      </c>
      <c r="J3349" t="s">
        <v>4366</v>
      </c>
      <c r="L3349">
        <v>0</v>
      </c>
      <c r="M3349" t="s">
        <v>125</v>
      </c>
      <c r="O3349" t="s">
        <v>125</v>
      </c>
      <c r="P3349" t="s">
        <v>125</v>
      </c>
      <c r="Q3349" t="s">
        <v>125</v>
      </c>
      <c r="R3349" t="s">
        <v>125</v>
      </c>
      <c r="S3349" t="s">
        <v>125</v>
      </c>
      <c r="T3349">
        <v>41</v>
      </c>
      <c r="V3349" t="s">
        <v>125</v>
      </c>
      <c r="AE3349" t="s">
        <v>125</v>
      </c>
      <c r="AF3349">
        <v>0</v>
      </c>
      <c r="AG3349" t="s">
        <v>125</v>
      </c>
      <c r="AH3349">
        <v>0</v>
      </c>
      <c r="AK3349">
        <v>0</v>
      </c>
    </row>
    <row r="3350" spans="1:37" x14ac:dyDescent="0.25">
      <c r="A3350" t="s">
        <v>79</v>
      </c>
      <c r="B3350">
        <v>13</v>
      </c>
      <c r="C3350">
        <v>2</v>
      </c>
      <c r="D3350">
        <v>4</v>
      </c>
      <c r="E3350">
        <v>6</v>
      </c>
      <c r="G3350">
        <v>1324</v>
      </c>
      <c r="H3350" t="s">
        <v>4334</v>
      </c>
      <c r="I3350" t="s">
        <v>116</v>
      </c>
      <c r="J3350" t="s">
        <v>4367</v>
      </c>
      <c r="L3350">
        <v>0</v>
      </c>
      <c r="M3350" t="s">
        <v>125</v>
      </c>
      <c r="O3350" t="s">
        <v>125</v>
      </c>
      <c r="P3350" t="s">
        <v>125</v>
      </c>
      <c r="Q3350" t="s">
        <v>125</v>
      </c>
      <c r="R3350" t="s">
        <v>125</v>
      </c>
      <c r="S3350" t="s">
        <v>125</v>
      </c>
      <c r="T3350">
        <v>41</v>
      </c>
      <c r="V3350" t="s">
        <v>125</v>
      </c>
      <c r="AE3350" t="s">
        <v>125</v>
      </c>
      <c r="AF3350">
        <v>0</v>
      </c>
      <c r="AG3350" t="s">
        <v>125</v>
      </c>
      <c r="AH3350">
        <v>0</v>
      </c>
      <c r="AK3350">
        <v>0</v>
      </c>
    </row>
    <row r="3351" spans="1:37" x14ac:dyDescent="0.25">
      <c r="A3351" t="s">
        <v>79</v>
      </c>
      <c r="B3351">
        <v>13</v>
      </c>
      <c r="C3351">
        <v>2</v>
      </c>
      <c r="D3351">
        <v>4</v>
      </c>
      <c r="E3351">
        <v>7</v>
      </c>
      <c r="G3351">
        <v>1324</v>
      </c>
      <c r="H3351" t="s">
        <v>4334</v>
      </c>
      <c r="I3351" t="s">
        <v>123</v>
      </c>
      <c r="J3351" t="s">
        <v>4368</v>
      </c>
      <c r="L3351">
        <v>0</v>
      </c>
      <c r="M3351" t="s">
        <v>125</v>
      </c>
      <c r="O3351" t="s">
        <v>125</v>
      </c>
      <c r="P3351" t="s">
        <v>125</v>
      </c>
      <c r="Q3351" t="s">
        <v>125</v>
      </c>
      <c r="R3351" t="s">
        <v>125</v>
      </c>
      <c r="S3351" t="s">
        <v>125</v>
      </c>
      <c r="T3351">
        <v>41</v>
      </c>
      <c r="V3351" t="s">
        <v>125</v>
      </c>
      <c r="AE3351" t="s">
        <v>125</v>
      </c>
      <c r="AF3351">
        <v>0</v>
      </c>
      <c r="AG3351" t="s">
        <v>125</v>
      </c>
      <c r="AH3351">
        <v>0</v>
      </c>
      <c r="AK3351">
        <v>0</v>
      </c>
    </row>
    <row r="3352" spans="1:37" x14ac:dyDescent="0.25">
      <c r="A3352" t="s">
        <v>79</v>
      </c>
      <c r="B3352">
        <v>13</v>
      </c>
      <c r="C3352">
        <v>2</v>
      </c>
      <c r="D3352">
        <v>4</v>
      </c>
      <c r="E3352">
        <v>8</v>
      </c>
      <c r="G3352">
        <v>1324</v>
      </c>
      <c r="H3352" t="s">
        <v>4334</v>
      </c>
      <c r="I3352" t="s">
        <v>126</v>
      </c>
      <c r="J3352" t="s">
        <v>4369</v>
      </c>
      <c r="L3352">
        <v>0</v>
      </c>
      <c r="M3352" t="s">
        <v>125</v>
      </c>
      <c r="O3352" t="s">
        <v>125</v>
      </c>
      <c r="P3352" t="s">
        <v>125</v>
      </c>
      <c r="Q3352" t="s">
        <v>125</v>
      </c>
      <c r="R3352" t="s">
        <v>125</v>
      </c>
      <c r="S3352" t="s">
        <v>125</v>
      </c>
      <c r="T3352">
        <v>41</v>
      </c>
      <c r="V3352" t="s">
        <v>125</v>
      </c>
      <c r="AE3352" t="s">
        <v>125</v>
      </c>
      <c r="AF3352">
        <v>0</v>
      </c>
      <c r="AG3352" t="s">
        <v>125</v>
      </c>
      <c r="AH3352">
        <v>0</v>
      </c>
      <c r="AK3352">
        <v>0</v>
      </c>
    </row>
    <row r="3353" spans="1:37" x14ac:dyDescent="0.25">
      <c r="A3353" t="s">
        <v>79</v>
      </c>
      <c r="B3353">
        <v>13</v>
      </c>
      <c r="C3353">
        <v>2</v>
      </c>
      <c r="D3353">
        <v>4</v>
      </c>
      <c r="E3353">
        <v>9</v>
      </c>
      <c r="G3353">
        <v>1324</v>
      </c>
      <c r="H3353" t="s">
        <v>4334</v>
      </c>
      <c r="I3353" t="s">
        <v>74</v>
      </c>
      <c r="J3353" t="s">
        <v>4370</v>
      </c>
      <c r="L3353">
        <v>0</v>
      </c>
      <c r="M3353" t="s">
        <v>125</v>
      </c>
      <c r="O3353" t="s">
        <v>125</v>
      </c>
      <c r="P3353" t="s">
        <v>125</v>
      </c>
      <c r="Q3353" t="s">
        <v>125</v>
      </c>
      <c r="R3353" t="s">
        <v>125</v>
      </c>
      <c r="S3353" t="s">
        <v>125</v>
      </c>
      <c r="T3353">
        <v>41</v>
      </c>
      <c r="V3353" t="s">
        <v>125</v>
      </c>
      <c r="AE3353" t="s">
        <v>125</v>
      </c>
      <c r="AF3353">
        <v>0</v>
      </c>
      <c r="AG3353" t="s">
        <v>125</v>
      </c>
      <c r="AH3353">
        <v>0</v>
      </c>
      <c r="AK3353">
        <v>0</v>
      </c>
    </row>
    <row r="3354" spans="1:37" x14ac:dyDescent="0.25">
      <c r="A3354" t="s">
        <v>79</v>
      </c>
      <c r="B3354">
        <v>13</v>
      </c>
      <c r="C3354">
        <v>2</v>
      </c>
      <c r="D3354">
        <v>4</v>
      </c>
      <c r="E3354">
        <v>10</v>
      </c>
      <c r="G3354">
        <v>1324</v>
      </c>
      <c r="H3354" t="s">
        <v>4334</v>
      </c>
      <c r="I3354" t="s">
        <v>129</v>
      </c>
      <c r="J3354" t="s">
        <v>4371</v>
      </c>
      <c r="L3354">
        <v>0</v>
      </c>
      <c r="M3354" t="s">
        <v>125</v>
      </c>
      <c r="O3354" t="s">
        <v>125</v>
      </c>
      <c r="P3354" t="s">
        <v>125</v>
      </c>
      <c r="Q3354" t="s">
        <v>125</v>
      </c>
      <c r="R3354" t="s">
        <v>125</v>
      </c>
      <c r="S3354" t="s">
        <v>125</v>
      </c>
      <c r="T3354">
        <v>41</v>
      </c>
      <c r="V3354" t="s">
        <v>125</v>
      </c>
      <c r="AE3354" t="s">
        <v>125</v>
      </c>
      <c r="AF3354">
        <v>0</v>
      </c>
      <c r="AG3354" t="s">
        <v>125</v>
      </c>
      <c r="AH3354">
        <v>0</v>
      </c>
      <c r="AK3354">
        <v>0</v>
      </c>
    </row>
    <row r="3355" spans="1:37" x14ac:dyDescent="0.25">
      <c r="A3355" t="s">
        <v>79</v>
      </c>
      <c r="B3355">
        <v>13</v>
      </c>
      <c r="C3355">
        <v>2</v>
      </c>
      <c r="D3355">
        <v>4</v>
      </c>
      <c r="E3355">
        <v>11</v>
      </c>
      <c r="G3355">
        <v>1324</v>
      </c>
      <c r="H3355" t="s">
        <v>4334</v>
      </c>
      <c r="I3355" t="s">
        <v>131</v>
      </c>
      <c r="J3355" t="s">
        <v>4372</v>
      </c>
      <c r="L3355">
        <v>0</v>
      </c>
      <c r="M3355" t="s">
        <v>125</v>
      </c>
      <c r="O3355" t="s">
        <v>125</v>
      </c>
      <c r="P3355" t="s">
        <v>125</v>
      </c>
      <c r="Q3355" t="s">
        <v>125</v>
      </c>
      <c r="R3355" t="s">
        <v>125</v>
      </c>
      <c r="S3355" t="s">
        <v>125</v>
      </c>
      <c r="T3355">
        <v>41</v>
      </c>
      <c r="V3355" t="s">
        <v>125</v>
      </c>
      <c r="AE3355" t="s">
        <v>125</v>
      </c>
      <c r="AF3355">
        <v>0</v>
      </c>
      <c r="AG3355" t="s">
        <v>125</v>
      </c>
      <c r="AH3355">
        <v>0</v>
      </c>
      <c r="AK3355">
        <v>0</v>
      </c>
    </row>
    <row r="3356" spans="1:37" x14ac:dyDescent="0.25">
      <c r="A3356" t="s">
        <v>79</v>
      </c>
      <c r="B3356">
        <v>13</v>
      </c>
      <c r="C3356">
        <v>2</v>
      </c>
      <c r="D3356">
        <v>4</v>
      </c>
      <c r="E3356">
        <v>12</v>
      </c>
      <c r="G3356">
        <v>1324</v>
      </c>
      <c r="H3356" t="s">
        <v>4334</v>
      </c>
      <c r="I3356" t="s">
        <v>133</v>
      </c>
      <c r="J3356" t="s">
        <v>4373</v>
      </c>
      <c r="L3356">
        <v>0</v>
      </c>
      <c r="M3356" t="s">
        <v>125</v>
      </c>
      <c r="O3356" t="s">
        <v>125</v>
      </c>
      <c r="P3356" t="s">
        <v>125</v>
      </c>
      <c r="Q3356" t="s">
        <v>125</v>
      </c>
      <c r="R3356" t="s">
        <v>125</v>
      </c>
      <c r="S3356" t="s">
        <v>125</v>
      </c>
      <c r="T3356">
        <v>41</v>
      </c>
      <c r="V3356" t="s">
        <v>125</v>
      </c>
      <c r="AE3356" t="s">
        <v>125</v>
      </c>
      <c r="AF3356">
        <v>0</v>
      </c>
      <c r="AG3356" t="s">
        <v>125</v>
      </c>
      <c r="AH3356">
        <v>0</v>
      </c>
      <c r="AK3356">
        <v>0</v>
      </c>
    </row>
    <row r="3357" spans="1:37" x14ac:dyDescent="0.25">
      <c r="A3357" t="s">
        <v>79</v>
      </c>
      <c r="B3357">
        <v>13</v>
      </c>
      <c r="C3357">
        <v>2</v>
      </c>
      <c r="D3357">
        <v>4</v>
      </c>
      <c r="E3357">
        <v>13</v>
      </c>
      <c r="G3357">
        <v>1324</v>
      </c>
      <c r="H3357" t="s">
        <v>4334</v>
      </c>
      <c r="I3357" t="s">
        <v>135</v>
      </c>
      <c r="J3357" t="s">
        <v>4374</v>
      </c>
      <c r="L3357">
        <v>0</v>
      </c>
      <c r="M3357" t="s">
        <v>125</v>
      </c>
      <c r="O3357" t="s">
        <v>125</v>
      </c>
      <c r="P3357" t="s">
        <v>125</v>
      </c>
      <c r="Q3357" t="s">
        <v>125</v>
      </c>
      <c r="R3357" t="s">
        <v>125</v>
      </c>
      <c r="S3357" t="s">
        <v>125</v>
      </c>
      <c r="T3357">
        <v>41</v>
      </c>
      <c r="V3357" t="s">
        <v>125</v>
      </c>
      <c r="AE3357" t="s">
        <v>125</v>
      </c>
      <c r="AF3357">
        <v>0</v>
      </c>
      <c r="AG3357" t="s">
        <v>125</v>
      </c>
      <c r="AH3357">
        <v>0</v>
      </c>
      <c r="AK3357">
        <v>0</v>
      </c>
    </row>
    <row r="3358" spans="1:37" x14ac:dyDescent="0.25">
      <c r="A3358" t="s">
        <v>79</v>
      </c>
      <c r="B3358">
        <v>13</v>
      </c>
      <c r="C3358">
        <v>2</v>
      </c>
      <c r="D3358">
        <v>4</v>
      </c>
      <c r="E3358">
        <v>14</v>
      </c>
      <c r="G3358">
        <v>1324</v>
      </c>
      <c r="H3358" t="s">
        <v>4334</v>
      </c>
      <c r="I3358" t="s">
        <v>137</v>
      </c>
      <c r="J3358" t="s">
        <v>4375</v>
      </c>
      <c r="L3358">
        <v>0</v>
      </c>
      <c r="M3358" t="s">
        <v>125</v>
      </c>
      <c r="O3358" t="s">
        <v>125</v>
      </c>
      <c r="P3358" t="s">
        <v>125</v>
      </c>
      <c r="Q3358" t="s">
        <v>125</v>
      </c>
      <c r="R3358" t="s">
        <v>125</v>
      </c>
      <c r="S3358" t="s">
        <v>125</v>
      </c>
      <c r="T3358">
        <v>41</v>
      </c>
      <c r="V3358" t="s">
        <v>125</v>
      </c>
      <c r="AE3358" t="s">
        <v>125</v>
      </c>
      <c r="AF3358">
        <v>0</v>
      </c>
      <c r="AG3358" t="s">
        <v>125</v>
      </c>
      <c r="AH3358">
        <v>0</v>
      </c>
      <c r="AK3358">
        <v>0</v>
      </c>
    </row>
    <row r="3359" spans="1:37" x14ac:dyDescent="0.25">
      <c r="A3359" t="s">
        <v>79</v>
      </c>
      <c r="B3359">
        <v>13</v>
      </c>
      <c r="C3359">
        <v>2</v>
      </c>
      <c r="D3359">
        <v>4</v>
      </c>
      <c r="E3359">
        <v>15</v>
      </c>
      <c r="G3359">
        <v>1324</v>
      </c>
      <c r="H3359" t="s">
        <v>4334</v>
      </c>
      <c r="I3359" t="s">
        <v>139</v>
      </c>
      <c r="J3359" t="s">
        <v>4376</v>
      </c>
      <c r="L3359">
        <v>0</v>
      </c>
      <c r="M3359" t="s">
        <v>125</v>
      </c>
      <c r="O3359" t="s">
        <v>125</v>
      </c>
      <c r="P3359" t="s">
        <v>125</v>
      </c>
      <c r="Q3359" t="s">
        <v>125</v>
      </c>
      <c r="R3359" t="s">
        <v>125</v>
      </c>
      <c r="S3359" t="s">
        <v>125</v>
      </c>
      <c r="T3359">
        <v>41</v>
      </c>
      <c r="V3359" t="s">
        <v>125</v>
      </c>
      <c r="AE3359" t="s">
        <v>125</v>
      </c>
      <c r="AF3359">
        <v>0</v>
      </c>
      <c r="AG3359" t="s">
        <v>125</v>
      </c>
      <c r="AH3359">
        <v>0</v>
      </c>
      <c r="AK3359">
        <v>0</v>
      </c>
    </row>
    <row r="3360" spans="1:37" x14ac:dyDescent="0.25">
      <c r="L3360">
        <v>0</v>
      </c>
    </row>
    <row r="3361" spans="1:37" x14ac:dyDescent="0.25">
      <c r="A3361" t="s">
        <v>70</v>
      </c>
      <c r="B3361">
        <v>13</v>
      </c>
      <c r="C3361">
        <v>2</v>
      </c>
      <c r="D3361">
        <v>5</v>
      </c>
      <c r="G3361">
        <v>132</v>
      </c>
      <c r="M3361" t="s">
        <v>4377</v>
      </c>
      <c r="O3361" t="s">
        <v>4378</v>
      </c>
      <c r="P3361" t="s">
        <v>4379</v>
      </c>
      <c r="Q3361" t="s">
        <v>1196</v>
      </c>
      <c r="R3361" t="s">
        <v>382</v>
      </c>
      <c r="S3361" t="s">
        <v>4380</v>
      </c>
      <c r="V3361" t="s">
        <v>4381</v>
      </c>
      <c r="X3361" t="s">
        <v>4382</v>
      </c>
      <c r="Y3361" t="s">
        <v>4383</v>
      </c>
      <c r="Z3361" t="s">
        <v>4384</v>
      </c>
      <c r="AA3361" t="s">
        <v>4385</v>
      </c>
      <c r="AB3361" t="s">
        <v>63</v>
      </c>
      <c r="AC3361" t="s">
        <v>63</v>
      </c>
      <c r="AE3361" t="s">
        <v>4386</v>
      </c>
      <c r="AF3361">
        <v>0</v>
      </c>
      <c r="AG3361" t="s">
        <v>4387</v>
      </c>
      <c r="AH3361">
        <v>0</v>
      </c>
      <c r="AK3361">
        <v>0</v>
      </c>
    </row>
    <row r="3362" spans="1:37" x14ac:dyDescent="0.25">
      <c r="A3362" t="s">
        <v>79</v>
      </c>
      <c r="B3362">
        <v>13</v>
      </c>
      <c r="C3362">
        <v>2</v>
      </c>
      <c r="D3362">
        <v>5</v>
      </c>
      <c r="E3362">
        <v>1</v>
      </c>
      <c r="G3362">
        <v>1325</v>
      </c>
      <c r="H3362" t="s">
        <v>4378</v>
      </c>
      <c r="I3362" t="s">
        <v>80</v>
      </c>
      <c r="J3362" t="s">
        <v>4388</v>
      </c>
      <c r="L3362">
        <v>0</v>
      </c>
      <c r="M3362" t="s">
        <v>4389</v>
      </c>
      <c r="O3362" t="s">
        <v>4390</v>
      </c>
      <c r="P3362" t="s">
        <v>4391</v>
      </c>
      <c r="Q3362" t="s">
        <v>57</v>
      </c>
      <c r="R3362" t="s">
        <v>382</v>
      </c>
      <c r="S3362" t="s">
        <v>4392</v>
      </c>
      <c r="T3362">
        <v>35</v>
      </c>
      <c r="U3362">
        <v>35</v>
      </c>
      <c r="V3362" t="s">
        <v>4392</v>
      </c>
      <c r="AE3362" t="s">
        <v>4393</v>
      </c>
      <c r="AF3362">
        <v>0</v>
      </c>
      <c r="AG3362" t="s">
        <v>4394</v>
      </c>
      <c r="AH3362">
        <v>0</v>
      </c>
      <c r="AK3362">
        <v>0</v>
      </c>
    </row>
    <row r="3363" spans="1:37" x14ac:dyDescent="0.25">
      <c r="A3363" t="s">
        <v>79</v>
      </c>
      <c r="B3363">
        <v>13</v>
      </c>
      <c r="C3363">
        <v>2</v>
      </c>
      <c r="D3363">
        <v>5</v>
      </c>
      <c r="E3363">
        <v>2</v>
      </c>
      <c r="G3363">
        <v>1325</v>
      </c>
      <c r="H3363" t="s">
        <v>4378</v>
      </c>
      <c r="I3363" t="s">
        <v>88</v>
      </c>
      <c r="J3363" t="s">
        <v>4395</v>
      </c>
      <c r="L3363">
        <v>0</v>
      </c>
      <c r="M3363" t="s">
        <v>4396</v>
      </c>
      <c r="O3363" t="s">
        <v>4218</v>
      </c>
      <c r="P3363" t="s">
        <v>4219</v>
      </c>
      <c r="Q3363" t="s">
        <v>4048</v>
      </c>
      <c r="R3363" t="s">
        <v>382</v>
      </c>
      <c r="S3363" t="s">
        <v>4220</v>
      </c>
      <c r="T3363">
        <v>35</v>
      </c>
      <c r="U3363">
        <v>1</v>
      </c>
      <c r="V3363" t="s">
        <v>4221</v>
      </c>
      <c r="AE3363" t="s">
        <v>4222</v>
      </c>
      <c r="AF3363">
        <v>0</v>
      </c>
      <c r="AG3363" t="s">
        <v>4397</v>
      </c>
      <c r="AH3363">
        <v>0</v>
      </c>
      <c r="AK3363">
        <v>0</v>
      </c>
    </row>
    <row r="3364" spans="1:37" x14ac:dyDescent="0.25">
      <c r="A3364" t="s">
        <v>79</v>
      </c>
      <c r="B3364">
        <v>13</v>
      </c>
      <c r="C3364">
        <v>2</v>
      </c>
      <c r="D3364">
        <v>5</v>
      </c>
      <c r="E3364">
        <v>3</v>
      </c>
      <c r="G3364">
        <v>1325</v>
      </c>
      <c r="H3364" t="s">
        <v>4378</v>
      </c>
      <c r="I3364" t="s">
        <v>95</v>
      </c>
      <c r="J3364" t="s">
        <v>4398</v>
      </c>
      <c r="L3364">
        <v>0</v>
      </c>
      <c r="M3364" t="s">
        <v>4399</v>
      </c>
      <c r="O3364" t="s">
        <v>2969</v>
      </c>
      <c r="P3364" t="s">
        <v>2970</v>
      </c>
      <c r="Q3364" t="s">
        <v>4400</v>
      </c>
      <c r="R3364" t="s">
        <v>229</v>
      </c>
      <c r="S3364" t="s">
        <v>2971</v>
      </c>
      <c r="T3364">
        <v>35</v>
      </c>
      <c r="U3364">
        <v>16</v>
      </c>
      <c r="V3364" t="s">
        <v>4401</v>
      </c>
      <c r="AE3364" t="s">
        <v>4402</v>
      </c>
      <c r="AF3364">
        <v>0</v>
      </c>
      <c r="AG3364" t="s">
        <v>4403</v>
      </c>
      <c r="AH3364">
        <v>0</v>
      </c>
      <c r="AK3364">
        <v>0</v>
      </c>
    </row>
    <row r="3365" spans="1:37" x14ac:dyDescent="0.25">
      <c r="A3365" t="s">
        <v>79</v>
      </c>
      <c r="B3365">
        <v>13</v>
      </c>
      <c r="C3365">
        <v>2</v>
      </c>
      <c r="D3365">
        <v>5</v>
      </c>
      <c r="E3365">
        <v>4</v>
      </c>
      <c r="G3365">
        <v>1325</v>
      </c>
      <c r="H3365" t="s">
        <v>4378</v>
      </c>
      <c r="I3365" t="s">
        <v>102</v>
      </c>
      <c r="J3365" t="s">
        <v>4404</v>
      </c>
      <c r="L3365">
        <v>0</v>
      </c>
      <c r="M3365" t="s">
        <v>4405</v>
      </c>
      <c r="O3365" t="s">
        <v>294</v>
      </c>
      <c r="P3365" t="s">
        <v>295</v>
      </c>
      <c r="Q3365" t="s">
        <v>4406</v>
      </c>
      <c r="R3365" t="s">
        <v>229</v>
      </c>
      <c r="S3365" t="s">
        <v>297</v>
      </c>
      <c r="T3365">
        <v>35</v>
      </c>
      <c r="U3365">
        <v>5</v>
      </c>
      <c r="V3365" t="s">
        <v>4407</v>
      </c>
      <c r="AE3365" t="s">
        <v>4408</v>
      </c>
      <c r="AF3365">
        <v>0</v>
      </c>
      <c r="AG3365" t="s">
        <v>4409</v>
      </c>
      <c r="AH3365">
        <v>0</v>
      </c>
      <c r="AK3365">
        <v>0</v>
      </c>
    </row>
    <row r="3366" spans="1:37" x14ac:dyDescent="0.25">
      <c r="A3366" t="s">
        <v>79</v>
      </c>
      <c r="B3366">
        <v>13</v>
      </c>
      <c r="C3366">
        <v>2</v>
      </c>
      <c r="D3366">
        <v>5</v>
      </c>
      <c r="E3366">
        <v>5</v>
      </c>
      <c r="G3366">
        <v>1325</v>
      </c>
      <c r="H3366" t="s">
        <v>4378</v>
      </c>
      <c r="I3366" t="s">
        <v>109</v>
      </c>
      <c r="J3366" t="s">
        <v>4410</v>
      </c>
      <c r="L3366">
        <v>0</v>
      </c>
      <c r="M3366" t="s">
        <v>125</v>
      </c>
      <c r="O3366" t="s">
        <v>125</v>
      </c>
      <c r="P3366" t="s">
        <v>125</v>
      </c>
      <c r="Q3366" t="s">
        <v>125</v>
      </c>
      <c r="R3366" t="s">
        <v>125</v>
      </c>
      <c r="S3366" t="s">
        <v>125</v>
      </c>
      <c r="T3366">
        <v>35</v>
      </c>
      <c r="V3366" t="s">
        <v>125</v>
      </c>
      <c r="AE3366" t="s">
        <v>125</v>
      </c>
      <c r="AF3366">
        <v>0</v>
      </c>
      <c r="AG3366" t="s">
        <v>125</v>
      </c>
      <c r="AH3366">
        <v>0</v>
      </c>
      <c r="AK3366">
        <v>0</v>
      </c>
    </row>
    <row r="3367" spans="1:37" x14ac:dyDescent="0.25">
      <c r="A3367" t="s">
        <v>79</v>
      </c>
      <c r="B3367">
        <v>13</v>
      </c>
      <c r="C3367">
        <v>2</v>
      </c>
      <c r="D3367">
        <v>5</v>
      </c>
      <c r="E3367">
        <v>6</v>
      </c>
      <c r="G3367">
        <v>1325</v>
      </c>
      <c r="H3367" t="s">
        <v>4378</v>
      </c>
      <c r="I3367" t="s">
        <v>116</v>
      </c>
      <c r="J3367" t="s">
        <v>4411</v>
      </c>
      <c r="L3367">
        <v>0</v>
      </c>
      <c r="M3367" t="s">
        <v>125</v>
      </c>
      <c r="O3367" t="s">
        <v>125</v>
      </c>
      <c r="P3367" t="s">
        <v>125</v>
      </c>
      <c r="Q3367" t="s">
        <v>125</v>
      </c>
      <c r="R3367" t="s">
        <v>125</v>
      </c>
      <c r="S3367" t="s">
        <v>125</v>
      </c>
      <c r="T3367">
        <v>35</v>
      </c>
      <c r="V3367" t="s">
        <v>125</v>
      </c>
      <c r="AE3367" t="s">
        <v>125</v>
      </c>
      <c r="AF3367">
        <v>0</v>
      </c>
      <c r="AG3367" t="s">
        <v>125</v>
      </c>
      <c r="AH3367">
        <v>0</v>
      </c>
      <c r="AK3367">
        <v>0</v>
      </c>
    </row>
    <row r="3368" spans="1:37" x14ac:dyDescent="0.25">
      <c r="A3368" t="s">
        <v>79</v>
      </c>
      <c r="B3368">
        <v>13</v>
      </c>
      <c r="C3368">
        <v>2</v>
      </c>
      <c r="D3368">
        <v>5</v>
      </c>
      <c r="E3368">
        <v>7</v>
      </c>
      <c r="G3368">
        <v>1325</v>
      </c>
      <c r="H3368" t="s">
        <v>4378</v>
      </c>
      <c r="I3368" t="s">
        <v>123</v>
      </c>
      <c r="J3368" t="s">
        <v>4412</v>
      </c>
      <c r="L3368">
        <v>0</v>
      </c>
      <c r="M3368" t="s">
        <v>125</v>
      </c>
      <c r="O3368" t="s">
        <v>125</v>
      </c>
      <c r="P3368" t="s">
        <v>125</v>
      </c>
      <c r="Q3368" t="s">
        <v>125</v>
      </c>
      <c r="R3368" t="s">
        <v>125</v>
      </c>
      <c r="S3368" t="s">
        <v>125</v>
      </c>
      <c r="T3368">
        <v>35</v>
      </c>
      <c r="V3368" t="s">
        <v>125</v>
      </c>
      <c r="AE3368" t="s">
        <v>125</v>
      </c>
      <c r="AF3368">
        <v>0</v>
      </c>
      <c r="AG3368" t="s">
        <v>125</v>
      </c>
      <c r="AH3368">
        <v>0</v>
      </c>
      <c r="AK3368">
        <v>0</v>
      </c>
    </row>
    <row r="3369" spans="1:37" x14ac:dyDescent="0.25">
      <c r="A3369" t="s">
        <v>79</v>
      </c>
      <c r="B3369">
        <v>13</v>
      </c>
      <c r="C3369">
        <v>2</v>
      </c>
      <c r="D3369">
        <v>5</v>
      </c>
      <c r="E3369">
        <v>8</v>
      </c>
      <c r="G3369">
        <v>1325</v>
      </c>
      <c r="H3369" t="s">
        <v>4378</v>
      </c>
      <c r="I3369" t="s">
        <v>126</v>
      </c>
      <c r="J3369" t="s">
        <v>4413</v>
      </c>
      <c r="L3369">
        <v>0</v>
      </c>
      <c r="M3369" t="s">
        <v>125</v>
      </c>
      <c r="O3369" t="s">
        <v>125</v>
      </c>
      <c r="P3369" t="s">
        <v>125</v>
      </c>
      <c r="Q3369" t="s">
        <v>125</v>
      </c>
      <c r="R3369" t="s">
        <v>125</v>
      </c>
      <c r="S3369" t="s">
        <v>125</v>
      </c>
      <c r="T3369">
        <v>35</v>
      </c>
      <c r="V3369" t="s">
        <v>125</v>
      </c>
      <c r="AE3369" t="s">
        <v>125</v>
      </c>
      <c r="AF3369">
        <v>0</v>
      </c>
      <c r="AG3369" t="s">
        <v>125</v>
      </c>
      <c r="AH3369">
        <v>0</v>
      </c>
      <c r="AK3369">
        <v>0</v>
      </c>
    </row>
    <row r="3370" spans="1:37" x14ac:dyDescent="0.25">
      <c r="A3370" t="s">
        <v>79</v>
      </c>
      <c r="B3370">
        <v>13</v>
      </c>
      <c r="C3370">
        <v>2</v>
      </c>
      <c r="D3370">
        <v>5</v>
      </c>
      <c r="E3370">
        <v>9</v>
      </c>
      <c r="G3370">
        <v>1325</v>
      </c>
      <c r="H3370" t="s">
        <v>4378</v>
      </c>
      <c r="I3370" t="s">
        <v>74</v>
      </c>
      <c r="J3370" t="s">
        <v>4414</v>
      </c>
      <c r="L3370">
        <v>0</v>
      </c>
      <c r="M3370" t="s">
        <v>125</v>
      </c>
      <c r="O3370" t="s">
        <v>125</v>
      </c>
      <c r="P3370" t="s">
        <v>125</v>
      </c>
      <c r="Q3370" t="s">
        <v>125</v>
      </c>
      <c r="R3370" t="s">
        <v>125</v>
      </c>
      <c r="S3370" t="s">
        <v>125</v>
      </c>
      <c r="T3370">
        <v>35</v>
      </c>
      <c r="V3370" t="s">
        <v>125</v>
      </c>
      <c r="AE3370" t="s">
        <v>125</v>
      </c>
      <c r="AF3370">
        <v>0</v>
      </c>
      <c r="AG3370" t="s">
        <v>125</v>
      </c>
      <c r="AH3370">
        <v>0</v>
      </c>
      <c r="AK3370">
        <v>0</v>
      </c>
    </row>
    <row r="3371" spans="1:37" x14ac:dyDescent="0.25">
      <c r="A3371" t="s">
        <v>79</v>
      </c>
      <c r="B3371">
        <v>13</v>
      </c>
      <c r="C3371">
        <v>2</v>
      </c>
      <c r="D3371">
        <v>5</v>
      </c>
      <c r="E3371">
        <v>10</v>
      </c>
      <c r="G3371">
        <v>1325</v>
      </c>
      <c r="H3371" t="s">
        <v>4378</v>
      </c>
      <c r="I3371" t="s">
        <v>129</v>
      </c>
      <c r="J3371" t="s">
        <v>4415</v>
      </c>
      <c r="L3371">
        <v>0</v>
      </c>
      <c r="M3371" t="s">
        <v>125</v>
      </c>
      <c r="O3371" t="s">
        <v>125</v>
      </c>
      <c r="P3371" t="s">
        <v>125</v>
      </c>
      <c r="Q3371" t="s">
        <v>125</v>
      </c>
      <c r="R3371" t="s">
        <v>125</v>
      </c>
      <c r="S3371" t="s">
        <v>125</v>
      </c>
      <c r="T3371">
        <v>35</v>
      </c>
      <c r="V3371" t="s">
        <v>125</v>
      </c>
      <c r="AE3371" t="s">
        <v>125</v>
      </c>
      <c r="AF3371">
        <v>0</v>
      </c>
      <c r="AG3371" t="s">
        <v>125</v>
      </c>
      <c r="AH3371">
        <v>0</v>
      </c>
      <c r="AK3371">
        <v>0</v>
      </c>
    </row>
    <row r="3372" spans="1:37" x14ac:dyDescent="0.25">
      <c r="A3372" t="s">
        <v>79</v>
      </c>
      <c r="B3372">
        <v>13</v>
      </c>
      <c r="C3372">
        <v>2</v>
      </c>
      <c r="D3372">
        <v>5</v>
      </c>
      <c r="E3372">
        <v>11</v>
      </c>
      <c r="G3372">
        <v>1325</v>
      </c>
      <c r="H3372" t="s">
        <v>4378</v>
      </c>
      <c r="I3372" t="s">
        <v>131</v>
      </c>
      <c r="J3372" t="s">
        <v>4416</v>
      </c>
      <c r="L3372">
        <v>0</v>
      </c>
      <c r="M3372" t="s">
        <v>125</v>
      </c>
      <c r="O3372" t="s">
        <v>125</v>
      </c>
      <c r="P3372" t="s">
        <v>125</v>
      </c>
      <c r="Q3372" t="s">
        <v>125</v>
      </c>
      <c r="R3372" t="s">
        <v>125</v>
      </c>
      <c r="S3372" t="s">
        <v>125</v>
      </c>
      <c r="T3372">
        <v>35</v>
      </c>
      <c r="V3372" t="s">
        <v>125</v>
      </c>
      <c r="AE3372" t="s">
        <v>125</v>
      </c>
      <c r="AF3372">
        <v>0</v>
      </c>
      <c r="AG3372" t="s">
        <v>125</v>
      </c>
      <c r="AH3372">
        <v>0</v>
      </c>
      <c r="AK3372">
        <v>0</v>
      </c>
    </row>
    <row r="3373" spans="1:37" x14ac:dyDescent="0.25">
      <c r="A3373" t="s">
        <v>79</v>
      </c>
      <c r="B3373">
        <v>13</v>
      </c>
      <c r="C3373">
        <v>2</v>
      </c>
      <c r="D3373">
        <v>5</v>
      </c>
      <c r="E3373">
        <v>12</v>
      </c>
      <c r="G3373">
        <v>1325</v>
      </c>
      <c r="H3373" t="s">
        <v>4378</v>
      </c>
      <c r="I3373" t="s">
        <v>133</v>
      </c>
      <c r="J3373" t="s">
        <v>4417</v>
      </c>
      <c r="L3373">
        <v>0</v>
      </c>
      <c r="M3373" t="s">
        <v>125</v>
      </c>
      <c r="O3373" t="s">
        <v>125</v>
      </c>
      <c r="P3373" t="s">
        <v>125</v>
      </c>
      <c r="Q3373" t="s">
        <v>125</v>
      </c>
      <c r="R3373" t="s">
        <v>125</v>
      </c>
      <c r="S3373" t="s">
        <v>125</v>
      </c>
      <c r="T3373">
        <v>35</v>
      </c>
      <c r="V3373" t="s">
        <v>125</v>
      </c>
      <c r="AE3373" t="s">
        <v>125</v>
      </c>
      <c r="AF3373">
        <v>0</v>
      </c>
      <c r="AG3373" t="s">
        <v>125</v>
      </c>
      <c r="AH3373">
        <v>0</v>
      </c>
      <c r="AK3373">
        <v>0</v>
      </c>
    </row>
    <row r="3374" spans="1:37" x14ac:dyDescent="0.25">
      <c r="A3374" t="s">
        <v>79</v>
      </c>
      <c r="B3374">
        <v>13</v>
      </c>
      <c r="C3374">
        <v>2</v>
      </c>
      <c r="D3374">
        <v>5</v>
      </c>
      <c r="E3374">
        <v>13</v>
      </c>
      <c r="G3374">
        <v>1325</v>
      </c>
      <c r="H3374" t="s">
        <v>4378</v>
      </c>
      <c r="I3374" t="s">
        <v>135</v>
      </c>
      <c r="J3374" t="s">
        <v>4418</v>
      </c>
      <c r="L3374">
        <v>0</v>
      </c>
      <c r="M3374" t="s">
        <v>125</v>
      </c>
      <c r="O3374" t="s">
        <v>125</v>
      </c>
      <c r="P3374" t="s">
        <v>125</v>
      </c>
      <c r="Q3374" t="s">
        <v>125</v>
      </c>
      <c r="R3374" t="s">
        <v>125</v>
      </c>
      <c r="S3374" t="s">
        <v>125</v>
      </c>
      <c r="T3374">
        <v>35</v>
      </c>
      <c r="V3374" t="s">
        <v>125</v>
      </c>
      <c r="AE3374" t="s">
        <v>125</v>
      </c>
      <c r="AF3374">
        <v>0</v>
      </c>
      <c r="AG3374" t="s">
        <v>125</v>
      </c>
      <c r="AH3374">
        <v>0</v>
      </c>
      <c r="AK3374">
        <v>0</v>
      </c>
    </row>
    <row r="3375" spans="1:37" x14ac:dyDescent="0.25">
      <c r="A3375" t="s">
        <v>79</v>
      </c>
      <c r="B3375">
        <v>13</v>
      </c>
      <c r="C3375">
        <v>2</v>
      </c>
      <c r="D3375">
        <v>5</v>
      </c>
      <c r="E3375">
        <v>14</v>
      </c>
      <c r="G3375">
        <v>1325</v>
      </c>
      <c r="H3375" t="s">
        <v>4378</v>
      </c>
      <c r="I3375" t="s">
        <v>137</v>
      </c>
      <c r="J3375" t="s">
        <v>4419</v>
      </c>
      <c r="L3375">
        <v>0</v>
      </c>
      <c r="M3375" t="s">
        <v>125</v>
      </c>
      <c r="O3375" t="s">
        <v>125</v>
      </c>
      <c r="P3375" t="s">
        <v>125</v>
      </c>
      <c r="Q3375" t="s">
        <v>125</v>
      </c>
      <c r="R3375" t="s">
        <v>125</v>
      </c>
      <c r="S3375" t="s">
        <v>125</v>
      </c>
      <c r="T3375">
        <v>35</v>
      </c>
      <c r="V3375" t="s">
        <v>125</v>
      </c>
      <c r="AE3375" t="s">
        <v>125</v>
      </c>
      <c r="AF3375">
        <v>0</v>
      </c>
      <c r="AG3375" t="s">
        <v>125</v>
      </c>
      <c r="AH3375">
        <v>0</v>
      </c>
      <c r="AK3375">
        <v>0</v>
      </c>
    </row>
    <row r="3376" spans="1:37" x14ac:dyDescent="0.25">
      <c r="A3376" t="s">
        <v>79</v>
      </c>
      <c r="B3376">
        <v>13</v>
      </c>
      <c r="C3376">
        <v>2</v>
      </c>
      <c r="D3376">
        <v>5</v>
      </c>
      <c r="E3376">
        <v>15</v>
      </c>
      <c r="G3376">
        <v>1325</v>
      </c>
      <c r="H3376" t="s">
        <v>4378</v>
      </c>
      <c r="I3376" t="s">
        <v>139</v>
      </c>
      <c r="J3376" t="s">
        <v>4420</v>
      </c>
      <c r="L3376">
        <v>0</v>
      </c>
      <c r="M3376" t="s">
        <v>125</v>
      </c>
      <c r="O3376" t="s">
        <v>125</v>
      </c>
      <c r="P3376" t="s">
        <v>125</v>
      </c>
      <c r="Q3376" t="s">
        <v>125</v>
      </c>
      <c r="R3376" t="s">
        <v>125</v>
      </c>
      <c r="S3376" t="s">
        <v>125</v>
      </c>
      <c r="T3376">
        <v>35</v>
      </c>
      <c r="V3376" t="s">
        <v>125</v>
      </c>
      <c r="AE3376" t="s">
        <v>125</v>
      </c>
      <c r="AF3376">
        <v>0</v>
      </c>
      <c r="AG3376" t="s">
        <v>125</v>
      </c>
      <c r="AH3376">
        <v>0</v>
      </c>
      <c r="AK3376">
        <v>0</v>
      </c>
    </row>
    <row r="3377" spans="1:37" x14ac:dyDescent="0.25">
      <c r="L3377">
        <v>0</v>
      </c>
    </row>
    <row r="3378" spans="1:37" x14ac:dyDescent="0.25">
      <c r="L3378">
        <v>0</v>
      </c>
    </row>
    <row r="3379" spans="1:37" x14ac:dyDescent="0.25">
      <c r="A3379" t="s">
        <v>66</v>
      </c>
      <c r="B3379">
        <v>13</v>
      </c>
      <c r="C3379">
        <v>3</v>
      </c>
      <c r="G3379">
        <v>13</v>
      </c>
      <c r="H3379" t="s">
        <v>4066</v>
      </c>
      <c r="I3379" t="s">
        <v>4421</v>
      </c>
      <c r="L3379">
        <v>0</v>
      </c>
      <c r="M3379" t="s">
        <v>125</v>
      </c>
      <c r="N3379" t="s">
        <v>125</v>
      </c>
      <c r="V3379" t="s">
        <v>63</v>
      </c>
      <c r="Y3379" t="s">
        <v>63</v>
      </c>
      <c r="AA3379" t="s">
        <v>63</v>
      </c>
      <c r="AC3379" t="s">
        <v>63</v>
      </c>
      <c r="AE3379" t="s">
        <v>63</v>
      </c>
      <c r="AF3379">
        <v>0</v>
      </c>
      <c r="AG3379" t="s">
        <v>63</v>
      </c>
      <c r="AH3379">
        <v>0</v>
      </c>
      <c r="AK3379">
        <v>0</v>
      </c>
    </row>
    <row r="3380" spans="1:37" x14ac:dyDescent="0.25">
      <c r="L3380">
        <v>0</v>
      </c>
    </row>
    <row r="3381" spans="1:37" x14ac:dyDescent="0.25">
      <c r="A3381" t="s">
        <v>70</v>
      </c>
      <c r="B3381">
        <v>13</v>
      </c>
      <c r="C3381">
        <v>3</v>
      </c>
      <c r="D3381">
        <v>1</v>
      </c>
      <c r="G3381">
        <v>133</v>
      </c>
      <c r="L3381">
        <v>0</v>
      </c>
      <c r="M3381" t="s">
        <v>125</v>
      </c>
      <c r="P3381" t="s">
        <v>125</v>
      </c>
      <c r="R3381" t="s">
        <v>125</v>
      </c>
      <c r="S3381" t="s">
        <v>63</v>
      </c>
      <c r="V3381" t="s">
        <v>125</v>
      </c>
      <c r="X3381" t="s">
        <v>125</v>
      </c>
      <c r="Y3381" t="s">
        <v>125</v>
      </c>
      <c r="Z3381" t="s">
        <v>125</v>
      </c>
      <c r="AA3381" t="s">
        <v>125</v>
      </c>
      <c r="AB3381" t="s">
        <v>125</v>
      </c>
      <c r="AC3381" t="s">
        <v>125</v>
      </c>
      <c r="AE3381" t="s">
        <v>125</v>
      </c>
      <c r="AF3381">
        <v>0</v>
      </c>
      <c r="AG3381" t="s">
        <v>125</v>
      </c>
      <c r="AH3381">
        <v>0</v>
      </c>
      <c r="AK3381">
        <v>0</v>
      </c>
    </row>
    <row r="3382" spans="1:37" x14ac:dyDescent="0.25">
      <c r="A3382" t="s">
        <v>79</v>
      </c>
      <c r="B3382">
        <v>13</v>
      </c>
      <c r="C3382">
        <v>3</v>
      </c>
      <c r="D3382">
        <v>1</v>
      </c>
      <c r="E3382">
        <v>1</v>
      </c>
      <c r="G3382">
        <v>1331</v>
      </c>
      <c r="H3382" t="s">
        <v>63</v>
      </c>
      <c r="I3382" t="s">
        <v>80</v>
      </c>
      <c r="J3382" t="s">
        <v>141</v>
      </c>
      <c r="L3382">
        <v>0</v>
      </c>
      <c r="M3382" t="s">
        <v>125</v>
      </c>
      <c r="O3382" t="s">
        <v>125</v>
      </c>
      <c r="P3382" t="s">
        <v>125</v>
      </c>
      <c r="Q3382" t="s">
        <v>125</v>
      </c>
      <c r="R3382" t="s">
        <v>125</v>
      </c>
      <c r="S3382" t="s">
        <v>125</v>
      </c>
      <c r="T3382">
        <v>0</v>
      </c>
      <c r="V3382" t="s">
        <v>125</v>
      </c>
      <c r="AE3382" t="s">
        <v>125</v>
      </c>
      <c r="AF3382">
        <v>0</v>
      </c>
      <c r="AG3382" t="s">
        <v>125</v>
      </c>
      <c r="AH3382">
        <v>0</v>
      </c>
      <c r="AK3382">
        <v>0</v>
      </c>
    </row>
    <row r="3383" spans="1:37" x14ac:dyDescent="0.25">
      <c r="A3383" t="s">
        <v>79</v>
      </c>
      <c r="B3383">
        <v>13</v>
      </c>
      <c r="C3383">
        <v>3</v>
      </c>
      <c r="D3383">
        <v>1</v>
      </c>
      <c r="E3383">
        <v>2</v>
      </c>
      <c r="G3383">
        <v>1331</v>
      </c>
      <c r="H3383" t="s">
        <v>63</v>
      </c>
      <c r="I3383" t="s">
        <v>88</v>
      </c>
      <c r="J3383" t="s">
        <v>142</v>
      </c>
      <c r="L3383">
        <v>0</v>
      </c>
      <c r="M3383" t="s">
        <v>125</v>
      </c>
      <c r="O3383" t="s">
        <v>125</v>
      </c>
      <c r="P3383" t="s">
        <v>125</v>
      </c>
      <c r="Q3383" t="s">
        <v>125</v>
      </c>
      <c r="R3383" t="s">
        <v>125</v>
      </c>
      <c r="S3383" t="s">
        <v>125</v>
      </c>
      <c r="T3383">
        <v>0</v>
      </c>
      <c r="V3383" t="s">
        <v>125</v>
      </c>
      <c r="AE3383" t="s">
        <v>125</v>
      </c>
      <c r="AF3383">
        <v>0</v>
      </c>
      <c r="AG3383" t="s">
        <v>125</v>
      </c>
      <c r="AH3383">
        <v>0</v>
      </c>
      <c r="AK3383">
        <v>0</v>
      </c>
    </row>
    <row r="3384" spans="1:37" x14ac:dyDescent="0.25">
      <c r="A3384" t="s">
        <v>79</v>
      </c>
      <c r="B3384">
        <v>13</v>
      </c>
      <c r="C3384">
        <v>3</v>
      </c>
      <c r="D3384">
        <v>1</v>
      </c>
      <c r="E3384">
        <v>3</v>
      </c>
      <c r="G3384">
        <v>1331</v>
      </c>
      <c r="H3384" t="s">
        <v>63</v>
      </c>
      <c r="I3384" t="s">
        <v>95</v>
      </c>
      <c r="J3384" t="s">
        <v>143</v>
      </c>
      <c r="L3384">
        <v>0</v>
      </c>
      <c r="M3384" t="s">
        <v>125</v>
      </c>
      <c r="O3384" t="s">
        <v>125</v>
      </c>
      <c r="P3384" t="s">
        <v>125</v>
      </c>
      <c r="Q3384" t="s">
        <v>125</v>
      </c>
      <c r="R3384" t="s">
        <v>125</v>
      </c>
      <c r="S3384" t="s">
        <v>125</v>
      </c>
      <c r="T3384">
        <v>0</v>
      </c>
      <c r="V3384" t="s">
        <v>125</v>
      </c>
      <c r="AE3384" t="s">
        <v>125</v>
      </c>
      <c r="AF3384">
        <v>0</v>
      </c>
      <c r="AG3384" t="s">
        <v>125</v>
      </c>
      <c r="AH3384">
        <v>0</v>
      </c>
      <c r="AK3384">
        <v>0</v>
      </c>
    </row>
    <row r="3385" spans="1:37" x14ac:dyDescent="0.25">
      <c r="A3385" t="s">
        <v>79</v>
      </c>
      <c r="B3385">
        <v>13</v>
      </c>
      <c r="C3385">
        <v>3</v>
      </c>
      <c r="D3385">
        <v>1</v>
      </c>
      <c r="E3385">
        <v>4</v>
      </c>
      <c r="G3385">
        <v>1331</v>
      </c>
      <c r="H3385" t="s">
        <v>63</v>
      </c>
      <c r="I3385" t="s">
        <v>102</v>
      </c>
      <c r="J3385" t="s">
        <v>144</v>
      </c>
      <c r="L3385">
        <v>0</v>
      </c>
      <c r="M3385" t="s">
        <v>125</v>
      </c>
      <c r="O3385" t="s">
        <v>125</v>
      </c>
      <c r="P3385" t="s">
        <v>125</v>
      </c>
      <c r="Q3385" t="s">
        <v>125</v>
      </c>
      <c r="R3385" t="s">
        <v>125</v>
      </c>
      <c r="S3385" t="s">
        <v>125</v>
      </c>
      <c r="T3385">
        <v>0</v>
      </c>
      <c r="V3385" t="s">
        <v>125</v>
      </c>
      <c r="AE3385" t="s">
        <v>125</v>
      </c>
      <c r="AF3385">
        <v>0</v>
      </c>
      <c r="AG3385" t="s">
        <v>125</v>
      </c>
      <c r="AH3385">
        <v>0</v>
      </c>
      <c r="AK3385">
        <v>0</v>
      </c>
    </row>
    <row r="3386" spans="1:37" x14ac:dyDescent="0.25">
      <c r="A3386" t="s">
        <v>79</v>
      </c>
      <c r="B3386">
        <v>13</v>
      </c>
      <c r="C3386">
        <v>3</v>
      </c>
      <c r="D3386">
        <v>1</v>
      </c>
      <c r="E3386">
        <v>5</v>
      </c>
      <c r="G3386">
        <v>1331</v>
      </c>
      <c r="H3386" t="s">
        <v>63</v>
      </c>
      <c r="I3386" t="s">
        <v>109</v>
      </c>
      <c r="J3386" t="s">
        <v>145</v>
      </c>
      <c r="L3386">
        <v>0</v>
      </c>
      <c r="M3386" t="s">
        <v>125</v>
      </c>
      <c r="O3386" t="s">
        <v>125</v>
      </c>
      <c r="P3386" t="s">
        <v>125</v>
      </c>
      <c r="Q3386" t="s">
        <v>125</v>
      </c>
      <c r="R3386" t="s">
        <v>125</v>
      </c>
      <c r="S3386" t="s">
        <v>125</v>
      </c>
      <c r="T3386">
        <v>0</v>
      </c>
      <c r="V3386" t="s">
        <v>125</v>
      </c>
      <c r="AE3386" t="s">
        <v>125</v>
      </c>
      <c r="AF3386">
        <v>0</v>
      </c>
      <c r="AG3386" t="s">
        <v>125</v>
      </c>
      <c r="AH3386">
        <v>0</v>
      </c>
      <c r="AK3386">
        <v>0</v>
      </c>
    </row>
    <row r="3387" spans="1:37" x14ac:dyDescent="0.25">
      <c r="A3387" t="s">
        <v>79</v>
      </c>
      <c r="B3387">
        <v>13</v>
      </c>
      <c r="C3387">
        <v>3</v>
      </c>
      <c r="D3387">
        <v>1</v>
      </c>
      <c r="E3387">
        <v>6</v>
      </c>
      <c r="G3387">
        <v>1331</v>
      </c>
      <c r="H3387" t="s">
        <v>63</v>
      </c>
      <c r="I3387" t="s">
        <v>116</v>
      </c>
      <c r="J3387" t="s">
        <v>146</v>
      </c>
      <c r="L3387">
        <v>0</v>
      </c>
      <c r="M3387" t="s">
        <v>125</v>
      </c>
      <c r="O3387" t="s">
        <v>125</v>
      </c>
      <c r="P3387" t="s">
        <v>125</v>
      </c>
      <c r="Q3387" t="s">
        <v>125</v>
      </c>
      <c r="R3387" t="s">
        <v>125</v>
      </c>
      <c r="S3387" t="s">
        <v>125</v>
      </c>
      <c r="T3387">
        <v>0</v>
      </c>
      <c r="V3387" t="s">
        <v>125</v>
      </c>
      <c r="AE3387" t="s">
        <v>125</v>
      </c>
      <c r="AF3387">
        <v>0</v>
      </c>
      <c r="AG3387" t="s">
        <v>125</v>
      </c>
      <c r="AH3387">
        <v>0</v>
      </c>
      <c r="AK3387">
        <v>0</v>
      </c>
    </row>
    <row r="3388" spans="1:37" x14ac:dyDescent="0.25">
      <c r="A3388" t="s">
        <v>79</v>
      </c>
      <c r="B3388">
        <v>13</v>
      </c>
      <c r="C3388">
        <v>3</v>
      </c>
      <c r="D3388">
        <v>1</v>
      </c>
      <c r="E3388">
        <v>7</v>
      </c>
      <c r="G3388">
        <v>1331</v>
      </c>
      <c r="H3388" t="s">
        <v>63</v>
      </c>
      <c r="I3388" t="s">
        <v>123</v>
      </c>
      <c r="J3388" t="s">
        <v>147</v>
      </c>
      <c r="L3388">
        <v>0</v>
      </c>
      <c r="M3388" t="s">
        <v>125</v>
      </c>
      <c r="O3388" t="s">
        <v>125</v>
      </c>
      <c r="P3388" t="s">
        <v>125</v>
      </c>
      <c r="Q3388" t="s">
        <v>125</v>
      </c>
      <c r="R3388" t="s">
        <v>125</v>
      </c>
      <c r="S3388" t="s">
        <v>125</v>
      </c>
      <c r="T3388">
        <v>0</v>
      </c>
      <c r="V3388" t="s">
        <v>125</v>
      </c>
      <c r="AE3388" t="s">
        <v>125</v>
      </c>
      <c r="AF3388">
        <v>0</v>
      </c>
      <c r="AG3388" t="s">
        <v>125</v>
      </c>
      <c r="AH3388">
        <v>0</v>
      </c>
      <c r="AK3388">
        <v>0</v>
      </c>
    </row>
    <row r="3389" spans="1:37" x14ac:dyDescent="0.25">
      <c r="A3389" t="s">
        <v>79</v>
      </c>
      <c r="B3389">
        <v>13</v>
      </c>
      <c r="C3389">
        <v>3</v>
      </c>
      <c r="D3389">
        <v>1</v>
      </c>
      <c r="E3389">
        <v>8</v>
      </c>
      <c r="G3389">
        <v>1331</v>
      </c>
      <c r="H3389" t="s">
        <v>63</v>
      </c>
      <c r="I3389" t="s">
        <v>126</v>
      </c>
      <c r="J3389" t="s">
        <v>148</v>
      </c>
      <c r="L3389">
        <v>0</v>
      </c>
      <c r="M3389" t="s">
        <v>125</v>
      </c>
      <c r="O3389" t="s">
        <v>125</v>
      </c>
      <c r="P3389" t="s">
        <v>125</v>
      </c>
      <c r="Q3389" t="s">
        <v>125</v>
      </c>
      <c r="R3389" t="s">
        <v>125</v>
      </c>
      <c r="S3389" t="s">
        <v>125</v>
      </c>
      <c r="T3389">
        <v>0</v>
      </c>
      <c r="V3389" t="s">
        <v>125</v>
      </c>
      <c r="AE3389" t="s">
        <v>125</v>
      </c>
      <c r="AF3389">
        <v>0</v>
      </c>
      <c r="AG3389" t="s">
        <v>125</v>
      </c>
      <c r="AH3389">
        <v>0</v>
      </c>
      <c r="AK3389">
        <v>0</v>
      </c>
    </row>
    <row r="3390" spans="1:37" x14ac:dyDescent="0.25">
      <c r="A3390" t="s">
        <v>79</v>
      </c>
      <c r="B3390">
        <v>13</v>
      </c>
      <c r="C3390">
        <v>3</v>
      </c>
      <c r="D3390">
        <v>1</v>
      </c>
      <c r="E3390">
        <v>9</v>
      </c>
      <c r="G3390">
        <v>1331</v>
      </c>
      <c r="H3390" t="s">
        <v>63</v>
      </c>
      <c r="I3390" t="s">
        <v>74</v>
      </c>
      <c r="J3390" t="s">
        <v>149</v>
      </c>
      <c r="L3390">
        <v>0</v>
      </c>
      <c r="M3390" t="s">
        <v>125</v>
      </c>
      <c r="O3390" t="s">
        <v>125</v>
      </c>
      <c r="P3390" t="s">
        <v>125</v>
      </c>
      <c r="Q3390" t="s">
        <v>125</v>
      </c>
      <c r="R3390" t="s">
        <v>125</v>
      </c>
      <c r="S3390" t="s">
        <v>125</v>
      </c>
      <c r="T3390">
        <v>0</v>
      </c>
      <c r="V3390" t="s">
        <v>125</v>
      </c>
      <c r="AE3390" t="s">
        <v>125</v>
      </c>
      <c r="AF3390">
        <v>0</v>
      </c>
      <c r="AG3390" t="s">
        <v>125</v>
      </c>
      <c r="AH3390">
        <v>0</v>
      </c>
      <c r="AK3390">
        <v>0</v>
      </c>
    </row>
    <row r="3391" spans="1:37" x14ac:dyDescent="0.25">
      <c r="A3391" t="s">
        <v>79</v>
      </c>
      <c r="B3391">
        <v>13</v>
      </c>
      <c r="C3391">
        <v>3</v>
      </c>
      <c r="D3391">
        <v>1</v>
      </c>
      <c r="E3391">
        <v>10</v>
      </c>
      <c r="G3391">
        <v>1331</v>
      </c>
      <c r="H3391" t="s">
        <v>63</v>
      </c>
      <c r="I3391" t="s">
        <v>129</v>
      </c>
      <c r="J3391" t="s">
        <v>150</v>
      </c>
      <c r="L3391">
        <v>0</v>
      </c>
      <c r="M3391" t="s">
        <v>125</v>
      </c>
      <c r="O3391" t="s">
        <v>125</v>
      </c>
      <c r="P3391" t="s">
        <v>125</v>
      </c>
      <c r="Q3391" t="s">
        <v>125</v>
      </c>
      <c r="R3391" t="s">
        <v>125</v>
      </c>
      <c r="S3391" t="s">
        <v>125</v>
      </c>
      <c r="T3391">
        <v>0</v>
      </c>
      <c r="V3391" t="s">
        <v>125</v>
      </c>
      <c r="AE3391" t="s">
        <v>125</v>
      </c>
      <c r="AF3391">
        <v>0</v>
      </c>
      <c r="AG3391" t="s">
        <v>125</v>
      </c>
      <c r="AH3391">
        <v>0</v>
      </c>
      <c r="AK3391">
        <v>0</v>
      </c>
    </row>
    <row r="3392" spans="1:37" x14ac:dyDescent="0.25">
      <c r="A3392" t="s">
        <v>79</v>
      </c>
      <c r="B3392">
        <v>13</v>
      </c>
      <c r="C3392">
        <v>3</v>
      </c>
      <c r="D3392">
        <v>1</v>
      </c>
      <c r="E3392">
        <v>11</v>
      </c>
      <c r="G3392">
        <v>1331</v>
      </c>
      <c r="H3392" t="s">
        <v>63</v>
      </c>
      <c r="I3392" t="s">
        <v>131</v>
      </c>
      <c r="J3392" t="s">
        <v>151</v>
      </c>
      <c r="L3392">
        <v>0</v>
      </c>
      <c r="M3392" t="s">
        <v>125</v>
      </c>
      <c r="O3392" t="s">
        <v>125</v>
      </c>
      <c r="P3392" t="s">
        <v>125</v>
      </c>
      <c r="Q3392" t="s">
        <v>125</v>
      </c>
      <c r="R3392" t="s">
        <v>125</v>
      </c>
      <c r="S3392" t="s">
        <v>125</v>
      </c>
      <c r="T3392">
        <v>0</v>
      </c>
      <c r="V3392" t="s">
        <v>125</v>
      </c>
      <c r="AE3392" t="s">
        <v>125</v>
      </c>
      <c r="AF3392">
        <v>0</v>
      </c>
      <c r="AG3392" t="s">
        <v>125</v>
      </c>
      <c r="AH3392">
        <v>0</v>
      </c>
      <c r="AK3392">
        <v>0</v>
      </c>
    </row>
    <row r="3393" spans="1:37" x14ac:dyDescent="0.25">
      <c r="A3393" t="s">
        <v>79</v>
      </c>
      <c r="B3393">
        <v>13</v>
      </c>
      <c r="C3393">
        <v>3</v>
      </c>
      <c r="D3393">
        <v>1</v>
      </c>
      <c r="E3393">
        <v>12</v>
      </c>
      <c r="G3393">
        <v>1331</v>
      </c>
      <c r="H3393" t="s">
        <v>63</v>
      </c>
      <c r="I3393" t="s">
        <v>133</v>
      </c>
      <c r="J3393" t="s">
        <v>152</v>
      </c>
      <c r="L3393">
        <v>0</v>
      </c>
      <c r="M3393" t="s">
        <v>125</v>
      </c>
      <c r="O3393" t="s">
        <v>125</v>
      </c>
      <c r="P3393" t="s">
        <v>125</v>
      </c>
      <c r="Q3393" t="s">
        <v>125</v>
      </c>
      <c r="R3393" t="s">
        <v>125</v>
      </c>
      <c r="S3393" t="s">
        <v>125</v>
      </c>
      <c r="T3393">
        <v>0</v>
      </c>
      <c r="V3393" t="s">
        <v>125</v>
      </c>
      <c r="AE3393" t="s">
        <v>125</v>
      </c>
      <c r="AF3393">
        <v>0</v>
      </c>
      <c r="AG3393" t="s">
        <v>125</v>
      </c>
      <c r="AH3393">
        <v>0</v>
      </c>
      <c r="AK3393">
        <v>0</v>
      </c>
    </row>
    <row r="3394" spans="1:37" x14ac:dyDescent="0.25">
      <c r="A3394" t="s">
        <v>79</v>
      </c>
      <c r="B3394">
        <v>13</v>
      </c>
      <c r="C3394">
        <v>3</v>
      </c>
      <c r="D3394">
        <v>1</v>
      </c>
      <c r="E3394">
        <v>13</v>
      </c>
      <c r="G3394">
        <v>1331</v>
      </c>
      <c r="H3394" t="s">
        <v>63</v>
      </c>
      <c r="I3394" t="s">
        <v>135</v>
      </c>
      <c r="J3394" t="s">
        <v>153</v>
      </c>
      <c r="L3394">
        <v>0</v>
      </c>
      <c r="M3394" t="s">
        <v>125</v>
      </c>
      <c r="O3394" t="s">
        <v>125</v>
      </c>
      <c r="P3394" t="s">
        <v>125</v>
      </c>
      <c r="Q3394" t="s">
        <v>125</v>
      </c>
      <c r="R3394" t="s">
        <v>125</v>
      </c>
      <c r="S3394" t="s">
        <v>125</v>
      </c>
      <c r="T3394">
        <v>0</v>
      </c>
      <c r="V3394" t="s">
        <v>125</v>
      </c>
      <c r="AE3394" t="s">
        <v>125</v>
      </c>
      <c r="AF3394">
        <v>0</v>
      </c>
      <c r="AG3394" t="s">
        <v>125</v>
      </c>
      <c r="AH3394">
        <v>0</v>
      </c>
      <c r="AK3394">
        <v>0</v>
      </c>
    </row>
    <row r="3395" spans="1:37" x14ac:dyDescent="0.25">
      <c r="A3395" t="s">
        <v>79</v>
      </c>
      <c r="B3395">
        <v>13</v>
      </c>
      <c r="C3395">
        <v>3</v>
      </c>
      <c r="D3395">
        <v>1</v>
      </c>
      <c r="E3395">
        <v>14</v>
      </c>
      <c r="G3395">
        <v>1331</v>
      </c>
      <c r="H3395" t="s">
        <v>63</v>
      </c>
      <c r="I3395" t="s">
        <v>137</v>
      </c>
      <c r="J3395" t="s">
        <v>154</v>
      </c>
      <c r="L3395">
        <v>0</v>
      </c>
      <c r="M3395" t="s">
        <v>125</v>
      </c>
      <c r="O3395" t="s">
        <v>125</v>
      </c>
      <c r="P3395" t="s">
        <v>125</v>
      </c>
      <c r="Q3395" t="s">
        <v>125</v>
      </c>
      <c r="R3395" t="s">
        <v>125</v>
      </c>
      <c r="S3395" t="s">
        <v>125</v>
      </c>
      <c r="T3395">
        <v>0</v>
      </c>
      <c r="V3395" t="s">
        <v>125</v>
      </c>
      <c r="AE3395" t="s">
        <v>125</v>
      </c>
      <c r="AF3395">
        <v>0</v>
      </c>
      <c r="AG3395" t="s">
        <v>125</v>
      </c>
      <c r="AH3395">
        <v>0</v>
      </c>
      <c r="AK3395">
        <v>0</v>
      </c>
    </row>
    <row r="3396" spans="1:37" x14ac:dyDescent="0.25">
      <c r="A3396" t="s">
        <v>79</v>
      </c>
      <c r="B3396">
        <v>13</v>
      </c>
      <c r="C3396">
        <v>3</v>
      </c>
      <c r="D3396">
        <v>1</v>
      </c>
      <c r="E3396">
        <v>15</v>
      </c>
      <c r="G3396">
        <v>1331</v>
      </c>
      <c r="H3396" t="s">
        <v>63</v>
      </c>
      <c r="I3396" t="s">
        <v>139</v>
      </c>
      <c r="J3396" t="s">
        <v>155</v>
      </c>
      <c r="L3396">
        <v>0</v>
      </c>
      <c r="M3396" t="s">
        <v>125</v>
      </c>
      <c r="O3396" t="s">
        <v>125</v>
      </c>
      <c r="P3396" t="s">
        <v>125</v>
      </c>
      <c r="Q3396" t="s">
        <v>125</v>
      </c>
      <c r="R3396" t="s">
        <v>125</v>
      </c>
      <c r="S3396" t="s">
        <v>125</v>
      </c>
      <c r="T3396">
        <v>0</v>
      </c>
      <c r="V3396" t="s">
        <v>125</v>
      </c>
      <c r="AE3396" t="s">
        <v>125</v>
      </c>
      <c r="AF3396">
        <v>0</v>
      </c>
      <c r="AG3396" t="s">
        <v>125</v>
      </c>
      <c r="AH3396">
        <v>0</v>
      </c>
      <c r="AK3396">
        <v>0</v>
      </c>
    </row>
    <row r="3397" spans="1:37" x14ac:dyDescent="0.25">
      <c r="L3397">
        <v>0</v>
      </c>
    </row>
    <row r="3398" spans="1:37" x14ac:dyDescent="0.25">
      <c r="A3398" t="s">
        <v>70</v>
      </c>
      <c r="B3398">
        <v>13</v>
      </c>
      <c r="C3398">
        <v>3</v>
      </c>
      <c r="D3398">
        <v>2</v>
      </c>
      <c r="G3398">
        <v>133</v>
      </c>
      <c r="L3398">
        <v>0</v>
      </c>
      <c r="M3398" t="s">
        <v>125</v>
      </c>
      <c r="P3398" t="s">
        <v>125</v>
      </c>
      <c r="R3398" t="s">
        <v>125</v>
      </c>
      <c r="S3398" t="s">
        <v>63</v>
      </c>
      <c r="V3398" t="s">
        <v>125</v>
      </c>
      <c r="X3398" t="s">
        <v>125</v>
      </c>
      <c r="Y3398" t="s">
        <v>125</v>
      </c>
      <c r="Z3398" t="s">
        <v>125</v>
      </c>
      <c r="AA3398" t="s">
        <v>125</v>
      </c>
      <c r="AB3398" t="s">
        <v>125</v>
      </c>
      <c r="AC3398" t="s">
        <v>125</v>
      </c>
      <c r="AE3398" t="s">
        <v>125</v>
      </c>
      <c r="AF3398">
        <v>0</v>
      </c>
      <c r="AG3398" t="s">
        <v>125</v>
      </c>
      <c r="AH3398">
        <v>0</v>
      </c>
      <c r="AK3398">
        <v>0</v>
      </c>
    </row>
    <row r="3399" spans="1:37" x14ac:dyDescent="0.25">
      <c r="A3399" t="s">
        <v>79</v>
      </c>
      <c r="B3399">
        <v>13</v>
      </c>
      <c r="C3399">
        <v>3</v>
      </c>
      <c r="D3399">
        <v>2</v>
      </c>
      <c r="E3399">
        <v>1</v>
      </c>
      <c r="G3399">
        <v>1332</v>
      </c>
      <c r="H3399" t="s">
        <v>63</v>
      </c>
      <c r="I3399" t="s">
        <v>80</v>
      </c>
      <c r="J3399" t="s">
        <v>141</v>
      </c>
      <c r="L3399">
        <v>0</v>
      </c>
      <c r="M3399" t="s">
        <v>125</v>
      </c>
      <c r="O3399" t="s">
        <v>125</v>
      </c>
      <c r="P3399" t="s">
        <v>125</v>
      </c>
      <c r="Q3399" t="s">
        <v>125</v>
      </c>
      <c r="R3399" t="s">
        <v>125</v>
      </c>
      <c r="S3399" t="s">
        <v>125</v>
      </c>
      <c r="T3399">
        <v>0</v>
      </c>
      <c r="V3399" t="s">
        <v>125</v>
      </c>
      <c r="AE3399" t="s">
        <v>125</v>
      </c>
      <c r="AF3399">
        <v>0</v>
      </c>
      <c r="AG3399" t="s">
        <v>125</v>
      </c>
      <c r="AH3399">
        <v>0</v>
      </c>
      <c r="AK3399">
        <v>0</v>
      </c>
    </row>
    <row r="3400" spans="1:37" x14ac:dyDescent="0.25">
      <c r="A3400" t="s">
        <v>79</v>
      </c>
      <c r="B3400">
        <v>13</v>
      </c>
      <c r="C3400">
        <v>3</v>
      </c>
      <c r="D3400">
        <v>2</v>
      </c>
      <c r="E3400">
        <v>2</v>
      </c>
      <c r="G3400">
        <v>1332</v>
      </c>
      <c r="H3400" t="s">
        <v>63</v>
      </c>
      <c r="I3400" t="s">
        <v>88</v>
      </c>
      <c r="J3400" t="s">
        <v>142</v>
      </c>
      <c r="L3400">
        <v>0</v>
      </c>
      <c r="M3400" t="s">
        <v>125</v>
      </c>
      <c r="O3400" t="s">
        <v>125</v>
      </c>
      <c r="P3400" t="s">
        <v>125</v>
      </c>
      <c r="Q3400" t="s">
        <v>125</v>
      </c>
      <c r="R3400" t="s">
        <v>125</v>
      </c>
      <c r="S3400" t="s">
        <v>125</v>
      </c>
      <c r="T3400">
        <v>0</v>
      </c>
      <c r="V3400" t="s">
        <v>125</v>
      </c>
      <c r="AE3400" t="s">
        <v>125</v>
      </c>
      <c r="AF3400">
        <v>0</v>
      </c>
      <c r="AG3400" t="s">
        <v>125</v>
      </c>
      <c r="AH3400">
        <v>0</v>
      </c>
      <c r="AK3400">
        <v>0</v>
      </c>
    </row>
    <row r="3401" spans="1:37" x14ac:dyDescent="0.25">
      <c r="A3401" t="s">
        <v>79</v>
      </c>
      <c r="B3401">
        <v>13</v>
      </c>
      <c r="C3401">
        <v>3</v>
      </c>
      <c r="D3401">
        <v>2</v>
      </c>
      <c r="E3401">
        <v>3</v>
      </c>
      <c r="G3401">
        <v>1332</v>
      </c>
      <c r="H3401" t="s">
        <v>63</v>
      </c>
      <c r="I3401" t="s">
        <v>95</v>
      </c>
      <c r="J3401" t="s">
        <v>143</v>
      </c>
      <c r="L3401">
        <v>0</v>
      </c>
      <c r="M3401" t="s">
        <v>125</v>
      </c>
      <c r="O3401" t="s">
        <v>125</v>
      </c>
      <c r="P3401" t="s">
        <v>125</v>
      </c>
      <c r="Q3401" t="s">
        <v>125</v>
      </c>
      <c r="R3401" t="s">
        <v>125</v>
      </c>
      <c r="S3401" t="s">
        <v>125</v>
      </c>
      <c r="T3401">
        <v>0</v>
      </c>
      <c r="V3401" t="s">
        <v>125</v>
      </c>
      <c r="AE3401" t="s">
        <v>125</v>
      </c>
      <c r="AF3401">
        <v>0</v>
      </c>
      <c r="AG3401" t="s">
        <v>125</v>
      </c>
      <c r="AH3401">
        <v>0</v>
      </c>
      <c r="AK3401">
        <v>0</v>
      </c>
    </row>
    <row r="3402" spans="1:37" x14ac:dyDescent="0.25">
      <c r="A3402" t="s">
        <v>79</v>
      </c>
      <c r="B3402">
        <v>13</v>
      </c>
      <c r="C3402">
        <v>3</v>
      </c>
      <c r="D3402">
        <v>2</v>
      </c>
      <c r="E3402">
        <v>4</v>
      </c>
      <c r="G3402">
        <v>1332</v>
      </c>
      <c r="H3402" t="s">
        <v>63</v>
      </c>
      <c r="I3402" t="s">
        <v>102</v>
      </c>
      <c r="J3402" t="s">
        <v>144</v>
      </c>
      <c r="L3402">
        <v>0</v>
      </c>
      <c r="M3402" t="s">
        <v>125</v>
      </c>
      <c r="O3402" t="s">
        <v>125</v>
      </c>
      <c r="P3402" t="s">
        <v>125</v>
      </c>
      <c r="Q3402" t="s">
        <v>125</v>
      </c>
      <c r="R3402" t="s">
        <v>125</v>
      </c>
      <c r="S3402" t="s">
        <v>125</v>
      </c>
      <c r="T3402">
        <v>0</v>
      </c>
      <c r="V3402" t="s">
        <v>125</v>
      </c>
      <c r="AE3402" t="s">
        <v>125</v>
      </c>
      <c r="AF3402">
        <v>0</v>
      </c>
      <c r="AG3402" t="s">
        <v>125</v>
      </c>
      <c r="AH3402">
        <v>0</v>
      </c>
      <c r="AK3402">
        <v>0</v>
      </c>
    </row>
    <row r="3403" spans="1:37" x14ac:dyDescent="0.25">
      <c r="A3403" t="s">
        <v>79</v>
      </c>
      <c r="B3403">
        <v>13</v>
      </c>
      <c r="C3403">
        <v>3</v>
      </c>
      <c r="D3403">
        <v>2</v>
      </c>
      <c r="E3403">
        <v>5</v>
      </c>
      <c r="G3403">
        <v>1332</v>
      </c>
      <c r="H3403" t="s">
        <v>63</v>
      </c>
      <c r="I3403" t="s">
        <v>109</v>
      </c>
      <c r="J3403" t="s">
        <v>145</v>
      </c>
      <c r="L3403">
        <v>0</v>
      </c>
      <c r="M3403" t="s">
        <v>125</v>
      </c>
      <c r="O3403" t="s">
        <v>125</v>
      </c>
      <c r="P3403" t="s">
        <v>125</v>
      </c>
      <c r="Q3403" t="s">
        <v>125</v>
      </c>
      <c r="R3403" t="s">
        <v>125</v>
      </c>
      <c r="S3403" t="s">
        <v>125</v>
      </c>
      <c r="T3403">
        <v>0</v>
      </c>
      <c r="V3403" t="s">
        <v>125</v>
      </c>
      <c r="AE3403" t="s">
        <v>125</v>
      </c>
      <c r="AF3403">
        <v>0</v>
      </c>
      <c r="AG3403" t="s">
        <v>125</v>
      </c>
      <c r="AH3403">
        <v>0</v>
      </c>
      <c r="AK3403">
        <v>0</v>
      </c>
    </row>
    <row r="3404" spans="1:37" x14ac:dyDescent="0.25">
      <c r="A3404" t="s">
        <v>79</v>
      </c>
      <c r="B3404">
        <v>13</v>
      </c>
      <c r="C3404">
        <v>3</v>
      </c>
      <c r="D3404">
        <v>2</v>
      </c>
      <c r="E3404">
        <v>6</v>
      </c>
      <c r="G3404">
        <v>1332</v>
      </c>
      <c r="H3404" t="s">
        <v>63</v>
      </c>
      <c r="I3404" t="s">
        <v>116</v>
      </c>
      <c r="J3404" t="s">
        <v>146</v>
      </c>
      <c r="L3404">
        <v>0</v>
      </c>
      <c r="M3404" t="s">
        <v>125</v>
      </c>
      <c r="O3404" t="s">
        <v>125</v>
      </c>
      <c r="P3404" t="s">
        <v>125</v>
      </c>
      <c r="Q3404" t="s">
        <v>125</v>
      </c>
      <c r="R3404" t="s">
        <v>125</v>
      </c>
      <c r="S3404" t="s">
        <v>125</v>
      </c>
      <c r="T3404">
        <v>0</v>
      </c>
      <c r="V3404" t="s">
        <v>125</v>
      </c>
      <c r="AE3404" t="s">
        <v>125</v>
      </c>
      <c r="AF3404">
        <v>0</v>
      </c>
      <c r="AG3404" t="s">
        <v>125</v>
      </c>
      <c r="AH3404">
        <v>0</v>
      </c>
      <c r="AK3404">
        <v>0</v>
      </c>
    </row>
    <row r="3405" spans="1:37" x14ac:dyDescent="0.25">
      <c r="A3405" t="s">
        <v>79</v>
      </c>
      <c r="B3405">
        <v>13</v>
      </c>
      <c r="C3405">
        <v>3</v>
      </c>
      <c r="D3405">
        <v>2</v>
      </c>
      <c r="E3405">
        <v>7</v>
      </c>
      <c r="G3405">
        <v>1332</v>
      </c>
      <c r="H3405" t="s">
        <v>63</v>
      </c>
      <c r="I3405" t="s">
        <v>123</v>
      </c>
      <c r="J3405" t="s">
        <v>147</v>
      </c>
      <c r="L3405">
        <v>0</v>
      </c>
      <c r="M3405" t="s">
        <v>125</v>
      </c>
      <c r="O3405" t="s">
        <v>125</v>
      </c>
      <c r="P3405" t="s">
        <v>125</v>
      </c>
      <c r="Q3405" t="s">
        <v>125</v>
      </c>
      <c r="R3405" t="s">
        <v>125</v>
      </c>
      <c r="S3405" t="s">
        <v>125</v>
      </c>
      <c r="T3405">
        <v>0</v>
      </c>
      <c r="V3405" t="s">
        <v>125</v>
      </c>
      <c r="AE3405" t="s">
        <v>125</v>
      </c>
      <c r="AF3405">
        <v>0</v>
      </c>
      <c r="AG3405" t="s">
        <v>125</v>
      </c>
      <c r="AH3405">
        <v>0</v>
      </c>
      <c r="AK3405">
        <v>0</v>
      </c>
    </row>
    <row r="3406" spans="1:37" x14ac:dyDescent="0.25">
      <c r="A3406" t="s">
        <v>79</v>
      </c>
      <c r="B3406">
        <v>13</v>
      </c>
      <c r="C3406">
        <v>3</v>
      </c>
      <c r="D3406">
        <v>2</v>
      </c>
      <c r="E3406">
        <v>8</v>
      </c>
      <c r="G3406">
        <v>1332</v>
      </c>
      <c r="H3406" t="s">
        <v>63</v>
      </c>
      <c r="I3406" t="s">
        <v>126</v>
      </c>
      <c r="J3406" t="s">
        <v>148</v>
      </c>
      <c r="L3406">
        <v>0</v>
      </c>
      <c r="M3406" t="s">
        <v>125</v>
      </c>
      <c r="O3406" t="s">
        <v>125</v>
      </c>
      <c r="P3406" t="s">
        <v>125</v>
      </c>
      <c r="Q3406" t="s">
        <v>125</v>
      </c>
      <c r="R3406" t="s">
        <v>125</v>
      </c>
      <c r="S3406" t="s">
        <v>125</v>
      </c>
      <c r="T3406">
        <v>0</v>
      </c>
      <c r="V3406" t="s">
        <v>125</v>
      </c>
      <c r="AE3406" t="s">
        <v>125</v>
      </c>
      <c r="AF3406">
        <v>0</v>
      </c>
      <c r="AG3406" t="s">
        <v>125</v>
      </c>
      <c r="AH3406">
        <v>0</v>
      </c>
      <c r="AK3406">
        <v>0</v>
      </c>
    </row>
    <row r="3407" spans="1:37" x14ac:dyDescent="0.25">
      <c r="A3407" t="s">
        <v>79</v>
      </c>
      <c r="B3407">
        <v>13</v>
      </c>
      <c r="C3407">
        <v>3</v>
      </c>
      <c r="D3407">
        <v>2</v>
      </c>
      <c r="E3407">
        <v>9</v>
      </c>
      <c r="G3407">
        <v>1332</v>
      </c>
      <c r="H3407" t="s">
        <v>63</v>
      </c>
      <c r="I3407" t="s">
        <v>74</v>
      </c>
      <c r="J3407" t="s">
        <v>149</v>
      </c>
      <c r="L3407">
        <v>0</v>
      </c>
      <c r="M3407" t="s">
        <v>125</v>
      </c>
      <c r="O3407" t="s">
        <v>125</v>
      </c>
      <c r="P3407" t="s">
        <v>125</v>
      </c>
      <c r="Q3407" t="s">
        <v>125</v>
      </c>
      <c r="R3407" t="s">
        <v>125</v>
      </c>
      <c r="S3407" t="s">
        <v>125</v>
      </c>
      <c r="T3407">
        <v>0</v>
      </c>
      <c r="V3407" t="s">
        <v>125</v>
      </c>
      <c r="AE3407" t="s">
        <v>125</v>
      </c>
      <c r="AF3407">
        <v>0</v>
      </c>
      <c r="AG3407" t="s">
        <v>125</v>
      </c>
      <c r="AH3407">
        <v>0</v>
      </c>
      <c r="AK3407">
        <v>0</v>
      </c>
    </row>
    <row r="3408" spans="1:37" x14ac:dyDescent="0.25">
      <c r="A3408" t="s">
        <v>79</v>
      </c>
      <c r="B3408">
        <v>13</v>
      </c>
      <c r="C3408">
        <v>3</v>
      </c>
      <c r="D3408">
        <v>2</v>
      </c>
      <c r="E3408">
        <v>10</v>
      </c>
      <c r="G3408">
        <v>1332</v>
      </c>
      <c r="H3408" t="s">
        <v>63</v>
      </c>
      <c r="I3408" t="s">
        <v>129</v>
      </c>
      <c r="J3408" t="s">
        <v>150</v>
      </c>
      <c r="L3408">
        <v>0</v>
      </c>
      <c r="M3408" t="s">
        <v>125</v>
      </c>
      <c r="O3408" t="s">
        <v>125</v>
      </c>
      <c r="P3408" t="s">
        <v>125</v>
      </c>
      <c r="Q3408" t="s">
        <v>125</v>
      </c>
      <c r="R3408" t="s">
        <v>125</v>
      </c>
      <c r="S3408" t="s">
        <v>125</v>
      </c>
      <c r="T3408">
        <v>0</v>
      </c>
      <c r="V3408" t="s">
        <v>125</v>
      </c>
      <c r="AE3408" t="s">
        <v>125</v>
      </c>
      <c r="AF3408">
        <v>0</v>
      </c>
      <c r="AG3408" t="s">
        <v>125</v>
      </c>
      <c r="AH3408">
        <v>0</v>
      </c>
      <c r="AK3408">
        <v>0</v>
      </c>
    </row>
    <row r="3409" spans="1:37" x14ac:dyDescent="0.25">
      <c r="A3409" t="s">
        <v>79</v>
      </c>
      <c r="B3409">
        <v>13</v>
      </c>
      <c r="C3409">
        <v>3</v>
      </c>
      <c r="D3409">
        <v>2</v>
      </c>
      <c r="E3409">
        <v>11</v>
      </c>
      <c r="G3409">
        <v>1332</v>
      </c>
      <c r="H3409" t="s">
        <v>63</v>
      </c>
      <c r="I3409" t="s">
        <v>131</v>
      </c>
      <c r="J3409" t="s">
        <v>151</v>
      </c>
      <c r="L3409">
        <v>0</v>
      </c>
      <c r="M3409" t="s">
        <v>125</v>
      </c>
      <c r="O3409" t="s">
        <v>125</v>
      </c>
      <c r="P3409" t="s">
        <v>125</v>
      </c>
      <c r="Q3409" t="s">
        <v>125</v>
      </c>
      <c r="R3409" t="s">
        <v>125</v>
      </c>
      <c r="S3409" t="s">
        <v>125</v>
      </c>
      <c r="T3409">
        <v>0</v>
      </c>
      <c r="V3409" t="s">
        <v>125</v>
      </c>
      <c r="AE3409" t="s">
        <v>125</v>
      </c>
      <c r="AF3409">
        <v>0</v>
      </c>
      <c r="AG3409" t="s">
        <v>125</v>
      </c>
      <c r="AH3409">
        <v>0</v>
      </c>
      <c r="AK3409">
        <v>0</v>
      </c>
    </row>
    <row r="3410" spans="1:37" x14ac:dyDescent="0.25">
      <c r="A3410" t="s">
        <v>79</v>
      </c>
      <c r="B3410">
        <v>13</v>
      </c>
      <c r="C3410">
        <v>3</v>
      </c>
      <c r="D3410">
        <v>2</v>
      </c>
      <c r="E3410">
        <v>12</v>
      </c>
      <c r="G3410">
        <v>1332</v>
      </c>
      <c r="H3410" t="s">
        <v>63</v>
      </c>
      <c r="I3410" t="s">
        <v>133</v>
      </c>
      <c r="J3410" t="s">
        <v>152</v>
      </c>
      <c r="L3410">
        <v>0</v>
      </c>
      <c r="M3410" t="s">
        <v>125</v>
      </c>
      <c r="O3410" t="s">
        <v>125</v>
      </c>
      <c r="P3410" t="s">
        <v>125</v>
      </c>
      <c r="Q3410" t="s">
        <v>125</v>
      </c>
      <c r="R3410" t="s">
        <v>125</v>
      </c>
      <c r="S3410" t="s">
        <v>125</v>
      </c>
      <c r="T3410">
        <v>0</v>
      </c>
      <c r="V3410" t="s">
        <v>125</v>
      </c>
      <c r="AE3410" t="s">
        <v>125</v>
      </c>
      <c r="AF3410">
        <v>0</v>
      </c>
      <c r="AG3410" t="s">
        <v>125</v>
      </c>
      <c r="AH3410">
        <v>0</v>
      </c>
      <c r="AK3410">
        <v>0</v>
      </c>
    </row>
    <row r="3411" spans="1:37" x14ac:dyDescent="0.25">
      <c r="A3411" t="s">
        <v>79</v>
      </c>
      <c r="B3411">
        <v>13</v>
      </c>
      <c r="C3411">
        <v>3</v>
      </c>
      <c r="D3411">
        <v>2</v>
      </c>
      <c r="E3411">
        <v>13</v>
      </c>
      <c r="G3411">
        <v>1332</v>
      </c>
      <c r="H3411" t="s">
        <v>63</v>
      </c>
      <c r="I3411" t="s">
        <v>135</v>
      </c>
      <c r="J3411" t="s">
        <v>153</v>
      </c>
      <c r="L3411">
        <v>0</v>
      </c>
      <c r="M3411" t="s">
        <v>125</v>
      </c>
      <c r="O3411" t="s">
        <v>125</v>
      </c>
      <c r="P3411" t="s">
        <v>125</v>
      </c>
      <c r="Q3411" t="s">
        <v>125</v>
      </c>
      <c r="R3411" t="s">
        <v>125</v>
      </c>
      <c r="S3411" t="s">
        <v>125</v>
      </c>
      <c r="T3411">
        <v>0</v>
      </c>
      <c r="V3411" t="s">
        <v>125</v>
      </c>
      <c r="AE3411" t="s">
        <v>125</v>
      </c>
      <c r="AF3411">
        <v>0</v>
      </c>
      <c r="AG3411" t="s">
        <v>125</v>
      </c>
      <c r="AH3411">
        <v>0</v>
      </c>
      <c r="AK3411">
        <v>0</v>
      </c>
    </row>
    <row r="3412" spans="1:37" x14ac:dyDescent="0.25">
      <c r="A3412" t="s">
        <v>79</v>
      </c>
      <c r="B3412">
        <v>13</v>
      </c>
      <c r="C3412">
        <v>3</v>
      </c>
      <c r="D3412">
        <v>2</v>
      </c>
      <c r="E3412">
        <v>14</v>
      </c>
      <c r="G3412">
        <v>1332</v>
      </c>
      <c r="H3412" t="s">
        <v>63</v>
      </c>
      <c r="I3412" t="s">
        <v>137</v>
      </c>
      <c r="J3412" t="s">
        <v>154</v>
      </c>
      <c r="L3412">
        <v>0</v>
      </c>
      <c r="M3412" t="s">
        <v>125</v>
      </c>
      <c r="O3412" t="s">
        <v>125</v>
      </c>
      <c r="P3412" t="s">
        <v>125</v>
      </c>
      <c r="Q3412" t="s">
        <v>125</v>
      </c>
      <c r="R3412" t="s">
        <v>125</v>
      </c>
      <c r="S3412" t="s">
        <v>125</v>
      </c>
      <c r="T3412">
        <v>0</v>
      </c>
      <c r="V3412" t="s">
        <v>125</v>
      </c>
      <c r="AE3412" t="s">
        <v>125</v>
      </c>
      <c r="AF3412">
        <v>0</v>
      </c>
      <c r="AG3412" t="s">
        <v>125</v>
      </c>
      <c r="AH3412">
        <v>0</v>
      </c>
      <c r="AK3412">
        <v>0</v>
      </c>
    </row>
    <row r="3413" spans="1:37" x14ac:dyDescent="0.25">
      <c r="A3413" t="s">
        <v>79</v>
      </c>
      <c r="B3413">
        <v>13</v>
      </c>
      <c r="C3413">
        <v>3</v>
      </c>
      <c r="D3413">
        <v>2</v>
      </c>
      <c r="E3413">
        <v>15</v>
      </c>
      <c r="G3413">
        <v>1332</v>
      </c>
      <c r="H3413" t="s">
        <v>63</v>
      </c>
      <c r="I3413" t="s">
        <v>139</v>
      </c>
      <c r="J3413" t="s">
        <v>155</v>
      </c>
      <c r="L3413">
        <v>0</v>
      </c>
      <c r="M3413" t="s">
        <v>125</v>
      </c>
      <c r="O3413" t="s">
        <v>125</v>
      </c>
      <c r="P3413" t="s">
        <v>125</v>
      </c>
      <c r="Q3413" t="s">
        <v>125</v>
      </c>
      <c r="R3413" t="s">
        <v>125</v>
      </c>
      <c r="S3413" t="s">
        <v>125</v>
      </c>
      <c r="T3413">
        <v>0</v>
      </c>
      <c r="V3413" t="s">
        <v>125</v>
      </c>
      <c r="AE3413" t="s">
        <v>125</v>
      </c>
      <c r="AF3413">
        <v>0</v>
      </c>
      <c r="AG3413" t="s">
        <v>125</v>
      </c>
      <c r="AH3413">
        <v>0</v>
      </c>
      <c r="AK3413">
        <v>0</v>
      </c>
    </row>
    <row r="3414" spans="1:37" x14ac:dyDescent="0.25">
      <c r="L3414">
        <v>0</v>
      </c>
    </row>
    <row r="3415" spans="1:37" x14ac:dyDescent="0.25">
      <c r="A3415" t="s">
        <v>70</v>
      </c>
      <c r="B3415">
        <v>13</v>
      </c>
      <c r="C3415">
        <v>3</v>
      </c>
      <c r="D3415">
        <v>3</v>
      </c>
      <c r="G3415">
        <v>133</v>
      </c>
      <c r="L3415">
        <v>0</v>
      </c>
      <c r="M3415" t="s">
        <v>125</v>
      </c>
      <c r="P3415" t="s">
        <v>125</v>
      </c>
      <c r="R3415" t="s">
        <v>125</v>
      </c>
      <c r="S3415" t="s">
        <v>63</v>
      </c>
      <c r="V3415" t="s">
        <v>125</v>
      </c>
      <c r="X3415" t="s">
        <v>125</v>
      </c>
      <c r="Y3415" t="s">
        <v>125</v>
      </c>
      <c r="Z3415" t="s">
        <v>125</v>
      </c>
      <c r="AA3415" t="s">
        <v>125</v>
      </c>
      <c r="AB3415" t="s">
        <v>125</v>
      </c>
      <c r="AC3415" t="s">
        <v>125</v>
      </c>
      <c r="AE3415" t="s">
        <v>125</v>
      </c>
      <c r="AF3415">
        <v>0</v>
      </c>
      <c r="AG3415" t="s">
        <v>125</v>
      </c>
      <c r="AH3415">
        <v>0</v>
      </c>
      <c r="AK3415">
        <v>0</v>
      </c>
    </row>
    <row r="3416" spans="1:37" x14ac:dyDescent="0.25">
      <c r="A3416" t="s">
        <v>79</v>
      </c>
      <c r="B3416">
        <v>13</v>
      </c>
      <c r="C3416">
        <v>3</v>
      </c>
      <c r="D3416">
        <v>3</v>
      </c>
      <c r="E3416">
        <v>1</v>
      </c>
      <c r="G3416">
        <v>1333</v>
      </c>
      <c r="H3416" t="s">
        <v>63</v>
      </c>
      <c r="I3416" t="s">
        <v>80</v>
      </c>
      <c r="J3416" t="s">
        <v>141</v>
      </c>
      <c r="L3416">
        <v>0</v>
      </c>
      <c r="M3416" t="s">
        <v>125</v>
      </c>
      <c r="O3416" t="s">
        <v>125</v>
      </c>
      <c r="P3416" t="s">
        <v>125</v>
      </c>
      <c r="Q3416" t="s">
        <v>125</v>
      </c>
      <c r="R3416" t="s">
        <v>125</v>
      </c>
      <c r="S3416" t="s">
        <v>125</v>
      </c>
      <c r="T3416">
        <v>0</v>
      </c>
      <c r="V3416" t="s">
        <v>125</v>
      </c>
      <c r="AE3416" t="s">
        <v>125</v>
      </c>
      <c r="AF3416">
        <v>0</v>
      </c>
      <c r="AG3416" t="s">
        <v>125</v>
      </c>
      <c r="AH3416">
        <v>0</v>
      </c>
      <c r="AK3416">
        <v>0</v>
      </c>
    </row>
    <row r="3417" spans="1:37" x14ac:dyDescent="0.25">
      <c r="A3417" t="s">
        <v>79</v>
      </c>
      <c r="B3417">
        <v>13</v>
      </c>
      <c r="C3417">
        <v>3</v>
      </c>
      <c r="D3417">
        <v>3</v>
      </c>
      <c r="E3417">
        <v>2</v>
      </c>
      <c r="G3417">
        <v>1333</v>
      </c>
      <c r="H3417" t="s">
        <v>63</v>
      </c>
      <c r="I3417" t="s">
        <v>88</v>
      </c>
      <c r="J3417" t="s">
        <v>142</v>
      </c>
      <c r="L3417">
        <v>0</v>
      </c>
      <c r="M3417" t="s">
        <v>125</v>
      </c>
      <c r="O3417" t="s">
        <v>125</v>
      </c>
      <c r="P3417" t="s">
        <v>125</v>
      </c>
      <c r="Q3417" t="s">
        <v>125</v>
      </c>
      <c r="R3417" t="s">
        <v>125</v>
      </c>
      <c r="S3417" t="s">
        <v>125</v>
      </c>
      <c r="T3417">
        <v>0</v>
      </c>
      <c r="V3417" t="s">
        <v>125</v>
      </c>
      <c r="AE3417" t="s">
        <v>125</v>
      </c>
      <c r="AF3417">
        <v>0</v>
      </c>
      <c r="AG3417" t="s">
        <v>125</v>
      </c>
      <c r="AH3417">
        <v>0</v>
      </c>
      <c r="AK3417">
        <v>0</v>
      </c>
    </row>
    <row r="3418" spans="1:37" x14ac:dyDescent="0.25">
      <c r="A3418" t="s">
        <v>79</v>
      </c>
      <c r="B3418">
        <v>13</v>
      </c>
      <c r="C3418">
        <v>3</v>
      </c>
      <c r="D3418">
        <v>3</v>
      </c>
      <c r="E3418">
        <v>3</v>
      </c>
      <c r="G3418">
        <v>1333</v>
      </c>
      <c r="H3418" t="s">
        <v>63</v>
      </c>
      <c r="I3418" t="s">
        <v>95</v>
      </c>
      <c r="J3418" t="s">
        <v>143</v>
      </c>
      <c r="L3418">
        <v>0</v>
      </c>
      <c r="M3418" t="s">
        <v>125</v>
      </c>
      <c r="O3418" t="s">
        <v>125</v>
      </c>
      <c r="P3418" t="s">
        <v>125</v>
      </c>
      <c r="Q3418" t="s">
        <v>125</v>
      </c>
      <c r="R3418" t="s">
        <v>125</v>
      </c>
      <c r="S3418" t="s">
        <v>125</v>
      </c>
      <c r="T3418">
        <v>0</v>
      </c>
      <c r="V3418" t="s">
        <v>125</v>
      </c>
      <c r="AE3418" t="s">
        <v>125</v>
      </c>
      <c r="AF3418">
        <v>0</v>
      </c>
      <c r="AG3418" t="s">
        <v>125</v>
      </c>
      <c r="AH3418">
        <v>0</v>
      </c>
      <c r="AK3418">
        <v>0</v>
      </c>
    </row>
    <row r="3419" spans="1:37" x14ac:dyDescent="0.25">
      <c r="A3419" t="s">
        <v>79</v>
      </c>
      <c r="B3419">
        <v>13</v>
      </c>
      <c r="C3419">
        <v>3</v>
      </c>
      <c r="D3419">
        <v>3</v>
      </c>
      <c r="E3419">
        <v>4</v>
      </c>
      <c r="G3419">
        <v>1333</v>
      </c>
      <c r="H3419" t="s">
        <v>63</v>
      </c>
      <c r="I3419" t="s">
        <v>102</v>
      </c>
      <c r="J3419" t="s">
        <v>144</v>
      </c>
      <c r="L3419">
        <v>0</v>
      </c>
      <c r="M3419" t="s">
        <v>125</v>
      </c>
      <c r="O3419" t="s">
        <v>125</v>
      </c>
      <c r="P3419" t="s">
        <v>125</v>
      </c>
      <c r="Q3419" t="s">
        <v>125</v>
      </c>
      <c r="R3419" t="s">
        <v>125</v>
      </c>
      <c r="S3419" t="s">
        <v>125</v>
      </c>
      <c r="T3419">
        <v>0</v>
      </c>
      <c r="V3419" t="s">
        <v>125</v>
      </c>
      <c r="AE3419" t="s">
        <v>125</v>
      </c>
      <c r="AF3419">
        <v>0</v>
      </c>
      <c r="AG3419" t="s">
        <v>125</v>
      </c>
      <c r="AH3419">
        <v>0</v>
      </c>
      <c r="AK3419">
        <v>0</v>
      </c>
    </row>
    <row r="3420" spans="1:37" x14ac:dyDescent="0.25">
      <c r="A3420" t="s">
        <v>79</v>
      </c>
      <c r="B3420">
        <v>13</v>
      </c>
      <c r="C3420">
        <v>3</v>
      </c>
      <c r="D3420">
        <v>3</v>
      </c>
      <c r="E3420">
        <v>5</v>
      </c>
      <c r="G3420">
        <v>1333</v>
      </c>
      <c r="H3420" t="s">
        <v>63</v>
      </c>
      <c r="I3420" t="s">
        <v>109</v>
      </c>
      <c r="J3420" t="s">
        <v>145</v>
      </c>
      <c r="L3420">
        <v>0</v>
      </c>
      <c r="M3420" t="s">
        <v>125</v>
      </c>
      <c r="O3420" t="s">
        <v>125</v>
      </c>
      <c r="P3420" t="s">
        <v>125</v>
      </c>
      <c r="Q3420" t="s">
        <v>125</v>
      </c>
      <c r="R3420" t="s">
        <v>125</v>
      </c>
      <c r="S3420" t="s">
        <v>125</v>
      </c>
      <c r="T3420">
        <v>0</v>
      </c>
      <c r="V3420" t="s">
        <v>125</v>
      </c>
      <c r="AE3420" t="s">
        <v>125</v>
      </c>
      <c r="AF3420">
        <v>0</v>
      </c>
      <c r="AG3420" t="s">
        <v>125</v>
      </c>
      <c r="AH3420">
        <v>0</v>
      </c>
      <c r="AK3420">
        <v>0</v>
      </c>
    </row>
    <row r="3421" spans="1:37" x14ac:dyDescent="0.25">
      <c r="A3421" t="s">
        <v>79</v>
      </c>
      <c r="B3421">
        <v>13</v>
      </c>
      <c r="C3421">
        <v>3</v>
      </c>
      <c r="D3421">
        <v>3</v>
      </c>
      <c r="E3421">
        <v>6</v>
      </c>
      <c r="G3421">
        <v>1333</v>
      </c>
      <c r="H3421" t="s">
        <v>63</v>
      </c>
      <c r="I3421" t="s">
        <v>116</v>
      </c>
      <c r="J3421" t="s">
        <v>146</v>
      </c>
      <c r="L3421">
        <v>0</v>
      </c>
      <c r="M3421" t="s">
        <v>125</v>
      </c>
      <c r="O3421" t="s">
        <v>125</v>
      </c>
      <c r="P3421" t="s">
        <v>125</v>
      </c>
      <c r="Q3421" t="s">
        <v>125</v>
      </c>
      <c r="R3421" t="s">
        <v>125</v>
      </c>
      <c r="S3421" t="s">
        <v>125</v>
      </c>
      <c r="T3421">
        <v>0</v>
      </c>
      <c r="V3421" t="s">
        <v>125</v>
      </c>
      <c r="AE3421" t="s">
        <v>125</v>
      </c>
      <c r="AF3421">
        <v>0</v>
      </c>
      <c r="AG3421" t="s">
        <v>125</v>
      </c>
      <c r="AH3421">
        <v>0</v>
      </c>
      <c r="AK3421">
        <v>0</v>
      </c>
    </row>
    <row r="3422" spans="1:37" x14ac:dyDescent="0.25">
      <c r="A3422" t="s">
        <v>79</v>
      </c>
      <c r="B3422">
        <v>13</v>
      </c>
      <c r="C3422">
        <v>3</v>
      </c>
      <c r="D3422">
        <v>3</v>
      </c>
      <c r="E3422">
        <v>7</v>
      </c>
      <c r="G3422">
        <v>1333</v>
      </c>
      <c r="H3422" t="s">
        <v>63</v>
      </c>
      <c r="I3422" t="s">
        <v>123</v>
      </c>
      <c r="J3422" t="s">
        <v>147</v>
      </c>
      <c r="L3422">
        <v>0</v>
      </c>
      <c r="M3422" t="s">
        <v>125</v>
      </c>
      <c r="O3422" t="s">
        <v>125</v>
      </c>
      <c r="P3422" t="s">
        <v>125</v>
      </c>
      <c r="Q3422" t="s">
        <v>125</v>
      </c>
      <c r="R3422" t="s">
        <v>125</v>
      </c>
      <c r="S3422" t="s">
        <v>125</v>
      </c>
      <c r="T3422">
        <v>0</v>
      </c>
      <c r="V3422" t="s">
        <v>125</v>
      </c>
      <c r="AE3422" t="s">
        <v>125</v>
      </c>
      <c r="AF3422">
        <v>0</v>
      </c>
      <c r="AG3422" t="s">
        <v>125</v>
      </c>
      <c r="AH3422">
        <v>0</v>
      </c>
      <c r="AK3422">
        <v>0</v>
      </c>
    </row>
    <row r="3423" spans="1:37" x14ac:dyDescent="0.25">
      <c r="A3423" t="s">
        <v>79</v>
      </c>
      <c r="B3423">
        <v>13</v>
      </c>
      <c r="C3423">
        <v>3</v>
      </c>
      <c r="D3423">
        <v>3</v>
      </c>
      <c r="E3423">
        <v>8</v>
      </c>
      <c r="G3423">
        <v>1333</v>
      </c>
      <c r="H3423" t="s">
        <v>63</v>
      </c>
      <c r="I3423" t="s">
        <v>126</v>
      </c>
      <c r="J3423" t="s">
        <v>148</v>
      </c>
      <c r="L3423">
        <v>0</v>
      </c>
      <c r="M3423" t="s">
        <v>125</v>
      </c>
      <c r="O3423" t="s">
        <v>125</v>
      </c>
      <c r="P3423" t="s">
        <v>125</v>
      </c>
      <c r="Q3423" t="s">
        <v>125</v>
      </c>
      <c r="R3423" t="s">
        <v>125</v>
      </c>
      <c r="S3423" t="s">
        <v>125</v>
      </c>
      <c r="T3423">
        <v>0</v>
      </c>
      <c r="V3423" t="s">
        <v>125</v>
      </c>
      <c r="AE3423" t="s">
        <v>125</v>
      </c>
      <c r="AF3423">
        <v>0</v>
      </c>
      <c r="AG3423" t="s">
        <v>125</v>
      </c>
      <c r="AH3423">
        <v>0</v>
      </c>
      <c r="AK3423">
        <v>0</v>
      </c>
    </row>
    <row r="3424" spans="1:37" x14ac:dyDescent="0.25">
      <c r="A3424" t="s">
        <v>79</v>
      </c>
      <c r="B3424">
        <v>13</v>
      </c>
      <c r="C3424">
        <v>3</v>
      </c>
      <c r="D3424">
        <v>3</v>
      </c>
      <c r="E3424">
        <v>9</v>
      </c>
      <c r="G3424">
        <v>1333</v>
      </c>
      <c r="H3424" t="s">
        <v>63</v>
      </c>
      <c r="I3424" t="s">
        <v>74</v>
      </c>
      <c r="J3424" t="s">
        <v>149</v>
      </c>
      <c r="L3424">
        <v>0</v>
      </c>
      <c r="M3424" t="s">
        <v>125</v>
      </c>
      <c r="O3424" t="s">
        <v>125</v>
      </c>
      <c r="P3424" t="s">
        <v>125</v>
      </c>
      <c r="Q3424" t="s">
        <v>125</v>
      </c>
      <c r="R3424" t="s">
        <v>125</v>
      </c>
      <c r="S3424" t="s">
        <v>125</v>
      </c>
      <c r="T3424">
        <v>0</v>
      </c>
      <c r="V3424" t="s">
        <v>125</v>
      </c>
      <c r="AE3424" t="s">
        <v>125</v>
      </c>
      <c r="AF3424">
        <v>0</v>
      </c>
      <c r="AG3424" t="s">
        <v>125</v>
      </c>
      <c r="AH3424">
        <v>0</v>
      </c>
      <c r="AK3424">
        <v>0</v>
      </c>
    </row>
    <row r="3425" spans="1:37" x14ac:dyDescent="0.25">
      <c r="A3425" t="s">
        <v>79</v>
      </c>
      <c r="B3425">
        <v>13</v>
      </c>
      <c r="C3425">
        <v>3</v>
      </c>
      <c r="D3425">
        <v>3</v>
      </c>
      <c r="E3425">
        <v>10</v>
      </c>
      <c r="G3425">
        <v>1333</v>
      </c>
      <c r="H3425" t="s">
        <v>63</v>
      </c>
      <c r="I3425" t="s">
        <v>129</v>
      </c>
      <c r="J3425" t="s">
        <v>150</v>
      </c>
      <c r="L3425">
        <v>0</v>
      </c>
      <c r="M3425" t="s">
        <v>125</v>
      </c>
      <c r="O3425" t="s">
        <v>125</v>
      </c>
      <c r="P3425" t="s">
        <v>125</v>
      </c>
      <c r="Q3425" t="s">
        <v>125</v>
      </c>
      <c r="R3425" t="s">
        <v>125</v>
      </c>
      <c r="S3425" t="s">
        <v>125</v>
      </c>
      <c r="T3425">
        <v>0</v>
      </c>
      <c r="V3425" t="s">
        <v>125</v>
      </c>
      <c r="AE3425" t="s">
        <v>125</v>
      </c>
      <c r="AF3425">
        <v>0</v>
      </c>
      <c r="AG3425" t="s">
        <v>125</v>
      </c>
      <c r="AH3425">
        <v>0</v>
      </c>
      <c r="AK3425">
        <v>0</v>
      </c>
    </row>
    <row r="3426" spans="1:37" x14ac:dyDescent="0.25">
      <c r="A3426" t="s">
        <v>79</v>
      </c>
      <c r="B3426">
        <v>13</v>
      </c>
      <c r="C3426">
        <v>3</v>
      </c>
      <c r="D3426">
        <v>3</v>
      </c>
      <c r="E3426">
        <v>11</v>
      </c>
      <c r="G3426">
        <v>1333</v>
      </c>
      <c r="H3426" t="s">
        <v>63</v>
      </c>
      <c r="I3426" t="s">
        <v>131</v>
      </c>
      <c r="J3426" t="s">
        <v>151</v>
      </c>
      <c r="L3426">
        <v>0</v>
      </c>
      <c r="M3426" t="s">
        <v>125</v>
      </c>
      <c r="O3426" t="s">
        <v>125</v>
      </c>
      <c r="P3426" t="s">
        <v>125</v>
      </c>
      <c r="Q3426" t="s">
        <v>125</v>
      </c>
      <c r="R3426" t="s">
        <v>125</v>
      </c>
      <c r="S3426" t="s">
        <v>125</v>
      </c>
      <c r="T3426">
        <v>0</v>
      </c>
      <c r="V3426" t="s">
        <v>125</v>
      </c>
      <c r="AE3426" t="s">
        <v>125</v>
      </c>
      <c r="AF3426">
        <v>0</v>
      </c>
      <c r="AG3426" t="s">
        <v>125</v>
      </c>
      <c r="AH3426">
        <v>0</v>
      </c>
      <c r="AK3426">
        <v>0</v>
      </c>
    </row>
    <row r="3427" spans="1:37" x14ac:dyDescent="0.25">
      <c r="A3427" t="s">
        <v>79</v>
      </c>
      <c r="B3427">
        <v>13</v>
      </c>
      <c r="C3427">
        <v>3</v>
      </c>
      <c r="D3427">
        <v>3</v>
      </c>
      <c r="E3427">
        <v>12</v>
      </c>
      <c r="G3427">
        <v>1333</v>
      </c>
      <c r="H3427" t="s">
        <v>63</v>
      </c>
      <c r="I3427" t="s">
        <v>133</v>
      </c>
      <c r="J3427" t="s">
        <v>152</v>
      </c>
      <c r="L3427">
        <v>0</v>
      </c>
      <c r="M3427" t="s">
        <v>125</v>
      </c>
      <c r="O3427" t="s">
        <v>125</v>
      </c>
      <c r="P3427" t="s">
        <v>125</v>
      </c>
      <c r="Q3427" t="s">
        <v>125</v>
      </c>
      <c r="R3427" t="s">
        <v>125</v>
      </c>
      <c r="S3427" t="s">
        <v>125</v>
      </c>
      <c r="T3427">
        <v>0</v>
      </c>
      <c r="V3427" t="s">
        <v>125</v>
      </c>
      <c r="AE3427" t="s">
        <v>125</v>
      </c>
      <c r="AF3427">
        <v>0</v>
      </c>
      <c r="AG3427" t="s">
        <v>125</v>
      </c>
      <c r="AH3427">
        <v>0</v>
      </c>
      <c r="AK3427">
        <v>0</v>
      </c>
    </row>
    <row r="3428" spans="1:37" x14ac:dyDescent="0.25">
      <c r="A3428" t="s">
        <v>79</v>
      </c>
      <c r="B3428">
        <v>13</v>
      </c>
      <c r="C3428">
        <v>3</v>
      </c>
      <c r="D3428">
        <v>3</v>
      </c>
      <c r="E3428">
        <v>13</v>
      </c>
      <c r="G3428">
        <v>1333</v>
      </c>
      <c r="H3428" t="s">
        <v>63</v>
      </c>
      <c r="I3428" t="s">
        <v>135</v>
      </c>
      <c r="J3428" t="s">
        <v>153</v>
      </c>
      <c r="L3428">
        <v>0</v>
      </c>
      <c r="M3428" t="s">
        <v>125</v>
      </c>
      <c r="O3428" t="s">
        <v>125</v>
      </c>
      <c r="P3428" t="s">
        <v>125</v>
      </c>
      <c r="Q3428" t="s">
        <v>125</v>
      </c>
      <c r="R3428" t="s">
        <v>125</v>
      </c>
      <c r="S3428" t="s">
        <v>125</v>
      </c>
      <c r="T3428">
        <v>0</v>
      </c>
      <c r="V3428" t="s">
        <v>125</v>
      </c>
      <c r="AE3428" t="s">
        <v>125</v>
      </c>
      <c r="AF3428">
        <v>0</v>
      </c>
      <c r="AG3428" t="s">
        <v>125</v>
      </c>
      <c r="AH3428">
        <v>0</v>
      </c>
      <c r="AK3428">
        <v>0</v>
      </c>
    </row>
    <row r="3429" spans="1:37" x14ac:dyDescent="0.25">
      <c r="A3429" t="s">
        <v>79</v>
      </c>
      <c r="B3429">
        <v>13</v>
      </c>
      <c r="C3429">
        <v>3</v>
      </c>
      <c r="D3429">
        <v>3</v>
      </c>
      <c r="E3429">
        <v>14</v>
      </c>
      <c r="G3429">
        <v>1333</v>
      </c>
      <c r="H3429" t="s">
        <v>63</v>
      </c>
      <c r="I3429" t="s">
        <v>137</v>
      </c>
      <c r="J3429" t="s">
        <v>154</v>
      </c>
      <c r="L3429">
        <v>0</v>
      </c>
      <c r="M3429" t="s">
        <v>125</v>
      </c>
      <c r="O3429" t="s">
        <v>125</v>
      </c>
      <c r="P3429" t="s">
        <v>125</v>
      </c>
      <c r="Q3429" t="s">
        <v>125</v>
      </c>
      <c r="R3429" t="s">
        <v>125</v>
      </c>
      <c r="S3429" t="s">
        <v>125</v>
      </c>
      <c r="T3429">
        <v>0</v>
      </c>
      <c r="V3429" t="s">
        <v>125</v>
      </c>
      <c r="AE3429" t="s">
        <v>125</v>
      </c>
      <c r="AF3429">
        <v>0</v>
      </c>
      <c r="AG3429" t="s">
        <v>125</v>
      </c>
      <c r="AH3429">
        <v>0</v>
      </c>
      <c r="AK3429">
        <v>0</v>
      </c>
    </row>
    <row r="3430" spans="1:37" x14ac:dyDescent="0.25">
      <c r="A3430" t="s">
        <v>79</v>
      </c>
      <c r="B3430">
        <v>13</v>
      </c>
      <c r="C3430">
        <v>3</v>
      </c>
      <c r="D3430">
        <v>3</v>
      </c>
      <c r="E3430">
        <v>15</v>
      </c>
      <c r="G3430">
        <v>1333</v>
      </c>
      <c r="H3430" t="s">
        <v>63</v>
      </c>
      <c r="I3430" t="s">
        <v>139</v>
      </c>
      <c r="J3430" t="s">
        <v>155</v>
      </c>
      <c r="L3430">
        <v>0</v>
      </c>
      <c r="M3430" t="s">
        <v>125</v>
      </c>
      <c r="O3430" t="s">
        <v>125</v>
      </c>
      <c r="P3430" t="s">
        <v>125</v>
      </c>
      <c r="Q3430" t="s">
        <v>125</v>
      </c>
      <c r="R3430" t="s">
        <v>125</v>
      </c>
      <c r="S3430" t="s">
        <v>125</v>
      </c>
      <c r="T3430">
        <v>0</v>
      </c>
      <c r="V3430" t="s">
        <v>125</v>
      </c>
      <c r="AE3430" t="s">
        <v>125</v>
      </c>
      <c r="AF3430">
        <v>0</v>
      </c>
      <c r="AG3430" t="s">
        <v>125</v>
      </c>
      <c r="AH3430">
        <v>0</v>
      </c>
      <c r="AK3430">
        <v>0</v>
      </c>
    </row>
    <row r="3431" spans="1:37" x14ac:dyDescent="0.25">
      <c r="L3431">
        <v>0</v>
      </c>
    </row>
    <row r="3432" spans="1:37" x14ac:dyDescent="0.25">
      <c r="A3432" t="s">
        <v>70</v>
      </c>
      <c r="B3432">
        <v>13</v>
      </c>
      <c r="C3432">
        <v>3</v>
      </c>
      <c r="D3432">
        <v>4</v>
      </c>
      <c r="G3432">
        <v>133</v>
      </c>
      <c r="L3432">
        <v>0</v>
      </c>
      <c r="M3432" t="s">
        <v>125</v>
      </c>
      <c r="P3432" t="s">
        <v>125</v>
      </c>
      <c r="R3432" t="s">
        <v>125</v>
      </c>
      <c r="S3432" t="s">
        <v>63</v>
      </c>
      <c r="V3432" t="s">
        <v>125</v>
      </c>
      <c r="X3432" t="s">
        <v>125</v>
      </c>
      <c r="Y3432" t="s">
        <v>125</v>
      </c>
      <c r="Z3432" t="s">
        <v>125</v>
      </c>
      <c r="AA3432" t="s">
        <v>125</v>
      </c>
      <c r="AB3432" t="s">
        <v>125</v>
      </c>
      <c r="AC3432" t="s">
        <v>125</v>
      </c>
      <c r="AE3432" t="s">
        <v>125</v>
      </c>
      <c r="AF3432">
        <v>0</v>
      </c>
      <c r="AG3432" t="s">
        <v>125</v>
      </c>
      <c r="AH3432">
        <v>0</v>
      </c>
      <c r="AK3432">
        <v>0</v>
      </c>
    </row>
    <row r="3433" spans="1:37" x14ac:dyDescent="0.25">
      <c r="A3433" t="s">
        <v>79</v>
      </c>
      <c r="B3433">
        <v>13</v>
      </c>
      <c r="C3433">
        <v>3</v>
      </c>
      <c r="D3433">
        <v>4</v>
      </c>
      <c r="E3433">
        <v>1</v>
      </c>
      <c r="G3433">
        <v>1334</v>
      </c>
      <c r="H3433" t="s">
        <v>63</v>
      </c>
      <c r="I3433" t="s">
        <v>80</v>
      </c>
      <c r="J3433" t="s">
        <v>141</v>
      </c>
      <c r="L3433">
        <v>0</v>
      </c>
      <c r="M3433" t="s">
        <v>125</v>
      </c>
      <c r="O3433" t="s">
        <v>125</v>
      </c>
      <c r="P3433" t="s">
        <v>125</v>
      </c>
      <c r="Q3433" t="s">
        <v>125</v>
      </c>
      <c r="R3433" t="s">
        <v>125</v>
      </c>
      <c r="S3433" t="s">
        <v>125</v>
      </c>
      <c r="T3433">
        <v>0</v>
      </c>
      <c r="V3433" t="s">
        <v>125</v>
      </c>
      <c r="AE3433" t="s">
        <v>125</v>
      </c>
      <c r="AF3433">
        <v>0</v>
      </c>
      <c r="AG3433" t="s">
        <v>125</v>
      </c>
      <c r="AH3433">
        <v>0</v>
      </c>
      <c r="AK3433">
        <v>0</v>
      </c>
    </row>
    <row r="3434" spans="1:37" x14ac:dyDescent="0.25">
      <c r="A3434" t="s">
        <v>79</v>
      </c>
      <c r="B3434">
        <v>13</v>
      </c>
      <c r="C3434">
        <v>3</v>
      </c>
      <c r="D3434">
        <v>4</v>
      </c>
      <c r="E3434">
        <v>2</v>
      </c>
      <c r="G3434">
        <v>1334</v>
      </c>
      <c r="H3434" t="s">
        <v>63</v>
      </c>
      <c r="I3434" t="s">
        <v>88</v>
      </c>
      <c r="J3434" t="s">
        <v>142</v>
      </c>
      <c r="L3434">
        <v>0</v>
      </c>
      <c r="M3434" t="s">
        <v>125</v>
      </c>
      <c r="O3434" t="s">
        <v>125</v>
      </c>
      <c r="P3434" t="s">
        <v>125</v>
      </c>
      <c r="Q3434" t="s">
        <v>125</v>
      </c>
      <c r="R3434" t="s">
        <v>125</v>
      </c>
      <c r="S3434" t="s">
        <v>125</v>
      </c>
      <c r="T3434">
        <v>0</v>
      </c>
      <c r="V3434" t="s">
        <v>125</v>
      </c>
      <c r="AE3434" t="s">
        <v>125</v>
      </c>
      <c r="AF3434">
        <v>0</v>
      </c>
      <c r="AG3434" t="s">
        <v>125</v>
      </c>
      <c r="AH3434">
        <v>0</v>
      </c>
      <c r="AK3434">
        <v>0</v>
      </c>
    </row>
    <row r="3435" spans="1:37" x14ac:dyDescent="0.25">
      <c r="A3435" t="s">
        <v>79</v>
      </c>
      <c r="B3435">
        <v>13</v>
      </c>
      <c r="C3435">
        <v>3</v>
      </c>
      <c r="D3435">
        <v>4</v>
      </c>
      <c r="E3435">
        <v>3</v>
      </c>
      <c r="G3435">
        <v>1334</v>
      </c>
      <c r="H3435" t="s">
        <v>63</v>
      </c>
      <c r="I3435" t="s">
        <v>95</v>
      </c>
      <c r="J3435" t="s">
        <v>143</v>
      </c>
      <c r="L3435">
        <v>0</v>
      </c>
      <c r="M3435" t="s">
        <v>125</v>
      </c>
      <c r="O3435" t="s">
        <v>125</v>
      </c>
      <c r="P3435" t="s">
        <v>125</v>
      </c>
      <c r="Q3435" t="s">
        <v>125</v>
      </c>
      <c r="R3435" t="s">
        <v>125</v>
      </c>
      <c r="S3435" t="s">
        <v>125</v>
      </c>
      <c r="T3435">
        <v>0</v>
      </c>
      <c r="V3435" t="s">
        <v>125</v>
      </c>
      <c r="AE3435" t="s">
        <v>125</v>
      </c>
      <c r="AF3435">
        <v>0</v>
      </c>
      <c r="AG3435" t="s">
        <v>125</v>
      </c>
      <c r="AH3435">
        <v>0</v>
      </c>
      <c r="AK3435">
        <v>0</v>
      </c>
    </row>
    <row r="3436" spans="1:37" x14ac:dyDescent="0.25">
      <c r="A3436" t="s">
        <v>79</v>
      </c>
      <c r="B3436">
        <v>13</v>
      </c>
      <c r="C3436">
        <v>3</v>
      </c>
      <c r="D3436">
        <v>4</v>
      </c>
      <c r="E3436">
        <v>4</v>
      </c>
      <c r="G3436">
        <v>1334</v>
      </c>
      <c r="H3436" t="s">
        <v>63</v>
      </c>
      <c r="I3436" t="s">
        <v>102</v>
      </c>
      <c r="J3436" t="s">
        <v>144</v>
      </c>
      <c r="L3436">
        <v>0</v>
      </c>
      <c r="M3436" t="s">
        <v>125</v>
      </c>
      <c r="O3436" t="s">
        <v>125</v>
      </c>
      <c r="P3436" t="s">
        <v>125</v>
      </c>
      <c r="Q3436" t="s">
        <v>125</v>
      </c>
      <c r="R3436" t="s">
        <v>125</v>
      </c>
      <c r="S3436" t="s">
        <v>125</v>
      </c>
      <c r="T3436">
        <v>0</v>
      </c>
      <c r="V3436" t="s">
        <v>125</v>
      </c>
      <c r="AE3436" t="s">
        <v>125</v>
      </c>
      <c r="AF3436">
        <v>0</v>
      </c>
      <c r="AG3436" t="s">
        <v>125</v>
      </c>
      <c r="AH3436">
        <v>0</v>
      </c>
      <c r="AK3436">
        <v>0</v>
      </c>
    </row>
    <row r="3437" spans="1:37" x14ac:dyDescent="0.25">
      <c r="A3437" t="s">
        <v>79</v>
      </c>
      <c r="B3437">
        <v>13</v>
      </c>
      <c r="C3437">
        <v>3</v>
      </c>
      <c r="D3437">
        <v>4</v>
      </c>
      <c r="E3437">
        <v>5</v>
      </c>
      <c r="G3437">
        <v>1334</v>
      </c>
      <c r="H3437" t="s">
        <v>63</v>
      </c>
      <c r="I3437" t="s">
        <v>109</v>
      </c>
      <c r="J3437" t="s">
        <v>145</v>
      </c>
      <c r="L3437">
        <v>0</v>
      </c>
      <c r="M3437" t="s">
        <v>125</v>
      </c>
      <c r="O3437" t="s">
        <v>125</v>
      </c>
      <c r="P3437" t="s">
        <v>125</v>
      </c>
      <c r="Q3437" t="s">
        <v>125</v>
      </c>
      <c r="R3437" t="s">
        <v>125</v>
      </c>
      <c r="S3437" t="s">
        <v>125</v>
      </c>
      <c r="T3437">
        <v>0</v>
      </c>
      <c r="V3437" t="s">
        <v>125</v>
      </c>
      <c r="AE3437" t="s">
        <v>125</v>
      </c>
      <c r="AF3437">
        <v>0</v>
      </c>
      <c r="AG3437" t="s">
        <v>125</v>
      </c>
      <c r="AH3437">
        <v>0</v>
      </c>
      <c r="AK3437">
        <v>0</v>
      </c>
    </row>
    <row r="3438" spans="1:37" x14ac:dyDescent="0.25">
      <c r="A3438" t="s">
        <v>79</v>
      </c>
      <c r="B3438">
        <v>13</v>
      </c>
      <c r="C3438">
        <v>3</v>
      </c>
      <c r="D3438">
        <v>4</v>
      </c>
      <c r="E3438">
        <v>6</v>
      </c>
      <c r="G3438">
        <v>1334</v>
      </c>
      <c r="H3438" t="s">
        <v>63</v>
      </c>
      <c r="I3438" t="s">
        <v>116</v>
      </c>
      <c r="J3438" t="s">
        <v>146</v>
      </c>
      <c r="L3438">
        <v>0</v>
      </c>
      <c r="M3438" t="s">
        <v>125</v>
      </c>
      <c r="O3438" t="s">
        <v>125</v>
      </c>
      <c r="P3438" t="s">
        <v>125</v>
      </c>
      <c r="Q3438" t="s">
        <v>125</v>
      </c>
      <c r="R3438" t="s">
        <v>125</v>
      </c>
      <c r="S3438" t="s">
        <v>125</v>
      </c>
      <c r="T3438">
        <v>0</v>
      </c>
      <c r="V3438" t="s">
        <v>125</v>
      </c>
      <c r="AE3438" t="s">
        <v>125</v>
      </c>
      <c r="AF3438">
        <v>0</v>
      </c>
      <c r="AG3438" t="s">
        <v>125</v>
      </c>
      <c r="AH3438">
        <v>0</v>
      </c>
      <c r="AK3438">
        <v>0</v>
      </c>
    </row>
    <row r="3439" spans="1:37" x14ac:dyDescent="0.25">
      <c r="A3439" t="s">
        <v>79</v>
      </c>
      <c r="B3439">
        <v>13</v>
      </c>
      <c r="C3439">
        <v>3</v>
      </c>
      <c r="D3439">
        <v>4</v>
      </c>
      <c r="E3439">
        <v>7</v>
      </c>
      <c r="G3439">
        <v>1334</v>
      </c>
      <c r="H3439" t="s">
        <v>63</v>
      </c>
      <c r="I3439" t="s">
        <v>123</v>
      </c>
      <c r="J3439" t="s">
        <v>147</v>
      </c>
      <c r="L3439">
        <v>0</v>
      </c>
      <c r="M3439" t="s">
        <v>125</v>
      </c>
      <c r="O3439" t="s">
        <v>125</v>
      </c>
      <c r="P3439" t="s">
        <v>125</v>
      </c>
      <c r="Q3439" t="s">
        <v>125</v>
      </c>
      <c r="R3439" t="s">
        <v>125</v>
      </c>
      <c r="S3439" t="s">
        <v>125</v>
      </c>
      <c r="T3439">
        <v>0</v>
      </c>
      <c r="V3439" t="s">
        <v>125</v>
      </c>
      <c r="AE3439" t="s">
        <v>125</v>
      </c>
      <c r="AF3439">
        <v>0</v>
      </c>
      <c r="AG3439" t="s">
        <v>125</v>
      </c>
      <c r="AH3439">
        <v>0</v>
      </c>
      <c r="AK3439">
        <v>0</v>
      </c>
    </row>
    <row r="3440" spans="1:37" x14ac:dyDescent="0.25">
      <c r="A3440" t="s">
        <v>79</v>
      </c>
      <c r="B3440">
        <v>13</v>
      </c>
      <c r="C3440">
        <v>3</v>
      </c>
      <c r="D3440">
        <v>4</v>
      </c>
      <c r="E3440">
        <v>8</v>
      </c>
      <c r="G3440">
        <v>1334</v>
      </c>
      <c r="H3440" t="s">
        <v>63</v>
      </c>
      <c r="I3440" t="s">
        <v>126</v>
      </c>
      <c r="J3440" t="s">
        <v>148</v>
      </c>
      <c r="L3440">
        <v>0</v>
      </c>
      <c r="M3440" t="s">
        <v>125</v>
      </c>
      <c r="O3440" t="s">
        <v>125</v>
      </c>
      <c r="P3440" t="s">
        <v>125</v>
      </c>
      <c r="Q3440" t="s">
        <v>125</v>
      </c>
      <c r="R3440" t="s">
        <v>125</v>
      </c>
      <c r="S3440" t="s">
        <v>125</v>
      </c>
      <c r="T3440">
        <v>0</v>
      </c>
      <c r="V3440" t="s">
        <v>125</v>
      </c>
      <c r="AE3440" t="s">
        <v>125</v>
      </c>
      <c r="AF3440">
        <v>0</v>
      </c>
      <c r="AG3440" t="s">
        <v>125</v>
      </c>
      <c r="AH3440">
        <v>0</v>
      </c>
      <c r="AK3440">
        <v>0</v>
      </c>
    </row>
    <row r="3441" spans="1:37" x14ac:dyDescent="0.25">
      <c r="A3441" t="s">
        <v>79</v>
      </c>
      <c r="B3441">
        <v>13</v>
      </c>
      <c r="C3441">
        <v>3</v>
      </c>
      <c r="D3441">
        <v>4</v>
      </c>
      <c r="E3441">
        <v>9</v>
      </c>
      <c r="G3441">
        <v>1334</v>
      </c>
      <c r="H3441" t="s">
        <v>63</v>
      </c>
      <c r="I3441" t="s">
        <v>74</v>
      </c>
      <c r="J3441" t="s">
        <v>149</v>
      </c>
      <c r="L3441">
        <v>0</v>
      </c>
      <c r="M3441" t="s">
        <v>125</v>
      </c>
      <c r="O3441" t="s">
        <v>125</v>
      </c>
      <c r="P3441" t="s">
        <v>125</v>
      </c>
      <c r="Q3441" t="s">
        <v>125</v>
      </c>
      <c r="R3441" t="s">
        <v>125</v>
      </c>
      <c r="S3441" t="s">
        <v>125</v>
      </c>
      <c r="T3441">
        <v>0</v>
      </c>
      <c r="V3441" t="s">
        <v>125</v>
      </c>
      <c r="AE3441" t="s">
        <v>125</v>
      </c>
      <c r="AF3441">
        <v>0</v>
      </c>
      <c r="AG3441" t="s">
        <v>125</v>
      </c>
      <c r="AH3441">
        <v>0</v>
      </c>
      <c r="AK3441">
        <v>0</v>
      </c>
    </row>
    <row r="3442" spans="1:37" x14ac:dyDescent="0.25">
      <c r="A3442" t="s">
        <v>79</v>
      </c>
      <c r="B3442">
        <v>13</v>
      </c>
      <c r="C3442">
        <v>3</v>
      </c>
      <c r="D3442">
        <v>4</v>
      </c>
      <c r="E3442">
        <v>10</v>
      </c>
      <c r="G3442">
        <v>1334</v>
      </c>
      <c r="H3442" t="s">
        <v>63</v>
      </c>
      <c r="I3442" t="s">
        <v>129</v>
      </c>
      <c r="J3442" t="s">
        <v>150</v>
      </c>
      <c r="L3442">
        <v>0</v>
      </c>
      <c r="M3442" t="s">
        <v>125</v>
      </c>
      <c r="O3442" t="s">
        <v>125</v>
      </c>
      <c r="P3442" t="s">
        <v>125</v>
      </c>
      <c r="Q3442" t="s">
        <v>125</v>
      </c>
      <c r="R3442" t="s">
        <v>125</v>
      </c>
      <c r="S3442" t="s">
        <v>125</v>
      </c>
      <c r="T3442">
        <v>0</v>
      </c>
      <c r="V3442" t="s">
        <v>125</v>
      </c>
      <c r="AE3442" t="s">
        <v>125</v>
      </c>
      <c r="AF3442">
        <v>0</v>
      </c>
      <c r="AG3442" t="s">
        <v>125</v>
      </c>
      <c r="AH3442">
        <v>0</v>
      </c>
      <c r="AK3442">
        <v>0</v>
      </c>
    </row>
    <row r="3443" spans="1:37" x14ac:dyDescent="0.25">
      <c r="A3443" t="s">
        <v>79</v>
      </c>
      <c r="B3443">
        <v>13</v>
      </c>
      <c r="C3443">
        <v>3</v>
      </c>
      <c r="D3443">
        <v>4</v>
      </c>
      <c r="E3443">
        <v>11</v>
      </c>
      <c r="G3443">
        <v>1334</v>
      </c>
      <c r="H3443" t="s">
        <v>63</v>
      </c>
      <c r="I3443" t="s">
        <v>131</v>
      </c>
      <c r="J3443" t="s">
        <v>151</v>
      </c>
      <c r="L3443">
        <v>0</v>
      </c>
      <c r="M3443" t="s">
        <v>125</v>
      </c>
      <c r="O3443" t="s">
        <v>125</v>
      </c>
      <c r="P3443" t="s">
        <v>125</v>
      </c>
      <c r="Q3443" t="s">
        <v>125</v>
      </c>
      <c r="R3443" t="s">
        <v>125</v>
      </c>
      <c r="S3443" t="s">
        <v>125</v>
      </c>
      <c r="T3443">
        <v>0</v>
      </c>
      <c r="V3443" t="s">
        <v>125</v>
      </c>
      <c r="AE3443" t="s">
        <v>125</v>
      </c>
      <c r="AF3443">
        <v>0</v>
      </c>
      <c r="AG3443" t="s">
        <v>125</v>
      </c>
      <c r="AH3443">
        <v>0</v>
      </c>
      <c r="AK3443">
        <v>0</v>
      </c>
    </row>
    <row r="3444" spans="1:37" x14ac:dyDescent="0.25">
      <c r="A3444" t="s">
        <v>79</v>
      </c>
      <c r="B3444">
        <v>13</v>
      </c>
      <c r="C3444">
        <v>3</v>
      </c>
      <c r="D3444">
        <v>4</v>
      </c>
      <c r="E3444">
        <v>12</v>
      </c>
      <c r="G3444">
        <v>1334</v>
      </c>
      <c r="H3444" t="s">
        <v>63</v>
      </c>
      <c r="I3444" t="s">
        <v>133</v>
      </c>
      <c r="J3444" t="s">
        <v>152</v>
      </c>
      <c r="L3444">
        <v>0</v>
      </c>
      <c r="M3444" t="s">
        <v>125</v>
      </c>
      <c r="O3444" t="s">
        <v>125</v>
      </c>
      <c r="P3444" t="s">
        <v>125</v>
      </c>
      <c r="Q3444" t="s">
        <v>125</v>
      </c>
      <c r="R3444" t="s">
        <v>125</v>
      </c>
      <c r="S3444" t="s">
        <v>125</v>
      </c>
      <c r="T3444">
        <v>0</v>
      </c>
      <c r="V3444" t="s">
        <v>125</v>
      </c>
      <c r="AE3444" t="s">
        <v>125</v>
      </c>
      <c r="AF3444">
        <v>0</v>
      </c>
      <c r="AG3444" t="s">
        <v>125</v>
      </c>
      <c r="AH3444">
        <v>0</v>
      </c>
      <c r="AK3444">
        <v>0</v>
      </c>
    </row>
    <row r="3445" spans="1:37" x14ac:dyDescent="0.25">
      <c r="A3445" t="s">
        <v>79</v>
      </c>
      <c r="B3445">
        <v>13</v>
      </c>
      <c r="C3445">
        <v>3</v>
      </c>
      <c r="D3445">
        <v>4</v>
      </c>
      <c r="E3445">
        <v>13</v>
      </c>
      <c r="G3445">
        <v>1334</v>
      </c>
      <c r="H3445" t="s">
        <v>63</v>
      </c>
      <c r="I3445" t="s">
        <v>135</v>
      </c>
      <c r="J3445" t="s">
        <v>153</v>
      </c>
      <c r="L3445">
        <v>0</v>
      </c>
      <c r="M3445" t="s">
        <v>125</v>
      </c>
      <c r="O3445" t="s">
        <v>125</v>
      </c>
      <c r="P3445" t="s">
        <v>125</v>
      </c>
      <c r="Q3445" t="s">
        <v>125</v>
      </c>
      <c r="R3445" t="s">
        <v>125</v>
      </c>
      <c r="S3445" t="s">
        <v>125</v>
      </c>
      <c r="T3445">
        <v>0</v>
      </c>
      <c r="V3445" t="s">
        <v>125</v>
      </c>
      <c r="AE3445" t="s">
        <v>125</v>
      </c>
      <c r="AF3445">
        <v>0</v>
      </c>
      <c r="AG3445" t="s">
        <v>125</v>
      </c>
      <c r="AH3445">
        <v>0</v>
      </c>
      <c r="AK3445">
        <v>0</v>
      </c>
    </row>
    <row r="3446" spans="1:37" x14ac:dyDescent="0.25">
      <c r="A3446" t="s">
        <v>79</v>
      </c>
      <c r="B3446">
        <v>13</v>
      </c>
      <c r="C3446">
        <v>3</v>
      </c>
      <c r="D3446">
        <v>4</v>
      </c>
      <c r="E3446">
        <v>14</v>
      </c>
      <c r="G3446">
        <v>1334</v>
      </c>
      <c r="H3446" t="s">
        <v>63</v>
      </c>
      <c r="I3446" t="s">
        <v>137</v>
      </c>
      <c r="J3446" t="s">
        <v>154</v>
      </c>
      <c r="L3446">
        <v>0</v>
      </c>
      <c r="M3446" t="s">
        <v>125</v>
      </c>
      <c r="O3446" t="s">
        <v>125</v>
      </c>
      <c r="P3446" t="s">
        <v>125</v>
      </c>
      <c r="Q3446" t="s">
        <v>125</v>
      </c>
      <c r="R3446" t="s">
        <v>125</v>
      </c>
      <c r="S3446" t="s">
        <v>125</v>
      </c>
      <c r="T3446">
        <v>0</v>
      </c>
      <c r="V3446" t="s">
        <v>125</v>
      </c>
      <c r="AE3446" t="s">
        <v>125</v>
      </c>
      <c r="AF3446">
        <v>0</v>
      </c>
      <c r="AG3446" t="s">
        <v>125</v>
      </c>
      <c r="AH3446">
        <v>0</v>
      </c>
      <c r="AK3446">
        <v>0</v>
      </c>
    </row>
    <row r="3447" spans="1:37" x14ac:dyDescent="0.25">
      <c r="A3447" t="s">
        <v>79</v>
      </c>
      <c r="B3447">
        <v>13</v>
      </c>
      <c r="C3447">
        <v>3</v>
      </c>
      <c r="D3447">
        <v>4</v>
      </c>
      <c r="E3447">
        <v>15</v>
      </c>
      <c r="G3447">
        <v>1334</v>
      </c>
      <c r="H3447" t="s">
        <v>63</v>
      </c>
      <c r="I3447" t="s">
        <v>139</v>
      </c>
      <c r="J3447" t="s">
        <v>155</v>
      </c>
      <c r="L3447">
        <v>0</v>
      </c>
      <c r="M3447" t="s">
        <v>125</v>
      </c>
      <c r="O3447" t="s">
        <v>125</v>
      </c>
      <c r="P3447" t="s">
        <v>125</v>
      </c>
      <c r="Q3447" t="s">
        <v>125</v>
      </c>
      <c r="R3447" t="s">
        <v>125</v>
      </c>
      <c r="S3447" t="s">
        <v>125</v>
      </c>
      <c r="T3447">
        <v>0</v>
      </c>
      <c r="V3447" t="s">
        <v>125</v>
      </c>
      <c r="AE3447" t="s">
        <v>125</v>
      </c>
      <c r="AF3447">
        <v>0</v>
      </c>
      <c r="AG3447" t="s">
        <v>125</v>
      </c>
      <c r="AH3447">
        <v>0</v>
      </c>
      <c r="AK3447">
        <v>0</v>
      </c>
    </row>
    <row r="3448" spans="1:37" x14ac:dyDescent="0.25">
      <c r="L3448">
        <v>0</v>
      </c>
    </row>
    <row r="3449" spans="1:37" x14ac:dyDescent="0.25">
      <c r="A3449" t="s">
        <v>70</v>
      </c>
      <c r="B3449">
        <v>13</v>
      </c>
      <c r="C3449">
        <v>3</v>
      </c>
      <c r="D3449">
        <v>5</v>
      </c>
      <c r="G3449">
        <v>133</v>
      </c>
      <c r="L3449">
        <v>0</v>
      </c>
      <c r="M3449" t="s">
        <v>125</v>
      </c>
      <c r="P3449" t="s">
        <v>125</v>
      </c>
      <c r="R3449" t="s">
        <v>125</v>
      </c>
      <c r="S3449" t="s">
        <v>63</v>
      </c>
      <c r="V3449" t="s">
        <v>125</v>
      </c>
      <c r="X3449" t="s">
        <v>125</v>
      </c>
      <c r="Y3449" t="s">
        <v>125</v>
      </c>
      <c r="Z3449" t="s">
        <v>125</v>
      </c>
      <c r="AA3449" t="s">
        <v>125</v>
      </c>
      <c r="AB3449" t="s">
        <v>125</v>
      </c>
      <c r="AC3449" t="s">
        <v>125</v>
      </c>
      <c r="AE3449" t="s">
        <v>125</v>
      </c>
      <c r="AF3449">
        <v>0</v>
      </c>
      <c r="AG3449" t="s">
        <v>125</v>
      </c>
      <c r="AH3449">
        <v>0</v>
      </c>
      <c r="AK3449">
        <v>0</v>
      </c>
    </row>
    <row r="3450" spans="1:37" x14ac:dyDescent="0.25">
      <c r="A3450" t="s">
        <v>79</v>
      </c>
      <c r="B3450">
        <v>13</v>
      </c>
      <c r="C3450">
        <v>3</v>
      </c>
      <c r="D3450">
        <v>5</v>
      </c>
      <c r="E3450">
        <v>1</v>
      </c>
      <c r="G3450">
        <v>1335</v>
      </c>
      <c r="H3450" t="s">
        <v>63</v>
      </c>
      <c r="I3450" t="s">
        <v>80</v>
      </c>
      <c r="J3450" t="s">
        <v>141</v>
      </c>
      <c r="L3450">
        <v>0</v>
      </c>
      <c r="M3450" t="s">
        <v>125</v>
      </c>
      <c r="O3450" t="s">
        <v>125</v>
      </c>
      <c r="P3450" t="s">
        <v>125</v>
      </c>
      <c r="Q3450" t="s">
        <v>125</v>
      </c>
      <c r="R3450" t="s">
        <v>125</v>
      </c>
      <c r="S3450" t="s">
        <v>125</v>
      </c>
      <c r="T3450">
        <v>0</v>
      </c>
      <c r="V3450" t="s">
        <v>125</v>
      </c>
      <c r="AE3450" t="s">
        <v>125</v>
      </c>
      <c r="AF3450">
        <v>0</v>
      </c>
      <c r="AG3450" t="s">
        <v>125</v>
      </c>
      <c r="AH3450">
        <v>0</v>
      </c>
      <c r="AK3450">
        <v>0</v>
      </c>
    </row>
    <row r="3451" spans="1:37" x14ac:dyDescent="0.25">
      <c r="A3451" t="s">
        <v>79</v>
      </c>
      <c r="B3451">
        <v>13</v>
      </c>
      <c r="C3451">
        <v>3</v>
      </c>
      <c r="D3451">
        <v>5</v>
      </c>
      <c r="E3451">
        <v>2</v>
      </c>
      <c r="G3451">
        <v>1335</v>
      </c>
      <c r="H3451" t="s">
        <v>63</v>
      </c>
      <c r="I3451" t="s">
        <v>88</v>
      </c>
      <c r="J3451" t="s">
        <v>142</v>
      </c>
      <c r="L3451">
        <v>0</v>
      </c>
      <c r="M3451" t="s">
        <v>125</v>
      </c>
      <c r="O3451" t="s">
        <v>125</v>
      </c>
      <c r="P3451" t="s">
        <v>125</v>
      </c>
      <c r="Q3451" t="s">
        <v>125</v>
      </c>
      <c r="R3451" t="s">
        <v>125</v>
      </c>
      <c r="S3451" t="s">
        <v>125</v>
      </c>
      <c r="T3451">
        <v>0</v>
      </c>
      <c r="V3451" t="s">
        <v>125</v>
      </c>
      <c r="AE3451" t="s">
        <v>125</v>
      </c>
      <c r="AF3451">
        <v>0</v>
      </c>
      <c r="AG3451" t="s">
        <v>125</v>
      </c>
      <c r="AH3451">
        <v>0</v>
      </c>
      <c r="AK3451">
        <v>0</v>
      </c>
    </row>
    <row r="3452" spans="1:37" x14ac:dyDescent="0.25">
      <c r="A3452" t="s">
        <v>79</v>
      </c>
      <c r="B3452">
        <v>13</v>
      </c>
      <c r="C3452">
        <v>3</v>
      </c>
      <c r="D3452">
        <v>5</v>
      </c>
      <c r="E3452">
        <v>3</v>
      </c>
      <c r="G3452">
        <v>1335</v>
      </c>
      <c r="H3452" t="s">
        <v>63</v>
      </c>
      <c r="I3452" t="s">
        <v>95</v>
      </c>
      <c r="J3452" t="s">
        <v>143</v>
      </c>
      <c r="L3452">
        <v>0</v>
      </c>
      <c r="M3452" t="s">
        <v>125</v>
      </c>
      <c r="O3452" t="s">
        <v>125</v>
      </c>
      <c r="P3452" t="s">
        <v>125</v>
      </c>
      <c r="Q3452" t="s">
        <v>125</v>
      </c>
      <c r="R3452" t="s">
        <v>125</v>
      </c>
      <c r="S3452" t="s">
        <v>125</v>
      </c>
      <c r="T3452">
        <v>0</v>
      </c>
      <c r="V3452" t="s">
        <v>125</v>
      </c>
      <c r="AE3452" t="s">
        <v>125</v>
      </c>
      <c r="AF3452">
        <v>0</v>
      </c>
      <c r="AG3452" t="s">
        <v>125</v>
      </c>
      <c r="AH3452">
        <v>0</v>
      </c>
      <c r="AK3452">
        <v>0</v>
      </c>
    </row>
    <row r="3453" spans="1:37" x14ac:dyDescent="0.25">
      <c r="A3453" t="s">
        <v>79</v>
      </c>
      <c r="B3453">
        <v>13</v>
      </c>
      <c r="C3453">
        <v>3</v>
      </c>
      <c r="D3453">
        <v>5</v>
      </c>
      <c r="E3453">
        <v>4</v>
      </c>
      <c r="G3453">
        <v>1335</v>
      </c>
      <c r="H3453" t="s">
        <v>63</v>
      </c>
      <c r="I3453" t="s">
        <v>102</v>
      </c>
      <c r="J3453" t="s">
        <v>144</v>
      </c>
      <c r="L3453">
        <v>0</v>
      </c>
      <c r="M3453" t="s">
        <v>125</v>
      </c>
      <c r="O3453" t="s">
        <v>125</v>
      </c>
      <c r="P3453" t="s">
        <v>125</v>
      </c>
      <c r="Q3453" t="s">
        <v>125</v>
      </c>
      <c r="R3453" t="s">
        <v>125</v>
      </c>
      <c r="S3453" t="s">
        <v>125</v>
      </c>
      <c r="T3453">
        <v>0</v>
      </c>
      <c r="V3453" t="s">
        <v>125</v>
      </c>
      <c r="AE3453" t="s">
        <v>125</v>
      </c>
      <c r="AF3453">
        <v>0</v>
      </c>
      <c r="AG3453" t="s">
        <v>125</v>
      </c>
      <c r="AH3453">
        <v>0</v>
      </c>
      <c r="AK3453">
        <v>0</v>
      </c>
    </row>
    <row r="3454" spans="1:37" x14ac:dyDescent="0.25">
      <c r="A3454" t="s">
        <v>79</v>
      </c>
      <c r="B3454">
        <v>13</v>
      </c>
      <c r="C3454">
        <v>3</v>
      </c>
      <c r="D3454">
        <v>5</v>
      </c>
      <c r="E3454">
        <v>5</v>
      </c>
      <c r="G3454">
        <v>1335</v>
      </c>
      <c r="H3454" t="s">
        <v>63</v>
      </c>
      <c r="I3454" t="s">
        <v>109</v>
      </c>
      <c r="J3454" t="s">
        <v>145</v>
      </c>
      <c r="L3454">
        <v>0</v>
      </c>
      <c r="M3454" t="s">
        <v>125</v>
      </c>
      <c r="O3454" t="s">
        <v>125</v>
      </c>
      <c r="P3454" t="s">
        <v>125</v>
      </c>
      <c r="Q3454" t="s">
        <v>125</v>
      </c>
      <c r="R3454" t="s">
        <v>125</v>
      </c>
      <c r="S3454" t="s">
        <v>125</v>
      </c>
      <c r="T3454">
        <v>0</v>
      </c>
      <c r="V3454" t="s">
        <v>125</v>
      </c>
      <c r="AE3454" t="s">
        <v>125</v>
      </c>
      <c r="AF3454">
        <v>0</v>
      </c>
      <c r="AG3454" t="s">
        <v>125</v>
      </c>
      <c r="AH3454">
        <v>0</v>
      </c>
      <c r="AK3454">
        <v>0</v>
      </c>
    </row>
    <row r="3455" spans="1:37" x14ac:dyDescent="0.25">
      <c r="A3455" t="s">
        <v>79</v>
      </c>
      <c r="B3455">
        <v>13</v>
      </c>
      <c r="C3455">
        <v>3</v>
      </c>
      <c r="D3455">
        <v>5</v>
      </c>
      <c r="E3455">
        <v>6</v>
      </c>
      <c r="G3455">
        <v>1335</v>
      </c>
      <c r="H3455" t="s">
        <v>63</v>
      </c>
      <c r="I3455" t="s">
        <v>116</v>
      </c>
      <c r="J3455" t="s">
        <v>146</v>
      </c>
      <c r="L3455">
        <v>0</v>
      </c>
      <c r="M3455" t="s">
        <v>125</v>
      </c>
      <c r="O3455" t="s">
        <v>125</v>
      </c>
      <c r="P3455" t="s">
        <v>125</v>
      </c>
      <c r="Q3455" t="s">
        <v>125</v>
      </c>
      <c r="R3455" t="s">
        <v>125</v>
      </c>
      <c r="S3455" t="s">
        <v>125</v>
      </c>
      <c r="T3455">
        <v>0</v>
      </c>
      <c r="V3455" t="s">
        <v>125</v>
      </c>
      <c r="AE3455" t="s">
        <v>125</v>
      </c>
      <c r="AF3455">
        <v>0</v>
      </c>
      <c r="AG3455" t="s">
        <v>125</v>
      </c>
      <c r="AH3455">
        <v>0</v>
      </c>
      <c r="AK3455">
        <v>0</v>
      </c>
    </row>
    <row r="3456" spans="1:37" x14ac:dyDescent="0.25">
      <c r="A3456" t="s">
        <v>79</v>
      </c>
      <c r="B3456">
        <v>13</v>
      </c>
      <c r="C3456">
        <v>3</v>
      </c>
      <c r="D3456">
        <v>5</v>
      </c>
      <c r="E3456">
        <v>7</v>
      </c>
      <c r="G3456">
        <v>1335</v>
      </c>
      <c r="H3456" t="s">
        <v>63</v>
      </c>
      <c r="I3456" t="s">
        <v>123</v>
      </c>
      <c r="J3456" t="s">
        <v>147</v>
      </c>
      <c r="L3456">
        <v>0</v>
      </c>
      <c r="M3456" t="s">
        <v>125</v>
      </c>
      <c r="O3456" t="s">
        <v>125</v>
      </c>
      <c r="P3456" t="s">
        <v>125</v>
      </c>
      <c r="Q3456" t="s">
        <v>125</v>
      </c>
      <c r="R3456" t="s">
        <v>125</v>
      </c>
      <c r="S3456" t="s">
        <v>125</v>
      </c>
      <c r="T3456">
        <v>0</v>
      </c>
      <c r="V3456" t="s">
        <v>125</v>
      </c>
      <c r="AE3456" t="s">
        <v>125</v>
      </c>
      <c r="AF3456">
        <v>0</v>
      </c>
      <c r="AG3456" t="s">
        <v>125</v>
      </c>
      <c r="AH3456">
        <v>0</v>
      </c>
      <c r="AK3456">
        <v>0</v>
      </c>
    </row>
    <row r="3457" spans="1:37" x14ac:dyDescent="0.25">
      <c r="A3457" t="s">
        <v>79</v>
      </c>
      <c r="B3457">
        <v>13</v>
      </c>
      <c r="C3457">
        <v>3</v>
      </c>
      <c r="D3457">
        <v>5</v>
      </c>
      <c r="E3457">
        <v>8</v>
      </c>
      <c r="G3457">
        <v>1335</v>
      </c>
      <c r="H3457" t="s">
        <v>63</v>
      </c>
      <c r="I3457" t="s">
        <v>126</v>
      </c>
      <c r="J3457" t="s">
        <v>148</v>
      </c>
      <c r="L3457">
        <v>0</v>
      </c>
      <c r="M3457" t="s">
        <v>125</v>
      </c>
      <c r="O3457" t="s">
        <v>125</v>
      </c>
      <c r="P3457" t="s">
        <v>125</v>
      </c>
      <c r="Q3457" t="s">
        <v>125</v>
      </c>
      <c r="R3457" t="s">
        <v>125</v>
      </c>
      <c r="S3457" t="s">
        <v>125</v>
      </c>
      <c r="T3457">
        <v>0</v>
      </c>
      <c r="V3457" t="s">
        <v>125</v>
      </c>
      <c r="AE3457" t="s">
        <v>125</v>
      </c>
      <c r="AF3457">
        <v>0</v>
      </c>
      <c r="AG3457" t="s">
        <v>125</v>
      </c>
      <c r="AH3457">
        <v>0</v>
      </c>
      <c r="AK3457">
        <v>0</v>
      </c>
    </row>
    <row r="3458" spans="1:37" x14ac:dyDescent="0.25">
      <c r="A3458" t="s">
        <v>79</v>
      </c>
      <c r="B3458">
        <v>13</v>
      </c>
      <c r="C3458">
        <v>3</v>
      </c>
      <c r="D3458">
        <v>5</v>
      </c>
      <c r="E3458">
        <v>9</v>
      </c>
      <c r="G3458">
        <v>1335</v>
      </c>
      <c r="H3458" t="s">
        <v>63</v>
      </c>
      <c r="I3458" t="s">
        <v>74</v>
      </c>
      <c r="J3458" t="s">
        <v>149</v>
      </c>
      <c r="L3458">
        <v>0</v>
      </c>
      <c r="M3458" t="s">
        <v>125</v>
      </c>
      <c r="O3458" t="s">
        <v>125</v>
      </c>
      <c r="P3458" t="s">
        <v>125</v>
      </c>
      <c r="Q3458" t="s">
        <v>125</v>
      </c>
      <c r="R3458" t="s">
        <v>125</v>
      </c>
      <c r="S3458" t="s">
        <v>125</v>
      </c>
      <c r="T3458">
        <v>0</v>
      </c>
      <c r="V3458" t="s">
        <v>125</v>
      </c>
      <c r="AE3458" t="s">
        <v>125</v>
      </c>
      <c r="AF3458">
        <v>0</v>
      </c>
      <c r="AG3458" t="s">
        <v>125</v>
      </c>
      <c r="AH3458">
        <v>0</v>
      </c>
      <c r="AK3458">
        <v>0</v>
      </c>
    </row>
    <row r="3459" spans="1:37" x14ac:dyDescent="0.25">
      <c r="A3459" t="s">
        <v>79</v>
      </c>
      <c r="B3459">
        <v>13</v>
      </c>
      <c r="C3459">
        <v>3</v>
      </c>
      <c r="D3459">
        <v>5</v>
      </c>
      <c r="E3459">
        <v>10</v>
      </c>
      <c r="G3459">
        <v>1335</v>
      </c>
      <c r="H3459" t="s">
        <v>63</v>
      </c>
      <c r="I3459" t="s">
        <v>129</v>
      </c>
      <c r="J3459" t="s">
        <v>150</v>
      </c>
      <c r="L3459">
        <v>0</v>
      </c>
      <c r="M3459" t="s">
        <v>125</v>
      </c>
      <c r="O3459" t="s">
        <v>125</v>
      </c>
      <c r="P3459" t="s">
        <v>125</v>
      </c>
      <c r="Q3459" t="s">
        <v>125</v>
      </c>
      <c r="R3459" t="s">
        <v>125</v>
      </c>
      <c r="S3459" t="s">
        <v>125</v>
      </c>
      <c r="T3459">
        <v>0</v>
      </c>
      <c r="V3459" t="s">
        <v>125</v>
      </c>
      <c r="AE3459" t="s">
        <v>125</v>
      </c>
      <c r="AF3459">
        <v>0</v>
      </c>
      <c r="AG3459" t="s">
        <v>125</v>
      </c>
      <c r="AH3459">
        <v>0</v>
      </c>
      <c r="AK3459">
        <v>0</v>
      </c>
    </row>
    <row r="3460" spans="1:37" x14ac:dyDescent="0.25">
      <c r="A3460" t="s">
        <v>79</v>
      </c>
      <c r="B3460">
        <v>13</v>
      </c>
      <c r="C3460">
        <v>3</v>
      </c>
      <c r="D3460">
        <v>5</v>
      </c>
      <c r="E3460">
        <v>11</v>
      </c>
      <c r="G3460">
        <v>1335</v>
      </c>
      <c r="H3460" t="s">
        <v>63</v>
      </c>
      <c r="I3460" t="s">
        <v>131</v>
      </c>
      <c r="J3460" t="s">
        <v>151</v>
      </c>
      <c r="L3460">
        <v>0</v>
      </c>
      <c r="M3460" t="s">
        <v>125</v>
      </c>
      <c r="O3460" t="s">
        <v>125</v>
      </c>
      <c r="P3460" t="s">
        <v>125</v>
      </c>
      <c r="Q3460" t="s">
        <v>125</v>
      </c>
      <c r="R3460" t="s">
        <v>125</v>
      </c>
      <c r="S3460" t="s">
        <v>125</v>
      </c>
      <c r="T3460">
        <v>0</v>
      </c>
      <c r="V3460" t="s">
        <v>125</v>
      </c>
      <c r="AE3460" t="s">
        <v>125</v>
      </c>
      <c r="AF3460">
        <v>0</v>
      </c>
      <c r="AG3460" t="s">
        <v>125</v>
      </c>
      <c r="AH3460">
        <v>0</v>
      </c>
      <c r="AK3460">
        <v>0</v>
      </c>
    </row>
    <row r="3461" spans="1:37" x14ac:dyDescent="0.25">
      <c r="A3461" t="s">
        <v>79</v>
      </c>
      <c r="B3461">
        <v>13</v>
      </c>
      <c r="C3461">
        <v>3</v>
      </c>
      <c r="D3461">
        <v>5</v>
      </c>
      <c r="E3461">
        <v>12</v>
      </c>
      <c r="G3461">
        <v>1335</v>
      </c>
      <c r="H3461" t="s">
        <v>63</v>
      </c>
      <c r="I3461" t="s">
        <v>133</v>
      </c>
      <c r="J3461" t="s">
        <v>152</v>
      </c>
      <c r="L3461">
        <v>0</v>
      </c>
      <c r="M3461" t="s">
        <v>125</v>
      </c>
      <c r="O3461" t="s">
        <v>125</v>
      </c>
      <c r="P3461" t="s">
        <v>125</v>
      </c>
      <c r="Q3461" t="s">
        <v>125</v>
      </c>
      <c r="R3461" t="s">
        <v>125</v>
      </c>
      <c r="S3461" t="s">
        <v>125</v>
      </c>
      <c r="T3461">
        <v>0</v>
      </c>
      <c r="V3461" t="s">
        <v>125</v>
      </c>
      <c r="AE3461" t="s">
        <v>125</v>
      </c>
      <c r="AF3461">
        <v>0</v>
      </c>
      <c r="AG3461" t="s">
        <v>125</v>
      </c>
      <c r="AH3461">
        <v>0</v>
      </c>
      <c r="AK3461">
        <v>0</v>
      </c>
    </row>
    <row r="3462" spans="1:37" x14ac:dyDescent="0.25">
      <c r="A3462" t="s">
        <v>79</v>
      </c>
      <c r="B3462">
        <v>13</v>
      </c>
      <c r="C3462">
        <v>3</v>
      </c>
      <c r="D3462">
        <v>5</v>
      </c>
      <c r="E3462">
        <v>13</v>
      </c>
      <c r="G3462">
        <v>1335</v>
      </c>
      <c r="H3462" t="s">
        <v>63</v>
      </c>
      <c r="I3462" t="s">
        <v>135</v>
      </c>
      <c r="J3462" t="s">
        <v>153</v>
      </c>
      <c r="L3462">
        <v>0</v>
      </c>
      <c r="M3462" t="s">
        <v>125</v>
      </c>
      <c r="O3462" t="s">
        <v>125</v>
      </c>
      <c r="P3462" t="s">
        <v>125</v>
      </c>
      <c r="Q3462" t="s">
        <v>125</v>
      </c>
      <c r="R3462" t="s">
        <v>125</v>
      </c>
      <c r="S3462" t="s">
        <v>125</v>
      </c>
      <c r="T3462">
        <v>0</v>
      </c>
      <c r="V3462" t="s">
        <v>125</v>
      </c>
      <c r="AE3462" t="s">
        <v>125</v>
      </c>
      <c r="AF3462">
        <v>0</v>
      </c>
      <c r="AG3462" t="s">
        <v>125</v>
      </c>
      <c r="AH3462">
        <v>0</v>
      </c>
      <c r="AK3462">
        <v>0</v>
      </c>
    </row>
    <row r="3463" spans="1:37" x14ac:dyDescent="0.25">
      <c r="A3463" t="s">
        <v>79</v>
      </c>
      <c r="B3463">
        <v>13</v>
      </c>
      <c r="C3463">
        <v>3</v>
      </c>
      <c r="D3463">
        <v>5</v>
      </c>
      <c r="E3463">
        <v>14</v>
      </c>
      <c r="G3463">
        <v>1335</v>
      </c>
      <c r="H3463" t="s">
        <v>63</v>
      </c>
      <c r="I3463" t="s">
        <v>137</v>
      </c>
      <c r="J3463" t="s">
        <v>154</v>
      </c>
      <c r="L3463">
        <v>0</v>
      </c>
      <c r="M3463" t="s">
        <v>125</v>
      </c>
      <c r="O3463" t="s">
        <v>125</v>
      </c>
      <c r="P3463" t="s">
        <v>125</v>
      </c>
      <c r="Q3463" t="s">
        <v>125</v>
      </c>
      <c r="R3463" t="s">
        <v>125</v>
      </c>
      <c r="S3463" t="s">
        <v>125</v>
      </c>
      <c r="T3463">
        <v>0</v>
      </c>
      <c r="V3463" t="s">
        <v>125</v>
      </c>
      <c r="AE3463" t="s">
        <v>125</v>
      </c>
      <c r="AF3463">
        <v>0</v>
      </c>
      <c r="AG3463" t="s">
        <v>125</v>
      </c>
      <c r="AH3463">
        <v>0</v>
      </c>
      <c r="AK3463">
        <v>0</v>
      </c>
    </row>
    <row r="3464" spans="1:37" x14ac:dyDescent="0.25">
      <c r="A3464" t="s">
        <v>79</v>
      </c>
      <c r="B3464">
        <v>13</v>
      </c>
      <c r="C3464">
        <v>3</v>
      </c>
      <c r="D3464">
        <v>5</v>
      </c>
      <c r="E3464">
        <v>15</v>
      </c>
      <c r="G3464">
        <v>1335</v>
      </c>
      <c r="H3464" t="s">
        <v>63</v>
      </c>
      <c r="I3464" t="s">
        <v>139</v>
      </c>
      <c r="J3464" t="s">
        <v>155</v>
      </c>
      <c r="L3464">
        <v>0</v>
      </c>
      <c r="M3464" t="s">
        <v>125</v>
      </c>
      <c r="O3464" t="s">
        <v>125</v>
      </c>
      <c r="P3464" t="s">
        <v>125</v>
      </c>
      <c r="Q3464" t="s">
        <v>125</v>
      </c>
      <c r="R3464" t="s">
        <v>125</v>
      </c>
      <c r="S3464" t="s">
        <v>125</v>
      </c>
      <c r="T3464">
        <v>0</v>
      </c>
      <c r="V3464" t="s">
        <v>125</v>
      </c>
      <c r="AE3464" t="s">
        <v>125</v>
      </c>
      <c r="AF3464">
        <v>0</v>
      </c>
      <c r="AG3464" t="s">
        <v>125</v>
      </c>
      <c r="AH3464">
        <v>0</v>
      </c>
      <c r="AK3464">
        <v>0</v>
      </c>
    </row>
    <row r="3465" spans="1:37" x14ac:dyDescent="0.25">
      <c r="L3465">
        <v>0</v>
      </c>
    </row>
    <row r="3466" spans="1:37" x14ac:dyDescent="0.25">
      <c r="L3466">
        <v>0</v>
      </c>
    </row>
    <row r="3467" spans="1:37" x14ac:dyDescent="0.25">
      <c r="A3467" t="s">
        <v>56</v>
      </c>
      <c r="F3467">
        <v>14</v>
      </c>
      <c r="L3467">
        <v>14</v>
      </c>
      <c r="M3467" t="s">
        <v>135</v>
      </c>
      <c r="N3467" t="s">
        <v>4422</v>
      </c>
      <c r="P3467" t="s">
        <v>4423</v>
      </c>
      <c r="V3467" t="s">
        <v>4424</v>
      </c>
      <c r="Y3467" t="s">
        <v>4425</v>
      </c>
      <c r="AA3467" t="s">
        <v>4426</v>
      </c>
      <c r="AC3467" t="s">
        <v>63</v>
      </c>
      <c r="AE3467" t="s">
        <v>4427</v>
      </c>
      <c r="AF3467">
        <v>0</v>
      </c>
      <c r="AG3467" t="s">
        <v>4428</v>
      </c>
      <c r="AH3467">
        <v>0</v>
      </c>
      <c r="AK3467">
        <v>0</v>
      </c>
    </row>
    <row r="3468" spans="1:37" x14ac:dyDescent="0.25">
      <c r="L3468">
        <v>0</v>
      </c>
    </row>
    <row r="3469" spans="1:37" x14ac:dyDescent="0.25">
      <c r="A3469" t="s">
        <v>66</v>
      </c>
      <c r="B3469">
        <v>14</v>
      </c>
      <c r="C3469">
        <v>1</v>
      </c>
      <c r="G3469">
        <v>14</v>
      </c>
      <c r="H3469" t="s">
        <v>4422</v>
      </c>
      <c r="I3469" t="s">
        <v>4429</v>
      </c>
      <c r="M3469" t="s">
        <v>4430</v>
      </c>
      <c r="N3469" t="s">
        <v>4429</v>
      </c>
      <c r="P3469" t="s">
        <v>4431</v>
      </c>
      <c r="V3469" t="s">
        <v>4432</v>
      </c>
      <c r="Y3469" t="s">
        <v>4433</v>
      </c>
      <c r="AA3469" t="s">
        <v>4434</v>
      </c>
      <c r="AC3469" t="s">
        <v>63</v>
      </c>
      <c r="AE3469" t="s">
        <v>4435</v>
      </c>
      <c r="AF3469">
        <v>0</v>
      </c>
      <c r="AG3469" t="s">
        <v>4436</v>
      </c>
      <c r="AH3469">
        <v>0</v>
      </c>
      <c r="AK3469">
        <v>0</v>
      </c>
    </row>
    <row r="3470" spans="1:37" x14ac:dyDescent="0.25">
      <c r="L3470">
        <v>0</v>
      </c>
    </row>
    <row r="3471" spans="1:37" x14ac:dyDescent="0.25">
      <c r="A3471" t="s">
        <v>70</v>
      </c>
      <c r="B3471">
        <v>14</v>
      </c>
      <c r="C3471">
        <v>1</v>
      </c>
      <c r="D3471">
        <v>1</v>
      </c>
      <c r="G3471">
        <v>141</v>
      </c>
      <c r="M3471" t="s">
        <v>4437</v>
      </c>
      <c r="O3471" t="s">
        <v>4438</v>
      </c>
      <c r="P3471" t="s">
        <v>4439</v>
      </c>
      <c r="Q3471" t="s">
        <v>202</v>
      </c>
      <c r="R3471" t="s">
        <v>382</v>
      </c>
      <c r="S3471" t="s">
        <v>4440</v>
      </c>
      <c r="V3471" t="s">
        <v>4441</v>
      </c>
      <c r="X3471" t="s">
        <v>4442</v>
      </c>
      <c r="Y3471" t="s">
        <v>4443</v>
      </c>
      <c r="Z3471" t="s">
        <v>4444</v>
      </c>
      <c r="AA3471" t="s">
        <v>4445</v>
      </c>
      <c r="AB3471" t="s">
        <v>63</v>
      </c>
      <c r="AC3471" t="s">
        <v>63</v>
      </c>
      <c r="AE3471" t="s">
        <v>4446</v>
      </c>
      <c r="AF3471">
        <v>0</v>
      </c>
      <c r="AG3471" t="s">
        <v>4447</v>
      </c>
      <c r="AH3471">
        <v>0</v>
      </c>
      <c r="AK3471">
        <v>0</v>
      </c>
    </row>
    <row r="3472" spans="1:37" x14ac:dyDescent="0.25">
      <c r="A3472" t="s">
        <v>79</v>
      </c>
      <c r="B3472">
        <v>14</v>
      </c>
      <c r="C3472">
        <v>1</v>
      </c>
      <c r="D3472">
        <v>1</v>
      </c>
      <c r="E3472">
        <v>1</v>
      </c>
      <c r="G3472">
        <v>1411</v>
      </c>
      <c r="H3472" t="s">
        <v>4438</v>
      </c>
      <c r="I3472" t="s">
        <v>80</v>
      </c>
      <c r="J3472" t="s">
        <v>4448</v>
      </c>
      <c r="L3472">
        <v>0</v>
      </c>
      <c r="M3472" t="s">
        <v>4449</v>
      </c>
      <c r="O3472" t="s">
        <v>4450</v>
      </c>
      <c r="P3472" t="s">
        <v>4451</v>
      </c>
      <c r="Q3472" t="s">
        <v>57</v>
      </c>
      <c r="R3472" t="s">
        <v>382</v>
      </c>
      <c r="S3472" t="s">
        <v>4452</v>
      </c>
      <c r="T3472">
        <v>38</v>
      </c>
      <c r="U3472">
        <v>38</v>
      </c>
      <c r="V3472" t="s">
        <v>4452</v>
      </c>
      <c r="AE3472" t="s">
        <v>4453</v>
      </c>
      <c r="AF3472">
        <v>0</v>
      </c>
      <c r="AG3472" t="s">
        <v>4132</v>
      </c>
      <c r="AH3472">
        <v>0</v>
      </c>
      <c r="AK3472">
        <v>0</v>
      </c>
    </row>
    <row r="3473" spans="1:37" x14ac:dyDescent="0.25">
      <c r="A3473" t="s">
        <v>79</v>
      </c>
      <c r="B3473">
        <v>14</v>
      </c>
      <c r="C3473">
        <v>1</v>
      </c>
      <c r="D3473">
        <v>1</v>
      </c>
      <c r="E3473">
        <v>2</v>
      </c>
      <c r="G3473">
        <v>1411</v>
      </c>
      <c r="H3473" t="s">
        <v>4438</v>
      </c>
      <c r="I3473" t="s">
        <v>88</v>
      </c>
      <c r="J3473" t="s">
        <v>4454</v>
      </c>
      <c r="L3473">
        <v>0</v>
      </c>
      <c r="M3473" t="s">
        <v>4455</v>
      </c>
      <c r="O3473" t="s">
        <v>4456</v>
      </c>
      <c r="P3473" t="s">
        <v>4457</v>
      </c>
      <c r="Q3473" t="s">
        <v>57</v>
      </c>
      <c r="R3473" t="s">
        <v>382</v>
      </c>
      <c r="S3473" t="s">
        <v>4458</v>
      </c>
      <c r="T3473">
        <v>38</v>
      </c>
      <c r="U3473">
        <v>38</v>
      </c>
      <c r="V3473" t="s">
        <v>4458</v>
      </c>
      <c r="AE3473" t="s">
        <v>4459</v>
      </c>
      <c r="AF3473">
        <v>0</v>
      </c>
      <c r="AG3473" t="s">
        <v>4132</v>
      </c>
      <c r="AH3473">
        <v>0</v>
      </c>
      <c r="AK3473">
        <v>0</v>
      </c>
    </row>
    <row r="3474" spans="1:37" x14ac:dyDescent="0.25">
      <c r="A3474" t="s">
        <v>79</v>
      </c>
      <c r="B3474">
        <v>14</v>
      </c>
      <c r="C3474">
        <v>1</v>
      </c>
      <c r="D3474">
        <v>1</v>
      </c>
      <c r="E3474">
        <v>3</v>
      </c>
      <c r="G3474">
        <v>1411</v>
      </c>
      <c r="H3474" t="s">
        <v>4438</v>
      </c>
      <c r="I3474" t="s">
        <v>95</v>
      </c>
      <c r="J3474" t="s">
        <v>4460</v>
      </c>
      <c r="L3474">
        <v>0</v>
      </c>
      <c r="M3474" t="s">
        <v>4461</v>
      </c>
      <c r="O3474" t="s">
        <v>4462</v>
      </c>
      <c r="P3474" t="s">
        <v>4463</v>
      </c>
      <c r="Q3474" t="s">
        <v>57</v>
      </c>
      <c r="R3474" t="s">
        <v>382</v>
      </c>
      <c r="S3474" t="s">
        <v>4464</v>
      </c>
      <c r="T3474">
        <v>38</v>
      </c>
      <c r="U3474">
        <v>38</v>
      </c>
      <c r="V3474" t="s">
        <v>4464</v>
      </c>
      <c r="AE3474" t="s">
        <v>4465</v>
      </c>
      <c r="AF3474">
        <v>0</v>
      </c>
      <c r="AG3474" t="s">
        <v>4132</v>
      </c>
      <c r="AH3474">
        <v>0</v>
      </c>
      <c r="AK3474">
        <v>0</v>
      </c>
    </row>
    <row r="3475" spans="1:37" x14ac:dyDescent="0.25">
      <c r="A3475" t="s">
        <v>79</v>
      </c>
      <c r="B3475">
        <v>14</v>
      </c>
      <c r="C3475">
        <v>1</v>
      </c>
      <c r="D3475">
        <v>1</v>
      </c>
      <c r="E3475">
        <v>4</v>
      </c>
      <c r="G3475">
        <v>1411</v>
      </c>
      <c r="H3475" t="s">
        <v>4438</v>
      </c>
      <c r="I3475" t="s">
        <v>102</v>
      </c>
      <c r="J3475" t="s">
        <v>4466</v>
      </c>
      <c r="L3475">
        <v>0</v>
      </c>
      <c r="M3475" t="s">
        <v>4467</v>
      </c>
      <c r="O3475" t="s">
        <v>4468</v>
      </c>
      <c r="P3475" t="s">
        <v>4469</v>
      </c>
      <c r="Q3475" t="s">
        <v>4470</v>
      </c>
      <c r="R3475" t="s">
        <v>192</v>
      </c>
      <c r="S3475" t="s">
        <v>4471</v>
      </c>
      <c r="T3475">
        <v>38</v>
      </c>
      <c r="U3475">
        <v>372</v>
      </c>
      <c r="V3475" t="s">
        <v>4472</v>
      </c>
      <c r="AE3475" t="s">
        <v>4473</v>
      </c>
      <c r="AF3475">
        <v>0</v>
      </c>
      <c r="AG3475" t="s">
        <v>4474</v>
      </c>
      <c r="AH3475">
        <v>0</v>
      </c>
      <c r="AK3475">
        <v>0</v>
      </c>
    </row>
    <row r="3476" spans="1:37" x14ac:dyDescent="0.25">
      <c r="A3476" t="s">
        <v>79</v>
      </c>
      <c r="B3476">
        <v>14</v>
      </c>
      <c r="C3476">
        <v>1</v>
      </c>
      <c r="D3476">
        <v>1</v>
      </c>
      <c r="E3476">
        <v>5</v>
      </c>
      <c r="G3476">
        <v>1411</v>
      </c>
      <c r="H3476" t="s">
        <v>4438</v>
      </c>
      <c r="I3476" t="s">
        <v>109</v>
      </c>
      <c r="J3476" t="s">
        <v>4475</v>
      </c>
      <c r="L3476">
        <v>0</v>
      </c>
      <c r="M3476" t="s">
        <v>125</v>
      </c>
      <c r="O3476" t="s">
        <v>125</v>
      </c>
      <c r="P3476" t="s">
        <v>125</v>
      </c>
      <c r="Q3476" t="s">
        <v>125</v>
      </c>
      <c r="R3476" t="s">
        <v>125</v>
      </c>
      <c r="S3476" t="s">
        <v>125</v>
      </c>
      <c r="T3476">
        <v>38</v>
      </c>
      <c r="V3476" t="s">
        <v>125</v>
      </c>
      <c r="AE3476" t="s">
        <v>125</v>
      </c>
      <c r="AF3476">
        <v>0</v>
      </c>
      <c r="AG3476" t="s">
        <v>125</v>
      </c>
      <c r="AH3476">
        <v>0</v>
      </c>
      <c r="AK3476">
        <v>0</v>
      </c>
    </row>
    <row r="3477" spans="1:37" x14ac:dyDescent="0.25">
      <c r="A3477" t="s">
        <v>79</v>
      </c>
      <c r="B3477">
        <v>14</v>
      </c>
      <c r="C3477">
        <v>1</v>
      </c>
      <c r="D3477">
        <v>1</v>
      </c>
      <c r="E3477">
        <v>6</v>
      </c>
      <c r="G3477">
        <v>1411</v>
      </c>
      <c r="H3477" t="s">
        <v>4438</v>
      </c>
      <c r="I3477" t="s">
        <v>116</v>
      </c>
      <c r="J3477" t="s">
        <v>4476</v>
      </c>
      <c r="L3477">
        <v>0</v>
      </c>
      <c r="M3477" t="s">
        <v>125</v>
      </c>
      <c r="O3477" t="s">
        <v>125</v>
      </c>
      <c r="P3477" t="s">
        <v>125</v>
      </c>
      <c r="Q3477" t="s">
        <v>125</v>
      </c>
      <c r="R3477" t="s">
        <v>125</v>
      </c>
      <c r="S3477" t="s">
        <v>125</v>
      </c>
      <c r="T3477">
        <v>38</v>
      </c>
      <c r="V3477" t="s">
        <v>125</v>
      </c>
      <c r="AE3477" t="s">
        <v>125</v>
      </c>
      <c r="AF3477">
        <v>0</v>
      </c>
      <c r="AG3477" t="s">
        <v>125</v>
      </c>
      <c r="AH3477">
        <v>0</v>
      </c>
      <c r="AK3477">
        <v>0</v>
      </c>
    </row>
    <row r="3478" spans="1:37" x14ac:dyDescent="0.25">
      <c r="A3478" t="s">
        <v>79</v>
      </c>
      <c r="B3478">
        <v>14</v>
      </c>
      <c r="C3478">
        <v>1</v>
      </c>
      <c r="D3478">
        <v>1</v>
      </c>
      <c r="E3478">
        <v>7</v>
      </c>
      <c r="G3478">
        <v>1411</v>
      </c>
      <c r="H3478" t="s">
        <v>4438</v>
      </c>
      <c r="I3478" t="s">
        <v>123</v>
      </c>
      <c r="J3478" t="s">
        <v>4477</v>
      </c>
      <c r="L3478">
        <v>0</v>
      </c>
      <c r="M3478" t="s">
        <v>125</v>
      </c>
      <c r="O3478" t="s">
        <v>125</v>
      </c>
      <c r="P3478" t="s">
        <v>125</v>
      </c>
      <c r="Q3478" t="s">
        <v>125</v>
      </c>
      <c r="R3478" t="s">
        <v>125</v>
      </c>
      <c r="S3478" t="s">
        <v>125</v>
      </c>
      <c r="T3478">
        <v>38</v>
      </c>
      <c r="V3478" t="s">
        <v>125</v>
      </c>
      <c r="AE3478" t="s">
        <v>125</v>
      </c>
      <c r="AF3478">
        <v>0</v>
      </c>
      <c r="AG3478" t="s">
        <v>125</v>
      </c>
      <c r="AH3478">
        <v>0</v>
      </c>
      <c r="AK3478">
        <v>0</v>
      </c>
    </row>
    <row r="3479" spans="1:37" x14ac:dyDescent="0.25">
      <c r="A3479" t="s">
        <v>79</v>
      </c>
      <c r="B3479">
        <v>14</v>
      </c>
      <c r="C3479">
        <v>1</v>
      </c>
      <c r="D3479">
        <v>1</v>
      </c>
      <c r="E3479">
        <v>8</v>
      </c>
      <c r="G3479">
        <v>1411</v>
      </c>
      <c r="H3479" t="s">
        <v>4438</v>
      </c>
      <c r="I3479" t="s">
        <v>126</v>
      </c>
      <c r="J3479" t="s">
        <v>4478</v>
      </c>
      <c r="L3479">
        <v>0</v>
      </c>
      <c r="M3479" t="s">
        <v>125</v>
      </c>
      <c r="O3479" t="s">
        <v>125</v>
      </c>
      <c r="P3479" t="s">
        <v>125</v>
      </c>
      <c r="Q3479" t="s">
        <v>125</v>
      </c>
      <c r="R3479" t="s">
        <v>125</v>
      </c>
      <c r="S3479" t="s">
        <v>125</v>
      </c>
      <c r="T3479">
        <v>38</v>
      </c>
      <c r="V3479" t="s">
        <v>125</v>
      </c>
      <c r="AE3479" t="s">
        <v>125</v>
      </c>
      <c r="AF3479">
        <v>0</v>
      </c>
      <c r="AG3479" t="s">
        <v>125</v>
      </c>
      <c r="AH3479">
        <v>0</v>
      </c>
      <c r="AK3479">
        <v>0</v>
      </c>
    </row>
    <row r="3480" spans="1:37" x14ac:dyDescent="0.25">
      <c r="A3480" t="s">
        <v>79</v>
      </c>
      <c r="B3480">
        <v>14</v>
      </c>
      <c r="C3480">
        <v>1</v>
      </c>
      <c r="D3480">
        <v>1</v>
      </c>
      <c r="E3480">
        <v>9</v>
      </c>
      <c r="G3480">
        <v>1411</v>
      </c>
      <c r="H3480" t="s">
        <v>4438</v>
      </c>
      <c r="I3480" t="s">
        <v>74</v>
      </c>
      <c r="J3480" t="s">
        <v>4479</v>
      </c>
      <c r="L3480">
        <v>0</v>
      </c>
      <c r="M3480" t="s">
        <v>125</v>
      </c>
      <c r="O3480" t="s">
        <v>125</v>
      </c>
      <c r="P3480" t="s">
        <v>125</v>
      </c>
      <c r="Q3480" t="s">
        <v>125</v>
      </c>
      <c r="R3480" t="s">
        <v>125</v>
      </c>
      <c r="S3480" t="s">
        <v>125</v>
      </c>
      <c r="T3480">
        <v>38</v>
      </c>
      <c r="V3480" t="s">
        <v>125</v>
      </c>
      <c r="AE3480" t="s">
        <v>125</v>
      </c>
      <c r="AF3480">
        <v>0</v>
      </c>
      <c r="AG3480" t="s">
        <v>125</v>
      </c>
      <c r="AH3480">
        <v>0</v>
      </c>
      <c r="AK3480">
        <v>0</v>
      </c>
    </row>
    <row r="3481" spans="1:37" x14ac:dyDescent="0.25">
      <c r="A3481" t="s">
        <v>79</v>
      </c>
      <c r="B3481">
        <v>14</v>
      </c>
      <c r="C3481">
        <v>1</v>
      </c>
      <c r="D3481">
        <v>1</v>
      </c>
      <c r="E3481">
        <v>10</v>
      </c>
      <c r="G3481">
        <v>1411</v>
      </c>
      <c r="H3481" t="s">
        <v>4438</v>
      </c>
      <c r="I3481" t="s">
        <v>129</v>
      </c>
      <c r="J3481" t="s">
        <v>4480</v>
      </c>
      <c r="L3481">
        <v>0</v>
      </c>
      <c r="M3481" t="s">
        <v>125</v>
      </c>
      <c r="O3481" t="s">
        <v>125</v>
      </c>
      <c r="P3481" t="s">
        <v>125</v>
      </c>
      <c r="Q3481" t="s">
        <v>125</v>
      </c>
      <c r="R3481" t="s">
        <v>125</v>
      </c>
      <c r="S3481" t="s">
        <v>125</v>
      </c>
      <c r="T3481">
        <v>38</v>
      </c>
      <c r="V3481" t="s">
        <v>125</v>
      </c>
      <c r="AE3481" t="s">
        <v>125</v>
      </c>
      <c r="AF3481">
        <v>0</v>
      </c>
      <c r="AG3481" t="s">
        <v>125</v>
      </c>
      <c r="AH3481">
        <v>0</v>
      </c>
      <c r="AK3481">
        <v>0</v>
      </c>
    </row>
    <row r="3482" spans="1:37" x14ac:dyDescent="0.25">
      <c r="A3482" t="s">
        <v>79</v>
      </c>
      <c r="B3482">
        <v>14</v>
      </c>
      <c r="C3482">
        <v>1</v>
      </c>
      <c r="D3482">
        <v>1</v>
      </c>
      <c r="E3482">
        <v>11</v>
      </c>
      <c r="G3482">
        <v>1411</v>
      </c>
      <c r="H3482" t="s">
        <v>4438</v>
      </c>
      <c r="I3482" t="s">
        <v>131</v>
      </c>
      <c r="J3482" t="s">
        <v>4481</v>
      </c>
      <c r="L3482">
        <v>0</v>
      </c>
      <c r="M3482" t="s">
        <v>125</v>
      </c>
      <c r="O3482" t="s">
        <v>125</v>
      </c>
      <c r="P3482" t="s">
        <v>125</v>
      </c>
      <c r="Q3482" t="s">
        <v>125</v>
      </c>
      <c r="R3482" t="s">
        <v>125</v>
      </c>
      <c r="S3482" t="s">
        <v>125</v>
      </c>
      <c r="T3482">
        <v>38</v>
      </c>
      <c r="V3482" t="s">
        <v>125</v>
      </c>
      <c r="AE3482" t="s">
        <v>125</v>
      </c>
      <c r="AF3482">
        <v>0</v>
      </c>
      <c r="AG3482" t="s">
        <v>125</v>
      </c>
      <c r="AH3482">
        <v>0</v>
      </c>
      <c r="AK3482">
        <v>0</v>
      </c>
    </row>
    <row r="3483" spans="1:37" x14ac:dyDescent="0.25">
      <c r="A3483" t="s">
        <v>79</v>
      </c>
      <c r="B3483">
        <v>14</v>
      </c>
      <c r="C3483">
        <v>1</v>
      </c>
      <c r="D3483">
        <v>1</v>
      </c>
      <c r="E3483">
        <v>12</v>
      </c>
      <c r="G3483">
        <v>1411</v>
      </c>
      <c r="H3483" t="s">
        <v>4438</v>
      </c>
      <c r="I3483" t="s">
        <v>133</v>
      </c>
      <c r="J3483" t="s">
        <v>4482</v>
      </c>
      <c r="L3483">
        <v>0</v>
      </c>
      <c r="M3483" t="s">
        <v>125</v>
      </c>
      <c r="O3483" t="s">
        <v>125</v>
      </c>
      <c r="P3483" t="s">
        <v>125</v>
      </c>
      <c r="Q3483" t="s">
        <v>125</v>
      </c>
      <c r="R3483" t="s">
        <v>125</v>
      </c>
      <c r="S3483" t="s">
        <v>125</v>
      </c>
      <c r="T3483">
        <v>38</v>
      </c>
      <c r="V3483" t="s">
        <v>125</v>
      </c>
      <c r="AE3483" t="s">
        <v>125</v>
      </c>
      <c r="AF3483">
        <v>0</v>
      </c>
      <c r="AG3483" t="s">
        <v>125</v>
      </c>
      <c r="AH3483">
        <v>0</v>
      </c>
      <c r="AK3483">
        <v>0</v>
      </c>
    </row>
    <row r="3484" spans="1:37" x14ac:dyDescent="0.25">
      <c r="A3484" t="s">
        <v>79</v>
      </c>
      <c r="B3484">
        <v>14</v>
      </c>
      <c r="C3484">
        <v>1</v>
      </c>
      <c r="D3484">
        <v>1</v>
      </c>
      <c r="E3484">
        <v>13</v>
      </c>
      <c r="G3484">
        <v>1411</v>
      </c>
      <c r="H3484" t="s">
        <v>4438</v>
      </c>
      <c r="I3484" t="s">
        <v>135</v>
      </c>
      <c r="J3484" t="s">
        <v>4483</v>
      </c>
      <c r="L3484">
        <v>0</v>
      </c>
      <c r="M3484" t="s">
        <v>125</v>
      </c>
      <c r="O3484" t="s">
        <v>125</v>
      </c>
      <c r="P3484" t="s">
        <v>125</v>
      </c>
      <c r="Q3484" t="s">
        <v>125</v>
      </c>
      <c r="R3484" t="s">
        <v>125</v>
      </c>
      <c r="S3484" t="s">
        <v>125</v>
      </c>
      <c r="T3484">
        <v>38</v>
      </c>
      <c r="V3484" t="s">
        <v>125</v>
      </c>
      <c r="AE3484" t="s">
        <v>125</v>
      </c>
      <c r="AF3484">
        <v>0</v>
      </c>
      <c r="AG3484" t="s">
        <v>125</v>
      </c>
      <c r="AH3484">
        <v>0</v>
      </c>
      <c r="AK3484">
        <v>0</v>
      </c>
    </row>
    <row r="3485" spans="1:37" x14ac:dyDescent="0.25">
      <c r="A3485" t="s">
        <v>79</v>
      </c>
      <c r="B3485">
        <v>14</v>
      </c>
      <c r="C3485">
        <v>1</v>
      </c>
      <c r="D3485">
        <v>1</v>
      </c>
      <c r="E3485">
        <v>14</v>
      </c>
      <c r="G3485">
        <v>1411</v>
      </c>
      <c r="H3485" t="s">
        <v>4438</v>
      </c>
      <c r="I3485" t="s">
        <v>137</v>
      </c>
      <c r="J3485" t="s">
        <v>4484</v>
      </c>
      <c r="L3485">
        <v>0</v>
      </c>
      <c r="M3485" t="s">
        <v>125</v>
      </c>
      <c r="O3485" t="s">
        <v>125</v>
      </c>
      <c r="P3485" t="s">
        <v>125</v>
      </c>
      <c r="Q3485" t="s">
        <v>125</v>
      </c>
      <c r="R3485" t="s">
        <v>125</v>
      </c>
      <c r="S3485" t="s">
        <v>125</v>
      </c>
      <c r="T3485">
        <v>38</v>
      </c>
      <c r="V3485" t="s">
        <v>125</v>
      </c>
      <c r="AE3485" t="s">
        <v>125</v>
      </c>
      <c r="AF3485">
        <v>0</v>
      </c>
      <c r="AG3485" t="s">
        <v>125</v>
      </c>
      <c r="AH3485">
        <v>0</v>
      </c>
      <c r="AK3485">
        <v>0</v>
      </c>
    </row>
    <row r="3486" spans="1:37" x14ac:dyDescent="0.25">
      <c r="A3486" t="s">
        <v>79</v>
      </c>
      <c r="B3486">
        <v>14</v>
      </c>
      <c r="C3486">
        <v>1</v>
      </c>
      <c r="D3486">
        <v>1</v>
      </c>
      <c r="E3486">
        <v>15</v>
      </c>
      <c r="G3486">
        <v>1411</v>
      </c>
      <c r="H3486" t="s">
        <v>4438</v>
      </c>
      <c r="I3486" t="s">
        <v>139</v>
      </c>
      <c r="J3486" t="s">
        <v>4485</v>
      </c>
      <c r="L3486">
        <v>0</v>
      </c>
      <c r="M3486" t="s">
        <v>125</v>
      </c>
      <c r="O3486" t="s">
        <v>125</v>
      </c>
      <c r="P3486" t="s">
        <v>125</v>
      </c>
      <c r="Q3486" t="s">
        <v>125</v>
      </c>
      <c r="R3486" t="s">
        <v>125</v>
      </c>
      <c r="S3486" t="s">
        <v>125</v>
      </c>
      <c r="T3486">
        <v>38</v>
      </c>
      <c r="V3486" t="s">
        <v>125</v>
      </c>
      <c r="AE3486" t="s">
        <v>125</v>
      </c>
      <c r="AF3486">
        <v>0</v>
      </c>
      <c r="AG3486" t="s">
        <v>125</v>
      </c>
      <c r="AH3486">
        <v>0</v>
      </c>
      <c r="AK3486">
        <v>0</v>
      </c>
    </row>
    <row r="3487" spans="1:37" x14ac:dyDescent="0.25">
      <c r="L3487">
        <v>0</v>
      </c>
    </row>
    <row r="3488" spans="1:37" x14ac:dyDescent="0.25">
      <c r="A3488" t="s">
        <v>70</v>
      </c>
      <c r="B3488">
        <v>14</v>
      </c>
      <c r="C3488">
        <v>1</v>
      </c>
      <c r="D3488">
        <v>2</v>
      </c>
      <c r="G3488">
        <v>141</v>
      </c>
      <c r="M3488" t="s">
        <v>4486</v>
      </c>
      <c r="O3488" t="s">
        <v>4487</v>
      </c>
      <c r="P3488" t="s">
        <v>4488</v>
      </c>
      <c r="Q3488" t="s">
        <v>4489</v>
      </c>
      <c r="R3488" t="s">
        <v>382</v>
      </c>
      <c r="S3488" t="s">
        <v>4490</v>
      </c>
      <c r="V3488" t="s">
        <v>4491</v>
      </c>
      <c r="X3488" t="s">
        <v>4492</v>
      </c>
      <c r="Y3488" t="s">
        <v>4493</v>
      </c>
      <c r="Z3488" t="s">
        <v>4494</v>
      </c>
      <c r="AA3488" t="s">
        <v>4495</v>
      </c>
      <c r="AB3488" t="s">
        <v>63</v>
      </c>
      <c r="AC3488" t="s">
        <v>63</v>
      </c>
      <c r="AE3488" t="s">
        <v>4496</v>
      </c>
      <c r="AF3488">
        <v>0</v>
      </c>
      <c r="AG3488" t="s">
        <v>4497</v>
      </c>
      <c r="AH3488">
        <v>0</v>
      </c>
      <c r="AK3488">
        <v>0</v>
      </c>
    </row>
    <row r="3489" spans="1:37" x14ac:dyDescent="0.25">
      <c r="A3489" t="s">
        <v>79</v>
      </c>
      <c r="B3489">
        <v>14</v>
      </c>
      <c r="C3489">
        <v>1</v>
      </c>
      <c r="D3489">
        <v>2</v>
      </c>
      <c r="E3489">
        <v>1</v>
      </c>
      <c r="G3489">
        <v>1412</v>
      </c>
      <c r="H3489" t="s">
        <v>4487</v>
      </c>
      <c r="I3489" t="s">
        <v>80</v>
      </c>
      <c r="J3489" t="s">
        <v>4498</v>
      </c>
      <c r="L3489">
        <v>0</v>
      </c>
      <c r="M3489" t="s">
        <v>4499</v>
      </c>
      <c r="O3489" t="s">
        <v>4450</v>
      </c>
      <c r="P3489" t="s">
        <v>4451</v>
      </c>
      <c r="Q3489" t="s">
        <v>57</v>
      </c>
      <c r="R3489" t="s">
        <v>382</v>
      </c>
      <c r="S3489" t="s">
        <v>4452</v>
      </c>
      <c r="T3489">
        <v>46</v>
      </c>
      <c r="U3489">
        <v>46</v>
      </c>
      <c r="V3489" t="s">
        <v>4452</v>
      </c>
      <c r="AE3489" t="s">
        <v>4453</v>
      </c>
      <c r="AF3489">
        <v>0</v>
      </c>
      <c r="AG3489" t="s">
        <v>4500</v>
      </c>
      <c r="AH3489">
        <v>0</v>
      </c>
      <c r="AK3489">
        <v>0</v>
      </c>
    </row>
    <row r="3490" spans="1:37" x14ac:dyDescent="0.25">
      <c r="A3490" t="s">
        <v>79</v>
      </c>
      <c r="B3490">
        <v>14</v>
      </c>
      <c r="C3490">
        <v>1</v>
      </c>
      <c r="D3490">
        <v>2</v>
      </c>
      <c r="E3490">
        <v>2</v>
      </c>
      <c r="G3490">
        <v>1412</v>
      </c>
      <c r="H3490" t="s">
        <v>4487</v>
      </c>
      <c r="I3490" t="s">
        <v>88</v>
      </c>
      <c r="J3490" t="s">
        <v>4501</v>
      </c>
      <c r="L3490">
        <v>0</v>
      </c>
      <c r="M3490" t="s">
        <v>4502</v>
      </c>
      <c r="O3490" t="s">
        <v>749</v>
      </c>
      <c r="P3490" t="s">
        <v>750</v>
      </c>
      <c r="Q3490" t="s">
        <v>57</v>
      </c>
      <c r="R3490" t="s">
        <v>382</v>
      </c>
      <c r="S3490" t="s">
        <v>751</v>
      </c>
      <c r="T3490">
        <v>46</v>
      </c>
      <c r="U3490">
        <v>46</v>
      </c>
      <c r="V3490" t="s">
        <v>751</v>
      </c>
      <c r="AE3490" t="s">
        <v>4503</v>
      </c>
      <c r="AF3490">
        <v>0</v>
      </c>
      <c r="AG3490" t="s">
        <v>4500</v>
      </c>
      <c r="AH3490">
        <v>0</v>
      </c>
      <c r="AK3490">
        <v>0</v>
      </c>
    </row>
    <row r="3491" spans="1:37" x14ac:dyDescent="0.25">
      <c r="A3491" t="s">
        <v>79</v>
      </c>
      <c r="B3491">
        <v>14</v>
      </c>
      <c r="C3491">
        <v>1</v>
      </c>
      <c r="D3491">
        <v>2</v>
      </c>
      <c r="E3491">
        <v>3</v>
      </c>
      <c r="G3491">
        <v>1412</v>
      </c>
      <c r="H3491" t="s">
        <v>4487</v>
      </c>
      <c r="I3491" t="s">
        <v>95</v>
      </c>
      <c r="J3491" t="s">
        <v>4504</v>
      </c>
      <c r="L3491">
        <v>0</v>
      </c>
      <c r="M3491" t="s">
        <v>4505</v>
      </c>
      <c r="O3491" t="s">
        <v>4506</v>
      </c>
      <c r="P3491" t="s">
        <v>4507</v>
      </c>
      <c r="Q3491" t="s">
        <v>57</v>
      </c>
      <c r="R3491" t="s">
        <v>382</v>
      </c>
      <c r="S3491" t="s">
        <v>4508</v>
      </c>
      <c r="T3491">
        <v>46</v>
      </c>
      <c r="U3491">
        <v>46</v>
      </c>
      <c r="V3491" t="s">
        <v>4508</v>
      </c>
      <c r="AE3491" t="s">
        <v>4509</v>
      </c>
      <c r="AF3491">
        <v>0</v>
      </c>
      <c r="AG3491" t="s">
        <v>4500</v>
      </c>
      <c r="AH3491">
        <v>0</v>
      </c>
      <c r="AK3491">
        <v>0</v>
      </c>
    </row>
    <row r="3492" spans="1:37" x14ac:dyDescent="0.25">
      <c r="A3492" t="s">
        <v>79</v>
      </c>
      <c r="B3492">
        <v>14</v>
      </c>
      <c r="C3492">
        <v>1</v>
      </c>
      <c r="D3492">
        <v>2</v>
      </c>
      <c r="E3492">
        <v>4</v>
      </c>
      <c r="G3492">
        <v>1412</v>
      </c>
      <c r="H3492" t="s">
        <v>4487</v>
      </c>
      <c r="I3492" t="s">
        <v>102</v>
      </c>
      <c r="J3492" t="s">
        <v>4510</v>
      </c>
      <c r="L3492">
        <v>0</v>
      </c>
      <c r="M3492" t="s">
        <v>4511</v>
      </c>
      <c r="O3492" t="s">
        <v>4468</v>
      </c>
      <c r="P3492" t="s">
        <v>4469</v>
      </c>
      <c r="Q3492" t="s">
        <v>74</v>
      </c>
      <c r="R3492" t="s">
        <v>192</v>
      </c>
      <c r="S3492" t="s">
        <v>4471</v>
      </c>
      <c r="T3492">
        <v>46</v>
      </c>
      <c r="U3492">
        <v>460</v>
      </c>
      <c r="V3492" t="s">
        <v>4512</v>
      </c>
      <c r="AE3492" t="s">
        <v>4513</v>
      </c>
      <c r="AF3492">
        <v>0</v>
      </c>
      <c r="AG3492" t="s">
        <v>4514</v>
      </c>
      <c r="AH3492">
        <v>0</v>
      </c>
      <c r="AK3492">
        <v>0</v>
      </c>
    </row>
    <row r="3493" spans="1:37" x14ac:dyDescent="0.25">
      <c r="A3493" t="s">
        <v>79</v>
      </c>
      <c r="B3493">
        <v>14</v>
      </c>
      <c r="C3493">
        <v>1</v>
      </c>
      <c r="D3493">
        <v>2</v>
      </c>
      <c r="E3493">
        <v>5</v>
      </c>
      <c r="G3493">
        <v>1412</v>
      </c>
      <c r="H3493" t="s">
        <v>4487</v>
      </c>
      <c r="I3493" t="s">
        <v>109</v>
      </c>
      <c r="J3493" t="s">
        <v>4515</v>
      </c>
      <c r="L3493">
        <v>0</v>
      </c>
      <c r="M3493" t="s">
        <v>125</v>
      </c>
      <c r="O3493" t="s">
        <v>125</v>
      </c>
      <c r="P3493" t="s">
        <v>125</v>
      </c>
      <c r="Q3493" t="s">
        <v>125</v>
      </c>
      <c r="R3493" t="s">
        <v>125</v>
      </c>
      <c r="S3493" t="s">
        <v>125</v>
      </c>
      <c r="T3493">
        <v>46</v>
      </c>
      <c r="V3493" t="s">
        <v>125</v>
      </c>
      <c r="AE3493" t="s">
        <v>125</v>
      </c>
      <c r="AF3493">
        <v>0</v>
      </c>
      <c r="AG3493" t="s">
        <v>125</v>
      </c>
      <c r="AH3493">
        <v>0</v>
      </c>
      <c r="AK3493">
        <v>0</v>
      </c>
    </row>
    <row r="3494" spans="1:37" x14ac:dyDescent="0.25">
      <c r="A3494" t="s">
        <v>79</v>
      </c>
      <c r="B3494">
        <v>14</v>
      </c>
      <c r="C3494">
        <v>1</v>
      </c>
      <c r="D3494">
        <v>2</v>
      </c>
      <c r="E3494">
        <v>6</v>
      </c>
      <c r="G3494">
        <v>1412</v>
      </c>
      <c r="H3494" t="s">
        <v>4487</v>
      </c>
      <c r="I3494" t="s">
        <v>116</v>
      </c>
      <c r="J3494" t="s">
        <v>4516</v>
      </c>
      <c r="L3494">
        <v>0</v>
      </c>
      <c r="M3494" t="s">
        <v>125</v>
      </c>
      <c r="O3494" t="s">
        <v>125</v>
      </c>
      <c r="P3494" t="s">
        <v>125</v>
      </c>
      <c r="Q3494" t="s">
        <v>125</v>
      </c>
      <c r="R3494" t="s">
        <v>125</v>
      </c>
      <c r="S3494" t="s">
        <v>125</v>
      </c>
      <c r="T3494">
        <v>46</v>
      </c>
      <c r="V3494" t="s">
        <v>125</v>
      </c>
      <c r="AE3494" t="s">
        <v>125</v>
      </c>
      <c r="AF3494">
        <v>0</v>
      </c>
      <c r="AG3494" t="s">
        <v>125</v>
      </c>
      <c r="AH3494">
        <v>0</v>
      </c>
      <c r="AK3494">
        <v>0</v>
      </c>
    </row>
    <row r="3495" spans="1:37" x14ac:dyDescent="0.25">
      <c r="A3495" t="s">
        <v>79</v>
      </c>
      <c r="B3495">
        <v>14</v>
      </c>
      <c r="C3495">
        <v>1</v>
      </c>
      <c r="D3495">
        <v>2</v>
      </c>
      <c r="E3495">
        <v>7</v>
      </c>
      <c r="G3495">
        <v>1412</v>
      </c>
      <c r="H3495" t="s">
        <v>4487</v>
      </c>
      <c r="I3495" t="s">
        <v>123</v>
      </c>
      <c r="J3495" t="s">
        <v>4517</v>
      </c>
      <c r="L3495">
        <v>0</v>
      </c>
      <c r="M3495" t="s">
        <v>125</v>
      </c>
      <c r="O3495" t="s">
        <v>125</v>
      </c>
      <c r="P3495" t="s">
        <v>125</v>
      </c>
      <c r="Q3495" t="s">
        <v>125</v>
      </c>
      <c r="R3495" t="s">
        <v>125</v>
      </c>
      <c r="S3495" t="s">
        <v>125</v>
      </c>
      <c r="T3495">
        <v>46</v>
      </c>
      <c r="V3495" t="s">
        <v>125</v>
      </c>
      <c r="AE3495" t="s">
        <v>125</v>
      </c>
      <c r="AF3495">
        <v>0</v>
      </c>
      <c r="AG3495" t="s">
        <v>125</v>
      </c>
      <c r="AH3495">
        <v>0</v>
      </c>
      <c r="AK3495">
        <v>0</v>
      </c>
    </row>
    <row r="3496" spans="1:37" x14ac:dyDescent="0.25">
      <c r="A3496" t="s">
        <v>79</v>
      </c>
      <c r="B3496">
        <v>14</v>
      </c>
      <c r="C3496">
        <v>1</v>
      </c>
      <c r="D3496">
        <v>2</v>
      </c>
      <c r="E3496">
        <v>8</v>
      </c>
      <c r="G3496">
        <v>1412</v>
      </c>
      <c r="H3496" t="s">
        <v>4487</v>
      </c>
      <c r="I3496" t="s">
        <v>126</v>
      </c>
      <c r="J3496" t="s">
        <v>4518</v>
      </c>
      <c r="L3496">
        <v>0</v>
      </c>
      <c r="M3496" t="s">
        <v>125</v>
      </c>
      <c r="O3496" t="s">
        <v>125</v>
      </c>
      <c r="P3496" t="s">
        <v>125</v>
      </c>
      <c r="Q3496" t="s">
        <v>125</v>
      </c>
      <c r="R3496" t="s">
        <v>125</v>
      </c>
      <c r="S3496" t="s">
        <v>125</v>
      </c>
      <c r="T3496">
        <v>46</v>
      </c>
      <c r="V3496" t="s">
        <v>125</v>
      </c>
      <c r="AE3496" t="s">
        <v>125</v>
      </c>
      <c r="AF3496">
        <v>0</v>
      </c>
      <c r="AG3496" t="s">
        <v>125</v>
      </c>
      <c r="AH3496">
        <v>0</v>
      </c>
      <c r="AK3496">
        <v>0</v>
      </c>
    </row>
    <row r="3497" spans="1:37" x14ac:dyDescent="0.25">
      <c r="A3497" t="s">
        <v>79</v>
      </c>
      <c r="B3497">
        <v>14</v>
      </c>
      <c r="C3497">
        <v>1</v>
      </c>
      <c r="D3497">
        <v>2</v>
      </c>
      <c r="E3497">
        <v>9</v>
      </c>
      <c r="G3497">
        <v>1412</v>
      </c>
      <c r="H3497" t="s">
        <v>4487</v>
      </c>
      <c r="I3497" t="s">
        <v>74</v>
      </c>
      <c r="J3497" t="s">
        <v>4519</v>
      </c>
      <c r="L3497">
        <v>0</v>
      </c>
      <c r="M3497" t="s">
        <v>125</v>
      </c>
      <c r="O3497" t="s">
        <v>125</v>
      </c>
      <c r="P3497" t="s">
        <v>125</v>
      </c>
      <c r="Q3497" t="s">
        <v>125</v>
      </c>
      <c r="R3497" t="s">
        <v>125</v>
      </c>
      <c r="S3497" t="s">
        <v>125</v>
      </c>
      <c r="T3497">
        <v>46</v>
      </c>
      <c r="V3497" t="s">
        <v>125</v>
      </c>
      <c r="AE3497" t="s">
        <v>125</v>
      </c>
      <c r="AF3497">
        <v>0</v>
      </c>
      <c r="AG3497" t="s">
        <v>125</v>
      </c>
      <c r="AH3497">
        <v>0</v>
      </c>
      <c r="AK3497">
        <v>0</v>
      </c>
    </row>
    <row r="3498" spans="1:37" x14ac:dyDescent="0.25">
      <c r="A3498" t="s">
        <v>79</v>
      </c>
      <c r="B3498">
        <v>14</v>
      </c>
      <c r="C3498">
        <v>1</v>
      </c>
      <c r="D3498">
        <v>2</v>
      </c>
      <c r="E3498">
        <v>10</v>
      </c>
      <c r="G3498">
        <v>1412</v>
      </c>
      <c r="H3498" t="s">
        <v>4487</v>
      </c>
      <c r="I3498" t="s">
        <v>129</v>
      </c>
      <c r="J3498" t="s">
        <v>4520</v>
      </c>
      <c r="L3498">
        <v>0</v>
      </c>
      <c r="M3498" t="s">
        <v>125</v>
      </c>
      <c r="O3498" t="s">
        <v>125</v>
      </c>
      <c r="P3498" t="s">
        <v>125</v>
      </c>
      <c r="Q3498" t="s">
        <v>125</v>
      </c>
      <c r="R3498" t="s">
        <v>125</v>
      </c>
      <c r="S3498" t="s">
        <v>125</v>
      </c>
      <c r="T3498">
        <v>46</v>
      </c>
      <c r="V3498" t="s">
        <v>125</v>
      </c>
      <c r="AE3498" t="s">
        <v>125</v>
      </c>
      <c r="AF3498">
        <v>0</v>
      </c>
      <c r="AG3498" t="s">
        <v>125</v>
      </c>
      <c r="AH3498">
        <v>0</v>
      </c>
      <c r="AK3498">
        <v>0</v>
      </c>
    </row>
    <row r="3499" spans="1:37" x14ac:dyDescent="0.25">
      <c r="A3499" t="s">
        <v>79</v>
      </c>
      <c r="B3499">
        <v>14</v>
      </c>
      <c r="C3499">
        <v>1</v>
      </c>
      <c r="D3499">
        <v>2</v>
      </c>
      <c r="E3499">
        <v>11</v>
      </c>
      <c r="G3499">
        <v>1412</v>
      </c>
      <c r="H3499" t="s">
        <v>4487</v>
      </c>
      <c r="I3499" t="s">
        <v>131</v>
      </c>
      <c r="J3499" t="s">
        <v>4521</v>
      </c>
      <c r="L3499">
        <v>0</v>
      </c>
      <c r="M3499" t="s">
        <v>125</v>
      </c>
      <c r="O3499" t="s">
        <v>125</v>
      </c>
      <c r="P3499" t="s">
        <v>125</v>
      </c>
      <c r="Q3499" t="s">
        <v>125</v>
      </c>
      <c r="R3499" t="s">
        <v>125</v>
      </c>
      <c r="S3499" t="s">
        <v>125</v>
      </c>
      <c r="T3499">
        <v>46</v>
      </c>
      <c r="V3499" t="s">
        <v>125</v>
      </c>
      <c r="AE3499" t="s">
        <v>125</v>
      </c>
      <c r="AF3499">
        <v>0</v>
      </c>
      <c r="AG3499" t="s">
        <v>125</v>
      </c>
      <c r="AH3499">
        <v>0</v>
      </c>
      <c r="AK3499">
        <v>0</v>
      </c>
    </row>
    <row r="3500" spans="1:37" x14ac:dyDescent="0.25">
      <c r="A3500" t="s">
        <v>79</v>
      </c>
      <c r="B3500">
        <v>14</v>
      </c>
      <c r="C3500">
        <v>1</v>
      </c>
      <c r="D3500">
        <v>2</v>
      </c>
      <c r="E3500">
        <v>12</v>
      </c>
      <c r="G3500">
        <v>1412</v>
      </c>
      <c r="H3500" t="s">
        <v>4487</v>
      </c>
      <c r="I3500" t="s">
        <v>133</v>
      </c>
      <c r="J3500" t="s">
        <v>4522</v>
      </c>
      <c r="L3500">
        <v>0</v>
      </c>
      <c r="M3500" t="s">
        <v>125</v>
      </c>
      <c r="O3500" t="s">
        <v>125</v>
      </c>
      <c r="P3500" t="s">
        <v>125</v>
      </c>
      <c r="Q3500" t="s">
        <v>125</v>
      </c>
      <c r="R3500" t="s">
        <v>125</v>
      </c>
      <c r="S3500" t="s">
        <v>125</v>
      </c>
      <c r="T3500">
        <v>46</v>
      </c>
      <c r="V3500" t="s">
        <v>125</v>
      </c>
      <c r="AE3500" t="s">
        <v>125</v>
      </c>
      <c r="AF3500">
        <v>0</v>
      </c>
      <c r="AG3500" t="s">
        <v>125</v>
      </c>
      <c r="AH3500">
        <v>0</v>
      </c>
      <c r="AK3500">
        <v>0</v>
      </c>
    </row>
    <row r="3501" spans="1:37" x14ac:dyDescent="0.25">
      <c r="A3501" t="s">
        <v>79</v>
      </c>
      <c r="B3501">
        <v>14</v>
      </c>
      <c r="C3501">
        <v>1</v>
      </c>
      <c r="D3501">
        <v>2</v>
      </c>
      <c r="E3501">
        <v>13</v>
      </c>
      <c r="G3501">
        <v>1412</v>
      </c>
      <c r="H3501" t="s">
        <v>4487</v>
      </c>
      <c r="I3501" t="s">
        <v>135</v>
      </c>
      <c r="J3501" t="s">
        <v>4523</v>
      </c>
      <c r="L3501">
        <v>0</v>
      </c>
      <c r="M3501" t="s">
        <v>125</v>
      </c>
      <c r="O3501" t="s">
        <v>125</v>
      </c>
      <c r="P3501" t="s">
        <v>125</v>
      </c>
      <c r="Q3501" t="s">
        <v>125</v>
      </c>
      <c r="R3501" t="s">
        <v>125</v>
      </c>
      <c r="S3501" t="s">
        <v>125</v>
      </c>
      <c r="T3501">
        <v>46</v>
      </c>
      <c r="V3501" t="s">
        <v>125</v>
      </c>
      <c r="AE3501" t="s">
        <v>125</v>
      </c>
      <c r="AF3501">
        <v>0</v>
      </c>
      <c r="AG3501" t="s">
        <v>125</v>
      </c>
      <c r="AH3501">
        <v>0</v>
      </c>
      <c r="AK3501">
        <v>0</v>
      </c>
    </row>
    <row r="3502" spans="1:37" x14ac:dyDescent="0.25">
      <c r="A3502" t="s">
        <v>79</v>
      </c>
      <c r="B3502">
        <v>14</v>
      </c>
      <c r="C3502">
        <v>1</v>
      </c>
      <c r="D3502">
        <v>2</v>
      </c>
      <c r="E3502">
        <v>14</v>
      </c>
      <c r="G3502">
        <v>1412</v>
      </c>
      <c r="H3502" t="s">
        <v>4487</v>
      </c>
      <c r="I3502" t="s">
        <v>137</v>
      </c>
      <c r="J3502" t="s">
        <v>4524</v>
      </c>
      <c r="L3502">
        <v>0</v>
      </c>
      <c r="M3502" t="s">
        <v>125</v>
      </c>
      <c r="O3502" t="s">
        <v>125</v>
      </c>
      <c r="P3502" t="s">
        <v>125</v>
      </c>
      <c r="Q3502" t="s">
        <v>125</v>
      </c>
      <c r="R3502" t="s">
        <v>125</v>
      </c>
      <c r="S3502" t="s">
        <v>125</v>
      </c>
      <c r="T3502">
        <v>46</v>
      </c>
      <c r="V3502" t="s">
        <v>125</v>
      </c>
      <c r="AE3502" t="s">
        <v>125</v>
      </c>
      <c r="AF3502">
        <v>0</v>
      </c>
      <c r="AG3502" t="s">
        <v>125</v>
      </c>
      <c r="AH3502">
        <v>0</v>
      </c>
      <c r="AK3502">
        <v>0</v>
      </c>
    </row>
    <row r="3503" spans="1:37" x14ac:dyDescent="0.25">
      <c r="A3503" t="s">
        <v>79</v>
      </c>
      <c r="B3503">
        <v>14</v>
      </c>
      <c r="C3503">
        <v>1</v>
      </c>
      <c r="D3503">
        <v>2</v>
      </c>
      <c r="E3503">
        <v>15</v>
      </c>
      <c r="G3503">
        <v>1412</v>
      </c>
      <c r="H3503" t="s">
        <v>4487</v>
      </c>
      <c r="I3503" t="s">
        <v>139</v>
      </c>
      <c r="J3503" t="s">
        <v>4525</v>
      </c>
      <c r="L3503">
        <v>0</v>
      </c>
      <c r="M3503" t="s">
        <v>125</v>
      </c>
      <c r="O3503" t="s">
        <v>125</v>
      </c>
      <c r="P3503" t="s">
        <v>125</v>
      </c>
      <c r="Q3503" t="s">
        <v>125</v>
      </c>
      <c r="R3503" t="s">
        <v>125</v>
      </c>
      <c r="S3503" t="s">
        <v>125</v>
      </c>
      <c r="T3503">
        <v>46</v>
      </c>
      <c r="V3503" t="s">
        <v>125</v>
      </c>
      <c r="AE3503" t="s">
        <v>125</v>
      </c>
      <c r="AF3503">
        <v>0</v>
      </c>
      <c r="AG3503" t="s">
        <v>125</v>
      </c>
      <c r="AH3503">
        <v>0</v>
      </c>
      <c r="AK3503">
        <v>0</v>
      </c>
    </row>
    <row r="3504" spans="1:37" x14ac:dyDescent="0.25">
      <c r="L3504">
        <v>0</v>
      </c>
    </row>
    <row r="3505" spans="1:37" x14ac:dyDescent="0.25">
      <c r="A3505" t="s">
        <v>70</v>
      </c>
      <c r="B3505">
        <v>14</v>
      </c>
      <c r="C3505">
        <v>1</v>
      </c>
      <c r="D3505">
        <v>3</v>
      </c>
      <c r="G3505">
        <v>141</v>
      </c>
      <c r="M3505" t="s">
        <v>4526</v>
      </c>
      <c r="O3505" t="s">
        <v>4527</v>
      </c>
      <c r="P3505" t="s">
        <v>4528</v>
      </c>
      <c r="Q3505" t="s">
        <v>4529</v>
      </c>
      <c r="R3505" t="s">
        <v>382</v>
      </c>
      <c r="S3505" t="s">
        <v>4530</v>
      </c>
      <c r="V3505" t="s">
        <v>4531</v>
      </c>
      <c r="X3505" t="s">
        <v>4532</v>
      </c>
      <c r="Y3505" t="s">
        <v>4533</v>
      </c>
      <c r="Z3505" t="s">
        <v>4534</v>
      </c>
      <c r="AA3505" t="s">
        <v>4535</v>
      </c>
      <c r="AB3505" t="s">
        <v>63</v>
      </c>
      <c r="AC3505" t="s">
        <v>63</v>
      </c>
      <c r="AE3505" t="s">
        <v>4536</v>
      </c>
      <c r="AF3505">
        <v>0</v>
      </c>
      <c r="AG3505" t="s">
        <v>4537</v>
      </c>
      <c r="AH3505">
        <v>0</v>
      </c>
      <c r="AK3505">
        <v>0</v>
      </c>
    </row>
    <row r="3506" spans="1:37" x14ac:dyDescent="0.25">
      <c r="A3506" t="s">
        <v>79</v>
      </c>
      <c r="B3506">
        <v>14</v>
      </c>
      <c r="C3506">
        <v>1</v>
      </c>
      <c r="D3506">
        <v>3</v>
      </c>
      <c r="E3506">
        <v>1</v>
      </c>
      <c r="G3506">
        <v>1413</v>
      </c>
      <c r="H3506" t="s">
        <v>4527</v>
      </c>
      <c r="I3506" t="s">
        <v>80</v>
      </c>
      <c r="J3506" t="s">
        <v>4538</v>
      </c>
      <c r="L3506">
        <v>0</v>
      </c>
      <c r="M3506" t="s">
        <v>4539</v>
      </c>
      <c r="O3506" t="s">
        <v>4450</v>
      </c>
      <c r="P3506" t="s">
        <v>4451</v>
      </c>
      <c r="Q3506" t="s">
        <v>57</v>
      </c>
      <c r="R3506" t="s">
        <v>382</v>
      </c>
      <c r="S3506" t="s">
        <v>4452</v>
      </c>
      <c r="T3506">
        <v>22</v>
      </c>
      <c r="U3506">
        <v>22</v>
      </c>
      <c r="V3506" t="s">
        <v>4452</v>
      </c>
      <c r="AE3506" t="s">
        <v>4453</v>
      </c>
      <c r="AF3506">
        <v>0</v>
      </c>
      <c r="AG3506" t="s">
        <v>4540</v>
      </c>
      <c r="AH3506">
        <v>0</v>
      </c>
      <c r="AK3506">
        <v>0</v>
      </c>
    </row>
    <row r="3507" spans="1:37" x14ac:dyDescent="0.25">
      <c r="A3507" t="s">
        <v>79</v>
      </c>
      <c r="B3507">
        <v>14</v>
      </c>
      <c r="C3507">
        <v>1</v>
      </c>
      <c r="D3507">
        <v>3</v>
      </c>
      <c r="E3507">
        <v>2</v>
      </c>
      <c r="G3507">
        <v>1413</v>
      </c>
      <c r="H3507" t="s">
        <v>4527</v>
      </c>
      <c r="I3507" t="s">
        <v>88</v>
      </c>
      <c r="J3507" t="s">
        <v>4541</v>
      </c>
      <c r="L3507">
        <v>0</v>
      </c>
      <c r="M3507" t="s">
        <v>4542</v>
      </c>
      <c r="O3507" t="s">
        <v>4543</v>
      </c>
      <c r="P3507" t="s">
        <v>4544</v>
      </c>
      <c r="Q3507" t="s">
        <v>57</v>
      </c>
      <c r="R3507" t="s">
        <v>382</v>
      </c>
      <c r="S3507" t="s">
        <v>4545</v>
      </c>
      <c r="T3507">
        <v>22</v>
      </c>
      <c r="U3507">
        <v>22</v>
      </c>
      <c r="V3507" t="s">
        <v>4545</v>
      </c>
      <c r="AE3507" t="s">
        <v>4546</v>
      </c>
      <c r="AF3507">
        <v>0</v>
      </c>
      <c r="AG3507" t="s">
        <v>4540</v>
      </c>
      <c r="AH3507">
        <v>0</v>
      </c>
      <c r="AK3507">
        <v>0</v>
      </c>
    </row>
    <row r="3508" spans="1:37" x14ac:dyDescent="0.25">
      <c r="A3508" t="s">
        <v>79</v>
      </c>
      <c r="B3508">
        <v>14</v>
      </c>
      <c r="C3508">
        <v>1</v>
      </c>
      <c r="D3508">
        <v>3</v>
      </c>
      <c r="E3508">
        <v>3</v>
      </c>
      <c r="G3508">
        <v>1413</v>
      </c>
      <c r="H3508" t="s">
        <v>4527</v>
      </c>
      <c r="I3508" t="s">
        <v>95</v>
      </c>
      <c r="J3508" t="s">
        <v>4547</v>
      </c>
      <c r="L3508">
        <v>0</v>
      </c>
      <c r="M3508" t="s">
        <v>4548</v>
      </c>
      <c r="O3508" t="s">
        <v>4506</v>
      </c>
      <c r="P3508" t="s">
        <v>4507</v>
      </c>
      <c r="Q3508" t="s">
        <v>57</v>
      </c>
      <c r="R3508" t="s">
        <v>382</v>
      </c>
      <c r="S3508" t="s">
        <v>4508</v>
      </c>
      <c r="T3508">
        <v>22</v>
      </c>
      <c r="U3508">
        <v>22</v>
      </c>
      <c r="V3508" t="s">
        <v>4508</v>
      </c>
      <c r="AE3508" t="s">
        <v>4509</v>
      </c>
      <c r="AF3508">
        <v>0</v>
      </c>
      <c r="AG3508" t="s">
        <v>4540</v>
      </c>
      <c r="AH3508">
        <v>0</v>
      </c>
      <c r="AK3508">
        <v>0</v>
      </c>
    </row>
    <row r="3509" spans="1:37" x14ac:dyDescent="0.25">
      <c r="A3509" t="s">
        <v>79</v>
      </c>
      <c r="B3509">
        <v>14</v>
      </c>
      <c r="C3509">
        <v>1</v>
      </c>
      <c r="D3509">
        <v>3</v>
      </c>
      <c r="E3509">
        <v>4</v>
      </c>
      <c r="G3509">
        <v>1413</v>
      </c>
      <c r="H3509" t="s">
        <v>4527</v>
      </c>
      <c r="I3509" t="s">
        <v>102</v>
      </c>
      <c r="J3509" t="s">
        <v>4549</v>
      </c>
      <c r="L3509">
        <v>0</v>
      </c>
      <c r="M3509" t="s">
        <v>4550</v>
      </c>
      <c r="O3509" t="s">
        <v>4468</v>
      </c>
      <c r="P3509" t="s">
        <v>4469</v>
      </c>
      <c r="Q3509" t="s">
        <v>4551</v>
      </c>
      <c r="R3509" t="s">
        <v>192</v>
      </c>
      <c r="S3509" t="s">
        <v>4471</v>
      </c>
      <c r="T3509">
        <v>22</v>
      </c>
      <c r="U3509">
        <v>224</v>
      </c>
      <c r="V3509" t="s">
        <v>4552</v>
      </c>
      <c r="AE3509" t="s">
        <v>4553</v>
      </c>
      <c r="AF3509">
        <v>0</v>
      </c>
      <c r="AG3509" t="s">
        <v>4554</v>
      </c>
      <c r="AH3509">
        <v>0</v>
      </c>
      <c r="AK3509">
        <v>0</v>
      </c>
    </row>
    <row r="3510" spans="1:37" x14ac:dyDescent="0.25">
      <c r="A3510" t="s">
        <v>79</v>
      </c>
      <c r="B3510">
        <v>14</v>
      </c>
      <c r="C3510">
        <v>1</v>
      </c>
      <c r="D3510">
        <v>3</v>
      </c>
      <c r="E3510">
        <v>5</v>
      </c>
      <c r="G3510">
        <v>1413</v>
      </c>
      <c r="H3510" t="s">
        <v>4527</v>
      </c>
      <c r="I3510" t="s">
        <v>109</v>
      </c>
      <c r="J3510" t="s">
        <v>4555</v>
      </c>
      <c r="L3510">
        <v>0</v>
      </c>
      <c r="M3510" t="s">
        <v>125</v>
      </c>
      <c r="O3510" t="s">
        <v>125</v>
      </c>
      <c r="P3510" t="s">
        <v>125</v>
      </c>
      <c r="Q3510" t="s">
        <v>125</v>
      </c>
      <c r="R3510" t="s">
        <v>125</v>
      </c>
      <c r="S3510" t="s">
        <v>125</v>
      </c>
      <c r="T3510">
        <v>22</v>
      </c>
      <c r="V3510" t="s">
        <v>125</v>
      </c>
      <c r="AE3510" t="s">
        <v>125</v>
      </c>
      <c r="AF3510">
        <v>0</v>
      </c>
      <c r="AG3510" t="s">
        <v>125</v>
      </c>
      <c r="AH3510">
        <v>0</v>
      </c>
      <c r="AK3510">
        <v>0</v>
      </c>
    </row>
    <row r="3511" spans="1:37" x14ac:dyDescent="0.25">
      <c r="A3511" t="s">
        <v>79</v>
      </c>
      <c r="B3511">
        <v>14</v>
      </c>
      <c r="C3511">
        <v>1</v>
      </c>
      <c r="D3511">
        <v>3</v>
      </c>
      <c r="E3511">
        <v>6</v>
      </c>
      <c r="G3511">
        <v>1413</v>
      </c>
      <c r="H3511" t="s">
        <v>4527</v>
      </c>
      <c r="I3511" t="s">
        <v>116</v>
      </c>
      <c r="J3511" t="s">
        <v>4556</v>
      </c>
      <c r="L3511">
        <v>0</v>
      </c>
      <c r="M3511" t="s">
        <v>125</v>
      </c>
      <c r="O3511" t="s">
        <v>125</v>
      </c>
      <c r="P3511" t="s">
        <v>125</v>
      </c>
      <c r="Q3511" t="s">
        <v>125</v>
      </c>
      <c r="R3511" t="s">
        <v>125</v>
      </c>
      <c r="S3511" t="s">
        <v>125</v>
      </c>
      <c r="T3511">
        <v>22</v>
      </c>
      <c r="V3511" t="s">
        <v>125</v>
      </c>
      <c r="AE3511" t="s">
        <v>125</v>
      </c>
      <c r="AF3511">
        <v>0</v>
      </c>
      <c r="AG3511" t="s">
        <v>125</v>
      </c>
      <c r="AH3511">
        <v>0</v>
      </c>
      <c r="AK3511">
        <v>0</v>
      </c>
    </row>
    <row r="3512" spans="1:37" x14ac:dyDescent="0.25">
      <c r="A3512" t="s">
        <v>79</v>
      </c>
      <c r="B3512">
        <v>14</v>
      </c>
      <c r="C3512">
        <v>1</v>
      </c>
      <c r="D3512">
        <v>3</v>
      </c>
      <c r="E3512">
        <v>7</v>
      </c>
      <c r="G3512">
        <v>1413</v>
      </c>
      <c r="H3512" t="s">
        <v>4527</v>
      </c>
      <c r="I3512" t="s">
        <v>123</v>
      </c>
      <c r="J3512" t="s">
        <v>4557</v>
      </c>
      <c r="L3512">
        <v>0</v>
      </c>
      <c r="M3512" t="s">
        <v>125</v>
      </c>
      <c r="O3512" t="s">
        <v>125</v>
      </c>
      <c r="P3512" t="s">
        <v>125</v>
      </c>
      <c r="Q3512" t="s">
        <v>125</v>
      </c>
      <c r="R3512" t="s">
        <v>125</v>
      </c>
      <c r="S3512" t="s">
        <v>125</v>
      </c>
      <c r="T3512">
        <v>22</v>
      </c>
      <c r="V3512" t="s">
        <v>125</v>
      </c>
      <c r="AE3512" t="s">
        <v>125</v>
      </c>
      <c r="AF3512">
        <v>0</v>
      </c>
      <c r="AG3512" t="s">
        <v>125</v>
      </c>
      <c r="AH3512">
        <v>0</v>
      </c>
      <c r="AK3512">
        <v>0</v>
      </c>
    </row>
    <row r="3513" spans="1:37" x14ac:dyDescent="0.25">
      <c r="A3513" t="s">
        <v>79</v>
      </c>
      <c r="B3513">
        <v>14</v>
      </c>
      <c r="C3513">
        <v>1</v>
      </c>
      <c r="D3513">
        <v>3</v>
      </c>
      <c r="E3513">
        <v>8</v>
      </c>
      <c r="G3513">
        <v>1413</v>
      </c>
      <c r="H3513" t="s">
        <v>4527</v>
      </c>
      <c r="I3513" t="s">
        <v>126</v>
      </c>
      <c r="J3513" t="s">
        <v>4558</v>
      </c>
      <c r="L3513">
        <v>0</v>
      </c>
      <c r="M3513" t="s">
        <v>125</v>
      </c>
      <c r="O3513" t="s">
        <v>125</v>
      </c>
      <c r="P3513" t="s">
        <v>125</v>
      </c>
      <c r="Q3513" t="s">
        <v>125</v>
      </c>
      <c r="R3513" t="s">
        <v>125</v>
      </c>
      <c r="S3513" t="s">
        <v>125</v>
      </c>
      <c r="T3513">
        <v>22</v>
      </c>
      <c r="V3513" t="s">
        <v>125</v>
      </c>
      <c r="AE3513" t="s">
        <v>125</v>
      </c>
      <c r="AF3513">
        <v>0</v>
      </c>
      <c r="AG3513" t="s">
        <v>125</v>
      </c>
      <c r="AH3513">
        <v>0</v>
      </c>
      <c r="AK3513">
        <v>0</v>
      </c>
    </row>
    <row r="3514" spans="1:37" x14ac:dyDescent="0.25">
      <c r="A3514" t="s">
        <v>79</v>
      </c>
      <c r="B3514">
        <v>14</v>
      </c>
      <c r="C3514">
        <v>1</v>
      </c>
      <c r="D3514">
        <v>3</v>
      </c>
      <c r="E3514">
        <v>9</v>
      </c>
      <c r="G3514">
        <v>1413</v>
      </c>
      <c r="H3514" t="s">
        <v>4527</v>
      </c>
      <c r="I3514" t="s">
        <v>74</v>
      </c>
      <c r="J3514" t="s">
        <v>4559</v>
      </c>
      <c r="L3514">
        <v>0</v>
      </c>
      <c r="M3514" t="s">
        <v>125</v>
      </c>
      <c r="O3514" t="s">
        <v>125</v>
      </c>
      <c r="P3514" t="s">
        <v>125</v>
      </c>
      <c r="Q3514" t="s">
        <v>125</v>
      </c>
      <c r="R3514" t="s">
        <v>125</v>
      </c>
      <c r="S3514" t="s">
        <v>125</v>
      </c>
      <c r="T3514">
        <v>22</v>
      </c>
      <c r="V3514" t="s">
        <v>125</v>
      </c>
      <c r="AE3514" t="s">
        <v>125</v>
      </c>
      <c r="AF3514">
        <v>0</v>
      </c>
      <c r="AG3514" t="s">
        <v>125</v>
      </c>
      <c r="AH3514">
        <v>0</v>
      </c>
      <c r="AK3514">
        <v>0</v>
      </c>
    </row>
    <row r="3515" spans="1:37" x14ac:dyDescent="0.25">
      <c r="A3515" t="s">
        <v>79</v>
      </c>
      <c r="B3515">
        <v>14</v>
      </c>
      <c r="C3515">
        <v>1</v>
      </c>
      <c r="D3515">
        <v>3</v>
      </c>
      <c r="E3515">
        <v>10</v>
      </c>
      <c r="G3515">
        <v>1413</v>
      </c>
      <c r="H3515" t="s">
        <v>4527</v>
      </c>
      <c r="I3515" t="s">
        <v>129</v>
      </c>
      <c r="J3515" t="s">
        <v>4560</v>
      </c>
      <c r="L3515">
        <v>0</v>
      </c>
      <c r="M3515" t="s">
        <v>125</v>
      </c>
      <c r="O3515" t="s">
        <v>125</v>
      </c>
      <c r="P3515" t="s">
        <v>125</v>
      </c>
      <c r="Q3515" t="s">
        <v>125</v>
      </c>
      <c r="R3515" t="s">
        <v>125</v>
      </c>
      <c r="S3515" t="s">
        <v>125</v>
      </c>
      <c r="T3515">
        <v>22</v>
      </c>
      <c r="V3515" t="s">
        <v>125</v>
      </c>
      <c r="AE3515" t="s">
        <v>125</v>
      </c>
      <c r="AF3515">
        <v>0</v>
      </c>
      <c r="AG3515" t="s">
        <v>125</v>
      </c>
      <c r="AH3515">
        <v>0</v>
      </c>
      <c r="AK3515">
        <v>0</v>
      </c>
    </row>
    <row r="3516" spans="1:37" x14ac:dyDescent="0.25">
      <c r="A3516" t="s">
        <v>79</v>
      </c>
      <c r="B3516">
        <v>14</v>
      </c>
      <c r="C3516">
        <v>1</v>
      </c>
      <c r="D3516">
        <v>3</v>
      </c>
      <c r="E3516">
        <v>11</v>
      </c>
      <c r="G3516">
        <v>1413</v>
      </c>
      <c r="H3516" t="s">
        <v>4527</v>
      </c>
      <c r="I3516" t="s">
        <v>131</v>
      </c>
      <c r="J3516" t="s">
        <v>4561</v>
      </c>
      <c r="L3516">
        <v>0</v>
      </c>
      <c r="M3516" t="s">
        <v>125</v>
      </c>
      <c r="O3516" t="s">
        <v>125</v>
      </c>
      <c r="P3516" t="s">
        <v>125</v>
      </c>
      <c r="Q3516" t="s">
        <v>125</v>
      </c>
      <c r="R3516" t="s">
        <v>125</v>
      </c>
      <c r="S3516" t="s">
        <v>125</v>
      </c>
      <c r="T3516">
        <v>22</v>
      </c>
      <c r="V3516" t="s">
        <v>125</v>
      </c>
      <c r="AE3516" t="s">
        <v>125</v>
      </c>
      <c r="AF3516">
        <v>0</v>
      </c>
      <c r="AG3516" t="s">
        <v>125</v>
      </c>
      <c r="AH3516">
        <v>0</v>
      </c>
      <c r="AK3516">
        <v>0</v>
      </c>
    </row>
    <row r="3517" spans="1:37" x14ac:dyDescent="0.25">
      <c r="A3517" t="s">
        <v>79</v>
      </c>
      <c r="B3517">
        <v>14</v>
      </c>
      <c r="C3517">
        <v>1</v>
      </c>
      <c r="D3517">
        <v>3</v>
      </c>
      <c r="E3517">
        <v>12</v>
      </c>
      <c r="G3517">
        <v>1413</v>
      </c>
      <c r="H3517" t="s">
        <v>4527</v>
      </c>
      <c r="I3517" t="s">
        <v>133</v>
      </c>
      <c r="J3517" t="s">
        <v>4562</v>
      </c>
      <c r="L3517">
        <v>0</v>
      </c>
      <c r="M3517" t="s">
        <v>125</v>
      </c>
      <c r="O3517" t="s">
        <v>125</v>
      </c>
      <c r="P3517" t="s">
        <v>125</v>
      </c>
      <c r="Q3517" t="s">
        <v>125</v>
      </c>
      <c r="R3517" t="s">
        <v>125</v>
      </c>
      <c r="S3517" t="s">
        <v>125</v>
      </c>
      <c r="T3517">
        <v>22</v>
      </c>
      <c r="V3517" t="s">
        <v>125</v>
      </c>
      <c r="AE3517" t="s">
        <v>125</v>
      </c>
      <c r="AF3517">
        <v>0</v>
      </c>
      <c r="AG3517" t="s">
        <v>125</v>
      </c>
      <c r="AH3517">
        <v>0</v>
      </c>
      <c r="AK3517">
        <v>0</v>
      </c>
    </row>
    <row r="3518" spans="1:37" x14ac:dyDescent="0.25">
      <c r="A3518" t="s">
        <v>79</v>
      </c>
      <c r="B3518">
        <v>14</v>
      </c>
      <c r="C3518">
        <v>1</v>
      </c>
      <c r="D3518">
        <v>3</v>
      </c>
      <c r="E3518">
        <v>13</v>
      </c>
      <c r="G3518">
        <v>1413</v>
      </c>
      <c r="H3518" t="s">
        <v>4527</v>
      </c>
      <c r="I3518" t="s">
        <v>135</v>
      </c>
      <c r="J3518" t="s">
        <v>4563</v>
      </c>
      <c r="L3518">
        <v>0</v>
      </c>
      <c r="M3518" t="s">
        <v>125</v>
      </c>
      <c r="O3518" t="s">
        <v>125</v>
      </c>
      <c r="P3518" t="s">
        <v>125</v>
      </c>
      <c r="Q3518" t="s">
        <v>125</v>
      </c>
      <c r="R3518" t="s">
        <v>125</v>
      </c>
      <c r="S3518" t="s">
        <v>125</v>
      </c>
      <c r="T3518">
        <v>22</v>
      </c>
      <c r="V3518" t="s">
        <v>125</v>
      </c>
      <c r="AE3518" t="s">
        <v>125</v>
      </c>
      <c r="AF3518">
        <v>0</v>
      </c>
      <c r="AG3518" t="s">
        <v>125</v>
      </c>
      <c r="AH3518">
        <v>0</v>
      </c>
      <c r="AK3518">
        <v>0</v>
      </c>
    </row>
    <row r="3519" spans="1:37" x14ac:dyDescent="0.25">
      <c r="A3519" t="s">
        <v>79</v>
      </c>
      <c r="B3519">
        <v>14</v>
      </c>
      <c r="C3519">
        <v>1</v>
      </c>
      <c r="D3519">
        <v>3</v>
      </c>
      <c r="E3519">
        <v>14</v>
      </c>
      <c r="G3519">
        <v>1413</v>
      </c>
      <c r="H3519" t="s">
        <v>4527</v>
      </c>
      <c r="I3519" t="s">
        <v>137</v>
      </c>
      <c r="J3519" t="s">
        <v>4564</v>
      </c>
      <c r="L3519">
        <v>0</v>
      </c>
      <c r="M3519" t="s">
        <v>125</v>
      </c>
      <c r="O3519" t="s">
        <v>125</v>
      </c>
      <c r="P3519" t="s">
        <v>125</v>
      </c>
      <c r="Q3519" t="s">
        <v>125</v>
      </c>
      <c r="R3519" t="s">
        <v>125</v>
      </c>
      <c r="S3519" t="s">
        <v>125</v>
      </c>
      <c r="T3519">
        <v>22</v>
      </c>
      <c r="V3519" t="s">
        <v>125</v>
      </c>
      <c r="AE3519" t="s">
        <v>125</v>
      </c>
      <c r="AF3519">
        <v>0</v>
      </c>
      <c r="AG3519" t="s">
        <v>125</v>
      </c>
      <c r="AH3519">
        <v>0</v>
      </c>
      <c r="AK3519">
        <v>0</v>
      </c>
    </row>
    <row r="3520" spans="1:37" x14ac:dyDescent="0.25">
      <c r="A3520" t="s">
        <v>79</v>
      </c>
      <c r="B3520">
        <v>14</v>
      </c>
      <c r="C3520">
        <v>1</v>
      </c>
      <c r="D3520">
        <v>3</v>
      </c>
      <c r="E3520">
        <v>15</v>
      </c>
      <c r="G3520">
        <v>1413</v>
      </c>
      <c r="H3520" t="s">
        <v>4527</v>
      </c>
      <c r="I3520" t="s">
        <v>139</v>
      </c>
      <c r="J3520" t="s">
        <v>4565</v>
      </c>
      <c r="L3520">
        <v>0</v>
      </c>
      <c r="M3520" t="s">
        <v>125</v>
      </c>
      <c r="O3520" t="s">
        <v>125</v>
      </c>
      <c r="P3520" t="s">
        <v>125</v>
      </c>
      <c r="Q3520" t="s">
        <v>125</v>
      </c>
      <c r="R3520" t="s">
        <v>125</v>
      </c>
      <c r="S3520" t="s">
        <v>125</v>
      </c>
      <c r="T3520">
        <v>22</v>
      </c>
      <c r="V3520" t="s">
        <v>125</v>
      </c>
      <c r="AE3520" t="s">
        <v>125</v>
      </c>
      <c r="AF3520">
        <v>0</v>
      </c>
      <c r="AG3520" t="s">
        <v>125</v>
      </c>
      <c r="AH3520">
        <v>0</v>
      </c>
      <c r="AK3520">
        <v>0</v>
      </c>
    </row>
    <row r="3521" spans="1:37" x14ac:dyDescent="0.25">
      <c r="L3521">
        <v>0</v>
      </c>
    </row>
    <row r="3522" spans="1:37" x14ac:dyDescent="0.25">
      <c r="A3522" t="s">
        <v>70</v>
      </c>
      <c r="B3522">
        <v>14</v>
      </c>
      <c r="C3522">
        <v>1</v>
      </c>
      <c r="D3522">
        <v>4</v>
      </c>
      <c r="G3522">
        <v>141</v>
      </c>
      <c r="L3522">
        <v>0</v>
      </c>
      <c r="M3522" t="s">
        <v>125</v>
      </c>
      <c r="P3522" t="s">
        <v>125</v>
      </c>
      <c r="R3522" t="s">
        <v>125</v>
      </c>
      <c r="S3522" t="s">
        <v>63</v>
      </c>
      <c r="V3522" t="s">
        <v>125</v>
      </c>
      <c r="X3522" t="s">
        <v>125</v>
      </c>
      <c r="Y3522" t="s">
        <v>125</v>
      </c>
      <c r="Z3522" t="s">
        <v>125</v>
      </c>
      <c r="AA3522" t="s">
        <v>125</v>
      </c>
      <c r="AB3522" t="s">
        <v>125</v>
      </c>
      <c r="AC3522" t="s">
        <v>125</v>
      </c>
      <c r="AE3522" t="s">
        <v>125</v>
      </c>
      <c r="AF3522">
        <v>0</v>
      </c>
      <c r="AG3522" t="s">
        <v>125</v>
      </c>
      <c r="AH3522">
        <v>0</v>
      </c>
      <c r="AK3522">
        <v>0</v>
      </c>
    </row>
    <row r="3523" spans="1:37" x14ac:dyDescent="0.25">
      <c r="A3523" t="s">
        <v>79</v>
      </c>
      <c r="B3523">
        <v>14</v>
      </c>
      <c r="C3523">
        <v>1</v>
      </c>
      <c r="D3523">
        <v>4</v>
      </c>
      <c r="E3523">
        <v>1</v>
      </c>
      <c r="G3523">
        <v>1414</v>
      </c>
      <c r="H3523" t="s">
        <v>63</v>
      </c>
      <c r="I3523" t="s">
        <v>80</v>
      </c>
      <c r="J3523" t="s">
        <v>141</v>
      </c>
      <c r="L3523">
        <v>0</v>
      </c>
      <c r="M3523" t="s">
        <v>125</v>
      </c>
      <c r="O3523" t="s">
        <v>125</v>
      </c>
      <c r="P3523" t="s">
        <v>125</v>
      </c>
      <c r="Q3523" t="s">
        <v>125</v>
      </c>
      <c r="R3523" t="s">
        <v>125</v>
      </c>
      <c r="S3523" t="s">
        <v>125</v>
      </c>
      <c r="T3523">
        <v>0</v>
      </c>
      <c r="V3523" t="s">
        <v>125</v>
      </c>
      <c r="AE3523" t="s">
        <v>125</v>
      </c>
      <c r="AF3523">
        <v>0</v>
      </c>
      <c r="AG3523" t="s">
        <v>125</v>
      </c>
      <c r="AH3523">
        <v>0</v>
      </c>
      <c r="AK3523">
        <v>0</v>
      </c>
    </row>
    <row r="3524" spans="1:37" x14ac:dyDescent="0.25">
      <c r="A3524" t="s">
        <v>79</v>
      </c>
      <c r="B3524">
        <v>14</v>
      </c>
      <c r="C3524">
        <v>1</v>
      </c>
      <c r="D3524">
        <v>4</v>
      </c>
      <c r="E3524">
        <v>2</v>
      </c>
      <c r="G3524">
        <v>1414</v>
      </c>
      <c r="H3524" t="s">
        <v>63</v>
      </c>
      <c r="I3524" t="s">
        <v>88</v>
      </c>
      <c r="J3524" t="s">
        <v>142</v>
      </c>
      <c r="L3524">
        <v>0</v>
      </c>
      <c r="M3524" t="s">
        <v>125</v>
      </c>
      <c r="O3524" t="s">
        <v>125</v>
      </c>
      <c r="P3524" t="s">
        <v>125</v>
      </c>
      <c r="Q3524" t="s">
        <v>125</v>
      </c>
      <c r="R3524" t="s">
        <v>125</v>
      </c>
      <c r="S3524" t="s">
        <v>125</v>
      </c>
      <c r="T3524">
        <v>0</v>
      </c>
      <c r="V3524" t="s">
        <v>125</v>
      </c>
      <c r="AE3524" t="s">
        <v>125</v>
      </c>
      <c r="AF3524">
        <v>0</v>
      </c>
      <c r="AG3524" t="s">
        <v>125</v>
      </c>
      <c r="AH3524">
        <v>0</v>
      </c>
      <c r="AK3524">
        <v>0</v>
      </c>
    </row>
    <row r="3525" spans="1:37" x14ac:dyDescent="0.25">
      <c r="A3525" t="s">
        <v>79</v>
      </c>
      <c r="B3525">
        <v>14</v>
      </c>
      <c r="C3525">
        <v>1</v>
      </c>
      <c r="D3525">
        <v>4</v>
      </c>
      <c r="E3525">
        <v>3</v>
      </c>
      <c r="G3525">
        <v>1414</v>
      </c>
      <c r="H3525" t="s">
        <v>63</v>
      </c>
      <c r="I3525" t="s">
        <v>95</v>
      </c>
      <c r="J3525" t="s">
        <v>143</v>
      </c>
      <c r="L3525">
        <v>0</v>
      </c>
      <c r="M3525" t="s">
        <v>125</v>
      </c>
      <c r="O3525" t="s">
        <v>125</v>
      </c>
      <c r="P3525" t="s">
        <v>125</v>
      </c>
      <c r="Q3525" t="s">
        <v>125</v>
      </c>
      <c r="R3525" t="s">
        <v>125</v>
      </c>
      <c r="S3525" t="s">
        <v>125</v>
      </c>
      <c r="T3525">
        <v>0</v>
      </c>
      <c r="V3525" t="s">
        <v>125</v>
      </c>
      <c r="AE3525" t="s">
        <v>125</v>
      </c>
      <c r="AF3525">
        <v>0</v>
      </c>
      <c r="AG3525" t="s">
        <v>125</v>
      </c>
      <c r="AH3525">
        <v>0</v>
      </c>
      <c r="AK3525">
        <v>0</v>
      </c>
    </row>
    <row r="3526" spans="1:37" x14ac:dyDescent="0.25">
      <c r="A3526" t="s">
        <v>79</v>
      </c>
      <c r="B3526">
        <v>14</v>
      </c>
      <c r="C3526">
        <v>1</v>
      </c>
      <c r="D3526">
        <v>4</v>
      </c>
      <c r="E3526">
        <v>4</v>
      </c>
      <c r="G3526">
        <v>1414</v>
      </c>
      <c r="H3526" t="s">
        <v>63</v>
      </c>
      <c r="I3526" t="s">
        <v>102</v>
      </c>
      <c r="J3526" t="s">
        <v>144</v>
      </c>
      <c r="L3526">
        <v>0</v>
      </c>
      <c r="M3526" t="s">
        <v>125</v>
      </c>
      <c r="O3526" t="s">
        <v>125</v>
      </c>
      <c r="P3526" t="s">
        <v>125</v>
      </c>
      <c r="Q3526" t="s">
        <v>125</v>
      </c>
      <c r="R3526" t="s">
        <v>125</v>
      </c>
      <c r="S3526" t="s">
        <v>125</v>
      </c>
      <c r="T3526">
        <v>0</v>
      </c>
      <c r="V3526" t="s">
        <v>125</v>
      </c>
      <c r="AE3526" t="s">
        <v>125</v>
      </c>
      <c r="AF3526">
        <v>0</v>
      </c>
      <c r="AG3526" t="s">
        <v>125</v>
      </c>
      <c r="AH3526">
        <v>0</v>
      </c>
      <c r="AK3526">
        <v>0</v>
      </c>
    </row>
    <row r="3527" spans="1:37" x14ac:dyDescent="0.25">
      <c r="A3527" t="s">
        <v>79</v>
      </c>
      <c r="B3527">
        <v>14</v>
      </c>
      <c r="C3527">
        <v>1</v>
      </c>
      <c r="D3527">
        <v>4</v>
      </c>
      <c r="E3527">
        <v>5</v>
      </c>
      <c r="G3527">
        <v>1414</v>
      </c>
      <c r="H3527" t="s">
        <v>63</v>
      </c>
      <c r="I3527" t="s">
        <v>109</v>
      </c>
      <c r="J3527" t="s">
        <v>145</v>
      </c>
      <c r="L3527">
        <v>0</v>
      </c>
      <c r="M3527" t="s">
        <v>125</v>
      </c>
      <c r="O3527" t="s">
        <v>125</v>
      </c>
      <c r="P3527" t="s">
        <v>125</v>
      </c>
      <c r="Q3527" t="s">
        <v>125</v>
      </c>
      <c r="R3527" t="s">
        <v>125</v>
      </c>
      <c r="S3527" t="s">
        <v>125</v>
      </c>
      <c r="T3527">
        <v>0</v>
      </c>
      <c r="V3527" t="s">
        <v>125</v>
      </c>
      <c r="AE3527" t="s">
        <v>125</v>
      </c>
      <c r="AF3527">
        <v>0</v>
      </c>
      <c r="AG3527" t="s">
        <v>125</v>
      </c>
      <c r="AH3527">
        <v>0</v>
      </c>
      <c r="AK3527">
        <v>0</v>
      </c>
    </row>
    <row r="3528" spans="1:37" x14ac:dyDescent="0.25">
      <c r="A3528" t="s">
        <v>79</v>
      </c>
      <c r="B3528">
        <v>14</v>
      </c>
      <c r="C3528">
        <v>1</v>
      </c>
      <c r="D3528">
        <v>4</v>
      </c>
      <c r="E3528">
        <v>6</v>
      </c>
      <c r="G3528">
        <v>1414</v>
      </c>
      <c r="H3528" t="s">
        <v>63</v>
      </c>
      <c r="I3528" t="s">
        <v>116</v>
      </c>
      <c r="J3528" t="s">
        <v>146</v>
      </c>
      <c r="L3528">
        <v>0</v>
      </c>
      <c r="M3528" t="s">
        <v>125</v>
      </c>
      <c r="O3528" t="s">
        <v>125</v>
      </c>
      <c r="P3528" t="s">
        <v>125</v>
      </c>
      <c r="Q3528" t="s">
        <v>125</v>
      </c>
      <c r="R3528" t="s">
        <v>125</v>
      </c>
      <c r="S3528" t="s">
        <v>125</v>
      </c>
      <c r="T3528">
        <v>0</v>
      </c>
      <c r="V3528" t="s">
        <v>125</v>
      </c>
      <c r="AE3528" t="s">
        <v>125</v>
      </c>
      <c r="AF3528">
        <v>0</v>
      </c>
      <c r="AG3528" t="s">
        <v>125</v>
      </c>
      <c r="AH3528">
        <v>0</v>
      </c>
      <c r="AK3528">
        <v>0</v>
      </c>
    </row>
    <row r="3529" spans="1:37" x14ac:dyDescent="0.25">
      <c r="A3529" t="s">
        <v>79</v>
      </c>
      <c r="B3529">
        <v>14</v>
      </c>
      <c r="C3529">
        <v>1</v>
      </c>
      <c r="D3529">
        <v>4</v>
      </c>
      <c r="E3529">
        <v>7</v>
      </c>
      <c r="G3529">
        <v>1414</v>
      </c>
      <c r="H3529" t="s">
        <v>63</v>
      </c>
      <c r="I3529" t="s">
        <v>123</v>
      </c>
      <c r="J3529" t="s">
        <v>147</v>
      </c>
      <c r="L3529">
        <v>0</v>
      </c>
      <c r="M3529" t="s">
        <v>125</v>
      </c>
      <c r="O3529" t="s">
        <v>125</v>
      </c>
      <c r="P3529" t="s">
        <v>125</v>
      </c>
      <c r="Q3529" t="s">
        <v>125</v>
      </c>
      <c r="R3529" t="s">
        <v>125</v>
      </c>
      <c r="S3529" t="s">
        <v>125</v>
      </c>
      <c r="T3529">
        <v>0</v>
      </c>
      <c r="V3529" t="s">
        <v>125</v>
      </c>
      <c r="AE3529" t="s">
        <v>125</v>
      </c>
      <c r="AF3529">
        <v>0</v>
      </c>
      <c r="AG3529" t="s">
        <v>125</v>
      </c>
      <c r="AH3529">
        <v>0</v>
      </c>
      <c r="AK3529">
        <v>0</v>
      </c>
    </row>
    <row r="3530" spans="1:37" x14ac:dyDescent="0.25">
      <c r="A3530" t="s">
        <v>79</v>
      </c>
      <c r="B3530">
        <v>14</v>
      </c>
      <c r="C3530">
        <v>1</v>
      </c>
      <c r="D3530">
        <v>4</v>
      </c>
      <c r="E3530">
        <v>8</v>
      </c>
      <c r="G3530">
        <v>1414</v>
      </c>
      <c r="H3530" t="s">
        <v>63</v>
      </c>
      <c r="I3530" t="s">
        <v>126</v>
      </c>
      <c r="J3530" t="s">
        <v>148</v>
      </c>
      <c r="L3530">
        <v>0</v>
      </c>
      <c r="M3530" t="s">
        <v>125</v>
      </c>
      <c r="O3530" t="s">
        <v>125</v>
      </c>
      <c r="P3530" t="s">
        <v>125</v>
      </c>
      <c r="Q3530" t="s">
        <v>125</v>
      </c>
      <c r="R3530" t="s">
        <v>125</v>
      </c>
      <c r="S3530" t="s">
        <v>125</v>
      </c>
      <c r="T3530">
        <v>0</v>
      </c>
      <c r="V3530" t="s">
        <v>125</v>
      </c>
      <c r="AE3530" t="s">
        <v>125</v>
      </c>
      <c r="AF3530">
        <v>0</v>
      </c>
      <c r="AG3530" t="s">
        <v>125</v>
      </c>
      <c r="AH3530">
        <v>0</v>
      </c>
      <c r="AK3530">
        <v>0</v>
      </c>
    </row>
    <row r="3531" spans="1:37" x14ac:dyDescent="0.25">
      <c r="A3531" t="s">
        <v>79</v>
      </c>
      <c r="B3531">
        <v>14</v>
      </c>
      <c r="C3531">
        <v>1</v>
      </c>
      <c r="D3531">
        <v>4</v>
      </c>
      <c r="E3531">
        <v>9</v>
      </c>
      <c r="G3531">
        <v>1414</v>
      </c>
      <c r="H3531" t="s">
        <v>63</v>
      </c>
      <c r="I3531" t="s">
        <v>74</v>
      </c>
      <c r="J3531" t="s">
        <v>149</v>
      </c>
      <c r="L3531">
        <v>0</v>
      </c>
      <c r="M3531" t="s">
        <v>125</v>
      </c>
      <c r="O3531" t="s">
        <v>125</v>
      </c>
      <c r="P3531" t="s">
        <v>125</v>
      </c>
      <c r="Q3531" t="s">
        <v>125</v>
      </c>
      <c r="R3531" t="s">
        <v>125</v>
      </c>
      <c r="S3531" t="s">
        <v>125</v>
      </c>
      <c r="T3531">
        <v>0</v>
      </c>
      <c r="V3531" t="s">
        <v>125</v>
      </c>
      <c r="AE3531" t="s">
        <v>125</v>
      </c>
      <c r="AF3531">
        <v>0</v>
      </c>
      <c r="AG3531" t="s">
        <v>125</v>
      </c>
      <c r="AH3531">
        <v>0</v>
      </c>
      <c r="AK3531">
        <v>0</v>
      </c>
    </row>
    <row r="3532" spans="1:37" x14ac:dyDescent="0.25">
      <c r="A3532" t="s">
        <v>79</v>
      </c>
      <c r="B3532">
        <v>14</v>
      </c>
      <c r="C3532">
        <v>1</v>
      </c>
      <c r="D3532">
        <v>4</v>
      </c>
      <c r="E3532">
        <v>10</v>
      </c>
      <c r="G3532">
        <v>1414</v>
      </c>
      <c r="H3532" t="s">
        <v>63</v>
      </c>
      <c r="I3532" t="s">
        <v>129</v>
      </c>
      <c r="J3532" t="s">
        <v>150</v>
      </c>
      <c r="L3532">
        <v>0</v>
      </c>
      <c r="M3532" t="s">
        <v>125</v>
      </c>
      <c r="O3532" t="s">
        <v>125</v>
      </c>
      <c r="P3532" t="s">
        <v>125</v>
      </c>
      <c r="Q3532" t="s">
        <v>125</v>
      </c>
      <c r="R3532" t="s">
        <v>125</v>
      </c>
      <c r="S3532" t="s">
        <v>125</v>
      </c>
      <c r="T3532">
        <v>0</v>
      </c>
      <c r="V3532" t="s">
        <v>125</v>
      </c>
      <c r="AE3532" t="s">
        <v>125</v>
      </c>
      <c r="AF3532">
        <v>0</v>
      </c>
      <c r="AG3532" t="s">
        <v>125</v>
      </c>
      <c r="AH3532">
        <v>0</v>
      </c>
      <c r="AK3532">
        <v>0</v>
      </c>
    </row>
    <row r="3533" spans="1:37" x14ac:dyDescent="0.25">
      <c r="A3533" t="s">
        <v>79</v>
      </c>
      <c r="B3533">
        <v>14</v>
      </c>
      <c r="C3533">
        <v>1</v>
      </c>
      <c r="D3533">
        <v>4</v>
      </c>
      <c r="E3533">
        <v>11</v>
      </c>
      <c r="G3533">
        <v>1414</v>
      </c>
      <c r="H3533" t="s">
        <v>63</v>
      </c>
      <c r="I3533" t="s">
        <v>131</v>
      </c>
      <c r="J3533" t="s">
        <v>151</v>
      </c>
      <c r="L3533">
        <v>0</v>
      </c>
      <c r="M3533" t="s">
        <v>125</v>
      </c>
      <c r="O3533" t="s">
        <v>125</v>
      </c>
      <c r="P3533" t="s">
        <v>125</v>
      </c>
      <c r="Q3533" t="s">
        <v>125</v>
      </c>
      <c r="R3533" t="s">
        <v>125</v>
      </c>
      <c r="S3533" t="s">
        <v>125</v>
      </c>
      <c r="T3533">
        <v>0</v>
      </c>
      <c r="V3533" t="s">
        <v>125</v>
      </c>
      <c r="AE3533" t="s">
        <v>125</v>
      </c>
      <c r="AF3533">
        <v>0</v>
      </c>
      <c r="AG3533" t="s">
        <v>125</v>
      </c>
      <c r="AH3533">
        <v>0</v>
      </c>
      <c r="AK3533">
        <v>0</v>
      </c>
    </row>
    <row r="3534" spans="1:37" x14ac:dyDescent="0.25">
      <c r="A3534" t="s">
        <v>79</v>
      </c>
      <c r="B3534">
        <v>14</v>
      </c>
      <c r="C3534">
        <v>1</v>
      </c>
      <c r="D3534">
        <v>4</v>
      </c>
      <c r="E3534">
        <v>12</v>
      </c>
      <c r="G3534">
        <v>1414</v>
      </c>
      <c r="H3534" t="s">
        <v>63</v>
      </c>
      <c r="I3534" t="s">
        <v>133</v>
      </c>
      <c r="J3534" t="s">
        <v>152</v>
      </c>
      <c r="L3534">
        <v>0</v>
      </c>
      <c r="M3534" t="s">
        <v>125</v>
      </c>
      <c r="O3534" t="s">
        <v>125</v>
      </c>
      <c r="P3534" t="s">
        <v>125</v>
      </c>
      <c r="Q3534" t="s">
        <v>125</v>
      </c>
      <c r="R3534" t="s">
        <v>125</v>
      </c>
      <c r="S3534" t="s">
        <v>125</v>
      </c>
      <c r="T3534">
        <v>0</v>
      </c>
      <c r="V3534" t="s">
        <v>125</v>
      </c>
      <c r="AE3534" t="s">
        <v>125</v>
      </c>
      <c r="AF3534">
        <v>0</v>
      </c>
      <c r="AG3534" t="s">
        <v>125</v>
      </c>
      <c r="AH3534">
        <v>0</v>
      </c>
      <c r="AK3534">
        <v>0</v>
      </c>
    </row>
    <row r="3535" spans="1:37" x14ac:dyDescent="0.25">
      <c r="A3535" t="s">
        <v>79</v>
      </c>
      <c r="B3535">
        <v>14</v>
      </c>
      <c r="C3535">
        <v>1</v>
      </c>
      <c r="D3535">
        <v>4</v>
      </c>
      <c r="E3535">
        <v>13</v>
      </c>
      <c r="G3535">
        <v>1414</v>
      </c>
      <c r="H3535" t="s">
        <v>63</v>
      </c>
      <c r="I3535" t="s">
        <v>135</v>
      </c>
      <c r="J3535" t="s">
        <v>153</v>
      </c>
      <c r="L3535">
        <v>0</v>
      </c>
      <c r="M3535" t="s">
        <v>125</v>
      </c>
      <c r="O3535" t="s">
        <v>125</v>
      </c>
      <c r="P3535" t="s">
        <v>125</v>
      </c>
      <c r="Q3535" t="s">
        <v>125</v>
      </c>
      <c r="R3535" t="s">
        <v>125</v>
      </c>
      <c r="S3535" t="s">
        <v>125</v>
      </c>
      <c r="T3535">
        <v>0</v>
      </c>
      <c r="V3535" t="s">
        <v>125</v>
      </c>
      <c r="AE3535" t="s">
        <v>125</v>
      </c>
      <c r="AF3535">
        <v>0</v>
      </c>
      <c r="AG3535" t="s">
        <v>125</v>
      </c>
      <c r="AH3535">
        <v>0</v>
      </c>
      <c r="AK3535">
        <v>0</v>
      </c>
    </row>
    <row r="3536" spans="1:37" x14ac:dyDescent="0.25">
      <c r="A3536" t="s">
        <v>79</v>
      </c>
      <c r="B3536">
        <v>14</v>
      </c>
      <c r="C3536">
        <v>1</v>
      </c>
      <c r="D3536">
        <v>4</v>
      </c>
      <c r="E3536">
        <v>14</v>
      </c>
      <c r="G3536">
        <v>1414</v>
      </c>
      <c r="H3536" t="s">
        <v>63</v>
      </c>
      <c r="I3536" t="s">
        <v>137</v>
      </c>
      <c r="J3536" t="s">
        <v>154</v>
      </c>
      <c r="L3536">
        <v>0</v>
      </c>
      <c r="M3536" t="s">
        <v>125</v>
      </c>
      <c r="O3536" t="s">
        <v>125</v>
      </c>
      <c r="P3536" t="s">
        <v>125</v>
      </c>
      <c r="Q3536" t="s">
        <v>125</v>
      </c>
      <c r="R3536" t="s">
        <v>125</v>
      </c>
      <c r="S3536" t="s">
        <v>125</v>
      </c>
      <c r="T3536">
        <v>0</v>
      </c>
      <c r="V3536" t="s">
        <v>125</v>
      </c>
      <c r="AE3536" t="s">
        <v>125</v>
      </c>
      <c r="AF3536">
        <v>0</v>
      </c>
      <c r="AG3536" t="s">
        <v>125</v>
      </c>
      <c r="AH3536">
        <v>0</v>
      </c>
      <c r="AK3536">
        <v>0</v>
      </c>
    </row>
    <row r="3537" spans="1:37" x14ac:dyDescent="0.25">
      <c r="A3537" t="s">
        <v>79</v>
      </c>
      <c r="B3537">
        <v>14</v>
      </c>
      <c r="C3537">
        <v>1</v>
      </c>
      <c r="D3537">
        <v>4</v>
      </c>
      <c r="E3537">
        <v>15</v>
      </c>
      <c r="G3537">
        <v>1414</v>
      </c>
      <c r="H3537" t="s">
        <v>63</v>
      </c>
      <c r="I3537" t="s">
        <v>139</v>
      </c>
      <c r="J3537" t="s">
        <v>155</v>
      </c>
      <c r="L3537">
        <v>0</v>
      </c>
      <c r="M3537" t="s">
        <v>125</v>
      </c>
      <c r="O3537" t="s">
        <v>125</v>
      </c>
      <c r="P3537" t="s">
        <v>125</v>
      </c>
      <c r="Q3537" t="s">
        <v>125</v>
      </c>
      <c r="R3537" t="s">
        <v>125</v>
      </c>
      <c r="S3537" t="s">
        <v>125</v>
      </c>
      <c r="T3537">
        <v>0</v>
      </c>
      <c r="V3537" t="s">
        <v>125</v>
      </c>
      <c r="AE3537" t="s">
        <v>125</v>
      </c>
      <c r="AF3537">
        <v>0</v>
      </c>
      <c r="AG3537" t="s">
        <v>125</v>
      </c>
      <c r="AH3537">
        <v>0</v>
      </c>
      <c r="AK3537">
        <v>0</v>
      </c>
    </row>
    <row r="3538" spans="1:37" x14ac:dyDescent="0.25">
      <c r="L3538">
        <v>0</v>
      </c>
    </row>
    <row r="3539" spans="1:37" x14ac:dyDescent="0.25">
      <c r="A3539" t="s">
        <v>70</v>
      </c>
      <c r="B3539">
        <v>14</v>
      </c>
      <c r="C3539">
        <v>1</v>
      </c>
      <c r="D3539">
        <v>5</v>
      </c>
      <c r="G3539">
        <v>141</v>
      </c>
      <c r="L3539">
        <v>0</v>
      </c>
      <c r="M3539" t="s">
        <v>125</v>
      </c>
      <c r="P3539" t="s">
        <v>125</v>
      </c>
      <c r="R3539" t="s">
        <v>125</v>
      </c>
      <c r="S3539" t="s">
        <v>63</v>
      </c>
      <c r="V3539" t="s">
        <v>125</v>
      </c>
      <c r="X3539" t="s">
        <v>125</v>
      </c>
      <c r="Y3539" t="s">
        <v>125</v>
      </c>
      <c r="Z3539" t="s">
        <v>125</v>
      </c>
      <c r="AA3539" t="s">
        <v>125</v>
      </c>
      <c r="AB3539" t="s">
        <v>125</v>
      </c>
      <c r="AC3539" t="s">
        <v>125</v>
      </c>
      <c r="AE3539" t="s">
        <v>125</v>
      </c>
      <c r="AF3539">
        <v>0</v>
      </c>
      <c r="AG3539" t="s">
        <v>125</v>
      </c>
      <c r="AH3539">
        <v>0</v>
      </c>
      <c r="AK3539">
        <v>0</v>
      </c>
    </row>
    <row r="3540" spans="1:37" x14ac:dyDescent="0.25">
      <c r="A3540" t="s">
        <v>79</v>
      </c>
      <c r="B3540">
        <v>14</v>
      </c>
      <c r="C3540">
        <v>1</v>
      </c>
      <c r="D3540">
        <v>5</v>
      </c>
      <c r="E3540">
        <v>1</v>
      </c>
      <c r="G3540">
        <v>1415</v>
      </c>
      <c r="H3540" t="s">
        <v>63</v>
      </c>
      <c r="I3540" t="s">
        <v>80</v>
      </c>
      <c r="J3540" t="s">
        <v>141</v>
      </c>
      <c r="L3540">
        <v>0</v>
      </c>
      <c r="M3540" t="s">
        <v>125</v>
      </c>
      <c r="O3540" t="s">
        <v>125</v>
      </c>
      <c r="P3540" t="s">
        <v>125</v>
      </c>
      <c r="Q3540" t="s">
        <v>125</v>
      </c>
      <c r="R3540" t="s">
        <v>125</v>
      </c>
      <c r="S3540" t="s">
        <v>125</v>
      </c>
      <c r="T3540">
        <v>0</v>
      </c>
      <c r="V3540" t="s">
        <v>125</v>
      </c>
      <c r="AE3540" t="s">
        <v>125</v>
      </c>
      <c r="AF3540">
        <v>0</v>
      </c>
      <c r="AG3540" t="s">
        <v>125</v>
      </c>
      <c r="AH3540">
        <v>0</v>
      </c>
      <c r="AK3540">
        <v>0</v>
      </c>
    </row>
    <row r="3541" spans="1:37" x14ac:dyDescent="0.25">
      <c r="A3541" t="s">
        <v>79</v>
      </c>
      <c r="B3541">
        <v>14</v>
      </c>
      <c r="C3541">
        <v>1</v>
      </c>
      <c r="D3541">
        <v>5</v>
      </c>
      <c r="E3541">
        <v>2</v>
      </c>
      <c r="G3541">
        <v>1415</v>
      </c>
      <c r="H3541" t="s">
        <v>63</v>
      </c>
      <c r="I3541" t="s">
        <v>88</v>
      </c>
      <c r="J3541" t="s">
        <v>142</v>
      </c>
      <c r="L3541">
        <v>0</v>
      </c>
      <c r="M3541" t="s">
        <v>125</v>
      </c>
      <c r="O3541" t="s">
        <v>125</v>
      </c>
      <c r="P3541" t="s">
        <v>125</v>
      </c>
      <c r="Q3541" t="s">
        <v>125</v>
      </c>
      <c r="R3541" t="s">
        <v>125</v>
      </c>
      <c r="S3541" t="s">
        <v>125</v>
      </c>
      <c r="T3541">
        <v>0</v>
      </c>
      <c r="V3541" t="s">
        <v>125</v>
      </c>
      <c r="AE3541" t="s">
        <v>125</v>
      </c>
      <c r="AF3541">
        <v>0</v>
      </c>
      <c r="AG3541" t="s">
        <v>125</v>
      </c>
      <c r="AH3541">
        <v>0</v>
      </c>
      <c r="AK3541">
        <v>0</v>
      </c>
    </row>
    <row r="3542" spans="1:37" x14ac:dyDescent="0.25">
      <c r="A3542" t="s">
        <v>79</v>
      </c>
      <c r="B3542">
        <v>14</v>
      </c>
      <c r="C3542">
        <v>1</v>
      </c>
      <c r="D3542">
        <v>5</v>
      </c>
      <c r="E3542">
        <v>3</v>
      </c>
      <c r="G3542">
        <v>1415</v>
      </c>
      <c r="H3542" t="s">
        <v>63</v>
      </c>
      <c r="I3542" t="s">
        <v>95</v>
      </c>
      <c r="J3542" t="s">
        <v>143</v>
      </c>
      <c r="L3542">
        <v>0</v>
      </c>
      <c r="M3542" t="s">
        <v>125</v>
      </c>
      <c r="O3542" t="s">
        <v>125</v>
      </c>
      <c r="P3542" t="s">
        <v>125</v>
      </c>
      <c r="Q3542" t="s">
        <v>125</v>
      </c>
      <c r="R3542" t="s">
        <v>125</v>
      </c>
      <c r="S3542" t="s">
        <v>125</v>
      </c>
      <c r="T3542">
        <v>0</v>
      </c>
      <c r="V3542" t="s">
        <v>125</v>
      </c>
      <c r="AE3542" t="s">
        <v>125</v>
      </c>
      <c r="AF3542">
        <v>0</v>
      </c>
      <c r="AG3542" t="s">
        <v>125</v>
      </c>
      <c r="AH3542">
        <v>0</v>
      </c>
      <c r="AK3542">
        <v>0</v>
      </c>
    </row>
    <row r="3543" spans="1:37" x14ac:dyDescent="0.25">
      <c r="A3543" t="s">
        <v>79</v>
      </c>
      <c r="B3543">
        <v>14</v>
      </c>
      <c r="C3543">
        <v>1</v>
      </c>
      <c r="D3543">
        <v>5</v>
      </c>
      <c r="E3543">
        <v>4</v>
      </c>
      <c r="G3543">
        <v>1415</v>
      </c>
      <c r="H3543" t="s">
        <v>63</v>
      </c>
      <c r="I3543" t="s">
        <v>102</v>
      </c>
      <c r="J3543" t="s">
        <v>144</v>
      </c>
      <c r="L3543">
        <v>0</v>
      </c>
      <c r="M3543" t="s">
        <v>125</v>
      </c>
      <c r="O3543" t="s">
        <v>125</v>
      </c>
      <c r="P3543" t="s">
        <v>125</v>
      </c>
      <c r="Q3543" t="s">
        <v>125</v>
      </c>
      <c r="R3543" t="s">
        <v>125</v>
      </c>
      <c r="S3543" t="s">
        <v>125</v>
      </c>
      <c r="T3543">
        <v>0</v>
      </c>
      <c r="V3543" t="s">
        <v>125</v>
      </c>
      <c r="AE3543" t="s">
        <v>125</v>
      </c>
      <c r="AF3543">
        <v>0</v>
      </c>
      <c r="AG3543" t="s">
        <v>125</v>
      </c>
      <c r="AH3543">
        <v>0</v>
      </c>
      <c r="AK3543">
        <v>0</v>
      </c>
    </row>
    <row r="3544" spans="1:37" x14ac:dyDescent="0.25">
      <c r="A3544" t="s">
        <v>79</v>
      </c>
      <c r="B3544">
        <v>14</v>
      </c>
      <c r="C3544">
        <v>1</v>
      </c>
      <c r="D3544">
        <v>5</v>
      </c>
      <c r="E3544">
        <v>5</v>
      </c>
      <c r="G3544">
        <v>1415</v>
      </c>
      <c r="H3544" t="s">
        <v>63</v>
      </c>
      <c r="I3544" t="s">
        <v>109</v>
      </c>
      <c r="J3544" t="s">
        <v>145</v>
      </c>
      <c r="L3544">
        <v>0</v>
      </c>
      <c r="M3544" t="s">
        <v>125</v>
      </c>
      <c r="O3544" t="s">
        <v>125</v>
      </c>
      <c r="P3544" t="s">
        <v>125</v>
      </c>
      <c r="Q3544" t="s">
        <v>125</v>
      </c>
      <c r="R3544" t="s">
        <v>125</v>
      </c>
      <c r="S3544" t="s">
        <v>125</v>
      </c>
      <c r="T3544">
        <v>0</v>
      </c>
      <c r="V3544" t="s">
        <v>125</v>
      </c>
      <c r="AE3544" t="s">
        <v>125</v>
      </c>
      <c r="AF3544">
        <v>0</v>
      </c>
      <c r="AG3544" t="s">
        <v>125</v>
      </c>
      <c r="AH3544">
        <v>0</v>
      </c>
      <c r="AK3544">
        <v>0</v>
      </c>
    </row>
    <row r="3545" spans="1:37" x14ac:dyDescent="0.25">
      <c r="A3545" t="s">
        <v>79</v>
      </c>
      <c r="B3545">
        <v>14</v>
      </c>
      <c r="C3545">
        <v>1</v>
      </c>
      <c r="D3545">
        <v>5</v>
      </c>
      <c r="E3545">
        <v>6</v>
      </c>
      <c r="G3545">
        <v>1415</v>
      </c>
      <c r="H3545" t="s">
        <v>63</v>
      </c>
      <c r="I3545" t="s">
        <v>116</v>
      </c>
      <c r="J3545" t="s">
        <v>146</v>
      </c>
      <c r="L3545">
        <v>0</v>
      </c>
      <c r="M3545" t="s">
        <v>125</v>
      </c>
      <c r="O3545" t="s">
        <v>125</v>
      </c>
      <c r="P3545" t="s">
        <v>125</v>
      </c>
      <c r="Q3545" t="s">
        <v>125</v>
      </c>
      <c r="R3545" t="s">
        <v>125</v>
      </c>
      <c r="S3545" t="s">
        <v>125</v>
      </c>
      <c r="T3545">
        <v>0</v>
      </c>
      <c r="V3545" t="s">
        <v>125</v>
      </c>
      <c r="AE3545" t="s">
        <v>125</v>
      </c>
      <c r="AF3545">
        <v>0</v>
      </c>
      <c r="AG3545" t="s">
        <v>125</v>
      </c>
      <c r="AH3545">
        <v>0</v>
      </c>
      <c r="AK3545">
        <v>0</v>
      </c>
    </row>
    <row r="3546" spans="1:37" x14ac:dyDescent="0.25">
      <c r="A3546" t="s">
        <v>79</v>
      </c>
      <c r="B3546">
        <v>14</v>
      </c>
      <c r="C3546">
        <v>1</v>
      </c>
      <c r="D3546">
        <v>5</v>
      </c>
      <c r="E3546">
        <v>7</v>
      </c>
      <c r="G3546">
        <v>1415</v>
      </c>
      <c r="H3546" t="s">
        <v>63</v>
      </c>
      <c r="I3546" t="s">
        <v>123</v>
      </c>
      <c r="J3546" t="s">
        <v>147</v>
      </c>
      <c r="L3546">
        <v>0</v>
      </c>
      <c r="M3546" t="s">
        <v>125</v>
      </c>
      <c r="O3546" t="s">
        <v>125</v>
      </c>
      <c r="P3546" t="s">
        <v>125</v>
      </c>
      <c r="Q3546" t="s">
        <v>125</v>
      </c>
      <c r="R3546" t="s">
        <v>125</v>
      </c>
      <c r="S3546" t="s">
        <v>125</v>
      </c>
      <c r="T3546">
        <v>0</v>
      </c>
      <c r="V3546" t="s">
        <v>125</v>
      </c>
      <c r="AE3546" t="s">
        <v>125</v>
      </c>
      <c r="AF3546">
        <v>0</v>
      </c>
      <c r="AG3546" t="s">
        <v>125</v>
      </c>
      <c r="AH3546">
        <v>0</v>
      </c>
      <c r="AK3546">
        <v>0</v>
      </c>
    </row>
    <row r="3547" spans="1:37" x14ac:dyDescent="0.25">
      <c r="A3547" t="s">
        <v>79</v>
      </c>
      <c r="B3547">
        <v>14</v>
      </c>
      <c r="C3547">
        <v>1</v>
      </c>
      <c r="D3547">
        <v>5</v>
      </c>
      <c r="E3547">
        <v>8</v>
      </c>
      <c r="G3547">
        <v>1415</v>
      </c>
      <c r="H3547" t="s">
        <v>63</v>
      </c>
      <c r="I3547" t="s">
        <v>126</v>
      </c>
      <c r="J3547" t="s">
        <v>148</v>
      </c>
      <c r="L3547">
        <v>0</v>
      </c>
      <c r="M3547" t="s">
        <v>125</v>
      </c>
      <c r="O3547" t="s">
        <v>125</v>
      </c>
      <c r="P3547" t="s">
        <v>125</v>
      </c>
      <c r="Q3547" t="s">
        <v>125</v>
      </c>
      <c r="R3547" t="s">
        <v>125</v>
      </c>
      <c r="S3547" t="s">
        <v>125</v>
      </c>
      <c r="T3547">
        <v>0</v>
      </c>
      <c r="V3547" t="s">
        <v>125</v>
      </c>
      <c r="AE3547" t="s">
        <v>125</v>
      </c>
      <c r="AF3547">
        <v>0</v>
      </c>
      <c r="AG3547" t="s">
        <v>125</v>
      </c>
      <c r="AH3547">
        <v>0</v>
      </c>
      <c r="AK3547">
        <v>0</v>
      </c>
    </row>
    <row r="3548" spans="1:37" x14ac:dyDescent="0.25">
      <c r="A3548" t="s">
        <v>79</v>
      </c>
      <c r="B3548">
        <v>14</v>
      </c>
      <c r="C3548">
        <v>1</v>
      </c>
      <c r="D3548">
        <v>5</v>
      </c>
      <c r="E3548">
        <v>9</v>
      </c>
      <c r="G3548">
        <v>1415</v>
      </c>
      <c r="H3548" t="s">
        <v>63</v>
      </c>
      <c r="I3548" t="s">
        <v>74</v>
      </c>
      <c r="J3548" t="s">
        <v>149</v>
      </c>
      <c r="L3548">
        <v>0</v>
      </c>
      <c r="M3548" t="s">
        <v>125</v>
      </c>
      <c r="O3548" t="s">
        <v>125</v>
      </c>
      <c r="P3548" t="s">
        <v>125</v>
      </c>
      <c r="Q3548" t="s">
        <v>125</v>
      </c>
      <c r="R3548" t="s">
        <v>125</v>
      </c>
      <c r="S3548" t="s">
        <v>125</v>
      </c>
      <c r="T3548">
        <v>0</v>
      </c>
      <c r="V3548" t="s">
        <v>125</v>
      </c>
      <c r="AE3548" t="s">
        <v>125</v>
      </c>
      <c r="AF3548">
        <v>0</v>
      </c>
      <c r="AG3548" t="s">
        <v>125</v>
      </c>
      <c r="AH3548">
        <v>0</v>
      </c>
      <c r="AK3548">
        <v>0</v>
      </c>
    </row>
    <row r="3549" spans="1:37" x14ac:dyDescent="0.25">
      <c r="A3549" t="s">
        <v>79</v>
      </c>
      <c r="B3549">
        <v>14</v>
      </c>
      <c r="C3549">
        <v>1</v>
      </c>
      <c r="D3549">
        <v>5</v>
      </c>
      <c r="E3549">
        <v>10</v>
      </c>
      <c r="G3549">
        <v>1415</v>
      </c>
      <c r="H3549" t="s">
        <v>63</v>
      </c>
      <c r="I3549" t="s">
        <v>129</v>
      </c>
      <c r="J3549" t="s">
        <v>150</v>
      </c>
      <c r="L3549">
        <v>0</v>
      </c>
      <c r="M3549" t="s">
        <v>125</v>
      </c>
      <c r="O3549" t="s">
        <v>125</v>
      </c>
      <c r="P3549" t="s">
        <v>125</v>
      </c>
      <c r="Q3549" t="s">
        <v>125</v>
      </c>
      <c r="R3549" t="s">
        <v>125</v>
      </c>
      <c r="S3549" t="s">
        <v>125</v>
      </c>
      <c r="T3549">
        <v>0</v>
      </c>
      <c r="V3549" t="s">
        <v>125</v>
      </c>
      <c r="AE3549" t="s">
        <v>125</v>
      </c>
      <c r="AF3549">
        <v>0</v>
      </c>
      <c r="AG3549" t="s">
        <v>125</v>
      </c>
      <c r="AH3549">
        <v>0</v>
      </c>
      <c r="AK3549">
        <v>0</v>
      </c>
    </row>
    <row r="3550" spans="1:37" x14ac:dyDescent="0.25">
      <c r="A3550" t="s">
        <v>79</v>
      </c>
      <c r="B3550">
        <v>14</v>
      </c>
      <c r="C3550">
        <v>1</v>
      </c>
      <c r="D3550">
        <v>5</v>
      </c>
      <c r="E3550">
        <v>11</v>
      </c>
      <c r="G3550">
        <v>1415</v>
      </c>
      <c r="H3550" t="s">
        <v>63</v>
      </c>
      <c r="I3550" t="s">
        <v>131</v>
      </c>
      <c r="J3550" t="s">
        <v>151</v>
      </c>
      <c r="L3550">
        <v>0</v>
      </c>
      <c r="M3550" t="s">
        <v>125</v>
      </c>
      <c r="O3550" t="s">
        <v>125</v>
      </c>
      <c r="P3550" t="s">
        <v>125</v>
      </c>
      <c r="Q3550" t="s">
        <v>125</v>
      </c>
      <c r="R3550" t="s">
        <v>125</v>
      </c>
      <c r="S3550" t="s">
        <v>125</v>
      </c>
      <c r="T3550">
        <v>0</v>
      </c>
      <c r="V3550" t="s">
        <v>125</v>
      </c>
      <c r="AE3550" t="s">
        <v>125</v>
      </c>
      <c r="AF3550">
        <v>0</v>
      </c>
      <c r="AG3550" t="s">
        <v>125</v>
      </c>
      <c r="AH3550">
        <v>0</v>
      </c>
      <c r="AK3550">
        <v>0</v>
      </c>
    </row>
    <row r="3551" spans="1:37" x14ac:dyDescent="0.25">
      <c r="A3551" t="s">
        <v>79</v>
      </c>
      <c r="B3551">
        <v>14</v>
      </c>
      <c r="C3551">
        <v>1</v>
      </c>
      <c r="D3551">
        <v>5</v>
      </c>
      <c r="E3551">
        <v>12</v>
      </c>
      <c r="G3551">
        <v>1415</v>
      </c>
      <c r="H3551" t="s">
        <v>63</v>
      </c>
      <c r="I3551" t="s">
        <v>133</v>
      </c>
      <c r="J3551" t="s">
        <v>152</v>
      </c>
      <c r="L3551">
        <v>0</v>
      </c>
      <c r="M3551" t="s">
        <v>125</v>
      </c>
      <c r="O3551" t="s">
        <v>125</v>
      </c>
      <c r="P3551" t="s">
        <v>125</v>
      </c>
      <c r="Q3551" t="s">
        <v>125</v>
      </c>
      <c r="R3551" t="s">
        <v>125</v>
      </c>
      <c r="S3551" t="s">
        <v>125</v>
      </c>
      <c r="T3551">
        <v>0</v>
      </c>
      <c r="V3551" t="s">
        <v>125</v>
      </c>
      <c r="AE3551" t="s">
        <v>125</v>
      </c>
      <c r="AF3551">
        <v>0</v>
      </c>
      <c r="AG3551" t="s">
        <v>125</v>
      </c>
      <c r="AH3551">
        <v>0</v>
      </c>
      <c r="AK3551">
        <v>0</v>
      </c>
    </row>
    <row r="3552" spans="1:37" x14ac:dyDescent="0.25">
      <c r="A3552" t="s">
        <v>79</v>
      </c>
      <c r="B3552">
        <v>14</v>
      </c>
      <c r="C3552">
        <v>1</v>
      </c>
      <c r="D3552">
        <v>5</v>
      </c>
      <c r="E3552">
        <v>13</v>
      </c>
      <c r="G3552">
        <v>1415</v>
      </c>
      <c r="H3552" t="s">
        <v>63</v>
      </c>
      <c r="I3552" t="s">
        <v>135</v>
      </c>
      <c r="J3552" t="s">
        <v>153</v>
      </c>
      <c r="L3552">
        <v>0</v>
      </c>
      <c r="M3552" t="s">
        <v>125</v>
      </c>
      <c r="O3552" t="s">
        <v>125</v>
      </c>
      <c r="P3552" t="s">
        <v>125</v>
      </c>
      <c r="Q3552" t="s">
        <v>125</v>
      </c>
      <c r="R3552" t="s">
        <v>125</v>
      </c>
      <c r="S3552" t="s">
        <v>125</v>
      </c>
      <c r="T3552">
        <v>0</v>
      </c>
      <c r="V3552" t="s">
        <v>125</v>
      </c>
      <c r="AE3552" t="s">
        <v>125</v>
      </c>
      <c r="AF3552">
        <v>0</v>
      </c>
      <c r="AG3552" t="s">
        <v>125</v>
      </c>
      <c r="AH3552">
        <v>0</v>
      </c>
      <c r="AK3552">
        <v>0</v>
      </c>
    </row>
    <row r="3553" spans="1:37" x14ac:dyDescent="0.25">
      <c r="A3553" t="s">
        <v>79</v>
      </c>
      <c r="B3553">
        <v>14</v>
      </c>
      <c r="C3553">
        <v>1</v>
      </c>
      <c r="D3553">
        <v>5</v>
      </c>
      <c r="E3553">
        <v>14</v>
      </c>
      <c r="G3553">
        <v>1415</v>
      </c>
      <c r="H3553" t="s">
        <v>63</v>
      </c>
      <c r="I3553" t="s">
        <v>137</v>
      </c>
      <c r="J3553" t="s">
        <v>154</v>
      </c>
      <c r="L3553">
        <v>0</v>
      </c>
      <c r="M3553" t="s">
        <v>125</v>
      </c>
      <c r="O3553" t="s">
        <v>125</v>
      </c>
      <c r="P3553" t="s">
        <v>125</v>
      </c>
      <c r="Q3553" t="s">
        <v>125</v>
      </c>
      <c r="R3553" t="s">
        <v>125</v>
      </c>
      <c r="S3553" t="s">
        <v>125</v>
      </c>
      <c r="T3553">
        <v>0</v>
      </c>
      <c r="V3553" t="s">
        <v>125</v>
      </c>
      <c r="AE3553" t="s">
        <v>125</v>
      </c>
      <c r="AF3553">
        <v>0</v>
      </c>
      <c r="AG3553" t="s">
        <v>125</v>
      </c>
      <c r="AH3553">
        <v>0</v>
      </c>
      <c r="AK3553">
        <v>0</v>
      </c>
    </row>
    <row r="3554" spans="1:37" x14ac:dyDescent="0.25">
      <c r="A3554" t="s">
        <v>79</v>
      </c>
      <c r="B3554">
        <v>14</v>
      </c>
      <c r="C3554">
        <v>1</v>
      </c>
      <c r="D3554">
        <v>5</v>
      </c>
      <c r="E3554">
        <v>15</v>
      </c>
      <c r="G3554">
        <v>1415</v>
      </c>
      <c r="H3554" t="s">
        <v>63</v>
      </c>
      <c r="I3554" t="s">
        <v>139</v>
      </c>
      <c r="J3554" t="s">
        <v>155</v>
      </c>
      <c r="L3554">
        <v>0</v>
      </c>
      <c r="M3554" t="s">
        <v>125</v>
      </c>
      <c r="O3554" t="s">
        <v>125</v>
      </c>
      <c r="P3554" t="s">
        <v>125</v>
      </c>
      <c r="Q3554" t="s">
        <v>125</v>
      </c>
      <c r="R3554" t="s">
        <v>125</v>
      </c>
      <c r="S3554" t="s">
        <v>125</v>
      </c>
      <c r="T3554">
        <v>0</v>
      </c>
      <c r="V3554" t="s">
        <v>125</v>
      </c>
      <c r="AE3554" t="s">
        <v>125</v>
      </c>
      <c r="AF3554">
        <v>0</v>
      </c>
      <c r="AG3554" t="s">
        <v>125</v>
      </c>
      <c r="AH3554">
        <v>0</v>
      </c>
      <c r="AK3554">
        <v>0</v>
      </c>
    </row>
    <row r="3555" spans="1:37" x14ac:dyDescent="0.25">
      <c r="L3555">
        <v>0</v>
      </c>
    </row>
    <row r="3556" spans="1:37" x14ac:dyDescent="0.25">
      <c r="L3556">
        <v>0</v>
      </c>
    </row>
    <row r="3557" spans="1:37" x14ac:dyDescent="0.25">
      <c r="A3557" t="s">
        <v>66</v>
      </c>
      <c r="B3557">
        <v>14</v>
      </c>
      <c r="C3557">
        <v>2</v>
      </c>
      <c r="G3557">
        <v>14</v>
      </c>
      <c r="H3557" t="s">
        <v>4422</v>
      </c>
      <c r="I3557" t="s">
        <v>4566</v>
      </c>
      <c r="M3557" t="s">
        <v>4567</v>
      </c>
      <c r="N3557" t="s">
        <v>4566</v>
      </c>
      <c r="P3557" t="s">
        <v>4568</v>
      </c>
      <c r="V3557" t="s">
        <v>4569</v>
      </c>
      <c r="Y3557" t="s">
        <v>4570</v>
      </c>
      <c r="AA3557" t="s">
        <v>4571</v>
      </c>
      <c r="AC3557" t="s">
        <v>63</v>
      </c>
      <c r="AE3557" t="s">
        <v>4572</v>
      </c>
      <c r="AF3557">
        <v>0</v>
      </c>
      <c r="AG3557" t="s">
        <v>4573</v>
      </c>
      <c r="AH3557">
        <v>0</v>
      </c>
      <c r="AK3557">
        <v>0</v>
      </c>
    </row>
    <row r="3558" spans="1:37" x14ac:dyDescent="0.25">
      <c r="L3558">
        <v>0</v>
      </c>
    </row>
    <row r="3559" spans="1:37" x14ac:dyDescent="0.25">
      <c r="A3559" t="s">
        <v>70</v>
      </c>
      <c r="B3559">
        <v>14</v>
      </c>
      <c r="C3559">
        <v>2</v>
      </c>
      <c r="D3559">
        <v>1</v>
      </c>
      <c r="G3559">
        <v>142</v>
      </c>
      <c r="M3559" t="s">
        <v>4574</v>
      </c>
      <c r="O3559" t="s">
        <v>4575</v>
      </c>
      <c r="P3559" t="s">
        <v>4576</v>
      </c>
      <c r="Q3559" t="s">
        <v>4577</v>
      </c>
      <c r="R3559" t="s">
        <v>192</v>
      </c>
      <c r="S3559" t="s">
        <v>4578</v>
      </c>
      <c r="V3559" t="s">
        <v>4579</v>
      </c>
      <c r="X3559" t="s">
        <v>4580</v>
      </c>
      <c r="Y3559" t="s">
        <v>4581</v>
      </c>
      <c r="Z3559" t="s">
        <v>4582</v>
      </c>
      <c r="AA3559" t="s">
        <v>4583</v>
      </c>
      <c r="AB3559" t="s">
        <v>63</v>
      </c>
      <c r="AC3559" t="s">
        <v>63</v>
      </c>
      <c r="AE3559" t="s">
        <v>4584</v>
      </c>
      <c r="AF3559">
        <v>0</v>
      </c>
      <c r="AG3559" t="s">
        <v>4585</v>
      </c>
      <c r="AH3559">
        <v>0</v>
      </c>
      <c r="AK3559">
        <v>0</v>
      </c>
    </row>
    <row r="3560" spans="1:37" x14ac:dyDescent="0.25">
      <c r="A3560" t="s">
        <v>79</v>
      </c>
      <c r="B3560">
        <v>14</v>
      </c>
      <c r="C3560">
        <v>2</v>
      </c>
      <c r="D3560">
        <v>1</v>
      </c>
      <c r="E3560">
        <v>1</v>
      </c>
      <c r="G3560">
        <v>1421</v>
      </c>
      <c r="H3560" t="s">
        <v>4575</v>
      </c>
      <c r="I3560" t="s">
        <v>80</v>
      </c>
      <c r="J3560" t="s">
        <v>4586</v>
      </c>
      <c r="L3560">
        <v>0</v>
      </c>
      <c r="M3560" t="s">
        <v>4587</v>
      </c>
      <c r="O3560" t="s">
        <v>4588</v>
      </c>
      <c r="P3560" t="s">
        <v>4589</v>
      </c>
      <c r="Q3560" t="s">
        <v>57</v>
      </c>
      <c r="R3560" t="s">
        <v>192</v>
      </c>
      <c r="S3560" t="s">
        <v>4590</v>
      </c>
      <c r="T3560">
        <v>735</v>
      </c>
      <c r="U3560">
        <v>735</v>
      </c>
      <c r="V3560" t="s">
        <v>4590</v>
      </c>
      <c r="AE3560" t="s">
        <v>4591</v>
      </c>
      <c r="AF3560">
        <v>0</v>
      </c>
      <c r="AG3560" t="s">
        <v>4592</v>
      </c>
      <c r="AH3560">
        <v>0</v>
      </c>
      <c r="AK3560">
        <v>0</v>
      </c>
    </row>
    <row r="3561" spans="1:37" x14ac:dyDescent="0.25">
      <c r="A3561" t="s">
        <v>79</v>
      </c>
      <c r="B3561">
        <v>14</v>
      </c>
      <c r="C3561">
        <v>2</v>
      </c>
      <c r="D3561">
        <v>1</v>
      </c>
      <c r="E3561">
        <v>2</v>
      </c>
      <c r="G3561">
        <v>1421</v>
      </c>
      <c r="H3561" t="s">
        <v>4575</v>
      </c>
      <c r="I3561" t="s">
        <v>88</v>
      </c>
      <c r="J3561" t="s">
        <v>4593</v>
      </c>
      <c r="L3561">
        <v>0</v>
      </c>
      <c r="M3561" t="s">
        <v>4594</v>
      </c>
      <c r="O3561" t="s">
        <v>1319</v>
      </c>
      <c r="P3561" t="s">
        <v>1320</v>
      </c>
      <c r="Q3561" t="s">
        <v>4595</v>
      </c>
      <c r="R3561" t="s">
        <v>229</v>
      </c>
      <c r="S3561" t="s">
        <v>1322</v>
      </c>
      <c r="T3561">
        <v>735</v>
      </c>
      <c r="U3561">
        <v>255</v>
      </c>
      <c r="V3561" t="s">
        <v>3613</v>
      </c>
      <c r="AE3561" t="s">
        <v>4596</v>
      </c>
      <c r="AF3561">
        <v>0</v>
      </c>
      <c r="AG3561" t="s">
        <v>4597</v>
      </c>
      <c r="AH3561">
        <v>0</v>
      </c>
      <c r="AK3561">
        <v>0</v>
      </c>
    </row>
    <row r="3562" spans="1:37" x14ac:dyDescent="0.25">
      <c r="A3562" t="s">
        <v>79</v>
      </c>
      <c r="B3562">
        <v>14</v>
      </c>
      <c r="C3562">
        <v>2</v>
      </c>
      <c r="D3562">
        <v>1</v>
      </c>
      <c r="E3562">
        <v>3</v>
      </c>
      <c r="G3562">
        <v>1421</v>
      </c>
      <c r="H3562" t="s">
        <v>4575</v>
      </c>
      <c r="I3562" t="s">
        <v>95</v>
      </c>
      <c r="J3562" t="s">
        <v>4598</v>
      </c>
      <c r="L3562">
        <v>0</v>
      </c>
      <c r="M3562" t="s">
        <v>4599</v>
      </c>
      <c r="O3562" t="s">
        <v>294</v>
      </c>
      <c r="P3562" t="s">
        <v>295</v>
      </c>
      <c r="Q3562" t="s">
        <v>4600</v>
      </c>
      <c r="R3562" t="s">
        <v>229</v>
      </c>
      <c r="S3562" t="s">
        <v>297</v>
      </c>
      <c r="T3562">
        <v>735</v>
      </c>
      <c r="U3562">
        <v>128</v>
      </c>
      <c r="V3562" t="s">
        <v>1640</v>
      </c>
      <c r="AE3562" t="s">
        <v>4601</v>
      </c>
      <c r="AF3562">
        <v>0</v>
      </c>
      <c r="AG3562" t="s">
        <v>4602</v>
      </c>
      <c r="AH3562">
        <v>0</v>
      </c>
      <c r="AK3562">
        <v>0</v>
      </c>
    </row>
    <row r="3563" spans="1:37" x14ac:dyDescent="0.25">
      <c r="A3563" t="s">
        <v>79</v>
      </c>
      <c r="B3563">
        <v>14</v>
      </c>
      <c r="C3563">
        <v>2</v>
      </c>
      <c r="D3563">
        <v>1</v>
      </c>
      <c r="E3563">
        <v>4</v>
      </c>
      <c r="G3563">
        <v>1421</v>
      </c>
      <c r="H3563" t="s">
        <v>4575</v>
      </c>
      <c r="I3563" t="s">
        <v>102</v>
      </c>
      <c r="J3563" t="s">
        <v>4603</v>
      </c>
      <c r="L3563">
        <v>0</v>
      </c>
      <c r="M3563" t="s">
        <v>4604</v>
      </c>
      <c r="O3563" t="s">
        <v>4605</v>
      </c>
      <c r="P3563" t="s">
        <v>4606</v>
      </c>
      <c r="Q3563" t="s">
        <v>1079</v>
      </c>
      <c r="R3563" t="s">
        <v>268</v>
      </c>
      <c r="S3563" t="s">
        <v>4607</v>
      </c>
      <c r="T3563">
        <v>735</v>
      </c>
      <c r="U3563">
        <v>1</v>
      </c>
      <c r="V3563" t="s">
        <v>4608</v>
      </c>
      <c r="AE3563" t="s">
        <v>4609</v>
      </c>
      <c r="AF3563">
        <v>0</v>
      </c>
      <c r="AG3563" t="s">
        <v>4610</v>
      </c>
      <c r="AH3563">
        <v>0</v>
      </c>
      <c r="AK3563">
        <v>0</v>
      </c>
    </row>
    <row r="3564" spans="1:37" x14ac:dyDescent="0.25">
      <c r="A3564" t="s">
        <v>79</v>
      </c>
      <c r="B3564">
        <v>14</v>
      </c>
      <c r="C3564">
        <v>2</v>
      </c>
      <c r="D3564">
        <v>1</v>
      </c>
      <c r="E3564">
        <v>5</v>
      </c>
      <c r="G3564">
        <v>1421</v>
      </c>
      <c r="H3564" t="s">
        <v>4575</v>
      </c>
      <c r="I3564" t="s">
        <v>109</v>
      </c>
      <c r="J3564" t="s">
        <v>4611</v>
      </c>
      <c r="L3564">
        <v>0</v>
      </c>
      <c r="M3564" t="s">
        <v>125</v>
      </c>
      <c r="O3564" t="s">
        <v>125</v>
      </c>
      <c r="P3564" t="s">
        <v>125</v>
      </c>
      <c r="Q3564" t="s">
        <v>125</v>
      </c>
      <c r="R3564" t="s">
        <v>125</v>
      </c>
      <c r="S3564" t="s">
        <v>125</v>
      </c>
      <c r="T3564">
        <v>735</v>
      </c>
      <c r="V3564" t="s">
        <v>125</v>
      </c>
      <c r="AE3564" t="s">
        <v>125</v>
      </c>
      <c r="AF3564">
        <v>0</v>
      </c>
      <c r="AG3564" t="s">
        <v>125</v>
      </c>
      <c r="AH3564">
        <v>0</v>
      </c>
      <c r="AK3564">
        <v>0</v>
      </c>
    </row>
    <row r="3565" spans="1:37" x14ac:dyDescent="0.25">
      <c r="A3565" t="s">
        <v>79</v>
      </c>
      <c r="B3565">
        <v>14</v>
      </c>
      <c r="C3565">
        <v>2</v>
      </c>
      <c r="D3565">
        <v>1</v>
      </c>
      <c r="E3565">
        <v>6</v>
      </c>
      <c r="G3565">
        <v>1421</v>
      </c>
      <c r="H3565" t="s">
        <v>4575</v>
      </c>
      <c r="I3565" t="s">
        <v>116</v>
      </c>
      <c r="J3565" t="s">
        <v>4612</v>
      </c>
      <c r="L3565">
        <v>0</v>
      </c>
      <c r="M3565" t="s">
        <v>125</v>
      </c>
      <c r="O3565" t="s">
        <v>125</v>
      </c>
      <c r="P3565" t="s">
        <v>125</v>
      </c>
      <c r="Q3565" t="s">
        <v>125</v>
      </c>
      <c r="R3565" t="s">
        <v>125</v>
      </c>
      <c r="S3565" t="s">
        <v>125</v>
      </c>
      <c r="T3565">
        <v>735</v>
      </c>
      <c r="V3565" t="s">
        <v>125</v>
      </c>
      <c r="AE3565" t="s">
        <v>125</v>
      </c>
      <c r="AF3565">
        <v>0</v>
      </c>
      <c r="AG3565" t="s">
        <v>125</v>
      </c>
      <c r="AH3565">
        <v>0</v>
      </c>
      <c r="AK3565">
        <v>0</v>
      </c>
    </row>
    <row r="3566" spans="1:37" x14ac:dyDescent="0.25">
      <c r="A3566" t="s">
        <v>79</v>
      </c>
      <c r="B3566">
        <v>14</v>
      </c>
      <c r="C3566">
        <v>2</v>
      </c>
      <c r="D3566">
        <v>1</v>
      </c>
      <c r="E3566">
        <v>7</v>
      </c>
      <c r="G3566">
        <v>1421</v>
      </c>
      <c r="H3566" t="s">
        <v>4575</v>
      </c>
      <c r="I3566" t="s">
        <v>123</v>
      </c>
      <c r="J3566" t="s">
        <v>4613</v>
      </c>
      <c r="L3566">
        <v>0</v>
      </c>
      <c r="M3566" t="s">
        <v>125</v>
      </c>
      <c r="O3566" t="s">
        <v>125</v>
      </c>
      <c r="P3566" t="s">
        <v>125</v>
      </c>
      <c r="Q3566" t="s">
        <v>125</v>
      </c>
      <c r="R3566" t="s">
        <v>125</v>
      </c>
      <c r="S3566" t="s">
        <v>125</v>
      </c>
      <c r="T3566">
        <v>735</v>
      </c>
      <c r="V3566" t="s">
        <v>125</v>
      </c>
      <c r="AE3566" t="s">
        <v>125</v>
      </c>
      <c r="AF3566">
        <v>0</v>
      </c>
      <c r="AG3566" t="s">
        <v>125</v>
      </c>
      <c r="AH3566">
        <v>0</v>
      </c>
      <c r="AK3566">
        <v>0</v>
      </c>
    </row>
    <row r="3567" spans="1:37" x14ac:dyDescent="0.25">
      <c r="A3567" t="s">
        <v>79</v>
      </c>
      <c r="B3567">
        <v>14</v>
      </c>
      <c r="C3567">
        <v>2</v>
      </c>
      <c r="D3567">
        <v>1</v>
      </c>
      <c r="E3567">
        <v>8</v>
      </c>
      <c r="G3567">
        <v>1421</v>
      </c>
      <c r="H3567" t="s">
        <v>4575</v>
      </c>
      <c r="I3567" t="s">
        <v>126</v>
      </c>
      <c r="J3567" t="s">
        <v>4614</v>
      </c>
      <c r="L3567">
        <v>0</v>
      </c>
      <c r="M3567" t="s">
        <v>125</v>
      </c>
      <c r="O3567" t="s">
        <v>125</v>
      </c>
      <c r="P3567" t="s">
        <v>125</v>
      </c>
      <c r="Q3567" t="s">
        <v>125</v>
      </c>
      <c r="R3567" t="s">
        <v>125</v>
      </c>
      <c r="S3567" t="s">
        <v>125</v>
      </c>
      <c r="T3567">
        <v>735</v>
      </c>
      <c r="V3567" t="s">
        <v>125</v>
      </c>
      <c r="AE3567" t="s">
        <v>125</v>
      </c>
      <c r="AF3567">
        <v>0</v>
      </c>
      <c r="AG3567" t="s">
        <v>125</v>
      </c>
      <c r="AH3567">
        <v>0</v>
      </c>
      <c r="AK3567">
        <v>0</v>
      </c>
    </row>
    <row r="3568" spans="1:37" x14ac:dyDescent="0.25">
      <c r="A3568" t="s">
        <v>79</v>
      </c>
      <c r="B3568">
        <v>14</v>
      </c>
      <c r="C3568">
        <v>2</v>
      </c>
      <c r="D3568">
        <v>1</v>
      </c>
      <c r="E3568">
        <v>9</v>
      </c>
      <c r="G3568">
        <v>1421</v>
      </c>
      <c r="H3568" t="s">
        <v>4575</v>
      </c>
      <c r="I3568" t="s">
        <v>74</v>
      </c>
      <c r="J3568" t="s">
        <v>4615</v>
      </c>
      <c r="L3568">
        <v>0</v>
      </c>
      <c r="M3568" t="s">
        <v>125</v>
      </c>
      <c r="O3568" t="s">
        <v>125</v>
      </c>
      <c r="P3568" t="s">
        <v>125</v>
      </c>
      <c r="Q3568" t="s">
        <v>125</v>
      </c>
      <c r="R3568" t="s">
        <v>125</v>
      </c>
      <c r="S3568" t="s">
        <v>125</v>
      </c>
      <c r="T3568">
        <v>735</v>
      </c>
      <c r="V3568" t="s">
        <v>125</v>
      </c>
      <c r="AE3568" t="s">
        <v>125</v>
      </c>
      <c r="AF3568">
        <v>0</v>
      </c>
      <c r="AG3568" t="s">
        <v>125</v>
      </c>
      <c r="AH3568">
        <v>0</v>
      </c>
      <c r="AK3568">
        <v>0</v>
      </c>
    </row>
    <row r="3569" spans="1:37" x14ac:dyDescent="0.25">
      <c r="A3569" t="s">
        <v>79</v>
      </c>
      <c r="B3569">
        <v>14</v>
      </c>
      <c r="C3569">
        <v>2</v>
      </c>
      <c r="D3569">
        <v>1</v>
      </c>
      <c r="E3569">
        <v>10</v>
      </c>
      <c r="G3569">
        <v>1421</v>
      </c>
      <c r="H3569" t="s">
        <v>4575</v>
      </c>
      <c r="I3569" t="s">
        <v>129</v>
      </c>
      <c r="J3569" t="s">
        <v>4616</v>
      </c>
      <c r="L3569">
        <v>0</v>
      </c>
      <c r="M3569" t="s">
        <v>125</v>
      </c>
      <c r="O3569" t="s">
        <v>125</v>
      </c>
      <c r="P3569" t="s">
        <v>125</v>
      </c>
      <c r="Q3569" t="s">
        <v>125</v>
      </c>
      <c r="R3569" t="s">
        <v>125</v>
      </c>
      <c r="S3569" t="s">
        <v>125</v>
      </c>
      <c r="T3569">
        <v>735</v>
      </c>
      <c r="V3569" t="s">
        <v>125</v>
      </c>
      <c r="AE3569" t="s">
        <v>125</v>
      </c>
      <c r="AF3569">
        <v>0</v>
      </c>
      <c r="AG3569" t="s">
        <v>125</v>
      </c>
      <c r="AH3569">
        <v>0</v>
      </c>
      <c r="AK3569">
        <v>0</v>
      </c>
    </row>
    <row r="3570" spans="1:37" x14ac:dyDescent="0.25">
      <c r="A3570" t="s">
        <v>79</v>
      </c>
      <c r="B3570">
        <v>14</v>
      </c>
      <c r="C3570">
        <v>2</v>
      </c>
      <c r="D3570">
        <v>1</v>
      </c>
      <c r="E3570">
        <v>11</v>
      </c>
      <c r="G3570">
        <v>1421</v>
      </c>
      <c r="H3570" t="s">
        <v>4575</v>
      </c>
      <c r="I3570" t="s">
        <v>131</v>
      </c>
      <c r="J3570" t="s">
        <v>4617</v>
      </c>
      <c r="L3570">
        <v>0</v>
      </c>
      <c r="M3570" t="s">
        <v>125</v>
      </c>
      <c r="O3570" t="s">
        <v>125</v>
      </c>
      <c r="P3570" t="s">
        <v>125</v>
      </c>
      <c r="Q3570" t="s">
        <v>125</v>
      </c>
      <c r="R3570" t="s">
        <v>125</v>
      </c>
      <c r="S3570" t="s">
        <v>125</v>
      </c>
      <c r="T3570">
        <v>735</v>
      </c>
      <c r="V3570" t="s">
        <v>125</v>
      </c>
      <c r="AE3570" t="s">
        <v>125</v>
      </c>
      <c r="AF3570">
        <v>0</v>
      </c>
      <c r="AG3570" t="s">
        <v>125</v>
      </c>
      <c r="AH3570">
        <v>0</v>
      </c>
      <c r="AK3570">
        <v>0</v>
      </c>
    </row>
    <row r="3571" spans="1:37" x14ac:dyDescent="0.25">
      <c r="A3571" t="s">
        <v>79</v>
      </c>
      <c r="B3571">
        <v>14</v>
      </c>
      <c r="C3571">
        <v>2</v>
      </c>
      <c r="D3571">
        <v>1</v>
      </c>
      <c r="E3571">
        <v>12</v>
      </c>
      <c r="G3571">
        <v>1421</v>
      </c>
      <c r="H3571" t="s">
        <v>4575</v>
      </c>
      <c r="I3571" t="s">
        <v>133</v>
      </c>
      <c r="J3571" t="s">
        <v>4618</v>
      </c>
      <c r="L3571">
        <v>0</v>
      </c>
      <c r="M3571" t="s">
        <v>125</v>
      </c>
      <c r="O3571" t="s">
        <v>125</v>
      </c>
      <c r="P3571" t="s">
        <v>125</v>
      </c>
      <c r="Q3571" t="s">
        <v>125</v>
      </c>
      <c r="R3571" t="s">
        <v>125</v>
      </c>
      <c r="S3571" t="s">
        <v>125</v>
      </c>
      <c r="T3571">
        <v>735</v>
      </c>
      <c r="V3571" t="s">
        <v>125</v>
      </c>
      <c r="AE3571" t="s">
        <v>125</v>
      </c>
      <c r="AF3571">
        <v>0</v>
      </c>
      <c r="AG3571" t="s">
        <v>125</v>
      </c>
      <c r="AH3571">
        <v>0</v>
      </c>
      <c r="AK3571">
        <v>0</v>
      </c>
    </row>
    <row r="3572" spans="1:37" x14ac:dyDescent="0.25">
      <c r="A3572" t="s">
        <v>79</v>
      </c>
      <c r="B3572">
        <v>14</v>
      </c>
      <c r="C3572">
        <v>2</v>
      </c>
      <c r="D3572">
        <v>1</v>
      </c>
      <c r="E3572">
        <v>13</v>
      </c>
      <c r="G3572">
        <v>1421</v>
      </c>
      <c r="H3572" t="s">
        <v>4575</v>
      </c>
      <c r="I3572" t="s">
        <v>135</v>
      </c>
      <c r="J3572" t="s">
        <v>4619</v>
      </c>
      <c r="L3572">
        <v>0</v>
      </c>
      <c r="M3572" t="s">
        <v>125</v>
      </c>
      <c r="O3572" t="s">
        <v>125</v>
      </c>
      <c r="P3572" t="s">
        <v>125</v>
      </c>
      <c r="Q3572" t="s">
        <v>125</v>
      </c>
      <c r="R3572" t="s">
        <v>125</v>
      </c>
      <c r="S3572" t="s">
        <v>125</v>
      </c>
      <c r="T3572">
        <v>735</v>
      </c>
      <c r="V3572" t="s">
        <v>125</v>
      </c>
      <c r="AE3572" t="s">
        <v>125</v>
      </c>
      <c r="AF3572">
        <v>0</v>
      </c>
      <c r="AG3572" t="s">
        <v>125</v>
      </c>
      <c r="AH3572">
        <v>0</v>
      </c>
      <c r="AK3572">
        <v>0</v>
      </c>
    </row>
    <row r="3573" spans="1:37" x14ac:dyDescent="0.25">
      <c r="A3573" t="s">
        <v>79</v>
      </c>
      <c r="B3573">
        <v>14</v>
      </c>
      <c r="C3573">
        <v>2</v>
      </c>
      <c r="D3573">
        <v>1</v>
      </c>
      <c r="E3573">
        <v>14</v>
      </c>
      <c r="G3573">
        <v>1421</v>
      </c>
      <c r="H3573" t="s">
        <v>4575</v>
      </c>
      <c r="I3573" t="s">
        <v>137</v>
      </c>
      <c r="J3573" t="s">
        <v>4620</v>
      </c>
      <c r="L3573">
        <v>0</v>
      </c>
      <c r="M3573" t="s">
        <v>125</v>
      </c>
      <c r="O3573" t="s">
        <v>125</v>
      </c>
      <c r="P3573" t="s">
        <v>125</v>
      </c>
      <c r="Q3573" t="s">
        <v>125</v>
      </c>
      <c r="R3573" t="s">
        <v>125</v>
      </c>
      <c r="S3573" t="s">
        <v>125</v>
      </c>
      <c r="T3573">
        <v>735</v>
      </c>
      <c r="V3573" t="s">
        <v>125</v>
      </c>
      <c r="AE3573" t="s">
        <v>125</v>
      </c>
      <c r="AF3573">
        <v>0</v>
      </c>
      <c r="AG3573" t="s">
        <v>125</v>
      </c>
      <c r="AH3573">
        <v>0</v>
      </c>
      <c r="AK3573">
        <v>0</v>
      </c>
    </row>
    <row r="3574" spans="1:37" x14ac:dyDescent="0.25">
      <c r="A3574" t="s">
        <v>79</v>
      </c>
      <c r="B3574">
        <v>14</v>
      </c>
      <c r="C3574">
        <v>2</v>
      </c>
      <c r="D3574">
        <v>1</v>
      </c>
      <c r="E3574">
        <v>15</v>
      </c>
      <c r="G3574">
        <v>1421</v>
      </c>
      <c r="H3574" t="s">
        <v>4575</v>
      </c>
      <c r="I3574" t="s">
        <v>139</v>
      </c>
      <c r="J3574" t="s">
        <v>4621</v>
      </c>
      <c r="L3574">
        <v>0</v>
      </c>
      <c r="M3574" t="s">
        <v>125</v>
      </c>
      <c r="O3574" t="s">
        <v>125</v>
      </c>
      <c r="P3574" t="s">
        <v>125</v>
      </c>
      <c r="Q3574" t="s">
        <v>125</v>
      </c>
      <c r="R3574" t="s">
        <v>125</v>
      </c>
      <c r="S3574" t="s">
        <v>125</v>
      </c>
      <c r="T3574">
        <v>735</v>
      </c>
      <c r="V3574" t="s">
        <v>125</v>
      </c>
      <c r="AE3574" t="s">
        <v>125</v>
      </c>
      <c r="AF3574">
        <v>0</v>
      </c>
      <c r="AG3574" t="s">
        <v>125</v>
      </c>
      <c r="AH3574">
        <v>0</v>
      </c>
      <c r="AK3574">
        <v>0</v>
      </c>
    </row>
    <row r="3575" spans="1:37" x14ac:dyDescent="0.25">
      <c r="L3575">
        <v>0</v>
      </c>
    </row>
    <row r="3576" spans="1:37" x14ac:dyDescent="0.25">
      <c r="A3576" t="s">
        <v>70</v>
      </c>
      <c r="B3576">
        <v>14</v>
      </c>
      <c r="C3576">
        <v>2</v>
      </c>
      <c r="D3576">
        <v>2</v>
      </c>
      <c r="G3576">
        <v>142</v>
      </c>
      <c r="M3576" t="s">
        <v>4622</v>
      </c>
      <c r="O3576" t="s">
        <v>4623</v>
      </c>
      <c r="P3576" t="s">
        <v>4624</v>
      </c>
      <c r="Q3576" t="s">
        <v>4625</v>
      </c>
      <c r="R3576" t="s">
        <v>179</v>
      </c>
      <c r="S3576" t="s">
        <v>4626</v>
      </c>
      <c r="V3576" t="s">
        <v>4627</v>
      </c>
      <c r="X3576" t="s">
        <v>4628</v>
      </c>
      <c r="Y3576" t="s">
        <v>4629</v>
      </c>
      <c r="Z3576" t="s">
        <v>4630</v>
      </c>
      <c r="AA3576" t="s">
        <v>4631</v>
      </c>
      <c r="AB3576" t="s">
        <v>63</v>
      </c>
      <c r="AC3576" t="s">
        <v>63</v>
      </c>
      <c r="AE3576" t="s">
        <v>4632</v>
      </c>
      <c r="AF3576">
        <v>0</v>
      </c>
      <c r="AG3576" t="s">
        <v>4633</v>
      </c>
      <c r="AH3576">
        <v>0</v>
      </c>
      <c r="AK3576">
        <v>0</v>
      </c>
    </row>
    <row r="3577" spans="1:37" x14ac:dyDescent="0.25">
      <c r="A3577" t="s">
        <v>79</v>
      </c>
      <c r="B3577">
        <v>14</v>
      </c>
      <c r="C3577">
        <v>2</v>
      </c>
      <c r="D3577">
        <v>2</v>
      </c>
      <c r="E3577">
        <v>1</v>
      </c>
      <c r="G3577">
        <v>1422</v>
      </c>
      <c r="H3577" t="s">
        <v>4623</v>
      </c>
      <c r="I3577" t="s">
        <v>80</v>
      </c>
      <c r="J3577" t="s">
        <v>4634</v>
      </c>
      <c r="L3577">
        <v>0</v>
      </c>
      <c r="M3577" t="s">
        <v>4635</v>
      </c>
      <c r="O3577" t="s">
        <v>4636</v>
      </c>
      <c r="P3577" t="s">
        <v>4637</v>
      </c>
      <c r="Q3577" t="s">
        <v>4638</v>
      </c>
      <c r="R3577" t="s">
        <v>4639</v>
      </c>
      <c r="S3577" t="s">
        <v>4640</v>
      </c>
      <c r="T3577">
        <v>245</v>
      </c>
      <c r="U3577">
        <v>16</v>
      </c>
      <c r="V3577" t="s">
        <v>4641</v>
      </c>
      <c r="AE3577" t="s">
        <v>4642</v>
      </c>
      <c r="AF3577">
        <v>0</v>
      </c>
      <c r="AG3577" t="s">
        <v>4643</v>
      </c>
      <c r="AH3577">
        <v>0</v>
      </c>
      <c r="AK3577">
        <v>0</v>
      </c>
    </row>
    <row r="3578" spans="1:37" x14ac:dyDescent="0.25">
      <c r="A3578" t="s">
        <v>79</v>
      </c>
      <c r="B3578">
        <v>14</v>
      </c>
      <c r="C3578">
        <v>2</v>
      </c>
      <c r="D3578">
        <v>2</v>
      </c>
      <c r="E3578">
        <v>2</v>
      </c>
      <c r="G3578">
        <v>1422</v>
      </c>
      <c r="H3578" t="s">
        <v>4623</v>
      </c>
      <c r="I3578" t="s">
        <v>88</v>
      </c>
      <c r="J3578" t="s">
        <v>4644</v>
      </c>
      <c r="L3578">
        <v>0</v>
      </c>
      <c r="M3578" t="s">
        <v>4645</v>
      </c>
      <c r="O3578" t="s">
        <v>4646</v>
      </c>
      <c r="P3578" t="s">
        <v>4647</v>
      </c>
      <c r="Q3578" t="s">
        <v>57</v>
      </c>
      <c r="R3578" t="s">
        <v>179</v>
      </c>
      <c r="S3578" t="s">
        <v>4648</v>
      </c>
      <c r="T3578">
        <v>245</v>
      </c>
      <c r="U3578">
        <v>245</v>
      </c>
      <c r="V3578" t="s">
        <v>4648</v>
      </c>
      <c r="AE3578" t="s">
        <v>4649</v>
      </c>
      <c r="AF3578">
        <v>0</v>
      </c>
      <c r="AG3578" t="s">
        <v>4650</v>
      </c>
      <c r="AH3578">
        <v>0</v>
      </c>
      <c r="AK3578">
        <v>0</v>
      </c>
    </row>
    <row r="3579" spans="1:37" x14ac:dyDescent="0.25">
      <c r="A3579" t="s">
        <v>79</v>
      </c>
      <c r="B3579">
        <v>14</v>
      </c>
      <c r="C3579">
        <v>2</v>
      </c>
      <c r="D3579">
        <v>2</v>
      </c>
      <c r="E3579">
        <v>3</v>
      </c>
      <c r="G3579">
        <v>1422</v>
      </c>
      <c r="H3579" t="s">
        <v>4623</v>
      </c>
      <c r="I3579" t="s">
        <v>95</v>
      </c>
      <c r="J3579" t="s">
        <v>4651</v>
      </c>
      <c r="L3579">
        <v>0</v>
      </c>
      <c r="M3579" t="s">
        <v>4652</v>
      </c>
      <c r="O3579" t="s">
        <v>3495</v>
      </c>
      <c r="P3579" t="s">
        <v>3496</v>
      </c>
      <c r="Q3579" t="s">
        <v>4653</v>
      </c>
      <c r="R3579" t="s">
        <v>382</v>
      </c>
      <c r="S3579" t="s">
        <v>1054</v>
      </c>
      <c r="T3579">
        <v>245</v>
      </c>
      <c r="U3579">
        <v>1156</v>
      </c>
      <c r="V3579" t="s">
        <v>4654</v>
      </c>
      <c r="AE3579" t="s">
        <v>4655</v>
      </c>
      <c r="AF3579">
        <v>0</v>
      </c>
      <c r="AG3579" t="s">
        <v>4656</v>
      </c>
      <c r="AH3579">
        <v>0</v>
      </c>
      <c r="AK3579">
        <v>0</v>
      </c>
    </row>
    <row r="3580" spans="1:37" x14ac:dyDescent="0.25">
      <c r="A3580" t="s">
        <v>79</v>
      </c>
      <c r="B3580">
        <v>14</v>
      </c>
      <c r="C3580">
        <v>2</v>
      </c>
      <c r="D3580">
        <v>2</v>
      </c>
      <c r="E3580">
        <v>4</v>
      </c>
      <c r="G3580">
        <v>1422</v>
      </c>
      <c r="H3580" t="s">
        <v>4623</v>
      </c>
      <c r="I3580" t="s">
        <v>102</v>
      </c>
      <c r="J3580" t="s">
        <v>4657</v>
      </c>
      <c r="L3580">
        <v>0</v>
      </c>
      <c r="M3580" t="s">
        <v>4658</v>
      </c>
      <c r="O3580" t="s">
        <v>4659</v>
      </c>
      <c r="P3580" t="s">
        <v>4660</v>
      </c>
      <c r="Q3580" t="s">
        <v>4661</v>
      </c>
      <c r="R3580" t="s">
        <v>192</v>
      </c>
      <c r="S3580" t="s">
        <v>4662</v>
      </c>
      <c r="T3580">
        <v>245</v>
      </c>
      <c r="U3580">
        <v>539</v>
      </c>
      <c r="V3580" t="s">
        <v>4663</v>
      </c>
      <c r="AE3580" t="s">
        <v>4664</v>
      </c>
      <c r="AF3580">
        <v>0</v>
      </c>
      <c r="AG3580" t="s">
        <v>4665</v>
      </c>
      <c r="AH3580">
        <v>0</v>
      </c>
      <c r="AK3580">
        <v>0</v>
      </c>
    </row>
    <row r="3581" spans="1:37" x14ac:dyDescent="0.25">
      <c r="A3581" t="s">
        <v>79</v>
      </c>
      <c r="B3581">
        <v>14</v>
      </c>
      <c r="C3581">
        <v>2</v>
      </c>
      <c r="D3581">
        <v>2</v>
      </c>
      <c r="E3581">
        <v>5</v>
      </c>
      <c r="G3581">
        <v>1422</v>
      </c>
      <c r="H3581" t="s">
        <v>4623</v>
      </c>
      <c r="I3581" t="s">
        <v>109</v>
      </c>
      <c r="J3581" t="s">
        <v>4666</v>
      </c>
      <c r="L3581">
        <v>0</v>
      </c>
      <c r="M3581" t="s">
        <v>4667</v>
      </c>
      <c r="O3581" t="s">
        <v>1319</v>
      </c>
      <c r="P3581" t="s">
        <v>1320</v>
      </c>
      <c r="Q3581" t="s">
        <v>4668</v>
      </c>
      <c r="R3581" t="s">
        <v>229</v>
      </c>
      <c r="S3581" t="s">
        <v>1322</v>
      </c>
      <c r="T3581">
        <v>245</v>
      </c>
      <c r="U3581">
        <v>69</v>
      </c>
      <c r="V3581" t="s">
        <v>3989</v>
      </c>
      <c r="AE3581" t="s">
        <v>4669</v>
      </c>
      <c r="AF3581">
        <v>0</v>
      </c>
      <c r="AG3581" t="s">
        <v>4670</v>
      </c>
      <c r="AH3581">
        <v>0</v>
      </c>
      <c r="AK3581">
        <v>0</v>
      </c>
    </row>
    <row r="3582" spans="1:37" x14ac:dyDescent="0.25">
      <c r="A3582" t="s">
        <v>79</v>
      </c>
      <c r="B3582">
        <v>14</v>
      </c>
      <c r="C3582">
        <v>2</v>
      </c>
      <c r="D3582">
        <v>2</v>
      </c>
      <c r="E3582">
        <v>6</v>
      </c>
      <c r="G3582">
        <v>1422</v>
      </c>
      <c r="H3582" t="s">
        <v>4623</v>
      </c>
      <c r="I3582" t="s">
        <v>116</v>
      </c>
      <c r="J3582" t="s">
        <v>4671</v>
      </c>
      <c r="L3582">
        <v>0</v>
      </c>
      <c r="M3582" t="s">
        <v>4672</v>
      </c>
      <c r="O3582" t="s">
        <v>294</v>
      </c>
      <c r="P3582" t="s">
        <v>295</v>
      </c>
      <c r="Q3582" t="s">
        <v>3429</v>
      </c>
      <c r="R3582" t="s">
        <v>229</v>
      </c>
      <c r="S3582" t="s">
        <v>297</v>
      </c>
      <c r="T3582">
        <v>245</v>
      </c>
      <c r="U3582">
        <v>35</v>
      </c>
      <c r="V3582" t="s">
        <v>4673</v>
      </c>
      <c r="AE3582" t="s">
        <v>4674</v>
      </c>
      <c r="AF3582">
        <v>0</v>
      </c>
      <c r="AG3582" t="s">
        <v>4675</v>
      </c>
      <c r="AH3582">
        <v>0</v>
      </c>
      <c r="AK3582">
        <v>0</v>
      </c>
    </row>
    <row r="3583" spans="1:37" x14ac:dyDescent="0.25">
      <c r="A3583" t="s">
        <v>79</v>
      </c>
      <c r="B3583">
        <v>14</v>
      </c>
      <c r="C3583">
        <v>2</v>
      </c>
      <c r="D3583">
        <v>2</v>
      </c>
      <c r="E3583">
        <v>7</v>
      </c>
      <c r="G3583">
        <v>1422</v>
      </c>
      <c r="H3583" t="s">
        <v>4623</v>
      </c>
      <c r="I3583" t="s">
        <v>123</v>
      </c>
      <c r="J3583" t="s">
        <v>4676</v>
      </c>
      <c r="L3583">
        <v>0</v>
      </c>
      <c r="M3583" t="s">
        <v>125</v>
      </c>
      <c r="O3583" t="s">
        <v>125</v>
      </c>
      <c r="P3583" t="s">
        <v>125</v>
      </c>
      <c r="Q3583" t="s">
        <v>125</v>
      </c>
      <c r="R3583" t="s">
        <v>125</v>
      </c>
      <c r="S3583" t="s">
        <v>125</v>
      </c>
      <c r="T3583">
        <v>245</v>
      </c>
      <c r="V3583" t="s">
        <v>125</v>
      </c>
      <c r="AE3583" t="s">
        <v>125</v>
      </c>
      <c r="AF3583">
        <v>0</v>
      </c>
      <c r="AG3583" t="s">
        <v>125</v>
      </c>
      <c r="AH3583">
        <v>0</v>
      </c>
      <c r="AK3583">
        <v>0</v>
      </c>
    </row>
    <row r="3584" spans="1:37" x14ac:dyDescent="0.25">
      <c r="A3584" t="s">
        <v>79</v>
      </c>
      <c r="B3584">
        <v>14</v>
      </c>
      <c r="C3584">
        <v>2</v>
      </c>
      <c r="D3584">
        <v>2</v>
      </c>
      <c r="E3584">
        <v>8</v>
      </c>
      <c r="G3584">
        <v>1422</v>
      </c>
      <c r="H3584" t="s">
        <v>4623</v>
      </c>
      <c r="I3584" t="s">
        <v>126</v>
      </c>
      <c r="J3584" t="s">
        <v>4677</v>
      </c>
      <c r="L3584">
        <v>0</v>
      </c>
      <c r="M3584" t="s">
        <v>125</v>
      </c>
      <c r="O3584" t="s">
        <v>125</v>
      </c>
      <c r="P3584" t="s">
        <v>125</v>
      </c>
      <c r="Q3584" t="s">
        <v>125</v>
      </c>
      <c r="R3584" t="s">
        <v>125</v>
      </c>
      <c r="S3584" t="s">
        <v>125</v>
      </c>
      <c r="T3584">
        <v>245</v>
      </c>
      <c r="V3584" t="s">
        <v>125</v>
      </c>
      <c r="AE3584" t="s">
        <v>125</v>
      </c>
      <c r="AF3584">
        <v>0</v>
      </c>
      <c r="AG3584" t="s">
        <v>125</v>
      </c>
      <c r="AH3584">
        <v>0</v>
      </c>
      <c r="AK3584">
        <v>0</v>
      </c>
    </row>
    <row r="3585" spans="1:37" x14ac:dyDescent="0.25">
      <c r="A3585" t="s">
        <v>79</v>
      </c>
      <c r="B3585">
        <v>14</v>
      </c>
      <c r="C3585">
        <v>2</v>
      </c>
      <c r="D3585">
        <v>2</v>
      </c>
      <c r="E3585">
        <v>9</v>
      </c>
      <c r="G3585">
        <v>1422</v>
      </c>
      <c r="H3585" t="s">
        <v>4623</v>
      </c>
      <c r="I3585" t="s">
        <v>74</v>
      </c>
      <c r="J3585" t="s">
        <v>4678</v>
      </c>
      <c r="L3585">
        <v>0</v>
      </c>
      <c r="M3585" t="s">
        <v>125</v>
      </c>
      <c r="O3585" t="s">
        <v>125</v>
      </c>
      <c r="P3585" t="s">
        <v>125</v>
      </c>
      <c r="Q3585" t="s">
        <v>125</v>
      </c>
      <c r="R3585" t="s">
        <v>125</v>
      </c>
      <c r="S3585" t="s">
        <v>125</v>
      </c>
      <c r="T3585">
        <v>245</v>
      </c>
      <c r="V3585" t="s">
        <v>125</v>
      </c>
      <c r="AE3585" t="s">
        <v>125</v>
      </c>
      <c r="AF3585">
        <v>0</v>
      </c>
      <c r="AG3585" t="s">
        <v>125</v>
      </c>
      <c r="AH3585">
        <v>0</v>
      </c>
      <c r="AK3585">
        <v>0</v>
      </c>
    </row>
    <row r="3586" spans="1:37" x14ac:dyDescent="0.25">
      <c r="A3586" t="s">
        <v>79</v>
      </c>
      <c r="B3586">
        <v>14</v>
      </c>
      <c r="C3586">
        <v>2</v>
      </c>
      <c r="D3586">
        <v>2</v>
      </c>
      <c r="E3586">
        <v>10</v>
      </c>
      <c r="G3586">
        <v>1422</v>
      </c>
      <c r="H3586" t="s">
        <v>4623</v>
      </c>
      <c r="I3586" t="s">
        <v>129</v>
      </c>
      <c r="J3586" t="s">
        <v>4679</v>
      </c>
      <c r="L3586">
        <v>0</v>
      </c>
      <c r="M3586" t="s">
        <v>125</v>
      </c>
      <c r="O3586" t="s">
        <v>125</v>
      </c>
      <c r="P3586" t="s">
        <v>125</v>
      </c>
      <c r="Q3586" t="s">
        <v>125</v>
      </c>
      <c r="R3586" t="s">
        <v>125</v>
      </c>
      <c r="S3586" t="s">
        <v>125</v>
      </c>
      <c r="T3586">
        <v>245</v>
      </c>
      <c r="V3586" t="s">
        <v>125</v>
      </c>
      <c r="AE3586" t="s">
        <v>125</v>
      </c>
      <c r="AF3586">
        <v>0</v>
      </c>
      <c r="AG3586" t="s">
        <v>125</v>
      </c>
      <c r="AH3586">
        <v>0</v>
      </c>
      <c r="AK3586">
        <v>0</v>
      </c>
    </row>
    <row r="3587" spans="1:37" x14ac:dyDescent="0.25">
      <c r="A3587" t="s">
        <v>79</v>
      </c>
      <c r="B3587">
        <v>14</v>
      </c>
      <c r="C3587">
        <v>2</v>
      </c>
      <c r="D3587">
        <v>2</v>
      </c>
      <c r="E3587">
        <v>11</v>
      </c>
      <c r="G3587">
        <v>1422</v>
      </c>
      <c r="H3587" t="s">
        <v>4623</v>
      </c>
      <c r="I3587" t="s">
        <v>131</v>
      </c>
      <c r="J3587" t="s">
        <v>4680</v>
      </c>
      <c r="L3587">
        <v>0</v>
      </c>
      <c r="M3587" t="s">
        <v>125</v>
      </c>
      <c r="O3587" t="s">
        <v>125</v>
      </c>
      <c r="P3587" t="s">
        <v>125</v>
      </c>
      <c r="Q3587" t="s">
        <v>125</v>
      </c>
      <c r="R3587" t="s">
        <v>125</v>
      </c>
      <c r="S3587" t="s">
        <v>125</v>
      </c>
      <c r="T3587">
        <v>245</v>
      </c>
      <c r="V3587" t="s">
        <v>125</v>
      </c>
      <c r="AE3587" t="s">
        <v>125</v>
      </c>
      <c r="AF3587">
        <v>0</v>
      </c>
      <c r="AG3587" t="s">
        <v>125</v>
      </c>
      <c r="AH3587">
        <v>0</v>
      </c>
      <c r="AK3587">
        <v>0</v>
      </c>
    </row>
    <row r="3588" spans="1:37" x14ac:dyDescent="0.25">
      <c r="A3588" t="s">
        <v>79</v>
      </c>
      <c r="B3588">
        <v>14</v>
      </c>
      <c r="C3588">
        <v>2</v>
      </c>
      <c r="D3588">
        <v>2</v>
      </c>
      <c r="E3588">
        <v>12</v>
      </c>
      <c r="G3588">
        <v>1422</v>
      </c>
      <c r="H3588" t="s">
        <v>4623</v>
      </c>
      <c r="I3588" t="s">
        <v>133</v>
      </c>
      <c r="J3588" t="s">
        <v>4681</v>
      </c>
      <c r="L3588">
        <v>0</v>
      </c>
      <c r="M3588" t="s">
        <v>125</v>
      </c>
      <c r="O3588" t="s">
        <v>125</v>
      </c>
      <c r="P3588" t="s">
        <v>125</v>
      </c>
      <c r="Q3588" t="s">
        <v>125</v>
      </c>
      <c r="R3588" t="s">
        <v>125</v>
      </c>
      <c r="S3588" t="s">
        <v>125</v>
      </c>
      <c r="T3588">
        <v>245</v>
      </c>
      <c r="V3588" t="s">
        <v>125</v>
      </c>
      <c r="AE3588" t="s">
        <v>125</v>
      </c>
      <c r="AF3588">
        <v>0</v>
      </c>
      <c r="AG3588" t="s">
        <v>125</v>
      </c>
      <c r="AH3588">
        <v>0</v>
      </c>
      <c r="AK3588">
        <v>0</v>
      </c>
    </row>
    <row r="3589" spans="1:37" x14ac:dyDescent="0.25">
      <c r="A3589" t="s">
        <v>79</v>
      </c>
      <c r="B3589">
        <v>14</v>
      </c>
      <c r="C3589">
        <v>2</v>
      </c>
      <c r="D3589">
        <v>2</v>
      </c>
      <c r="E3589">
        <v>13</v>
      </c>
      <c r="G3589">
        <v>1422</v>
      </c>
      <c r="H3589" t="s">
        <v>4623</v>
      </c>
      <c r="I3589" t="s">
        <v>135</v>
      </c>
      <c r="J3589" t="s">
        <v>4682</v>
      </c>
      <c r="L3589">
        <v>0</v>
      </c>
      <c r="M3589" t="s">
        <v>125</v>
      </c>
      <c r="O3589" t="s">
        <v>125</v>
      </c>
      <c r="P3589" t="s">
        <v>125</v>
      </c>
      <c r="Q3589" t="s">
        <v>125</v>
      </c>
      <c r="R3589" t="s">
        <v>125</v>
      </c>
      <c r="S3589" t="s">
        <v>125</v>
      </c>
      <c r="T3589">
        <v>245</v>
      </c>
      <c r="V3589" t="s">
        <v>125</v>
      </c>
      <c r="AE3589" t="s">
        <v>125</v>
      </c>
      <c r="AF3589">
        <v>0</v>
      </c>
      <c r="AG3589" t="s">
        <v>125</v>
      </c>
      <c r="AH3589">
        <v>0</v>
      </c>
      <c r="AK3589">
        <v>0</v>
      </c>
    </row>
    <row r="3590" spans="1:37" x14ac:dyDescent="0.25">
      <c r="A3590" t="s">
        <v>79</v>
      </c>
      <c r="B3590">
        <v>14</v>
      </c>
      <c r="C3590">
        <v>2</v>
      </c>
      <c r="D3590">
        <v>2</v>
      </c>
      <c r="E3590">
        <v>14</v>
      </c>
      <c r="G3590">
        <v>1422</v>
      </c>
      <c r="H3590" t="s">
        <v>4623</v>
      </c>
      <c r="I3590" t="s">
        <v>137</v>
      </c>
      <c r="J3590" t="s">
        <v>4683</v>
      </c>
      <c r="L3590">
        <v>0</v>
      </c>
      <c r="M3590" t="s">
        <v>125</v>
      </c>
      <c r="O3590" t="s">
        <v>125</v>
      </c>
      <c r="P3590" t="s">
        <v>125</v>
      </c>
      <c r="Q3590" t="s">
        <v>125</v>
      </c>
      <c r="R3590" t="s">
        <v>125</v>
      </c>
      <c r="S3590" t="s">
        <v>125</v>
      </c>
      <c r="T3590">
        <v>245</v>
      </c>
      <c r="V3590" t="s">
        <v>125</v>
      </c>
      <c r="AE3590" t="s">
        <v>125</v>
      </c>
      <c r="AF3590">
        <v>0</v>
      </c>
      <c r="AG3590" t="s">
        <v>125</v>
      </c>
      <c r="AH3590">
        <v>0</v>
      </c>
      <c r="AK3590">
        <v>0</v>
      </c>
    </row>
    <row r="3591" spans="1:37" x14ac:dyDescent="0.25">
      <c r="A3591" t="s">
        <v>79</v>
      </c>
      <c r="B3591">
        <v>14</v>
      </c>
      <c r="C3591">
        <v>2</v>
      </c>
      <c r="D3591">
        <v>2</v>
      </c>
      <c r="E3591">
        <v>15</v>
      </c>
      <c r="G3591">
        <v>1422</v>
      </c>
      <c r="H3591" t="s">
        <v>4623</v>
      </c>
      <c r="I3591" t="s">
        <v>139</v>
      </c>
      <c r="J3591" t="s">
        <v>4684</v>
      </c>
      <c r="L3591">
        <v>0</v>
      </c>
      <c r="M3591" t="s">
        <v>125</v>
      </c>
      <c r="O3591" t="s">
        <v>125</v>
      </c>
      <c r="P3591" t="s">
        <v>125</v>
      </c>
      <c r="Q3591" t="s">
        <v>125</v>
      </c>
      <c r="R3591" t="s">
        <v>125</v>
      </c>
      <c r="S3591" t="s">
        <v>125</v>
      </c>
      <c r="T3591">
        <v>245</v>
      </c>
      <c r="V3591" t="s">
        <v>125</v>
      </c>
      <c r="AE3591" t="s">
        <v>125</v>
      </c>
      <c r="AF3591">
        <v>0</v>
      </c>
      <c r="AG3591" t="s">
        <v>125</v>
      </c>
      <c r="AH3591">
        <v>0</v>
      </c>
      <c r="AK3591">
        <v>0</v>
      </c>
    </row>
    <row r="3592" spans="1:37" x14ac:dyDescent="0.25">
      <c r="L3592">
        <v>0</v>
      </c>
    </row>
    <row r="3593" spans="1:37" x14ac:dyDescent="0.25">
      <c r="A3593" t="s">
        <v>70</v>
      </c>
      <c r="B3593">
        <v>14</v>
      </c>
      <c r="C3593">
        <v>2</v>
      </c>
      <c r="D3593">
        <v>3</v>
      </c>
      <c r="G3593">
        <v>142</v>
      </c>
      <c r="M3593" t="s">
        <v>4685</v>
      </c>
      <c r="O3593" t="s">
        <v>4686</v>
      </c>
      <c r="P3593" t="s">
        <v>4687</v>
      </c>
      <c r="Q3593" t="s">
        <v>4688</v>
      </c>
      <c r="R3593" t="s">
        <v>179</v>
      </c>
      <c r="S3593" t="s">
        <v>4689</v>
      </c>
      <c r="V3593" t="s">
        <v>4690</v>
      </c>
      <c r="X3593" t="s">
        <v>4691</v>
      </c>
      <c r="Y3593" t="s">
        <v>4692</v>
      </c>
      <c r="Z3593" t="s">
        <v>4693</v>
      </c>
      <c r="AA3593" t="s">
        <v>4694</v>
      </c>
      <c r="AB3593" t="s">
        <v>63</v>
      </c>
      <c r="AC3593" t="s">
        <v>63</v>
      </c>
      <c r="AE3593" t="s">
        <v>4695</v>
      </c>
      <c r="AF3593">
        <v>0</v>
      </c>
      <c r="AG3593" t="s">
        <v>4696</v>
      </c>
      <c r="AH3593">
        <v>0</v>
      </c>
      <c r="AK3593">
        <v>0</v>
      </c>
    </row>
    <row r="3594" spans="1:37" x14ac:dyDescent="0.25">
      <c r="A3594" t="s">
        <v>79</v>
      </c>
      <c r="B3594">
        <v>14</v>
      </c>
      <c r="C3594">
        <v>2</v>
      </c>
      <c r="D3594">
        <v>3</v>
      </c>
      <c r="E3594">
        <v>1</v>
      </c>
      <c r="G3594">
        <v>1423</v>
      </c>
      <c r="H3594" t="s">
        <v>4686</v>
      </c>
      <c r="I3594" t="s">
        <v>80</v>
      </c>
      <c r="J3594" t="s">
        <v>4697</v>
      </c>
      <c r="L3594">
        <v>0</v>
      </c>
      <c r="M3594" t="s">
        <v>4698</v>
      </c>
      <c r="O3594" t="s">
        <v>4699</v>
      </c>
      <c r="P3594" t="s">
        <v>4700</v>
      </c>
      <c r="Q3594" t="s">
        <v>4701</v>
      </c>
      <c r="R3594" t="s">
        <v>382</v>
      </c>
      <c r="S3594" t="s">
        <v>1086</v>
      </c>
      <c r="T3594">
        <v>127</v>
      </c>
      <c r="U3594">
        <v>1168</v>
      </c>
      <c r="V3594" t="s">
        <v>4702</v>
      </c>
      <c r="AE3594" t="s">
        <v>4703</v>
      </c>
      <c r="AF3594">
        <v>0</v>
      </c>
      <c r="AG3594" t="s">
        <v>4704</v>
      </c>
      <c r="AH3594">
        <v>0</v>
      </c>
      <c r="AK3594">
        <v>0</v>
      </c>
    </row>
    <row r="3595" spans="1:37" x14ac:dyDescent="0.25">
      <c r="A3595" t="s">
        <v>79</v>
      </c>
      <c r="B3595">
        <v>14</v>
      </c>
      <c r="C3595">
        <v>2</v>
      </c>
      <c r="D3595">
        <v>3</v>
      </c>
      <c r="E3595">
        <v>2</v>
      </c>
      <c r="G3595">
        <v>1423</v>
      </c>
      <c r="H3595" t="s">
        <v>4686</v>
      </c>
      <c r="I3595" t="s">
        <v>88</v>
      </c>
      <c r="J3595" t="s">
        <v>4705</v>
      </c>
      <c r="L3595">
        <v>0</v>
      </c>
      <c r="M3595" t="s">
        <v>4706</v>
      </c>
      <c r="O3595" t="s">
        <v>4707</v>
      </c>
      <c r="P3595" t="s">
        <v>4708</v>
      </c>
      <c r="Q3595" t="s">
        <v>4709</v>
      </c>
      <c r="R3595" t="s">
        <v>382</v>
      </c>
      <c r="S3595" t="s">
        <v>4710</v>
      </c>
      <c r="T3595">
        <v>127</v>
      </c>
      <c r="U3595">
        <v>106</v>
      </c>
      <c r="V3595" t="s">
        <v>4711</v>
      </c>
      <c r="AE3595" t="s">
        <v>4712</v>
      </c>
      <c r="AF3595">
        <v>0</v>
      </c>
      <c r="AG3595" t="s">
        <v>4713</v>
      </c>
      <c r="AH3595">
        <v>0</v>
      </c>
      <c r="AK3595">
        <v>0</v>
      </c>
    </row>
    <row r="3596" spans="1:37" x14ac:dyDescent="0.25">
      <c r="A3596" t="s">
        <v>79</v>
      </c>
      <c r="B3596">
        <v>14</v>
      </c>
      <c r="C3596">
        <v>2</v>
      </c>
      <c r="D3596">
        <v>3</v>
      </c>
      <c r="E3596">
        <v>3</v>
      </c>
      <c r="G3596">
        <v>1423</v>
      </c>
      <c r="H3596" t="s">
        <v>4686</v>
      </c>
      <c r="I3596" t="s">
        <v>95</v>
      </c>
      <c r="J3596" t="s">
        <v>4714</v>
      </c>
      <c r="L3596">
        <v>0</v>
      </c>
      <c r="M3596" t="s">
        <v>4715</v>
      </c>
      <c r="O3596" t="s">
        <v>4716</v>
      </c>
      <c r="P3596" t="s">
        <v>4717</v>
      </c>
      <c r="Q3596" t="s">
        <v>4718</v>
      </c>
      <c r="R3596" t="s">
        <v>382</v>
      </c>
      <c r="S3596" t="s">
        <v>2205</v>
      </c>
      <c r="T3596">
        <v>127</v>
      </c>
      <c r="U3596">
        <v>79</v>
      </c>
      <c r="V3596" t="s">
        <v>4719</v>
      </c>
      <c r="AE3596" t="s">
        <v>4720</v>
      </c>
      <c r="AF3596">
        <v>0</v>
      </c>
      <c r="AG3596" t="s">
        <v>4721</v>
      </c>
      <c r="AH3596">
        <v>0</v>
      </c>
      <c r="AK3596">
        <v>0</v>
      </c>
    </row>
    <row r="3597" spans="1:37" x14ac:dyDescent="0.25">
      <c r="A3597" t="s">
        <v>79</v>
      </c>
      <c r="B3597">
        <v>14</v>
      </c>
      <c r="C3597">
        <v>2</v>
      </c>
      <c r="D3597">
        <v>3</v>
      </c>
      <c r="E3597">
        <v>4</v>
      </c>
      <c r="G3597">
        <v>1423</v>
      </c>
      <c r="H3597" t="s">
        <v>4686</v>
      </c>
      <c r="I3597" t="s">
        <v>102</v>
      </c>
      <c r="J3597" t="s">
        <v>4722</v>
      </c>
      <c r="L3597">
        <v>0</v>
      </c>
      <c r="M3597" t="s">
        <v>4723</v>
      </c>
      <c r="O3597" t="s">
        <v>1319</v>
      </c>
      <c r="P3597" t="s">
        <v>1320</v>
      </c>
      <c r="Q3597" t="s">
        <v>2196</v>
      </c>
      <c r="R3597" t="s">
        <v>229</v>
      </c>
      <c r="S3597" t="s">
        <v>1322</v>
      </c>
      <c r="T3597">
        <v>127</v>
      </c>
      <c r="U3597">
        <v>66</v>
      </c>
      <c r="V3597" t="s">
        <v>4724</v>
      </c>
      <c r="AE3597" t="s">
        <v>4725</v>
      </c>
      <c r="AF3597">
        <v>0</v>
      </c>
      <c r="AG3597" t="s">
        <v>4726</v>
      </c>
      <c r="AH3597">
        <v>0</v>
      </c>
      <c r="AK3597">
        <v>0</v>
      </c>
    </row>
    <row r="3598" spans="1:37" x14ac:dyDescent="0.25">
      <c r="A3598" t="s">
        <v>79</v>
      </c>
      <c r="B3598">
        <v>14</v>
      </c>
      <c r="C3598">
        <v>2</v>
      </c>
      <c r="D3598">
        <v>3</v>
      </c>
      <c r="E3598">
        <v>5</v>
      </c>
      <c r="G3598">
        <v>1423</v>
      </c>
      <c r="H3598" t="s">
        <v>4686</v>
      </c>
      <c r="I3598" t="s">
        <v>109</v>
      </c>
      <c r="J3598" t="s">
        <v>4727</v>
      </c>
      <c r="L3598">
        <v>0</v>
      </c>
      <c r="M3598" t="s">
        <v>4728</v>
      </c>
      <c r="O3598" t="s">
        <v>294</v>
      </c>
      <c r="P3598" t="s">
        <v>295</v>
      </c>
      <c r="Q3598" t="s">
        <v>4729</v>
      </c>
      <c r="R3598" t="s">
        <v>229</v>
      </c>
      <c r="S3598" t="s">
        <v>297</v>
      </c>
      <c r="T3598">
        <v>127</v>
      </c>
      <c r="U3598">
        <v>33</v>
      </c>
      <c r="V3598" t="s">
        <v>4730</v>
      </c>
      <c r="AE3598" t="s">
        <v>4731</v>
      </c>
      <c r="AF3598">
        <v>0</v>
      </c>
      <c r="AG3598" t="s">
        <v>4732</v>
      </c>
      <c r="AH3598">
        <v>0</v>
      </c>
      <c r="AK3598">
        <v>0</v>
      </c>
    </row>
    <row r="3599" spans="1:37" x14ac:dyDescent="0.25">
      <c r="A3599" t="s">
        <v>79</v>
      </c>
      <c r="B3599">
        <v>14</v>
      </c>
      <c r="C3599">
        <v>2</v>
      </c>
      <c r="D3599">
        <v>3</v>
      </c>
      <c r="E3599">
        <v>6</v>
      </c>
      <c r="G3599">
        <v>1423</v>
      </c>
      <c r="H3599" t="s">
        <v>4686</v>
      </c>
      <c r="I3599" t="s">
        <v>116</v>
      </c>
      <c r="J3599" t="s">
        <v>4733</v>
      </c>
      <c r="L3599">
        <v>0</v>
      </c>
      <c r="M3599" t="s">
        <v>125</v>
      </c>
      <c r="O3599" t="s">
        <v>125</v>
      </c>
      <c r="P3599" t="s">
        <v>125</v>
      </c>
      <c r="Q3599" t="s">
        <v>125</v>
      </c>
      <c r="R3599" t="s">
        <v>125</v>
      </c>
      <c r="S3599" t="s">
        <v>125</v>
      </c>
      <c r="T3599">
        <v>127</v>
      </c>
      <c r="V3599" t="s">
        <v>125</v>
      </c>
      <c r="AE3599" t="s">
        <v>125</v>
      </c>
      <c r="AF3599">
        <v>0</v>
      </c>
      <c r="AG3599" t="s">
        <v>125</v>
      </c>
      <c r="AH3599">
        <v>0</v>
      </c>
      <c r="AK3599">
        <v>0</v>
      </c>
    </row>
    <row r="3600" spans="1:37" x14ac:dyDescent="0.25">
      <c r="A3600" t="s">
        <v>79</v>
      </c>
      <c r="B3600">
        <v>14</v>
      </c>
      <c r="C3600">
        <v>2</v>
      </c>
      <c r="D3600">
        <v>3</v>
      </c>
      <c r="E3600">
        <v>7</v>
      </c>
      <c r="G3600">
        <v>1423</v>
      </c>
      <c r="H3600" t="s">
        <v>4686</v>
      </c>
      <c r="I3600" t="s">
        <v>123</v>
      </c>
      <c r="J3600" t="s">
        <v>4734</v>
      </c>
      <c r="L3600">
        <v>0</v>
      </c>
      <c r="M3600" t="s">
        <v>125</v>
      </c>
      <c r="O3600" t="s">
        <v>125</v>
      </c>
      <c r="P3600" t="s">
        <v>125</v>
      </c>
      <c r="Q3600" t="s">
        <v>125</v>
      </c>
      <c r="R3600" t="s">
        <v>125</v>
      </c>
      <c r="S3600" t="s">
        <v>125</v>
      </c>
      <c r="T3600">
        <v>127</v>
      </c>
      <c r="V3600" t="s">
        <v>125</v>
      </c>
      <c r="AE3600" t="s">
        <v>125</v>
      </c>
      <c r="AF3600">
        <v>0</v>
      </c>
      <c r="AG3600" t="s">
        <v>125</v>
      </c>
      <c r="AH3600">
        <v>0</v>
      </c>
      <c r="AK3600">
        <v>0</v>
      </c>
    </row>
    <row r="3601" spans="1:37" x14ac:dyDescent="0.25">
      <c r="A3601" t="s">
        <v>79</v>
      </c>
      <c r="B3601">
        <v>14</v>
      </c>
      <c r="C3601">
        <v>2</v>
      </c>
      <c r="D3601">
        <v>3</v>
      </c>
      <c r="E3601">
        <v>8</v>
      </c>
      <c r="G3601">
        <v>1423</v>
      </c>
      <c r="H3601" t="s">
        <v>4686</v>
      </c>
      <c r="I3601" t="s">
        <v>126</v>
      </c>
      <c r="J3601" t="s">
        <v>4735</v>
      </c>
      <c r="L3601">
        <v>0</v>
      </c>
      <c r="M3601" t="s">
        <v>125</v>
      </c>
      <c r="O3601" t="s">
        <v>125</v>
      </c>
      <c r="P3601" t="s">
        <v>125</v>
      </c>
      <c r="Q3601" t="s">
        <v>125</v>
      </c>
      <c r="R3601" t="s">
        <v>125</v>
      </c>
      <c r="S3601" t="s">
        <v>125</v>
      </c>
      <c r="T3601">
        <v>127</v>
      </c>
      <c r="V3601" t="s">
        <v>125</v>
      </c>
      <c r="AE3601" t="s">
        <v>125</v>
      </c>
      <c r="AF3601">
        <v>0</v>
      </c>
      <c r="AG3601" t="s">
        <v>125</v>
      </c>
      <c r="AH3601">
        <v>0</v>
      </c>
      <c r="AK3601">
        <v>0</v>
      </c>
    </row>
    <row r="3602" spans="1:37" x14ac:dyDescent="0.25">
      <c r="A3602" t="s">
        <v>79</v>
      </c>
      <c r="B3602">
        <v>14</v>
      </c>
      <c r="C3602">
        <v>2</v>
      </c>
      <c r="D3602">
        <v>3</v>
      </c>
      <c r="E3602">
        <v>9</v>
      </c>
      <c r="G3602">
        <v>1423</v>
      </c>
      <c r="H3602" t="s">
        <v>4686</v>
      </c>
      <c r="I3602" t="s">
        <v>74</v>
      </c>
      <c r="J3602" t="s">
        <v>4736</v>
      </c>
      <c r="L3602">
        <v>0</v>
      </c>
      <c r="M3602" t="s">
        <v>125</v>
      </c>
      <c r="O3602" t="s">
        <v>125</v>
      </c>
      <c r="P3602" t="s">
        <v>125</v>
      </c>
      <c r="Q3602" t="s">
        <v>125</v>
      </c>
      <c r="R3602" t="s">
        <v>125</v>
      </c>
      <c r="S3602" t="s">
        <v>125</v>
      </c>
      <c r="T3602">
        <v>127</v>
      </c>
      <c r="V3602" t="s">
        <v>125</v>
      </c>
      <c r="AE3602" t="s">
        <v>125</v>
      </c>
      <c r="AF3602">
        <v>0</v>
      </c>
      <c r="AG3602" t="s">
        <v>125</v>
      </c>
      <c r="AH3602">
        <v>0</v>
      </c>
      <c r="AK3602">
        <v>0</v>
      </c>
    </row>
    <row r="3603" spans="1:37" x14ac:dyDescent="0.25">
      <c r="A3603" t="s">
        <v>79</v>
      </c>
      <c r="B3603">
        <v>14</v>
      </c>
      <c r="C3603">
        <v>2</v>
      </c>
      <c r="D3603">
        <v>3</v>
      </c>
      <c r="E3603">
        <v>10</v>
      </c>
      <c r="G3603">
        <v>1423</v>
      </c>
      <c r="H3603" t="s">
        <v>4686</v>
      </c>
      <c r="I3603" t="s">
        <v>129</v>
      </c>
      <c r="J3603" t="s">
        <v>4737</v>
      </c>
      <c r="L3603">
        <v>0</v>
      </c>
      <c r="M3603" t="s">
        <v>125</v>
      </c>
      <c r="O3603" t="s">
        <v>125</v>
      </c>
      <c r="P3603" t="s">
        <v>125</v>
      </c>
      <c r="Q3603" t="s">
        <v>125</v>
      </c>
      <c r="R3603" t="s">
        <v>125</v>
      </c>
      <c r="S3603" t="s">
        <v>125</v>
      </c>
      <c r="T3603">
        <v>127</v>
      </c>
      <c r="V3603" t="s">
        <v>125</v>
      </c>
      <c r="AE3603" t="s">
        <v>125</v>
      </c>
      <c r="AF3603">
        <v>0</v>
      </c>
      <c r="AG3603" t="s">
        <v>125</v>
      </c>
      <c r="AH3603">
        <v>0</v>
      </c>
      <c r="AK3603">
        <v>0</v>
      </c>
    </row>
    <row r="3604" spans="1:37" x14ac:dyDescent="0.25">
      <c r="A3604" t="s">
        <v>79</v>
      </c>
      <c r="B3604">
        <v>14</v>
      </c>
      <c r="C3604">
        <v>2</v>
      </c>
      <c r="D3604">
        <v>3</v>
      </c>
      <c r="E3604">
        <v>11</v>
      </c>
      <c r="G3604">
        <v>1423</v>
      </c>
      <c r="H3604" t="s">
        <v>4686</v>
      </c>
      <c r="I3604" t="s">
        <v>131</v>
      </c>
      <c r="J3604" t="s">
        <v>4738</v>
      </c>
      <c r="L3604">
        <v>0</v>
      </c>
      <c r="M3604" t="s">
        <v>125</v>
      </c>
      <c r="O3604" t="s">
        <v>125</v>
      </c>
      <c r="P3604" t="s">
        <v>125</v>
      </c>
      <c r="Q3604" t="s">
        <v>125</v>
      </c>
      <c r="R3604" t="s">
        <v>125</v>
      </c>
      <c r="S3604" t="s">
        <v>125</v>
      </c>
      <c r="T3604">
        <v>127</v>
      </c>
      <c r="V3604" t="s">
        <v>125</v>
      </c>
      <c r="AE3604" t="s">
        <v>125</v>
      </c>
      <c r="AF3604">
        <v>0</v>
      </c>
      <c r="AG3604" t="s">
        <v>125</v>
      </c>
      <c r="AH3604">
        <v>0</v>
      </c>
      <c r="AK3604">
        <v>0</v>
      </c>
    </row>
    <row r="3605" spans="1:37" x14ac:dyDescent="0.25">
      <c r="A3605" t="s">
        <v>79</v>
      </c>
      <c r="B3605">
        <v>14</v>
      </c>
      <c r="C3605">
        <v>2</v>
      </c>
      <c r="D3605">
        <v>3</v>
      </c>
      <c r="E3605">
        <v>12</v>
      </c>
      <c r="G3605">
        <v>1423</v>
      </c>
      <c r="H3605" t="s">
        <v>4686</v>
      </c>
      <c r="I3605" t="s">
        <v>133</v>
      </c>
      <c r="J3605" t="s">
        <v>4739</v>
      </c>
      <c r="L3605">
        <v>0</v>
      </c>
      <c r="M3605" t="s">
        <v>125</v>
      </c>
      <c r="O3605" t="s">
        <v>125</v>
      </c>
      <c r="P3605" t="s">
        <v>125</v>
      </c>
      <c r="Q3605" t="s">
        <v>125</v>
      </c>
      <c r="R3605" t="s">
        <v>125</v>
      </c>
      <c r="S3605" t="s">
        <v>125</v>
      </c>
      <c r="T3605">
        <v>127</v>
      </c>
      <c r="V3605" t="s">
        <v>125</v>
      </c>
      <c r="AE3605" t="s">
        <v>125</v>
      </c>
      <c r="AF3605">
        <v>0</v>
      </c>
      <c r="AG3605" t="s">
        <v>125</v>
      </c>
      <c r="AH3605">
        <v>0</v>
      </c>
      <c r="AK3605">
        <v>0</v>
      </c>
    </row>
    <row r="3606" spans="1:37" x14ac:dyDescent="0.25">
      <c r="A3606" t="s">
        <v>79</v>
      </c>
      <c r="B3606">
        <v>14</v>
      </c>
      <c r="C3606">
        <v>2</v>
      </c>
      <c r="D3606">
        <v>3</v>
      </c>
      <c r="E3606">
        <v>13</v>
      </c>
      <c r="G3606">
        <v>1423</v>
      </c>
      <c r="H3606" t="s">
        <v>4686</v>
      </c>
      <c r="I3606" t="s">
        <v>135</v>
      </c>
      <c r="J3606" t="s">
        <v>4740</v>
      </c>
      <c r="L3606">
        <v>0</v>
      </c>
      <c r="M3606" t="s">
        <v>125</v>
      </c>
      <c r="O3606" t="s">
        <v>125</v>
      </c>
      <c r="P3606" t="s">
        <v>125</v>
      </c>
      <c r="Q3606" t="s">
        <v>125</v>
      </c>
      <c r="R3606" t="s">
        <v>125</v>
      </c>
      <c r="S3606" t="s">
        <v>125</v>
      </c>
      <c r="T3606">
        <v>127</v>
      </c>
      <c r="V3606" t="s">
        <v>125</v>
      </c>
      <c r="AE3606" t="s">
        <v>125</v>
      </c>
      <c r="AF3606">
        <v>0</v>
      </c>
      <c r="AG3606" t="s">
        <v>125</v>
      </c>
      <c r="AH3606">
        <v>0</v>
      </c>
      <c r="AK3606">
        <v>0</v>
      </c>
    </row>
    <row r="3607" spans="1:37" x14ac:dyDescent="0.25">
      <c r="A3607" t="s">
        <v>79</v>
      </c>
      <c r="B3607">
        <v>14</v>
      </c>
      <c r="C3607">
        <v>2</v>
      </c>
      <c r="D3607">
        <v>3</v>
      </c>
      <c r="E3607">
        <v>14</v>
      </c>
      <c r="G3607">
        <v>1423</v>
      </c>
      <c r="H3607" t="s">
        <v>4686</v>
      </c>
      <c r="I3607" t="s">
        <v>137</v>
      </c>
      <c r="J3607" t="s">
        <v>4741</v>
      </c>
      <c r="L3607">
        <v>0</v>
      </c>
      <c r="M3607" t="s">
        <v>125</v>
      </c>
      <c r="O3607" t="s">
        <v>125</v>
      </c>
      <c r="P3607" t="s">
        <v>125</v>
      </c>
      <c r="Q3607" t="s">
        <v>125</v>
      </c>
      <c r="R3607" t="s">
        <v>125</v>
      </c>
      <c r="S3607" t="s">
        <v>125</v>
      </c>
      <c r="T3607">
        <v>127</v>
      </c>
      <c r="V3607" t="s">
        <v>125</v>
      </c>
      <c r="AE3607" t="s">
        <v>125</v>
      </c>
      <c r="AF3607">
        <v>0</v>
      </c>
      <c r="AG3607" t="s">
        <v>125</v>
      </c>
      <c r="AH3607">
        <v>0</v>
      </c>
      <c r="AK3607">
        <v>0</v>
      </c>
    </row>
    <row r="3608" spans="1:37" x14ac:dyDescent="0.25">
      <c r="A3608" t="s">
        <v>79</v>
      </c>
      <c r="B3608">
        <v>14</v>
      </c>
      <c r="C3608">
        <v>2</v>
      </c>
      <c r="D3608">
        <v>3</v>
      </c>
      <c r="E3608">
        <v>15</v>
      </c>
      <c r="G3608">
        <v>1423</v>
      </c>
      <c r="H3608" t="s">
        <v>4686</v>
      </c>
      <c r="I3608" t="s">
        <v>139</v>
      </c>
      <c r="J3608" t="s">
        <v>4742</v>
      </c>
      <c r="L3608">
        <v>0</v>
      </c>
      <c r="M3608" t="s">
        <v>125</v>
      </c>
      <c r="O3608" t="s">
        <v>125</v>
      </c>
      <c r="P3608" t="s">
        <v>125</v>
      </c>
      <c r="Q3608" t="s">
        <v>125</v>
      </c>
      <c r="R3608" t="s">
        <v>125</v>
      </c>
      <c r="S3608" t="s">
        <v>125</v>
      </c>
      <c r="T3608">
        <v>127</v>
      </c>
      <c r="V3608" t="s">
        <v>125</v>
      </c>
      <c r="AE3608" t="s">
        <v>125</v>
      </c>
      <c r="AF3608">
        <v>0</v>
      </c>
      <c r="AG3608" t="s">
        <v>125</v>
      </c>
      <c r="AH3608">
        <v>0</v>
      </c>
      <c r="AK3608">
        <v>0</v>
      </c>
    </row>
    <row r="3609" spans="1:37" x14ac:dyDescent="0.25">
      <c r="L3609">
        <v>0</v>
      </c>
    </row>
    <row r="3610" spans="1:37" x14ac:dyDescent="0.25">
      <c r="A3610" t="s">
        <v>70</v>
      </c>
      <c r="B3610">
        <v>14</v>
      </c>
      <c r="C3610">
        <v>2</v>
      </c>
      <c r="D3610">
        <v>4</v>
      </c>
      <c r="G3610">
        <v>142</v>
      </c>
      <c r="M3610" t="s">
        <v>4743</v>
      </c>
      <c r="O3610" t="s">
        <v>4744</v>
      </c>
      <c r="P3610" t="s">
        <v>4745</v>
      </c>
      <c r="Q3610" t="s">
        <v>133</v>
      </c>
      <c r="R3610" t="s">
        <v>179</v>
      </c>
      <c r="S3610" t="s">
        <v>4746</v>
      </c>
      <c r="V3610" t="s">
        <v>4747</v>
      </c>
      <c r="X3610" t="s">
        <v>4748</v>
      </c>
      <c r="Y3610" t="s">
        <v>4749</v>
      </c>
      <c r="Z3610" t="s">
        <v>4750</v>
      </c>
      <c r="AA3610" t="s">
        <v>4751</v>
      </c>
      <c r="AB3610" t="s">
        <v>63</v>
      </c>
      <c r="AC3610" t="s">
        <v>63</v>
      </c>
      <c r="AE3610" t="s">
        <v>4752</v>
      </c>
      <c r="AF3610">
        <v>0</v>
      </c>
      <c r="AG3610" t="s">
        <v>4753</v>
      </c>
      <c r="AH3610">
        <v>0</v>
      </c>
      <c r="AK3610">
        <v>0</v>
      </c>
    </row>
    <row r="3611" spans="1:37" x14ac:dyDescent="0.25">
      <c r="A3611" t="s">
        <v>79</v>
      </c>
      <c r="B3611">
        <v>14</v>
      </c>
      <c r="C3611">
        <v>2</v>
      </c>
      <c r="D3611">
        <v>4</v>
      </c>
      <c r="E3611">
        <v>1</v>
      </c>
      <c r="G3611">
        <v>1424</v>
      </c>
      <c r="H3611" t="s">
        <v>4744</v>
      </c>
      <c r="I3611" t="s">
        <v>80</v>
      </c>
      <c r="J3611" t="s">
        <v>4754</v>
      </c>
      <c r="L3611">
        <v>0</v>
      </c>
      <c r="M3611" t="s">
        <v>4755</v>
      </c>
      <c r="O3611" t="s">
        <v>4699</v>
      </c>
      <c r="P3611" t="s">
        <v>4700</v>
      </c>
      <c r="Q3611" t="s">
        <v>4756</v>
      </c>
      <c r="R3611" t="s">
        <v>382</v>
      </c>
      <c r="S3611" t="s">
        <v>1086</v>
      </c>
      <c r="T3611">
        <v>13</v>
      </c>
      <c r="U3611">
        <v>317</v>
      </c>
      <c r="V3611" t="s">
        <v>4757</v>
      </c>
      <c r="AE3611" t="s">
        <v>4758</v>
      </c>
      <c r="AF3611">
        <v>0</v>
      </c>
      <c r="AG3611" t="s">
        <v>4759</v>
      </c>
      <c r="AH3611">
        <v>0</v>
      </c>
      <c r="AK3611">
        <v>0</v>
      </c>
    </row>
    <row r="3612" spans="1:37" x14ac:dyDescent="0.25">
      <c r="A3612" t="s">
        <v>79</v>
      </c>
      <c r="B3612">
        <v>14</v>
      </c>
      <c r="C3612">
        <v>2</v>
      </c>
      <c r="D3612">
        <v>4</v>
      </c>
      <c r="E3612">
        <v>2</v>
      </c>
      <c r="G3612">
        <v>1424</v>
      </c>
      <c r="H3612" t="s">
        <v>4744</v>
      </c>
      <c r="I3612" t="s">
        <v>88</v>
      </c>
      <c r="J3612" t="s">
        <v>4760</v>
      </c>
      <c r="L3612">
        <v>0</v>
      </c>
      <c r="M3612" t="s">
        <v>4761</v>
      </c>
      <c r="O3612" t="s">
        <v>4762</v>
      </c>
      <c r="P3612" t="s">
        <v>4763</v>
      </c>
      <c r="Q3612" t="s">
        <v>4764</v>
      </c>
      <c r="R3612" t="s">
        <v>382</v>
      </c>
      <c r="S3612" t="s">
        <v>4765</v>
      </c>
      <c r="T3612">
        <v>13</v>
      </c>
      <c r="U3612">
        <v>27</v>
      </c>
      <c r="V3612" t="s">
        <v>4766</v>
      </c>
      <c r="AE3612" t="s">
        <v>4767</v>
      </c>
      <c r="AF3612">
        <v>0</v>
      </c>
      <c r="AG3612" t="s">
        <v>4768</v>
      </c>
      <c r="AH3612">
        <v>0</v>
      </c>
      <c r="AK3612">
        <v>0</v>
      </c>
    </row>
    <row r="3613" spans="1:37" x14ac:dyDescent="0.25">
      <c r="A3613" t="s">
        <v>79</v>
      </c>
      <c r="B3613">
        <v>14</v>
      </c>
      <c r="C3613">
        <v>2</v>
      </c>
      <c r="D3613">
        <v>4</v>
      </c>
      <c r="E3613">
        <v>3</v>
      </c>
      <c r="G3613">
        <v>1424</v>
      </c>
      <c r="H3613" t="s">
        <v>4744</v>
      </c>
      <c r="I3613" t="s">
        <v>95</v>
      </c>
      <c r="J3613" t="s">
        <v>4769</v>
      </c>
      <c r="L3613">
        <v>0</v>
      </c>
      <c r="M3613" t="s">
        <v>4770</v>
      </c>
      <c r="O3613" t="s">
        <v>4716</v>
      </c>
      <c r="P3613" t="s">
        <v>4717</v>
      </c>
      <c r="Q3613" t="s">
        <v>4771</v>
      </c>
      <c r="R3613" t="s">
        <v>382</v>
      </c>
      <c r="S3613" t="s">
        <v>2205</v>
      </c>
      <c r="T3613">
        <v>13</v>
      </c>
      <c r="U3613">
        <v>16</v>
      </c>
      <c r="V3613" t="s">
        <v>1504</v>
      </c>
      <c r="AE3613" t="s">
        <v>4772</v>
      </c>
      <c r="AF3613">
        <v>0</v>
      </c>
      <c r="AG3613" t="s">
        <v>4773</v>
      </c>
      <c r="AH3613">
        <v>0</v>
      </c>
      <c r="AK3613">
        <v>0</v>
      </c>
    </row>
    <row r="3614" spans="1:37" x14ac:dyDescent="0.25">
      <c r="A3614" t="s">
        <v>79</v>
      </c>
      <c r="B3614">
        <v>14</v>
      </c>
      <c r="C3614">
        <v>2</v>
      </c>
      <c r="D3614">
        <v>4</v>
      </c>
      <c r="E3614">
        <v>4</v>
      </c>
      <c r="G3614">
        <v>1424</v>
      </c>
      <c r="H3614" t="s">
        <v>4744</v>
      </c>
      <c r="I3614" t="s">
        <v>102</v>
      </c>
      <c r="J3614" t="s">
        <v>4774</v>
      </c>
      <c r="L3614">
        <v>0</v>
      </c>
      <c r="M3614" t="s">
        <v>4775</v>
      </c>
      <c r="O3614" t="s">
        <v>1319</v>
      </c>
      <c r="P3614" t="s">
        <v>1320</v>
      </c>
      <c r="Q3614" t="s">
        <v>4776</v>
      </c>
      <c r="R3614" t="s">
        <v>229</v>
      </c>
      <c r="S3614" t="s">
        <v>1322</v>
      </c>
      <c r="T3614">
        <v>13</v>
      </c>
      <c r="U3614">
        <v>22</v>
      </c>
      <c r="V3614" t="s">
        <v>4777</v>
      </c>
      <c r="AE3614" t="s">
        <v>4778</v>
      </c>
      <c r="AF3614">
        <v>0</v>
      </c>
      <c r="AG3614" t="s">
        <v>4779</v>
      </c>
      <c r="AH3614">
        <v>0</v>
      </c>
      <c r="AK3614">
        <v>0</v>
      </c>
    </row>
    <row r="3615" spans="1:37" x14ac:dyDescent="0.25">
      <c r="A3615" t="s">
        <v>79</v>
      </c>
      <c r="B3615">
        <v>14</v>
      </c>
      <c r="C3615">
        <v>2</v>
      </c>
      <c r="D3615">
        <v>4</v>
      </c>
      <c r="E3615">
        <v>5</v>
      </c>
      <c r="G3615">
        <v>1424</v>
      </c>
      <c r="H3615" t="s">
        <v>4744</v>
      </c>
      <c r="I3615" t="s">
        <v>109</v>
      </c>
      <c r="J3615" t="s">
        <v>4780</v>
      </c>
      <c r="L3615">
        <v>0</v>
      </c>
      <c r="M3615" t="s">
        <v>4781</v>
      </c>
      <c r="O3615" t="s">
        <v>294</v>
      </c>
      <c r="P3615" t="s">
        <v>295</v>
      </c>
      <c r="Q3615" t="s">
        <v>4782</v>
      </c>
      <c r="R3615" t="s">
        <v>229</v>
      </c>
      <c r="S3615" t="s">
        <v>297</v>
      </c>
      <c r="T3615">
        <v>13</v>
      </c>
      <c r="U3615">
        <v>11</v>
      </c>
      <c r="V3615" t="s">
        <v>4783</v>
      </c>
      <c r="AE3615" t="s">
        <v>4784</v>
      </c>
      <c r="AF3615">
        <v>0</v>
      </c>
      <c r="AG3615" t="s">
        <v>4785</v>
      </c>
      <c r="AH3615">
        <v>0</v>
      </c>
      <c r="AK3615">
        <v>0</v>
      </c>
    </row>
    <row r="3616" spans="1:37" x14ac:dyDescent="0.25">
      <c r="A3616" t="s">
        <v>79</v>
      </c>
      <c r="B3616">
        <v>14</v>
      </c>
      <c r="C3616">
        <v>2</v>
      </c>
      <c r="D3616">
        <v>4</v>
      </c>
      <c r="E3616">
        <v>6</v>
      </c>
      <c r="G3616">
        <v>1424</v>
      </c>
      <c r="H3616" t="s">
        <v>4744</v>
      </c>
      <c r="I3616" t="s">
        <v>116</v>
      </c>
      <c r="J3616" t="s">
        <v>4786</v>
      </c>
      <c r="L3616">
        <v>0</v>
      </c>
      <c r="M3616" t="s">
        <v>125</v>
      </c>
      <c r="O3616" t="s">
        <v>125</v>
      </c>
      <c r="P3616" t="s">
        <v>125</v>
      </c>
      <c r="Q3616" t="s">
        <v>125</v>
      </c>
      <c r="R3616" t="s">
        <v>125</v>
      </c>
      <c r="S3616" t="s">
        <v>125</v>
      </c>
      <c r="T3616">
        <v>13</v>
      </c>
      <c r="V3616" t="s">
        <v>125</v>
      </c>
      <c r="AE3616" t="s">
        <v>125</v>
      </c>
      <c r="AF3616">
        <v>0</v>
      </c>
      <c r="AG3616" t="s">
        <v>125</v>
      </c>
      <c r="AH3616">
        <v>0</v>
      </c>
      <c r="AK3616">
        <v>0</v>
      </c>
    </row>
    <row r="3617" spans="1:37" x14ac:dyDescent="0.25">
      <c r="A3617" t="s">
        <v>79</v>
      </c>
      <c r="B3617">
        <v>14</v>
      </c>
      <c r="C3617">
        <v>2</v>
      </c>
      <c r="D3617">
        <v>4</v>
      </c>
      <c r="E3617">
        <v>7</v>
      </c>
      <c r="G3617">
        <v>1424</v>
      </c>
      <c r="H3617" t="s">
        <v>4744</v>
      </c>
      <c r="I3617" t="s">
        <v>123</v>
      </c>
      <c r="J3617" t="s">
        <v>4787</v>
      </c>
      <c r="L3617">
        <v>0</v>
      </c>
      <c r="M3617" t="s">
        <v>125</v>
      </c>
      <c r="O3617" t="s">
        <v>125</v>
      </c>
      <c r="P3617" t="s">
        <v>125</v>
      </c>
      <c r="Q3617" t="s">
        <v>125</v>
      </c>
      <c r="R3617" t="s">
        <v>125</v>
      </c>
      <c r="S3617" t="s">
        <v>125</v>
      </c>
      <c r="T3617">
        <v>13</v>
      </c>
      <c r="V3617" t="s">
        <v>125</v>
      </c>
      <c r="AE3617" t="s">
        <v>125</v>
      </c>
      <c r="AF3617">
        <v>0</v>
      </c>
      <c r="AG3617" t="s">
        <v>125</v>
      </c>
      <c r="AH3617">
        <v>0</v>
      </c>
      <c r="AK3617">
        <v>0</v>
      </c>
    </row>
    <row r="3618" spans="1:37" x14ac:dyDescent="0.25">
      <c r="A3618" t="s">
        <v>79</v>
      </c>
      <c r="B3618">
        <v>14</v>
      </c>
      <c r="C3618">
        <v>2</v>
      </c>
      <c r="D3618">
        <v>4</v>
      </c>
      <c r="E3618">
        <v>8</v>
      </c>
      <c r="G3618">
        <v>1424</v>
      </c>
      <c r="H3618" t="s">
        <v>4744</v>
      </c>
      <c r="I3618" t="s">
        <v>126</v>
      </c>
      <c r="J3618" t="s">
        <v>4788</v>
      </c>
      <c r="L3618">
        <v>0</v>
      </c>
      <c r="M3618" t="s">
        <v>125</v>
      </c>
      <c r="O3618" t="s">
        <v>125</v>
      </c>
      <c r="P3618" t="s">
        <v>125</v>
      </c>
      <c r="Q3618" t="s">
        <v>125</v>
      </c>
      <c r="R3618" t="s">
        <v>125</v>
      </c>
      <c r="S3618" t="s">
        <v>125</v>
      </c>
      <c r="T3618">
        <v>13</v>
      </c>
      <c r="V3618" t="s">
        <v>125</v>
      </c>
      <c r="AE3618" t="s">
        <v>125</v>
      </c>
      <c r="AF3618">
        <v>0</v>
      </c>
      <c r="AG3618" t="s">
        <v>125</v>
      </c>
      <c r="AH3618">
        <v>0</v>
      </c>
      <c r="AK3618">
        <v>0</v>
      </c>
    </row>
    <row r="3619" spans="1:37" x14ac:dyDescent="0.25">
      <c r="A3619" t="s">
        <v>79</v>
      </c>
      <c r="B3619">
        <v>14</v>
      </c>
      <c r="C3619">
        <v>2</v>
      </c>
      <c r="D3619">
        <v>4</v>
      </c>
      <c r="E3619">
        <v>9</v>
      </c>
      <c r="G3619">
        <v>1424</v>
      </c>
      <c r="H3619" t="s">
        <v>4744</v>
      </c>
      <c r="I3619" t="s">
        <v>74</v>
      </c>
      <c r="J3619" t="s">
        <v>4789</v>
      </c>
      <c r="L3619">
        <v>0</v>
      </c>
      <c r="M3619" t="s">
        <v>125</v>
      </c>
      <c r="O3619" t="s">
        <v>125</v>
      </c>
      <c r="P3619" t="s">
        <v>125</v>
      </c>
      <c r="Q3619" t="s">
        <v>125</v>
      </c>
      <c r="R3619" t="s">
        <v>125</v>
      </c>
      <c r="S3619" t="s">
        <v>125</v>
      </c>
      <c r="T3619">
        <v>13</v>
      </c>
      <c r="V3619" t="s">
        <v>125</v>
      </c>
      <c r="AE3619" t="s">
        <v>125</v>
      </c>
      <c r="AF3619">
        <v>0</v>
      </c>
      <c r="AG3619" t="s">
        <v>125</v>
      </c>
      <c r="AH3619">
        <v>0</v>
      </c>
      <c r="AK3619">
        <v>0</v>
      </c>
    </row>
    <row r="3620" spans="1:37" x14ac:dyDescent="0.25">
      <c r="A3620" t="s">
        <v>79</v>
      </c>
      <c r="B3620">
        <v>14</v>
      </c>
      <c r="C3620">
        <v>2</v>
      </c>
      <c r="D3620">
        <v>4</v>
      </c>
      <c r="E3620">
        <v>10</v>
      </c>
      <c r="G3620">
        <v>1424</v>
      </c>
      <c r="H3620" t="s">
        <v>4744</v>
      </c>
      <c r="I3620" t="s">
        <v>129</v>
      </c>
      <c r="J3620" t="s">
        <v>4790</v>
      </c>
      <c r="L3620">
        <v>0</v>
      </c>
      <c r="M3620" t="s">
        <v>125</v>
      </c>
      <c r="O3620" t="s">
        <v>125</v>
      </c>
      <c r="P3620" t="s">
        <v>125</v>
      </c>
      <c r="Q3620" t="s">
        <v>125</v>
      </c>
      <c r="R3620" t="s">
        <v>125</v>
      </c>
      <c r="S3620" t="s">
        <v>125</v>
      </c>
      <c r="T3620">
        <v>13</v>
      </c>
      <c r="V3620" t="s">
        <v>125</v>
      </c>
      <c r="AE3620" t="s">
        <v>125</v>
      </c>
      <c r="AF3620">
        <v>0</v>
      </c>
      <c r="AG3620" t="s">
        <v>125</v>
      </c>
      <c r="AH3620">
        <v>0</v>
      </c>
      <c r="AK3620">
        <v>0</v>
      </c>
    </row>
    <row r="3621" spans="1:37" x14ac:dyDescent="0.25">
      <c r="A3621" t="s">
        <v>79</v>
      </c>
      <c r="B3621">
        <v>14</v>
      </c>
      <c r="C3621">
        <v>2</v>
      </c>
      <c r="D3621">
        <v>4</v>
      </c>
      <c r="E3621">
        <v>11</v>
      </c>
      <c r="G3621">
        <v>1424</v>
      </c>
      <c r="H3621" t="s">
        <v>4744</v>
      </c>
      <c r="I3621" t="s">
        <v>131</v>
      </c>
      <c r="J3621" t="s">
        <v>4791</v>
      </c>
      <c r="L3621">
        <v>0</v>
      </c>
      <c r="M3621" t="s">
        <v>125</v>
      </c>
      <c r="O3621" t="s">
        <v>125</v>
      </c>
      <c r="P3621" t="s">
        <v>125</v>
      </c>
      <c r="Q3621" t="s">
        <v>125</v>
      </c>
      <c r="R3621" t="s">
        <v>125</v>
      </c>
      <c r="S3621" t="s">
        <v>125</v>
      </c>
      <c r="T3621">
        <v>13</v>
      </c>
      <c r="V3621" t="s">
        <v>125</v>
      </c>
      <c r="AE3621" t="s">
        <v>125</v>
      </c>
      <c r="AF3621">
        <v>0</v>
      </c>
      <c r="AG3621" t="s">
        <v>125</v>
      </c>
      <c r="AH3621">
        <v>0</v>
      </c>
      <c r="AK3621">
        <v>0</v>
      </c>
    </row>
    <row r="3622" spans="1:37" x14ac:dyDescent="0.25">
      <c r="A3622" t="s">
        <v>79</v>
      </c>
      <c r="B3622">
        <v>14</v>
      </c>
      <c r="C3622">
        <v>2</v>
      </c>
      <c r="D3622">
        <v>4</v>
      </c>
      <c r="E3622">
        <v>12</v>
      </c>
      <c r="G3622">
        <v>1424</v>
      </c>
      <c r="H3622" t="s">
        <v>4744</v>
      </c>
      <c r="I3622" t="s">
        <v>133</v>
      </c>
      <c r="J3622" t="s">
        <v>4792</v>
      </c>
      <c r="L3622">
        <v>0</v>
      </c>
      <c r="M3622" t="s">
        <v>125</v>
      </c>
      <c r="O3622" t="s">
        <v>125</v>
      </c>
      <c r="P3622" t="s">
        <v>125</v>
      </c>
      <c r="Q3622" t="s">
        <v>125</v>
      </c>
      <c r="R3622" t="s">
        <v>125</v>
      </c>
      <c r="S3622" t="s">
        <v>125</v>
      </c>
      <c r="T3622">
        <v>13</v>
      </c>
      <c r="V3622" t="s">
        <v>125</v>
      </c>
      <c r="AE3622" t="s">
        <v>125</v>
      </c>
      <c r="AF3622">
        <v>0</v>
      </c>
      <c r="AG3622" t="s">
        <v>125</v>
      </c>
      <c r="AH3622">
        <v>0</v>
      </c>
      <c r="AK3622">
        <v>0</v>
      </c>
    </row>
    <row r="3623" spans="1:37" x14ac:dyDescent="0.25">
      <c r="A3623" t="s">
        <v>79</v>
      </c>
      <c r="B3623">
        <v>14</v>
      </c>
      <c r="C3623">
        <v>2</v>
      </c>
      <c r="D3623">
        <v>4</v>
      </c>
      <c r="E3623">
        <v>13</v>
      </c>
      <c r="G3623">
        <v>1424</v>
      </c>
      <c r="H3623" t="s">
        <v>4744</v>
      </c>
      <c r="I3623" t="s">
        <v>135</v>
      </c>
      <c r="J3623" t="s">
        <v>4793</v>
      </c>
      <c r="L3623">
        <v>0</v>
      </c>
      <c r="M3623" t="s">
        <v>125</v>
      </c>
      <c r="O3623" t="s">
        <v>125</v>
      </c>
      <c r="P3623" t="s">
        <v>125</v>
      </c>
      <c r="Q3623" t="s">
        <v>125</v>
      </c>
      <c r="R3623" t="s">
        <v>125</v>
      </c>
      <c r="S3623" t="s">
        <v>125</v>
      </c>
      <c r="T3623">
        <v>13</v>
      </c>
      <c r="V3623" t="s">
        <v>125</v>
      </c>
      <c r="AE3623" t="s">
        <v>125</v>
      </c>
      <c r="AF3623">
        <v>0</v>
      </c>
      <c r="AG3623" t="s">
        <v>125</v>
      </c>
      <c r="AH3623">
        <v>0</v>
      </c>
      <c r="AK3623">
        <v>0</v>
      </c>
    </row>
    <row r="3624" spans="1:37" x14ac:dyDescent="0.25">
      <c r="A3624" t="s">
        <v>79</v>
      </c>
      <c r="B3624">
        <v>14</v>
      </c>
      <c r="C3624">
        <v>2</v>
      </c>
      <c r="D3624">
        <v>4</v>
      </c>
      <c r="E3624">
        <v>14</v>
      </c>
      <c r="G3624">
        <v>1424</v>
      </c>
      <c r="H3624" t="s">
        <v>4744</v>
      </c>
      <c r="I3624" t="s">
        <v>137</v>
      </c>
      <c r="J3624" t="s">
        <v>4794</v>
      </c>
      <c r="L3624">
        <v>0</v>
      </c>
      <c r="M3624" t="s">
        <v>125</v>
      </c>
      <c r="O3624" t="s">
        <v>125</v>
      </c>
      <c r="P3624" t="s">
        <v>125</v>
      </c>
      <c r="Q3624" t="s">
        <v>125</v>
      </c>
      <c r="R3624" t="s">
        <v>125</v>
      </c>
      <c r="S3624" t="s">
        <v>125</v>
      </c>
      <c r="T3624">
        <v>13</v>
      </c>
      <c r="V3624" t="s">
        <v>125</v>
      </c>
      <c r="AE3624" t="s">
        <v>125</v>
      </c>
      <c r="AF3624">
        <v>0</v>
      </c>
      <c r="AG3624" t="s">
        <v>125</v>
      </c>
      <c r="AH3624">
        <v>0</v>
      </c>
      <c r="AK3624">
        <v>0</v>
      </c>
    </row>
    <row r="3625" spans="1:37" x14ac:dyDescent="0.25">
      <c r="A3625" t="s">
        <v>79</v>
      </c>
      <c r="B3625">
        <v>14</v>
      </c>
      <c r="C3625">
        <v>2</v>
      </c>
      <c r="D3625">
        <v>4</v>
      </c>
      <c r="E3625">
        <v>15</v>
      </c>
      <c r="G3625">
        <v>1424</v>
      </c>
      <c r="H3625" t="s">
        <v>4744</v>
      </c>
      <c r="I3625" t="s">
        <v>139</v>
      </c>
      <c r="J3625" t="s">
        <v>4795</v>
      </c>
      <c r="L3625">
        <v>0</v>
      </c>
      <c r="M3625" t="s">
        <v>125</v>
      </c>
      <c r="O3625" t="s">
        <v>125</v>
      </c>
      <c r="P3625" t="s">
        <v>125</v>
      </c>
      <c r="Q3625" t="s">
        <v>125</v>
      </c>
      <c r="R3625" t="s">
        <v>125</v>
      </c>
      <c r="S3625" t="s">
        <v>125</v>
      </c>
      <c r="T3625">
        <v>13</v>
      </c>
      <c r="V3625" t="s">
        <v>125</v>
      </c>
      <c r="AE3625" t="s">
        <v>125</v>
      </c>
      <c r="AF3625">
        <v>0</v>
      </c>
      <c r="AG3625" t="s">
        <v>125</v>
      </c>
      <c r="AH3625">
        <v>0</v>
      </c>
      <c r="AK3625">
        <v>0</v>
      </c>
    </row>
    <row r="3626" spans="1:37" x14ac:dyDescent="0.25">
      <c r="L3626">
        <v>0</v>
      </c>
    </row>
    <row r="3627" spans="1:37" x14ac:dyDescent="0.25">
      <c r="A3627" t="s">
        <v>70</v>
      </c>
      <c r="B3627">
        <v>14</v>
      </c>
      <c r="C3627">
        <v>2</v>
      </c>
      <c r="D3627">
        <v>5</v>
      </c>
      <c r="G3627">
        <v>142</v>
      </c>
      <c r="M3627" t="s">
        <v>4796</v>
      </c>
      <c r="O3627" t="s">
        <v>4797</v>
      </c>
      <c r="P3627" t="s">
        <v>4798</v>
      </c>
      <c r="Q3627" t="s">
        <v>4799</v>
      </c>
      <c r="R3627" t="s">
        <v>179</v>
      </c>
      <c r="S3627" t="s">
        <v>4800</v>
      </c>
      <c r="V3627" t="s">
        <v>4801</v>
      </c>
      <c r="X3627" t="s">
        <v>4802</v>
      </c>
      <c r="Y3627" t="s">
        <v>4803</v>
      </c>
      <c r="Z3627" t="s">
        <v>4804</v>
      </c>
      <c r="AA3627" t="s">
        <v>4805</v>
      </c>
      <c r="AB3627" t="s">
        <v>63</v>
      </c>
      <c r="AC3627" t="s">
        <v>63</v>
      </c>
      <c r="AE3627" t="s">
        <v>4806</v>
      </c>
      <c r="AF3627">
        <v>0</v>
      </c>
      <c r="AG3627" t="s">
        <v>4807</v>
      </c>
      <c r="AH3627">
        <v>0</v>
      </c>
      <c r="AK3627">
        <v>0</v>
      </c>
    </row>
    <row r="3628" spans="1:37" x14ac:dyDescent="0.25">
      <c r="A3628" t="s">
        <v>79</v>
      </c>
      <c r="B3628">
        <v>14</v>
      </c>
      <c r="C3628">
        <v>2</v>
      </c>
      <c r="D3628">
        <v>5</v>
      </c>
      <c r="E3628">
        <v>1</v>
      </c>
      <c r="G3628">
        <v>1425</v>
      </c>
      <c r="H3628" t="s">
        <v>4797</v>
      </c>
      <c r="I3628" t="s">
        <v>80</v>
      </c>
      <c r="J3628" t="s">
        <v>4808</v>
      </c>
      <c r="L3628">
        <v>0</v>
      </c>
      <c r="M3628" t="s">
        <v>4809</v>
      </c>
      <c r="O3628" t="s">
        <v>3495</v>
      </c>
      <c r="P3628" t="s">
        <v>3496</v>
      </c>
      <c r="Q3628" t="s">
        <v>4810</v>
      </c>
      <c r="R3628" t="s">
        <v>382</v>
      </c>
      <c r="S3628" t="s">
        <v>1054</v>
      </c>
      <c r="T3628">
        <v>50</v>
      </c>
      <c r="U3628">
        <v>267</v>
      </c>
      <c r="V3628" t="s">
        <v>4811</v>
      </c>
      <c r="AE3628" t="s">
        <v>4812</v>
      </c>
      <c r="AF3628">
        <v>0</v>
      </c>
      <c r="AG3628" t="s">
        <v>4813</v>
      </c>
      <c r="AH3628">
        <v>0</v>
      </c>
      <c r="AK3628">
        <v>0</v>
      </c>
    </row>
    <row r="3629" spans="1:37" x14ac:dyDescent="0.25">
      <c r="A3629" t="s">
        <v>79</v>
      </c>
      <c r="B3629">
        <v>14</v>
      </c>
      <c r="C3629">
        <v>2</v>
      </c>
      <c r="D3629">
        <v>5</v>
      </c>
      <c r="E3629">
        <v>2</v>
      </c>
      <c r="G3629">
        <v>1425</v>
      </c>
      <c r="H3629" t="s">
        <v>4797</v>
      </c>
      <c r="I3629" t="s">
        <v>88</v>
      </c>
      <c r="J3629" t="s">
        <v>4814</v>
      </c>
      <c r="L3629">
        <v>0</v>
      </c>
      <c r="M3629" t="s">
        <v>4815</v>
      </c>
      <c r="O3629" t="s">
        <v>4816</v>
      </c>
      <c r="P3629" t="s">
        <v>4817</v>
      </c>
      <c r="Q3629" t="s">
        <v>4818</v>
      </c>
      <c r="R3629" t="s">
        <v>210</v>
      </c>
      <c r="S3629" t="s">
        <v>4819</v>
      </c>
      <c r="T3629">
        <v>50</v>
      </c>
      <c r="U3629">
        <v>6</v>
      </c>
      <c r="V3629" t="s">
        <v>4820</v>
      </c>
      <c r="AE3629" t="s">
        <v>4821</v>
      </c>
      <c r="AF3629">
        <v>0</v>
      </c>
      <c r="AG3629" t="s">
        <v>4822</v>
      </c>
      <c r="AH3629">
        <v>0</v>
      </c>
      <c r="AK3629">
        <v>0</v>
      </c>
    </row>
    <row r="3630" spans="1:37" x14ac:dyDescent="0.25">
      <c r="A3630" t="s">
        <v>79</v>
      </c>
      <c r="B3630">
        <v>14</v>
      </c>
      <c r="C3630">
        <v>2</v>
      </c>
      <c r="D3630">
        <v>5</v>
      </c>
      <c r="E3630">
        <v>3</v>
      </c>
      <c r="G3630">
        <v>1425</v>
      </c>
      <c r="H3630" t="s">
        <v>4797</v>
      </c>
      <c r="I3630" t="s">
        <v>95</v>
      </c>
      <c r="J3630" t="s">
        <v>4823</v>
      </c>
      <c r="L3630">
        <v>0</v>
      </c>
      <c r="M3630" t="s">
        <v>4824</v>
      </c>
      <c r="O3630" t="s">
        <v>4825</v>
      </c>
      <c r="P3630" t="s">
        <v>4826</v>
      </c>
      <c r="Q3630" t="s">
        <v>4827</v>
      </c>
      <c r="R3630" t="s">
        <v>210</v>
      </c>
      <c r="S3630" t="s">
        <v>4828</v>
      </c>
      <c r="T3630">
        <v>50</v>
      </c>
      <c r="U3630">
        <v>216</v>
      </c>
      <c r="V3630" t="s">
        <v>4829</v>
      </c>
      <c r="AE3630" t="s">
        <v>4830</v>
      </c>
      <c r="AF3630">
        <v>0</v>
      </c>
      <c r="AG3630" t="s">
        <v>4831</v>
      </c>
      <c r="AH3630">
        <v>0</v>
      </c>
      <c r="AK3630">
        <v>0</v>
      </c>
    </row>
    <row r="3631" spans="1:37" x14ac:dyDescent="0.25">
      <c r="A3631" t="s">
        <v>79</v>
      </c>
      <c r="B3631">
        <v>14</v>
      </c>
      <c r="C3631">
        <v>2</v>
      </c>
      <c r="D3631">
        <v>5</v>
      </c>
      <c r="E3631">
        <v>4</v>
      </c>
      <c r="G3631">
        <v>1425</v>
      </c>
      <c r="H3631" t="s">
        <v>4797</v>
      </c>
      <c r="I3631" t="s">
        <v>102</v>
      </c>
      <c r="J3631" t="s">
        <v>4832</v>
      </c>
      <c r="L3631">
        <v>0</v>
      </c>
      <c r="M3631" t="s">
        <v>4833</v>
      </c>
      <c r="O3631" t="s">
        <v>4834</v>
      </c>
      <c r="P3631" t="s">
        <v>4835</v>
      </c>
      <c r="Q3631" t="s">
        <v>4836</v>
      </c>
      <c r="R3631" t="s">
        <v>229</v>
      </c>
      <c r="S3631" t="s">
        <v>1732</v>
      </c>
      <c r="T3631">
        <v>50</v>
      </c>
      <c r="U3631">
        <v>363</v>
      </c>
      <c r="V3631" t="s">
        <v>4837</v>
      </c>
      <c r="AE3631" t="s">
        <v>4838</v>
      </c>
      <c r="AF3631">
        <v>0</v>
      </c>
      <c r="AG3631" t="s">
        <v>4839</v>
      </c>
      <c r="AH3631">
        <v>0</v>
      </c>
      <c r="AK3631">
        <v>0</v>
      </c>
    </row>
    <row r="3632" spans="1:37" x14ac:dyDescent="0.25">
      <c r="A3632" t="s">
        <v>79</v>
      </c>
      <c r="B3632">
        <v>14</v>
      </c>
      <c r="C3632">
        <v>2</v>
      </c>
      <c r="D3632">
        <v>5</v>
      </c>
      <c r="E3632">
        <v>5</v>
      </c>
      <c r="G3632">
        <v>1425</v>
      </c>
      <c r="H3632" t="s">
        <v>4797</v>
      </c>
      <c r="I3632" t="s">
        <v>109</v>
      </c>
      <c r="J3632" t="s">
        <v>4840</v>
      </c>
      <c r="L3632">
        <v>0</v>
      </c>
      <c r="M3632" t="s">
        <v>4841</v>
      </c>
      <c r="O3632" t="s">
        <v>4842</v>
      </c>
      <c r="P3632" t="s">
        <v>4843</v>
      </c>
      <c r="Q3632" t="s">
        <v>4844</v>
      </c>
      <c r="R3632" t="s">
        <v>229</v>
      </c>
      <c r="S3632" t="s">
        <v>4845</v>
      </c>
      <c r="T3632">
        <v>50</v>
      </c>
      <c r="U3632">
        <v>442</v>
      </c>
      <c r="V3632" t="s">
        <v>4846</v>
      </c>
      <c r="AE3632" t="s">
        <v>4847</v>
      </c>
      <c r="AF3632">
        <v>0</v>
      </c>
      <c r="AG3632" t="s">
        <v>4848</v>
      </c>
      <c r="AH3632">
        <v>0</v>
      </c>
      <c r="AK3632">
        <v>0</v>
      </c>
    </row>
    <row r="3633" spans="1:37" x14ac:dyDescent="0.25">
      <c r="A3633" t="s">
        <v>79</v>
      </c>
      <c r="B3633">
        <v>14</v>
      </c>
      <c r="C3633">
        <v>2</v>
      </c>
      <c r="D3633">
        <v>5</v>
      </c>
      <c r="E3633">
        <v>6</v>
      </c>
      <c r="G3633">
        <v>1425</v>
      </c>
      <c r="H3633" t="s">
        <v>4797</v>
      </c>
      <c r="I3633" t="s">
        <v>116</v>
      </c>
      <c r="J3633" t="s">
        <v>4849</v>
      </c>
      <c r="L3633">
        <v>0</v>
      </c>
      <c r="M3633" t="s">
        <v>125</v>
      </c>
      <c r="O3633" t="s">
        <v>125</v>
      </c>
      <c r="P3633" t="s">
        <v>125</v>
      </c>
      <c r="Q3633" t="s">
        <v>125</v>
      </c>
      <c r="R3633" t="s">
        <v>125</v>
      </c>
      <c r="S3633" t="s">
        <v>125</v>
      </c>
      <c r="T3633">
        <v>50</v>
      </c>
      <c r="V3633" t="s">
        <v>125</v>
      </c>
      <c r="AE3633" t="s">
        <v>125</v>
      </c>
      <c r="AF3633">
        <v>0</v>
      </c>
      <c r="AG3633" t="s">
        <v>125</v>
      </c>
      <c r="AH3633">
        <v>0</v>
      </c>
      <c r="AK3633">
        <v>0</v>
      </c>
    </row>
    <row r="3634" spans="1:37" x14ac:dyDescent="0.25">
      <c r="A3634" t="s">
        <v>79</v>
      </c>
      <c r="B3634">
        <v>14</v>
      </c>
      <c r="C3634">
        <v>2</v>
      </c>
      <c r="D3634">
        <v>5</v>
      </c>
      <c r="E3634">
        <v>7</v>
      </c>
      <c r="G3634">
        <v>1425</v>
      </c>
      <c r="H3634" t="s">
        <v>4797</v>
      </c>
      <c r="I3634" t="s">
        <v>123</v>
      </c>
      <c r="J3634" t="s">
        <v>4850</v>
      </c>
      <c r="L3634">
        <v>0</v>
      </c>
      <c r="M3634" t="s">
        <v>125</v>
      </c>
      <c r="O3634" t="s">
        <v>125</v>
      </c>
      <c r="P3634" t="s">
        <v>125</v>
      </c>
      <c r="Q3634" t="s">
        <v>125</v>
      </c>
      <c r="R3634" t="s">
        <v>125</v>
      </c>
      <c r="S3634" t="s">
        <v>125</v>
      </c>
      <c r="T3634">
        <v>50</v>
      </c>
      <c r="V3634" t="s">
        <v>125</v>
      </c>
      <c r="AE3634" t="s">
        <v>125</v>
      </c>
      <c r="AF3634">
        <v>0</v>
      </c>
      <c r="AG3634" t="s">
        <v>125</v>
      </c>
      <c r="AH3634">
        <v>0</v>
      </c>
      <c r="AK3634">
        <v>0</v>
      </c>
    </row>
    <row r="3635" spans="1:37" x14ac:dyDescent="0.25">
      <c r="A3635" t="s">
        <v>79</v>
      </c>
      <c r="B3635">
        <v>14</v>
      </c>
      <c r="C3635">
        <v>2</v>
      </c>
      <c r="D3635">
        <v>5</v>
      </c>
      <c r="E3635">
        <v>8</v>
      </c>
      <c r="G3635">
        <v>1425</v>
      </c>
      <c r="H3635" t="s">
        <v>4797</v>
      </c>
      <c r="I3635" t="s">
        <v>126</v>
      </c>
      <c r="J3635" t="s">
        <v>4851</v>
      </c>
      <c r="L3635">
        <v>0</v>
      </c>
      <c r="M3635" t="s">
        <v>125</v>
      </c>
      <c r="O3635" t="s">
        <v>125</v>
      </c>
      <c r="P3635" t="s">
        <v>125</v>
      </c>
      <c r="Q3635" t="s">
        <v>125</v>
      </c>
      <c r="R3635" t="s">
        <v>125</v>
      </c>
      <c r="S3635" t="s">
        <v>125</v>
      </c>
      <c r="T3635">
        <v>50</v>
      </c>
      <c r="V3635" t="s">
        <v>125</v>
      </c>
      <c r="AE3635" t="s">
        <v>125</v>
      </c>
      <c r="AF3635">
        <v>0</v>
      </c>
      <c r="AG3635" t="s">
        <v>125</v>
      </c>
      <c r="AH3635">
        <v>0</v>
      </c>
      <c r="AK3635">
        <v>0</v>
      </c>
    </row>
    <row r="3636" spans="1:37" x14ac:dyDescent="0.25">
      <c r="A3636" t="s">
        <v>79</v>
      </c>
      <c r="B3636">
        <v>14</v>
      </c>
      <c r="C3636">
        <v>2</v>
      </c>
      <c r="D3636">
        <v>5</v>
      </c>
      <c r="E3636">
        <v>9</v>
      </c>
      <c r="G3636">
        <v>1425</v>
      </c>
      <c r="H3636" t="s">
        <v>4797</v>
      </c>
      <c r="I3636" t="s">
        <v>74</v>
      </c>
      <c r="J3636" t="s">
        <v>4852</v>
      </c>
      <c r="L3636">
        <v>0</v>
      </c>
      <c r="M3636" t="s">
        <v>125</v>
      </c>
      <c r="O3636" t="s">
        <v>125</v>
      </c>
      <c r="P3636" t="s">
        <v>125</v>
      </c>
      <c r="Q3636" t="s">
        <v>125</v>
      </c>
      <c r="R3636" t="s">
        <v>125</v>
      </c>
      <c r="S3636" t="s">
        <v>125</v>
      </c>
      <c r="T3636">
        <v>50</v>
      </c>
      <c r="V3636" t="s">
        <v>125</v>
      </c>
      <c r="AE3636" t="s">
        <v>125</v>
      </c>
      <c r="AF3636">
        <v>0</v>
      </c>
      <c r="AG3636" t="s">
        <v>125</v>
      </c>
      <c r="AH3636">
        <v>0</v>
      </c>
      <c r="AK3636">
        <v>0</v>
      </c>
    </row>
    <row r="3637" spans="1:37" x14ac:dyDescent="0.25">
      <c r="A3637" t="s">
        <v>79</v>
      </c>
      <c r="B3637">
        <v>14</v>
      </c>
      <c r="C3637">
        <v>2</v>
      </c>
      <c r="D3637">
        <v>5</v>
      </c>
      <c r="E3637">
        <v>10</v>
      </c>
      <c r="G3637">
        <v>1425</v>
      </c>
      <c r="H3637" t="s">
        <v>4797</v>
      </c>
      <c r="I3637" t="s">
        <v>129</v>
      </c>
      <c r="J3637" t="s">
        <v>4853</v>
      </c>
      <c r="L3637">
        <v>0</v>
      </c>
      <c r="M3637" t="s">
        <v>125</v>
      </c>
      <c r="O3637" t="s">
        <v>125</v>
      </c>
      <c r="P3637" t="s">
        <v>125</v>
      </c>
      <c r="Q3637" t="s">
        <v>125</v>
      </c>
      <c r="R3637" t="s">
        <v>125</v>
      </c>
      <c r="S3637" t="s">
        <v>125</v>
      </c>
      <c r="T3637">
        <v>50</v>
      </c>
      <c r="V3637" t="s">
        <v>125</v>
      </c>
      <c r="AE3637" t="s">
        <v>125</v>
      </c>
      <c r="AF3637">
        <v>0</v>
      </c>
      <c r="AG3637" t="s">
        <v>125</v>
      </c>
      <c r="AH3637">
        <v>0</v>
      </c>
      <c r="AK3637">
        <v>0</v>
      </c>
    </row>
    <row r="3638" spans="1:37" x14ac:dyDescent="0.25">
      <c r="A3638" t="s">
        <v>79</v>
      </c>
      <c r="B3638">
        <v>14</v>
      </c>
      <c r="C3638">
        <v>2</v>
      </c>
      <c r="D3638">
        <v>5</v>
      </c>
      <c r="E3638">
        <v>11</v>
      </c>
      <c r="G3638">
        <v>1425</v>
      </c>
      <c r="H3638" t="s">
        <v>4797</v>
      </c>
      <c r="I3638" t="s">
        <v>131</v>
      </c>
      <c r="J3638" t="s">
        <v>4854</v>
      </c>
      <c r="L3638">
        <v>0</v>
      </c>
      <c r="M3638" t="s">
        <v>125</v>
      </c>
      <c r="O3638" t="s">
        <v>125</v>
      </c>
      <c r="P3638" t="s">
        <v>125</v>
      </c>
      <c r="Q3638" t="s">
        <v>125</v>
      </c>
      <c r="R3638" t="s">
        <v>125</v>
      </c>
      <c r="S3638" t="s">
        <v>125</v>
      </c>
      <c r="T3638">
        <v>50</v>
      </c>
      <c r="V3638" t="s">
        <v>125</v>
      </c>
      <c r="AE3638" t="s">
        <v>125</v>
      </c>
      <c r="AF3638">
        <v>0</v>
      </c>
      <c r="AG3638" t="s">
        <v>125</v>
      </c>
      <c r="AH3638">
        <v>0</v>
      </c>
      <c r="AK3638">
        <v>0</v>
      </c>
    </row>
    <row r="3639" spans="1:37" x14ac:dyDescent="0.25">
      <c r="A3639" t="s">
        <v>79</v>
      </c>
      <c r="B3639">
        <v>14</v>
      </c>
      <c r="C3639">
        <v>2</v>
      </c>
      <c r="D3639">
        <v>5</v>
      </c>
      <c r="E3639">
        <v>12</v>
      </c>
      <c r="G3639">
        <v>1425</v>
      </c>
      <c r="H3639" t="s">
        <v>4797</v>
      </c>
      <c r="I3639" t="s">
        <v>133</v>
      </c>
      <c r="J3639" t="s">
        <v>4855</v>
      </c>
      <c r="L3639">
        <v>0</v>
      </c>
      <c r="M3639" t="s">
        <v>125</v>
      </c>
      <c r="O3639" t="s">
        <v>125</v>
      </c>
      <c r="P3639" t="s">
        <v>125</v>
      </c>
      <c r="Q3639" t="s">
        <v>125</v>
      </c>
      <c r="R3639" t="s">
        <v>125</v>
      </c>
      <c r="S3639" t="s">
        <v>125</v>
      </c>
      <c r="T3639">
        <v>50</v>
      </c>
      <c r="V3639" t="s">
        <v>125</v>
      </c>
      <c r="AE3639" t="s">
        <v>125</v>
      </c>
      <c r="AF3639">
        <v>0</v>
      </c>
      <c r="AG3639" t="s">
        <v>125</v>
      </c>
      <c r="AH3639">
        <v>0</v>
      </c>
      <c r="AK3639">
        <v>0</v>
      </c>
    </row>
    <row r="3640" spans="1:37" x14ac:dyDescent="0.25">
      <c r="A3640" t="s">
        <v>79</v>
      </c>
      <c r="B3640">
        <v>14</v>
      </c>
      <c r="C3640">
        <v>2</v>
      </c>
      <c r="D3640">
        <v>5</v>
      </c>
      <c r="E3640">
        <v>13</v>
      </c>
      <c r="G3640">
        <v>1425</v>
      </c>
      <c r="H3640" t="s">
        <v>4797</v>
      </c>
      <c r="I3640" t="s">
        <v>135</v>
      </c>
      <c r="J3640" t="s">
        <v>4856</v>
      </c>
      <c r="L3640">
        <v>0</v>
      </c>
      <c r="M3640" t="s">
        <v>125</v>
      </c>
      <c r="O3640" t="s">
        <v>125</v>
      </c>
      <c r="P3640" t="s">
        <v>125</v>
      </c>
      <c r="Q3640" t="s">
        <v>125</v>
      </c>
      <c r="R3640" t="s">
        <v>125</v>
      </c>
      <c r="S3640" t="s">
        <v>125</v>
      </c>
      <c r="T3640">
        <v>50</v>
      </c>
      <c r="V3640" t="s">
        <v>125</v>
      </c>
      <c r="AE3640" t="s">
        <v>125</v>
      </c>
      <c r="AF3640">
        <v>0</v>
      </c>
      <c r="AG3640" t="s">
        <v>125</v>
      </c>
      <c r="AH3640">
        <v>0</v>
      </c>
      <c r="AK3640">
        <v>0</v>
      </c>
    </row>
    <row r="3641" spans="1:37" x14ac:dyDescent="0.25">
      <c r="A3641" t="s">
        <v>79</v>
      </c>
      <c r="B3641">
        <v>14</v>
      </c>
      <c r="C3641">
        <v>2</v>
      </c>
      <c r="D3641">
        <v>5</v>
      </c>
      <c r="E3641">
        <v>14</v>
      </c>
      <c r="G3641">
        <v>1425</v>
      </c>
      <c r="H3641" t="s">
        <v>4797</v>
      </c>
      <c r="I3641" t="s">
        <v>137</v>
      </c>
      <c r="J3641" t="s">
        <v>4857</v>
      </c>
      <c r="L3641">
        <v>0</v>
      </c>
      <c r="M3641" t="s">
        <v>125</v>
      </c>
      <c r="O3641" t="s">
        <v>125</v>
      </c>
      <c r="P3641" t="s">
        <v>125</v>
      </c>
      <c r="Q3641" t="s">
        <v>125</v>
      </c>
      <c r="R3641" t="s">
        <v>125</v>
      </c>
      <c r="S3641" t="s">
        <v>125</v>
      </c>
      <c r="T3641">
        <v>50</v>
      </c>
      <c r="V3641" t="s">
        <v>125</v>
      </c>
      <c r="AE3641" t="s">
        <v>125</v>
      </c>
      <c r="AF3641">
        <v>0</v>
      </c>
      <c r="AG3641" t="s">
        <v>125</v>
      </c>
      <c r="AH3641">
        <v>0</v>
      </c>
      <c r="AK3641">
        <v>0</v>
      </c>
    </row>
    <row r="3642" spans="1:37" x14ac:dyDescent="0.25">
      <c r="A3642" t="s">
        <v>79</v>
      </c>
      <c r="B3642">
        <v>14</v>
      </c>
      <c r="C3642">
        <v>2</v>
      </c>
      <c r="D3642">
        <v>5</v>
      </c>
      <c r="E3642">
        <v>15</v>
      </c>
      <c r="G3642">
        <v>1425</v>
      </c>
      <c r="H3642" t="s">
        <v>4797</v>
      </c>
      <c r="I3642" t="s">
        <v>139</v>
      </c>
      <c r="J3642" t="s">
        <v>4858</v>
      </c>
      <c r="L3642">
        <v>0</v>
      </c>
      <c r="M3642" t="s">
        <v>125</v>
      </c>
      <c r="O3642" t="s">
        <v>125</v>
      </c>
      <c r="P3642" t="s">
        <v>125</v>
      </c>
      <c r="Q3642" t="s">
        <v>125</v>
      </c>
      <c r="R3642" t="s">
        <v>125</v>
      </c>
      <c r="S3642" t="s">
        <v>125</v>
      </c>
      <c r="T3642">
        <v>50</v>
      </c>
      <c r="V3642" t="s">
        <v>125</v>
      </c>
      <c r="AE3642" t="s">
        <v>125</v>
      </c>
      <c r="AF3642">
        <v>0</v>
      </c>
      <c r="AG3642" t="s">
        <v>125</v>
      </c>
      <c r="AH3642">
        <v>0</v>
      </c>
      <c r="AK3642">
        <v>0</v>
      </c>
    </row>
    <row r="3643" spans="1:37" x14ac:dyDescent="0.25">
      <c r="L3643">
        <v>0</v>
      </c>
    </row>
    <row r="3644" spans="1:37" x14ac:dyDescent="0.25">
      <c r="L3644">
        <v>0</v>
      </c>
    </row>
    <row r="3645" spans="1:37" x14ac:dyDescent="0.25">
      <c r="A3645" t="s">
        <v>66</v>
      </c>
      <c r="B3645">
        <v>14</v>
      </c>
      <c r="C3645">
        <v>3</v>
      </c>
      <c r="G3645">
        <v>14</v>
      </c>
      <c r="H3645" t="s">
        <v>4422</v>
      </c>
      <c r="I3645" t="s">
        <v>4859</v>
      </c>
      <c r="M3645" t="s">
        <v>4860</v>
      </c>
      <c r="N3645" t="s">
        <v>4859</v>
      </c>
      <c r="P3645" t="s">
        <v>4861</v>
      </c>
      <c r="V3645" t="s">
        <v>4862</v>
      </c>
      <c r="Y3645" t="s">
        <v>4863</v>
      </c>
      <c r="AA3645" t="s">
        <v>4864</v>
      </c>
      <c r="AC3645" t="s">
        <v>63</v>
      </c>
      <c r="AE3645" t="s">
        <v>4865</v>
      </c>
      <c r="AF3645">
        <v>0</v>
      </c>
      <c r="AG3645" t="s">
        <v>4866</v>
      </c>
      <c r="AH3645">
        <v>0</v>
      </c>
      <c r="AK3645">
        <v>0</v>
      </c>
    </row>
    <row r="3646" spans="1:37" x14ac:dyDescent="0.25">
      <c r="L3646">
        <v>0</v>
      </c>
    </row>
    <row r="3647" spans="1:37" x14ac:dyDescent="0.25">
      <c r="A3647" t="s">
        <v>70</v>
      </c>
      <c r="B3647">
        <v>14</v>
      </c>
      <c r="C3647">
        <v>3</v>
      </c>
      <c r="D3647">
        <v>1</v>
      </c>
      <c r="G3647">
        <v>143</v>
      </c>
      <c r="M3647" t="s">
        <v>4867</v>
      </c>
      <c r="O3647" t="s">
        <v>4868</v>
      </c>
      <c r="P3647" t="s">
        <v>4869</v>
      </c>
      <c r="Q3647" t="s">
        <v>109</v>
      </c>
      <c r="R3647" t="s">
        <v>382</v>
      </c>
      <c r="S3647" t="s">
        <v>4870</v>
      </c>
      <c r="V3647" t="s">
        <v>4871</v>
      </c>
      <c r="X3647" t="s">
        <v>4872</v>
      </c>
      <c r="Y3647" t="s">
        <v>4873</v>
      </c>
      <c r="Z3647" t="s">
        <v>4874</v>
      </c>
      <c r="AA3647" t="s">
        <v>4875</v>
      </c>
      <c r="AB3647" t="s">
        <v>63</v>
      </c>
      <c r="AC3647" t="s">
        <v>63</v>
      </c>
      <c r="AE3647" t="s">
        <v>4876</v>
      </c>
      <c r="AF3647">
        <v>0</v>
      </c>
      <c r="AG3647" t="s">
        <v>4877</v>
      </c>
      <c r="AH3647">
        <v>0</v>
      </c>
      <c r="AK3647">
        <v>0</v>
      </c>
    </row>
    <row r="3648" spans="1:37" x14ac:dyDescent="0.25">
      <c r="A3648" t="s">
        <v>79</v>
      </c>
      <c r="B3648">
        <v>14</v>
      </c>
      <c r="C3648">
        <v>3</v>
      </c>
      <c r="D3648">
        <v>1</v>
      </c>
      <c r="E3648">
        <v>1</v>
      </c>
      <c r="G3648">
        <v>1431</v>
      </c>
      <c r="H3648" t="s">
        <v>4868</v>
      </c>
      <c r="I3648" t="s">
        <v>80</v>
      </c>
      <c r="J3648" t="s">
        <v>4878</v>
      </c>
      <c r="L3648">
        <v>0</v>
      </c>
      <c r="M3648" t="s">
        <v>4879</v>
      </c>
      <c r="O3648" t="s">
        <v>4880</v>
      </c>
      <c r="P3648" t="s">
        <v>4881</v>
      </c>
      <c r="Q3648" t="s">
        <v>57</v>
      </c>
      <c r="R3648" t="s">
        <v>382</v>
      </c>
      <c r="S3648" t="s">
        <v>4882</v>
      </c>
      <c r="T3648">
        <v>6</v>
      </c>
      <c r="U3648">
        <v>6</v>
      </c>
      <c r="V3648" t="s">
        <v>4882</v>
      </c>
      <c r="AE3648" t="s">
        <v>4883</v>
      </c>
      <c r="AF3648">
        <v>0</v>
      </c>
      <c r="AG3648" t="s">
        <v>4884</v>
      </c>
      <c r="AH3648">
        <v>0</v>
      </c>
      <c r="AK3648">
        <v>0</v>
      </c>
    </row>
    <row r="3649" spans="1:37" x14ac:dyDescent="0.25">
      <c r="A3649" t="s">
        <v>79</v>
      </c>
      <c r="B3649">
        <v>14</v>
      </c>
      <c r="C3649">
        <v>3</v>
      </c>
      <c r="D3649">
        <v>1</v>
      </c>
      <c r="E3649">
        <v>2</v>
      </c>
      <c r="G3649">
        <v>1431</v>
      </c>
      <c r="H3649" t="s">
        <v>4868</v>
      </c>
      <c r="I3649" t="s">
        <v>88</v>
      </c>
      <c r="J3649" t="s">
        <v>4885</v>
      </c>
      <c r="L3649">
        <v>0</v>
      </c>
      <c r="M3649" t="s">
        <v>4886</v>
      </c>
      <c r="O3649" t="s">
        <v>1319</v>
      </c>
      <c r="P3649" t="s">
        <v>1320</v>
      </c>
      <c r="Q3649" t="s">
        <v>4887</v>
      </c>
      <c r="R3649" t="s">
        <v>229</v>
      </c>
      <c r="S3649" t="s">
        <v>1322</v>
      </c>
      <c r="T3649">
        <v>6</v>
      </c>
      <c r="U3649">
        <v>21</v>
      </c>
      <c r="V3649" t="s">
        <v>4888</v>
      </c>
      <c r="AE3649" t="s">
        <v>4889</v>
      </c>
      <c r="AF3649">
        <v>0</v>
      </c>
      <c r="AG3649" t="s">
        <v>4890</v>
      </c>
      <c r="AH3649">
        <v>0</v>
      </c>
      <c r="AK3649">
        <v>0</v>
      </c>
    </row>
    <row r="3650" spans="1:37" x14ac:dyDescent="0.25">
      <c r="A3650" t="s">
        <v>79</v>
      </c>
      <c r="B3650">
        <v>14</v>
      </c>
      <c r="C3650">
        <v>3</v>
      </c>
      <c r="D3650">
        <v>1</v>
      </c>
      <c r="E3650">
        <v>3</v>
      </c>
      <c r="G3650">
        <v>1431</v>
      </c>
      <c r="H3650" t="s">
        <v>4868</v>
      </c>
      <c r="I3650" t="s">
        <v>95</v>
      </c>
      <c r="J3650" t="s">
        <v>4891</v>
      </c>
      <c r="L3650">
        <v>0</v>
      </c>
      <c r="M3650" t="s">
        <v>4892</v>
      </c>
      <c r="O3650" t="s">
        <v>294</v>
      </c>
      <c r="P3650" t="s">
        <v>295</v>
      </c>
      <c r="Q3650" t="s">
        <v>4893</v>
      </c>
      <c r="R3650" t="s">
        <v>229</v>
      </c>
      <c r="S3650" t="s">
        <v>297</v>
      </c>
      <c r="T3650">
        <v>6</v>
      </c>
      <c r="U3650">
        <v>10</v>
      </c>
      <c r="V3650" t="s">
        <v>4894</v>
      </c>
      <c r="AE3650" t="s">
        <v>4895</v>
      </c>
      <c r="AF3650">
        <v>0</v>
      </c>
      <c r="AG3650" t="s">
        <v>4896</v>
      </c>
      <c r="AH3650">
        <v>0</v>
      </c>
      <c r="AK3650">
        <v>0</v>
      </c>
    </row>
    <row r="3651" spans="1:37" x14ac:dyDescent="0.25">
      <c r="A3651" t="s">
        <v>79</v>
      </c>
      <c r="B3651">
        <v>14</v>
      </c>
      <c r="C3651">
        <v>3</v>
      </c>
      <c r="D3651">
        <v>1</v>
      </c>
      <c r="E3651">
        <v>4</v>
      </c>
      <c r="G3651">
        <v>1431</v>
      </c>
      <c r="H3651" t="s">
        <v>4868</v>
      </c>
      <c r="I3651" t="s">
        <v>102</v>
      </c>
      <c r="J3651" t="s">
        <v>4897</v>
      </c>
      <c r="L3651">
        <v>0</v>
      </c>
      <c r="M3651" t="s">
        <v>4898</v>
      </c>
      <c r="O3651" t="s">
        <v>4605</v>
      </c>
      <c r="P3651" t="s">
        <v>4606</v>
      </c>
      <c r="Q3651" t="s">
        <v>4899</v>
      </c>
      <c r="R3651" t="s">
        <v>268</v>
      </c>
      <c r="S3651" t="s">
        <v>4607</v>
      </c>
      <c r="T3651">
        <v>6</v>
      </c>
      <c r="U3651">
        <v>0</v>
      </c>
      <c r="V3651" t="s">
        <v>4900</v>
      </c>
      <c r="AE3651" t="s">
        <v>4901</v>
      </c>
      <c r="AF3651">
        <v>0</v>
      </c>
      <c r="AG3651" t="s">
        <v>4902</v>
      </c>
      <c r="AH3651">
        <v>0</v>
      </c>
      <c r="AK3651">
        <v>0</v>
      </c>
    </row>
    <row r="3652" spans="1:37" x14ac:dyDescent="0.25">
      <c r="A3652" t="s">
        <v>79</v>
      </c>
      <c r="B3652">
        <v>14</v>
      </c>
      <c r="C3652">
        <v>3</v>
      </c>
      <c r="D3652">
        <v>1</v>
      </c>
      <c r="E3652">
        <v>5</v>
      </c>
      <c r="G3652">
        <v>1431</v>
      </c>
      <c r="H3652" t="s">
        <v>4868</v>
      </c>
      <c r="I3652" t="s">
        <v>109</v>
      </c>
      <c r="J3652" t="s">
        <v>4903</v>
      </c>
      <c r="L3652">
        <v>0</v>
      </c>
      <c r="M3652" t="s">
        <v>125</v>
      </c>
      <c r="O3652" t="s">
        <v>125</v>
      </c>
      <c r="P3652" t="s">
        <v>125</v>
      </c>
      <c r="Q3652" t="s">
        <v>125</v>
      </c>
      <c r="R3652" t="s">
        <v>125</v>
      </c>
      <c r="S3652" t="s">
        <v>125</v>
      </c>
      <c r="T3652">
        <v>6</v>
      </c>
      <c r="V3652" t="s">
        <v>125</v>
      </c>
      <c r="AE3652" t="s">
        <v>125</v>
      </c>
      <c r="AF3652">
        <v>0</v>
      </c>
      <c r="AG3652" t="s">
        <v>125</v>
      </c>
      <c r="AH3652">
        <v>0</v>
      </c>
      <c r="AK3652">
        <v>0</v>
      </c>
    </row>
    <row r="3653" spans="1:37" x14ac:dyDescent="0.25">
      <c r="A3653" t="s">
        <v>79</v>
      </c>
      <c r="B3653">
        <v>14</v>
      </c>
      <c r="C3653">
        <v>3</v>
      </c>
      <c r="D3653">
        <v>1</v>
      </c>
      <c r="E3653">
        <v>6</v>
      </c>
      <c r="G3653">
        <v>1431</v>
      </c>
      <c r="H3653" t="s">
        <v>4868</v>
      </c>
      <c r="I3653" t="s">
        <v>116</v>
      </c>
      <c r="J3653" t="s">
        <v>4904</v>
      </c>
      <c r="L3653">
        <v>0</v>
      </c>
      <c r="M3653" t="s">
        <v>125</v>
      </c>
      <c r="O3653" t="s">
        <v>125</v>
      </c>
      <c r="P3653" t="s">
        <v>125</v>
      </c>
      <c r="Q3653" t="s">
        <v>125</v>
      </c>
      <c r="R3653" t="s">
        <v>125</v>
      </c>
      <c r="S3653" t="s">
        <v>125</v>
      </c>
      <c r="T3653">
        <v>6</v>
      </c>
      <c r="V3653" t="s">
        <v>125</v>
      </c>
      <c r="AE3653" t="s">
        <v>125</v>
      </c>
      <c r="AF3653">
        <v>0</v>
      </c>
      <c r="AG3653" t="s">
        <v>125</v>
      </c>
      <c r="AH3653">
        <v>0</v>
      </c>
      <c r="AK3653">
        <v>0</v>
      </c>
    </row>
    <row r="3654" spans="1:37" x14ac:dyDescent="0.25">
      <c r="A3654" t="s">
        <v>79</v>
      </c>
      <c r="B3654">
        <v>14</v>
      </c>
      <c r="C3654">
        <v>3</v>
      </c>
      <c r="D3654">
        <v>1</v>
      </c>
      <c r="E3654">
        <v>7</v>
      </c>
      <c r="G3654">
        <v>1431</v>
      </c>
      <c r="H3654" t="s">
        <v>4868</v>
      </c>
      <c r="I3654" t="s">
        <v>123</v>
      </c>
      <c r="J3654" t="s">
        <v>4905</v>
      </c>
      <c r="L3654">
        <v>0</v>
      </c>
      <c r="M3654" t="s">
        <v>125</v>
      </c>
      <c r="O3654" t="s">
        <v>125</v>
      </c>
      <c r="P3654" t="s">
        <v>125</v>
      </c>
      <c r="Q3654" t="s">
        <v>125</v>
      </c>
      <c r="R3654" t="s">
        <v>125</v>
      </c>
      <c r="S3654" t="s">
        <v>125</v>
      </c>
      <c r="T3654">
        <v>6</v>
      </c>
      <c r="V3654" t="s">
        <v>125</v>
      </c>
      <c r="AE3654" t="s">
        <v>125</v>
      </c>
      <c r="AF3654">
        <v>0</v>
      </c>
      <c r="AG3654" t="s">
        <v>125</v>
      </c>
      <c r="AH3654">
        <v>0</v>
      </c>
      <c r="AK3654">
        <v>0</v>
      </c>
    </row>
    <row r="3655" spans="1:37" x14ac:dyDescent="0.25">
      <c r="A3655" t="s">
        <v>79</v>
      </c>
      <c r="B3655">
        <v>14</v>
      </c>
      <c r="C3655">
        <v>3</v>
      </c>
      <c r="D3655">
        <v>1</v>
      </c>
      <c r="E3655">
        <v>8</v>
      </c>
      <c r="G3655">
        <v>1431</v>
      </c>
      <c r="H3655" t="s">
        <v>4868</v>
      </c>
      <c r="I3655" t="s">
        <v>126</v>
      </c>
      <c r="J3655" t="s">
        <v>4906</v>
      </c>
      <c r="L3655">
        <v>0</v>
      </c>
      <c r="M3655" t="s">
        <v>125</v>
      </c>
      <c r="O3655" t="s">
        <v>125</v>
      </c>
      <c r="P3655" t="s">
        <v>125</v>
      </c>
      <c r="Q3655" t="s">
        <v>125</v>
      </c>
      <c r="R3655" t="s">
        <v>125</v>
      </c>
      <c r="S3655" t="s">
        <v>125</v>
      </c>
      <c r="T3655">
        <v>6</v>
      </c>
      <c r="V3655" t="s">
        <v>125</v>
      </c>
      <c r="AE3655" t="s">
        <v>125</v>
      </c>
      <c r="AF3655">
        <v>0</v>
      </c>
      <c r="AG3655" t="s">
        <v>125</v>
      </c>
      <c r="AH3655">
        <v>0</v>
      </c>
      <c r="AK3655">
        <v>0</v>
      </c>
    </row>
    <row r="3656" spans="1:37" x14ac:dyDescent="0.25">
      <c r="A3656" t="s">
        <v>79</v>
      </c>
      <c r="B3656">
        <v>14</v>
      </c>
      <c r="C3656">
        <v>3</v>
      </c>
      <c r="D3656">
        <v>1</v>
      </c>
      <c r="E3656">
        <v>9</v>
      </c>
      <c r="G3656">
        <v>1431</v>
      </c>
      <c r="H3656" t="s">
        <v>4868</v>
      </c>
      <c r="I3656" t="s">
        <v>74</v>
      </c>
      <c r="J3656" t="s">
        <v>4907</v>
      </c>
      <c r="L3656">
        <v>0</v>
      </c>
      <c r="M3656" t="s">
        <v>125</v>
      </c>
      <c r="O3656" t="s">
        <v>125</v>
      </c>
      <c r="P3656" t="s">
        <v>125</v>
      </c>
      <c r="Q3656" t="s">
        <v>125</v>
      </c>
      <c r="R3656" t="s">
        <v>125</v>
      </c>
      <c r="S3656" t="s">
        <v>125</v>
      </c>
      <c r="T3656">
        <v>6</v>
      </c>
      <c r="V3656" t="s">
        <v>125</v>
      </c>
      <c r="AE3656" t="s">
        <v>125</v>
      </c>
      <c r="AF3656">
        <v>0</v>
      </c>
      <c r="AG3656" t="s">
        <v>125</v>
      </c>
      <c r="AH3656">
        <v>0</v>
      </c>
      <c r="AK3656">
        <v>0</v>
      </c>
    </row>
    <row r="3657" spans="1:37" x14ac:dyDescent="0.25">
      <c r="A3657" t="s">
        <v>79</v>
      </c>
      <c r="B3657">
        <v>14</v>
      </c>
      <c r="C3657">
        <v>3</v>
      </c>
      <c r="D3657">
        <v>1</v>
      </c>
      <c r="E3657">
        <v>10</v>
      </c>
      <c r="G3657">
        <v>1431</v>
      </c>
      <c r="H3657" t="s">
        <v>4868</v>
      </c>
      <c r="I3657" t="s">
        <v>129</v>
      </c>
      <c r="J3657" t="s">
        <v>4908</v>
      </c>
      <c r="L3657">
        <v>0</v>
      </c>
      <c r="M3657" t="s">
        <v>125</v>
      </c>
      <c r="O3657" t="s">
        <v>125</v>
      </c>
      <c r="P3657" t="s">
        <v>125</v>
      </c>
      <c r="Q3657" t="s">
        <v>125</v>
      </c>
      <c r="R3657" t="s">
        <v>125</v>
      </c>
      <c r="S3657" t="s">
        <v>125</v>
      </c>
      <c r="T3657">
        <v>6</v>
      </c>
      <c r="V3657" t="s">
        <v>125</v>
      </c>
      <c r="AE3657" t="s">
        <v>125</v>
      </c>
      <c r="AF3657">
        <v>0</v>
      </c>
      <c r="AG3657" t="s">
        <v>125</v>
      </c>
      <c r="AH3657">
        <v>0</v>
      </c>
      <c r="AK3657">
        <v>0</v>
      </c>
    </row>
    <row r="3658" spans="1:37" x14ac:dyDescent="0.25">
      <c r="A3658" t="s">
        <v>79</v>
      </c>
      <c r="B3658">
        <v>14</v>
      </c>
      <c r="C3658">
        <v>3</v>
      </c>
      <c r="D3658">
        <v>1</v>
      </c>
      <c r="E3658">
        <v>11</v>
      </c>
      <c r="G3658">
        <v>1431</v>
      </c>
      <c r="H3658" t="s">
        <v>4868</v>
      </c>
      <c r="I3658" t="s">
        <v>131</v>
      </c>
      <c r="J3658" t="s">
        <v>4909</v>
      </c>
      <c r="L3658">
        <v>0</v>
      </c>
      <c r="M3658" t="s">
        <v>125</v>
      </c>
      <c r="O3658" t="s">
        <v>125</v>
      </c>
      <c r="P3658" t="s">
        <v>125</v>
      </c>
      <c r="Q3658" t="s">
        <v>125</v>
      </c>
      <c r="R3658" t="s">
        <v>125</v>
      </c>
      <c r="S3658" t="s">
        <v>125</v>
      </c>
      <c r="T3658">
        <v>6</v>
      </c>
      <c r="V3658" t="s">
        <v>125</v>
      </c>
      <c r="AE3658" t="s">
        <v>125</v>
      </c>
      <c r="AF3658">
        <v>0</v>
      </c>
      <c r="AG3658" t="s">
        <v>125</v>
      </c>
      <c r="AH3658">
        <v>0</v>
      </c>
      <c r="AK3658">
        <v>0</v>
      </c>
    </row>
    <row r="3659" spans="1:37" x14ac:dyDescent="0.25">
      <c r="A3659" t="s">
        <v>79</v>
      </c>
      <c r="B3659">
        <v>14</v>
      </c>
      <c r="C3659">
        <v>3</v>
      </c>
      <c r="D3659">
        <v>1</v>
      </c>
      <c r="E3659">
        <v>12</v>
      </c>
      <c r="G3659">
        <v>1431</v>
      </c>
      <c r="H3659" t="s">
        <v>4868</v>
      </c>
      <c r="I3659" t="s">
        <v>133</v>
      </c>
      <c r="J3659" t="s">
        <v>4910</v>
      </c>
      <c r="L3659">
        <v>0</v>
      </c>
      <c r="M3659" t="s">
        <v>125</v>
      </c>
      <c r="O3659" t="s">
        <v>125</v>
      </c>
      <c r="P3659" t="s">
        <v>125</v>
      </c>
      <c r="Q3659" t="s">
        <v>125</v>
      </c>
      <c r="R3659" t="s">
        <v>125</v>
      </c>
      <c r="S3659" t="s">
        <v>125</v>
      </c>
      <c r="T3659">
        <v>6</v>
      </c>
      <c r="V3659" t="s">
        <v>125</v>
      </c>
      <c r="AE3659" t="s">
        <v>125</v>
      </c>
      <c r="AF3659">
        <v>0</v>
      </c>
      <c r="AG3659" t="s">
        <v>125</v>
      </c>
      <c r="AH3659">
        <v>0</v>
      </c>
      <c r="AK3659">
        <v>0</v>
      </c>
    </row>
    <row r="3660" spans="1:37" x14ac:dyDescent="0.25">
      <c r="A3660" t="s">
        <v>79</v>
      </c>
      <c r="B3660">
        <v>14</v>
      </c>
      <c r="C3660">
        <v>3</v>
      </c>
      <c r="D3660">
        <v>1</v>
      </c>
      <c r="E3660">
        <v>13</v>
      </c>
      <c r="G3660">
        <v>1431</v>
      </c>
      <c r="H3660" t="s">
        <v>4868</v>
      </c>
      <c r="I3660" t="s">
        <v>135</v>
      </c>
      <c r="J3660" t="s">
        <v>4911</v>
      </c>
      <c r="L3660">
        <v>0</v>
      </c>
      <c r="M3660" t="s">
        <v>125</v>
      </c>
      <c r="O3660" t="s">
        <v>125</v>
      </c>
      <c r="P3660" t="s">
        <v>125</v>
      </c>
      <c r="Q3660" t="s">
        <v>125</v>
      </c>
      <c r="R3660" t="s">
        <v>125</v>
      </c>
      <c r="S3660" t="s">
        <v>125</v>
      </c>
      <c r="T3660">
        <v>6</v>
      </c>
      <c r="V3660" t="s">
        <v>125</v>
      </c>
      <c r="AE3660" t="s">
        <v>125</v>
      </c>
      <c r="AF3660">
        <v>0</v>
      </c>
      <c r="AG3660" t="s">
        <v>125</v>
      </c>
      <c r="AH3660">
        <v>0</v>
      </c>
      <c r="AK3660">
        <v>0</v>
      </c>
    </row>
    <row r="3661" spans="1:37" x14ac:dyDescent="0.25">
      <c r="A3661" t="s">
        <v>79</v>
      </c>
      <c r="B3661">
        <v>14</v>
      </c>
      <c r="C3661">
        <v>3</v>
      </c>
      <c r="D3661">
        <v>1</v>
      </c>
      <c r="E3661">
        <v>14</v>
      </c>
      <c r="G3661">
        <v>1431</v>
      </c>
      <c r="H3661" t="s">
        <v>4868</v>
      </c>
      <c r="I3661" t="s">
        <v>137</v>
      </c>
      <c r="J3661" t="s">
        <v>4912</v>
      </c>
      <c r="L3661">
        <v>0</v>
      </c>
      <c r="M3661" t="s">
        <v>125</v>
      </c>
      <c r="O3661" t="s">
        <v>125</v>
      </c>
      <c r="P3661" t="s">
        <v>125</v>
      </c>
      <c r="Q3661" t="s">
        <v>125</v>
      </c>
      <c r="R3661" t="s">
        <v>125</v>
      </c>
      <c r="S3661" t="s">
        <v>125</v>
      </c>
      <c r="T3661">
        <v>6</v>
      </c>
      <c r="V3661" t="s">
        <v>125</v>
      </c>
      <c r="AE3661" t="s">
        <v>125</v>
      </c>
      <c r="AF3661">
        <v>0</v>
      </c>
      <c r="AG3661" t="s">
        <v>125</v>
      </c>
      <c r="AH3661">
        <v>0</v>
      </c>
      <c r="AK3661">
        <v>0</v>
      </c>
    </row>
    <row r="3662" spans="1:37" x14ac:dyDescent="0.25">
      <c r="A3662" t="s">
        <v>79</v>
      </c>
      <c r="B3662">
        <v>14</v>
      </c>
      <c r="C3662">
        <v>3</v>
      </c>
      <c r="D3662">
        <v>1</v>
      </c>
      <c r="E3662">
        <v>15</v>
      </c>
      <c r="G3662">
        <v>1431</v>
      </c>
      <c r="H3662" t="s">
        <v>4868</v>
      </c>
      <c r="I3662" t="s">
        <v>139</v>
      </c>
      <c r="J3662" t="s">
        <v>4913</v>
      </c>
      <c r="L3662">
        <v>0</v>
      </c>
      <c r="M3662" t="s">
        <v>125</v>
      </c>
      <c r="O3662" t="s">
        <v>125</v>
      </c>
      <c r="P3662" t="s">
        <v>125</v>
      </c>
      <c r="Q3662" t="s">
        <v>125</v>
      </c>
      <c r="R3662" t="s">
        <v>125</v>
      </c>
      <c r="S3662" t="s">
        <v>125</v>
      </c>
      <c r="T3662">
        <v>6</v>
      </c>
      <c r="V3662" t="s">
        <v>125</v>
      </c>
      <c r="AE3662" t="s">
        <v>125</v>
      </c>
      <c r="AF3662">
        <v>0</v>
      </c>
      <c r="AG3662" t="s">
        <v>125</v>
      </c>
      <c r="AH3662">
        <v>0</v>
      </c>
      <c r="AK3662">
        <v>0</v>
      </c>
    </row>
    <row r="3663" spans="1:37" x14ac:dyDescent="0.25">
      <c r="L3663">
        <v>0</v>
      </c>
    </row>
    <row r="3664" spans="1:37" x14ac:dyDescent="0.25">
      <c r="A3664" t="s">
        <v>70</v>
      </c>
      <c r="B3664">
        <v>14</v>
      </c>
      <c r="C3664">
        <v>3</v>
      </c>
      <c r="D3664">
        <v>2</v>
      </c>
      <c r="G3664">
        <v>143</v>
      </c>
      <c r="M3664" t="s">
        <v>4914</v>
      </c>
      <c r="O3664" t="s">
        <v>4915</v>
      </c>
      <c r="P3664" t="s">
        <v>4916</v>
      </c>
      <c r="Q3664" t="s">
        <v>4917</v>
      </c>
      <c r="R3664" t="s">
        <v>192</v>
      </c>
      <c r="S3664" t="s">
        <v>4918</v>
      </c>
      <c r="V3664" t="s">
        <v>4919</v>
      </c>
      <c r="X3664" t="s">
        <v>4920</v>
      </c>
      <c r="Y3664" t="s">
        <v>4921</v>
      </c>
      <c r="Z3664" t="s">
        <v>4922</v>
      </c>
      <c r="AA3664" t="s">
        <v>4923</v>
      </c>
      <c r="AB3664" t="s">
        <v>63</v>
      </c>
      <c r="AC3664" t="s">
        <v>63</v>
      </c>
      <c r="AE3664" t="s">
        <v>4924</v>
      </c>
      <c r="AF3664">
        <v>0</v>
      </c>
      <c r="AG3664" t="s">
        <v>4925</v>
      </c>
      <c r="AH3664">
        <v>0</v>
      </c>
      <c r="AK3664">
        <v>0</v>
      </c>
    </row>
    <row r="3665" spans="1:37" x14ac:dyDescent="0.25">
      <c r="A3665" t="s">
        <v>79</v>
      </c>
      <c r="B3665">
        <v>14</v>
      </c>
      <c r="C3665">
        <v>3</v>
      </c>
      <c r="D3665">
        <v>2</v>
      </c>
      <c r="E3665">
        <v>1</v>
      </c>
      <c r="G3665">
        <v>1432</v>
      </c>
      <c r="H3665" t="s">
        <v>4915</v>
      </c>
      <c r="I3665" t="s">
        <v>80</v>
      </c>
      <c r="J3665" t="s">
        <v>4926</v>
      </c>
      <c r="L3665">
        <v>0</v>
      </c>
      <c r="M3665" t="s">
        <v>4927</v>
      </c>
      <c r="O3665" t="s">
        <v>3495</v>
      </c>
      <c r="P3665" t="s">
        <v>3496</v>
      </c>
      <c r="Q3665" t="s">
        <v>4928</v>
      </c>
      <c r="R3665" t="s">
        <v>382</v>
      </c>
      <c r="S3665" t="s">
        <v>1054</v>
      </c>
      <c r="T3665">
        <v>50</v>
      </c>
      <c r="U3665">
        <v>164</v>
      </c>
      <c r="V3665" t="s">
        <v>4929</v>
      </c>
      <c r="AE3665" t="s">
        <v>4930</v>
      </c>
      <c r="AF3665">
        <v>0</v>
      </c>
      <c r="AG3665" t="s">
        <v>4931</v>
      </c>
      <c r="AH3665">
        <v>0</v>
      </c>
      <c r="AK3665">
        <v>0</v>
      </c>
    </row>
    <row r="3666" spans="1:37" x14ac:dyDescent="0.25">
      <c r="A3666" t="s">
        <v>79</v>
      </c>
      <c r="B3666">
        <v>14</v>
      </c>
      <c r="C3666">
        <v>3</v>
      </c>
      <c r="D3666">
        <v>2</v>
      </c>
      <c r="E3666">
        <v>2</v>
      </c>
      <c r="G3666">
        <v>1432</v>
      </c>
      <c r="H3666" t="s">
        <v>4915</v>
      </c>
      <c r="I3666" t="s">
        <v>88</v>
      </c>
      <c r="J3666" t="s">
        <v>4932</v>
      </c>
      <c r="L3666">
        <v>0</v>
      </c>
      <c r="M3666" t="s">
        <v>4933</v>
      </c>
      <c r="O3666" t="s">
        <v>4816</v>
      </c>
      <c r="P3666" t="s">
        <v>4817</v>
      </c>
      <c r="Q3666" t="s">
        <v>1917</v>
      </c>
      <c r="R3666" t="s">
        <v>210</v>
      </c>
      <c r="S3666" t="s">
        <v>4819</v>
      </c>
      <c r="T3666">
        <v>50</v>
      </c>
      <c r="U3666">
        <v>0</v>
      </c>
      <c r="V3666" t="s">
        <v>1155</v>
      </c>
      <c r="AE3666" t="s">
        <v>4934</v>
      </c>
      <c r="AF3666">
        <v>0</v>
      </c>
      <c r="AG3666" t="s">
        <v>4935</v>
      </c>
      <c r="AH3666">
        <v>0</v>
      </c>
      <c r="AK3666">
        <v>0</v>
      </c>
    </row>
    <row r="3667" spans="1:37" x14ac:dyDescent="0.25">
      <c r="A3667" t="s">
        <v>79</v>
      </c>
      <c r="B3667">
        <v>14</v>
      </c>
      <c r="C3667">
        <v>3</v>
      </c>
      <c r="D3667">
        <v>2</v>
      </c>
      <c r="E3667">
        <v>3</v>
      </c>
      <c r="G3667">
        <v>1432</v>
      </c>
      <c r="H3667" t="s">
        <v>4915</v>
      </c>
      <c r="I3667" t="s">
        <v>95</v>
      </c>
      <c r="J3667" t="s">
        <v>4936</v>
      </c>
      <c r="L3667">
        <v>0</v>
      </c>
      <c r="M3667" t="s">
        <v>4937</v>
      </c>
      <c r="O3667" t="s">
        <v>4938</v>
      </c>
      <c r="P3667" t="s">
        <v>4939</v>
      </c>
      <c r="Q3667" t="s">
        <v>4940</v>
      </c>
      <c r="R3667" t="s">
        <v>382</v>
      </c>
      <c r="S3667" t="s">
        <v>4941</v>
      </c>
      <c r="T3667">
        <v>50</v>
      </c>
      <c r="U3667">
        <v>55</v>
      </c>
      <c r="V3667" t="s">
        <v>4942</v>
      </c>
      <c r="AE3667" t="s">
        <v>4943</v>
      </c>
      <c r="AF3667">
        <v>0</v>
      </c>
      <c r="AG3667" t="s">
        <v>4944</v>
      </c>
      <c r="AH3667">
        <v>0</v>
      </c>
      <c r="AK3667">
        <v>0</v>
      </c>
    </row>
    <row r="3668" spans="1:37" x14ac:dyDescent="0.25">
      <c r="A3668" t="s">
        <v>79</v>
      </c>
      <c r="B3668">
        <v>14</v>
      </c>
      <c r="C3668">
        <v>3</v>
      </c>
      <c r="D3668">
        <v>2</v>
      </c>
      <c r="E3668">
        <v>4</v>
      </c>
      <c r="G3668">
        <v>1432</v>
      </c>
      <c r="H3668" t="s">
        <v>4915</v>
      </c>
      <c r="I3668" t="s">
        <v>102</v>
      </c>
      <c r="J3668" t="s">
        <v>4945</v>
      </c>
      <c r="L3668">
        <v>0</v>
      </c>
      <c r="M3668" t="s">
        <v>4946</v>
      </c>
      <c r="O3668" t="s">
        <v>4947</v>
      </c>
      <c r="P3668" t="s">
        <v>4948</v>
      </c>
      <c r="Q3668" t="s">
        <v>4949</v>
      </c>
      <c r="R3668" t="s">
        <v>192</v>
      </c>
      <c r="S3668" t="s">
        <v>4950</v>
      </c>
      <c r="T3668">
        <v>50</v>
      </c>
      <c r="U3668">
        <v>52</v>
      </c>
      <c r="V3668" t="s">
        <v>4951</v>
      </c>
      <c r="AE3668" t="s">
        <v>4952</v>
      </c>
      <c r="AF3668">
        <v>0</v>
      </c>
      <c r="AG3668" t="s">
        <v>4953</v>
      </c>
      <c r="AH3668">
        <v>0</v>
      </c>
      <c r="AK3668">
        <v>0</v>
      </c>
    </row>
    <row r="3669" spans="1:37" x14ac:dyDescent="0.25">
      <c r="A3669" t="s">
        <v>79</v>
      </c>
      <c r="B3669">
        <v>14</v>
      </c>
      <c r="C3669">
        <v>3</v>
      </c>
      <c r="D3669">
        <v>2</v>
      </c>
      <c r="E3669">
        <v>5</v>
      </c>
      <c r="G3669">
        <v>1432</v>
      </c>
      <c r="H3669" t="s">
        <v>4915</v>
      </c>
      <c r="I3669" t="s">
        <v>109</v>
      </c>
      <c r="J3669" t="s">
        <v>4954</v>
      </c>
      <c r="L3669">
        <v>0</v>
      </c>
      <c r="M3669" t="s">
        <v>4955</v>
      </c>
      <c r="O3669" t="s">
        <v>4834</v>
      </c>
      <c r="P3669" t="s">
        <v>4835</v>
      </c>
      <c r="Q3669" t="s">
        <v>4956</v>
      </c>
      <c r="R3669" t="s">
        <v>229</v>
      </c>
      <c r="S3669" t="s">
        <v>1732</v>
      </c>
      <c r="T3669">
        <v>50</v>
      </c>
      <c r="U3669">
        <v>39</v>
      </c>
      <c r="V3669" t="s">
        <v>4957</v>
      </c>
      <c r="AE3669" t="s">
        <v>4958</v>
      </c>
      <c r="AF3669">
        <v>0</v>
      </c>
      <c r="AG3669" t="s">
        <v>4959</v>
      </c>
      <c r="AH3669">
        <v>0</v>
      </c>
      <c r="AK3669">
        <v>0</v>
      </c>
    </row>
    <row r="3670" spans="1:37" x14ac:dyDescent="0.25">
      <c r="A3670" t="s">
        <v>79</v>
      </c>
      <c r="B3670">
        <v>14</v>
      </c>
      <c r="C3670">
        <v>3</v>
      </c>
      <c r="D3670">
        <v>2</v>
      </c>
      <c r="E3670">
        <v>6</v>
      </c>
      <c r="G3670">
        <v>1432</v>
      </c>
      <c r="H3670" t="s">
        <v>4915</v>
      </c>
      <c r="I3670" t="s">
        <v>116</v>
      </c>
      <c r="J3670" t="s">
        <v>4960</v>
      </c>
      <c r="L3670">
        <v>0</v>
      </c>
      <c r="M3670" t="s">
        <v>4961</v>
      </c>
      <c r="O3670" t="s">
        <v>4842</v>
      </c>
      <c r="P3670" t="s">
        <v>4843</v>
      </c>
      <c r="Q3670" t="s">
        <v>3767</v>
      </c>
      <c r="R3670" t="s">
        <v>229</v>
      </c>
      <c r="S3670" t="s">
        <v>4845</v>
      </c>
      <c r="T3670">
        <v>50</v>
      </c>
      <c r="U3670">
        <v>47</v>
      </c>
      <c r="V3670" t="s">
        <v>4962</v>
      </c>
      <c r="AE3670" t="s">
        <v>4963</v>
      </c>
      <c r="AF3670">
        <v>0</v>
      </c>
      <c r="AG3670" t="s">
        <v>4964</v>
      </c>
      <c r="AH3670">
        <v>0</v>
      </c>
      <c r="AK3670">
        <v>0</v>
      </c>
    </row>
    <row r="3671" spans="1:37" x14ac:dyDescent="0.25">
      <c r="A3671" t="s">
        <v>79</v>
      </c>
      <c r="B3671">
        <v>14</v>
      </c>
      <c r="C3671">
        <v>3</v>
      </c>
      <c r="D3671">
        <v>2</v>
      </c>
      <c r="E3671">
        <v>7</v>
      </c>
      <c r="G3671">
        <v>1432</v>
      </c>
      <c r="H3671" t="s">
        <v>4915</v>
      </c>
      <c r="I3671" t="s">
        <v>123</v>
      </c>
      <c r="J3671" t="s">
        <v>4965</v>
      </c>
      <c r="L3671">
        <v>0</v>
      </c>
      <c r="M3671" t="s">
        <v>125</v>
      </c>
      <c r="O3671" t="s">
        <v>125</v>
      </c>
      <c r="P3671" t="s">
        <v>125</v>
      </c>
      <c r="Q3671" t="s">
        <v>125</v>
      </c>
      <c r="R3671" t="s">
        <v>125</v>
      </c>
      <c r="S3671" t="s">
        <v>125</v>
      </c>
      <c r="T3671">
        <v>50</v>
      </c>
      <c r="V3671" t="s">
        <v>125</v>
      </c>
      <c r="AE3671" t="s">
        <v>125</v>
      </c>
      <c r="AF3671">
        <v>0</v>
      </c>
      <c r="AG3671" t="s">
        <v>125</v>
      </c>
      <c r="AH3671">
        <v>0</v>
      </c>
      <c r="AK3671">
        <v>0</v>
      </c>
    </row>
    <row r="3672" spans="1:37" x14ac:dyDescent="0.25">
      <c r="A3672" t="s">
        <v>79</v>
      </c>
      <c r="B3672">
        <v>14</v>
      </c>
      <c r="C3672">
        <v>3</v>
      </c>
      <c r="D3672">
        <v>2</v>
      </c>
      <c r="E3672">
        <v>8</v>
      </c>
      <c r="G3672">
        <v>1432</v>
      </c>
      <c r="H3672" t="s">
        <v>4915</v>
      </c>
      <c r="I3672" t="s">
        <v>126</v>
      </c>
      <c r="J3672" t="s">
        <v>4966</v>
      </c>
      <c r="L3672">
        <v>0</v>
      </c>
      <c r="M3672" t="s">
        <v>125</v>
      </c>
      <c r="O3672" t="s">
        <v>125</v>
      </c>
      <c r="P3672" t="s">
        <v>125</v>
      </c>
      <c r="Q3672" t="s">
        <v>125</v>
      </c>
      <c r="R3672" t="s">
        <v>125</v>
      </c>
      <c r="S3672" t="s">
        <v>125</v>
      </c>
      <c r="T3672">
        <v>50</v>
      </c>
      <c r="V3672" t="s">
        <v>125</v>
      </c>
      <c r="AE3672" t="s">
        <v>125</v>
      </c>
      <c r="AF3672">
        <v>0</v>
      </c>
      <c r="AG3672" t="s">
        <v>125</v>
      </c>
      <c r="AH3672">
        <v>0</v>
      </c>
      <c r="AK3672">
        <v>0</v>
      </c>
    </row>
    <row r="3673" spans="1:37" x14ac:dyDescent="0.25">
      <c r="A3673" t="s">
        <v>79</v>
      </c>
      <c r="B3673">
        <v>14</v>
      </c>
      <c r="C3673">
        <v>3</v>
      </c>
      <c r="D3673">
        <v>2</v>
      </c>
      <c r="E3673">
        <v>9</v>
      </c>
      <c r="G3673">
        <v>1432</v>
      </c>
      <c r="H3673" t="s">
        <v>4915</v>
      </c>
      <c r="I3673" t="s">
        <v>74</v>
      </c>
      <c r="J3673" t="s">
        <v>4967</v>
      </c>
      <c r="L3673">
        <v>0</v>
      </c>
      <c r="M3673" t="s">
        <v>125</v>
      </c>
      <c r="O3673" t="s">
        <v>125</v>
      </c>
      <c r="P3673" t="s">
        <v>125</v>
      </c>
      <c r="Q3673" t="s">
        <v>125</v>
      </c>
      <c r="R3673" t="s">
        <v>125</v>
      </c>
      <c r="S3673" t="s">
        <v>125</v>
      </c>
      <c r="T3673">
        <v>50</v>
      </c>
      <c r="V3673" t="s">
        <v>125</v>
      </c>
      <c r="AE3673" t="s">
        <v>125</v>
      </c>
      <c r="AF3673">
        <v>0</v>
      </c>
      <c r="AG3673" t="s">
        <v>125</v>
      </c>
      <c r="AH3673">
        <v>0</v>
      </c>
      <c r="AK3673">
        <v>0</v>
      </c>
    </row>
    <row r="3674" spans="1:37" x14ac:dyDescent="0.25">
      <c r="A3674" t="s">
        <v>79</v>
      </c>
      <c r="B3674">
        <v>14</v>
      </c>
      <c r="C3674">
        <v>3</v>
      </c>
      <c r="D3674">
        <v>2</v>
      </c>
      <c r="E3674">
        <v>10</v>
      </c>
      <c r="G3674">
        <v>1432</v>
      </c>
      <c r="H3674" t="s">
        <v>4915</v>
      </c>
      <c r="I3674" t="s">
        <v>129</v>
      </c>
      <c r="J3674" t="s">
        <v>4968</v>
      </c>
      <c r="L3674">
        <v>0</v>
      </c>
      <c r="M3674" t="s">
        <v>125</v>
      </c>
      <c r="O3674" t="s">
        <v>125</v>
      </c>
      <c r="P3674" t="s">
        <v>125</v>
      </c>
      <c r="Q3674" t="s">
        <v>125</v>
      </c>
      <c r="R3674" t="s">
        <v>125</v>
      </c>
      <c r="S3674" t="s">
        <v>125</v>
      </c>
      <c r="T3674">
        <v>50</v>
      </c>
      <c r="V3674" t="s">
        <v>125</v>
      </c>
      <c r="AE3674" t="s">
        <v>125</v>
      </c>
      <c r="AF3674">
        <v>0</v>
      </c>
      <c r="AG3674" t="s">
        <v>125</v>
      </c>
      <c r="AH3674">
        <v>0</v>
      </c>
      <c r="AK3674">
        <v>0</v>
      </c>
    </row>
    <row r="3675" spans="1:37" x14ac:dyDescent="0.25">
      <c r="A3675" t="s">
        <v>79</v>
      </c>
      <c r="B3675">
        <v>14</v>
      </c>
      <c r="C3675">
        <v>3</v>
      </c>
      <c r="D3675">
        <v>2</v>
      </c>
      <c r="E3675">
        <v>11</v>
      </c>
      <c r="G3675">
        <v>1432</v>
      </c>
      <c r="H3675" t="s">
        <v>4915</v>
      </c>
      <c r="I3675" t="s">
        <v>131</v>
      </c>
      <c r="J3675" t="s">
        <v>4969</v>
      </c>
      <c r="L3675">
        <v>0</v>
      </c>
      <c r="M3675" t="s">
        <v>125</v>
      </c>
      <c r="O3675" t="s">
        <v>125</v>
      </c>
      <c r="P3675" t="s">
        <v>125</v>
      </c>
      <c r="Q3675" t="s">
        <v>125</v>
      </c>
      <c r="R3675" t="s">
        <v>125</v>
      </c>
      <c r="S3675" t="s">
        <v>125</v>
      </c>
      <c r="T3675">
        <v>50</v>
      </c>
      <c r="V3675" t="s">
        <v>125</v>
      </c>
      <c r="AE3675" t="s">
        <v>125</v>
      </c>
      <c r="AF3675">
        <v>0</v>
      </c>
      <c r="AG3675" t="s">
        <v>125</v>
      </c>
      <c r="AH3675">
        <v>0</v>
      </c>
      <c r="AK3675">
        <v>0</v>
      </c>
    </row>
    <row r="3676" spans="1:37" x14ac:dyDescent="0.25">
      <c r="A3676" t="s">
        <v>79</v>
      </c>
      <c r="B3676">
        <v>14</v>
      </c>
      <c r="C3676">
        <v>3</v>
      </c>
      <c r="D3676">
        <v>2</v>
      </c>
      <c r="E3676">
        <v>12</v>
      </c>
      <c r="G3676">
        <v>1432</v>
      </c>
      <c r="H3676" t="s">
        <v>4915</v>
      </c>
      <c r="I3676" t="s">
        <v>133</v>
      </c>
      <c r="J3676" t="s">
        <v>4970</v>
      </c>
      <c r="L3676">
        <v>0</v>
      </c>
      <c r="M3676" t="s">
        <v>125</v>
      </c>
      <c r="O3676" t="s">
        <v>125</v>
      </c>
      <c r="P3676" t="s">
        <v>125</v>
      </c>
      <c r="Q3676" t="s">
        <v>125</v>
      </c>
      <c r="R3676" t="s">
        <v>125</v>
      </c>
      <c r="S3676" t="s">
        <v>125</v>
      </c>
      <c r="T3676">
        <v>50</v>
      </c>
      <c r="V3676" t="s">
        <v>125</v>
      </c>
      <c r="AE3676" t="s">
        <v>125</v>
      </c>
      <c r="AF3676">
        <v>0</v>
      </c>
      <c r="AG3676" t="s">
        <v>125</v>
      </c>
      <c r="AH3676">
        <v>0</v>
      </c>
      <c r="AK3676">
        <v>0</v>
      </c>
    </row>
    <row r="3677" spans="1:37" x14ac:dyDescent="0.25">
      <c r="A3677" t="s">
        <v>79</v>
      </c>
      <c r="B3677">
        <v>14</v>
      </c>
      <c r="C3677">
        <v>3</v>
      </c>
      <c r="D3677">
        <v>2</v>
      </c>
      <c r="E3677">
        <v>13</v>
      </c>
      <c r="G3677">
        <v>1432</v>
      </c>
      <c r="H3677" t="s">
        <v>4915</v>
      </c>
      <c r="I3677" t="s">
        <v>135</v>
      </c>
      <c r="J3677" t="s">
        <v>4971</v>
      </c>
      <c r="L3677">
        <v>0</v>
      </c>
      <c r="M3677" t="s">
        <v>125</v>
      </c>
      <c r="O3677" t="s">
        <v>125</v>
      </c>
      <c r="P3677" t="s">
        <v>125</v>
      </c>
      <c r="Q3677" t="s">
        <v>125</v>
      </c>
      <c r="R3677" t="s">
        <v>125</v>
      </c>
      <c r="S3677" t="s">
        <v>125</v>
      </c>
      <c r="T3677">
        <v>50</v>
      </c>
      <c r="V3677" t="s">
        <v>125</v>
      </c>
      <c r="AE3677" t="s">
        <v>125</v>
      </c>
      <c r="AF3677">
        <v>0</v>
      </c>
      <c r="AG3677" t="s">
        <v>125</v>
      </c>
      <c r="AH3677">
        <v>0</v>
      </c>
      <c r="AK3677">
        <v>0</v>
      </c>
    </row>
    <row r="3678" spans="1:37" x14ac:dyDescent="0.25">
      <c r="A3678" t="s">
        <v>79</v>
      </c>
      <c r="B3678">
        <v>14</v>
      </c>
      <c r="C3678">
        <v>3</v>
      </c>
      <c r="D3678">
        <v>2</v>
      </c>
      <c r="E3678">
        <v>14</v>
      </c>
      <c r="G3678">
        <v>1432</v>
      </c>
      <c r="H3678" t="s">
        <v>4915</v>
      </c>
      <c r="I3678" t="s">
        <v>137</v>
      </c>
      <c r="J3678" t="s">
        <v>4972</v>
      </c>
      <c r="L3678">
        <v>0</v>
      </c>
      <c r="M3678" t="s">
        <v>125</v>
      </c>
      <c r="O3678" t="s">
        <v>125</v>
      </c>
      <c r="P3678" t="s">
        <v>125</v>
      </c>
      <c r="Q3678" t="s">
        <v>125</v>
      </c>
      <c r="R3678" t="s">
        <v>125</v>
      </c>
      <c r="S3678" t="s">
        <v>125</v>
      </c>
      <c r="T3678">
        <v>50</v>
      </c>
      <c r="V3678" t="s">
        <v>125</v>
      </c>
      <c r="AE3678" t="s">
        <v>125</v>
      </c>
      <c r="AF3678">
        <v>0</v>
      </c>
      <c r="AG3678" t="s">
        <v>125</v>
      </c>
      <c r="AH3678">
        <v>0</v>
      </c>
      <c r="AK3678">
        <v>0</v>
      </c>
    </row>
    <row r="3679" spans="1:37" x14ac:dyDescent="0.25">
      <c r="A3679" t="s">
        <v>79</v>
      </c>
      <c r="B3679">
        <v>14</v>
      </c>
      <c r="C3679">
        <v>3</v>
      </c>
      <c r="D3679">
        <v>2</v>
      </c>
      <c r="E3679">
        <v>15</v>
      </c>
      <c r="G3679">
        <v>1432</v>
      </c>
      <c r="H3679" t="s">
        <v>4915</v>
      </c>
      <c r="I3679" t="s">
        <v>139</v>
      </c>
      <c r="J3679" t="s">
        <v>4973</v>
      </c>
      <c r="L3679">
        <v>0</v>
      </c>
      <c r="M3679" t="s">
        <v>125</v>
      </c>
      <c r="O3679" t="s">
        <v>125</v>
      </c>
      <c r="P3679" t="s">
        <v>125</v>
      </c>
      <c r="Q3679" t="s">
        <v>125</v>
      </c>
      <c r="R3679" t="s">
        <v>125</v>
      </c>
      <c r="S3679" t="s">
        <v>125</v>
      </c>
      <c r="T3679">
        <v>50</v>
      </c>
      <c r="V3679" t="s">
        <v>125</v>
      </c>
      <c r="AE3679" t="s">
        <v>125</v>
      </c>
      <c r="AF3679">
        <v>0</v>
      </c>
      <c r="AG3679" t="s">
        <v>125</v>
      </c>
      <c r="AH3679">
        <v>0</v>
      </c>
      <c r="AK3679">
        <v>0</v>
      </c>
    </row>
    <row r="3680" spans="1:37" x14ac:dyDescent="0.25">
      <c r="L3680">
        <v>0</v>
      </c>
    </row>
    <row r="3681" spans="1:37" x14ac:dyDescent="0.25">
      <c r="A3681" t="s">
        <v>70</v>
      </c>
      <c r="B3681">
        <v>14</v>
      </c>
      <c r="C3681">
        <v>3</v>
      </c>
      <c r="D3681">
        <v>3</v>
      </c>
      <c r="G3681">
        <v>143</v>
      </c>
      <c r="L3681">
        <v>0</v>
      </c>
      <c r="M3681" t="s">
        <v>125</v>
      </c>
      <c r="P3681" t="s">
        <v>125</v>
      </c>
      <c r="R3681" t="s">
        <v>125</v>
      </c>
      <c r="S3681" t="s">
        <v>63</v>
      </c>
      <c r="V3681" t="s">
        <v>125</v>
      </c>
      <c r="X3681" t="s">
        <v>125</v>
      </c>
      <c r="Y3681" t="s">
        <v>125</v>
      </c>
      <c r="Z3681" t="s">
        <v>125</v>
      </c>
      <c r="AA3681" t="s">
        <v>125</v>
      </c>
      <c r="AB3681" t="s">
        <v>125</v>
      </c>
      <c r="AC3681" t="s">
        <v>125</v>
      </c>
      <c r="AE3681" t="s">
        <v>125</v>
      </c>
      <c r="AF3681">
        <v>0</v>
      </c>
      <c r="AG3681" t="s">
        <v>125</v>
      </c>
      <c r="AH3681">
        <v>0</v>
      </c>
      <c r="AK3681">
        <v>0</v>
      </c>
    </row>
    <row r="3682" spans="1:37" x14ac:dyDescent="0.25">
      <c r="A3682" t="s">
        <v>79</v>
      </c>
      <c r="B3682">
        <v>14</v>
      </c>
      <c r="C3682">
        <v>3</v>
      </c>
      <c r="D3682">
        <v>3</v>
      </c>
      <c r="E3682">
        <v>1</v>
      </c>
      <c r="G3682">
        <v>1433</v>
      </c>
      <c r="H3682" t="s">
        <v>63</v>
      </c>
      <c r="I3682" t="s">
        <v>80</v>
      </c>
      <c r="J3682" t="s">
        <v>141</v>
      </c>
      <c r="L3682">
        <v>0</v>
      </c>
      <c r="M3682" t="s">
        <v>125</v>
      </c>
      <c r="O3682" t="s">
        <v>125</v>
      </c>
      <c r="P3682" t="s">
        <v>125</v>
      </c>
      <c r="Q3682" t="s">
        <v>125</v>
      </c>
      <c r="R3682" t="s">
        <v>125</v>
      </c>
      <c r="S3682" t="s">
        <v>125</v>
      </c>
      <c r="T3682">
        <v>0</v>
      </c>
      <c r="V3682" t="s">
        <v>125</v>
      </c>
      <c r="AE3682" t="s">
        <v>125</v>
      </c>
      <c r="AF3682">
        <v>0</v>
      </c>
      <c r="AG3682" t="s">
        <v>125</v>
      </c>
      <c r="AH3682">
        <v>0</v>
      </c>
      <c r="AK3682">
        <v>0</v>
      </c>
    </row>
    <row r="3683" spans="1:37" x14ac:dyDescent="0.25">
      <c r="A3683" t="s">
        <v>79</v>
      </c>
      <c r="B3683">
        <v>14</v>
      </c>
      <c r="C3683">
        <v>3</v>
      </c>
      <c r="D3683">
        <v>3</v>
      </c>
      <c r="E3683">
        <v>2</v>
      </c>
      <c r="G3683">
        <v>1433</v>
      </c>
      <c r="H3683" t="s">
        <v>63</v>
      </c>
      <c r="I3683" t="s">
        <v>88</v>
      </c>
      <c r="J3683" t="s">
        <v>142</v>
      </c>
      <c r="L3683">
        <v>0</v>
      </c>
      <c r="M3683" t="s">
        <v>125</v>
      </c>
      <c r="O3683" t="s">
        <v>125</v>
      </c>
      <c r="P3683" t="s">
        <v>125</v>
      </c>
      <c r="Q3683" t="s">
        <v>125</v>
      </c>
      <c r="R3683" t="s">
        <v>125</v>
      </c>
      <c r="S3683" t="s">
        <v>125</v>
      </c>
      <c r="T3683">
        <v>0</v>
      </c>
      <c r="V3683" t="s">
        <v>125</v>
      </c>
      <c r="AE3683" t="s">
        <v>125</v>
      </c>
      <c r="AF3683">
        <v>0</v>
      </c>
      <c r="AG3683" t="s">
        <v>125</v>
      </c>
      <c r="AH3683">
        <v>0</v>
      </c>
      <c r="AK3683">
        <v>0</v>
      </c>
    </row>
    <row r="3684" spans="1:37" x14ac:dyDescent="0.25">
      <c r="A3684" t="s">
        <v>79</v>
      </c>
      <c r="B3684">
        <v>14</v>
      </c>
      <c r="C3684">
        <v>3</v>
      </c>
      <c r="D3684">
        <v>3</v>
      </c>
      <c r="E3684">
        <v>3</v>
      </c>
      <c r="G3684">
        <v>1433</v>
      </c>
      <c r="H3684" t="s">
        <v>63</v>
      </c>
      <c r="I3684" t="s">
        <v>95</v>
      </c>
      <c r="J3684" t="s">
        <v>143</v>
      </c>
      <c r="L3684">
        <v>0</v>
      </c>
      <c r="M3684" t="s">
        <v>125</v>
      </c>
      <c r="O3684" t="s">
        <v>125</v>
      </c>
      <c r="P3684" t="s">
        <v>125</v>
      </c>
      <c r="Q3684" t="s">
        <v>125</v>
      </c>
      <c r="R3684" t="s">
        <v>125</v>
      </c>
      <c r="S3684" t="s">
        <v>125</v>
      </c>
      <c r="T3684">
        <v>0</v>
      </c>
      <c r="V3684" t="s">
        <v>125</v>
      </c>
      <c r="AE3684" t="s">
        <v>125</v>
      </c>
      <c r="AF3684">
        <v>0</v>
      </c>
      <c r="AG3684" t="s">
        <v>125</v>
      </c>
      <c r="AH3684">
        <v>0</v>
      </c>
      <c r="AK3684">
        <v>0</v>
      </c>
    </row>
    <row r="3685" spans="1:37" x14ac:dyDescent="0.25">
      <c r="A3685" t="s">
        <v>79</v>
      </c>
      <c r="B3685">
        <v>14</v>
      </c>
      <c r="C3685">
        <v>3</v>
      </c>
      <c r="D3685">
        <v>3</v>
      </c>
      <c r="E3685">
        <v>4</v>
      </c>
      <c r="G3685">
        <v>1433</v>
      </c>
      <c r="H3685" t="s">
        <v>63</v>
      </c>
      <c r="I3685" t="s">
        <v>102</v>
      </c>
      <c r="J3685" t="s">
        <v>144</v>
      </c>
      <c r="L3685">
        <v>0</v>
      </c>
      <c r="M3685" t="s">
        <v>125</v>
      </c>
      <c r="O3685" t="s">
        <v>125</v>
      </c>
      <c r="P3685" t="s">
        <v>125</v>
      </c>
      <c r="Q3685" t="s">
        <v>125</v>
      </c>
      <c r="R3685" t="s">
        <v>125</v>
      </c>
      <c r="S3685" t="s">
        <v>125</v>
      </c>
      <c r="T3685">
        <v>0</v>
      </c>
      <c r="V3685" t="s">
        <v>125</v>
      </c>
      <c r="AE3685" t="s">
        <v>125</v>
      </c>
      <c r="AF3685">
        <v>0</v>
      </c>
      <c r="AG3685" t="s">
        <v>125</v>
      </c>
      <c r="AH3685">
        <v>0</v>
      </c>
      <c r="AK3685">
        <v>0</v>
      </c>
    </row>
    <row r="3686" spans="1:37" x14ac:dyDescent="0.25">
      <c r="A3686" t="s">
        <v>79</v>
      </c>
      <c r="B3686">
        <v>14</v>
      </c>
      <c r="C3686">
        <v>3</v>
      </c>
      <c r="D3686">
        <v>3</v>
      </c>
      <c r="E3686">
        <v>5</v>
      </c>
      <c r="G3686">
        <v>1433</v>
      </c>
      <c r="H3686" t="s">
        <v>63</v>
      </c>
      <c r="I3686" t="s">
        <v>109</v>
      </c>
      <c r="J3686" t="s">
        <v>145</v>
      </c>
      <c r="L3686">
        <v>0</v>
      </c>
      <c r="M3686" t="s">
        <v>125</v>
      </c>
      <c r="O3686" t="s">
        <v>125</v>
      </c>
      <c r="P3686" t="s">
        <v>125</v>
      </c>
      <c r="Q3686" t="s">
        <v>125</v>
      </c>
      <c r="R3686" t="s">
        <v>125</v>
      </c>
      <c r="S3686" t="s">
        <v>125</v>
      </c>
      <c r="T3686">
        <v>0</v>
      </c>
      <c r="V3686" t="s">
        <v>125</v>
      </c>
      <c r="AE3686" t="s">
        <v>125</v>
      </c>
      <c r="AF3686">
        <v>0</v>
      </c>
      <c r="AG3686" t="s">
        <v>125</v>
      </c>
      <c r="AH3686">
        <v>0</v>
      </c>
      <c r="AK3686">
        <v>0</v>
      </c>
    </row>
    <row r="3687" spans="1:37" x14ac:dyDescent="0.25">
      <c r="A3687" t="s">
        <v>79</v>
      </c>
      <c r="B3687">
        <v>14</v>
      </c>
      <c r="C3687">
        <v>3</v>
      </c>
      <c r="D3687">
        <v>3</v>
      </c>
      <c r="E3687">
        <v>6</v>
      </c>
      <c r="G3687">
        <v>1433</v>
      </c>
      <c r="H3687" t="s">
        <v>63</v>
      </c>
      <c r="I3687" t="s">
        <v>116</v>
      </c>
      <c r="J3687" t="s">
        <v>146</v>
      </c>
      <c r="L3687">
        <v>0</v>
      </c>
      <c r="M3687" t="s">
        <v>125</v>
      </c>
      <c r="O3687" t="s">
        <v>125</v>
      </c>
      <c r="P3687" t="s">
        <v>125</v>
      </c>
      <c r="Q3687" t="s">
        <v>125</v>
      </c>
      <c r="R3687" t="s">
        <v>125</v>
      </c>
      <c r="S3687" t="s">
        <v>125</v>
      </c>
      <c r="T3687">
        <v>0</v>
      </c>
      <c r="V3687" t="s">
        <v>125</v>
      </c>
      <c r="AE3687" t="s">
        <v>125</v>
      </c>
      <c r="AF3687">
        <v>0</v>
      </c>
      <c r="AG3687" t="s">
        <v>125</v>
      </c>
      <c r="AH3687">
        <v>0</v>
      </c>
      <c r="AK3687">
        <v>0</v>
      </c>
    </row>
    <row r="3688" spans="1:37" x14ac:dyDescent="0.25">
      <c r="A3688" t="s">
        <v>79</v>
      </c>
      <c r="B3688">
        <v>14</v>
      </c>
      <c r="C3688">
        <v>3</v>
      </c>
      <c r="D3688">
        <v>3</v>
      </c>
      <c r="E3688">
        <v>7</v>
      </c>
      <c r="G3688">
        <v>1433</v>
      </c>
      <c r="H3688" t="s">
        <v>63</v>
      </c>
      <c r="I3688" t="s">
        <v>123</v>
      </c>
      <c r="J3688" t="s">
        <v>147</v>
      </c>
      <c r="L3688">
        <v>0</v>
      </c>
      <c r="M3688" t="s">
        <v>125</v>
      </c>
      <c r="O3688" t="s">
        <v>125</v>
      </c>
      <c r="P3688" t="s">
        <v>125</v>
      </c>
      <c r="Q3688" t="s">
        <v>125</v>
      </c>
      <c r="R3688" t="s">
        <v>125</v>
      </c>
      <c r="S3688" t="s">
        <v>125</v>
      </c>
      <c r="T3688">
        <v>0</v>
      </c>
      <c r="V3688" t="s">
        <v>125</v>
      </c>
      <c r="AE3688" t="s">
        <v>125</v>
      </c>
      <c r="AF3688">
        <v>0</v>
      </c>
      <c r="AG3688" t="s">
        <v>125</v>
      </c>
      <c r="AH3688">
        <v>0</v>
      </c>
      <c r="AK3688">
        <v>0</v>
      </c>
    </row>
    <row r="3689" spans="1:37" x14ac:dyDescent="0.25">
      <c r="A3689" t="s">
        <v>79</v>
      </c>
      <c r="B3689">
        <v>14</v>
      </c>
      <c r="C3689">
        <v>3</v>
      </c>
      <c r="D3689">
        <v>3</v>
      </c>
      <c r="E3689">
        <v>8</v>
      </c>
      <c r="G3689">
        <v>1433</v>
      </c>
      <c r="H3689" t="s">
        <v>63</v>
      </c>
      <c r="I3689" t="s">
        <v>126</v>
      </c>
      <c r="J3689" t="s">
        <v>148</v>
      </c>
      <c r="L3689">
        <v>0</v>
      </c>
      <c r="M3689" t="s">
        <v>125</v>
      </c>
      <c r="O3689" t="s">
        <v>125</v>
      </c>
      <c r="P3689" t="s">
        <v>125</v>
      </c>
      <c r="Q3689" t="s">
        <v>125</v>
      </c>
      <c r="R3689" t="s">
        <v>125</v>
      </c>
      <c r="S3689" t="s">
        <v>125</v>
      </c>
      <c r="T3689">
        <v>0</v>
      </c>
      <c r="V3689" t="s">
        <v>125</v>
      </c>
      <c r="AE3689" t="s">
        <v>125</v>
      </c>
      <c r="AF3689">
        <v>0</v>
      </c>
      <c r="AG3689" t="s">
        <v>125</v>
      </c>
      <c r="AH3689">
        <v>0</v>
      </c>
      <c r="AK3689">
        <v>0</v>
      </c>
    </row>
    <row r="3690" spans="1:37" x14ac:dyDescent="0.25">
      <c r="A3690" t="s">
        <v>79</v>
      </c>
      <c r="B3690">
        <v>14</v>
      </c>
      <c r="C3690">
        <v>3</v>
      </c>
      <c r="D3690">
        <v>3</v>
      </c>
      <c r="E3690">
        <v>9</v>
      </c>
      <c r="G3690">
        <v>1433</v>
      </c>
      <c r="H3690" t="s">
        <v>63</v>
      </c>
      <c r="I3690" t="s">
        <v>74</v>
      </c>
      <c r="J3690" t="s">
        <v>149</v>
      </c>
      <c r="L3690">
        <v>0</v>
      </c>
      <c r="M3690" t="s">
        <v>125</v>
      </c>
      <c r="O3690" t="s">
        <v>125</v>
      </c>
      <c r="P3690" t="s">
        <v>125</v>
      </c>
      <c r="Q3690" t="s">
        <v>125</v>
      </c>
      <c r="R3690" t="s">
        <v>125</v>
      </c>
      <c r="S3690" t="s">
        <v>125</v>
      </c>
      <c r="T3690">
        <v>0</v>
      </c>
      <c r="V3690" t="s">
        <v>125</v>
      </c>
      <c r="AE3690" t="s">
        <v>125</v>
      </c>
      <c r="AF3690">
        <v>0</v>
      </c>
      <c r="AG3690" t="s">
        <v>125</v>
      </c>
      <c r="AH3690">
        <v>0</v>
      </c>
      <c r="AK3690">
        <v>0</v>
      </c>
    </row>
    <row r="3691" spans="1:37" x14ac:dyDescent="0.25">
      <c r="A3691" t="s">
        <v>79</v>
      </c>
      <c r="B3691">
        <v>14</v>
      </c>
      <c r="C3691">
        <v>3</v>
      </c>
      <c r="D3691">
        <v>3</v>
      </c>
      <c r="E3691">
        <v>10</v>
      </c>
      <c r="G3691">
        <v>1433</v>
      </c>
      <c r="H3691" t="s">
        <v>63</v>
      </c>
      <c r="I3691" t="s">
        <v>129</v>
      </c>
      <c r="J3691" t="s">
        <v>150</v>
      </c>
      <c r="L3691">
        <v>0</v>
      </c>
      <c r="M3691" t="s">
        <v>125</v>
      </c>
      <c r="O3691" t="s">
        <v>125</v>
      </c>
      <c r="P3691" t="s">
        <v>125</v>
      </c>
      <c r="Q3691" t="s">
        <v>125</v>
      </c>
      <c r="R3691" t="s">
        <v>125</v>
      </c>
      <c r="S3691" t="s">
        <v>125</v>
      </c>
      <c r="T3691">
        <v>0</v>
      </c>
      <c r="V3691" t="s">
        <v>125</v>
      </c>
      <c r="AE3691" t="s">
        <v>125</v>
      </c>
      <c r="AF3691">
        <v>0</v>
      </c>
      <c r="AG3691" t="s">
        <v>125</v>
      </c>
      <c r="AH3691">
        <v>0</v>
      </c>
      <c r="AK3691">
        <v>0</v>
      </c>
    </row>
    <row r="3692" spans="1:37" x14ac:dyDescent="0.25">
      <c r="A3692" t="s">
        <v>79</v>
      </c>
      <c r="B3692">
        <v>14</v>
      </c>
      <c r="C3692">
        <v>3</v>
      </c>
      <c r="D3692">
        <v>3</v>
      </c>
      <c r="E3692">
        <v>11</v>
      </c>
      <c r="G3692">
        <v>1433</v>
      </c>
      <c r="H3692" t="s">
        <v>63</v>
      </c>
      <c r="I3692" t="s">
        <v>131</v>
      </c>
      <c r="J3692" t="s">
        <v>151</v>
      </c>
      <c r="L3692">
        <v>0</v>
      </c>
      <c r="M3692" t="s">
        <v>125</v>
      </c>
      <c r="O3692" t="s">
        <v>125</v>
      </c>
      <c r="P3692" t="s">
        <v>125</v>
      </c>
      <c r="Q3692" t="s">
        <v>125</v>
      </c>
      <c r="R3692" t="s">
        <v>125</v>
      </c>
      <c r="S3692" t="s">
        <v>125</v>
      </c>
      <c r="T3692">
        <v>0</v>
      </c>
      <c r="V3692" t="s">
        <v>125</v>
      </c>
      <c r="AE3692" t="s">
        <v>125</v>
      </c>
      <c r="AF3692">
        <v>0</v>
      </c>
      <c r="AG3692" t="s">
        <v>125</v>
      </c>
      <c r="AH3692">
        <v>0</v>
      </c>
      <c r="AK3692">
        <v>0</v>
      </c>
    </row>
    <row r="3693" spans="1:37" x14ac:dyDescent="0.25">
      <c r="A3693" t="s">
        <v>79</v>
      </c>
      <c r="B3693">
        <v>14</v>
      </c>
      <c r="C3693">
        <v>3</v>
      </c>
      <c r="D3693">
        <v>3</v>
      </c>
      <c r="E3693">
        <v>12</v>
      </c>
      <c r="G3693">
        <v>1433</v>
      </c>
      <c r="H3693" t="s">
        <v>63</v>
      </c>
      <c r="I3693" t="s">
        <v>133</v>
      </c>
      <c r="J3693" t="s">
        <v>152</v>
      </c>
      <c r="L3693">
        <v>0</v>
      </c>
      <c r="M3693" t="s">
        <v>125</v>
      </c>
      <c r="O3693" t="s">
        <v>125</v>
      </c>
      <c r="P3693" t="s">
        <v>125</v>
      </c>
      <c r="Q3693" t="s">
        <v>125</v>
      </c>
      <c r="R3693" t="s">
        <v>125</v>
      </c>
      <c r="S3693" t="s">
        <v>125</v>
      </c>
      <c r="T3693">
        <v>0</v>
      </c>
      <c r="V3693" t="s">
        <v>125</v>
      </c>
      <c r="AE3693" t="s">
        <v>125</v>
      </c>
      <c r="AF3693">
        <v>0</v>
      </c>
      <c r="AG3693" t="s">
        <v>125</v>
      </c>
      <c r="AH3693">
        <v>0</v>
      </c>
      <c r="AK3693">
        <v>0</v>
      </c>
    </row>
    <row r="3694" spans="1:37" x14ac:dyDescent="0.25">
      <c r="A3694" t="s">
        <v>79</v>
      </c>
      <c r="B3694">
        <v>14</v>
      </c>
      <c r="C3694">
        <v>3</v>
      </c>
      <c r="D3694">
        <v>3</v>
      </c>
      <c r="E3694">
        <v>13</v>
      </c>
      <c r="G3694">
        <v>1433</v>
      </c>
      <c r="H3694" t="s">
        <v>63</v>
      </c>
      <c r="I3694" t="s">
        <v>135</v>
      </c>
      <c r="J3694" t="s">
        <v>153</v>
      </c>
      <c r="L3694">
        <v>0</v>
      </c>
      <c r="M3694" t="s">
        <v>125</v>
      </c>
      <c r="O3694" t="s">
        <v>125</v>
      </c>
      <c r="P3694" t="s">
        <v>125</v>
      </c>
      <c r="Q3694" t="s">
        <v>125</v>
      </c>
      <c r="R3694" t="s">
        <v>125</v>
      </c>
      <c r="S3694" t="s">
        <v>125</v>
      </c>
      <c r="T3694">
        <v>0</v>
      </c>
      <c r="V3694" t="s">
        <v>125</v>
      </c>
      <c r="AE3694" t="s">
        <v>125</v>
      </c>
      <c r="AF3694">
        <v>0</v>
      </c>
      <c r="AG3694" t="s">
        <v>125</v>
      </c>
      <c r="AH3694">
        <v>0</v>
      </c>
      <c r="AK3694">
        <v>0</v>
      </c>
    </row>
    <row r="3695" spans="1:37" x14ac:dyDescent="0.25">
      <c r="A3695" t="s">
        <v>79</v>
      </c>
      <c r="B3695">
        <v>14</v>
      </c>
      <c r="C3695">
        <v>3</v>
      </c>
      <c r="D3695">
        <v>3</v>
      </c>
      <c r="E3695">
        <v>14</v>
      </c>
      <c r="G3695">
        <v>1433</v>
      </c>
      <c r="H3695" t="s">
        <v>63</v>
      </c>
      <c r="I3695" t="s">
        <v>137</v>
      </c>
      <c r="J3695" t="s">
        <v>154</v>
      </c>
      <c r="L3695">
        <v>0</v>
      </c>
      <c r="M3695" t="s">
        <v>125</v>
      </c>
      <c r="O3695" t="s">
        <v>125</v>
      </c>
      <c r="P3695" t="s">
        <v>125</v>
      </c>
      <c r="Q3695" t="s">
        <v>125</v>
      </c>
      <c r="R3695" t="s">
        <v>125</v>
      </c>
      <c r="S3695" t="s">
        <v>125</v>
      </c>
      <c r="T3695">
        <v>0</v>
      </c>
      <c r="V3695" t="s">
        <v>125</v>
      </c>
      <c r="AE3695" t="s">
        <v>125</v>
      </c>
      <c r="AF3695">
        <v>0</v>
      </c>
      <c r="AG3695" t="s">
        <v>125</v>
      </c>
      <c r="AH3695">
        <v>0</v>
      </c>
      <c r="AK3695">
        <v>0</v>
      </c>
    </row>
    <row r="3696" spans="1:37" x14ac:dyDescent="0.25">
      <c r="A3696" t="s">
        <v>79</v>
      </c>
      <c r="B3696">
        <v>14</v>
      </c>
      <c r="C3696">
        <v>3</v>
      </c>
      <c r="D3696">
        <v>3</v>
      </c>
      <c r="E3696">
        <v>15</v>
      </c>
      <c r="G3696">
        <v>1433</v>
      </c>
      <c r="H3696" t="s">
        <v>63</v>
      </c>
      <c r="I3696" t="s">
        <v>139</v>
      </c>
      <c r="J3696" t="s">
        <v>155</v>
      </c>
      <c r="L3696">
        <v>0</v>
      </c>
      <c r="M3696" t="s">
        <v>125</v>
      </c>
      <c r="O3696" t="s">
        <v>125</v>
      </c>
      <c r="P3696" t="s">
        <v>125</v>
      </c>
      <c r="Q3696" t="s">
        <v>125</v>
      </c>
      <c r="R3696" t="s">
        <v>125</v>
      </c>
      <c r="S3696" t="s">
        <v>125</v>
      </c>
      <c r="T3696">
        <v>0</v>
      </c>
      <c r="V3696" t="s">
        <v>125</v>
      </c>
      <c r="AE3696" t="s">
        <v>125</v>
      </c>
      <c r="AF3696">
        <v>0</v>
      </c>
      <c r="AG3696" t="s">
        <v>125</v>
      </c>
      <c r="AH3696">
        <v>0</v>
      </c>
      <c r="AK3696">
        <v>0</v>
      </c>
    </row>
    <row r="3697" spans="1:37" x14ac:dyDescent="0.25">
      <c r="L3697">
        <v>0</v>
      </c>
    </row>
    <row r="3698" spans="1:37" x14ac:dyDescent="0.25">
      <c r="A3698" t="s">
        <v>70</v>
      </c>
      <c r="B3698">
        <v>14</v>
      </c>
      <c r="C3698">
        <v>3</v>
      </c>
      <c r="D3698">
        <v>4</v>
      </c>
      <c r="G3698">
        <v>143</v>
      </c>
      <c r="L3698">
        <v>0</v>
      </c>
      <c r="M3698" t="s">
        <v>125</v>
      </c>
      <c r="P3698" t="s">
        <v>125</v>
      </c>
      <c r="R3698" t="s">
        <v>125</v>
      </c>
      <c r="S3698" t="s">
        <v>63</v>
      </c>
      <c r="V3698" t="s">
        <v>125</v>
      </c>
      <c r="X3698" t="s">
        <v>125</v>
      </c>
      <c r="Y3698" t="s">
        <v>125</v>
      </c>
      <c r="Z3698" t="s">
        <v>125</v>
      </c>
      <c r="AA3698" t="s">
        <v>125</v>
      </c>
      <c r="AB3698" t="s">
        <v>125</v>
      </c>
      <c r="AC3698" t="s">
        <v>125</v>
      </c>
      <c r="AE3698" t="s">
        <v>125</v>
      </c>
      <c r="AF3698">
        <v>0</v>
      </c>
      <c r="AG3698" t="s">
        <v>125</v>
      </c>
      <c r="AH3698">
        <v>0</v>
      </c>
      <c r="AK3698">
        <v>0</v>
      </c>
    </row>
    <row r="3699" spans="1:37" x14ac:dyDescent="0.25">
      <c r="A3699" t="s">
        <v>79</v>
      </c>
      <c r="B3699">
        <v>14</v>
      </c>
      <c r="C3699">
        <v>3</v>
      </c>
      <c r="D3699">
        <v>4</v>
      </c>
      <c r="E3699">
        <v>1</v>
      </c>
      <c r="G3699">
        <v>1434</v>
      </c>
      <c r="H3699" t="s">
        <v>63</v>
      </c>
      <c r="I3699" t="s">
        <v>80</v>
      </c>
      <c r="J3699" t="s">
        <v>141</v>
      </c>
      <c r="L3699">
        <v>0</v>
      </c>
      <c r="M3699" t="s">
        <v>125</v>
      </c>
      <c r="O3699" t="s">
        <v>125</v>
      </c>
      <c r="P3699" t="s">
        <v>125</v>
      </c>
      <c r="Q3699" t="s">
        <v>125</v>
      </c>
      <c r="R3699" t="s">
        <v>125</v>
      </c>
      <c r="S3699" t="s">
        <v>125</v>
      </c>
      <c r="T3699">
        <v>0</v>
      </c>
      <c r="V3699" t="s">
        <v>125</v>
      </c>
      <c r="AE3699" t="s">
        <v>125</v>
      </c>
      <c r="AF3699">
        <v>0</v>
      </c>
      <c r="AG3699" t="s">
        <v>125</v>
      </c>
      <c r="AH3699">
        <v>0</v>
      </c>
      <c r="AK3699">
        <v>0</v>
      </c>
    </row>
    <row r="3700" spans="1:37" x14ac:dyDescent="0.25">
      <c r="A3700" t="s">
        <v>79</v>
      </c>
      <c r="B3700">
        <v>14</v>
      </c>
      <c r="C3700">
        <v>3</v>
      </c>
      <c r="D3700">
        <v>4</v>
      </c>
      <c r="E3700">
        <v>2</v>
      </c>
      <c r="G3700">
        <v>1434</v>
      </c>
      <c r="H3700" t="s">
        <v>63</v>
      </c>
      <c r="I3700" t="s">
        <v>88</v>
      </c>
      <c r="J3700" t="s">
        <v>142</v>
      </c>
      <c r="L3700">
        <v>0</v>
      </c>
      <c r="M3700" t="s">
        <v>125</v>
      </c>
      <c r="O3700" t="s">
        <v>125</v>
      </c>
      <c r="P3700" t="s">
        <v>125</v>
      </c>
      <c r="Q3700" t="s">
        <v>125</v>
      </c>
      <c r="R3700" t="s">
        <v>125</v>
      </c>
      <c r="S3700" t="s">
        <v>125</v>
      </c>
      <c r="T3700">
        <v>0</v>
      </c>
      <c r="V3700" t="s">
        <v>125</v>
      </c>
      <c r="AE3700" t="s">
        <v>125</v>
      </c>
      <c r="AF3700">
        <v>0</v>
      </c>
      <c r="AG3700" t="s">
        <v>125</v>
      </c>
      <c r="AH3700">
        <v>0</v>
      </c>
      <c r="AK3700">
        <v>0</v>
      </c>
    </row>
    <row r="3701" spans="1:37" x14ac:dyDescent="0.25">
      <c r="A3701" t="s">
        <v>79</v>
      </c>
      <c r="B3701">
        <v>14</v>
      </c>
      <c r="C3701">
        <v>3</v>
      </c>
      <c r="D3701">
        <v>4</v>
      </c>
      <c r="E3701">
        <v>3</v>
      </c>
      <c r="G3701">
        <v>1434</v>
      </c>
      <c r="H3701" t="s">
        <v>63</v>
      </c>
      <c r="I3701" t="s">
        <v>95</v>
      </c>
      <c r="J3701" t="s">
        <v>143</v>
      </c>
      <c r="L3701">
        <v>0</v>
      </c>
      <c r="M3701" t="s">
        <v>125</v>
      </c>
      <c r="O3701" t="s">
        <v>125</v>
      </c>
      <c r="P3701" t="s">
        <v>125</v>
      </c>
      <c r="Q3701" t="s">
        <v>125</v>
      </c>
      <c r="R3701" t="s">
        <v>125</v>
      </c>
      <c r="S3701" t="s">
        <v>125</v>
      </c>
      <c r="T3701">
        <v>0</v>
      </c>
      <c r="V3701" t="s">
        <v>125</v>
      </c>
      <c r="AE3701" t="s">
        <v>125</v>
      </c>
      <c r="AF3701">
        <v>0</v>
      </c>
      <c r="AG3701" t="s">
        <v>125</v>
      </c>
      <c r="AH3701">
        <v>0</v>
      </c>
      <c r="AK3701">
        <v>0</v>
      </c>
    </row>
    <row r="3702" spans="1:37" x14ac:dyDescent="0.25">
      <c r="A3702" t="s">
        <v>79</v>
      </c>
      <c r="B3702">
        <v>14</v>
      </c>
      <c r="C3702">
        <v>3</v>
      </c>
      <c r="D3702">
        <v>4</v>
      </c>
      <c r="E3702">
        <v>4</v>
      </c>
      <c r="G3702">
        <v>1434</v>
      </c>
      <c r="H3702" t="s">
        <v>63</v>
      </c>
      <c r="I3702" t="s">
        <v>102</v>
      </c>
      <c r="J3702" t="s">
        <v>144</v>
      </c>
      <c r="L3702">
        <v>0</v>
      </c>
      <c r="M3702" t="s">
        <v>125</v>
      </c>
      <c r="O3702" t="s">
        <v>125</v>
      </c>
      <c r="P3702" t="s">
        <v>125</v>
      </c>
      <c r="Q3702" t="s">
        <v>125</v>
      </c>
      <c r="R3702" t="s">
        <v>125</v>
      </c>
      <c r="S3702" t="s">
        <v>125</v>
      </c>
      <c r="T3702">
        <v>0</v>
      </c>
      <c r="V3702" t="s">
        <v>125</v>
      </c>
      <c r="AE3702" t="s">
        <v>125</v>
      </c>
      <c r="AF3702">
        <v>0</v>
      </c>
      <c r="AG3702" t="s">
        <v>125</v>
      </c>
      <c r="AH3702">
        <v>0</v>
      </c>
      <c r="AK3702">
        <v>0</v>
      </c>
    </row>
    <row r="3703" spans="1:37" x14ac:dyDescent="0.25">
      <c r="A3703" t="s">
        <v>79</v>
      </c>
      <c r="B3703">
        <v>14</v>
      </c>
      <c r="C3703">
        <v>3</v>
      </c>
      <c r="D3703">
        <v>4</v>
      </c>
      <c r="E3703">
        <v>5</v>
      </c>
      <c r="G3703">
        <v>1434</v>
      </c>
      <c r="H3703" t="s">
        <v>63</v>
      </c>
      <c r="I3703" t="s">
        <v>109</v>
      </c>
      <c r="J3703" t="s">
        <v>145</v>
      </c>
      <c r="L3703">
        <v>0</v>
      </c>
      <c r="M3703" t="s">
        <v>125</v>
      </c>
      <c r="O3703" t="s">
        <v>125</v>
      </c>
      <c r="P3703" t="s">
        <v>125</v>
      </c>
      <c r="Q3703" t="s">
        <v>125</v>
      </c>
      <c r="R3703" t="s">
        <v>125</v>
      </c>
      <c r="S3703" t="s">
        <v>125</v>
      </c>
      <c r="T3703">
        <v>0</v>
      </c>
      <c r="V3703" t="s">
        <v>125</v>
      </c>
      <c r="AE3703" t="s">
        <v>125</v>
      </c>
      <c r="AF3703">
        <v>0</v>
      </c>
      <c r="AG3703" t="s">
        <v>125</v>
      </c>
      <c r="AH3703">
        <v>0</v>
      </c>
      <c r="AK3703">
        <v>0</v>
      </c>
    </row>
    <row r="3704" spans="1:37" x14ac:dyDescent="0.25">
      <c r="A3704" t="s">
        <v>79</v>
      </c>
      <c r="B3704">
        <v>14</v>
      </c>
      <c r="C3704">
        <v>3</v>
      </c>
      <c r="D3704">
        <v>4</v>
      </c>
      <c r="E3704">
        <v>6</v>
      </c>
      <c r="G3704">
        <v>1434</v>
      </c>
      <c r="H3704" t="s">
        <v>63</v>
      </c>
      <c r="I3704" t="s">
        <v>116</v>
      </c>
      <c r="J3704" t="s">
        <v>146</v>
      </c>
      <c r="L3704">
        <v>0</v>
      </c>
      <c r="M3704" t="s">
        <v>125</v>
      </c>
      <c r="O3704" t="s">
        <v>125</v>
      </c>
      <c r="P3704" t="s">
        <v>125</v>
      </c>
      <c r="Q3704" t="s">
        <v>125</v>
      </c>
      <c r="R3704" t="s">
        <v>125</v>
      </c>
      <c r="S3704" t="s">
        <v>125</v>
      </c>
      <c r="T3704">
        <v>0</v>
      </c>
      <c r="V3704" t="s">
        <v>125</v>
      </c>
      <c r="AE3704" t="s">
        <v>125</v>
      </c>
      <c r="AF3704">
        <v>0</v>
      </c>
      <c r="AG3704" t="s">
        <v>125</v>
      </c>
      <c r="AH3704">
        <v>0</v>
      </c>
      <c r="AK3704">
        <v>0</v>
      </c>
    </row>
    <row r="3705" spans="1:37" x14ac:dyDescent="0.25">
      <c r="A3705" t="s">
        <v>79</v>
      </c>
      <c r="B3705">
        <v>14</v>
      </c>
      <c r="C3705">
        <v>3</v>
      </c>
      <c r="D3705">
        <v>4</v>
      </c>
      <c r="E3705">
        <v>7</v>
      </c>
      <c r="G3705">
        <v>1434</v>
      </c>
      <c r="H3705" t="s">
        <v>63</v>
      </c>
      <c r="I3705" t="s">
        <v>123</v>
      </c>
      <c r="J3705" t="s">
        <v>147</v>
      </c>
      <c r="L3705">
        <v>0</v>
      </c>
      <c r="M3705" t="s">
        <v>125</v>
      </c>
      <c r="O3705" t="s">
        <v>125</v>
      </c>
      <c r="P3705" t="s">
        <v>125</v>
      </c>
      <c r="Q3705" t="s">
        <v>125</v>
      </c>
      <c r="R3705" t="s">
        <v>125</v>
      </c>
      <c r="S3705" t="s">
        <v>125</v>
      </c>
      <c r="T3705">
        <v>0</v>
      </c>
      <c r="V3705" t="s">
        <v>125</v>
      </c>
      <c r="AE3705" t="s">
        <v>125</v>
      </c>
      <c r="AF3705">
        <v>0</v>
      </c>
      <c r="AG3705" t="s">
        <v>125</v>
      </c>
      <c r="AH3705">
        <v>0</v>
      </c>
      <c r="AK3705">
        <v>0</v>
      </c>
    </row>
    <row r="3706" spans="1:37" x14ac:dyDescent="0.25">
      <c r="A3706" t="s">
        <v>79</v>
      </c>
      <c r="B3706">
        <v>14</v>
      </c>
      <c r="C3706">
        <v>3</v>
      </c>
      <c r="D3706">
        <v>4</v>
      </c>
      <c r="E3706">
        <v>8</v>
      </c>
      <c r="G3706">
        <v>1434</v>
      </c>
      <c r="H3706" t="s">
        <v>63</v>
      </c>
      <c r="I3706" t="s">
        <v>126</v>
      </c>
      <c r="J3706" t="s">
        <v>148</v>
      </c>
      <c r="L3706">
        <v>0</v>
      </c>
      <c r="M3706" t="s">
        <v>125</v>
      </c>
      <c r="O3706" t="s">
        <v>125</v>
      </c>
      <c r="P3706" t="s">
        <v>125</v>
      </c>
      <c r="Q3706" t="s">
        <v>125</v>
      </c>
      <c r="R3706" t="s">
        <v>125</v>
      </c>
      <c r="S3706" t="s">
        <v>125</v>
      </c>
      <c r="T3706">
        <v>0</v>
      </c>
      <c r="V3706" t="s">
        <v>125</v>
      </c>
      <c r="AE3706" t="s">
        <v>125</v>
      </c>
      <c r="AF3706">
        <v>0</v>
      </c>
      <c r="AG3706" t="s">
        <v>125</v>
      </c>
      <c r="AH3706">
        <v>0</v>
      </c>
      <c r="AK3706">
        <v>0</v>
      </c>
    </row>
    <row r="3707" spans="1:37" x14ac:dyDescent="0.25">
      <c r="A3707" t="s">
        <v>79</v>
      </c>
      <c r="B3707">
        <v>14</v>
      </c>
      <c r="C3707">
        <v>3</v>
      </c>
      <c r="D3707">
        <v>4</v>
      </c>
      <c r="E3707">
        <v>9</v>
      </c>
      <c r="G3707">
        <v>1434</v>
      </c>
      <c r="H3707" t="s">
        <v>63</v>
      </c>
      <c r="I3707" t="s">
        <v>74</v>
      </c>
      <c r="J3707" t="s">
        <v>149</v>
      </c>
      <c r="L3707">
        <v>0</v>
      </c>
      <c r="M3707" t="s">
        <v>125</v>
      </c>
      <c r="O3707" t="s">
        <v>125</v>
      </c>
      <c r="P3707" t="s">
        <v>125</v>
      </c>
      <c r="Q3707" t="s">
        <v>125</v>
      </c>
      <c r="R3707" t="s">
        <v>125</v>
      </c>
      <c r="S3707" t="s">
        <v>125</v>
      </c>
      <c r="T3707">
        <v>0</v>
      </c>
      <c r="V3707" t="s">
        <v>125</v>
      </c>
      <c r="AE3707" t="s">
        <v>125</v>
      </c>
      <c r="AF3707">
        <v>0</v>
      </c>
      <c r="AG3707" t="s">
        <v>125</v>
      </c>
      <c r="AH3707">
        <v>0</v>
      </c>
      <c r="AK3707">
        <v>0</v>
      </c>
    </row>
    <row r="3708" spans="1:37" x14ac:dyDescent="0.25">
      <c r="A3708" t="s">
        <v>79</v>
      </c>
      <c r="B3708">
        <v>14</v>
      </c>
      <c r="C3708">
        <v>3</v>
      </c>
      <c r="D3708">
        <v>4</v>
      </c>
      <c r="E3708">
        <v>10</v>
      </c>
      <c r="G3708">
        <v>1434</v>
      </c>
      <c r="H3708" t="s">
        <v>63</v>
      </c>
      <c r="I3708" t="s">
        <v>129</v>
      </c>
      <c r="J3708" t="s">
        <v>150</v>
      </c>
      <c r="L3708">
        <v>0</v>
      </c>
      <c r="M3708" t="s">
        <v>125</v>
      </c>
      <c r="O3708" t="s">
        <v>125</v>
      </c>
      <c r="P3708" t="s">
        <v>125</v>
      </c>
      <c r="Q3708" t="s">
        <v>125</v>
      </c>
      <c r="R3708" t="s">
        <v>125</v>
      </c>
      <c r="S3708" t="s">
        <v>125</v>
      </c>
      <c r="T3708">
        <v>0</v>
      </c>
      <c r="V3708" t="s">
        <v>125</v>
      </c>
      <c r="AE3708" t="s">
        <v>125</v>
      </c>
      <c r="AF3708">
        <v>0</v>
      </c>
      <c r="AG3708" t="s">
        <v>125</v>
      </c>
      <c r="AH3708">
        <v>0</v>
      </c>
      <c r="AK3708">
        <v>0</v>
      </c>
    </row>
    <row r="3709" spans="1:37" x14ac:dyDescent="0.25">
      <c r="A3709" t="s">
        <v>79</v>
      </c>
      <c r="B3709">
        <v>14</v>
      </c>
      <c r="C3709">
        <v>3</v>
      </c>
      <c r="D3709">
        <v>4</v>
      </c>
      <c r="E3709">
        <v>11</v>
      </c>
      <c r="G3709">
        <v>1434</v>
      </c>
      <c r="H3709" t="s">
        <v>63</v>
      </c>
      <c r="I3709" t="s">
        <v>131</v>
      </c>
      <c r="J3709" t="s">
        <v>151</v>
      </c>
      <c r="L3709">
        <v>0</v>
      </c>
      <c r="M3709" t="s">
        <v>125</v>
      </c>
      <c r="O3709" t="s">
        <v>125</v>
      </c>
      <c r="P3709" t="s">
        <v>125</v>
      </c>
      <c r="Q3709" t="s">
        <v>125</v>
      </c>
      <c r="R3709" t="s">
        <v>125</v>
      </c>
      <c r="S3709" t="s">
        <v>125</v>
      </c>
      <c r="T3709">
        <v>0</v>
      </c>
      <c r="V3709" t="s">
        <v>125</v>
      </c>
      <c r="AE3709" t="s">
        <v>125</v>
      </c>
      <c r="AF3709">
        <v>0</v>
      </c>
      <c r="AG3709" t="s">
        <v>125</v>
      </c>
      <c r="AH3709">
        <v>0</v>
      </c>
      <c r="AK3709">
        <v>0</v>
      </c>
    </row>
    <row r="3710" spans="1:37" x14ac:dyDescent="0.25">
      <c r="A3710" t="s">
        <v>79</v>
      </c>
      <c r="B3710">
        <v>14</v>
      </c>
      <c r="C3710">
        <v>3</v>
      </c>
      <c r="D3710">
        <v>4</v>
      </c>
      <c r="E3710">
        <v>12</v>
      </c>
      <c r="G3710">
        <v>1434</v>
      </c>
      <c r="H3710" t="s">
        <v>63</v>
      </c>
      <c r="I3710" t="s">
        <v>133</v>
      </c>
      <c r="J3710" t="s">
        <v>152</v>
      </c>
      <c r="L3710">
        <v>0</v>
      </c>
      <c r="M3710" t="s">
        <v>125</v>
      </c>
      <c r="O3710" t="s">
        <v>125</v>
      </c>
      <c r="P3710" t="s">
        <v>125</v>
      </c>
      <c r="Q3710" t="s">
        <v>125</v>
      </c>
      <c r="R3710" t="s">
        <v>125</v>
      </c>
      <c r="S3710" t="s">
        <v>125</v>
      </c>
      <c r="T3710">
        <v>0</v>
      </c>
      <c r="V3710" t="s">
        <v>125</v>
      </c>
      <c r="AE3710" t="s">
        <v>125</v>
      </c>
      <c r="AF3710">
        <v>0</v>
      </c>
      <c r="AG3710" t="s">
        <v>125</v>
      </c>
      <c r="AH3710">
        <v>0</v>
      </c>
      <c r="AK3710">
        <v>0</v>
      </c>
    </row>
    <row r="3711" spans="1:37" x14ac:dyDescent="0.25">
      <c r="A3711" t="s">
        <v>79</v>
      </c>
      <c r="B3711">
        <v>14</v>
      </c>
      <c r="C3711">
        <v>3</v>
      </c>
      <c r="D3711">
        <v>4</v>
      </c>
      <c r="E3711">
        <v>13</v>
      </c>
      <c r="G3711">
        <v>1434</v>
      </c>
      <c r="H3711" t="s">
        <v>63</v>
      </c>
      <c r="I3711" t="s">
        <v>135</v>
      </c>
      <c r="J3711" t="s">
        <v>153</v>
      </c>
      <c r="L3711">
        <v>0</v>
      </c>
      <c r="M3711" t="s">
        <v>125</v>
      </c>
      <c r="O3711" t="s">
        <v>125</v>
      </c>
      <c r="P3711" t="s">
        <v>125</v>
      </c>
      <c r="Q3711" t="s">
        <v>125</v>
      </c>
      <c r="R3711" t="s">
        <v>125</v>
      </c>
      <c r="S3711" t="s">
        <v>125</v>
      </c>
      <c r="T3711">
        <v>0</v>
      </c>
      <c r="V3711" t="s">
        <v>125</v>
      </c>
      <c r="AE3711" t="s">
        <v>125</v>
      </c>
      <c r="AF3711">
        <v>0</v>
      </c>
      <c r="AG3711" t="s">
        <v>125</v>
      </c>
      <c r="AH3711">
        <v>0</v>
      </c>
      <c r="AK3711">
        <v>0</v>
      </c>
    </row>
    <row r="3712" spans="1:37" x14ac:dyDescent="0.25">
      <c r="A3712" t="s">
        <v>79</v>
      </c>
      <c r="B3712">
        <v>14</v>
      </c>
      <c r="C3712">
        <v>3</v>
      </c>
      <c r="D3712">
        <v>4</v>
      </c>
      <c r="E3712">
        <v>14</v>
      </c>
      <c r="G3712">
        <v>1434</v>
      </c>
      <c r="H3712" t="s">
        <v>63</v>
      </c>
      <c r="I3712" t="s">
        <v>137</v>
      </c>
      <c r="J3712" t="s">
        <v>154</v>
      </c>
      <c r="L3712">
        <v>0</v>
      </c>
      <c r="M3712" t="s">
        <v>125</v>
      </c>
      <c r="O3712" t="s">
        <v>125</v>
      </c>
      <c r="P3712" t="s">
        <v>125</v>
      </c>
      <c r="Q3712" t="s">
        <v>125</v>
      </c>
      <c r="R3712" t="s">
        <v>125</v>
      </c>
      <c r="S3712" t="s">
        <v>125</v>
      </c>
      <c r="T3712">
        <v>0</v>
      </c>
      <c r="V3712" t="s">
        <v>125</v>
      </c>
      <c r="AE3712" t="s">
        <v>125</v>
      </c>
      <c r="AF3712">
        <v>0</v>
      </c>
      <c r="AG3712" t="s">
        <v>125</v>
      </c>
      <c r="AH3712">
        <v>0</v>
      </c>
      <c r="AK3712">
        <v>0</v>
      </c>
    </row>
    <row r="3713" spans="1:37" x14ac:dyDescent="0.25">
      <c r="A3713" t="s">
        <v>79</v>
      </c>
      <c r="B3713">
        <v>14</v>
      </c>
      <c r="C3713">
        <v>3</v>
      </c>
      <c r="D3713">
        <v>4</v>
      </c>
      <c r="E3713">
        <v>15</v>
      </c>
      <c r="G3713">
        <v>1434</v>
      </c>
      <c r="H3713" t="s">
        <v>63</v>
      </c>
      <c r="I3713" t="s">
        <v>139</v>
      </c>
      <c r="J3713" t="s">
        <v>155</v>
      </c>
      <c r="L3713">
        <v>0</v>
      </c>
      <c r="M3713" t="s">
        <v>125</v>
      </c>
      <c r="O3713" t="s">
        <v>125</v>
      </c>
      <c r="P3713" t="s">
        <v>125</v>
      </c>
      <c r="Q3713" t="s">
        <v>125</v>
      </c>
      <c r="R3713" t="s">
        <v>125</v>
      </c>
      <c r="S3713" t="s">
        <v>125</v>
      </c>
      <c r="T3713">
        <v>0</v>
      </c>
      <c r="V3713" t="s">
        <v>125</v>
      </c>
      <c r="AE3713" t="s">
        <v>125</v>
      </c>
      <c r="AF3713">
        <v>0</v>
      </c>
      <c r="AG3713" t="s">
        <v>125</v>
      </c>
      <c r="AH3713">
        <v>0</v>
      </c>
      <c r="AK3713">
        <v>0</v>
      </c>
    </row>
    <row r="3714" spans="1:37" x14ac:dyDescent="0.25">
      <c r="L3714">
        <v>0</v>
      </c>
    </row>
    <row r="3715" spans="1:37" x14ac:dyDescent="0.25">
      <c r="A3715" t="s">
        <v>70</v>
      </c>
      <c r="B3715">
        <v>14</v>
      </c>
      <c r="C3715">
        <v>3</v>
      </c>
      <c r="D3715">
        <v>5</v>
      </c>
      <c r="G3715">
        <v>143</v>
      </c>
      <c r="L3715">
        <v>0</v>
      </c>
      <c r="M3715" t="s">
        <v>125</v>
      </c>
      <c r="P3715" t="s">
        <v>125</v>
      </c>
      <c r="R3715" t="s">
        <v>125</v>
      </c>
      <c r="S3715" t="s">
        <v>63</v>
      </c>
      <c r="V3715" t="s">
        <v>125</v>
      </c>
      <c r="X3715" t="s">
        <v>125</v>
      </c>
      <c r="Y3715" t="s">
        <v>125</v>
      </c>
      <c r="Z3715" t="s">
        <v>125</v>
      </c>
      <c r="AA3715" t="s">
        <v>125</v>
      </c>
      <c r="AB3715" t="s">
        <v>125</v>
      </c>
      <c r="AC3715" t="s">
        <v>125</v>
      </c>
      <c r="AE3715" t="s">
        <v>125</v>
      </c>
      <c r="AF3715">
        <v>0</v>
      </c>
      <c r="AG3715" t="s">
        <v>125</v>
      </c>
      <c r="AH3715">
        <v>0</v>
      </c>
      <c r="AK3715">
        <v>0</v>
      </c>
    </row>
    <row r="3716" spans="1:37" x14ac:dyDescent="0.25">
      <c r="A3716" t="s">
        <v>79</v>
      </c>
      <c r="B3716">
        <v>14</v>
      </c>
      <c r="C3716">
        <v>3</v>
      </c>
      <c r="D3716">
        <v>5</v>
      </c>
      <c r="E3716">
        <v>1</v>
      </c>
      <c r="G3716">
        <v>1435</v>
      </c>
      <c r="H3716" t="s">
        <v>63</v>
      </c>
      <c r="I3716" t="s">
        <v>80</v>
      </c>
      <c r="J3716" t="s">
        <v>141</v>
      </c>
      <c r="L3716">
        <v>0</v>
      </c>
      <c r="M3716" t="s">
        <v>125</v>
      </c>
      <c r="O3716" t="s">
        <v>125</v>
      </c>
      <c r="P3716" t="s">
        <v>125</v>
      </c>
      <c r="Q3716" t="s">
        <v>125</v>
      </c>
      <c r="R3716" t="s">
        <v>125</v>
      </c>
      <c r="S3716" t="s">
        <v>125</v>
      </c>
      <c r="T3716">
        <v>0</v>
      </c>
      <c r="V3716" t="s">
        <v>125</v>
      </c>
      <c r="AE3716" t="s">
        <v>125</v>
      </c>
      <c r="AF3716">
        <v>0</v>
      </c>
      <c r="AG3716" t="s">
        <v>125</v>
      </c>
      <c r="AH3716">
        <v>0</v>
      </c>
      <c r="AK3716">
        <v>0</v>
      </c>
    </row>
    <row r="3717" spans="1:37" x14ac:dyDescent="0.25">
      <c r="A3717" t="s">
        <v>79</v>
      </c>
      <c r="B3717">
        <v>14</v>
      </c>
      <c r="C3717">
        <v>3</v>
      </c>
      <c r="D3717">
        <v>5</v>
      </c>
      <c r="E3717">
        <v>2</v>
      </c>
      <c r="G3717">
        <v>1435</v>
      </c>
      <c r="H3717" t="s">
        <v>63</v>
      </c>
      <c r="I3717" t="s">
        <v>88</v>
      </c>
      <c r="J3717" t="s">
        <v>142</v>
      </c>
      <c r="L3717">
        <v>0</v>
      </c>
      <c r="M3717" t="s">
        <v>125</v>
      </c>
      <c r="O3717" t="s">
        <v>125</v>
      </c>
      <c r="P3717" t="s">
        <v>125</v>
      </c>
      <c r="Q3717" t="s">
        <v>125</v>
      </c>
      <c r="R3717" t="s">
        <v>125</v>
      </c>
      <c r="S3717" t="s">
        <v>125</v>
      </c>
      <c r="T3717">
        <v>0</v>
      </c>
      <c r="V3717" t="s">
        <v>125</v>
      </c>
      <c r="AE3717" t="s">
        <v>125</v>
      </c>
      <c r="AF3717">
        <v>0</v>
      </c>
      <c r="AG3717" t="s">
        <v>125</v>
      </c>
      <c r="AH3717">
        <v>0</v>
      </c>
      <c r="AK3717">
        <v>0</v>
      </c>
    </row>
    <row r="3718" spans="1:37" x14ac:dyDescent="0.25">
      <c r="A3718" t="s">
        <v>79</v>
      </c>
      <c r="B3718">
        <v>14</v>
      </c>
      <c r="C3718">
        <v>3</v>
      </c>
      <c r="D3718">
        <v>5</v>
      </c>
      <c r="E3718">
        <v>3</v>
      </c>
      <c r="G3718">
        <v>1435</v>
      </c>
      <c r="H3718" t="s">
        <v>63</v>
      </c>
      <c r="I3718" t="s">
        <v>95</v>
      </c>
      <c r="J3718" t="s">
        <v>143</v>
      </c>
      <c r="L3718">
        <v>0</v>
      </c>
      <c r="M3718" t="s">
        <v>125</v>
      </c>
      <c r="O3718" t="s">
        <v>125</v>
      </c>
      <c r="P3718" t="s">
        <v>125</v>
      </c>
      <c r="Q3718" t="s">
        <v>125</v>
      </c>
      <c r="R3718" t="s">
        <v>125</v>
      </c>
      <c r="S3718" t="s">
        <v>125</v>
      </c>
      <c r="T3718">
        <v>0</v>
      </c>
      <c r="V3718" t="s">
        <v>125</v>
      </c>
      <c r="AE3718" t="s">
        <v>125</v>
      </c>
      <c r="AF3718">
        <v>0</v>
      </c>
      <c r="AG3718" t="s">
        <v>125</v>
      </c>
      <c r="AH3718">
        <v>0</v>
      </c>
      <c r="AK3718">
        <v>0</v>
      </c>
    </row>
    <row r="3719" spans="1:37" x14ac:dyDescent="0.25">
      <c r="A3719" t="s">
        <v>79</v>
      </c>
      <c r="B3719">
        <v>14</v>
      </c>
      <c r="C3719">
        <v>3</v>
      </c>
      <c r="D3719">
        <v>5</v>
      </c>
      <c r="E3719">
        <v>4</v>
      </c>
      <c r="G3719">
        <v>1435</v>
      </c>
      <c r="H3719" t="s">
        <v>63</v>
      </c>
      <c r="I3719" t="s">
        <v>102</v>
      </c>
      <c r="J3719" t="s">
        <v>144</v>
      </c>
      <c r="L3719">
        <v>0</v>
      </c>
      <c r="M3719" t="s">
        <v>125</v>
      </c>
      <c r="O3719" t="s">
        <v>125</v>
      </c>
      <c r="P3719" t="s">
        <v>125</v>
      </c>
      <c r="Q3719" t="s">
        <v>125</v>
      </c>
      <c r="R3719" t="s">
        <v>125</v>
      </c>
      <c r="S3719" t="s">
        <v>125</v>
      </c>
      <c r="T3719">
        <v>0</v>
      </c>
      <c r="V3719" t="s">
        <v>125</v>
      </c>
      <c r="AE3719" t="s">
        <v>125</v>
      </c>
      <c r="AF3719">
        <v>0</v>
      </c>
      <c r="AG3719" t="s">
        <v>125</v>
      </c>
      <c r="AH3719">
        <v>0</v>
      </c>
      <c r="AK3719">
        <v>0</v>
      </c>
    </row>
    <row r="3720" spans="1:37" x14ac:dyDescent="0.25">
      <c r="A3720" t="s">
        <v>79</v>
      </c>
      <c r="B3720">
        <v>14</v>
      </c>
      <c r="C3720">
        <v>3</v>
      </c>
      <c r="D3720">
        <v>5</v>
      </c>
      <c r="E3720">
        <v>5</v>
      </c>
      <c r="G3720">
        <v>1435</v>
      </c>
      <c r="H3720" t="s">
        <v>63</v>
      </c>
      <c r="I3720" t="s">
        <v>109</v>
      </c>
      <c r="J3720" t="s">
        <v>145</v>
      </c>
      <c r="L3720">
        <v>0</v>
      </c>
      <c r="M3720" t="s">
        <v>125</v>
      </c>
      <c r="O3720" t="s">
        <v>125</v>
      </c>
      <c r="P3720" t="s">
        <v>125</v>
      </c>
      <c r="Q3720" t="s">
        <v>125</v>
      </c>
      <c r="R3720" t="s">
        <v>125</v>
      </c>
      <c r="S3720" t="s">
        <v>125</v>
      </c>
      <c r="T3720">
        <v>0</v>
      </c>
      <c r="V3720" t="s">
        <v>125</v>
      </c>
      <c r="AE3720" t="s">
        <v>125</v>
      </c>
      <c r="AF3720">
        <v>0</v>
      </c>
      <c r="AG3720" t="s">
        <v>125</v>
      </c>
      <c r="AH3720">
        <v>0</v>
      </c>
      <c r="AK3720">
        <v>0</v>
      </c>
    </row>
    <row r="3721" spans="1:37" x14ac:dyDescent="0.25">
      <c r="A3721" t="s">
        <v>79</v>
      </c>
      <c r="B3721">
        <v>14</v>
      </c>
      <c r="C3721">
        <v>3</v>
      </c>
      <c r="D3721">
        <v>5</v>
      </c>
      <c r="E3721">
        <v>6</v>
      </c>
      <c r="G3721">
        <v>1435</v>
      </c>
      <c r="H3721" t="s">
        <v>63</v>
      </c>
      <c r="I3721" t="s">
        <v>116</v>
      </c>
      <c r="J3721" t="s">
        <v>146</v>
      </c>
      <c r="L3721">
        <v>0</v>
      </c>
      <c r="M3721" t="s">
        <v>125</v>
      </c>
      <c r="O3721" t="s">
        <v>125</v>
      </c>
      <c r="P3721" t="s">
        <v>125</v>
      </c>
      <c r="Q3721" t="s">
        <v>125</v>
      </c>
      <c r="R3721" t="s">
        <v>125</v>
      </c>
      <c r="S3721" t="s">
        <v>125</v>
      </c>
      <c r="T3721">
        <v>0</v>
      </c>
      <c r="V3721" t="s">
        <v>125</v>
      </c>
      <c r="AE3721" t="s">
        <v>125</v>
      </c>
      <c r="AF3721">
        <v>0</v>
      </c>
      <c r="AG3721" t="s">
        <v>125</v>
      </c>
      <c r="AH3721">
        <v>0</v>
      </c>
      <c r="AK3721">
        <v>0</v>
      </c>
    </row>
    <row r="3722" spans="1:37" x14ac:dyDescent="0.25">
      <c r="A3722" t="s">
        <v>79</v>
      </c>
      <c r="B3722">
        <v>14</v>
      </c>
      <c r="C3722">
        <v>3</v>
      </c>
      <c r="D3722">
        <v>5</v>
      </c>
      <c r="E3722">
        <v>7</v>
      </c>
      <c r="G3722">
        <v>1435</v>
      </c>
      <c r="H3722" t="s">
        <v>63</v>
      </c>
      <c r="I3722" t="s">
        <v>123</v>
      </c>
      <c r="J3722" t="s">
        <v>147</v>
      </c>
      <c r="L3722">
        <v>0</v>
      </c>
      <c r="M3722" t="s">
        <v>125</v>
      </c>
      <c r="O3722" t="s">
        <v>125</v>
      </c>
      <c r="P3722" t="s">
        <v>125</v>
      </c>
      <c r="Q3722" t="s">
        <v>125</v>
      </c>
      <c r="R3722" t="s">
        <v>125</v>
      </c>
      <c r="S3722" t="s">
        <v>125</v>
      </c>
      <c r="T3722">
        <v>0</v>
      </c>
      <c r="V3722" t="s">
        <v>125</v>
      </c>
      <c r="AE3722" t="s">
        <v>125</v>
      </c>
      <c r="AF3722">
        <v>0</v>
      </c>
      <c r="AG3722" t="s">
        <v>125</v>
      </c>
      <c r="AH3722">
        <v>0</v>
      </c>
      <c r="AK3722">
        <v>0</v>
      </c>
    </row>
    <row r="3723" spans="1:37" x14ac:dyDescent="0.25">
      <c r="A3723" t="s">
        <v>79</v>
      </c>
      <c r="B3723">
        <v>14</v>
      </c>
      <c r="C3723">
        <v>3</v>
      </c>
      <c r="D3723">
        <v>5</v>
      </c>
      <c r="E3723">
        <v>8</v>
      </c>
      <c r="G3723">
        <v>1435</v>
      </c>
      <c r="H3723" t="s">
        <v>63</v>
      </c>
      <c r="I3723" t="s">
        <v>126</v>
      </c>
      <c r="J3723" t="s">
        <v>148</v>
      </c>
      <c r="L3723">
        <v>0</v>
      </c>
      <c r="M3723" t="s">
        <v>125</v>
      </c>
      <c r="O3723" t="s">
        <v>125</v>
      </c>
      <c r="P3723" t="s">
        <v>125</v>
      </c>
      <c r="Q3723" t="s">
        <v>125</v>
      </c>
      <c r="R3723" t="s">
        <v>125</v>
      </c>
      <c r="S3723" t="s">
        <v>125</v>
      </c>
      <c r="T3723">
        <v>0</v>
      </c>
      <c r="V3723" t="s">
        <v>125</v>
      </c>
      <c r="AE3723" t="s">
        <v>125</v>
      </c>
      <c r="AF3723">
        <v>0</v>
      </c>
      <c r="AG3723" t="s">
        <v>125</v>
      </c>
      <c r="AH3723">
        <v>0</v>
      </c>
      <c r="AK3723">
        <v>0</v>
      </c>
    </row>
    <row r="3724" spans="1:37" x14ac:dyDescent="0.25">
      <c r="A3724" t="s">
        <v>79</v>
      </c>
      <c r="B3724">
        <v>14</v>
      </c>
      <c r="C3724">
        <v>3</v>
      </c>
      <c r="D3724">
        <v>5</v>
      </c>
      <c r="E3724">
        <v>9</v>
      </c>
      <c r="G3724">
        <v>1435</v>
      </c>
      <c r="H3724" t="s">
        <v>63</v>
      </c>
      <c r="I3724" t="s">
        <v>74</v>
      </c>
      <c r="J3724" t="s">
        <v>149</v>
      </c>
      <c r="L3724">
        <v>0</v>
      </c>
      <c r="M3724" t="s">
        <v>125</v>
      </c>
      <c r="O3724" t="s">
        <v>125</v>
      </c>
      <c r="P3724" t="s">
        <v>125</v>
      </c>
      <c r="Q3724" t="s">
        <v>125</v>
      </c>
      <c r="R3724" t="s">
        <v>125</v>
      </c>
      <c r="S3724" t="s">
        <v>125</v>
      </c>
      <c r="T3724">
        <v>0</v>
      </c>
      <c r="V3724" t="s">
        <v>125</v>
      </c>
      <c r="AE3724" t="s">
        <v>125</v>
      </c>
      <c r="AF3724">
        <v>0</v>
      </c>
      <c r="AG3724" t="s">
        <v>125</v>
      </c>
      <c r="AH3724">
        <v>0</v>
      </c>
      <c r="AK3724">
        <v>0</v>
      </c>
    </row>
    <row r="3725" spans="1:37" x14ac:dyDescent="0.25">
      <c r="A3725" t="s">
        <v>79</v>
      </c>
      <c r="B3725">
        <v>14</v>
      </c>
      <c r="C3725">
        <v>3</v>
      </c>
      <c r="D3725">
        <v>5</v>
      </c>
      <c r="E3725">
        <v>10</v>
      </c>
      <c r="G3725">
        <v>1435</v>
      </c>
      <c r="H3725" t="s">
        <v>63</v>
      </c>
      <c r="I3725" t="s">
        <v>129</v>
      </c>
      <c r="J3725" t="s">
        <v>150</v>
      </c>
      <c r="L3725">
        <v>0</v>
      </c>
      <c r="M3725" t="s">
        <v>125</v>
      </c>
      <c r="O3725" t="s">
        <v>125</v>
      </c>
      <c r="P3725" t="s">
        <v>125</v>
      </c>
      <c r="Q3725" t="s">
        <v>125</v>
      </c>
      <c r="R3725" t="s">
        <v>125</v>
      </c>
      <c r="S3725" t="s">
        <v>125</v>
      </c>
      <c r="T3725">
        <v>0</v>
      </c>
      <c r="V3725" t="s">
        <v>125</v>
      </c>
      <c r="AE3725" t="s">
        <v>125</v>
      </c>
      <c r="AF3725">
        <v>0</v>
      </c>
      <c r="AG3725" t="s">
        <v>125</v>
      </c>
      <c r="AH3725">
        <v>0</v>
      </c>
      <c r="AK3725">
        <v>0</v>
      </c>
    </row>
    <row r="3726" spans="1:37" x14ac:dyDescent="0.25">
      <c r="A3726" t="s">
        <v>79</v>
      </c>
      <c r="B3726">
        <v>14</v>
      </c>
      <c r="C3726">
        <v>3</v>
      </c>
      <c r="D3726">
        <v>5</v>
      </c>
      <c r="E3726">
        <v>11</v>
      </c>
      <c r="G3726">
        <v>1435</v>
      </c>
      <c r="H3726" t="s">
        <v>63</v>
      </c>
      <c r="I3726" t="s">
        <v>131</v>
      </c>
      <c r="J3726" t="s">
        <v>151</v>
      </c>
      <c r="L3726">
        <v>0</v>
      </c>
      <c r="M3726" t="s">
        <v>125</v>
      </c>
      <c r="O3726" t="s">
        <v>125</v>
      </c>
      <c r="P3726" t="s">
        <v>125</v>
      </c>
      <c r="Q3726" t="s">
        <v>125</v>
      </c>
      <c r="R3726" t="s">
        <v>125</v>
      </c>
      <c r="S3726" t="s">
        <v>125</v>
      </c>
      <c r="T3726">
        <v>0</v>
      </c>
      <c r="V3726" t="s">
        <v>125</v>
      </c>
      <c r="AE3726" t="s">
        <v>125</v>
      </c>
      <c r="AF3726">
        <v>0</v>
      </c>
      <c r="AG3726" t="s">
        <v>125</v>
      </c>
      <c r="AH3726">
        <v>0</v>
      </c>
      <c r="AK3726">
        <v>0</v>
      </c>
    </row>
    <row r="3727" spans="1:37" x14ac:dyDescent="0.25">
      <c r="A3727" t="s">
        <v>79</v>
      </c>
      <c r="B3727">
        <v>14</v>
      </c>
      <c r="C3727">
        <v>3</v>
      </c>
      <c r="D3727">
        <v>5</v>
      </c>
      <c r="E3727">
        <v>12</v>
      </c>
      <c r="G3727">
        <v>1435</v>
      </c>
      <c r="H3727" t="s">
        <v>63</v>
      </c>
      <c r="I3727" t="s">
        <v>133</v>
      </c>
      <c r="J3727" t="s">
        <v>152</v>
      </c>
      <c r="L3727">
        <v>0</v>
      </c>
      <c r="M3727" t="s">
        <v>125</v>
      </c>
      <c r="O3727" t="s">
        <v>125</v>
      </c>
      <c r="P3727" t="s">
        <v>125</v>
      </c>
      <c r="Q3727" t="s">
        <v>125</v>
      </c>
      <c r="R3727" t="s">
        <v>125</v>
      </c>
      <c r="S3727" t="s">
        <v>125</v>
      </c>
      <c r="T3727">
        <v>0</v>
      </c>
      <c r="V3727" t="s">
        <v>125</v>
      </c>
      <c r="AE3727" t="s">
        <v>125</v>
      </c>
      <c r="AF3727">
        <v>0</v>
      </c>
      <c r="AG3727" t="s">
        <v>125</v>
      </c>
      <c r="AH3727">
        <v>0</v>
      </c>
      <c r="AK3727">
        <v>0</v>
      </c>
    </row>
    <row r="3728" spans="1:37" x14ac:dyDescent="0.25">
      <c r="A3728" t="s">
        <v>79</v>
      </c>
      <c r="B3728">
        <v>14</v>
      </c>
      <c r="C3728">
        <v>3</v>
      </c>
      <c r="D3728">
        <v>5</v>
      </c>
      <c r="E3728">
        <v>13</v>
      </c>
      <c r="G3728">
        <v>1435</v>
      </c>
      <c r="H3728" t="s">
        <v>63</v>
      </c>
      <c r="I3728" t="s">
        <v>135</v>
      </c>
      <c r="J3728" t="s">
        <v>153</v>
      </c>
      <c r="L3728">
        <v>0</v>
      </c>
      <c r="M3728" t="s">
        <v>125</v>
      </c>
      <c r="O3728" t="s">
        <v>125</v>
      </c>
      <c r="P3728" t="s">
        <v>125</v>
      </c>
      <c r="Q3728" t="s">
        <v>125</v>
      </c>
      <c r="R3728" t="s">
        <v>125</v>
      </c>
      <c r="S3728" t="s">
        <v>125</v>
      </c>
      <c r="T3728">
        <v>0</v>
      </c>
      <c r="V3728" t="s">
        <v>125</v>
      </c>
      <c r="AE3728" t="s">
        <v>125</v>
      </c>
      <c r="AF3728">
        <v>0</v>
      </c>
      <c r="AG3728" t="s">
        <v>125</v>
      </c>
      <c r="AH3728">
        <v>0</v>
      </c>
      <c r="AK3728">
        <v>0</v>
      </c>
    </row>
    <row r="3729" spans="1:37" x14ac:dyDescent="0.25">
      <c r="A3729" t="s">
        <v>79</v>
      </c>
      <c r="B3729">
        <v>14</v>
      </c>
      <c r="C3729">
        <v>3</v>
      </c>
      <c r="D3729">
        <v>5</v>
      </c>
      <c r="E3729">
        <v>14</v>
      </c>
      <c r="G3729">
        <v>1435</v>
      </c>
      <c r="H3729" t="s">
        <v>63</v>
      </c>
      <c r="I3729" t="s">
        <v>137</v>
      </c>
      <c r="J3729" t="s">
        <v>154</v>
      </c>
      <c r="L3729">
        <v>0</v>
      </c>
      <c r="M3729" t="s">
        <v>125</v>
      </c>
      <c r="O3729" t="s">
        <v>125</v>
      </c>
      <c r="P3729" t="s">
        <v>125</v>
      </c>
      <c r="Q3729" t="s">
        <v>125</v>
      </c>
      <c r="R3729" t="s">
        <v>125</v>
      </c>
      <c r="S3729" t="s">
        <v>125</v>
      </c>
      <c r="T3729">
        <v>0</v>
      </c>
      <c r="V3729" t="s">
        <v>125</v>
      </c>
      <c r="AE3729" t="s">
        <v>125</v>
      </c>
      <c r="AF3729">
        <v>0</v>
      </c>
      <c r="AG3729" t="s">
        <v>125</v>
      </c>
      <c r="AH3729">
        <v>0</v>
      </c>
      <c r="AK3729">
        <v>0</v>
      </c>
    </row>
    <row r="3730" spans="1:37" x14ac:dyDescent="0.25">
      <c r="A3730" t="s">
        <v>79</v>
      </c>
      <c r="B3730">
        <v>14</v>
      </c>
      <c r="C3730">
        <v>3</v>
      </c>
      <c r="D3730">
        <v>5</v>
      </c>
      <c r="E3730">
        <v>15</v>
      </c>
      <c r="G3730">
        <v>1435</v>
      </c>
      <c r="H3730" t="s">
        <v>63</v>
      </c>
      <c r="I3730" t="s">
        <v>139</v>
      </c>
      <c r="J3730" t="s">
        <v>155</v>
      </c>
      <c r="L3730">
        <v>0</v>
      </c>
      <c r="M3730" t="s">
        <v>125</v>
      </c>
      <c r="O3730" t="s">
        <v>125</v>
      </c>
      <c r="P3730" t="s">
        <v>125</v>
      </c>
      <c r="Q3730" t="s">
        <v>125</v>
      </c>
      <c r="R3730" t="s">
        <v>125</v>
      </c>
      <c r="S3730" t="s">
        <v>125</v>
      </c>
      <c r="T3730">
        <v>0</v>
      </c>
      <c r="V3730" t="s">
        <v>125</v>
      </c>
      <c r="AE3730" t="s">
        <v>125</v>
      </c>
      <c r="AF3730">
        <v>0</v>
      </c>
      <c r="AG3730" t="s">
        <v>125</v>
      </c>
      <c r="AH3730">
        <v>0</v>
      </c>
      <c r="AK3730">
        <v>0</v>
      </c>
    </row>
    <row r="3731" spans="1:37" x14ac:dyDescent="0.25">
      <c r="L3731">
        <v>0</v>
      </c>
    </row>
    <row r="3732" spans="1:37" x14ac:dyDescent="0.25">
      <c r="L3732">
        <v>0</v>
      </c>
    </row>
    <row r="3733" spans="1:37" x14ac:dyDescent="0.25">
      <c r="A3733" t="s">
        <v>56</v>
      </c>
      <c r="F3733">
        <v>15</v>
      </c>
      <c r="L3733">
        <v>15</v>
      </c>
      <c r="M3733" t="s">
        <v>137</v>
      </c>
      <c r="N3733" t="s">
        <v>4974</v>
      </c>
      <c r="P3733" t="s">
        <v>4975</v>
      </c>
      <c r="V3733" t="s">
        <v>4976</v>
      </c>
      <c r="Y3733" t="s">
        <v>4977</v>
      </c>
      <c r="AA3733" t="s">
        <v>4978</v>
      </c>
      <c r="AC3733" t="s">
        <v>63</v>
      </c>
      <c r="AE3733" t="s">
        <v>4979</v>
      </c>
      <c r="AF3733">
        <v>0</v>
      </c>
      <c r="AG3733" t="s">
        <v>4980</v>
      </c>
      <c r="AH3733">
        <v>0</v>
      </c>
      <c r="AK3733">
        <v>0</v>
      </c>
    </row>
    <row r="3734" spans="1:37" x14ac:dyDescent="0.25">
      <c r="L3734">
        <v>0</v>
      </c>
    </row>
    <row r="3735" spans="1:37" x14ac:dyDescent="0.25">
      <c r="A3735" t="s">
        <v>66</v>
      </c>
      <c r="B3735">
        <v>15</v>
      </c>
      <c r="C3735">
        <v>1</v>
      </c>
      <c r="G3735">
        <v>15</v>
      </c>
      <c r="H3735" t="s">
        <v>4974</v>
      </c>
      <c r="I3735" t="s">
        <v>4981</v>
      </c>
      <c r="M3735" t="s">
        <v>4982</v>
      </c>
      <c r="N3735" t="s">
        <v>4981</v>
      </c>
      <c r="P3735" t="s">
        <v>4983</v>
      </c>
      <c r="V3735" t="s">
        <v>4984</v>
      </c>
      <c r="Y3735" t="s">
        <v>4985</v>
      </c>
      <c r="AA3735" t="s">
        <v>4986</v>
      </c>
      <c r="AC3735" t="s">
        <v>63</v>
      </c>
      <c r="AE3735" t="s">
        <v>4987</v>
      </c>
      <c r="AF3735">
        <v>0</v>
      </c>
      <c r="AG3735" t="s">
        <v>4988</v>
      </c>
      <c r="AH3735">
        <v>0</v>
      </c>
      <c r="AK3735">
        <v>0</v>
      </c>
    </row>
    <row r="3736" spans="1:37" x14ac:dyDescent="0.25">
      <c r="L3736">
        <v>0</v>
      </c>
    </row>
    <row r="3737" spans="1:37" x14ac:dyDescent="0.25">
      <c r="A3737" t="s">
        <v>70</v>
      </c>
      <c r="B3737">
        <v>15</v>
      </c>
      <c r="C3737">
        <v>1</v>
      </c>
      <c r="D3737">
        <v>1</v>
      </c>
      <c r="G3737">
        <v>151</v>
      </c>
      <c r="M3737" t="s">
        <v>4989</v>
      </c>
      <c r="O3737" t="s">
        <v>444</v>
      </c>
      <c r="P3737" t="s">
        <v>445</v>
      </c>
      <c r="Q3737" t="s">
        <v>3363</v>
      </c>
      <c r="R3737" t="s">
        <v>179</v>
      </c>
      <c r="S3737" t="s">
        <v>447</v>
      </c>
      <c r="V3737" t="s">
        <v>4990</v>
      </c>
      <c r="X3737" t="s">
        <v>4991</v>
      </c>
      <c r="Y3737" t="s">
        <v>4992</v>
      </c>
      <c r="Z3737" t="s">
        <v>4993</v>
      </c>
      <c r="AA3737" t="s">
        <v>4994</v>
      </c>
      <c r="AB3737" t="s">
        <v>63</v>
      </c>
      <c r="AC3737" t="s">
        <v>63</v>
      </c>
      <c r="AE3737" t="s">
        <v>4995</v>
      </c>
      <c r="AF3737">
        <v>0</v>
      </c>
      <c r="AG3737" t="s">
        <v>4996</v>
      </c>
      <c r="AH3737">
        <v>0</v>
      </c>
      <c r="AK3737">
        <v>0</v>
      </c>
    </row>
    <row r="3738" spans="1:37" x14ac:dyDescent="0.25">
      <c r="A3738" t="s">
        <v>79</v>
      </c>
      <c r="B3738">
        <v>15</v>
      </c>
      <c r="C3738">
        <v>1</v>
      </c>
      <c r="D3738">
        <v>1</v>
      </c>
      <c r="E3738">
        <v>1</v>
      </c>
      <c r="G3738">
        <v>1511</v>
      </c>
      <c r="H3738" t="s">
        <v>444</v>
      </c>
      <c r="I3738" t="s">
        <v>80</v>
      </c>
      <c r="J3738" t="s">
        <v>4997</v>
      </c>
      <c r="L3738">
        <v>0</v>
      </c>
      <c r="M3738" t="s">
        <v>4998</v>
      </c>
      <c r="O3738" t="s">
        <v>4999</v>
      </c>
      <c r="P3738" t="s">
        <v>5000</v>
      </c>
      <c r="Q3738" t="s">
        <v>5001</v>
      </c>
      <c r="R3738" t="s">
        <v>1221</v>
      </c>
      <c r="S3738" t="s">
        <v>5002</v>
      </c>
      <c r="T3738">
        <v>3634</v>
      </c>
      <c r="U3738">
        <v>830</v>
      </c>
      <c r="V3738" t="s">
        <v>5003</v>
      </c>
      <c r="AE3738" t="s">
        <v>5004</v>
      </c>
      <c r="AF3738">
        <v>0</v>
      </c>
      <c r="AG3738" t="s">
        <v>5005</v>
      </c>
      <c r="AH3738">
        <v>0</v>
      </c>
      <c r="AK3738">
        <v>0</v>
      </c>
    </row>
    <row r="3739" spans="1:37" x14ac:dyDescent="0.25">
      <c r="A3739" t="s">
        <v>79</v>
      </c>
      <c r="B3739">
        <v>15</v>
      </c>
      <c r="C3739">
        <v>1</v>
      </c>
      <c r="D3739">
        <v>1</v>
      </c>
      <c r="E3739">
        <v>2</v>
      </c>
      <c r="G3739">
        <v>1511</v>
      </c>
      <c r="H3739" t="s">
        <v>444</v>
      </c>
      <c r="I3739" t="s">
        <v>88</v>
      </c>
      <c r="J3739" t="s">
        <v>5006</v>
      </c>
      <c r="L3739">
        <v>0</v>
      </c>
      <c r="M3739" t="s">
        <v>5007</v>
      </c>
      <c r="O3739" t="s">
        <v>5008</v>
      </c>
      <c r="P3739" t="s">
        <v>5009</v>
      </c>
      <c r="Q3739" t="s">
        <v>5010</v>
      </c>
      <c r="R3739" t="s">
        <v>229</v>
      </c>
      <c r="S3739" t="s">
        <v>5011</v>
      </c>
      <c r="T3739">
        <v>3634</v>
      </c>
      <c r="U3739">
        <v>593</v>
      </c>
      <c r="V3739" t="s">
        <v>5012</v>
      </c>
      <c r="AE3739" t="s">
        <v>5013</v>
      </c>
      <c r="AF3739">
        <v>0</v>
      </c>
      <c r="AG3739" t="s">
        <v>5014</v>
      </c>
      <c r="AH3739">
        <v>0</v>
      </c>
      <c r="AK3739">
        <v>0</v>
      </c>
    </row>
    <row r="3740" spans="1:37" x14ac:dyDescent="0.25">
      <c r="A3740" t="s">
        <v>79</v>
      </c>
      <c r="B3740">
        <v>15</v>
      </c>
      <c r="C3740">
        <v>1</v>
      </c>
      <c r="D3740">
        <v>1</v>
      </c>
      <c r="E3740">
        <v>3</v>
      </c>
      <c r="G3740">
        <v>1511</v>
      </c>
      <c r="H3740" t="s">
        <v>444</v>
      </c>
      <c r="I3740" t="s">
        <v>95</v>
      </c>
      <c r="J3740" t="s">
        <v>5015</v>
      </c>
      <c r="L3740">
        <v>0</v>
      </c>
      <c r="M3740" t="s">
        <v>5016</v>
      </c>
      <c r="O3740" t="s">
        <v>294</v>
      </c>
      <c r="P3740" t="s">
        <v>295</v>
      </c>
      <c r="Q3740" t="s">
        <v>5017</v>
      </c>
      <c r="R3740" t="s">
        <v>229</v>
      </c>
      <c r="S3740" t="s">
        <v>297</v>
      </c>
      <c r="T3740">
        <v>3634</v>
      </c>
      <c r="U3740">
        <v>198</v>
      </c>
      <c r="V3740" t="s">
        <v>5018</v>
      </c>
      <c r="AE3740" t="s">
        <v>5019</v>
      </c>
      <c r="AF3740">
        <v>0</v>
      </c>
      <c r="AG3740" t="s">
        <v>5020</v>
      </c>
      <c r="AH3740">
        <v>0</v>
      </c>
      <c r="AK3740">
        <v>0</v>
      </c>
    </row>
    <row r="3741" spans="1:37" x14ac:dyDescent="0.25">
      <c r="A3741" t="s">
        <v>79</v>
      </c>
      <c r="B3741">
        <v>15</v>
      </c>
      <c r="C3741">
        <v>1</v>
      </c>
      <c r="D3741">
        <v>1</v>
      </c>
      <c r="E3741">
        <v>4</v>
      </c>
      <c r="G3741">
        <v>1511</v>
      </c>
      <c r="H3741" t="s">
        <v>444</v>
      </c>
      <c r="I3741" t="s">
        <v>102</v>
      </c>
      <c r="J3741" t="s">
        <v>5021</v>
      </c>
      <c r="L3741">
        <v>0</v>
      </c>
      <c r="M3741" t="s">
        <v>125</v>
      </c>
      <c r="O3741" t="s">
        <v>125</v>
      </c>
      <c r="P3741" t="s">
        <v>125</v>
      </c>
      <c r="Q3741" t="s">
        <v>125</v>
      </c>
      <c r="R3741" t="s">
        <v>125</v>
      </c>
      <c r="S3741" t="s">
        <v>125</v>
      </c>
      <c r="T3741">
        <v>3634</v>
      </c>
      <c r="V3741" t="s">
        <v>125</v>
      </c>
      <c r="AE3741" t="s">
        <v>125</v>
      </c>
      <c r="AF3741">
        <v>0</v>
      </c>
      <c r="AG3741" t="s">
        <v>125</v>
      </c>
      <c r="AH3741">
        <v>0</v>
      </c>
      <c r="AK3741">
        <v>0</v>
      </c>
    </row>
    <row r="3742" spans="1:37" x14ac:dyDescent="0.25">
      <c r="A3742" t="s">
        <v>79</v>
      </c>
      <c r="B3742">
        <v>15</v>
      </c>
      <c r="C3742">
        <v>1</v>
      </c>
      <c r="D3742">
        <v>1</v>
      </c>
      <c r="E3742">
        <v>5</v>
      </c>
      <c r="G3742">
        <v>1511</v>
      </c>
      <c r="H3742" t="s">
        <v>444</v>
      </c>
      <c r="I3742" t="s">
        <v>109</v>
      </c>
      <c r="J3742" t="s">
        <v>5022</v>
      </c>
      <c r="L3742">
        <v>0</v>
      </c>
      <c r="M3742" t="s">
        <v>125</v>
      </c>
      <c r="O3742" t="s">
        <v>125</v>
      </c>
      <c r="P3742" t="s">
        <v>125</v>
      </c>
      <c r="Q3742" t="s">
        <v>125</v>
      </c>
      <c r="R3742" t="s">
        <v>125</v>
      </c>
      <c r="S3742" t="s">
        <v>125</v>
      </c>
      <c r="T3742">
        <v>3634</v>
      </c>
      <c r="V3742" t="s">
        <v>125</v>
      </c>
      <c r="AE3742" t="s">
        <v>125</v>
      </c>
      <c r="AF3742">
        <v>0</v>
      </c>
      <c r="AG3742" t="s">
        <v>125</v>
      </c>
      <c r="AH3742">
        <v>0</v>
      </c>
      <c r="AK3742">
        <v>0</v>
      </c>
    </row>
    <row r="3743" spans="1:37" x14ac:dyDescent="0.25">
      <c r="A3743" t="s">
        <v>79</v>
      </c>
      <c r="B3743">
        <v>15</v>
      </c>
      <c r="C3743">
        <v>1</v>
      </c>
      <c r="D3743">
        <v>1</v>
      </c>
      <c r="E3743">
        <v>6</v>
      </c>
      <c r="G3743">
        <v>1511</v>
      </c>
      <c r="H3743" t="s">
        <v>444</v>
      </c>
      <c r="I3743" t="s">
        <v>116</v>
      </c>
      <c r="J3743" t="s">
        <v>5023</v>
      </c>
      <c r="L3743">
        <v>0</v>
      </c>
      <c r="M3743" t="s">
        <v>125</v>
      </c>
      <c r="O3743" t="s">
        <v>125</v>
      </c>
      <c r="P3743" t="s">
        <v>125</v>
      </c>
      <c r="Q3743" t="s">
        <v>125</v>
      </c>
      <c r="R3743" t="s">
        <v>125</v>
      </c>
      <c r="S3743" t="s">
        <v>125</v>
      </c>
      <c r="T3743">
        <v>3634</v>
      </c>
      <c r="V3743" t="s">
        <v>125</v>
      </c>
      <c r="AE3743" t="s">
        <v>125</v>
      </c>
      <c r="AF3743">
        <v>0</v>
      </c>
      <c r="AG3743" t="s">
        <v>125</v>
      </c>
      <c r="AH3743">
        <v>0</v>
      </c>
      <c r="AK3743">
        <v>0</v>
      </c>
    </row>
    <row r="3744" spans="1:37" x14ac:dyDescent="0.25">
      <c r="A3744" t="s">
        <v>79</v>
      </c>
      <c r="B3744">
        <v>15</v>
      </c>
      <c r="C3744">
        <v>1</v>
      </c>
      <c r="D3744">
        <v>1</v>
      </c>
      <c r="E3744">
        <v>7</v>
      </c>
      <c r="G3744">
        <v>1511</v>
      </c>
      <c r="H3744" t="s">
        <v>444</v>
      </c>
      <c r="I3744" t="s">
        <v>123</v>
      </c>
      <c r="J3744" t="s">
        <v>5024</v>
      </c>
      <c r="L3744">
        <v>0</v>
      </c>
      <c r="M3744" t="s">
        <v>125</v>
      </c>
      <c r="O3744" t="s">
        <v>125</v>
      </c>
      <c r="P3744" t="s">
        <v>125</v>
      </c>
      <c r="Q3744" t="s">
        <v>125</v>
      </c>
      <c r="R3744" t="s">
        <v>125</v>
      </c>
      <c r="S3744" t="s">
        <v>125</v>
      </c>
      <c r="T3744">
        <v>3634</v>
      </c>
      <c r="V3744" t="s">
        <v>125</v>
      </c>
      <c r="AE3744" t="s">
        <v>125</v>
      </c>
      <c r="AF3744">
        <v>0</v>
      </c>
      <c r="AG3744" t="s">
        <v>125</v>
      </c>
      <c r="AH3744">
        <v>0</v>
      </c>
      <c r="AK3744">
        <v>0</v>
      </c>
    </row>
    <row r="3745" spans="1:37" x14ac:dyDescent="0.25">
      <c r="A3745" t="s">
        <v>79</v>
      </c>
      <c r="B3745">
        <v>15</v>
      </c>
      <c r="C3745">
        <v>1</v>
      </c>
      <c r="D3745">
        <v>1</v>
      </c>
      <c r="E3745">
        <v>8</v>
      </c>
      <c r="G3745">
        <v>1511</v>
      </c>
      <c r="H3745" t="s">
        <v>444</v>
      </c>
      <c r="I3745" t="s">
        <v>126</v>
      </c>
      <c r="J3745" t="s">
        <v>5025</v>
      </c>
      <c r="L3745">
        <v>0</v>
      </c>
      <c r="M3745" t="s">
        <v>125</v>
      </c>
      <c r="O3745" t="s">
        <v>125</v>
      </c>
      <c r="P3745" t="s">
        <v>125</v>
      </c>
      <c r="Q3745" t="s">
        <v>125</v>
      </c>
      <c r="R3745" t="s">
        <v>125</v>
      </c>
      <c r="S3745" t="s">
        <v>125</v>
      </c>
      <c r="T3745">
        <v>3634</v>
      </c>
      <c r="V3745" t="s">
        <v>125</v>
      </c>
      <c r="AE3745" t="s">
        <v>125</v>
      </c>
      <c r="AF3745">
        <v>0</v>
      </c>
      <c r="AG3745" t="s">
        <v>125</v>
      </c>
      <c r="AH3745">
        <v>0</v>
      </c>
      <c r="AK3745">
        <v>0</v>
      </c>
    </row>
    <row r="3746" spans="1:37" x14ac:dyDescent="0.25">
      <c r="A3746" t="s">
        <v>79</v>
      </c>
      <c r="B3746">
        <v>15</v>
      </c>
      <c r="C3746">
        <v>1</v>
      </c>
      <c r="D3746">
        <v>1</v>
      </c>
      <c r="E3746">
        <v>9</v>
      </c>
      <c r="G3746">
        <v>1511</v>
      </c>
      <c r="H3746" t="s">
        <v>444</v>
      </c>
      <c r="I3746" t="s">
        <v>74</v>
      </c>
      <c r="J3746" t="s">
        <v>5026</v>
      </c>
      <c r="L3746">
        <v>0</v>
      </c>
      <c r="M3746" t="s">
        <v>125</v>
      </c>
      <c r="O3746" t="s">
        <v>125</v>
      </c>
      <c r="P3746" t="s">
        <v>125</v>
      </c>
      <c r="Q3746" t="s">
        <v>125</v>
      </c>
      <c r="R3746" t="s">
        <v>125</v>
      </c>
      <c r="S3746" t="s">
        <v>125</v>
      </c>
      <c r="T3746">
        <v>3634</v>
      </c>
      <c r="V3746" t="s">
        <v>125</v>
      </c>
      <c r="AE3746" t="s">
        <v>125</v>
      </c>
      <c r="AF3746">
        <v>0</v>
      </c>
      <c r="AG3746" t="s">
        <v>125</v>
      </c>
      <c r="AH3746">
        <v>0</v>
      </c>
      <c r="AK3746">
        <v>0</v>
      </c>
    </row>
    <row r="3747" spans="1:37" x14ac:dyDescent="0.25">
      <c r="A3747" t="s">
        <v>79</v>
      </c>
      <c r="B3747">
        <v>15</v>
      </c>
      <c r="C3747">
        <v>1</v>
      </c>
      <c r="D3747">
        <v>1</v>
      </c>
      <c r="E3747">
        <v>10</v>
      </c>
      <c r="G3747">
        <v>1511</v>
      </c>
      <c r="H3747" t="s">
        <v>444</v>
      </c>
      <c r="I3747" t="s">
        <v>129</v>
      </c>
      <c r="J3747" t="s">
        <v>5027</v>
      </c>
      <c r="L3747">
        <v>0</v>
      </c>
      <c r="M3747" t="s">
        <v>125</v>
      </c>
      <c r="O3747" t="s">
        <v>125</v>
      </c>
      <c r="P3747" t="s">
        <v>125</v>
      </c>
      <c r="Q3747" t="s">
        <v>125</v>
      </c>
      <c r="R3747" t="s">
        <v>125</v>
      </c>
      <c r="S3747" t="s">
        <v>125</v>
      </c>
      <c r="T3747">
        <v>3634</v>
      </c>
      <c r="V3747" t="s">
        <v>125</v>
      </c>
      <c r="AE3747" t="s">
        <v>125</v>
      </c>
      <c r="AF3747">
        <v>0</v>
      </c>
      <c r="AG3747" t="s">
        <v>125</v>
      </c>
      <c r="AH3747">
        <v>0</v>
      </c>
      <c r="AK3747">
        <v>0</v>
      </c>
    </row>
    <row r="3748" spans="1:37" x14ac:dyDescent="0.25">
      <c r="A3748" t="s">
        <v>79</v>
      </c>
      <c r="B3748">
        <v>15</v>
      </c>
      <c r="C3748">
        <v>1</v>
      </c>
      <c r="D3748">
        <v>1</v>
      </c>
      <c r="E3748">
        <v>11</v>
      </c>
      <c r="G3748">
        <v>1511</v>
      </c>
      <c r="H3748" t="s">
        <v>444</v>
      </c>
      <c r="I3748" t="s">
        <v>131</v>
      </c>
      <c r="J3748" t="s">
        <v>5028</v>
      </c>
      <c r="L3748">
        <v>0</v>
      </c>
      <c r="M3748" t="s">
        <v>125</v>
      </c>
      <c r="O3748" t="s">
        <v>125</v>
      </c>
      <c r="P3748" t="s">
        <v>125</v>
      </c>
      <c r="Q3748" t="s">
        <v>125</v>
      </c>
      <c r="R3748" t="s">
        <v>125</v>
      </c>
      <c r="S3748" t="s">
        <v>125</v>
      </c>
      <c r="T3748">
        <v>3634</v>
      </c>
      <c r="V3748" t="s">
        <v>125</v>
      </c>
      <c r="AE3748" t="s">
        <v>125</v>
      </c>
      <c r="AF3748">
        <v>0</v>
      </c>
      <c r="AG3748" t="s">
        <v>125</v>
      </c>
      <c r="AH3748">
        <v>0</v>
      </c>
      <c r="AK3748">
        <v>0</v>
      </c>
    </row>
    <row r="3749" spans="1:37" x14ac:dyDescent="0.25">
      <c r="A3749" t="s">
        <v>79</v>
      </c>
      <c r="B3749">
        <v>15</v>
      </c>
      <c r="C3749">
        <v>1</v>
      </c>
      <c r="D3749">
        <v>1</v>
      </c>
      <c r="E3749">
        <v>12</v>
      </c>
      <c r="G3749">
        <v>1511</v>
      </c>
      <c r="H3749" t="s">
        <v>444</v>
      </c>
      <c r="I3749" t="s">
        <v>133</v>
      </c>
      <c r="J3749" t="s">
        <v>5029</v>
      </c>
      <c r="L3749">
        <v>0</v>
      </c>
      <c r="M3749" t="s">
        <v>125</v>
      </c>
      <c r="O3749" t="s">
        <v>125</v>
      </c>
      <c r="P3749" t="s">
        <v>125</v>
      </c>
      <c r="Q3749" t="s">
        <v>125</v>
      </c>
      <c r="R3749" t="s">
        <v>125</v>
      </c>
      <c r="S3749" t="s">
        <v>125</v>
      </c>
      <c r="T3749">
        <v>3634</v>
      </c>
      <c r="V3749" t="s">
        <v>125</v>
      </c>
      <c r="AE3749" t="s">
        <v>125</v>
      </c>
      <c r="AF3749">
        <v>0</v>
      </c>
      <c r="AG3749" t="s">
        <v>125</v>
      </c>
      <c r="AH3749">
        <v>0</v>
      </c>
      <c r="AK3749">
        <v>0</v>
      </c>
    </row>
    <row r="3750" spans="1:37" x14ac:dyDescent="0.25">
      <c r="A3750" t="s">
        <v>79</v>
      </c>
      <c r="B3750">
        <v>15</v>
      </c>
      <c r="C3750">
        <v>1</v>
      </c>
      <c r="D3750">
        <v>1</v>
      </c>
      <c r="E3750">
        <v>13</v>
      </c>
      <c r="G3750">
        <v>1511</v>
      </c>
      <c r="H3750" t="s">
        <v>444</v>
      </c>
      <c r="I3750" t="s">
        <v>135</v>
      </c>
      <c r="J3750" t="s">
        <v>5030</v>
      </c>
      <c r="L3750">
        <v>0</v>
      </c>
      <c r="M3750" t="s">
        <v>125</v>
      </c>
      <c r="O3750" t="s">
        <v>125</v>
      </c>
      <c r="P3750" t="s">
        <v>125</v>
      </c>
      <c r="Q3750" t="s">
        <v>125</v>
      </c>
      <c r="R3750" t="s">
        <v>125</v>
      </c>
      <c r="S3750" t="s">
        <v>125</v>
      </c>
      <c r="T3750">
        <v>3634</v>
      </c>
      <c r="V3750" t="s">
        <v>125</v>
      </c>
      <c r="AE3750" t="s">
        <v>125</v>
      </c>
      <c r="AF3750">
        <v>0</v>
      </c>
      <c r="AG3750" t="s">
        <v>125</v>
      </c>
      <c r="AH3750">
        <v>0</v>
      </c>
      <c r="AK3750">
        <v>0</v>
      </c>
    </row>
    <row r="3751" spans="1:37" x14ac:dyDescent="0.25">
      <c r="A3751" t="s">
        <v>79</v>
      </c>
      <c r="B3751">
        <v>15</v>
      </c>
      <c r="C3751">
        <v>1</v>
      </c>
      <c r="D3751">
        <v>1</v>
      </c>
      <c r="E3751">
        <v>14</v>
      </c>
      <c r="G3751">
        <v>1511</v>
      </c>
      <c r="H3751" t="s">
        <v>444</v>
      </c>
      <c r="I3751" t="s">
        <v>137</v>
      </c>
      <c r="J3751" t="s">
        <v>5031</v>
      </c>
      <c r="L3751">
        <v>0</v>
      </c>
      <c r="M3751" t="s">
        <v>125</v>
      </c>
      <c r="O3751" t="s">
        <v>125</v>
      </c>
      <c r="P3751" t="s">
        <v>125</v>
      </c>
      <c r="Q3751" t="s">
        <v>125</v>
      </c>
      <c r="R3751" t="s">
        <v>125</v>
      </c>
      <c r="S3751" t="s">
        <v>125</v>
      </c>
      <c r="T3751">
        <v>3634</v>
      </c>
      <c r="V3751" t="s">
        <v>125</v>
      </c>
      <c r="AE3751" t="s">
        <v>125</v>
      </c>
      <c r="AF3751">
        <v>0</v>
      </c>
      <c r="AG3751" t="s">
        <v>125</v>
      </c>
      <c r="AH3751">
        <v>0</v>
      </c>
      <c r="AK3751">
        <v>0</v>
      </c>
    </row>
    <row r="3752" spans="1:37" x14ac:dyDescent="0.25">
      <c r="A3752" t="s">
        <v>79</v>
      </c>
      <c r="B3752">
        <v>15</v>
      </c>
      <c r="C3752">
        <v>1</v>
      </c>
      <c r="D3752">
        <v>1</v>
      </c>
      <c r="E3752">
        <v>15</v>
      </c>
      <c r="G3752">
        <v>1511</v>
      </c>
      <c r="H3752" t="s">
        <v>444</v>
      </c>
      <c r="I3752" t="s">
        <v>139</v>
      </c>
      <c r="J3752" t="s">
        <v>5032</v>
      </c>
      <c r="L3752">
        <v>0</v>
      </c>
      <c r="M3752" t="s">
        <v>125</v>
      </c>
      <c r="O3752" t="s">
        <v>125</v>
      </c>
      <c r="P3752" t="s">
        <v>125</v>
      </c>
      <c r="Q3752" t="s">
        <v>125</v>
      </c>
      <c r="R3752" t="s">
        <v>125</v>
      </c>
      <c r="S3752" t="s">
        <v>125</v>
      </c>
      <c r="T3752">
        <v>3634</v>
      </c>
      <c r="V3752" t="s">
        <v>125</v>
      </c>
      <c r="AE3752" t="s">
        <v>125</v>
      </c>
      <c r="AF3752">
        <v>0</v>
      </c>
      <c r="AG3752" t="s">
        <v>125</v>
      </c>
      <c r="AH3752">
        <v>0</v>
      </c>
      <c r="AK3752">
        <v>0</v>
      </c>
    </row>
    <row r="3753" spans="1:37" x14ac:dyDescent="0.25">
      <c r="L3753">
        <v>0</v>
      </c>
    </row>
    <row r="3754" spans="1:37" x14ac:dyDescent="0.25">
      <c r="A3754" t="s">
        <v>70</v>
      </c>
      <c r="B3754">
        <v>15</v>
      </c>
      <c r="C3754">
        <v>1</v>
      </c>
      <c r="D3754">
        <v>2</v>
      </c>
      <c r="G3754">
        <v>151</v>
      </c>
      <c r="M3754" t="s">
        <v>5033</v>
      </c>
      <c r="O3754" t="s">
        <v>5034</v>
      </c>
      <c r="P3754" t="s">
        <v>5035</v>
      </c>
      <c r="Q3754" t="s">
        <v>5036</v>
      </c>
      <c r="R3754" t="s">
        <v>179</v>
      </c>
      <c r="S3754" t="s">
        <v>5037</v>
      </c>
      <c r="V3754" t="s">
        <v>5038</v>
      </c>
      <c r="X3754" t="s">
        <v>5039</v>
      </c>
      <c r="Y3754" t="s">
        <v>5040</v>
      </c>
      <c r="Z3754" t="s">
        <v>5041</v>
      </c>
      <c r="AA3754" t="s">
        <v>5042</v>
      </c>
      <c r="AB3754" t="s">
        <v>63</v>
      </c>
      <c r="AC3754" t="s">
        <v>63</v>
      </c>
      <c r="AE3754" t="s">
        <v>5043</v>
      </c>
      <c r="AF3754">
        <v>0</v>
      </c>
      <c r="AG3754" t="s">
        <v>5044</v>
      </c>
      <c r="AH3754">
        <v>0</v>
      </c>
      <c r="AK3754">
        <v>0</v>
      </c>
    </row>
    <row r="3755" spans="1:37" x14ac:dyDescent="0.25">
      <c r="A3755" t="s">
        <v>79</v>
      </c>
      <c r="B3755">
        <v>15</v>
      </c>
      <c r="C3755">
        <v>1</v>
      </c>
      <c r="D3755">
        <v>2</v>
      </c>
      <c r="E3755">
        <v>1</v>
      </c>
      <c r="G3755">
        <v>1512</v>
      </c>
      <c r="H3755" t="s">
        <v>5034</v>
      </c>
      <c r="I3755" t="s">
        <v>80</v>
      </c>
      <c r="J3755" t="s">
        <v>5045</v>
      </c>
      <c r="L3755">
        <v>0</v>
      </c>
      <c r="M3755" t="s">
        <v>5046</v>
      </c>
      <c r="O3755" t="s">
        <v>4999</v>
      </c>
      <c r="P3755" t="s">
        <v>5000</v>
      </c>
      <c r="Q3755" t="s">
        <v>5001</v>
      </c>
      <c r="R3755" t="s">
        <v>1221</v>
      </c>
      <c r="S3755" t="s">
        <v>5002</v>
      </c>
      <c r="T3755">
        <v>2003</v>
      </c>
      <c r="U3755">
        <v>458</v>
      </c>
      <c r="V3755" t="s">
        <v>5003</v>
      </c>
      <c r="AE3755" t="s">
        <v>5004</v>
      </c>
      <c r="AF3755">
        <v>0</v>
      </c>
      <c r="AG3755" t="s">
        <v>5047</v>
      </c>
      <c r="AH3755">
        <v>0</v>
      </c>
      <c r="AK3755">
        <v>0</v>
      </c>
    </row>
    <row r="3756" spans="1:37" x14ac:dyDescent="0.25">
      <c r="A3756" t="s">
        <v>79</v>
      </c>
      <c r="B3756">
        <v>15</v>
      </c>
      <c r="C3756">
        <v>1</v>
      </c>
      <c r="D3756">
        <v>2</v>
      </c>
      <c r="E3756">
        <v>2</v>
      </c>
      <c r="G3756">
        <v>1512</v>
      </c>
      <c r="H3756" t="s">
        <v>5034</v>
      </c>
      <c r="I3756" t="s">
        <v>88</v>
      </c>
      <c r="J3756" t="s">
        <v>5048</v>
      </c>
      <c r="L3756">
        <v>0</v>
      </c>
      <c r="M3756" t="s">
        <v>5049</v>
      </c>
      <c r="O3756" t="s">
        <v>5008</v>
      </c>
      <c r="P3756" t="s">
        <v>5009</v>
      </c>
      <c r="Q3756" t="s">
        <v>5050</v>
      </c>
      <c r="R3756" t="s">
        <v>229</v>
      </c>
      <c r="S3756" t="s">
        <v>5011</v>
      </c>
      <c r="T3756">
        <v>2003</v>
      </c>
      <c r="U3756">
        <v>455</v>
      </c>
      <c r="V3756" t="s">
        <v>5051</v>
      </c>
      <c r="AE3756" t="s">
        <v>5052</v>
      </c>
      <c r="AF3756">
        <v>0</v>
      </c>
      <c r="AG3756" t="s">
        <v>5053</v>
      </c>
      <c r="AH3756">
        <v>0</v>
      </c>
      <c r="AK3756">
        <v>0</v>
      </c>
    </row>
    <row r="3757" spans="1:37" x14ac:dyDescent="0.25">
      <c r="A3757" t="s">
        <v>79</v>
      </c>
      <c r="B3757">
        <v>15</v>
      </c>
      <c r="C3757">
        <v>1</v>
      </c>
      <c r="D3757">
        <v>2</v>
      </c>
      <c r="E3757">
        <v>3</v>
      </c>
      <c r="G3757">
        <v>1512</v>
      </c>
      <c r="H3757" t="s">
        <v>5034</v>
      </c>
      <c r="I3757" t="s">
        <v>95</v>
      </c>
      <c r="J3757" t="s">
        <v>5054</v>
      </c>
      <c r="L3757">
        <v>0</v>
      </c>
      <c r="M3757" t="s">
        <v>5055</v>
      </c>
      <c r="O3757" t="s">
        <v>294</v>
      </c>
      <c r="P3757" t="s">
        <v>295</v>
      </c>
      <c r="Q3757" t="s">
        <v>5056</v>
      </c>
      <c r="R3757" t="s">
        <v>229</v>
      </c>
      <c r="S3757" t="s">
        <v>297</v>
      </c>
      <c r="T3757">
        <v>2003</v>
      </c>
      <c r="U3757">
        <v>152</v>
      </c>
      <c r="V3757" t="s">
        <v>714</v>
      </c>
      <c r="AE3757" t="s">
        <v>5057</v>
      </c>
      <c r="AF3757">
        <v>0</v>
      </c>
      <c r="AG3757" t="s">
        <v>5058</v>
      </c>
      <c r="AH3757">
        <v>0</v>
      </c>
      <c r="AK3757">
        <v>0</v>
      </c>
    </row>
    <row r="3758" spans="1:37" x14ac:dyDescent="0.25">
      <c r="A3758" t="s">
        <v>79</v>
      </c>
      <c r="B3758">
        <v>15</v>
      </c>
      <c r="C3758">
        <v>1</v>
      </c>
      <c r="D3758">
        <v>2</v>
      </c>
      <c r="E3758">
        <v>4</v>
      </c>
      <c r="G3758">
        <v>1512</v>
      </c>
      <c r="H3758" t="s">
        <v>5034</v>
      </c>
      <c r="I3758" t="s">
        <v>102</v>
      </c>
      <c r="J3758" t="s">
        <v>5059</v>
      </c>
      <c r="L3758">
        <v>0</v>
      </c>
      <c r="M3758" t="s">
        <v>125</v>
      </c>
      <c r="O3758" t="s">
        <v>125</v>
      </c>
      <c r="P3758" t="s">
        <v>125</v>
      </c>
      <c r="Q3758" t="s">
        <v>125</v>
      </c>
      <c r="R3758" t="s">
        <v>125</v>
      </c>
      <c r="S3758" t="s">
        <v>125</v>
      </c>
      <c r="T3758">
        <v>2003</v>
      </c>
      <c r="V3758" t="s">
        <v>125</v>
      </c>
      <c r="AE3758" t="s">
        <v>125</v>
      </c>
      <c r="AF3758">
        <v>0</v>
      </c>
      <c r="AG3758" t="s">
        <v>125</v>
      </c>
      <c r="AH3758">
        <v>0</v>
      </c>
      <c r="AK3758">
        <v>0</v>
      </c>
    </row>
    <row r="3759" spans="1:37" x14ac:dyDescent="0.25">
      <c r="A3759" t="s">
        <v>79</v>
      </c>
      <c r="B3759">
        <v>15</v>
      </c>
      <c r="C3759">
        <v>1</v>
      </c>
      <c r="D3759">
        <v>2</v>
      </c>
      <c r="E3759">
        <v>5</v>
      </c>
      <c r="G3759">
        <v>1512</v>
      </c>
      <c r="H3759" t="s">
        <v>5034</v>
      </c>
      <c r="I3759" t="s">
        <v>109</v>
      </c>
      <c r="J3759" t="s">
        <v>5060</v>
      </c>
      <c r="L3759">
        <v>0</v>
      </c>
      <c r="M3759" t="s">
        <v>125</v>
      </c>
      <c r="O3759" t="s">
        <v>125</v>
      </c>
      <c r="P3759" t="s">
        <v>125</v>
      </c>
      <c r="Q3759" t="s">
        <v>125</v>
      </c>
      <c r="R3759" t="s">
        <v>125</v>
      </c>
      <c r="S3759" t="s">
        <v>125</v>
      </c>
      <c r="T3759">
        <v>2003</v>
      </c>
      <c r="V3759" t="s">
        <v>125</v>
      </c>
      <c r="AE3759" t="s">
        <v>125</v>
      </c>
      <c r="AF3759">
        <v>0</v>
      </c>
      <c r="AG3759" t="s">
        <v>125</v>
      </c>
      <c r="AH3759">
        <v>0</v>
      </c>
      <c r="AK3759">
        <v>0</v>
      </c>
    </row>
    <row r="3760" spans="1:37" x14ac:dyDescent="0.25">
      <c r="A3760" t="s">
        <v>79</v>
      </c>
      <c r="B3760">
        <v>15</v>
      </c>
      <c r="C3760">
        <v>1</v>
      </c>
      <c r="D3760">
        <v>2</v>
      </c>
      <c r="E3760">
        <v>6</v>
      </c>
      <c r="G3760">
        <v>1512</v>
      </c>
      <c r="H3760" t="s">
        <v>5034</v>
      </c>
      <c r="I3760" t="s">
        <v>116</v>
      </c>
      <c r="J3760" t="s">
        <v>5061</v>
      </c>
      <c r="L3760">
        <v>0</v>
      </c>
      <c r="M3760" t="s">
        <v>125</v>
      </c>
      <c r="O3760" t="s">
        <v>125</v>
      </c>
      <c r="P3760" t="s">
        <v>125</v>
      </c>
      <c r="Q3760" t="s">
        <v>125</v>
      </c>
      <c r="R3760" t="s">
        <v>125</v>
      </c>
      <c r="S3760" t="s">
        <v>125</v>
      </c>
      <c r="T3760">
        <v>2003</v>
      </c>
      <c r="V3760" t="s">
        <v>125</v>
      </c>
      <c r="AE3760" t="s">
        <v>125</v>
      </c>
      <c r="AF3760">
        <v>0</v>
      </c>
      <c r="AG3760" t="s">
        <v>125</v>
      </c>
      <c r="AH3760">
        <v>0</v>
      </c>
      <c r="AK3760">
        <v>0</v>
      </c>
    </row>
    <row r="3761" spans="1:37" x14ac:dyDescent="0.25">
      <c r="A3761" t="s">
        <v>79</v>
      </c>
      <c r="B3761">
        <v>15</v>
      </c>
      <c r="C3761">
        <v>1</v>
      </c>
      <c r="D3761">
        <v>2</v>
      </c>
      <c r="E3761">
        <v>7</v>
      </c>
      <c r="G3761">
        <v>1512</v>
      </c>
      <c r="H3761" t="s">
        <v>5034</v>
      </c>
      <c r="I3761" t="s">
        <v>123</v>
      </c>
      <c r="J3761" t="s">
        <v>5062</v>
      </c>
      <c r="L3761">
        <v>0</v>
      </c>
      <c r="M3761" t="s">
        <v>125</v>
      </c>
      <c r="O3761" t="s">
        <v>125</v>
      </c>
      <c r="P3761" t="s">
        <v>125</v>
      </c>
      <c r="Q3761" t="s">
        <v>125</v>
      </c>
      <c r="R3761" t="s">
        <v>125</v>
      </c>
      <c r="S3761" t="s">
        <v>125</v>
      </c>
      <c r="T3761">
        <v>2003</v>
      </c>
      <c r="V3761" t="s">
        <v>125</v>
      </c>
      <c r="AE3761" t="s">
        <v>125</v>
      </c>
      <c r="AF3761">
        <v>0</v>
      </c>
      <c r="AG3761" t="s">
        <v>125</v>
      </c>
      <c r="AH3761">
        <v>0</v>
      </c>
      <c r="AK3761">
        <v>0</v>
      </c>
    </row>
    <row r="3762" spans="1:37" x14ac:dyDescent="0.25">
      <c r="A3762" t="s">
        <v>79</v>
      </c>
      <c r="B3762">
        <v>15</v>
      </c>
      <c r="C3762">
        <v>1</v>
      </c>
      <c r="D3762">
        <v>2</v>
      </c>
      <c r="E3762">
        <v>8</v>
      </c>
      <c r="G3762">
        <v>1512</v>
      </c>
      <c r="H3762" t="s">
        <v>5034</v>
      </c>
      <c r="I3762" t="s">
        <v>126</v>
      </c>
      <c r="J3762" t="s">
        <v>5063</v>
      </c>
      <c r="L3762">
        <v>0</v>
      </c>
      <c r="M3762" t="s">
        <v>125</v>
      </c>
      <c r="O3762" t="s">
        <v>125</v>
      </c>
      <c r="P3762" t="s">
        <v>125</v>
      </c>
      <c r="Q3762" t="s">
        <v>125</v>
      </c>
      <c r="R3762" t="s">
        <v>125</v>
      </c>
      <c r="S3762" t="s">
        <v>125</v>
      </c>
      <c r="T3762">
        <v>2003</v>
      </c>
      <c r="V3762" t="s">
        <v>125</v>
      </c>
      <c r="AE3762" t="s">
        <v>125</v>
      </c>
      <c r="AF3762">
        <v>0</v>
      </c>
      <c r="AG3762" t="s">
        <v>125</v>
      </c>
      <c r="AH3762">
        <v>0</v>
      </c>
      <c r="AK3762">
        <v>0</v>
      </c>
    </row>
    <row r="3763" spans="1:37" x14ac:dyDescent="0.25">
      <c r="A3763" t="s">
        <v>79</v>
      </c>
      <c r="B3763">
        <v>15</v>
      </c>
      <c r="C3763">
        <v>1</v>
      </c>
      <c r="D3763">
        <v>2</v>
      </c>
      <c r="E3763">
        <v>9</v>
      </c>
      <c r="G3763">
        <v>1512</v>
      </c>
      <c r="H3763" t="s">
        <v>5034</v>
      </c>
      <c r="I3763" t="s">
        <v>74</v>
      </c>
      <c r="J3763" t="s">
        <v>5064</v>
      </c>
      <c r="L3763">
        <v>0</v>
      </c>
      <c r="M3763" t="s">
        <v>125</v>
      </c>
      <c r="O3763" t="s">
        <v>125</v>
      </c>
      <c r="P3763" t="s">
        <v>125</v>
      </c>
      <c r="Q3763" t="s">
        <v>125</v>
      </c>
      <c r="R3763" t="s">
        <v>125</v>
      </c>
      <c r="S3763" t="s">
        <v>125</v>
      </c>
      <c r="T3763">
        <v>2003</v>
      </c>
      <c r="V3763" t="s">
        <v>125</v>
      </c>
      <c r="AE3763" t="s">
        <v>125</v>
      </c>
      <c r="AF3763">
        <v>0</v>
      </c>
      <c r="AG3763" t="s">
        <v>125</v>
      </c>
      <c r="AH3763">
        <v>0</v>
      </c>
      <c r="AK3763">
        <v>0</v>
      </c>
    </row>
    <row r="3764" spans="1:37" x14ac:dyDescent="0.25">
      <c r="A3764" t="s">
        <v>79</v>
      </c>
      <c r="B3764">
        <v>15</v>
      </c>
      <c r="C3764">
        <v>1</v>
      </c>
      <c r="D3764">
        <v>2</v>
      </c>
      <c r="E3764">
        <v>10</v>
      </c>
      <c r="G3764">
        <v>1512</v>
      </c>
      <c r="H3764" t="s">
        <v>5034</v>
      </c>
      <c r="I3764" t="s">
        <v>129</v>
      </c>
      <c r="J3764" t="s">
        <v>5065</v>
      </c>
      <c r="L3764">
        <v>0</v>
      </c>
      <c r="M3764" t="s">
        <v>125</v>
      </c>
      <c r="O3764" t="s">
        <v>125</v>
      </c>
      <c r="P3764" t="s">
        <v>125</v>
      </c>
      <c r="Q3764" t="s">
        <v>125</v>
      </c>
      <c r="R3764" t="s">
        <v>125</v>
      </c>
      <c r="S3764" t="s">
        <v>125</v>
      </c>
      <c r="T3764">
        <v>2003</v>
      </c>
      <c r="V3764" t="s">
        <v>125</v>
      </c>
      <c r="AE3764" t="s">
        <v>125</v>
      </c>
      <c r="AF3764">
        <v>0</v>
      </c>
      <c r="AG3764" t="s">
        <v>125</v>
      </c>
      <c r="AH3764">
        <v>0</v>
      </c>
      <c r="AK3764">
        <v>0</v>
      </c>
    </row>
    <row r="3765" spans="1:37" x14ac:dyDescent="0.25">
      <c r="A3765" t="s">
        <v>79</v>
      </c>
      <c r="B3765">
        <v>15</v>
      </c>
      <c r="C3765">
        <v>1</v>
      </c>
      <c r="D3765">
        <v>2</v>
      </c>
      <c r="E3765">
        <v>11</v>
      </c>
      <c r="G3765">
        <v>1512</v>
      </c>
      <c r="H3765" t="s">
        <v>5034</v>
      </c>
      <c r="I3765" t="s">
        <v>131</v>
      </c>
      <c r="J3765" t="s">
        <v>5066</v>
      </c>
      <c r="L3765">
        <v>0</v>
      </c>
      <c r="M3765" t="s">
        <v>125</v>
      </c>
      <c r="O3765" t="s">
        <v>125</v>
      </c>
      <c r="P3765" t="s">
        <v>125</v>
      </c>
      <c r="Q3765" t="s">
        <v>125</v>
      </c>
      <c r="R3765" t="s">
        <v>125</v>
      </c>
      <c r="S3765" t="s">
        <v>125</v>
      </c>
      <c r="T3765">
        <v>2003</v>
      </c>
      <c r="V3765" t="s">
        <v>125</v>
      </c>
      <c r="AE3765" t="s">
        <v>125</v>
      </c>
      <c r="AF3765">
        <v>0</v>
      </c>
      <c r="AG3765" t="s">
        <v>125</v>
      </c>
      <c r="AH3765">
        <v>0</v>
      </c>
      <c r="AK3765">
        <v>0</v>
      </c>
    </row>
    <row r="3766" spans="1:37" x14ac:dyDescent="0.25">
      <c r="A3766" t="s">
        <v>79</v>
      </c>
      <c r="B3766">
        <v>15</v>
      </c>
      <c r="C3766">
        <v>1</v>
      </c>
      <c r="D3766">
        <v>2</v>
      </c>
      <c r="E3766">
        <v>12</v>
      </c>
      <c r="G3766">
        <v>1512</v>
      </c>
      <c r="H3766" t="s">
        <v>5034</v>
      </c>
      <c r="I3766" t="s">
        <v>133</v>
      </c>
      <c r="J3766" t="s">
        <v>5067</v>
      </c>
      <c r="L3766">
        <v>0</v>
      </c>
      <c r="M3766" t="s">
        <v>125</v>
      </c>
      <c r="O3766" t="s">
        <v>125</v>
      </c>
      <c r="P3766" t="s">
        <v>125</v>
      </c>
      <c r="Q3766" t="s">
        <v>125</v>
      </c>
      <c r="R3766" t="s">
        <v>125</v>
      </c>
      <c r="S3766" t="s">
        <v>125</v>
      </c>
      <c r="T3766">
        <v>2003</v>
      </c>
      <c r="V3766" t="s">
        <v>125</v>
      </c>
      <c r="AE3766" t="s">
        <v>125</v>
      </c>
      <c r="AF3766">
        <v>0</v>
      </c>
      <c r="AG3766" t="s">
        <v>125</v>
      </c>
      <c r="AH3766">
        <v>0</v>
      </c>
      <c r="AK3766">
        <v>0</v>
      </c>
    </row>
    <row r="3767" spans="1:37" x14ac:dyDescent="0.25">
      <c r="A3767" t="s">
        <v>79</v>
      </c>
      <c r="B3767">
        <v>15</v>
      </c>
      <c r="C3767">
        <v>1</v>
      </c>
      <c r="D3767">
        <v>2</v>
      </c>
      <c r="E3767">
        <v>13</v>
      </c>
      <c r="G3767">
        <v>1512</v>
      </c>
      <c r="H3767" t="s">
        <v>5034</v>
      </c>
      <c r="I3767" t="s">
        <v>135</v>
      </c>
      <c r="J3767" t="s">
        <v>5068</v>
      </c>
      <c r="L3767">
        <v>0</v>
      </c>
      <c r="M3767" t="s">
        <v>125</v>
      </c>
      <c r="O3767" t="s">
        <v>125</v>
      </c>
      <c r="P3767" t="s">
        <v>125</v>
      </c>
      <c r="Q3767" t="s">
        <v>125</v>
      </c>
      <c r="R3767" t="s">
        <v>125</v>
      </c>
      <c r="S3767" t="s">
        <v>125</v>
      </c>
      <c r="T3767">
        <v>2003</v>
      </c>
      <c r="V3767" t="s">
        <v>125</v>
      </c>
      <c r="AE3767" t="s">
        <v>125</v>
      </c>
      <c r="AF3767">
        <v>0</v>
      </c>
      <c r="AG3767" t="s">
        <v>125</v>
      </c>
      <c r="AH3767">
        <v>0</v>
      </c>
      <c r="AK3767">
        <v>0</v>
      </c>
    </row>
    <row r="3768" spans="1:37" x14ac:dyDescent="0.25">
      <c r="A3768" t="s">
        <v>79</v>
      </c>
      <c r="B3768">
        <v>15</v>
      </c>
      <c r="C3768">
        <v>1</v>
      </c>
      <c r="D3768">
        <v>2</v>
      </c>
      <c r="E3768">
        <v>14</v>
      </c>
      <c r="G3768">
        <v>1512</v>
      </c>
      <c r="H3768" t="s">
        <v>5034</v>
      </c>
      <c r="I3768" t="s">
        <v>137</v>
      </c>
      <c r="J3768" t="s">
        <v>5069</v>
      </c>
      <c r="L3768">
        <v>0</v>
      </c>
      <c r="M3768" t="s">
        <v>125</v>
      </c>
      <c r="O3768" t="s">
        <v>125</v>
      </c>
      <c r="P3768" t="s">
        <v>125</v>
      </c>
      <c r="Q3768" t="s">
        <v>125</v>
      </c>
      <c r="R3768" t="s">
        <v>125</v>
      </c>
      <c r="S3768" t="s">
        <v>125</v>
      </c>
      <c r="T3768">
        <v>2003</v>
      </c>
      <c r="V3768" t="s">
        <v>125</v>
      </c>
      <c r="AE3768" t="s">
        <v>125</v>
      </c>
      <c r="AF3768">
        <v>0</v>
      </c>
      <c r="AG3768" t="s">
        <v>125</v>
      </c>
      <c r="AH3768">
        <v>0</v>
      </c>
      <c r="AK3768">
        <v>0</v>
      </c>
    </row>
    <row r="3769" spans="1:37" x14ac:dyDescent="0.25">
      <c r="A3769" t="s">
        <v>79</v>
      </c>
      <c r="B3769">
        <v>15</v>
      </c>
      <c r="C3769">
        <v>1</v>
      </c>
      <c r="D3769">
        <v>2</v>
      </c>
      <c r="E3769">
        <v>15</v>
      </c>
      <c r="G3769">
        <v>1512</v>
      </c>
      <c r="H3769" t="s">
        <v>5034</v>
      </c>
      <c r="I3769" t="s">
        <v>139</v>
      </c>
      <c r="J3769" t="s">
        <v>5070</v>
      </c>
      <c r="L3769">
        <v>0</v>
      </c>
      <c r="M3769" t="s">
        <v>125</v>
      </c>
      <c r="O3769" t="s">
        <v>125</v>
      </c>
      <c r="P3769" t="s">
        <v>125</v>
      </c>
      <c r="Q3769" t="s">
        <v>125</v>
      </c>
      <c r="R3769" t="s">
        <v>125</v>
      </c>
      <c r="S3769" t="s">
        <v>125</v>
      </c>
      <c r="T3769">
        <v>2003</v>
      </c>
      <c r="V3769" t="s">
        <v>125</v>
      </c>
      <c r="AE3769" t="s">
        <v>125</v>
      </c>
      <c r="AF3769">
        <v>0</v>
      </c>
      <c r="AG3769" t="s">
        <v>125</v>
      </c>
      <c r="AH3769">
        <v>0</v>
      </c>
      <c r="AK3769">
        <v>0</v>
      </c>
    </row>
    <row r="3770" spans="1:37" x14ac:dyDescent="0.25">
      <c r="L3770">
        <v>0</v>
      </c>
    </row>
    <row r="3771" spans="1:37" x14ac:dyDescent="0.25">
      <c r="A3771" t="s">
        <v>70</v>
      </c>
      <c r="B3771">
        <v>15</v>
      </c>
      <c r="C3771">
        <v>1</v>
      </c>
      <c r="D3771">
        <v>3</v>
      </c>
      <c r="G3771">
        <v>151</v>
      </c>
      <c r="M3771" t="s">
        <v>5071</v>
      </c>
      <c r="O3771" t="s">
        <v>5072</v>
      </c>
      <c r="P3771" t="s">
        <v>5073</v>
      </c>
      <c r="Q3771" t="s">
        <v>5074</v>
      </c>
      <c r="R3771" t="s">
        <v>179</v>
      </c>
      <c r="S3771" t="s">
        <v>5075</v>
      </c>
      <c r="V3771" t="s">
        <v>5076</v>
      </c>
      <c r="X3771" t="s">
        <v>5077</v>
      </c>
      <c r="Y3771" t="s">
        <v>5078</v>
      </c>
      <c r="Z3771" t="s">
        <v>5079</v>
      </c>
      <c r="AA3771" t="s">
        <v>5080</v>
      </c>
      <c r="AB3771" t="s">
        <v>63</v>
      </c>
      <c r="AC3771" t="s">
        <v>63</v>
      </c>
      <c r="AE3771" t="s">
        <v>5081</v>
      </c>
      <c r="AF3771">
        <v>0</v>
      </c>
      <c r="AG3771" t="s">
        <v>5082</v>
      </c>
      <c r="AH3771">
        <v>0</v>
      </c>
      <c r="AK3771">
        <v>0</v>
      </c>
    </row>
    <row r="3772" spans="1:37" x14ac:dyDescent="0.25">
      <c r="A3772" t="s">
        <v>79</v>
      </c>
      <c r="B3772">
        <v>15</v>
      </c>
      <c r="C3772">
        <v>1</v>
      </c>
      <c r="D3772">
        <v>3</v>
      </c>
      <c r="E3772">
        <v>1</v>
      </c>
      <c r="G3772">
        <v>1513</v>
      </c>
      <c r="H3772" t="s">
        <v>5072</v>
      </c>
      <c r="I3772" t="s">
        <v>80</v>
      </c>
      <c r="J3772" t="s">
        <v>5083</v>
      </c>
      <c r="L3772">
        <v>0</v>
      </c>
      <c r="M3772" t="s">
        <v>5084</v>
      </c>
      <c r="O3772" t="s">
        <v>5085</v>
      </c>
      <c r="P3772" t="s">
        <v>5086</v>
      </c>
      <c r="Q3772" t="s">
        <v>1697</v>
      </c>
      <c r="R3772" t="s">
        <v>1221</v>
      </c>
      <c r="S3772" t="s">
        <v>5087</v>
      </c>
      <c r="T3772">
        <v>349</v>
      </c>
      <c r="U3772">
        <v>5</v>
      </c>
      <c r="V3772" t="s">
        <v>631</v>
      </c>
      <c r="AE3772" t="s">
        <v>5088</v>
      </c>
      <c r="AF3772">
        <v>0</v>
      </c>
      <c r="AG3772" t="s">
        <v>5089</v>
      </c>
      <c r="AH3772">
        <v>0</v>
      </c>
      <c r="AK3772">
        <v>0</v>
      </c>
    </row>
    <row r="3773" spans="1:37" x14ac:dyDescent="0.25">
      <c r="A3773" t="s">
        <v>79</v>
      </c>
      <c r="B3773">
        <v>15</v>
      </c>
      <c r="C3773">
        <v>1</v>
      </c>
      <c r="D3773">
        <v>3</v>
      </c>
      <c r="E3773">
        <v>2</v>
      </c>
      <c r="G3773">
        <v>1513</v>
      </c>
      <c r="H3773" t="s">
        <v>5072</v>
      </c>
      <c r="I3773" t="s">
        <v>88</v>
      </c>
      <c r="J3773" t="s">
        <v>5090</v>
      </c>
      <c r="L3773">
        <v>0</v>
      </c>
      <c r="M3773" t="s">
        <v>5091</v>
      </c>
      <c r="O3773" t="s">
        <v>5092</v>
      </c>
      <c r="P3773" t="s">
        <v>5093</v>
      </c>
      <c r="Q3773" t="s">
        <v>5094</v>
      </c>
      <c r="R3773" t="s">
        <v>1221</v>
      </c>
      <c r="S3773" t="s">
        <v>5095</v>
      </c>
      <c r="T3773">
        <v>349</v>
      </c>
      <c r="U3773">
        <v>49</v>
      </c>
      <c r="V3773" t="s">
        <v>5096</v>
      </c>
      <c r="AE3773" t="s">
        <v>5097</v>
      </c>
      <c r="AF3773">
        <v>0</v>
      </c>
      <c r="AG3773" t="s">
        <v>5098</v>
      </c>
      <c r="AH3773">
        <v>0</v>
      </c>
      <c r="AK3773">
        <v>0</v>
      </c>
    </row>
    <row r="3774" spans="1:37" x14ac:dyDescent="0.25">
      <c r="A3774" t="s">
        <v>79</v>
      </c>
      <c r="B3774">
        <v>15</v>
      </c>
      <c r="C3774">
        <v>1</v>
      </c>
      <c r="D3774">
        <v>3</v>
      </c>
      <c r="E3774">
        <v>3</v>
      </c>
      <c r="G3774">
        <v>1513</v>
      </c>
      <c r="H3774" t="s">
        <v>5072</v>
      </c>
      <c r="I3774" t="s">
        <v>95</v>
      </c>
      <c r="J3774" t="s">
        <v>5099</v>
      </c>
      <c r="L3774">
        <v>0</v>
      </c>
      <c r="M3774" t="s">
        <v>5100</v>
      </c>
      <c r="O3774" t="s">
        <v>5008</v>
      </c>
      <c r="P3774" t="s">
        <v>5009</v>
      </c>
      <c r="Q3774" t="s">
        <v>5101</v>
      </c>
      <c r="R3774" t="s">
        <v>229</v>
      </c>
      <c r="S3774" t="s">
        <v>5011</v>
      </c>
      <c r="T3774">
        <v>349</v>
      </c>
      <c r="U3774">
        <v>133</v>
      </c>
      <c r="V3774" t="s">
        <v>5102</v>
      </c>
      <c r="AE3774" t="s">
        <v>5103</v>
      </c>
      <c r="AF3774">
        <v>0</v>
      </c>
      <c r="AG3774" t="s">
        <v>5104</v>
      </c>
      <c r="AH3774">
        <v>0</v>
      </c>
      <c r="AK3774">
        <v>0</v>
      </c>
    </row>
    <row r="3775" spans="1:37" x14ac:dyDescent="0.25">
      <c r="A3775" t="s">
        <v>79</v>
      </c>
      <c r="B3775">
        <v>15</v>
      </c>
      <c r="C3775">
        <v>1</v>
      </c>
      <c r="D3775">
        <v>3</v>
      </c>
      <c r="E3775">
        <v>4</v>
      </c>
      <c r="G3775">
        <v>1513</v>
      </c>
      <c r="H3775" t="s">
        <v>5072</v>
      </c>
      <c r="I3775" t="s">
        <v>102</v>
      </c>
      <c r="J3775" t="s">
        <v>5105</v>
      </c>
      <c r="L3775">
        <v>0</v>
      </c>
      <c r="M3775" t="s">
        <v>125</v>
      </c>
      <c r="O3775" t="s">
        <v>125</v>
      </c>
      <c r="P3775" t="s">
        <v>125</v>
      </c>
      <c r="Q3775" t="s">
        <v>125</v>
      </c>
      <c r="R3775" t="s">
        <v>125</v>
      </c>
      <c r="S3775" t="s">
        <v>125</v>
      </c>
      <c r="T3775">
        <v>349</v>
      </c>
      <c r="V3775" t="s">
        <v>125</v>
      </c>
      <c r="AE3775" t="s">
        <v>125</v>
      </c>
      <c r="AF3775">
        <v>0</v>
      </c>
      <c r="AG3775" t="s">
        <v>125</v>
      </c>
      <c r="AH3775">
        <v>0</v>
      </c>
      <c r="AK3775">
        <v>0</v>
      </c>
    </row>
    <row r="3776" spans="1:37" x14ac:dyDescent="0.25">
      <c r="A3776" t="s">
        <v>79</v>
      </c>
      <c r="B3776">
        <v>15</v>
      </c>
      <c r="C3776">
        <v>1</v>
      </c>
      <c r="D3776">
        <v>3</v>
      </c>
      <c r="E3776">
        <v>5</v>
      </c>
      <c r="G3776">
        <v>1513</v>
      </c>
      <c r="H3776" t="s">
        <v>5072</v>
      </c>
      <c r="I3776" t="s">
        <v>109</v>
      </c>
      <c r="J3776" t="s">
        <v>5106</v>
      </c>
      <c r="L3776">
        <v>0</v>
      </c>
      <c r="M3776" t="s">
        <v>125</v>
      </c>
      <c r="O3776" t="s">
        <v>125</v>
      </c>
      <c r="P3776" t="s">
        <v>125</v>
      </c>
      <c r="Q3776" t="s">
        <v>125</v>
      </c>
      <c r="R3776" t="s">
        <v>125</v>
      </c>
      <c r="S3776" t="s">
        <v>125</v>
      </c>
      <c r="T3776">
        <v>349</v>
      </c>
      <c r="V3776" t="s">
        <v>125</v>
      </c>
      <c r="AE3776" t="s">
        <v>125</v>
      </c>
      <c r="AF3776">
        <v>0</v>
      </c>
      <c r="AG3776" t="s">
        <v>125</v>
      </c>
      <c r="AH3776">
        <v>0</v>
      </c>
      <c r="AK3776">
        <v>0</v>
      </c>
    </row>
    <row r="3777" spans="1:37" x14ac:dyDescent="0.25">
      <c r="A3777" t="s">
        <v>79</v>
      </c>
      <c r="B3777">
        <v>15</v>
      </c>
      <c r="C3777">
        <v>1</v>
      </c>
      <c r="D3777">
        <v>3</v>
      </c>
      <c r="E3777">
        <v>6</v>
      </c>
      <c r="G3777">
        <v>1513</v>
      </c>
      <c r="H3777" t="s">
        <v>5072</v>
      </c>
      <c r="I3777" t="s">
        <v>116</v>
      </c>
      <c r="J3777" t="s">
        <v>5107</v>
      </c>
      <c r="L3777">
        <v>0</v>
      </c>
      <c r="M3777" t="s">
        <v>125</v>
      </c>
      <c r="O3777" t="s">
        <v>125</v>
      </c>
      <c r="P3777" t="s">
        <v>125</v>
      </c>
      <c r="Q3777" t="s">
        <v>125</v>
      </c>
      <c r="R3777" t="s">
        <v>125</v>
      </c>
      <c r="S3777" t="s">
        <v>125</v>
      </c>
      <c r="T3777">
        <v>349</v>
      </c>
      <c r="V3777" t="s">
        <v>125</v>
      </c>
      <c r="AE3777" t="s">
        <v>125</v>
      </c>
      <c r="AF3777">
        <v>0</v>
      </c>
      <c r="AG3777" t="s">
        <v>125</v>
      </c>
      <c r="AH3777">
        <v>0</v>
      </c>
      <c r="AK3777">
        <v>0</v>
      </c>
    </row>
    <row r="3778" spans="1:37" x14ac:dyDescent="0.25">
      <c r="A3778" t="s">
        <v>79</v>
      </c>
      <c r="B3778">
        <v>15</v>
      </c>
      <c r="C3778">
        <v>1</v>
      </c>
      <c r="D3778">
        <v>3</v>
      </c>
      <c r="E3778">
        <v>7</v>
      </c>
      <c r="G3778">
        <v>1513</v>
      </c>
      <c r="H3778" t="s">
        <v>5072</v>
      </c>
      <c r="I3778" t="s">
        <v>123</v>
      </c>
      <c r="J3778" t="s">
        <v>5108</v>
      </c>
      <c r="L3778">
        <v>0</v>
      </c>
      <c r="M3778" t="s">
        <v>125</v>
      </c>
      <c r="O3778" t="s">
        <v>125</v>
      </c>
      <c r="P3778" t="s">
        <v>125</v>
      </c>
      <c r="Q3778" t="s">
        <v>125</v>
      </c>
      <c r="R3778" t="s">
        <v>125</v>
      </c>
      <c r="S3778" t="s">
        <v>125</v>
      </c>
      <c r="T3778">
        <v>349</v>
      </c>
      <c r="V3778" t="s">
        <v>125</v>
      </c>
      <c r="AE3778" t="s">
        <v>125</v>
      </c>
      <c r="AF3778">
        <v>0</v>
      </c>
      <c r="AG3778" t="s">
        <v>125</v>
      </c>
      <c r="AH3778">
        <v>0</v>
      </c>
      <c r="AK3778">
        <v>0</v>
      </c>
    </row>
    <row r="3779" spans="1:37" x14ac:dyDescent="0.25">
      <c r="A3779" t="s">
        <v>79</v>
      </c>
      <c r="B3779">
        <v>15</v>
      </c>
      <c r="C3779">
        <v>1</v>
      </c>
      <c r="D3779">
        <v>3</v>
      </c>
      <c r="E3779">
        <v>8</v>
      </c>
      <c r="G3779">
        <v>1513</v>
      </c>
      <c r="H3779" t="s">
        <v>5072</v>
      </c>
      <c r="I3779" t="s">
        <v>126</v>
      </c>
      <c r="J3779" t="s">
        <v>5109</v>
      </c>
      <c r="L3779">
        <v>0</v>
      </c>
      <c r="M3779" t="s">
        <v>125</v>
      </c>
      <c r="O3779" t="s">
        <v>125</v>
      </c>
      <c r="P3779" t="s">
        <v>125</v>
      </c>
      <c r="Q3779" t="s">
        <v>125</v>
      </c>
      <c r="R3779" t="s">
        <v>125</v>
      </c>
      <c r="S3779" t="s">
        <v>125</v>
      </c>
      <c r="T3779">
        <v>349</v>
      </c>
      <c r="V3779" t="s">
        <v>125</v>
      </c>
      <c r="AE3779" t="s">
        <v>125</v>
      </c>
      <c r="AF3779">
        <v>0</v>
      </c>
      <c r="AG3779" t="s">
        <v>125</v>
      </c>
      <c r="AH3779">
        <v>0</v>
      </c>
      <c r="AK3779">
        <v>0</v>
      </c>
    </row>
    <row r="3780" spans="1:37" x14ac:dyDescent="0.25">
      <c r="A3780" t="s">
        <v>79</v>
      </c>
      <c r="B3780">
        <v>15</v>
      </c>
      <c r="C3780">
        <v>1</v>
      </c>
      <c r="D3780">
        <v>3</v>
      </c>
      <c r="E3780">
        <v>9</v>
      </c>
      <c r="G3780">
        <v>1513</v>
      </c>
      <c r="H3780" t="s">
        <v>5072</v>
      </c>
      <c r="I3780" t="s">
        <v>74</v>
      </c>
      <c r="J3780" t="s">
        <v>5110</v>
      </c>
      <c r="L3780">
        <v>0</v>
      </c>
      <c r="M3780" t="s">
        <v>125</v>
      </c>
      <c r="O3780" t="s">
        <v>125</v>
      </c>
      <c r="P3780" t="s">
        <v>125</v>
      </c>
      <c r="Q3780" t="s">
        <v>125</v>
      </c>
      <c r="R3780" t="s">
        <v>125</v>
      </c>
      <c r="S3780" t="s">
        <v>125</v>
      </c>
      <c r="T3780">
        <v>349</v>
      </c>
      <c r="V3780" t="s">
        <v>125</v>
      </c>
      <c r="AE3780" t="s">
        <v>125</v>
      </c>
      <c r="AF3780">
        <v>0</v>
      </c>
      <c r="AG3780" t="s">
        <v>125</v>
      </c>
      <c r="AH3780">
        <v>0</v>
      </c>
      <c r="AK3780">
        <v>0</v>
      </c>
    </row>
    <row r="3781" spans="1:37" x14ac:dyDescent="0.25">
      <c r="A3781" t="s">
        <v>79</v>
      </c>
      <c r="B3781">
        <v>15</v>
      </c>
      <c r="C3781">
        <v>1</v>
      </c>
      <c r="D3781">
        <v>3</v>
      </c>
      <c r="E3781">
        <v>10</v>
      </c>
      <c r="G3781">
        <v>1513</v>
      </c>
      <c r="H3781" t="s">
        <v>5072</v>
      </c>
      <c r="I3781" t="s">
        <v>129</v>
      </c>
      <c r="J3781" t="s">
        <v>5111</v>
      </c>
      <c r="L3781">
        <v>0</v>
      </c>
      <c r="M3781" t="s">
        <v>125</v>
      </c>
      <c r="O3781" t="s">
        <v>125</v>
      </c>
      <c r="P3781" t="s">
        <v>125</v>
      </c>
      <c r="Q3781" t="s">
        <v>125</v>
      </c>
      <c r="R3781" t="s">
        <v>125</v>
      </c>
      <c r="S3781" t="s">
        <v>125</v>
      </c>
      <c r="T3781">
        <v>349</v>
      </c>
      <c r="V3781" t="s">
        <v>125</v>
      </c>
      <c r="AE3781" t="s">
        <v>125</v>
      </c>
      <c r="AF3781">
        <v>0</v>
      </c>
      <c r="AG3781" t="s">
        <v>125</v>
      </c>
      <c r="AH3781">
        <v>0</v>
      </c>
      <c r="AK3781">
        <v>0</v>
      </c>
    </row>
    <row r="3782" spans="1:37" x14ac:dyDescent="0.25">
      <c r="A3782" t="s">
        <v>79</v>
      </c>
      <c r="B3782">
        <v>15</v>
      </c>
      <c r="C3782">
        <v>1</v>
      </c>
      <c r="D3782">
        <v>3</v>
      </c>
      <c r="E3782">
        <v>11</v>
      </c>
      <c r="G3782">
        <v>1513</v>
      </c>
      <c r="H3782" t="s">
        <v>5072</v>
      </c>
      <c r="I3782" t="s">
        <v>131</v>
      </c>
      <c r="J3782" t="s">
        <v>5112</v>
      </c>
      <c r="L3782">
        <v>0</v>
      </c>
      <c r="M3782" t="s">
        <v>125</v>
      </c>
      <c r="O3782" t="s">
        <v>125</v>
      </c>
      <c r="P3782" t="s">
        <v>125</v>
      </c>
      <c r="Q3782" t="s">
        <v>125</v>
      </c>
      <c r="R3782" t="s">
        <v>125</v>
      </c>
      <c r="S3782" t="s">
        <v>125</v>
      </c>
      <c r="T3782">
        <v>349</v>
      </c>
      <c r="V3782" t="s">
        <v>125</v>
      </c>
      <c r="AE3782" t="s">
        <v>125</v>
      </c>
      <c r="AF3782">
        <v>0</v>
      </c>
      <c r="AG3782" t="s">
        <v>125</v>
      </c>
      <c r="AH3782">
        <v>0</v>
      </c>
      <c r="AK3782">
        <v>0</v>
      </c>
    </row>
    <row r="3783" spans="1:37" x14ac:dyDescent="0.25">
      <c r="A3783" t="s">
        <v>79</v>
      </c>
      <c r="B3783">
        <v>15</v>
      </c>
      <c r="C3783">
        <v>1</v>
      </c>
      <c r="D3783">
        <v>3</v>
      </c>
      <c r="E3783">
        <v>12</v>
      </c>
      <c r="G3783">
        <v>1513</v>
      </c>
      <c r="H3783" t="s">
        <v>5072</v>
      </c>
      <c r="I3783" t="s">
        <v>133</v>
      </c>
      <c r="J3783" t="s">
        <v>5113</v>
      </c>
      <c r="L3783">
        <v>0</v>
      </c>
      <c r="M3783" t="s">
        <v>125</v>
      </c>
      <c r="O3783" t="s">
        <v>125</v>
      </c>
      <c r="P3783" t="s">
        <v>125</v>
      </c>
      <c r="Q3783" t="s">
        <v>125</v>
      </c>
      <c r="R3783" t="s">
        <v>125</v>
      </c>
      <c r="S3783" t="s">
        <v>125</v>
      </c>
      <c r="T3783">
        <v>349</v>
      </c>
      <c r="V3783" t="s">
        <v>125</v>
      </c>
      <c r="AE3783" t="s">
        <v>125</v>
      </c>
      <c r="AF3783">
        <v>0</v>
      </c>
      <c r="AG3783" t="s">
        <v>125</v>
      </c>
      <c r="AH3783">
        <v>0</v>
      </c>
      <c r="AK3783">
        <v>0</v>
      </c>
    </row>
    <row r="3784" spans="1:37" x14ac:dyDescent="0.25">
      <c r="A3784" t="s">
        <v>79</v>
      </c>
      <c r="B3784">
        <v>15</v>
      </c>
      <c r="C3784">
        <v>1</v>
      </c>
      <c r="D3784">
        <v>3</v>
      </c>
      <c r="E3784">
        <v>13</v>
      </c>
      <c r="G3784">
        <v>1513</v>
      </c>
      <c r="H3784" t="s">
        <v>5072</v>
      </c>
      <c r="I3784" t="s">
        <v>135</v>
      </c>
      <c r="J3784" t="s">
        <v>5114</v>
      </c>
      <c r="L3784">
        <v>0</v>
      </c>
      <c r="M3784" t="s">
        <v>125</v>
      </c>
      <c r="O3784" t="s">
        <v>125</v>
      </c>
      <c r="P3784" t="s">
        <v>125</v>
      </c>
      <c r="Q3784" t="s">
        <v>125</v>
      </c>
      <c r="R3784" t="s">
        <v>125</v>
      </c>
      <c r="S3784" t="s">
        <v>125</v>
      </c>
      <c r="T3784">
        <v>349</v>
      </c>
      <c r="V3784" t="s">
        <v>125</v>
      </c>
      <c r="AE3784" t="s">
        <v>125</v>
      </c>
      <c r="AF3784">
        <v>0</v>
      </c>
      <c r="AG3784" t="s">
        <v>125</v>
      </c>
      <c r="AH3784">
        <v>0</v>
      </c>
      <c r="AK3784">
        <v>0</v>
      </c>
    </row>
    <row r="3785" spans="1:37" x14ac:dyDescent="0.25">
      <c r="A3785" t="s">
        <v>79</v>
      </c>
      <c r="B3785">
        <v>15</v>
      </c>
      <c r="C3785">
        <v>1</v>
      </c>
      <c r="D3785">
        <v>3</v>
      </c>
      <c r="E3785">
        <v>14</v>
      </c>
      <c r="G3785">
        <v>1513</v>
      </c>
      <c r="H3785" t="s">
        <v>5072</v>
      </c>
      <c r="I3785" t="s">
        <v>137</v>
      </c>
      <c r="J3785" t="s">
        <v>5115</v>
      </c>
      <c r="L3785">
        <v>0</v>
      </c>
      <c r="M3785" t="s">
        <v>125</v>
      </c>
      <c r="O3785" t="s">
        <v>125</v>
      </c>
      <c r="P3785" t="s">
        <v>125</v>
      </c>
      <c r="Q3785" t="s">
        <v>125</v>
      </c>
      <c r="R3785" t="s">
        <v>125</v>
      </c>
      <c r="S3785" t="s">
        <v>125</v>
      </c>
      <c r="T3785">
        <v>349</v>
      </c>
      <c r="V3785" t="s">
        <v>125</v>
      </c>
      <c r="AE3785" t="s">
        <v>125</v>
      </c>
      <c r="AF3785">
        <v>0</v>
      </c>
      <c r="AG3785" t="s">
        <v>125</v>
      </c>
      <c r="AH3785">
        <v>0</v>
      </c>
      <c r="AK3785">
        <v>0</v>
      </c>
    </row>
    <row r="3786" spans="1:37" x14ac:dyDescent="0.25">
      <c r="A3786" t="s">
        <v>79</v>
      </c>
      <c r="B3786">
        <v>15</v>
      </c>
      <c r="C3786">
        <v>1</v>
      </c>
      <c r="D3786">
        <v>3</v>
      </c>
      <c r="E3786">
        <v>15</v>
      </c>
      <c r="G3786">
        <v>1513</v>
      </c>
      <c r="H3786" t="s">
        <v>5072</v>
      </c>
      <c r="I3786" t="s">
        <v>139</v>
      </c>
      <c r="J3786" t="s">
        <v>5116</v>
      </c>
      <c r="L3786">
        <v>0</v>
      </c>
      <c r="M3786" t="s">
        <v>125</v>
      </c>
      <c r="O3786" t="s">
        <v>125</v>
      </c>
      <c r="P3786" t="s">
        <v>125</v>
      </c>
      <c r="Q3786" t="s">
        <v>125</v>
      </c>
      <c r="R3786" t="s">
        <v>125</v>
      </c>
      <c r="S3786" t="s">
        <v>125</v>
      </c>
      <c r="T3786">
        <v>349</v>
      </c>
      <c r="V3786" t="s">
        <v>125</v>
      </c>
      <c r="AE3786" t="s">
        <v>125</v>
      </c>
      <c r="AF3786">
        <v>0</v>
      </c>
      <c r="AG3786" t="s">
        <v>125</v>
      </c>
      <c r="AH3786">
        <v>0</v>
      </c>
      <c r="AK3786">
        <v>0</v>
      </c>
    </row>
    <row r="3787" spans="1:37" x14ac:dyDescent="0.25">
      <c r="L3787">
        <v>0</v>
      </c>
    </row>
    <row r="3788" spans="1:37" x14ac:dyDescent="0.25">
      <c r="A3788" t="s">
        <v>70</v>
      </c>
      <c r="B3788">
        <v>15</v>
      </c>
      <c r="C3788">
        <v>1</v>
      </c>
      <c r="D3788">
        <v>4</v>
      </c>
      <c r="G3788">
        <v>151</v>
      </c>
      <c r="L3788">
        <v>0</v>
      </c>
      <c r="M3788" t="s">
        <v>125</v>
      </c>
      <c r="P3788" t="s">
        <v>125</v>
      </c>
      <c r="R3788" t="s">
        <v>125</v>
      </c>
      <c r="S3788" t="s">
        <v>63</v>
      </c>
      <c r="V3788" t="s">
        <v>125</v>
      </c>
      <c r="X3788" t="s">
        <v>125</v>
      </c>
      <c r="Y3788" t="s">
        <v>125</v>
      </c>
      <c r="Z3788" t="s">
        <v>125</v>
      </c>
      <c r="AA3788" t="s">
        <v>125</v>
      </c>
      <c r="AB3788" t="s">
        <v>125</v>
      </c>
      <c r="AC3788" t="s">
        <v>125</v>
      </c>
      <c r="AE3788" t="s">
        <v>125</v>
      </c>
      <c r="AF3788">
        <v>0</v>
      </c>
      <c r="AG3788" t="s">
        <v>125</v>
      </c>
      <c r="AH3788">
        <v>0</v>
      </c>
      <c r="AK3788">
        <v>0</v>
      </c>
    </row>
    <row r="3789" spans="1:37" x14ac:dyDescent="0.25">
      <c r="A3789" t="s">
        <v>79</v>
      </c>
      <c r="B3789">
        <v>15</v>
      </c>
      <c r="C3789">
        <v>1</v>
      </c>
      <c r="D3789">
        <v>4</v>
      </c>
      <c r="E3789">
        <v>1</v>
      </c>
      <c r="G3789">
        <v>1514</v>
      </c>
      <c r="H3789" t="s">
        <v>63</v>
      </c>
      <c r="I3789" t="s">
        <v>80</v>
      </c>
      <c r="J3789" t="s">
        <v>141</v>
      </c>
      <c r="L3789">
        <v>0</v>
      </c>
      <c r="M3789" t="s">
        <v>125</v>
      </c>
      <c r="O3789" t="s">
        <v>125</v>
      </c>
      <c r="P3789" t="s">
        <v>125</v>
      </c>
      <c r="Q3789" t="s">
        <v>125</v>
      </c>
      <c r="R3789" t="s">
        <v>125</v>
      </c>
      <c r="S3789" t="s">
        <v>125</v>
      </c>
      <c r="T3789">
        <v>0</v>
      </c>
      <c r="V3789" t="s">
        <v>125</v>
      </c>
      <c r="AE3789" t="s">
        <v>125</v>
      </c>
      <c r="AF3789">
        <v>0</v>
      </c>
      <c r="AG3789" t="s">
        <v>125</v>
      </c>
      <c r="AH3789">
        <v>0</v>
      </c>
      <c r="AK3789">
        <v>0</v>
      </c>
    </row>
    <row r="3790" spans="1:37" x14ac:dyDescent="0.25">
      <c r="A3790" t="s">
        <v>79</v>
      </c>
      <c r="B3790">
        <v>15</v>
      </c>
      <c r="C3790">
        <v>1</v>
      </c>
      <c r="D3790">
        <v>4</v>
      </c>
      <c r="E3790">
        <v>2</v>
      </c>
      <c r="G3790">
        <v>1514</v>
      </c>
      <c r="H3790" t="s">
        <v>63</v>
      </c>
      <c r="I3790" t="s">
        <v>88</v>
      </c>
      <c r="J3790" t="s">
        <v>142</v>
      </c>
      <c r="L3790">
        <v>0</v>
      </c>
      <c r="M3790" t="s">
        <v>125</v>
      </c>
      <c r="O3790" t="s">
        <v>125</v>
      </c>
      <c r="P3790" t="s">
        <v>125</v>
      </c>
      <c r="Q3790" t="s">
        <v>125</v>
      </c>
      <c r="R3790" t="s">
        <v>125</v>
      </c>
      <c r="S3790" t="s">
        <v>125</v>
      </c>
      <c r="T3790">
        <v>0</v>
      </c>
      <c r="V3790" t="s">
        <v>125</v>
      </c>
      <c r="AE3790" t="s">
        <v>125</v>
      </c>
      <c r="AF3790">
        <v>0</v>
      </c>
      <c r="AG3790" t="s">
        <v>125</v>
      </c>
      <c r="AH3790">
        <v>0</v>
      </c>
      <c r="AK3790">
        <v>0</v>
      </c>
    </row>
    <row r="3791" spans="1:37" x14ac:dyDescent="0.25">
      <c r="A3791" t="s">
        <v>79</v>
      </c>
      <c r="B3791">
        <v>15</v>
      </c>
      <c r="C3791">
        <v>1</v>
      </c>
      <c r="D3791">
        <v>4</v>
      </c>
      <c r="E3791">
        <v>3</v>
      </c>
      <c r="G3791">
        <v>1514</v>
      </c>
      <c r="H3791" t="s">
        <v>63</v>
      </c>
      <c r="I3791" t="s">
        <v>95</v>
      </c>
      <c r="J3791" t="s">
        <v>143</v>
      </c>
      <c r="L3791">
        <v>0</v>
      </c>
      <c r="M3791" t="s">
        <v>125</v>
      </c>
      <c r="O3791" t="s">
        <v>125</v>
      </c>
      <c r="P3791" t="s">
        <v>125</v>
      </c>
      <c r="Q3791" t="s">
        <v>125</v>
      </c>
      <c r="R3791" t="s">
        <v>125</v>
      </c>
      <c r="S3791" t="s">
        <v>125</v>
      </c>
      <c r="T3791">
        <v>0</v>
      </c>
      <c r="V3791" t="s">
        <v>125</v>
      </c>
      <c r="AE3791" t="s">
        <v>125</v>
      </c>
      <c r="AF3791">
        <v>0</v>
      </c>
      <c r="AG3791" t="s">
        <v>125</v>
      </c>
      <c r="AH3791">
        <v>0</v>
      </c>
      <c r="AK3791">
        <v>0</v>
      </c>
    </row>
    <row r="3792" spans="1:37" x14ac:dyDescent="0.25">
      <c r="A3792" t="s">
        <v>79</v>
      </c>
      <c r="B3792">
        <v>15</v>
      </c>
      <c r="C3792">
        <v>1</v>
      </c>
      <c r="D3792">
        <v>4</v>
      </c>
      <c r="E3792">
        <v>4</v>
      </c>
      <c r="G3792">
        <v>1514</v>
      </c>
      <c r="H3792" t="s">
        <v>63</v>
      </c>
      <c r="I3792" t="s">
        <v>102</v>
      </c>
      <c r="J3792" t="s">
        <v>144</v>
      </c>
      <c r="L3792">
        <v>0</v>
      </c>
      <c r="M3792" t="s">
        <v>125</v>
      </c>
      <c r="O3792" t="s">
        <v>125</v>
      </c>
      <c r="P3792" t="s">
        <v>125</v>
      </c>
      <c r="Q3792" t="s">
        <v>125</v>
      </c>
      <c r="R3792" t="s">
        <v>125</v>
      </c>
      <c r="S3792" t="s">
        <v>125</v>
      </c>
      <c r="T3792">
        <v>0</v>
      </c>
      <c r="V3792" t="s">
        <v>125</v>
      </c>
      <c r="AE3792" t="s">
        <v>125</v>
      </c>
      <c r="AF3792">
        <v>0</v>
      </c>
      <c r="AG3792" t="s">
        <v>125</v>
      </c>
      <c r="AH3792">
        <v>0</v>
      </c>
      <c r="AK3792">
        <v>0</v>
      </c>
    </row>
    <row r="3793" spans="1:37" x14ac:dyDescent="0.25">
      <c r="A3793" t="s">
        <v>79</v>
      </c>
      <c r="B3793">
        <v>15</v>
      </c>
      <c r="C3793">
        <v>1</v>
      </c>
      <c r="D3793">
        <v>4</v>
      </c>
      <c r="E3793">
        <v>5</v>
      </c>
      <c r="G3793">
        <v>1514</v>
      </c>
      <c r="H3793" t="s">
        <v>63</v>
      </c>
      <c r="I3793" t="s">
        <v>109</v>
      </c>
      <c r="J3793" t="s">
        <v>145</v>
      </c>
      <c r="L3793">
        <v>0</v>
      </c>
      <c r="M3793" t="s">
        <v>125</v>
      </c>
      <c r="O3793" t="s">
        <v>125</v>
      </c>
      <c r="P3793" t="s">
        <v>125</v>
      </c>
      <c r="Q3793" t="s">
        <v>125</v>
      </c>
      <c r="R3793" t="s">
        <v>125</v>
      </c>
      <c r="S3793" t="s">
        <v>125</v>
      </c>
      <c r="T3793">
        <v>0</v>
      </c>
      <c r="V3793" t="s">
        <v>125</v>
      </c>
      <c r="AE3793" t="s">
        <v>125</v>
      </c>
      <c r="AF3793">
        <v>0</v>
      </c>
      <c r="AG3793" t="s">
        <v>125</v>
      </c>
      <c r="AH3793">
        <v>0</v>
      </c>
      <c r="AK3793">
        <v>0</v>
      </c>
    </row>
    <row r="3794" spans="1:37" x14ac:dyDescent="0.25">
      <c r="A3794" t="s">
        <v>79</v>
      </c>
      <c r="B3794">
        <v>15</v>
      </c>
      <c r="C3794">
        <v>1</v>
      </c>
      <c r="D3794">
        <v>4</v>
      </c>
      <c r="E3794">
        <v>6</v>
      </c>
      <c r="G3794">
        <v>1514</v>
      </c>
      <c r="H3794" t="s">
        <v>63</v>
      </c>
      <c r="I3794" t="s">
        <v>116</v>
      </c>
      <c r="J3794" t="s">
        <v>146</v>
      </c>
      <c r="L3794">
        <v>0</v>
      </c>
      <c r="M3794" t="s">
        <v>125</v>
      </c>
      <c r="O3794" t="s">
        <v>125</v>
      </c>
      <c r="P3794" t="s">
        <v>125</v>
      </c>
      <c r="Q3794" t="s">
        <v>125</v>
      </c>
      <c r="R3794" t="s">
        <v>125</v>
      </c>
      <c r="S3794" t="s">
        <v>125</v>
      </c>
      <c r="T3794">
        <v>0</v>
      </c>
      <c r="V3794" t="s">
        <v>125</v>
      </c>
      <c r="AE3794" t="s">
        <v>125</v>
      </c>
      <c r="AF3794">
        <v>0</v>
      </c>
      <c r="AG3794" t="s">
        <v>125</v>
      </c>
      <c r="AH3794">
        <v>0</v>
      </c>
      <c r="AK3794">
        <v>0</v>
      </c>
    </row>
    <row r="3795" spans="1:37" x14ac:dyDescent="0.25">
      <c r="A3795" t="s">
        <v>79</v>
      </c>
      <c r="B3795">
        <v>15</v>
      </c>
      <c r="C3795">
        <v>1</v>
      </c>
      <c r="D3795">
        <v>4</v>
      </c>
      <c r="E3795">
        <v>7</v>
      </c>
      <c r="G3795">
        <v>1514</v>
      </c>
      <c r="H3795" t="s">
        <v>63</v>
      </c>
      <c r="I3795" t="s">
        <v>123</v>
      </c>
      <c r="J3795" t="s">
        <v>147</v>
      </c>
      <c r="L3795">
        <v>0</v>
      </c>
      <c r="M3795" t="s">
        <v>125</v>
      </c>
      <c r="O3795" t="s">
        <v>125</v>
      </c>
      <c r="P3795" t="s">
        <v>125</v>
      </c>
      <c r="Q3795" t="s">
        <v>125</v>
      </c>
      <c r="R3795" t="s">
        <v>125</v>
      </c>
      <c r="S3795" t="s">
        <v>125</v>
      </c>
      <c r="T3795">
        <v>0</v>
      </c>
      <c r="V3795" t="s">
        <v>125</v>
      </c>
      <c r="AE3795" t="s">
        <v>125</v>
      </c>
      <c r="AF3795">
        <v>0</v>
      </c>
      <c r="AG3795" t="s">
        <v>125</v>
      </c>
      <c r="AH3795">
        <v>0</v>
      </c>
      <c r="AK3795">
        <v>0</v>
      </c>
    </row>
    <row r="3796" spans="1:37" x14ac:dyDescent="0.25">
      <c r="A3796" t="s">
        <v>79</v>
      </c>
      <c r="B3796">
        <v>15</v>
      </c>
      <c r="C3796">
        <v>1</v>
      </c>
      <c r="D3796">
        <v>4</v>
      </c>
      <c r="E3796">
        <v>8</v>
      </c>
      <c r="G3796">
        <v>1514</v>
      </c>
      <c r="H3796" t="s">
        <v>63</v>
      </c>
      <c r="I3796" t="s">
        <v>126</v>
      </c>
      <c r="J3796" t="s">
        <v>148</v>
      </c>
      <c r="L3796">
        <v>0</v>
      </c>
      <c r="M3796" t="s">
        <v>125</v>
      </c>
      <c r="O3796" t="s">
        <v>125</v>
      </c>
      <c r="P3796" t="s">
        <v>125</v>
      </c>
      <c r="Q3796" t="s">
        <v>125</v>
      </c>
      <c r="R3796" t="s">
        <v>125</v>
      </c>
      <c r="S3796" t="s">
        <v>125</v>
      </c>
      <c r="T3796">
        <v>0</v>
      </c>
      <c r="V3796" t="s">
        <v>125</v>
      </c>
      <c r="AE3796" t="s">
        <v>125</v>
      </c>
      <c r="AF3796">
        <v>0</v>
      </c>
      <c r="AG3796" t="s">
        <v>125</v>
      </c>
      <c r="AH3796">
        <v>0</v>
      </c>
      <c r="AK3796">
        <v>0</v>
      </c>
    </row>
    <row r="3797" spans="1:37" x14ac:dyDescent="0.25">
      <c r="A3797" t="s">
        <v>79</v>
      </c>
      <c r="B3797">
        <v>15</v>
      </c>
      <c r="C3797">
        <v>1</v>
      </c>
      <c r="D3797">
        <v>4</v>
      </c>
      <c r="E3797">
        <v>9</v>
      </c>
      <c r="G3797">
        <v>1514</v>
      </c>
      <c r="H3797" t="s">
        <v>63</v>
      </c>
      <c r="I3797" t="s">
        <v>74</v>
      </c>
      <c r="J3797" t="s">
        <v>149</v>
      </c>
      <c r="L3797">
        <v>0</v>
      </c>
      <c r="M3797" t="s">
        <v>125</v>
      </c>
      <c r="O3797" t="s">
        <v>125</v>
      </c>
      <c r="P3797" t="s">
        <v>125</v>
      </c>
      <c r="Q3797" t="s">
        <v>125</v>
      </c>
      <c r="R3797" t="s">
        <v>125</v>
      </c>
      <c r="S3797" t="s">
        <v>125</v>
      </c>
      <c r="T3797">
        <v>0</v>
      </c>
      <c r="V3797" t="s">
        <v>125</v>
      </c>
      <c r="AE3797" t="s">
        <v>125</v>
      </c>
      <c r="AF3797">
        <v>0</v>
      </c>
      <c r="AG3797" t="s">
        <v>125</v>
      </c>
      <c r="AH3797">
        <v>0</v>
      </c>
      <c r="AK3797">
        <v>0</v>
      </c>
    </row>
    <row r="3798" spans="1:37" x14ac:dyDescent="0.25">
      <c r="A3798" t="s">
        <v>79</v>
      </c>
      <c r="B3798">
        <v>15</v>
      </c>
      <c r="C3798">
        <v>1</v>
      </c>
      <c r="D3798">
        <v>4</v>
      </c>
      <c r="E3798">
        <v>10</v>
      </c>
      <c r="G3798">
        <v>1514</v>
      </c>
      <c r="H3798" t="s">
        <v>63</v>
      </c>
      <c r="I3798" t="s">
        <v>129</v>
      </c>
      <c r="J3798" t="s">
        <v>150</v>
      </c>
      <c r="L3798">
        <v>0</v>
      </c>
      <c r="M3798" t="s">
        <v>125</v>
      </c>
      <c r="O3798" t="s">
        <v>125</v>
      </c>
      <c r="P3798" t="s">
        <v>125</v>
      </c>
      <c r="Q3798" t="s">
        <v>125</v>
      </c>
      <c r="R3798" t="s">
        <v>125</v>
      </c>
      <c r="S3798" t="s">
        <v>125</v>
      </c>
      <c r="T3798">
        <v>0</v>
      </c>
      <c r="V3798" t="s">
        <v>125</v>
      </c>
      <c r="AE3798" t="s">
        <v>125</v>
      </c>
      <c r="AF3798">
        <v>0</v>
      </c>
      <c r="AG3798" t="s">
        <v>125</v>
      </c>
      <c r="AH3798">
        <v>0</v>
      </c>
      <c r="AK3798">
        <v>0</v>
      </c>
    </row>
    <row r="3799" spans="1:37" x14ac:dyDescent="0.25">
      <c r="A3799" t="s">
        <v>79</v>
      </c>
      <c r="B3799">
        <v>15</v>
      </c>
      <c r="C3799">
        <v>1</v>
      </c>
      <c r="D3799">
        <v>4</v>
      </c>
      <c r="E3799">
        <v>11</v>
      </c>
      <c r="G3799">
        <v>1514</v>
      </c>
      <c r="H3799" t="s">
        <v>63</v>
      </c>
      <c r="I3799" t="s">
        <v>131</v>
      </c>
      <c r="J3799" t="s">
        <v>151</v>
      </c>
      <c r="L3799">
        <v>0</v>
      </c>
      <c r="M3799" t="s">
        <v>125</v>
      </c>
      <c r="O3799" t="s">
        <v>125</v>
      </c>
      <c r="P3799" t="s">
        <v>125</v>
      </c>
      <c r="Q3799" t="s">
        <v>125</v>
      </c>
      <c r="R3799" t="s">
        <v>125</v>
      </c>
      <c r="S3799" t="s">
        <v>125</v>
      </c>
      <c r="T3799">
        <v>0</v>
      </c>
      <c r="V3799" t="s">
        <v>125</v>
      </c>
      <c r="AE3799" t="s">
        <v>125</v>
      </c>
      <c r="AF3799">
        <v>0</v>
      </c>
      <c r="AG3799" t="s">
        <v>125</v>
      </c>
      <c r="AH3799">
        <v>0</v>
      </c>
      <c r="AK3799">
        <v>0</v>
      </c>
    </row>
    <row r="3800" spans="1:37" x14ac:dyDescent="0.25">
      <c r="A3800" t="s">
        <v>79</v>
      </c>
      <c r="B3800">
        <v>15</v>
      </c>
      <c r="C3800">
        <v>1</v>
      </c>
      <c r="D3800">
        <v>4</v>
      </c>
      <c r="E3800">
        <v>12</v>
      </c>
      <c r="G3800">
        <v>1514</v>
      </c>
      <c r="H3800" t="s">
        <v>63</v>
      </c>
      <c r="I3800" t="s">
        <v>133</v>
      </c>
      <c r="J3800" t="s">
        <v>152</v>
      </c>
      <c r="L3800">
        <v>0</v>
      </c>
      <c r="M3800" t="s">
        <v>125</v>
      </c>
      <c r="O3800" t="s">
        <v>125</v>
      </c>
      <c r="P3800" t="s">
        <v>125</v>
      </c>
      <c r="Q3800" t="s">
        <v>125</v>
      </c>
      <c r="R3800" t="s">
        <v>125</v>
      </c>
      <c r="S3800" t="s">
        <v>125</v>
      </c>
      <c r="T3800">
        <v>0</v>
      </c>
      <c r="V3800" t="s">
        <v>125</v>
      </c>
      <c r="AE3800" t="s">
        <v>125</v>
      </c>
      <c r="AF3800">
        <v>0</v>
      </c>
      <c r="AG3800" t="s">
        <v>125</v>
      </c>
      <c r="AH3800">
        <v>0</v>
      </c>
      <c r="AK3800">
        <v>0</v>
      </c>
    </row>
    <row r="3801" spans="1:37" x14ac:dyDescent="0.25">
      <c r="A3801" t="s">
        <v>79</v>
      </c>
      <c r="B3801">
        <v>15</v>
      </c>
      <c r="C3801">
        <v>1</v>
      </c>
      <c r="D3801">
        <v>4</v>
      </c>
      <c r="E3801">
        <v>13</v>
      </c>
      <c r="G3801">
        <v>1514</v>
      </c>
      <c r="H3801" t="s">
        <v>63</v>
      </c>
      <c r="I3801" t="s">
        <v>135</v>
      </c>
      <c r="J3801" t="s">
        <v>153</v>
      </c>
      <c r="L3801">
        <v>0</v>
      </c>
      <c r="M3801" t="s">
        <v>125</v>
      </c>
      <c r="O3801" t="s">
        <v>125</v>
      </c>
      <c r="P3801" t="s">
        <v>125</v>
      </c>
      <c r="Q3801" t="s">
        <v>125</v>
      </c>
      <c r="R3801" t="s">
        <v>125</v>
      </c>
      <c r="S3801" t="s">
        <v>125</v>
      </c>
      <c r="T3801">
        <v>0</v>
      </c>
      <c r="V3801" t="s">
        <v>125</v>
      </c>
      <c r="AE3801" t="s">
        <v>125</v>
      </c>
      <c r="AF3801">
        <v>0</v>
      </c>
      <c r="AG3801" t="s">
        <v>125</v>
      </c>
      <c r="AH3801">
        <v>0</v>
      </c>
      <c r="AK3801">
        <v>0</v>
      </c>
    </row>
    <row r="3802" spans="1:37" x14ac:dyDescent="0.25">
      <c r="A3802" t="s">
        <v>79</v>
      </c>
      <c r="B3802">
        <v>15</v>
      </c>
      <c r="C3802">
        <v>1</v>
      </c>
      <c r="D3802">
        <v>4</v>
      </c>
      <c r="E3802">
        <v>14</v>
      </c>
      <c r="G3802">
        <v>1514</v>
      </c>
      <c r="H3802" t="s">
        <v>63</v>
      </c>
      <c r="I3802" t="s">
        <v>137</v>
      </c>
      <c r="J3802" t="s">
        <v>154</v>
      </c>
      <c r="L3802">
        <v>0</v>
      </c>
      <c r="M3802" t="s">
        <v>125</v>
      </c>
      <c r="O3802" t="s">
        <v>125</v>
      </c>
      <c r="P3802" t="s">
        <v>125</v>
      </c>
      <c r="Q3802" t="s">
        <v>125</v>
      </c>
      <c r="R3802" t="s">
        <v>125</v>
      </c>
      <c r="S3802" t="s">
        <v>125</v>
      </c>
      <c r="T3802">
        <v>0</v>
      </c>
      <c r="V3802" t="s">
        <v>125</v>
      </c>
      <c r="AE3802" t="s">
        <v>125</v>
      </c>
      <c r="AF3802">
        <v>0</v>
      </c>
      <c r="AG3802" t="s">
        <v>125</v>
      </c>
      <c r="AH3802">
        <v>0</v>
      </c>
      <c r="AK3802">
        <v>0</v>
      </c>
    </row>
    <row r="3803" spans="1:37" x14ac:dyDescent="0.25">
      <c r="A3803" t="s">
        <v>79</v>
      </c>
      <c r="B3803">
        <v>15</v>
      </c>
      <c r="C3803">
        <v>1</v>
      </c>
      <c r="D3803">
        <v>4</v>
      </c>
      <c r="E3803">
        <v>15</v>
      </c>
      <c r="G3803">
        <v>1514</v>
      </c>
      <c r="H3803" t="s">
        <v>63</v>
      </c>
      <c r="I3803" t="s">
        <v>139</v>
      </c>
      <c r="J3803" t="s">
        <v>155</v>
      </c>
      <c r="L3803">
        <v>0</v>
      </c>
      <c r="M3803" t="s">
        <v>125</v>
      </c>
      <c r="O3803" t="s">
        <v>125</v>
      </c>
      <c r="P3803" t="s">
        <v>125</v>
      </c>
      <c r="Q3803" t="s">
        <v>125</v>
      </c>
      <c r="R3803" t="s">
        <v>125</v>
      </c>
      <c r="S3803" t="s">
        <v>125</v>
      </c>
      <c r="T3803">
        <v>0</v>
      </c>
      <c r="V3803" t="s">
        <v>125</v>
      </c>
      <c r="AE3803" t="s">
        <v>125</v>
      </c>
      <c r="AF3803">
        <v>0</v>
      </c>
      <c r="AG3803" t="s">
        <v>125</v>
      </c>
      <c r="AH3803">
        <v>0</v>
      </c>
      <c r="AK3803">
        <v>0</v>
      </c>
    </row>
    <row r="3804" spans="1:37" x14ac:dyDescent="0.25">
      <c r="L3804">
        <v>0</v>
      </c>
    </row>
    <row r="3805" spans="1:37" x14ac:dyDescent="0.25">
      <c r="A3805" t="s">
        <v>70</v>
      </c>
      <c r="B3805">
        <v>15</v>
      </c>
      <c r="C3805">
        <v>1</v>
      </c>
      <c r="D3805">
        <v>5</v>
      </c>
      <c r="G3805">
        <v>151</v>
      </c>
      <c r="L3805">
        <v>0</v>
      </c>
      <c r="M3805" t="s">
        <v>125</v>
      </c>
      <c r="P3805" t="s">
        <v>125</v>
      </c>
      <c r="R3805" t="s">
        <v>125</v>
      </c>
      <c r="S3805" t="s">
        <v>63</v>
      </c>
      <c r="V3805" t="s">
        <v>125</v>
      </c>
      <c r="X3805" t="s">
        <v>125</v>
      </c>
      <c r="Y3805" t="s">
        <v>125</v>
      </c>
      <c r="Z3805" t="s">
        <v>125</v>
      </c>
      <c r="AA3805" t="s">
        <v>125</v>
      </c>
      <c r="AB3805" t="s">
        <v>125</v>
      </c>
      <c r="AC3805" t="s">
        <v>125</v>
      </c>
      <c r="AE3805" t="s">
        <v>125</v>
      </c>
      <c r="AF3805">
        <v>0</v>
      </c>
      <c r="AG3805" t="s">
        <v>125</v>
      </c>
      <c r="AH3805">
        <v>0</v>
      </c>
      <c r="AK3805">
        <v>0</v>
      </c>
    </row>
    <row r="3806" spans="1:37" x14ac:dyDescent="0.25">
      <c r="A3806" t="s">
        <v>79</v>
      </c>
      <c r="B3806">
        <v>15</v>
      </c>
      <c r="C3806">
        <v>1</v>
      </c>
      <c r="D3806">
        <v>5</v>
      </c>
      <c r="E3806">
        <v>1</v>
      </c>
      <c r="G3806">
        <v>1515</v>
      </c>
      <c r="H3806" t="s">
        <v>63</v>
      </c>
      <c r="I3806" t="s">
        <v>80</v>
      </c>
      <c r="J3806" t="s">
        <v>141</v>
      </c>
      <c r="L3806">
        <v>0</v>
      </c>
      <c r="M3806" t="s">
        <v>125</v>
      </c>
      <c r="O3806" t="s">
        <v>125</v>
      </c>
      <c r="P3806" t="s">
        <v>125</v>
      </c>
      <c r="Q3806" t="s">
        <v>125</v>
      </c>
      <c r="R3806" t="s">
        <v>125</v>
      </c>
      <c r="S3806" t="s">
        <v>125</v>
      </c>
      <c r="T3806">
        <v>0</v>
      </c>
      <c r="V3806" t="s">
        <v>125</v>
      </c>
      <c r="AE3806" t="s">
        <v>125</v>
      </c>
      <c r="AF3806">
        <v>0</v>
      </c>
      <c r="AG3806" t="s">
        <v>125</v>
      </c>
      <c r="AH3806">
        <v>0</v>
      </c>
      <c r="AK3806">
        <v>0</v>
      </c>
    </row>
    <row r="3807" spans="1:37" x14ac:dyDescent="0.25">
      <c r="A3807" t="s">
        <v>79</v>
      </c>
      <c r="B3807">
        <v>15</v>
      </c>
      <c r="C3807">
        <v>1</v>
      </c>
      <c r="D3807">
        <v>5</v>
      </c>
      <c r="E3807">
        <v>2</v>
      </c>
      <c r="G3807">
        <v>1515</v>
      </c>
      <c r="H3807" t="s">
        <v>63</v>
      </c>
      <c r="I3807" t="s">
        <v>88</v>
      </c>
      <c r="J3807" t="s">
        <v>142</v>
      </c>
      <c r="L3807">
        <v>0</v>
      </c>
      <c r="M3807" t="s">
        <v>125</v>
      </c>
      <c r="O3807" t="s">
        <v>125</v>
      </c>
      <c r="P3807" t="s">
        <v>125</v>
      </c>
      <c r="Q3807" t="s">
        <v>125</v>
      </c>
      <c r="R3807" t="s">
        <v>125</v>
      </c>
      <c r="S3807" t="s">
        <v>125</v>
      </c>
      <c r="T3807">
        <v>0</v>
      </c>
      <c r="V3807" t="s">
        <v>125</v>
      </c>
      <c r="AE3807" t="s">
        <v>125</v>
      </c>
      <c r="AF3807">
        <v>0</v>
      </c>
      <c r="AG3807" t="s">
        <v>125</v>
      </c>
      <c r="AH3807">
        <v>0</v>
      </c>
      <c r="AK3807">
        <v>0</v>
      </c>
    </row>
    <row r="3808" spans="1:37" x14ac:dyDescent="0.25">
      <c r="A3808" t="s">
        <v>79</v>
      </c>
      <c r="B3808">
        <v>15</v>
      </c>
      <c r="C3808">
        <v>1</v>
      </c>
      <c r="D3808">
        <v>5</v>
      </c>
      <c r="E3808">
        <v>3</v>
      </c>
      <c r="G3808">
        <v>1515</v>
      </c>
      <c r="H3808" t="s">
        <v>63</v>
      </c>
      <c r="I3808" t="s">
        <v>95</v>
      </c>
      <c r="J3808" t="s">
        <v>143</v>
      </c>
      <c r="L3808">
        <v>0</v>
      </c>
      <c r="M3808" t="s">
        <v>125</v>
      </c>
      <c r="O3808" t="s">
        <v>125</v>
      </c>
      <c r="P3808" t="s">
        <v>125</v>
      </c>
      <c r="Q3808" t="s">
        <v>125</v>
      </c>
      <c r="R3808" t="s">
        <v>125</v>
      </c>
      <c r="S3808" t="s">
        <v>125</v>
      </c>
      <c r="T3808">
        <v>0</v>
      </c>
      <c r="V3808" t="s">
        <v>125</v>
      </c>
      <c r="AE3808" t="s">
        <v>125</v>
      </c>
      <c r="AF3808">
        <v>0</v>
      </c>
      <c r="AG3808" t="s">
        <v>125</v>
      </c>
      <c r="AH3808">
        <v>0</v>
      </c>
      <c r="AK3808">
        <v>0</v>
      </c>
    </row>
    <row r="3809" spans="1:37" x14ac:dyDescent="0.25">
      <c r="A3809" t="s">
        <v>79</v>
      </c>
      <c r="B3809">
        <v>15</v>
      </c>
      <c r="C3809">
        <v>1</v>
      </c>
      <c r="D3809">
        <v>5</v>
      </c>
      <c r="E3809">
        <v>4</v>
      </c>
      <c r="G3809">
        <v>1515</v>
      </c>
      <c r="H3809" t="s">
        <v>63</v>
      </c>
      <c r="I3809" t="s">
        <v>102</v>
      </c>
      <c r="J3809" t="s">
        <v>144</v>
      </c>
      <c r="L3809">
        <v>0</v>
      </c>
      <c r="M3809" t="s">
        <v>125</v>
      </c>
      <c r="O3809" t="s">
        <v>125</v>
      </c>
      <c r="P3809" t="s">
        <v>125</v>
      </c>
      <c r="Q3809" t="s">
        <v>125</v>
      </c>
      <c r="R3809" t="s">
        <v>125</v>
      </c>
      <c r="S3809" t="s">
        <v>125</v>
      </c>
      <c r="T3809">
        <v>0</v>
      </c>
      <c r="V3809" t="s">
        <v>125</v>
      </c>
      <c r="AE3809" t="s">
        <v>125</v>
      </c>
      <c r="AF3809">
        <v>0</v>
      </c>
      <c r="AG3809" t="s">
        <v>125</v>
      </c>
      <c r="AH3809">
        <v>0</v>
      </c>
      <c r="AK3809">
        <v>0</v>
      </c>
    </row>
    <row r="3810" spans="1:37" x14ac:dyDescent="0.25">
      <c r="A3810" t="s">
        <v>79</v>
      </c>
      <c r="B3810">
        <v>15</v>
      </c>
      <c r="C3810">
        <v>1</v>
      </c>
      <c r="D3810">
        <v>5</v>
      </c>
      <c r="E3810">
        <v>5</v>
      </c>
      <c r="G3810">
        <v>1515</v>
      </c>
      <c r="H3810" t="s">
        <v>63</v>
      </c>
      <c r="I3810" t="s">
        <v>109</v>
      </c>
      <c r="J3810" t="s">
        <v>145</v>
      </c>
      <c r="L3810">
        <v>0</v>
      </c>
      <c r="M3810" t="s">
        <v>125</v>
      </c>
      <c r="O3810" t="s">
        <v>125</v>
      </c>
      <c r="P3810" t="s">
        <v>125</v>
      </c>
      <c r="Q3810" t="s">
        <v>125</v>
      </c>
      <c r="R3810" t="s">
        <v>125</v>
      </c>
      <c r="S3810" t="s">
        <v>125</v>
      </c>
      <c r="T3810">
        <v>0</v>
      </c>
      <c r="V3810" t="s">
        <v>125</v>
      </c>
      <c r="AE3810" t="s">
        <v>125</v>
      </c>
      <c r="AF3810">
        <v>0</v>
      </c>
      <c r="AG3810" t="s">
        <v>125</v>
      </c>
      <c r="AH3810">
        <v>0</v>
      </c>
      <c r="AK3810">
        <v>0</v>
      </c>
    </row>
    <row r="3811" spans="1:37" x14ac:dyDescent="0.25">
      <c r="A3811" t="s">
        <v>79</v>
      </c>
      <c r="B3811">
        <v>15</v>
      </c>
      <c r="C3811">
        <v>1</v>
      </c>
      <c r="D3811">
        <v>5</v>
      </c>
      <c r="E3811">
        <v>6</v>
      </c>
      <c r="G3811">
        <v>1515</v>
      </c>
      <c r="H3811" t="s">
        <v>63</v>
      </c>
      <c r="I3811" t="s">
        <v>116</v>
      </c>
      <c r="J3811" t="s">
        <v>146</v>
      </c>
      <c r="L3811">
        <v>0</v>
      </c>
      <c r="M3811" t="s">
        <v>125</v>
      </c>
      <c r="O3811" t="s">
        <v>125</v>
      </c>
      <c r="P3811" t="s">
        <v>125</v>
      </c>
      <c r="Q3811" t="s">
        <v>125</v>
      </c>
      <c r="R3811" t="s">
        <v>125</v>
      </c>
      <c r="S3811" t="s">
        <v>125</v>
      </c>
      <c r="T3811">
        <v>0</v>
      </c>
      <c r="V3811" t="s">
        <v>125</v>
      </c>
      <c r="AE3811" t="s">
        <v>125</v>
      </c>
      <c r="AF3811">
        <v>0</v>
      </c>
      <c r="AG3811" t="s">
        <v>125</v>
      </c>
      <c r="AH3811">
        <v>0</v>
      </c>
      <c r="AK3811">
        <v>0</v>
      </c>
    </row>
    <row r="3812" spans="1:37" x14ac:dyDescent="0.25">
      <c r="A3812" t="s">
        <v>79</v>
      </c>
      <c r="B3812">
        <v>15</v>
      </c>
      <c r="C3812">
        <v>1</v>
      </c>
      <c r="D3812">
        <v>5</v>
      </c>
      <c r="E3812">
        <v>7</v>
      </c>
      <c r="G3812">
        <v>1515</v>
      </c>
      <c r="H3812" t="s">
        <v>63</v>
      </c>
      <c r="I3812" t="s">
        <v>123</v>
      </c>
      <c r="J3812" t="s">
        <v>147</v>
      </c>
      <c r="L3812">
        <v>0</v>
      </c>
      <c r="M3812" t="s">
        <v>125</v>
      </c>
      <c r="O3812" t="s">
        <v>125</v>
      </c>
      <c r="P3812" t="s">
        <v>125</v>
      </c>
      <c r="Q3812" t="s">
        <v>125</v>
      </c>
      <c r="R3812" t="s">
        <v>125</v>
      </c>
      <c r="S3812" t="s">
        <v>125</v>
      </c>
      <c r="T3812">
        <v>0</v>
      </c>
      <c r="V3812" t="s">
        <v>125</v>
      </c>
      <c r="AE3812" t="s">
        <v>125</v>
      </c>
      <c r="AF3812">
        <v>0</v>
      </c>
      <c r="AG3812" t="s">
        <v>125</v>
      </c>
      <c r="AH3812">
        <v>0</v>
      </c>
      <c r="AK3812">
        <v>0</v>
      </c>
    </row>
    <row r="3813" spans="1:37" x14ac:dyDescent="0.25">
      <c r="A3813" t="s">
        <v>79</v>
      </c>
      <c r="B3813">
        <v>15</v>
      </c>
      <c r="C3813">
        <v>1</v>
      </c>
      <c r="D3813">
        <v>5</v>
      </c>
      <c r="E3813">
        <v>8</v>
      </c>
      <c r="G3813">
        <v>1515</v>
      </c>
      <c r="H3813" t="s">
        <v>63</v>
      </c>
      <c r="I3813" t="s">
        <v>126</v>
      </c>
      <c r="J3813" t="s">
        <v>148</v>
      </c>
      <c r="L3813">
        <v>0</v>
      </c>
      <c r="M3813" t="s">
        <v>125</v>
      </c>
      <c r="O3813" t="s">
        <v>125</v>
      </c>
      <c r="P3813" t="s">
        <v>125</v>
      </c>
      <c r="Q3813" t="s">
        <v>125</v>
      </c>
      <c r="R3813" t="s">
        <v>125</v>
      </c>
      <c r="S3813" t="s">
        <v>125</v>
      </c>
      <c r="T3813">
        <v>0</v>
      </c>
      <c r="V3813" t="s">
        <v>125</v>
      </c>
      <c r="AE3813" t="s">
        <v>125</v>
      </c>
      <c r="AF3813">
        <v>0</v>
      </c>
      <c r="AG3813" t="s">
        <v>125</v>
      </c>
      <c r="AH3813">
        <v>0</v>
      </c>
      <c r="AK3813">
        <v>0</v>
      </c>
    </row>
    <row r="3814" spans="1:37" x14ac:dyDescent="0.25">
      <c r="A3814" t="s">
        <v>79</v>
      </c>
      <c r="B3814">
        <v>15</v>
      </c>
      <c r="C3814">
        <v>1</v>
      </c>
      <c r="D3814">
        <v>5</v>
      </c>
      <c r="E3814">
        <v>9</v>
      </c>
      <c r="G3814">
        <v>1515</v>
      </c>
      <c r="H3814" t="s">
        <v>63</v>
      </c>
      <c r="I3814" t="s">
        <v>74</v>
      </c>
      <c r="J3814" t="s">
        <v>149</v>
      </c>
      <c r="L3814">
        <v>0</v>
      </c>
      <c r="M3814" t="s">
        <v>125</v>
      </c>
      <c r="O3814" t="s">
        <v>125</v>
      </c>
      <c r="P3814" t="s">
        <v>125</v>
      </c>
      <c r="Q3814" t="s">
        <v>125</v>
      </c>
      <c r="R3814" t="s">
        <v>125</v>
      </c>
      <c r="S3814" t="s">
        <v>125</v>
      </c>
      <c r="T3814">
        <v>0</v>
      </c>
      <c r="V3814" t="s">
        <v>125</v>
      </c>
      <c r="AE3814" t="s">
        <v>125</v>
      </c>
      <c r="AF3814">
        <v>0</v>
      </c>
      <c r="AG3814" t="s">
        <v>125</v>
      </c>
      <c r="AH3814">
        <v>0</v>
      </c>
      <c r="AK3814">
        <v>0</v>
      </c>
    </row>
    <row r="3815" spans="1:37" x14ac:dyDescent="0.25">
      <c r="A3815" t="s">
        <v>79</v>
      </c>
      <c r="B3815">
        <v>15</v>
      </c>
      <c r="C3815">
        <v>1</v>
      </c>
      <c r="D3815">
        <v>5</v>
      </c>
      <c r="E3815">
        <v>10</v>
      </c>
      <c r="G3815">
        <v>1515</v>
      </c>
      <c r="H3815" t="s">
        <v>63</v>
      </c>
      <c r="I3815" t="s">
        <v>129</v>
      </c>
      <c r="J3815" t="s">
        <v>150</v>
      </c>
      <c r="L3815">
        <v>0</v>
      </c>
      <c r="M3815" t="s">
        <v>125</v>
      </c>
      <c r="O3815" t="s">
        <v>125</v>
      </c>
      <c r="P3815" t="s">
        <v>125</v>
      </c>
      <c r="Q3815" t="s">
        <v>125</v>
      </c>
      <c r="R3815" t="s">
        <v>125</v>
      </c>
      <c r="S3815" t="s">
        <v>125</v>
      </c>
      <c r="T3815">
        <v>0</v>
      </c>
      <c r="V3815" t="s">
        <v>125</v>
      </c>
      <c r="AE3815" t="s">
        <v>125</v>
      </c>
      <c r="AF3815">
        <v>0</v>
      </c>
      <c r="AG3815" t="s">
        <v>125</v>
      </c>
      <c r="AH3815">
        <v>0</v>
      </c>
      <c r="AK3815">
        <v>0</v>
      </c>
    </row>
    <row r="3816" spans="1:37" x14ac:dyDescent="0.25">
      <c r="A3816" t="s">
        <v>79</v>
      </c>
      <c r="B3816">
        <v>15</v>
      </c>
      <c r="C3816">
        <v>1</v>
      </c>
      <c r="D3816">
        <v>5</v>
      </c>
      <c r="E3816">
        <v>11</v>
      </c>
      <c r="G3816">
        <v>1515</v>
      </c>
      <c r="H3816" t="s">
        <v>63</v>
      </c>
      <c r="I3816" t="s">
        <v>131</v>
      </c>
      <c r="J3816" t="s">
        <v>151</v>
      </c>
      <c r="L3816">
        <v>0</v>
      </c>
      <c r="M3816" t="s">
        <v>125</v>
      </c>
      <c r="O3816" t="s">
        <v>125</v>
      </c>
      <c r="P3816" t="s">
        <v>125</v>
      </c>
      <c r="Q3816" t="s">
        <v>125</v>
      </c>
      <c r="R3816" t="s">
        <v>125</v>
      </c>
      <c r="S3816" t="s">
        <v>125</v>
      </c>
      <c r="T3816">
        <v>0</v>
      </c>
      <c r="V3816" t="s">
        <v>125</v>
      </c>
      <c r="AE3816" t="s">
        <v>125</v>
      </c>
      <c r="AF3816">
        <v>0</v>
      </c>
      <c r="AG3816" t="s">
        <v>125</v>
      </c>
      <c r="AH3816">
        <v>0</v>
      </c>
      <c r="AK3816">
        <v>0</v>
      </c>
    </row>
    <row r="3817" spans="1:37" x14ac:dyDescent="0.25">
      <c r="A3817" t="s">
        <v>79</v>
      </c>
      <c r="B3817">
        <v>15</v>
      </c>
      <c r="C3817">
        <v>1</v>
      </c>
      <c r="D3817">
        <v>5</v>
      </c>
      <c r="E3817">
        <v>12</v>
      </c>
      <c r="G3817">
        <v>1515</v>
      </c>
      <c r="H3817" t="s">
        <v>63</v>
      </c>
      <c r="I3817" t="s">
        <v>133</v>
      </c>
      <c r="J3817" t="s">
        <v>152</v>
      </c>
      <c r="L3817">
        <v>0</v>
      </c>
      <c r="M3817" t="s">
        <v>125</v>
      </c>
      <c r="O3817" t="s">
        <v>125</v>
      </c>
      <c r="P3817" t="s">
        <v>125</v>
      </c>
      <c r="Q3817" t="s">
        <v>125</v>
      </c>
      <c r="R3817" t="s">
        <v>125</v>
      </c>
      <c r="S3817" t="s">
        <v>125</v>
      </c>
      <c r="T3817">
        <v>0</v>
      </c>
      <c r="V3817" t="s">
        <v>125</v>
      </c>
      <c r="AE3817" t="s">
        <v>125</v>
      </c>
      <c r="AF3817">
        <v>0</v>
      </c>
      <c r="AG3817" t="s">
        <v>125</v>
      </c>
      <c r="AH3817">
        <v>0</v>
      </c>
      <c r="AK3817">
        <v>0</v>
      </c>
    </row>
    <row r="3818" spans="1:37" x14ac:dyDescent="0.25">
      <c r="A3818" t="s">
        <v>79</v>
      </c>
      <c r="B3818">
        <v>15</v>
      </c>
      <c r="C3818">
        <v>1</v>
      </c>
      <c r="D3818">
        <v>5</v>
      </c>
      <c r="E3818">
        <v>13</v>
      </c>
      <c r="G3818">
        <v>1515</v>
      </c>
      <c r="H3818" t="s">
        <v>63</v>
      </c>
      <c r="I3818" t="s">
        <v>135</v>
      </c>
      <c r="J3818" t="s">
        <v>153</v>
      </c>
      <c r="L3818">
        <v>0</v>
      </c>
      <c r="M3818" t="s">
        <v>125</v>
      </c>
      <c r="O3818" t="s">
        <v>125</v>
      </c>
      <c r="P3818" t="s">
        <v>125</v>
      </c>
      <c r="Q3818" t="s">
        <v>125</v>
      </c>
      <c r="R3818" t="s">
        <v>125</v>
      </c>
      <c r="S3818" t="s">
        <v>125</v>
      </c>
      <c r="T3818">
        <v>0</v>
      </c>
      <c r="V3818" t="s">
        <v>125</v>
      </c>
      <c r="AE3818" t="s">
        <v>125</v>
      </c>
      <c r="AF3818">
        <v>0</v>
      </c>
      <c r="AG3818" t="s">
        <v>125</v>
      </c>
      <c r="AH3818">
        <v>0</v>
      </c>
      <c r="AK3818">
        <v>0</v>
      </c>
    </row>
    <row r="3819" spans="1:37" x14ac:dyDescent="0.25">
      <c r="A3819" t="s">
        <v>79</v>
      </c>
      <c r="B3819">
        <v>15</v>
      </c>
      <c r="C3819">
        <v>1</v>
      </c>
      <c r="D3819">
        <v>5</v>
      </c>
      <c r="E3819">
        <v>14</v>
      </c>
      <c r="G3819">
        <v>1515</v>
      </c>
      <c r="H3819" t="s">
        <v>63</v>
      </c>
      <c r="I3819" t="s">
        <v>137</v>
      </c>
      <c r="J3819" t="s">
        <v>154</v>
      </c>
      <c r="L3819">
        <v>0</v>
      </c>
      <c r="M3819" t="s">
        <v>125</v>
      </c>
      <c r="O3819" t="s">
        <v>125</v>
      </c>
      <c r="P3819" t="s">
        <v>125</v>
      </c>
      <c r="Q3819" t="s">
        <v>125</v>
      </c>
      <c r="R3819" t="s">
        <v>125</v>
      </c>
      <c r="S3819" t="s">
        <v>125</v>
      </c>
      <c r="T3819">
        <v>0</v>
      </c>
      <c r="V3819" t="s">
        <v>125</v>
      </c>
      <c r="AE3819" t="s">
        <v>125</v>
      </c>
      <c r="AF3819">
        <v>0</v>
      </c>
      <c r="AG3819" t="s">
        <v>125</v>
      </c>
      <c r="AH3819">
        <v>0</v>
      </c>
      <c r="AK3819">
        <v>0</v>
      </c>
    </row>
    <row r="3820" spans="1:37" x14ac:dyDescent="0.25">
      <c r="A3820" t="s">
        <v>79</v>
      </c>
      <c r="B3820">
        <v>15</v>
      </c>
      <c r="C3820">
        <v>1</v>
      </c>
      <c r="D3820">
        <v>5</v>
      </c>
      <c r="E3820">
        <v>15</v>
      </c>
      <c r="G3820">
        <v>1515</v>
      </c>
      <c r="H3820" t="s">
        <v>63</v>
      </c>
      <c r="I3820" t="s">
        <v>139</v>
      </c>
      <c r="J3820" t="s">
        <v>155</v>
      </c>
      <c r="L3820">
        <v>0</v>
      </c>
      <c r="M3820" t="s">
        <v>125</v>
      </c>
      <c r="O3820" t="s">
        <v>125</v>
      </c>
      <c r="P3820" t="s">
        <v>125</v>
      </c>
      <c r="Q3820" t="s">
        <v>125</v>
      </c>
      <c r="R3820" t="s">
        <v>125</v>
      </c>
      <c r="S3820" t="s">
        <v>125</v>
      </c>
      <c r="T3820">
        <v>0</v>
      </c>
      <c r="V3820" t="s">
        <v>125</v>
      </c>
      <c r="AE3820" t="s">
        <v>125</v>
      </c>
      <c r="AF3820">
        <v>0</v>
      </c>
      <c r="AG3820" t="s">
        <v>125</v>
      </c>
      <c r="AH3820">
        <v>0</v>
      </c>
      <c r="AK3820">
        <v>0</v>
      </c>
    </row>
    <row r="3821" spans="1:37" x14ac:dyDescent="0.25">
      <c r="L3821">
        <v>0</v>
      </c>
    </row>
    <row r="3822" spans="1:37" x14ac:dyDescent="0.25">
      <c r="L3822">
        <v>0</v>
      </c>
    </row>
    <row r="3823" spans="1:37" x14ac:dyDescent="0.25">
      <c r="A3823" t="s">
        <v>66</v>
      </c>
      <c r="B3823">
        <v>15</v>
      </c>
      <c r="C3823">
        <v>2</v>
      </c>
      <c r="G3823">
        <v>15</v>
      </c>
      <c r="H3823" t="s">
        <v>4974</v>
      </c>
      <c r="I3823" t="s">
        <v>5117</v>
      </c>
      <c r="M3823" t="s">
        <v>5118</v>
      </c>
      <c r="N3823" t="s">
        <v>5117</v>
      </c>
      <c r="P3823" t="s">
        <v>5119</v>
      </c>
      <c r="V3823" t="s">
        <v>5120</v>
      </c>
      <c r="Y3823" t="s">
        <v>5121</v>
      </c>
      <c r="AA3823" t="s">
        <v>5122</v>
      </c>
      <c r="AC3823" t="s">
        <v>63</v>
      </c>
      <c r="AE3823" t="s">
        <v>5123</v>
      </c>
      <c r="AF3823">
        <v>0</v>
      </c>
      <c r="AG3823" t="s">
        <v>5124</v>
      </c>
      <c r="AH3823">
        <v>0</v>
      </c>
      <c r="AK3823">
        <v>0</v>
      </c>
    </row>
    <row r="3824" spans="1:37" x14ac:dyDescent="0.25">
      <c r="L3824">
        <v>0</v>
      </c>
    </row>
    <row r="3825" spans="1:37" x14ac:dyDescent="0.25">
      <c r="A3825" t="s">
        <v>70</v>
      </c>
      <c r="B3825">
        <v>15</v>
      </c>
      <c r="C3825">
        <v>2</v>
      </c>
      <c r="D3825">
        <v>1</v>
      </c>
      <c r="G3825">
        <v>152</v>
      </c>
      <c r="M3825" t="s">
        <v>5125</v>
      </c>
      <c r="O3825" t="s">
        <v>5126</v>
      </c>
      <c r="P3825" t="s">
        <v>5127</v>
      </c>
      <c r="Q3825" t="s">
        <v>5128</v>
      </c>
      <c r="R3825" t="s">
        <v>179</v>
      </c>
      <c r="S3825" t="s">
        <v>5129</v>
      </c>
      <c r="V3825" t="s">
        <v>5130</v>
      </c>
      <c r="X3825" t="s">
        <v>5131</v>
      </c>
      <c r="Y3825" t="s">
        <v>5132</v>
      </c>
      <c r="Z3825" t="s">
        <v>5133</v>
      </c>
      <c r="AA3825" t="s">
        <v>5134</v>
      </c>
      <c r="AB3825" t="s">
        <v>63</v>
      </c>
      <c r="AC3825" t="s">
        <v>63</v>
      </c>
      <c r="AE3825" t="s">
        <v>5135</v>
      </c>
      <c r="AF3825">
        <v>0</v>
      </c>
      <c r="AG3825" t="s">
        <v>5136</v>
      </c>
      <c r="AH3825">
        <v>0</v>
      </c>
      <c r="AK3825">
        <v>0</v>
      </c>
    </row>
    <row r="3826" spans="1:37" x14ac:dyDescent="0.25">
      <c r="A3826" t="s">
        <v>79</v>
      </c>
      <c r="B3826">
        <v>15</v>
      </c>
      <c r="C3826">
        <v>2</v>
      </c>
      <c r="D3826">
        <v>1</v>
      </c>
      <c r="E3826">
        <v>1</v>
      </c>
      <c r="G3826">
        <v>1521</v>
      </c>
      <c r="H3826" t="s">
        <v>5126</v>
      </c>
      <c r="I3826" t="s">
        <v>80</v>
      </c>
      <c r="J3826" t="s">
        <v>5137</v>
      </c>
      <c r="L3826">
        <v>0</v>
      </c>
      <c r="M3826" t="s">
        <v>5138</v>
      </c>
      <c r="O3826" t="s">
        <v>5139</v>
      </c>
      <c r="P3826" t="s">
        <v>5140</v>
      </c>
      <c r="Q3826" t="s">
        <v>5141</v>
      </c>
      <c r="R3826" t="s">
        <v>210</v>
      </c>
      <c r="S3826" t="s">
        <v>5142</v>
      </c>
      <c r="T3826">
        <v>832</v>
      </c>
      <c r="U3826">
        <v>921</v>
      </c>
      <c r="V3826" t="s">
        <v>1213</v>
      </c>
      <c r="AE3826" t="s">
        <v>5143</v>
      </c>
      <c r="AF3826">
        <v>0</v>
      </c>
      <c r="AG3826" t="s">
        <v>5144</v>
      </c>
      <c r="AH3826">
        <v>0</v>
      </c>
      <c r="AK3826">
        <v>0</v>
      </c>
    </row>
    <row r="3827" spans="1:37" x14ac:dyDescent="0.25">
      <c r="A3827" t="s">
        <v>79</v>
      </c>
      <c r="B3827">
        <v>15</v>
      </c>
      <c r="C3827">
        <v>2</v>
      </c>
      <c r="D3827">
        <v>1</v>
      </c>
      <c r="E3827">
        <v>2</v>
      </c>
      <c r="G3827">
        <v>1521</v>
      </c>
      <c r="H3827" t="s">
        <v>5126</v>
      </c>
      <c r="I3827" t="s">
        <v>88</v>
      </c>
      <c r="J3827" t="s">
        <v>5145</v>
      </c>
      <c r="L3827">
        <v>0</v>
      </c>
      <c r="M3827" t="s">
        <v>5146</v>
      </c>
      <c r="O3827" t="s">
        <v>5008</v>
      </c>
      <c r="P3827" t="s">
        <v>5009</v>
      </c>
      <c r="Q3827" t="s">
        <v>5147</v>
      </c>
      <c r="R3827" t="s">
        <v>229</v>
      </c>
      <c r="S3827" t="s">
        <v>5011</v>
      </c>
      <c r="T3827">
        <v>832</v>
      </c>
      <c r="U3827">
        <v>128</v>
      </c>
      <c r="V3827" t="s">
        <v>5148</v>
      </c>
      <c r="AE3827" t="s">
        <v>5149</v>
      </c>
      <c r="AF3827">
        <v>0</v>
      </c>
      <c r="AG3827" t="s">
        <v>5150</v>
      </c>
      <c r="AH3827">
        <v>0</v>
      </c>
      <c r="AK3827">
        <v>0</v>
      </c>
    </row>
    <row r="3828" spans="1:37" x14ac:dyDescent="0.25">
      <c r="A3828" t="s">
        <v>79</v>
      </c>
      <c r="B3828">
        <v>15</v>
      </c>
      <c r="C3828">
        <v>2</v>
      </c>
      <c r="D3828">
        <v>1</v>
      </c>
      <c r="E3828">
        <v>3</v>
      </c>
      <c r="G3828">
        <v>1521</v>
      </c>
      <c r="H3828" t="s">
        <v>5126</v>
      </c>
      <c r="I3828" t="s">
        <v>95</v>
      </c>
      <c r="J3828" t="s">
        <v>5151</v>
      </c>
      <c r="L3828">
        <v>0</v>
      </c>
      <c r="M3828" t="s">
        <v>5152</v>
      </c>
      <c r="O3828" t="s">
        <v>294</v>
      </c>
      <c r="P3828" t="s">
        <v>295</v>
      </c>
      <c r="Q3828" t="s">
        <v>5153</v>
      </c>
      <c r="R3828" t="s">
        <v>229</v>
      </c>
      <c r="S3828" t="s">
        <v>297</v>
      </c>
      <c r="T3828">
        <v>832</v>
      </c>
      <c r="U3828">
        <v>43</v>
      </c>
      <c r="V3828" t="s">
        <v>5154</v>
      </c>
      <c r="AE3828" t="s">
        <v>5155</v>
      </c>
      <c r="AF3828">
        <v>0</v>
      </c>
      <c r="AG3828" t="s">
        <v>5156</v>
      </c>
      <c r="AH3828">
        <v>0</v>
      </c>
      <c r="AK3828">
        <v>0</v>
      </c>
    </row>
    <row r="3829" spans="1:37" x14ac:dyDescent="0.25">
      <c r="A3829" t="s">
        <v>79</v>
      </c>
      <c r="B3829">
        <v>15</v>
      </c>
      <c r="C3829">
        <v>2</v>
      </c>
      <c r="D3829">
        <v>1</v>
      </c>
      <c r="E3829">
        <v>4</v>
      </c>
      <c r="G3829">
        <v>1521</v>
      </c>
      <c r="H3829" t="s">
        <v>5126</v>
      </c>
      <c r="I3829" t="s">
        <v>102</v>
      </c>
      <c r="J3829" t="s">
        <v>5157</v>
      </c>
      <c r="L3829">
        <v>0</v>
      </c>
      <c r="M3829" t="s">
        <v>125</v>
      </c>
      <c r="O3829" t="s">
        <v>125</v>
      </c>
      <c r="P3829" t="s">
        <v>125</v>
      </c>
      <c r="Q3829" t="s">
        <v>125</v>
      </c>
      <c r="R3829" t="s">
        <v>125</v>
      </c>
      <c r="S3829" t="s">
        <v>125</v>
      </c>
      <c r="T3829">
        <v>832</v>
      </c>
      <c r="V3829" t="s">
        <v>125</v>
      </c>
      <c r="AE3829" t="s">
        <v>125</v>
      </c>
      <c r="AF3829">
        <v>0</v>
      </c>
      <c r="AG3829" t="s">
        <v>125</v>
      </c>
      <c r="AH3829">
        <v>0</v>
      </c>
      <c r="AK3829">
        <v>0</v>
      </c>
    </row>
    <row r="3830" spans="1:37" x14ac:dyDescent="0.25">
      <c r="A3830" t="s">
        <v>79</v>
      </c>
      <c r="B3830">
        <v>15</v>
      </c>
      <c r="C3830">
        <v>2</v>
      </c>
      <c r="D3830">
        <v>1</v>
      </c>
      <c r="E3830">
        <v>5</v>
      </c>
      <c r="G3830">
        <v>1521</v>
      </c>
      <c r="H3830" t="s">
        <v>5126</v>
      </c>
      <c r="I3830" t="s">
        <v>109</v>
      </c>
      <c r="J3830" t="s">
        <v>5158</v>
      </c>
      <c r="L3830">
        <v>0</v>
      </c>
      <c r="M3830" t="s">
        <v>125</v>
      </c>
      <c r="O3830" t="s">
        <v>125</v>
      </c>
      <c r="P3830" t="s">
        <v>125</v>
      </c>
      <c r="Q3830" t="s">
        <v>125</v>
      </c>
      <c r="R3830" t="s">
        <v>125</v>
      </c>
      <c r="S3830" t="s">
        <v>125</v>
      </c>
      <c r="T3830">
        <v>832</v>
      </c>
      <c r="V3830" t="s">
        <v>125</v>
      </c>
      <c r="AE3830" t="s">
        <v>125</v>
      </c>
      <c r="AF3830">
        <v>0</v>
      </c>
      <c r="AG3830" t="s">
        <v>125</v>
      </c>
      <c r="AH3830">
        <v>0</v>
      </c>
      <c r="AK3830">
        <v>0</v>
      </c>
    </row>
    <row r="3831" spans="1:37" x14ac:dyDescent="0.25">
      <c r="A3831" t="s">
        <v>79</v>
      </c>
      <c r="B3831">
        <v>15</v>
      </c>
      <c r="C3831">
        <v>2</v>
      </c>
      <c r="D3831">
        <v>1</v>
      </c>
      <c r="E3831">
        <v>6</v>
      </c>
      <c r="G3831">
        <v>1521</v>
      </c>
      <c r="H3831" t="s">
        <v>5126</v>
      </c>
      <c r="I3831" t="s">
        <v>116</v>
      </c>
      <c r="J3831" t="s">
        <v>5159</v>
      </c>
      <c r="L3831">
        <v>0</v>
      </c>
      <c r="M3831" t="s">
        <v>125</v>
      </c>
      <c r="O3831" t="s">
        <v>125</v>
      </c>
      <c r="P3831" t="s">
        <v>125</v>
      </c>
      <c r="Q3831" t="s">
        <v>125</v>
      </c>
      <c r="R3831" t="s">
        <v>125</v>
      </c>
      <c r="S3831" t="s">
        <v>125</v>
      </c>
      <c r="T3831">
        <v>832</v>
      </c>
      <c r="V3831" t="s">
        <v>125</v>
      </c>
      <c r="AE3831" t="s">
        <v>125</v>
      </c>
      <c r="AF3831">
        <v>0</v>
      </c>
      <c r="AG3831" t="s">
        <v>125</v>
      </c>
      <c r="AH3831">
        <v>0</v>
      </c>
      <c r="AK3831">
        <v>0</v>
      </c>
    </row>
    <row r="3832" spans="1:37" x14ac:dyDescent="0.25">
      <c r="A3832" t="s">
        <v>79</v>
      </c>
      <c r="B3832">
        <v>15</v>
      </c>
      <c r="C3832">
        <v>2</v>
      </c>
      <c r="D3832">
        <v>1</v>
      </c>
      <c r="E3832">
        <v>7</v>
      </c>
      <c r="G3832">
        <v>1521</v>
      </c>
      <c r="H3832" t="s">
        <v>5126</v>
      </c>
      <c r="I3832" t="s">
        <v>123</v>
      </c>
      <c r="J3832" t="s">
        <v>5160</v>
      </c>
      <c r="L3832">
        <v>0</v>
      </c>
      <c r="M3832" t="s">
        <v>125</v>
      </c>
      <c r="O3832" t="s">
        <v>125</v>
      </c>
      <c r="P3832" t="s">
        <v>125</v>
      </c>
      <c r="Q3832" t="s">
        <v>125</v>
      </c>
      <c r="R3832" t="s">
        <v>125</v>
      </c>
      <c r="S3832" t="s">
        <v>125</v>
      </c>
      <c r="T3832">
        <v>832</v>
      </c>
      <c r="V3832" t="s">
        <v>125</v>
      </c>
      <c r="AE3832" t="s">
        <v>125</v>
      </c>
      <c r="AF3832">
        <v>0</v>
      </c>
      <c r="AG3832" t="s">
        <v>125</v>
      </c>
      <c r="AH3832">
        <v>0</v>
      </c>
      <c r="AK3832">
        <v>0</v>
      </c>
    </row>
    <row r="3833" spans="1:37" x14ac:dyDescent="0.25">
      <c r="A3833" t="s">
        <v>79</v>
      </c>
      <c r="B3833">
        <v>15</v>
      </c>
      <c r="C3833">
        <v>2</v>
      </c>
      <c r="D3833">
        <v>1</v>
      </c>
      <c r="E3833">
        <v>8</v>
      </c>
      <c r="G3833">
        <v>1521</v>
      </c>
      <c r="H3833" t="s">
        <v>5126</v>
      </c>
      <c r="I3833" t="s">
        <v>126</v>
      </c>
      <c r="J3833" t="s">
        <v>5161</v>
      </c>
      <c r="L3833">
        <v>0</v>
      </c>
      <c r="M3833" t="s">
        <v>125</v>
      </c>
      <c r="O3833" t="s">
        <v>125</v>
      </c>
      <c r="P3833" t="s">
        <v>125</v>
      </c>
      <c r="Q3833" t="s">
        <v>125</v>
      </c>
      <c r="R3833" t="s">
        <v>125</v>
      </c>
      <c r="S3833" t="s">
        <v>125</v>
      </c>
      <c r="T3833">
        <v>832</v>
      </c>
      <c r="V3833" t="s">
        <v>125</v>
      </c>
      <c r="AE3833" t="s">
        <v>125</v>
      </c>
      <c r="AF3833">
        <v>0</v>
      </c>
      <c r="AG3833" t="s">
        <v>125</v>
      </c>
      <c r="AH3833">
        <v>0</v>
      </c>
      <c r="AK3833">
        <v>0</v>
      </c>
    </row>
    <row r="3834" spans="1:37" x14ac:dyDescent="0.25">
      <c r="A3834" t="s">
        <v>79</v>
      </c>
      <c r="B3834">
        <v>15</v>
      </c>
      <c r="C3834">
        <v>2</v>
      </c>
      <c r="D3834">
        <v>1</v>
      </c>
      <c r="E3834">
        <v>9</v>
      </c>
      <c r="G3834">
        <v>1521</v>
      </c>
      <c r="H3834" t="s">
        <v>5126</v>
      </c>
      <c r="I3834" t="s">
        <v>74</v>
      </c>
      <c r="J3834" t="s">
        <v>5162</v>
      </c>
      <c r="L3834">
        <v>0</v>
      </c>
      <c r="M3834" t="s">
        <v>125</v>
      </c>
      <c r="O3834" t="s">
        <v>125</v>
      </c>
      <c r="P3834" t="s">
        <v>125</v>
      </c>
      <c r="Q3834" t="s">
        <v>125</v>
      </c>
      <c r="R3834" t="s">
        <v>125</v>
      </c>
      <c r="S3834" t="s">
        <v>125</v>
      </c>
      <c r="T3834">
        <v>832</v>
      </c>
      <c r="V3834" t="s">
        <v>125</v>
      </c>
      <c r="AE3834" t="s">
        <v>125</v>
      </c>
      <c r="AF3834">
        <v>0</v>
      </c>
      <c r="AG3834" t="s">
        <v>125</v>
      </c>
      <c r="AH3834">
        <v>0</v>
      </c>
      <c r="AK3834">
        <v>0</v>
      </c>
    </row>
    <row r="3835" spans="1:37" x14ac:dyDescent="0.25">
      <c r="A3835" t="s">
        <v>79</v>
      </c>
      <c r="B3835">
        <v>15</v>
      </c>
      <c r="C3835">
        <v>2</v>
      </c>
      <c r="D3835">
        <v>1</v>
      </c>
      <c r="E3835">
        <v>10</v>
      </c>
      <c r="G3835">
        <v>1521</v>
      </c>
      <c r="H3835" t="s">
        <v>5126</v>
      </c>
      <c r="I3835" t="s">
        <v>129</v>
      </c>
      <c r="J3835" t="s">
        <v>5163</v>
      </c>
      <c r="L3835">
        <v>0</v>
      </c>
      <c r="M3835" t="s">
        <v>125</v>
      </c>
      <c r="O3835" t="s">
        <v>125</v>
      </c>
      <c r="P3835" t="s">
        <v>125</v>
      </c>
      <c r="Q3835" t="s">
        <v>125</v>
      </c>
      <c r="R3835" t="s">
        <v>125</v>
      </c>
      <c r="S3835" t="s">
        <v>125</v>
      </c>
      <c r="T3835">
        <v>832</v>
      </c>
      <c r="V3835" t="s">
        <v>125</v>
      </c>
      <c r="AE3835" t="s">
        <v>125</v>
      </c>
      <c r="AF3835">
        <v>0</v>
      </c>
      <c r="AG3835" t="s">
        <v>125</v>
      </c>
      <c r="AH3835">
        <v>0</v>
      </c>
      <c r="AK3835">
        <v>0</v>
      </c>
    </row>
    <row r="3836" spans="1:37" x14ac:dyDescent="0.25">
      <c r="A3836" t="s">
        <v>79</v>
      </c>
      <c r="B3836">
        <v>15</v>
      </c>
      <c r="C3836">
        <v>2</v>
      </c>
      <c r="D3836">
        <v>1</v>
      </c>
      <c r="E3836">
        <v>11</v>
      </c>
      <c r="G3836">
        <v>1521</v>
      </c>
      <c r="H3836" t="s">
        <v>5126</v>
      </c>
      <c r="I3836" t="s">
        <v>131</v>
      </c>
      <c r="J3836" t="s">
        <v>5164</v>
      </c>
      <c r="L3836">
        <v>0</v>
      </c>
      <c r="M3836" t="s">
        <v>125</v>
      </c>
      <c r="O3836" t="s">
        <v>125</v>
      </c>
      <c r="P3836" t="s">
        <v>125</v>
      </c>
      <c r="Q3836" t="s">
        <v>125</v>
      </c>
      <c r="R3836" t="s">
        <v>125</v>
      </c>
      <c r="S3836" t="s">
        <v>125</v>
      </c>
      <c r="T3836">
        <v>832</v>
      </c>
      <c r="V3836" t="s">
        <v>125</v>
      </c>
      <c r="AE3836" t="s">
        <v>125</v>
      </c>
      <c r="AF3836">
        <v>0</v>
      </c>
      <c r="AG3836" t="s">
        <v>125</v>
      </c>
      <c r="AH3836">
        <v>0</v>
      </c>
      <c r="AK3836">
        <v>0</v>
      </c>
    </row>
    <row r="3837" spans="1:37" x14ac:dyDescent="0.25">
      <c r="A3837" t="s">
        <v>79</v>
      </c>
      <c r="B3837">
        <v>15</v>
      </c>
      <c r="C3837">
        <v>2</v>
      </c>
      <c r="D3837">
        <v>1</v>
      </c>
      <c r="E3837">
        <v>12</v>
      </c>
      <c r="G3837">
        <v>1521</v>
      </c>
      <c r="H3837" t="s">
        <v>5126</v>
      </c>
      <c r="I3837" t="s">
        <v>133</v>
      </c>
      <c r="J3837" t="s">
        <v>5165</v>
      </c>
      <c r="L3837">
        <v>0</v>
      </c>
      <c r="M3837" t="s">
        <v>125</v>
      </c>
      <c r="O3837" t="s">
        <v>125</v>
      </c>
      <c r="P3837" t="s">
        <v>125</v>
      </c>
      <c r="Q3837" t="s">
        <v>125</v>
      </c>
      <c r="R3837" t="s">
        <v>125</v>
      </c>
      <c r="S3837" t="s">
        <v>125</v>
      </c>
      <c r="T3837">
        <v>832</v>
      </c>
      <c r="V3837" t="s">
        <v>125</v>
      </c>
      <c r="AE3837" t="s">
        <v>125</v>
      </c>
      <c r="AF3837">
        <v>0</v>
      </c>
      <c r="AG3837" t="s">
        <v>125</v>
      </c>
      <c r="AH3837">
        <v>0</v>
      </c>
      <c r="AK3837">
        <v>0</v>
      </c>
    </row>
    <row r="3838" spans="1:37" x14ac:dyDescent="0.25">
      <c r="A3838" t="s">
        <v>79</v>
      </c>
      <c r="B3838">
        <v>15</v>
      </c>
      <c r="C3838">
        <v>2</v>
      </c>
      <c r="D3838">
        <v>1</v>
      </c>
      <c r="E3838">
        <v>13</v>
      </c>
      <c r="G3838">
        <v>1521</v>
      </c>
      <c r="H3838" t="s">
        <v>5126</v>
      </c>
      <c r="I3838" t="s">
        <v>135</v>
      </c>
      <c r="J3838" t="s">
        <v>5166</v>
      </c>
      <c r="L3838">
        <v>0</v>
      </c>
      <c r="M3838" t="s">
        <v>125</v>
      </c>
      <c r="O3838" t="s">
        <v>125</v>
      </c>
      <c r="P3838" t="s">
        <v>125</v>
      </c>
      <c r="Q3838" t="s">
        <v>125</v>
      </c>
      <c r="R3838" t="s">
        <v>125</v>
      </c>
      <c r="S3838" t="s">
        <v>125</v>
      </c>
      <c r="T3838">
        <v>832</v>
      </c>
      <c r="V3838" t="s">
        <v>125</v>
      </c>
      <c r="AE3838" t="s">
        <v>125</v>
      </c>
      <c r="AF3838">
        <v>0</v>
      </c>
      <c r="AG3838" t="s">
        <v>125</v>
      </c>
      <c r="AH3838">
        <v>0</v>
      </c>
      <c r="AK3838">
        <v>0</v>
      </c>
    </row>
    <row r="3839" spans="1:37" x14ac:dyDescent="0.25">
      <c r="A3839" t="s">
        <v>79</v>
      </c>
      <c r="B3839">
        <v>15</v>
      </c>
      <c r="C3839">
        <v>2</v>
      </c>
      <c r="D3839">
        <v>1</v>
      </c>
      <c r="E3839">
        <v>14</v>
      </c>
      <c r="G3839">
        <v>1521</v>
      </c>
      <c r="H3839" t="s">
        <v>5126</v>
      </c>
      <c r="I3839" t="s">
        <v>137</v>
      </c>
      <c r="J3839" t="s">
        <v>5167</v>
      </c>
      <c r="L3839">
        <v>0</v>
      </c>
      <c r="M3839" t="s">
        <v>125</v>
      </c>
      <c r="O3839" t="s">
        <v>125</v>
      </c>
      <c r="P3839" t="s">
        <v>125</v>
      </c>
      <c r="Q3839" t="s">
        <v>125</v>
      </c>
      <c r="R3839" t="s">
        <v>125</v>
      </c>
      <c r="S3839" t="s">
        <v>125</v>
      </c>
      <c r="T3839">
        <v>832</v>
      </c>
      <c r="V3839" t="s">
        <v>125</v>
      </c>
      <c r="AE3839" t="s">
        <v>125</v>
      </c>
      <c r="AF3839">
        <v>0</v>
      </c>
      <c r="AG3839" t="s">
        <v>125</v>
      </c>
      <c r="AH3839">
        <v>0</v>
      </c>
      <c r="AK3839">
        <v>0</v>
      </c>
    </row>
    <row r="3840" spans="1:37" x14ac:dyDescent="0.25">
      <c r="A3840" t="s">
        <v>79</v>
      </c>
      <c r="B3840">
        <v>15</v>
      </c>
      <c r="C3840">
        <v>2</v>
      </c>
      <c r="D3840">
        <v>1</v>
      </c>
      <c r="E3840">
        <v>15</v>
      </c>
      <c r="G3840">
        <v>1521</v>
      </c>
      <c r="H3840" t="s">
        <v>5126</v>
      </c>
      <c r="I3840" t="s">
        <v>139</v>
      </c>
      <c r="J3840" t="s">
        <v>5168</v>
      </c>
      <c r="L3840">
        <v>0</v>
      </c>
      <c r="M3840" t="s">
        <v>125</v>
      </c>
      <c r="O3840" t="s">
        <v>125</v>
      </c>
      <c r="P3840" t="s">
        <v>125</v>
      </c>
      <c r="Q3840" t="s">
        <v>125</v>
      </c>
      <c r="R3840" t="s">
        <v>125</v>
      </c>
      <c r="S3840" t="s">
        <v>125</v>
      </c>
      <c r="T3840">
        <v>832</v>
      </c>
      <c r="V3840" t="s">
        <v>125</v>
      </c>
      <c r="AE3840" t="s">
        <v>125</v>
      </c>
      <c r="AF3840">
        <v>0</v>
      </c>
      <c r="AG3840" t="s">
        <v>125</v>
      </c>
      <c r="AH3840">
        <v>0</v>
      </c>
      <c r="AK3840">
        <v>0</v>
      </c>
    </row>
    <row r="3841" spans="1:37" x14ac:dyDescent="0.25">
      <c r="L3841">
        <v>0</v>
      </c>
    </row>
    <row r="3842" spans="1:37" x14ac:dyDescent="0.25">
      <c r="A3842" t="s">
        <v>70</v>
      </c>
      <c r="B3842">
        <v>15</v>
      </c>
      <c r="C3842">
        <v>2</v>
      </c>
      <c r="D3842">
        <v>2</v>
      </c>
      <c r="G3842">
        <v>152</v>
      </c>
      <c r="M3842" t="s">
        <v>5169</v>
      </c>
      <c r="O3842" t="s">
        <v>5170</v>
      </c>
      <c r="P3842" t="s">
        <v>5171</v>
      </c>
      <c r="Q3842" t="s">
        <v>5172</v>
      </c>
      <c r="R3842" t="s">
        <v>192</v>
      </c>
      <c r="S3842" t="s">
        <v>5173</v>
      </c>
      <c r="V3842" t="s">
        <v>5174</v>
      </c>
      <c r="X3842" t="s">
        <v>5175</v>
      </c>
      <c r="Y3842" t="s">
        <v>5176</v>
      </c>
      <c r="Z3842" t="s">
        <v>5177</v>
      </c>
      <c r="AA3842" t="s">
        <v>5178</v>
      </c>
      <c r="AB3842" t="s">
        <v>63</v>
      </c>
      <c r="AC3842" t="s">
        <v>63</v>
      </c>
      <c r="AE3842" t="s">
        <v>5179</v>
      </c>
      <c r="AF3842">
        <v>0</v>
      </c>
      <c r="AG3842" t="s">
        <v>5180</v>
      </c>
      <c r="AH3842">
        <v>0</v>
      </c>
      <c r="AK3842">
        <v>0</v>
      </c>
    </row>
    <row r="3843" spans="1:37" x14ac:dyDescent="0.25">
      <c r="A3843" t="s">
        <v>79</v>
      </c>
      <c r="B3843">
        <v>15</v>
      </c>
      <c r="C3843">
        <v>2</v>
      </c>
      <c r="D3843">
        <v>2</v>
      </c>
      <c r="E3843">
        <v>1</v>
      </c>
      <c r="G3843">
        <v>1522</v>
      </c>
      <c r="H3843" t="s">
        <v>5170</v>
      </c>
      <c r="I3843" t="s">
        <v>80</v>
      </c>
      <c r="J3843" t="s">
        <v>5181</v>
      </c>
      <c r="L3843">
        <v>0</v>
      </c>
      <c r="M3843" t="s">
        <v>5182</v>
      </c>
      <c r="O3843" t="s">
        <v>5183</v>
      </c>
      <c r="P3843" t="s">
        <v>5184</v>
      </c>
      <c r="Q3843" t="s">
        <v>1093</v>
      </c>
      <c r="R3843" t="s">
        <v>1221</v>
      </c>
      <c r="S3843" t="s">
        <v>5185</v>
      </c>
      <c r="T3843">
        <v>385</v>
      </c>
      <c r="U3843">
        <v>2</v>
      </c>
      <c r="V3843" t="s">
        <v>5186</v>
      </c>
      <c r="AE3843" t="s">
        <v>5187</v>
      </c>
      <c r="AF3843">
        <v>0</v>
      </c>
      <c r="AG3843" t="s">
        <v>5188</v>
      </c>
      <c r="AH3843">
        <v>0</v>
      </c>
      <c r="AK3843">
        <v>0</v>
      </c>
    </row>
    <row r="3844" spans="1:37" x14ac:dyDescent="0.25">
      <c r="A3844" t="s">
        <v>79</v>
      </c>
      <c r="B3844">
        <v>15</v>
      </c>
      <c r="C3844">
        <v>2</v>
      </c>
      <c r="D3844">
        <v>2</v>
      </c>
      <c r="E3844">
        <v>2</v>
      </c>
      <c r="G3844">
        <v>1522</v>
      </c>
      <c r="H3844" t="s">
        <v>5170</v>
      </c>
      <c r="I3844" t="s">
        <v>88</v>
      </c>
      <c r="J3844" t="s">
        <v>5189</v>
      </c>
      <c r="L3844">
        <v>0</v>
      </c>
      <c r="M3844" t="s">
        <v>5190</v>
      </c>
      <c r="O3844" t="s">
        <v>5191</v>
      </c>
      <c r="P3844" t="s">
        <v>5192</v>
      </c>
      <c r="Q3844" t="s">
        <v>5193</v>
      </c>
      <c r="R3844" t="s">
        <v>1221</v>
      </c>
      <c r="S3844" t="s">
        <v>5194</v>
      </c>
      <c r="T3844">
        <v>385</v>
      </c>
      <c r="U3844">
        <v>12</v>
      </c>
      <c r="V3844" t="s">
        <v>5195</v>
      </c>
      <c r="AE3844" t="s">
        <v>5196</v>
      </c>
      <c r="AF3844">
        <v>0</v>
      </c>
      <c r="AG3844" t="s">
        <v>5197</v>
      </c>
      <c r="AH3844">
        <v>0</v>
      </c>
      <c r="AK3844">
        <v>0</v>
      </c>
    </row>
    <row r="3845" spans="1:37" x14ac:dyDescent="0.25">
      <c r="A3845" t="s">
        <v>79</v>
      </c>
      <c r="B3845">
        <v>15</v>
      </c>
      <c r="C3845">
        <v>2</v>
      </c>
      <c r="D3845">
        <v>2</v>
      </c>
      <c r="E3845">
        <v>3</v>
      </c>
      <c r="G3845">
        <v>1522</v>
      </c>
      <c r="H3845" t="s">
        <v>5170</v>
      </c>
      <c r="I3845" t="s">
        <v>95</v>
      </c>
      <c r="J3845" t="s">
        <v>5198</v>
      </c>
      <c r="L3845">
        <v>0</v>
      </c>
      <c r="M3845" t="s">
        <v>5199</v>
      </c>
      <c r="O3845" t="s">
        <v>5200</v>
      </c>
      <c r="P3845" t="s">
        <v>5201</v>
      </c>
      <c r="Q3845" t="s">
        <v>1283</v>
      </c>
      <c r="R3845" t="s">
        <v>382</v>
      </c>
      <c r="S3845" t="s">
        <v>5202</v>
      </c>
      <c r="T3845">
        <v>385</v>
      </c>
      <c r="U3845">
        <v>15</v>
      </c>
      <c r="V3845" t="s">
        <v>5203</v>
      </c>
      <c r="AE3845" t="s">
        <v>5204</v>
      </c>
      <c r="AF3845">
        <v>0</v>
      </c>
      <c r="AG3845" t="s">
        <v>5205</v>
      </c>
      <c r="AH3845">
        <v>0</v>
      </c>
      <c r="AK3845">
        <v>0</v>
      </c>
    </row>
    <row r="3846" spans="1:37" x14ac:dyDescent="0.25">
      <c r="A3846" t="s">
        <v>79</v>
      </c>
      <c r="B3846">
        <v>15</v>
      </c>
      <c r="C3846">
        <v>2</v>
      </c>
      <c r="D3846">
        <v>2</v>
      </c>
      <c r="E3846">
        <v>4</v>
      </c>
      <c r="G3846">
        <v>1522</v>
      </c>
      <c r="H3846" t="s">
        <v>5170</v>
      </c>
      <c r="I3846" t="s">
        <v>102</v>
      </c>
      <c r="J3846" t="s">
        <v>5206</v>
      </c>
      <c r="L3846">
        <v>0</v>
      </c>
      <c r="M3846" t="s">
        <v>5207</v>
      </c>
      <c r="O3846" t="s">
        <v>5008</v>
      </c>
      <c r="P3846" t="s">
        <v>5009</v>
      </c>
      <c r="Q3846" t="s">
        <v>5208</v>
      </c>
      <c r="R3846" t="s">
        <v>229</v>
      </c>
      <c r="S3846" t="s">
        <v>5011</v>
      </c>
      <c r="T3846">
        <v>385</v>
      </c>
      <c r="U3846">
        <v>32</v>
      </c>
      <c r="V3846" t="s">
        <v>5209</v>
      </c>
      <c r="AE3846" t="s">
        <v>5210</v>
      </c>
      <c r="AF3846">
        <v>0</v>
      </c>
      <c r="AG3846" t="s">
        <v>5211</v>
      </c>
      <c r="AH3846">
        <v>0</v>
      </c>
      <c r="AK3846">
        <v>0</v>
      </c>
    </row>
    <row r="3847" spans="1:37" x14ac:dyDescent="0.25">
      <c r="A3847" t="s">
        <v>79</v>
      </c>
      <c r="B3847">
        <v>15</v>
      </c>
      <c r="C3847">
        <v>2</v>
      </c>
      <c r="D3847">
        <v>2</v>
      </c>
      <c r="E3847">
        <v>5</v>
      </c>
      <c r="G3847">
        <v>1522</v>
      </c>
      <c r="H3847" t="s">
        <v>5170</v>
      </c>
      <c r="I3847" t="s">
        <v>109</v>
      </c>
      <c r="J3847" t="s">
        <v>5212</v>
      </c>
      <c r="L3847">
        <v>0</v>
      </c>
      <c r="M3847" t="s">
        <v>5213</v>
      </c>
      <c r="O3847" t="s">
        <v>294</v>
      </c>
      <c r="P3847" t="s">
        <v>295</v>
      </c>
      <c r="Q3847" t="s">
        <v>5214</v>
      </c>
      <c r="R3847" t="s">
        <v>229</v>
      </c>
      <c r="S3847" t="s">
        <v>297</v>
      </c>
      <c r="T3847">
        <v>385</v>
      </c>
      <c r="U3847">
        <v>13</v>
      </c>
      <c r="V3847" t="s">
        <v>5215</v>
      </c>
      <c r="AE3847" t="s">
        <v>5216</v>
      </c>
      <c r="AF3847">
        <v>0</v>
      </c>
      <c r="AG3847" t="s">
        <v>5217</v>
      </c>
      <c r="AH3847">
        <v>0</v>
      </c>
      <c r="AK3847">
        <v>0</v>
      </c>
    </row>
    <row r="3848" spans="1:37" x14ac:dyDescent="0.25">
      <c r="A3848" t="s">
        <v>79</v>
      </c>
      <c r="B3848">
        <v>15</v>
      </c>
      <c r="C3848">
        <v>2</v>
      </c>
      <c r="D3848">
        <v>2</v>
      </c>
      <c r="E3848">
        <v>6</v>
      </c>
      <c r="G3848">
        <v>1522</v>
      </c>
      <c r="H3848" t="s">
        <v>5170</v>
      </c>
      <c r="I3848" t="s">
        <v>116</v>
      </c>
      <c r="J3848" t="s">
        <v>5218</v>
      </c>
      <c r="L3848">
        <v>0</v>
      </c>
      <c r="M3848" t="s">
        <v>125</v>
      </c>
      <c r="O3848" t="s">
        <v>125</v>
      </c>
      <c r="P3848" t="s">
        <v>125</v>
      </c>
      <c r="Q3848" t="s">
        <v>125</v>
      </c>
      <c r="R3848" t="s">
        <v>125</v>
      </c>
      <c r="S3848" t="s">
        <v>125</v>
      </c>
      <c r="T3848">
        <v>385</v>
      </c>
      <c r="V3848" t="s">
        <v>125</v>
      </c>
      <c r="AE3848" t="s">
        <v>125</v>
      </c>
      <c r="AF3848">
        <v>0</v>
      </c>
      <c r="AG3848" t="s">
        <v>125</v>
      </c>
      <c r="AH3848">
        <v>0</v>
      </c>
      <c r="AK3848">
        <v>0</v>
      </c>
    </row>
    <row r="3849" spans="1:37" x14ac:dyDescent="0.25">
      <c r="A3849" t="s">
        <v>79</v>
      </c>
      <c r="B3849">
        <v>15</v>
      </c>
      <c r="C3849">
        <v>2</v>
      </c>
      <c r="D3849">
        <v>2</v>
      </c>
      <c r="E3849">
        <v>7</v>
      </c>
      <c r="G3849">
        <v>1522</v>
      </c>
      <c r="H3849" t="s">
        <v>5170</v>
      </c>
      <c r="I3849" t="s">
        <v>123</v>
      </c>
      <c r="J3849" t="s">
        <v>5219</v>
      </c>
      <c r="L3849">
        <v>0</v>
      </c>
      <c r="M3849" t="s">
        <v>125</v>
      </c>
      <c r="O3849" t="s">
        <v>125</v>
      </c>
      <c r="P3849" t="s">
        <v>125</v>
      </c>
      <c r="Q3849" t="s">
        <v>125</v>
      </c>
      <c r="R3849" t="s">
        <v>125</v>
      </c>
      <c r="S3849" t="s">
        <v>125</v>
      </c>
      <c r="T3849">
        <v>385</v>
      </c>
      <c r="V3849" t="s">
        <v>125</v>
      </c>
      <c r="AE3849" t="s">
        <v>125</v>
      </c>
      <c r="AF3849">
        <v>0</v>
      </c>
      <c r="AG3849" t="s">
        <v>125</v>
      </c>
      <c r="AH3849">
        <v>0</v>
      </c>
      <c r="AK3849">
        <v>0</v>
      </c>
    </row>
    <row r="3850" spans="1:37" x14ac:dyDescent="0.25">
      <c r="A3850" t="s">
        <v>79</v>
      </c>
      <c r="B3850">
        <v>15</v>
      </c>
      <c r="C3850">
        <v>2</v>
      </c>
      <c r="D3850">
        <v>2</v>
      </c>
      <c r="E3850">
        <v>8</v>
      </c>
      <c r="G3850">
        <v>1522</v>
      </c>
      <c r="H3850" t="s">
        <v>5170</v>
      </c>
      <c r="I3850" t="s">
        <v>126</v>
      </c>
      <c r="J3850" t="s">
        <v>5220</v>
      </c>
      <c r="L3850">
        <v>0</v>
      </c>
      <c r="M3850" t="s">
        <v>125</v>
      </c>
      <c r="O3850" t="s">
        <v>125</v>
      </c>
      <c r="P3850" t="s">
        <v>125</v>
      </c>
      <c r="Q3850" t="s">
        <v>125</v>
      </c>
      <c r="R3850" t="s">
        <v>125</v>
      </c>
      <c r="S3850" t="s">
        <v>125</v>
      </c>
      <c r="T3850">
        <v>385</v>
      </c>
      <c r="V3850" t="s">
        <v>125</v>
      </c>
      <c r="AE3850" t="s">
        <v>125</v>
      </c>
      <c r="AF3850">
        <v>0</v>
      </c>
      <c r="AG3850" t="s">
        <v>125</v>
      </c>
      <c r="AH3850">
        <v>0</v>
      </c>
      <c r="AK3850">
        <v>0</v>
      </c>
    </row>
    <row r="3851" spans="1:37" x14ac:dyDescent="0.25">
      <c r="A3851" t="s">
        <v>79</v>
      </c>
      <c r="B3851">
        <v>15</v>
      </c>
      <c r="C3851">
        <v>2</v>
      </c>
      <c r="D3851">
        <v>2</v>
      </c>
      <c r="E3851">
        <v>9</v>
      </c>
      <c r="G3851">
        <v>1522</v>
      </c>
      <c r="H3851" t="s">
        <v>5170</v>
      </c>
      <c r="I3851" t="s">
        <v>74</v>
      </c>
      <c r="J3851" t="s">
        <v>5221</v>
      </c>
      <c r="L3851">
        <v>0</v>
      </c>
      <c r="M3851" t="s">
        <v>125</v>
      </c>
      <c r="O3851" t="s">
        <v>125</v>
      </c>
      <c r="P3851" t="s">
        <v>125</v>
      </c>
      <c r="Q3851" t="s">
        <v>125</v>
      </c>
      <c r="R3851" t="s">
        <v>125</v>
      </c>
      <c r="S3851" t="s">
        <v>125</v>
      </c>
      <c r="T3851">
        <v>385</v>
      </c>
      <c r="V3851" t="s">
        <v>125</v>
      </c>
      <c r="AE3851" t="s">
        <v>125</v>
      </c>
      <c r="AF3851">
        <v>0</v>
      </c>
      <c r="AG3851" t="s">
        <v>125</v>
      </c>
      <c r="AH3851">
        <v>0</v>
      </c>
      <c r="AK3851">
        <v>0</v>
      </c>
    </row>
    <row r="3852" spans="1:37" x14ac:dyDescent="0.25">
      <c r="A3852" t="s">
        <v>79</v>
      </c>
      <c r="B3852">
        <v>15</v>
      </c>
      <c r="C3852">
        <v>2</v>
      </c>
      <c r="D3852">
        <v>2</v>
      </c>
      <c r="E3852">
        <v>10</v>
      </c>
      <c r="G3852">
        <v>1522</v>
      </c>
      <c r="H3852" t="s">
        <v>5170</v>
      </c>
      <c r="I3852" t="s">
        <v>129</v>
      </c>
      <c r="J3852" t="s">
        <v>5222</v>
      </c>
      <c r="L3852">
        <v>0</v>
      </c>
      <c r="M3852" t="s">
        <v>125</v>
      </c>
      <c r="O3852" t="s">
        <v>125</v>
      </c>
      <c r="P3852" t="s">
        <v>125</v>
      </c>
      <c r="Q3852" t="s">
        <v>125</v>
      </c>
      <c r="R3852" t="s">
        <v>125</v>
      </c>
      <c r="S3852" t="s">
        <v>125</v>
      </c>
      <c r="T3852">
        <v>385</v>
      </c>
      <c r="V3852" t="s">
        <v>125</v>
      </c>
      <c r="AE3852" t="s">
        <v>125</v>
      </c>
      <c r="AF3852">
        <v>0</v>
      </c>
      <c r="AG3852" t="s">
        <v>125</v>
      </c>
      <c r="AH3852">
        <v>0</v>
      </c>
      <c r="AK3852">
        <v>0</v>
      </c>
    </row>
    <row r="3853" spans="1:37" x14ac:dyDescent="0.25">
      <c r="A3853" t="s">
        <v>79</v>
      </c>
      <c r="B3853">
        <v>15</v>
      </c>
      <c r="C3853">
        <v>2</v>
      </c>
      <c r="D3853">
        <v>2</v>
      </c>
      <c r="E3853">
        <v>11</v>
      </c>
      <c r="G3853">
        <v>1522</v>
      </c>
      <c r="H3853" t="s">
        <v>5170</v>
      </c>
      <c r="I3853" t="s">
        <v>131</v>
      </c>
      <c r="J3853" t="s">
        <v>5223</v>
      </c>
      <c r="L3853">
        <v>0</v>
      </c>
      <c r="M3853" t="s">
        <v>125</v>
      </c>
      <c r="O3853" t="s">
        <v>125</v>
      </c>
      <c r="P3853" t="s">
        <v>125</v>
      </c>
      <c r="Q3853" t="s">
        <v>125</v>
      </c>
      <c r="R3853" t="s">
        <v>125</v>
      </c>
      <c r="S3853" t="s">
        <v>125</v>
      </c>
      <c r="T3853">
        <v>385</v>
      </c>
      <c r="V3853" t="s">
        <v>125</v>
      </c>
      <c r="AE3853" t="s">
        <v>125</v>
      </c>
      <c r="AF3853">
        <v>0</v>
      </c>
      <c r="AG3853" t="s">
        <v>125</v>
      </c>
      <c r="AH3853">
        <v>0</v>
      </c>
      <c r="AK3853">
        <v>0</v>
      </c>
    </row>
    <row r="3854" spans="1:37" x14ac:dyDescent="0.25">
      <c r="A3854" t="s">
        <v>79</v>
      </c>
      <c r="B3854">
        <v>15</v>
      </c>
      <c r="C3854">
        <v>2</v>
      </c>
      <c r="D3854">
        <v>2</v>
      </c>
      <c r="E3854">
        <v>12</v>
      </c>
      <c r="G3854">
        <v>1522</v>
      </c>
      <c r="H3854" t="s">
        <v>5170</v>
      </c>
      <c r="I3854" t="s">
        <v>133</v>
      </c>
      <c r="J3854" t="s">
        <v>5224</v>
      </c>
      <c r="L3854">
        <v>0</v>
      </c>
      <c r="M3854" t="s">
        <v>125</v>
      </c>
      <c r="O3854" t="s">
        <v>125</v>
      </c>
      <c r="P3854" t="s">
        <v>125</v>
      </c>
      <c r="Q3854" t="s">
        <v>125</v>
      </c>
      <c r="R3854" t="s">
        <v>125</v>
      </c>
      <c r="S3854" t="s">
        <v>125</v>
      </c>
      <c r="T3854">
        <v>385</v>
      </c>
      <c r="V3854" t="s">
        <v>125</v>
      </c>
      <c r="AE3854" t="s">
        <v>125</v>
      </c>
      <c r="AF3854">
        <v>0</v>
      </c>
      <c r="AG3854" t="s">
        <v>125</v>
      </c>
      <c r="AH3854">
        <v>0</v>
      </c>
      <c r="AK3854">
        <v>0</v>
      </c>
    </row>
    <row r="3855" spans="1:37" x14ac:dyDescent="0.25">
      <c r="A3855" t="s">
        <v>79</v>
      </c>
      <c r="B3855">
        <v>15</v>
      </c>
      <c r="C3855">
        <v>2</v>
      </c>
      <c r="D3855">
        <v>2</v>
      </c>
      <c r="E3855">
        <v>13</v>
      </c>
      <c r="G3855">
        <v>1522</v>
      </c>
      <c r="H3855" t="s">
        <v>5170</v>
      </c>
      <c r="I3855" t="s">
        <v>135</v>
      </c>
      <c r="J3855" t="s">
        <v>5225</v>
      </c>
      <c r="L3855">
        <v>0</v>
      </c>
      <c r="M3855" t="s">
        <v>125</v>
      </c>
      <c r="O3855" t="s">
        <v>125</v>
      </c>
      <c r="P3855" t="s">
        <v>125</v>
      </c>
      <c r="Q3855" t="s">
        <v>125</v>
      </c>
      <c r="R3855" t="s">
        <v>125</v>
      </c>
      <c r="S3855" t="s">
        <v>125</v>
      </c>
      <c r="T3855">
        <v>385</v>
      </c>
      <c r="V3855" t="s">
        <v>125</v>
      </c>
      <c r="AE3855" t="s">
        <v>125</v>
      </c>
      <c r="AF3855">
        <v>0</v>
      </c>
      <c r="AG3855" t="s">
        <v>125</v>
      </c>
      <c r="AH3855">
        <v>0</v>
      </c>
      <c r="AK3855">
        <v>0</v>
      </c>
    </row>
    <row r="3856" spans="1:37" x14ac:dyDescent="0.25">
      <c r="A3856" t="s">
        <v>79</v>
      </c>
      <c r="B3856">
        <v>15</v>
      </c>
      <c r="C3856">
        <v>2</v>
      </c>
      <c r="D3856">
        <v>2</v>
      </c>
      <c r="E3856">
        <v>14</v>
      </c>
      <c r="G3856">
        <v>1522</v>
      </c>
      <c r="H3856" t="s">
        <v>5170</v>
      </c>
      <c r="I3856" t="s">
        <v>137</v>
      </c>
      <c r="J3856" t="s">
        <v>5226</v>
      </c>
      <c r="L3856">
        <v>0</v>
      </c>
      <c r="M3856" t="s">
        <v>125</v>
      </c>
      <c r="O3856" t="s">
        <v>125</v>
      </c>
      <c r="P3856" t="s">
        <v>125</v>
      </c>
      <c r="Q3856" t="s">
        <v>125</v>
      </c>
      <c r="R3856" t="s">
        <v>125</v>
      </c>
      <c r="S3856" t="s">
        <v>125</v>
      </c>
      <c r="T3856">
        <v>385</v>
      </c>
      <c r="V3856" t="s">
        <v>125</v>
      </c>
      <c r="AE3856" t="s">
        <v>125</v>
      </c>
      <c r="AF3856">
        <v>0</v>
      </c>
      <c r="AG3856" t="s">
        <v>125</v>
      </c>
      <c r="AH3856">
        <v>0</v>
      </c>
      <c r="AK3856">
        <v>0</v>
      </c>
    </row>
    <row r="3857" spans="1:37" x14ac:dyDescent="0.25">
      <c r="A3857" t="s">
        <v>79</v>
      </c>
      <c r="B3857">
        <v>15</v>
      </c>
      <c r="C3857">
        <v>2</v>
      </c>
      <c r="D3857">
        <v>2</v>
      </c>
      <c r="E3857">
        <v>15</v>
      </c>
      <c r="G3857">
        <v>1522</v>
      </c>
      <c r="H3857" t="s">
        <v>5170</v>
      </c>
      <c r="I3857" t="s">
        <v>139</v>
      </c>
      <c r="J3857" t="s">
        <v>5227</v>
      </c>
      <c r="L3857">
        <v>0</v>
      </c>
      <c r="M3857" t="s">
        <v>125</v>
      </c>
      <c r="O3857" t="s">
        <v>125</v>
      </c>
      <c r="P3857" t="s">
        <v>125</v>
      </c>
      <c r="Q3857" t="s">
        <v>125</v>
      </c>
      <c r="R3857" t="s">
        <v>125</v>
      </c>
      <c r="S3857" t="s">
        <v>125</v>
      </c>
      <c r="T3857">
        <v>385</v>
      </c>
      <c r="V3857" t="s">
        <v>125</v>
      </c>
      <c r="AE3857" t="s">
        <v>125</v>
      </c>
      <c r="AF3857">
        <v>0</v>
      </c>
      <c r="AG3857" t="s">
        <v>125</v>
      </c>
      <c r="AH3857">
        <v>0</v>
      </c>
      <c r="AK3857">
        <v>0</v>
      </c>
    </row>
    <row r="3858" spans="1:37" x14ac:dyDescent="0.25">
      <c r="L3858">
        <v>0</v>
      </c>
    </row>
    <row r="3859" spans="1:37" x14ac:dyDescent="0.25">
      <c r="A3859" t="s">
        <v>70</v>
      </c>
      <c r="B3859">
        <v>15</v>
      </c>
      <c r="C3859">
        <v>2</v>
      </c>
      <c r="D3859">
        <v>3</v>
      </c>
      <c r="G3859">
        <v>152</v>
      </c>
      <c r="L3859">
        <v>0</v>
      </c>
      <c r="M3859" t="s">
        <v>125</v>
      </c>
      <c r="P3859" t="s">
        <v>125</v>
      </c>
      <c r="R3859" t="s">
        <v>125</v>
      </c>
      <c r="S3859" t="s">
        <v>63</v>
      </c>
      <c r="V3859" t="s">
        <v>125</v>
      </c>
      <c r="X3859" t="s">
        <v>125</v>
      </c>
      <c r="Y3859" t="s">
        <v>125</v>
      </c>
      <c r="Z3859" t="s">
        <v>125</v>
      </c>
      <c r="AA3859" t="s">
        <v>125</v>
      </c>
      <c r="AB3859" t="s">
        <v>125</v>
      </c>
      <c r="AC3859" t="s">
        <v>125</v>
      </c>
      <c r="AE3859" t="s">
        <v>125</v>
      </c>
      <c r="AF3859">
        <v>0</v>
      </c>
      <c r="AG3859" t="s">
        <v>125</v>
      </c>
      <c r="AH3859">
        <v>0</v>
      </c>
      <c r="AK3859">
        <v>0</v>
      </c>
    </row>
    <row r="3860" spans="1:37" x14ac:dyDescent="0.25">
      <c r="A3860" t="s">
        <v>79</v>
      </c>
      <c r="B3860">
        <v>15</v>
      </c>
      <c r="C3860">
        <v>2</v>
      </c>
      <c r="D3860">
        <v>3</v>
      </c>
      <c r="E3860">
        <v>1</v>
      </c>
      <c r="G3860">
        <v>1523</v>
      </c>
      <c r="H3860" t="s">
        <v>63</v>
      </c>
      <c r="I3860" t="s">
        <v>80</v>
      </c>
      <c r="J3860" t="s">
        <v>141</v>
      </c>
      <c r="L3860">
        <v>0</v>
      </c>
      <c r="M3860" t="s">
        <v>125</v>
      </c>
      <c r="O3860" t="s">
        <v>125</v>
      </c>
      <c r="P3860" t="s">
        <v>125</v>
      </c>
      <c r="Q3860" t="s">
        <v>125</v>
      </c>
      <c r="R3860" t="s">
        <v>125</v>
      </c>
      <c r="S3860" t="s">
        <v>125</v>
      </c>
      <c r="T3860">
        <v>0</v>
      </c>
      <c r="V3860" t="s">
        <v>125</v>
      </c>
      <c r="AE3860" t="s">
        <v>125</v>
      </c>
      <c r="AF3860">
        <v>0</v>
      </c>
      <c r="AG3860" t="s">
        <v>125</v>
      </c>
      <c r="AH3860">
        <v>0</v>
      </c>
      <c r="AK3860">
        <v>0</v>
      </c>
    </row>
    <row r="3861" spans="1:37" x14ac:dyDescent="0.25">
      <c r="A3861" t="s">
        <v>79</v>
      </c>
      <c r="B3861">
        <v>15</v>
      </c>
      <c r="C3861">
        <v>2</v>
      </c>
      <c r="D3861">
        <v>3</v>
      </c>
      <c r="E3861">
        <v>2</v>
      </c>
      <c r="G3861">
        <v>1523</v>
      </c>
      <c r="H3861" t="s">
        <v>63</v>
      </c>
      <c r="I3861" t="s">
        <v>88</v>
      </c>
      <c r="J3861" t="s">
        <v>142</v>
      </c>
      <c r="L3861">
        <v>0</v>
      </c>
      <c r="M3861" t="s">
        <v>125</v>
      </c>
      <c r="O3861" t="s">
        <v>125</v>
      </c>
      <c r="P3861" t="s">
        <v>125</v>
      </c>
      <c r="Q3861" t="s">
        <v>125</v>
      </c>
      <c r="R3861" t="s">
        <v>125</v>
      </c>
      <c r="S3861" t="s">
        <v>125</v>
      </c>
      <c r="T3861">
        <v>0</v>
      </c>
      <c r="V3861" t="s">
        <v>125</v>
      </c>
      <c r="AE3861" t="s">
        <v>125</v>
      </c>
      <c r="AF3861">
        <v>0</v>
      </c>
      <c r="AG3861" t="s">
        <v>125</v>
      </c>
      <c r="AH3861">
        <v>0</v>
      </c>
      <c r="AK3861">
        <v>0</v>
      </c>
    </row>
    <row r="3862" spans="1:37" x14ac:dyDescent="0.25">
      <c r="A3862" t="s">
        <v>79</v>
      </c>
      <c r="B3862">
        <v>15</v>
      </c>
      <c r="C3862">
        <v>2</v>
      </c>
      <c r="D3862">
        <v>3</v>
      </c>
      <c r="E3862">
        <v>3</v>
      </c>
      <c r="G3862">
        <v>1523</v>
      </c>
      <c r="H3862" t="s">
        <v>63</v>
      </c>
      <c r="I3862" t="s">
        <v>95</v>
      </c>
      <c r="J3862" t="s">
        <v>143</v>
      </c>
      <c r="L3862">
        <v>0</v>
      </c>
      <c r="M3862" t="s">
        <v>125</v>
      </c>
      <c r="O3862" t="s">
        <v>125</v>
      </c>
      <c r="P3862" t="s">
        <v>125</v>
      </c>
      <c r="Q3862" t="s">
        <v>125</v>
      </c>
      <c r="R3862" t="s">
        <v>125</v>
      </c>
      <c r="S3862" t="s">
        <v>125</v>
      </c>
      <c r="T3862">
        <v>0</v>
      </c>
      <c r="V3862" t="s">
        <v>125</v>
      </c>
      <c r="AE3862" t="s">
        <v>125</v>
      </c>
      <c r="AF3862">
        <v>0</v>
      </c>
      <c r="AG3862" t="s">
        <v>125</v>
      </c>
      <c r="AH3862">
        <v>0</v>
      </c>
      <c r="AK3862">
        <v>0</v>
      </c>
    </row>
    <row r="3863" spans="1:37" x14ac:dyDescent="0.25">
      <c r="A3863" t="s">
        <v>79</v>
      </c>
      <c r="B3863">
        <v>15</v>
      </c>
      <c r="C3863">
        <v>2</v>
      </c>
      <c r="D3863">
        <v>3</v>
      </c>
      <c r="E3863">
        <v>4</v>
      </c>
      <c r="G3863">
        <v>1523</v>
      </c>
      <c r="H3863" t="s">
        <v>63</v>
      </c>
      <c r="I3863" t="s">
        <v>102</v>
      </c>
      <c r="J3863" t="s">
        <v>144</v>
      </c>
      <c r="L3863">
        <v>0</v>
      </c>
      <c r="M3863" t="s">
        <v>125</v>
      </c>
      <c r="O3863" t="s">
        <v>125</v>
      </c>
      <c r="P3863" t="s">
        <v>125</v>
      </c>
      <c r="Q3863" t="s">
        <v>125</v>
      </c>
      <c r="R3863" t="s">
        <v>125</v>
      </c>
      <c r="S3863" t="s">
        <v>125</v>
      </c>
      <c r="T3863">
        <v>0</v>
      </c>
      <c r="V3863" t="s">
        <v>125</v>
      </c>
      <c r="AE3863" t="s">
        <v>125</v>
      </c>
      <c r="AF3863">
        <v>0</v>
      </c>
      <c r="AG3863" t="s">
        <v>125</v>
      </c>
      <c r="AH3863">
        <v>0</v>
      </c>
      <c r="AK3863">
        <v>0</v>
      </c>
    </row>
    <row r="3864" spans="1:37" x14ac:dyDescent="0.25">
      <c r="A3864" t="s">
        <v>79</v>
      </c>
      <c r="B3864">
        <v>15</v>
      </c>
      <c r="C3864">
        <v>2</v>
      </c>
      <c r="D3864">
        <v>3</v>
      </c>
      <c r="E3864">
        <v>5</v>
      </c>
      <c r="G3864">
        <v>1523</v>
      </c>
      <c r="H3864" t="s">
        <v>63</v>
      </c>
      <c r="I3864" t="s">
        <v>109</v>
      </c>
      <c r="J3864" t="s">
        <v>145</v>
      </c>
      <c r="L3864">
        <v>0</v>
      </c>
      <c r="M3864" t="s">
        <v>125</v>
      </c>
      <c r="O3864" t="s">
        <v>125</v>
      </c>
      <c r="P3864" t="s">
        <v>125</v>
      </c>
      <c r="Q3864" t="s">
        <v>125</v>
      </c>
      <c r="R3864" t="s">
        <v>125</v>
      </c>
      <c r="S3864" t="s">
        <v>125</v>
      </c>
      <c r="T3864">
        <v>0</v>
      </c>
      <c r="V3864" t="s">
        <v>125</v>
      </c>
      <c r="AE3864" t="s">
        <v>125</v>
      </c>
      <c r="AF3864">
        <v>0</v>
      </c>
      <c r="AG3864" t="s">
        <v>125</v>
      </c>
      <c r="AH3864">
        <v>0</v>
      </c>
      <c r="AK3864">
        <v>0</v>
      </c>
    </row>
    <row r="3865" spans="1:37" x14ac:dyDescent="0.25">
      <c r="A3865" t="s">
        <v>79</v>
      </c>
      <c r="B3865">
        <v>15</v>
      </c>
      <c r="C3865">
        <v>2</v>
      </c>
      <c r="D3865">
        <v>3</v>
      </c>
      <c r="E3865">
        <v>6</v>
      </c>
      <c r="G3865">
        <v>1523</v>
      </c>
      <c r="H3865" t="s">
        <v>63</v>
      </c>
      <c r="I3865" t="s">
        <v>116</v>
      </c>
      <c r="J3865" t="s">
        <v>146</v>
      </c>
      <c r="L3865">
        <v>0</v>
      </c>
      <c r="M3865" t="s">
        <v>125</v>
      </c>
      <c r="O3865" t="s">
        <v>125</v>
      </c>
      <c r="P3865" t="s">
        <v>125</v>
      </c>
      <c r="Q3865" t="s">
        <v>125</v>
      </c>
      <c r="R3865" t="s">
        <v>125</v>
      </c>
      <c r="S3865" t="s">
        <v>125</v>
      </c>
      <c r="T3865">
        <v>0</v>
      </c>
      <c r="V3865" t="s">
        <v>125</v>
      </c>
      <c r="AE3865" t="s">
        <v>125</v>
      </c>
      <c r="AF3865">
        <v>0</v>
      </c>
      <c r="AG3865" t="s">
        <v>125</v>
      </c>
      <c r="AH3865">
        <v>0</v>
      </c>
      <c r="AK3865">
        <v>0</v>
      </c>
    </row>
    <row r="3866" spans="1:37" x14ac:dyDescent="0.25">
      <c r="A3866" t="s">
        <v>79</v>
      </c>
      <c r="B3866">
        <v>15</v>
      </c>
      <c r="C3866">
        <v>2</v>
      </c>
      <c r="D3866">
        <v>3</v>
      </c>
      <c r="E3866">
        <v>7</v>
      </c>
      <c r="G3866">
        <v>1523</v>
      </c>
      <c r="H3866" t="s">
        <v>63</v>
      </c>
      <c r="I3866" t="s">
        <v>123</v>
      </c>
      <c r="J3866" t="s">
        <v>147</v>
      </c>
      <c r="L3866">
        <v>0</v>
      </c>
      <c r="M3866" t="s">
        <v>125</v>
      </c>
      <c r="O3866" t="s">
        <v>125</v>
      </c>
      <c r="P3866" t="s">
        <v>125</v>
      </c>
      <c r="Q3866" t="s">
        <v>125</v>
      </c>
      <c r="R3866" t="s">
        <v>125</v>
      </c>
      <c r="S3866" t="s">
        <v>125</v>
      </c>
      <c r="T3866">
        <v>0</v>
      </c>
      <c r="V3866" t="s">
        <v>125</v>
      </c>
      <c r="AE3866" t="s">
        <v>125</v>
      </c>
      <c r="AF3866">
        <v>0</v>
      </c>
      <c r="AG3866" t="s">
        <v>125</v>
      </c>
      <c r="AH3866">
        <v>0</v>
      </c>
      <c r="AK3866">
        <v>0</v>
      </c>
    </row>
    <row r="3867" spans="1:37" x14ac:dyDescent="0.25">
      <c r="A3867" t="s">
        <v>79</v>
      </c>
      <c r="B3867">
        <v>15</v>
      </c>
      <c r="C3867">
        <v>2</v>
      </c>
      <c r="D3867">
        <v>3</v>
      </c>
      <c r="E3867">
        <v>8</v>
      </c>
      <c r="G3867">
        <v>1523</v>
      </c>
      <c r="H3867" t="s">
        <v>63</v>
      </c>
      <c r="I3867" t="s">
        <v>126</v>
      </c>
      <c r="J3867" t="s">
        <v>148</v>
      </c>
      <c r="L3867">
        <v>0</v>
      </c>
      <c r="M3867" t="s">
        <v>125</v>
      </c>
      <c r="O3867" t="s">
        <v>125</v>
      </c>
      <c r="P3867" t="s">
        <v>125</v>
      </c>
      <c r="Q3867" t="s">
        <v>125</v>
      </c>
      <c r="R3867" t="s">
        <v>125</v>
      </c>
      <c r="S3867" t="s">
        <v>125</v>
      </c>
      <c r="T3867">
        <v>0</v>
      </c>
      <c r="V3867" t="s">
        <v>125</v>
      </c>
      <c r="AE3867" t="s">
        <v>125</v>
      </c>
      <c r="AF3867">
        <v>0</v>
      </c>
      <c r="AG3867" t="s">
        <v>125</v>
      </c>
      <c r="AH3867">
        <v>0</v>
      </c>
      <c r="AK3867">
        <v>0</v>
      </c>
    </row>
    <row r="3868" spans="1:37" x14ac:dyDescent="0.25">
      <c r="A3868" t="s">
        <v>79</v>
      </c>
      <c r="B3868">
        <v>15</v>
      </c>
      <c r="C3868">
        <v>2</v>
      </c>
      <c r="D3868">
        <v>3</v>
      </c>
      <c r="E3868">
        <v>9</v>
      </c>
      <c r="G3868">
        <v>1523</v>
      </c>
      <c r="H3868" t="s">
        <v>63</v>
      </c>
      <c r="I3868" t="s">
        <v>74</v>
      </c>
      <c r="J3868" t="s">
        <v>149</v>
      </c>
      <c r="L3868">
        <v>0</v>
      </c>
      <c r="M3868" t="s">
        <v>125</v>
      </c>
      <c r="O3868" t="s">
        <v>125</v>
      </c>
      <c r="P3868" t="s">
        <v>125</v>
      </c>
      <c r="Q3868" t="s">
        <v>125</v>
      </c>
      <c r="R3868" t="s">
        <v>125</v>
      </c>
      <c r="S3868" t="s">
        <v>125</v>
      </c>
      <c r="T3868">
        <v>0</v>
      </c>
      <c r="V3868" t="s">
        <v>125</v>
      </c>
      <c r="AE3868" t="s">
        <v>125</v>
      </c>
      <c r="AF3868">
        <v>0</v>
      </c>
      <c r="AG3868" t="s">
        <v>125</v>
      </c>
      <c r="AH3868">
        <v>0</v>
      </c>
      <c r="AK3868">
        <v>0</v>
      </c>
    </row>
    <row r="3869" spans="1:37" x14ac:dyDescent="0.25">
      <c r="A3869" t="s">
        <v>79</v>
      </c>
      <c r="B3869">
        <v>15</v>
      </c>
      <c r="C3869">
        <v>2</v>
      </c>
      <c r="D3869">
        <v>3</v>
      </c>
      <c r="E3869">
        <v>10</v>
      </c>
      <c r="G3869">
        <v>1523</v>
      </c>
      <c r="H3869" t="s">
        <v>63</v>
      </c>
      <c r="I3869" t="s">
        <v>129</v>
      </c>
      <c r="J3869" t="s">
        <v>150</v>
      </c>
      <c r="L3869">
        <v>0</v>
      </c>
      <c r="M3869" t="s">
        <v>125</v>
      </c>
      <c r="O3869" t="s">
        <v>125</v>
      </c>
      <c r="P3869" t="s">
        <v>125</v>
      </c>
      <c r="Q3869" t="s">
        <v>125</v>
      </c>
      <c r="R3869" t="s">
        <v>125</v>
      </c>
      <c r="S3869" t="s">
        <v>125</v>
      </c>
      <c r="T3869">
        <v>0</v>
      </c>
      <c r="V3869" t="s">
        <v>125</v>
      </c>
      <c r="AE3869" t="s">
        <v>125</v>
      </c>
      <c r="AF3869">
        <v>0</v>
      </c>
      <c r="AG3869" t="s">
        <v>125</v>
      </c>
      <c r="AH3869">
        <v>0</v>
      </c>
      <c r="AK3869">
        <v>0</v>
      </c>
    </row>
    <row r="3870" spans="1:37" x14ac:dyDescent="0.25">
      <c r="A3870" t="s">
        <v>79</v>
      </c>
      <c r="B3870">
        <v>15</v>
      </c>
      <c r="C3870">
        <v>2</v>
      </c>
      <c r="D3870">
        <v>3</v>
      </c>
      <c r="E3870">
        <v>11</v>
      </c>
      <c r="G3870">
        <v>1523</v>
      </c>
      <c r="H3870" t="s">
        <v>63</v>
      </c>
      <c r="I3870" t="s">
        <v>131</v>
      </c>
      <c r="J3870" t="s">
        <v>151</v>
      </c>
      <c r="L3870">
        <v>0</v>
      </c>
      <c r="M3870" t="s">
        <v>125</v>
      </c>
      <c r="O3870" t="s">
        <v>125</v>
      </c>
      <c r="P3870" t="s">
        <v>125</v>
      </c>
      <c r="Q3870" t="s">
        <v>125</v>
      </c>
      <c r="R3870" t="s">
        <v>125</v>
      </c>
      <c r="S3870" t="s">
        <v>125</v>
      </c>
      <c r="T3870">
        <v>0</v>
      </c>
      <c r="V3870" t="s">
        <v>125</v>
      </c>
      <c r="AE3870" t="s">
        <v>125</v>
      </c>
      <c r="AF3870">
        <v>0</v>
      </c>
      <c r="AG3870" t="s">
        <v>125</v>
      </c>
      <c r="AH3870">
        <v>0</v>
      </c>
      <c r="AK3870">
        <v>0</v>
      </c>
    </row>
    <row r="3871" spans="1:37" x14ac:dyDescent="0.25">
      <c r="A3871" t="s">
        <v>79</v>
      </c>
      <c r="B3871">
        <v>15</v>
      </c>
      <c r="C3871">
        <v>2</v>
      </c>
      <c r="D3871">
        <v>3</v>
      </c>
      <c r="E3871">
        <v>12</v>
      </c>
      <c r="G3871">
        <v>1523</v>
      </c>
      <c r="H3871" t="s">
        <v>63</v>
      </c>
      <c r="I3871" t="s">
        <v>133</v>
      </c>
      <c r="J3871" t="s">
        <v>152</v>
      </c>
      <c r="L3871">
        <v>0</v>
      </c>
      <c r="M3871" t="s">
        <v>125</v>
      </c>
      <c r="O3871" t="s">
        <v>125</v>
      </c>
      <c r="P3871" t="s">
        <v>125</v>
      </c>
      <c r="Q3871" t="s">
        <v>125</v>
      </c>
      <c r="R3871" t="s">
        <v>125</v>
      </c>
      <c r="S3871" t="s">
        <v>125</v>
      </c>
      <c r="T3871">
        <v>0</v>
      </c>
      <c r="V3871" t="s">
        <v>125</v>
      </c>
      <c r="AE3871" t="s">
        <v>125</v>
      </c>
      <c r="AF3871">
        <v>0</v>
      </c>
      <c r="AG3871" t="s">
        <v>125</v>
      </c>
      <c r="AH3871">
        <v>0</v>
      </c>
      <c r="AK3871">
        <v>0</v>
      </c>
    </row>
    <row r="3872" spans="1:37" x14ac:dyDescent="0.25">
      <c r="A3872" t="s">
        <v>79</v>
      </c>
      <c r="B3872">
        <v>15</v>
      </c>
      <c r="C3872">
        <v>2</v>
      </c>
      <c r="D3872">
        <v>3</v>
      </c>
      <c r="E3872">
        <v>13</v>
      </c>
      <c r="G3872">
        <v>1523</v>
      </c>
      <c r="H3872" t="s">
        <v>63</v>
      </c>
      <c r="I3872" t="s">
        <v>135</v>
      </c>
      <c r="J3872" t="s">
        <v>153</v>
      </c>
      <c r="L3872">
        <v>0</v>
      </c>
      <c r="M3872" t="s">
        <v>125</v>
      </c>
      <c r="O3872" t="s">
        <v>125</v>
      </c>
      <c r="P3872" t="s">
        <v>125</v>
      </c>
      <c r="Q3872" t="s">
        <v>125</v>
      </c>
      <c r="R3872" t="s">
        <v>125</v>
      </c>
      <c r="S3872" t="s">
        <v>125</v>
      </c>
      <c r="T3872">
        <v>0</v>
      </c>
      <c r="V3872" t="s">
        <v>125</v>
      </c>
      <c r="AE3872" t="s">
        <v>125</v>
      </c>
      <c r="AF3872">
        <v>0</v>
      </c>
      <c r="AG3872" t="s">
        <v>125</v>
      </c>
      <c r="AH3872">
        <v>0</v>
      </c>
      <c r="AK3872">
        <v>0</v>
      </c>
    </row>
    <row r="3873" spans="1:37" x14ac:dyDescent="0.25">
      <c r="A3873" t="s">
        <v>79</v>
      </c>
      <c r="B3873">
        <v>15</v>
      </c>
      <c r="C3873">
        <v>2</v>
      </c>
      <c r="D3873">
        <v>3</v>
      </c>
      <c r="E3873">
        <v>14</v>
      </c>
      <c r="G3873">
        <v>1523</v>
      </c>
      <c r="H3873" t="s">
        <v>63</v>
      </c>
      <c r="I3873" t="s">
        <v>137</v>
      </c>
      <c r="J3873" t="s">
        <v>154</v>
      </c>
      <c r="L3873">
        <v>0</v>
      </c>
      <c r="M3873" t="s">
        <v>125</v>
      </c>
      <c r="O3873" t="s">
        <v>125</v>
      </c>
      <c r="P3873" t="s">
        <v>125</v>
      </c>
      <c r="Q3873" t="s">
        <v>125</v>
      </c>
      <c r="R3873" t="s">
        <v>125</v>
      </c>
      <c r="S3873" t="s">
        <v>125</v>
      </c>
      <c r="T3873">
        <v>0</v>
      </c>
      <c r="V3873" t="s">
        <v>125</v>
      </c>
      <c r="AE3873" t="s">
        <v>125</v>
      </c>
      <c r="AF3873">
        <v>0</v>
      </c>
      <c r="AG3873" t="s">
        <v>125</v>
      </c>
      <c r="AH3873">
        <v>0</v>
      </c>
      <c r="AK3873">
        <v>0</v>
      </c>
    </row>
    <row r="3874" spans="1:37" x14ac:dyDescent="0.25">
      <c r="A3874" t="s">
        <v>79</v>
      </c>
      <c r="B3874">
        <v>15</v>
      </c>
      <c r="C3874">
        <v>2</v>
      </c>
      <c r="D3874">
        <v>3</v>
      </c>
      <c r="E3874">
        <v>15</v>
      </c>
      <c r="G3874">
        <v>1523</v>
      </c>
      <c r="H3874" t="s">
        <v>63</v>
      </c>
      <c r="I3874" t="s">
        <v>139</v>
      </c>
      <c r="J3874" t="s">
        <v>155</v>
      </c>
      <c r="L3874">
        <v>0</v>
      </c>
      <c r="M3874" t="s">
        <v>125</v>
      </c>
      <c r="O3874" t="s">
        <v>125</v>
      </c>
      <c r="P3874" t="s">
        <v>125</v>
      </c>
      <c r="Q3874" t="s">
        <v>125</v>
      </c>
      <c r="R3874" t="s">
        <v>125</v>
      </c>
      <c r="S3874" t="s">
        <v>125</v>
      </c>
      <c r="T3874">
        <v>0</v>
      </c>
      <c r="V3874" t="s">
        <v>125</v>
      </c>
      <c r="AE3874" t="s">
        <v>125</v>
      </c>
      <c r="AF3874">
        <v>0</v>
      </c>
      <c r="AG3874" t="s">
        <v>125</v>
      </c>
      <c r="AH3874">
        <v>0</v>
      </c>
      <c r="AK3874">
        <v>0</v>
      </c>
    </row>
    <row r="3875" spans="1:37" x14ac:dyDescent="0.25">
      <c r="L3875">
        <v>0</v>
      </c>
    </row>
    <row r="3876" spans="1:37" x14ac:dyDescent="0.25">
      <c r="A3876" t="s">
        <v>70</v>
      </c>
      <c r="B3876">
        <v>15</v>
      </c>
      <c r="C3876">
        <v>2</v>
      </c>
      <c r="D3876">
        <v>4</v>
      </c>
      <c r="G3876">
        <v>152</v>
      </c>
      <c r="L3876">
        <v>0</v>
      </c>
      <c r="M3876" t="s">
        <v>125</v>
      </c>
      <c r="P3876" t="s">
        <v>125</v>
      </c>
      <c r="R3876" t="s">
        <v>125</v>
      </c>
      <c r="S3876" t="s">
        <v>63</v>
      </c>
      <c r="V3876" t="s">
        <v>125</v>
      </c>
      <c r="X3876" t="s">
        <v>125</v>
      </c>
      <c r="Y3876" t="s">
        <v>125</v>
      </c>
      <c r="Z3876" t="s">
        <v>125</v>
      </c>
      <c r="AA3876" t="s">
        <v>125</v>
      </c>
      <c r="AB3876" t="s">
        <v>125</v>
      </c>
      <c r="AC3876" t="s">
        <v>125</v>
      </c>
      <c r="AE3876" t="s">
        <v>125</v>
      </c>
      <c r="AF3876">
        <v>0</v>
      </c>
      <c r="AG3876" t="s">
        <v>125</v>
      </c>
      <c r="AH3876">
        <v>0</v>
      </c>
      <c r="AK3876">
        <v>0</v>
      </c>
    </row>
    <row r="3877" spans="1:37" x14ac:dyDescent="0.25">
      <c r="A3877" t="s">
        <v>79</v>
      </c>
      <c r="B3877">
        <v>15</v>
      </c>
      <c r="C3877">
        <v>2</v>
      </c>
      <c r="D3877">
        <v>4</v>
      </c>
      <c r="E3877">
        <v>1</v>
      </c>
      <c r="G3877">
        <v>1524</v>
      </c>
      <c r="H3877" t="s">
        <v>63</v>
      </c>
      <c r="I3877" t="s">
        <v>80</v>
      </c>
      <c r="J3877" t="s">
        <v>141</v>
      </c>
      <c r="L3877">
        <v>0</v>
      </c>
      <c r="M3877" t="s">
        <v>125</v>
      </c>
      <c r="O3877" t="s">
        <v>125</v>
      </c>
      <c r="P3877" t="s">
        <v>125</v>
      </c>
      <c r="Q3877" t="s">
        <v>125</v>
      </c>
      <c r="R3877" t="s">
        <v>125</v>
      </c>
      <c r="S3877" t="s">
        <v>125</v>
      </c>
      <c r="T3877">
        <v>0</v>
      </c>
      <c r="V3877" t="s">
        <v>125</v>
      </c>
      <c r="AE3877" t="s">
        <v>125</v>
      </c>
      <c r="AF3877">
        <v>0</v>
      </c>
      <c r="AG3877" t="s">
        <v>125</v>
      </c>
      <c r="AH3877">
        <v>0</v>
      </c>
      <c r="AK3877">
        <v>0</v>
      </c>
    </row>
    <row r="3878" spans="1:37" x14ac:dyDescent="0.25">
      <c r="A3878" t="s">
        <v>79</v>
      </c>
      <c r="B3878">
        <v>15</v>
      </c>
      <c r="C3878">
        <v>2</v>
      </c>
      <c r="D3878">
        <v>4</v>
      </c>
      <c r="E3878">
        <v>2</v>
      </c>
      <c r="G3878">
        <v>1524</v>
      </c>
      <c r="H3878" t="s">
        <v>63</v>
      </c>
      <c r="I3878" t="s">
        <v>88</v>
      </c>
      <c r="J3878" t="s">
        <v>142</v>
      </c>
      <c r="L3878">
        <v>0</v>
      </c>
      <c r="M3878" t="s">
        <v>125</v>
      </c>
      <c r="O3878" t="s">
        <v>125</v>
      </c>
      <c r="P3878" t="s">
        <v>125</v>
      </c>
      <c r="Q3878" t="s">
        <v>125</v>
      </c>
      <c r="R3878" t="s">
        <v>125</v>
      </c>
      <c r="S3878" t="s">
        <v>125</v>
      </c>
      <c r="T3878">
        <v>0</v>
      </c>
      <c r="V3878" t="s">
        <v>125</v>
      </c>
      <c r="AE3878" t="s">
        <v>125</v>
      </c>
      <c r="AF3878">
        <v>0</v>
      </c>
      <c r="AG3878" t="s">
        <v>125</v>
      </c>
      <c r="AH3878">
        <v>0</v>
      </c>
      <c r="AK3878">
        <v>0</v>
      </c>
    </row>
    <row r="3879" spans="1:37" x14ac:dyDescent="0.25">
      <c r="A3879" t="s">
        <v>79</v>
      </c>
      <c r="B3879">
        <v>15</v>
      </c>
      <c r="C3879">
        <v>2</v>
      </c>
      <c r="D3879">
        <v>4</v>
      </c>
      <c r="E3879">
        <v>3</v>
      </c>
      <c r="G3879">
        <v>1524</v>
      </c>
      <c r="H3879" t="s">
        <v>63</v>
      </c>
      <c r="I3879" t="s">
        <v>95</v>
      </c>
      <c r="J3879" t="s">
        <v>143</v>
      </c>
      <c r="L3879">
        <v>0</v>
      </c>
      <c r="M3879" t="s">
        <v>125</v>
      </c>
      <c r="O3879" t="s">
        <v>125</v>
      </c>
      <c r="P3879" t="s">
        <v>125</v>
      </c>
      <c r="Q3879" t="s">
        <v>125</v>
      </c>
      <c r="R3879" t="s">
        <v>125</v>
      </c>
      <c r="S3879" t="s">
        <v>125</v>
      </c>
      <c r="T3879">
        <v>0</v>
      </c>
      <c r="V3879" t="s">
        <v>125</v>
      </c>
      <c r="AE3879" t="s">
        <v>125</v>
      </c>
      <c r="AF3879">
        <v>0</v>
      </c>
      <c r="AG3879" t="s">
        <v>125</v>
      </c>
      <c r="AH3879">
        <v>0</v>
      </c>
      <c r="AK3879">
        <v>0</v>
      </c>
    </row>
    <row r="3880" spans="1:37" x14ac:dyDescent="0.25">
      <c r="A3880" t="s">
        <v>79</v>
      </c>
      <c r="B3880">
        <v>15</v>
      </c>
      <c r="C3880">
        <v>2</v>
      </c>
      <c r="D3880">
        <v>4</v>
      </c>
      <c r="E3880">
        <v>4</v>
      </c>
      <c r="G3880">
        <v>1524</v>
      </c>
      <c r="H3880" t="s">
        <v>63</v>
      </c>
      <c r="I3880" t="s">
        <v>102</v>
      </c>
      <c r="J3880" t="s">
        <v>144</v>
      </c>
      <c r="L3880">
        <v>0</v>
      </c>
      <c r="M3880" t="s">
        <v>125</v>
      </c>
      <c r="O3880" t="s">
        <v>125</v>
      </c>
      <c r="P3880" t="s">
        <v>125</v>
      </c>
      <c r="Q3880" t="s">
        <v>125</v>
      </c>
      <c r="R3880" t="s">
        <v>125</v>
      </c>
      <c r="S3880" t="s">
        <v>125</v>
      </c>
      <c r="T3880">
        <v>0</v>
      </c>
      <c r="V3880" t="s">
        <v>125</v>
      </c>
      <c r="AE3880" t="s">
        <v>125</v>
      </c>
      <c r="AF3880">
        <v>0</v>
      </c>
      <c r="AG3880" t="s">
        <v>125</v>
      </c>
      <c r="AH3880">
        <v>0</v>
      </c>
      <c r="AK3880">
        <v>0</v>
      </c>
    </row>
    <row r="3881" spans="1:37" x14ac:dyDescent="0.25">
      <c r="A3881" t="s">
        <v>79</v>
      </c>
      <c r="B3881">
        <v>15</v>
      </c>
      <c r="C3881">
        <v>2</v>
      </c>
      <c r="D3881">
        <v>4</v>
      </c>
      <c r="E3881">
        <v>5</v>
      </c>
      <c r="G3881">
        <v>1524</v>
      </c>
      <c r="H3881" t="s">
        <v>63</v>
      </c>
      <c r="I3881" t="s">
        <v>109</v>
      </c>
      <c r="J3881" t="s">
        <v>145</v>
      </c>
      <c r="L3881">
        <v>0</v>
      </c>
      <c r="M3881" t="s">
        <v>125</v>
      </c>
      <c r="O3881" t="s">
        <v>125</v>
      </c>
      <c r="P3881" t="s">
        <v>125</v>
      </c>
      <c r="Q3881" t="s">
        <v>125</v>
      </c>
      <c r="R3881" t="s">
        <v>125</v>
      </c>
      <c r="S3881" t="s">
        <v>125</v>
      </c>
      <c r="T3881">
        <v>0</v>
      </c>
      <c r="V3881" t="s">
        <v>125</v>
      </c>
      <c r="AE3881" t="s">
        <v>125</v>
      </c>
      <c r="AF3881">
        <v>0</v>
      </c>
      <c r="AG3881" t="s">
        <v>125</v>
      </c>
      <c r="AH3881">
        <v>0</v>
      </c>
      <c r="AK3881">
        <v>0</v>
      </c>
    </row>
    <row r="3882" spans="1:37" x14ac:dyDescent="0.25">
      <c r="A3882" t="s">
        <v>79</v>
      </c>
      <c r="B3882">
        <v>15</v>
      </c>
      <c r="C3882">
        <v>2</v>
      </c>
      <c r="D3882">
        <v>4</v>
      </c>
      <c r="E3882">
        <v>6</v>
      </c>
      <c r="G3882">
        <v>1524</v>
      </c>
      <c r="H3882" t="s">
        <v>63</v>
      </c>
      <c r="I3882" t="s">
        <v>116</v>
      </c>
      <c r="J3882" t="s">
        <v>146</v>
      </c>
      <c r="L3882">
        <v>0</v>
      </c>
      <c r="M3882" t="s">
        <v>125</v>
      </c>
      <c r="O3882" t="s">
        <v>125</v>
      </c>
      <c r="P3882" t="s">
        <v>125</v>
      </c>
      <c r="Q3882" t="s">
        <v>125</v>
      </c>
      <c r="R3882" t="s">
        <v>125</v>
      </c>
      <c r="S3882" t="s">
        <v>125</v>
      </c>
      <c r="T3882">
        <v>0</v>
      </c>
      <c r="V3882" t="s">
        <v>125</v>
      </c>
      <c r="AE3882" t="s">
        <v>125</v>
      </c>
      <c r="AF3882">
        <v>0</v>
      </c>
      <c r="AG3882" t="s">
        <v>125</v>
      </c>
      <c r="AH3882">
        <v>0</v>
      </c>
      <c r="AK3882">
        <v>0</v>
      </c>
    </row>
    <row r="3883" spans="1:37" x14ac:dyDescent="0.25">
      <c r="A3883" t="s">
        <v>79</v>
      </c>
      <c r="B3883">
        <v>15</v>
      </c>
      <c r="C3883">
        <v>2</v>
      </c>
      <c r="D3883">
        <v>4</v>
      </c>
      <c r="E3883">
        <v>7</v>
      </c>
      <c r="G3883">
        <v>1524</v>
      </c>
      <c r="H3883" t="s">
        <v>63</v>
      </c>
      <c r="I3883" t="s">
        <v>123</v>
      </c>
      <c r="J3883" t="s">
        <v>147</v>
      </c>
      <c r="L3883">
        <v>0</v>
      </c>
      <c r="M3883" t="s">
        <v>125</v>
      </c>
      <c r="O3883" t="s">
        <v>125</v>
      </c>
      <c r="P3883" t="s">
        <v>125</v>
      </c>
      <c r="Q3883" t="s">
        <v>125</v>
      </c>
      <c r="R3883" t="s">
        <v>125</v>
      </c>
      <c r="S3883" t="s">
        <v>125</v>
      </c>
      <c r="T3883">
        <v>0</v>
      </c>
      <c r="V3883" t="s">
        <v>125</v>
      </c>
      <c r="AE3883" t="s">
        <v>125</v>
      </c>
      <c r="AF3883">
        <v>0</v>
      </c>
      <c r="AG3883" t="s">
        <v>125</v>
      </c>
      <c r="AH3883">
        <v>0</v>
      </c>
      <c r="AK3883">
        <v>0</v>
      </c>
    </row>
    <row r="3884" spans="1:37" x14ac:dyDescent="0.25">
      <c r="A3884" t="s">
        <v>79</v>
      </c>
      <c r="B3884">
        <v>15</v>
      </c>
      <c r="C3884">
        <v>2</v>
      </c>
      <c r="D3884">
        <v>4</v>
      </c>
      <c r="E3884">
        <v>8</v>
      </c>
      <c r="G3884">
        <v>1524</v>
      </c>
      <c r="H3884" t="s">
        <v>63</v>
      </c>
      <c r="I3884" t="s">
        <v>126</v>
      </c>
      <c r="J3884" t="s">
        <v>148</v>
      </c>
      <c r="L3884">
        <v>0</v>
      </c>
      <c r="M3884" t="s">
        <v>125</v>
      </c>
      <c r="O3884" t="s">
        <v>125</v>
      </c>
      <c r="P3884" t="s">
        <v>125</v>
      </c>
      <c r="Q3884" t="s">
        <v>125</v>
      </c>
      <c r="R3884" t="s">
        <v>125</v>
      </c>
      <c r="S3884" t="s">
        <v>125</v>
      </c>
      <c r="T3884">
        <v>0</v>
      </c>
      <c r="V3884" t="s">
        <v>125</v>
      </c>
      <c r="AE3884" t="s">
        <v>125</v>
      </c>
      <c r="AF3884">
        <v>0</v>
      </c>
      <c r="AG3884" t="s">
        <v>125</v>
      </c>
      <c r="AH3884">
        <v>0</v>
      </c>
      <c r="AK3884">
        <v>0</v>
      </c>
    </row>
    <row r="3885" spans="1:37" x14ac:dyDescent="0.25">
      <c r="A3885" t="s">
        <v>79</v>
      </c>
      <c r="B3885">
        <v>15</v>
      </c>
      <c r="C3885">
        <v>2</v>
      </c>
      <c r="D3885">
        <v>4</v>
      </c>
      <c r="E3885">
        <v>9</v>
      </c>
      <c r="G3885">
        <v>1524</v>
      </c>
      <c r="H3885" t="s">
        <v>63</v>
      </c>
      <c r="I3885" t="s">
        <v>74</v>
      </c>
      <c r="J3885" t="s">
        <v>149</v>
      </c>
      <c r="L3885">
        <v>0</v>
      </c>
      <c r="M3885" t="s">
        <v>125</v>
      </c>
      <c r="O3885" t="s">
        <v>125</v>
      </c>
      <c r="P3885" t="s">
        <v>125</v>
      </c>
      <c r="Q3885" t="s">
        <v>125</v>
      </c>
      <c r="R3885" t="s">
        <v>125</v>
      </c>
      <c r="S3885" t="s">
        <v>125</v>
      </c>
      <c r="T3885">
        <v>0</v>
      </c>
      <c r="V3885" t="s">
        <v>125</v>
      </c>
      <c r="AE3885" t="s">
        <v>125</v>
      </c>
      <c r="AF3885">
        <v>0</v>
      </c>
      <c r="AG3885" t="s">
        <v>125</v>
      </c>
      <c r="AH3885">
        <v>0</v>
      </c>
      <c r="AK3885">
        <v>0</v>
      </c>
    </row>
    <row r="3886" spans="1:37" x14ac:dyDescent="0.25">
      <c r="A3886" t="s">
        <v>79</v>
      </c>
      <c r="B3886">
        <v>15</v>
      </c>
      <c r="C3886">
        <v>2</v>
      </c>
      <c r="D3886">
        <v>4</v>
      </c>
      <c r="E3886">
        <v>10</v>
      </c>
      <c r="G3886">
        <v>1524</v>
      </c>
      <c r="H3886" t="s">
        <v>63</v>
      </c>
      <c r="I3886" t="s">
        <v>129</v>
      </c>
      <c r="J3886" t="s">
        <v>150</v>
      </c>
      <c r="L3886">
        <v>0</v>
      </c>
      <c r="M3886" t="s">
        <v>125</v>
      </c>
      <c r="O3886" t="s">
        <v>125</v>
      </c>
      <c r="P3886" t="s">
        <v>125</v>
      </c>
      <c r="Q3886" t="s">
        <v>125</v>
      </c>
      <c r="R3886" t="s">
        <v>125</v>
      </c>
      <c r="S3886" t="s">
        <v>125</v>
      </c>
      <c r="T3886">
        <v>0</v>
      </c>
      <c r="V3886" t="s">
        <v>125</v>
      </c>
      <c r="AE3886" t="s">
        <v>125</v>
      </c>
      <c r="AF3886">
        <v>0</v>
      </c>
      <c r="AG3886" t="s">
        <v>125</v>
      </c>
      <c r="AH3886">
        <v>0</v>
      </c>
      <c r="AK3886">
        <v>0</v>
      </c>
    </row>
    <row r="3887" spans="1:37" x14ac:dyDescent="0.25">
      <c r="A3887" t="s">
        <v>79</v>
      </c>
      <c r="B3887">
        <v>15</v>
      </c>
      <c r="C3887">
        <v>2</v>
      </c>
      <c r="D3887">
        <v>4</v>
      </c>
      <c r="E3887">
        <v>11</v>
      </c>
      <c r="G3887">
        <v>1524</v>
      </c>
      <c r="H3887" t="s">
        <v>63</v>
      </c>
      <c r="I3887" t="s">
        <v>131</v>
      </c>
      <c r="J3887" t="s">
        <v>151</v>
      </c>
      <c r="L3887">
        <v>0</v>
      </c>
      <c r="M3887" t="s">
        <v>125</v>
      </c>
      <c r="O3887" t="s">
        <v>125</v>
      </c>
      <c r="P3887" t="s">
        <v>125</v>
      </c>
      <c r="Q3887" t="s">
        <v>125</v>
      </c>
      <c r="R3887" t="s">
        <v>125</v>
      </c>
      <c r="S3887" t="s">
        <v>125</v>
      </c>
      <c r="T3887">
        <v>0</v>
      </c>
      <c r="V3887" t="s">
        <v>125</v>
      </c>
      <c r="AE3887" t="s">
        <v>125</v>
      </c>
      <c r="AF3887">
        <v>0</v>
      </c>
      <c r="AG3887" t="s">
        <v>125</v>
      </c>
      <c r="AH3887">
        <v>0</v>
      </c>
      <c r="AK3887">
        <v>0</v>
      </c>
    </row>
    <row r="3888" spans="1:37" x14ac:dyDescent="0.25">
      <c r="A3888" t="s">
        <v>79</v>
      </c>
      <c r="B3888">
        <v>15</v>
      </c>
      <c r="C3888">
        <v>2</v>
      </c>
      <c r="D3888">
        <v>4</v>
      </c>
      <c r="E3888">
        <v>12</v>
      </c>
      <c r="G3888">
        <v>1524</v>
      </c>
      <c r="H3888" t="s">
        <v>63</v>
      </c>
      <c r="I3888" t="s">
        <v>133</v>
      </c>
      <c r="J3888" t="s">
        <v>152</v>
      </c>
      <c r="L3888">
        <v>0</v>
      </c>
      <c r="M3888" t="s">
        <v>125</v>
      </c>
      <c r="O3888" t="s">
        <v>125</v>
      </c>
      <c r="P3888" t="s">
        <v>125</v>
      </c>
      <c r="Q3888" t="s">
        <v>125</v>
      </c>
      <c r="R3888" t="s">
        <v>125</v>
      </c>
      <c r="S3888" t="s">
        <v>125</v>
      </c>
      <c r="T3888">
        <v>0</v>
      </c>
      <c r="V3888" t="s">
        <v>125</v>
      </c>
      <c r="AE3888" t="s">
        <v>125</v>
      </c>
      <c r="AF3888">
        <v>0</v>
      </c>
      <c r="AG3888" t="s">
        <v>125</v>
      </c>
      <c r="AH3888">
        <v>0</v>
      </c>
      <c r="AK3888">
        <v>0</v>
      </c>
    </row>
    <row r="3889" spans="1:37" x14ac:dyDescent="0.25">
      <c r="A3889" t="s">
        <v>79</v>
      </c>
      <c r="B3889">
        <v>15</v>
      </c>
      <c r="C3889">
        <v>2</v>
      </c>
      <c r="D3889">
        <v>4</v>
      </c>
      <c r="E3889">
        <v>13</v>
      </c>
      <c r="G3889">
        <v>1524</v>
      </c>
      <c r="H3889" t="s">
        <v>63</v>
      </c>
      <c r="I3889" t="s">
        <v>135</v>
      </c>
      <c r="J3889" t="s">
        <v>153</v>
      </c>
      <c r="L3889">
        <v>0</v>
      </c>
      <c r="M3889" t="s">
        <v>125</v>
      </c>
      <c r="O3889" t="s">
        <v>125</v>
      </c>
      <c r="P3889" t="s">
        <v>125</v>
      </c>
      <c r="Q3889" t="s">
        <v>125</v>
      </c>
      <c r="R3889" t="s">
        <v>125</v>
      </c>
      <c r="S3889" t="s">
        <v>125</v>
      </c>
      <c r="T3889">
        <v>0</v>
      </c>
      <c r="V3889" t="s">
        <v>125</v>
      </c>
      <c r="AE3889" t="s">
        <v>125</v>
      </c>
      <c r="AF3889">
        <v>0</v>
      </c>
      <c r="AG3889" t="s">
        <v>125</v>
      </c>
      <c r="AH3889">
        <v>0</v>
      </c>
      <c r="AK3889">
        <v>0</v>
      </c>
    </row>
    <row r="3890" spans="1:37" x14ac:dyDescent="0.25">
      <c r="A3890" t="s">
        <v>79</v>
      </c>
      <c r="B3890">
        <v>15</v>
      </c>
      <c r="C3890">
        <v>2</v>
      </c>
      <c r="D3890">
        <v>4</v>
      </c>
      <c r="E3890">
        <v>14</v>
      </c>
      <c r="G3890">
        <v>1524</v>
      </c>
      <c r="H3890" t="s">
        <v>63</v>
      </c>
      <c r="I3890" t="s">
        <v>137</v>
      </c>
      <c r="J3890" t="s">
        <v>154</v>
      </c>
      <c r="L3890">
        <v>0</v>
      </c>
      <c r="M3890" t="s">
        <v>125</v>
      </c>
      <c r="O3890" t="s">
        <v>125</v>
      </c>
      <c r="P3890" t="s">
        <v>125</v>
      </c>
      <c r="Q3890" t="s">
        <v>125</v>
      </c>
      <c r="R3890" t="s">
        <v>125</v>
      </c>
      <c r="S3890" t="s">
        <v>125</v>
      </c>
      <c r="T3890">
        <v>0</v>
      </c>
      <c r="V3890" t="s">
        <v>125</v>
      </c>
      <c r="AE3890" t="s">
        <v>125</v>
      </c>
      <c r="AF3890">
        <v>0</v>
      </c>
      <c r="AG3890" t="s">
        <v>125</v>
      </c>
      <c r="AH3890">
        <v>0</v>
      </c>
      <c r="AK3890">
        <v>0</v>
      </c>
    </row>
    <row r="3891" spans="1:37" x14ac:dyDescent="0.25">
      <c r="A3891" t="s">
        <v>79</v>
      </c>
      <c r="B3891">
        <v>15</v>
      </c>
      <c r="C3891">
        <v>2</v>
      </c>
      <c r="D3891">
        <v>4</v>
      </c>
      <c r="E3891">
        <v>15</v>
      </c>
      <c r="G3891">
        <v>1524</v>
      </c>
      <c r="H3891" t="s">
        <v>63</v>
      </c>
      <c r="I3891" t="s">
        <v>139</v>
      </c>
      <c r="J3891" t="s">
        <v>155</v>
      </c>
      <c r="L3891">
        <v>0</v>
      </c>
      <c r="M3891" t="s">
        <v>125</v>
      </c>
      <c r="O3891" t="s">
        <v>125</v>
      </c>
      <c r="P3891" t="s">
        <v>125</v>
      </c>
      <c r="Q3891" t="s">
        <v>125</v>
      </c>
      <c r="R3891" t="s">
        <v>125</v>
      </c>
      <c r="S3891" t="s">
        <v>125</v>
      </c>
      <c r="T3891">
        <v>0</v>
      </c>
      <c r="V3891" t="s">
        <v>125</v>
      </c>
      <c r="AE3891" t="s">
        <v>125</v>
      </c>
      <c r="AF3891">
        <v>0</v>
      </c>
      <c r="AG3891" t="s">
        <v>125</v>
      </c>
      <c r="AH3891">
        <v>0</v>
      </c>
      <c r="AK3891">
        <v>0</v>
      </c>
    </row>
    <row r="3892" spans="1:37" x14ac:dyDescent="0.25">
      <c r="L3892">
        <v>0</v>
      </c>
    </row>
    <row r="3893" spans="1:37" x14ac:dyDescent="0.25">
      <c r="A3893" t="s">
        <v>70</v>
      </c>
      <c r="B3893">
        <v>15</v>
      </c>
      <c r="C3893">
        <v>2</v>
      </c>
      <c r="D3893">
        <v>5</v>
      </c>
      <c r="G3893">
        <v>152</v>
      </c>
      <c r="L3893">
        <v>0</v>
      </c>
      <c r="M3893" t="s">
        <v>125</v>
      </c>
      <c r="P3893" t="s">
        <v>125</v>
      </c>
      <c r="R3893" t="s">
        <v>125</v>
      </c>
      <c r="S3893" t="s">
        <v>63</v>
      </c>
      <c r="V3893" t="s">
        <v>125</v>
      </c>
      <c r="X3893" t="s">
        <v>125</v>
      </c>
      <c r="Y3893" t="s">
        <v>125</v>
      </c>
      <c r="Z3893" t="s">
        <v>125</v>
      </c>
      <c r="AA3893" t="s">
        <v>125</v>
      </c>
      <c r="AB3893" t="s">
        <v>125</v>
      </c>
      <c r="AC3893" t="s">
        <v>125</v>
      </c>
      <c r="AE3893" t="s">
        <v>125</v>
      </c>
      <c r="AF3893">
        <v>0</v>
      </c>
      <c r="AG3893" t="s">
        <v>125</v>
      </c>
      <c r="AH3893">
        <v>0</v>
      </c>
      <c r="AK3893">
        <v>0</v>
      </c>
    </row>
    <row r="3894" spans="1:37" x14ac:dyDescent="0.25">
      <c r="A3894" t="s">
        <v>79</v>
      </c>
      <c r="B3894">
        <v>15</v>
      </c>
      <c r="C3894">
        <v>2</v>
      </c>
      <c r="D3894">
        <v>5</v>
      </c>
      <c r="E3894">
        <v>1</v>
      </c>
      <c r="G3894">
        <v>1525</v>
      </c>
      <c r="H3894" t="s">
        <v>63</v>
      </c>
      <c r="I3894" t="s">
        <v>80</v>
      </c>
      <c r="J3894" t="s">
        <v>141</v>
      </c>
      <c r="L3894">
        <v>0</v>
      </c>
      <c r="M3894" t="s">
        <v>125</v>
      </c>
      <c r="O3894" t="s">
        <v>125</v>
      </c>
      <c r="P3894" t="s">
        <v>125</v>
      </c>
      <c r="Q3894" t="s">
        <v>125</v>
      </c>
      <c r="R3894" t="s">
        <v>125</v>
      </c>
      <c r="S3894" t="s">
        <v>125</v>
      </c>
      <c r="T3894">
        <v>0</v>
      </c>
      <c r="V3894" t="s">
        <v>125</v>
      </c>
      <c r="AE3894" t="s">
        <v>125</v>
      </c>
      <c r="AF3894">
        <v>0</v>
      </c>
      <c r="AG3894" t="s">
        <v>125</v>
      </c>
      <c r="AH3894">
        <v>0</v>
      </c>
      <c r="AK3894">
        <v>0</v>
      </c>
    </row>
    <row r="3895" spans="1:37" x14ac:dyDescent="0.25">
      <c r="A3895" t="s">
        <v>79</v>
      </c>
      <c r="B3895">
        <v>15</v>
      </c>
      <c r="C3895">
        <v>2</v>
      </c>
      <c r="D3895">
        <v>5</v>
      </c>
      <c r="E3895">
        <v>2</v>
      </c>
      <c r="G3895">
        <v>1525</v>
      </c>
      <c r="H3895" t="s">
        <v>63</v>
      </c>
      <c r="I3895" t="s">
        <v>88</v>
      </c>
      <c r="J3895" t="s">
        <v>142</v>
      </c>
      <c r="L3895">
        <v>0</v>
      </c>
      <c r="M3895" t="s">
        <v>125</v>
      </c>
      <c r="O3895" t="s">
        <v>125</v>
      </c>
      <c r="P3895" t="s">
        <v>125</v>
      </c>
      <c r="Q3895" t="s">
        <v>125</v>
      </c>
      <c r="R3895" t="s">
        <v>125</v>
      </c>
      <c r="S3895" t="s">
        <v>125</v>
      </c>
      <c r="T3895">
        <v>0</v>
      </c>
      <c r="V3895" t="s">
        <v>125</v>
      </c>
      <c r="AE3895" t="s">
        <v>125</v>
      </c>
      <c r="AF3895">
        <v>0</v>
      </c>
      <c r="AG3895" t="s">
        <v>125</v>
      </c>
      <c r="AH3895">
        <v>0</v>
      </c>
      <c r="AK3895">
        <v>0</v>
      </c>
    </row>
    <row r="3896" spans="1:37" x14ac:dyDescent="0.25">
      <c r="A3896" t="s">
        <v>79</v>
      </c>
      <c r="B3896">
        <v>15</v>
      </c>
      <c r="C3896">
        <v>2</v>
      </c>
      <c r="D3896">
        <v>5</v>
      </c>
      <c r="E3896">
        <v>3</v>
      </c>
      <c r="G3896">
        <v>1525</v>
      </c>
      <c r="H3896" t="s">
        <v>63</v>
      </c>
      <c r="I3896" t="s">
        <v>95</v>
      </c>
      <c r="J3896" t="s">
        <v>143</v>
      </c>
      <c r="L3896">
        <v>0</v>
      </c>
      <c r="M3896" t="s">
        <v>125</v>
      </c>
      <c r="O3896" t="s">
        <v>125</v>
      </c>
      <c r="P3896" t="s">
        <v>125</v>
      </c>
      <c r="Q3896" t="s">
        <v>125</v>
      </c>
      <c r="R3896" t="s">
        <v>125</v>
      </c>
      <c r="S3896" t="s">
        <v>125</v>
      </c>
      <c r="T3896">
        <v>0</v>
      </c>
      <c r="V3896" t="s">
        <v>125</v>
      </c>
      <c r="AE3896" t="s">
        <v>125</v>
      </c>
      <c r="AF3896">
        <v>0</v>
      </c>
      <c r="AG3896" t="s">
        <v>125</v>
      </c>
      <c r="AH3896">
        <v>0</v>
      </c>
      <c r="AK3896">
        <v>0</v>
      </c>
    </row>
    <row r="3897" spans="1:37" x14ac:dyDescent="0.25">
      <c r="A3897" t="s">
        <v>79</v>
      </c>
      <c r="B3897">
        <v>15</v>
      </c>
      <c r="C3897">
        <v>2</v>
      </c>
      <c r="D3897">
        <v>5</v>
      </c>
      <c r="E3897">
        <v>4</v>
      </c>
      <c r="G3897">
        <v>1525</v>
      </c>
      <c r="H3897" t="s">
        <v>63</v>
      </c>
      <c r="I3897" t="s">
        <v>102</v>
      </c>
      <c r="J3897" t="s">
        <v>144</v>
      </c>
      <c r="L3897">
        <v>0</v>
      </c>
      <c r="M3897" t="s">
        <v>125</v>
      </c>
      <c r="O3897" t="s">
        <v>125</v>
      </c>
      <c r="P3897" t="s">
        <v>125</v>
      </c>
      <c r="Q3897" t="s">
        <v>125</v>
      </c>
      <c r="R3897" t="s">
        <v>125</v>
      </c>
      <c r="S3897" t="s">
        <v>125</v>
      </c>
      <c r="T3897">
        <v>0</v>
      </c>
      <c r="V3897" t="s">
        <v>125</v>
      </c>
      <c r="AE3897" t="s">
        <v>125</v>
      </c>
      <c r="AF3897">
        <v>0</v>
      </c>
      <c r="AG3897" t="s">
        <v>125</v>
      </c>
      <c r="AH3897">
        <v>0</v>
      </c>
      <c r="AK3897">
        <v>0</v>
      </c>
    </row>
    <row r="3898" spans="1:37" x14ac:dyDescent="0.25">
      <c r="A3898" t="s">
        <v>79</v>
      </c>
      <c r="B3898">
        <v>15</v>
      </c>
      <c r="C3898">
        <v>2</v>
      </c>
      <c r="D3898">
        <v>5</v>
      </c>
      <c r="E3898">
        <v>5</v>
      </c>
      <c r="G3898">
        <v>1525</v>
      </c>
      <c r="H3898" t="s">
        <v>63</v>
      </c>
      <c r="I3898" t="s">
        <v>109</v>
      </c>
      <c r="J3898" t="s">
        <v>145</v>
      </c>
      <c r="L3898">
        <v>0</v>
      </c>
      <c r="M3898" t="s">
        <v>125</v>
      </c>
      <c r="O3898" t="s">
        <v>125</v>
      </c>
      <c r="P3898" t="s">
        <v>125</v>
      </c>
      <c r="Q3898" t="s">
        <v>125</v>
      </c>
      <c r="R3898" t="s">
        <v>125</v>
      </c>
      <c r="S3898" t="s">
        <v>125</v>
      </c>
      <c r="T3898">
        <v>0</v>
      </c>
      <c r="V3898" t="s">
        <v>125</v>
      </c>
      <c r="AE3898" t="s">
        <v>125</v>
      </c>
      <c r="AF3898">
        <v>0</v>
      </c>
      <c r="AG3898" t="s">
        <v>125</v>
      </c>
      <c r="AH3898">
        <v>0</v>
      </c>
      <c r="AK3898">
        <v>0</v>
      </c>
    </row>
    <row r="3899" spans="1:37" x14ac:dyDescent="0.25">
      <c r="A3899" t="s">
        <v>79</v>
      </c>
      <c r="B3899">
        <v>15</v>
      </c>
      <c r="C3899">
        <v>2</v>
      </c>
      <c r="D3899">
        <v>5</v>
      </c>
      <c r="E3899">
        <v>6</v>
      </c>
      <c r="G3899">
        <v>1525</v>
      </c>
      <c r="H3899" t="s">
        <v>63</v>
      </c>
      <c r="I3899" t="s">
        <v>116</v>
      </c>
      <c r="J3899" t="s">
        <v>146</v>
      </c>
      <c r="L3899">
        <v>0</v>
      </c>
      <c r="M3899" t="s">
        <v>125</v>
      </c>
      <c r="O3899" t="s">
        <v>125</v>
      </c>
      <c r="P3899" t="s">
        <v>125</v>
      </c>
      <c r="Q3899" t="s">
        <v>125</v>
      </c>
      <c r="R3899" t="s">
        <v>125</v>
      </c>
      <c r="S3899" t="s">
        <v>125</v>
      </c>
      <c r="T3899">
        <v>0</v>
      </c>
      <c r="V3899" t="s">
        <v>125</v>
      </c>
      <c r="AE3899" t="s">
        <v>125</v>
      </c>
      <c r="AF3899">
        <v>0</v>
      </c>
      <c r="AG3899" t="s">
        <v>125</v>
      </c>
      <c r="AH3899">
        <v>0</v>
      </c>
      <c r="AK3899">
        <v>0</v>
      </c>
    </row>
    <row r="3900" spans="1:37" x14ac:dyDescent="0.25">
      <c r="A3900" t="s">
        <v>79</v>
      </c>
      <c r="B3900">
        <v>15</v>
      </c>
      <c r="C3900">
        <v>2</v>
      </c>
      <c r="D3900">
        <v>5</v>
      </c>
      <c r="E3900">
        <v>7</v>
      </c>
      <c r="G3900">
        <v>1525</v>
      </c>
      <c r="H3900" t="s">
        <v>63</v>
      </c>
      <c r="I3900" t="s">
        <v>123</v>
      </c>
      <c r="J3900" t="s">
        <v>147</v>
      </c>
      <c r="L3900">
        <v>0</v>
      </c>
      <c r="M3900" t="s">
        <v>125</v>
      </c>
      <c r="O3900" t="s">
        <v>125</v>
      </c>
      <c r="P3900" t="s">
        <v>125</v>
      </c>
      <c r="Q3900" t="s">
        <v>125</v>
      </c>
      <c r="R3900" t="s">
        <v>125</v>
      </c>
      <c r="S3900" t="s">
        <v>125</v>
      </c>
      <c r="T3900">
        <v>0</v>
      </c>
      <c r="V3900" t="s">
        <v>125</v>
      </c>
      <c r="AE3900" t="s">
        <v>125</v>
      </c>
      <c r="AF3900">
        <v>0</v>
      </c>
      <c r="AG3900" t="s">
        <v>125</v>
      </c>
      <c r="AH3900">
        <v>0</v>
      </c>
      <c r="AK3900">
        <v>0</v>
      </c>
    </row>
    <row r="3901" spans="1:37" x14ac:dyDescent="0.25">
      <c r="A3901" t="s">
        <v>79</v>
      </c>
      <c r="B3901">
        <v>15</v>
      </c>
      <c r="C3901">
        <v>2</v>
      </c>
      <c r="D3901">
        <v>5</v>
      </c>
      <c r="E3901">
        <v>8</v>
      </c>
      <c r="G3901">
        <v>1525</v>
      </c>
      <c r="H3901" t="s">
        <v>63</v>
      </c>
      <c r="I3901" t="s">
        <v>126</v>
      </c>
      <c r="J3901" t="s">
        <v>148</v>
      </c>
      <c r="L3901">
        <v>0</v>
      </c>
      <c r="M3901" t="s">
        <v>125</v>
      </c>
      <c r="O3901" t="s">
        <v>125</v>
      </c>
      <c r="P3901" t="s">
        <v>125</v>
      </c>
      <c r="Q3901" t="s">
        <v>125</v>
      </c>
      <c r="R3901" t="s">
        <v>125</v>
      </c>
      <c r="S3901" t="s">
        <v>125</v>
      </c>
      <c r="T3901">
        <v>0</v>
      </c>
      <c r="V3901" t="s">
        <v>125</v>
      </c>
      <c r="AE3901" t="s">
        <v>125</v>
      </c>
      <c r="AF3901">
        <v>0</v>
      </c>
      <c r="AG3901" t="s">
        <v>125</v>
      </c>
      <c r="AH3901">
        <v>0</v>
      </c>
      <c r="AK3901">
        <v>0</v>
      </c>
    </row>
    <row r="3902" spans="1:37" x14ac:dyDescent="0.25">
      <c r="A3902" t="s">
        <v>79</v>
      </c>
      <c r="B3902">
        <v>15</v>
      </c>
      <c r="C3902">
        <v>2</v>
      </c>
      <c r="D3902">
        <v>5</v>
      </c>
      <c r="E3902">
        <v>9</v>
      </c>
      <c r="G3902">
        <v>1525</v>
      </c>
      <c r="H3902" t="s">
        <v>63</v>
      </c>
      <c r="I3902" t="s">
        <v>74</v>
      </c>
      <c r="J3902" t="s">
        <v>149</v>
      </c>
      <c r="L3902">
        <v>0</v>
      </c>
      <c r="M3902" t="s">
        <v>125</v>
      </c>
      <c r="O3902" t="s">
        <v>125</v>
      </c>
      <c r="P3902" t="s">
        <v>125</v>
      </c>
      <c r="Q3902" t="s">
        <v>125</v>
      </c>
      <c r="R3902" t="s">
        <v>125</v>
      </c>
      <c r="S3902" t="s">
        <v>125</v>
      </c>
      <c r="T3902">
        <v>0</v>
      </c>
      <c r="V3902" t="s">
        <v>125</v>
      </c>
      <c r="AE3902" t="s">
        <v>125</v>
      </c>
      <c r="AF3902">
        <v>0</v>
      </c>
      <c r="AG3902" t="s">
        <v>125</v>
      </c>
      <c r="AH3902">
        <v>0</v>
      </c>
      <c r="AK3902">
        <v>0</v>
      </c>
    </row>
    <row r="3903" spans="1:37" x14ac:dyDescent="0.25">
      <c r="A3903" t="s">
        <v>79</v>
      </c>
      <c r="B3903">
        <v>15</v>
      </c>
      <c r="C3903">
        <v>2</v>
      </c>
      <c r="D3903">
        <v>5</v>
      </c>
      <c r="E3903">
        <v>10</v>
      </c>
      <c r="G3903">
        <v>1525</v>
      </c>
      <c r="H3903" t="s">
        <v>63</v>
      </c>
      <c r="I3903" t="s">
        <v>129</v>
      </c>
      <c r="J3903" t="s">
        <v>150</v>
      </c>
      <c r="L3903">
        <v>0</v>
      </c>
      <c r="M3903" t="s">
        <v>125</v>
      </c>
      <c r="O3903" t="s">
        <v>125</v>
      </c>
      <c r="P3903" t="s">
        <v>125</v>
      </c>
      <c r="Q3903" t="s">
        <v>125</v>
      </c>
      <c r="R3903" t="s">
        <v>125</v>
      </c>
      <c r="S3903" t="s">
        <v>125</v>
      </c>
      <c r="T3903">
        <v>0</v>
      </c>
      <c r="V3903" t="s">
        <v>125</v>
      </c>
      <c r="AE3903" t="s">
        <v>125</v>
      </c>
      <c r="AF3903">
        <v>0</v>
      </c>
      <c r="AG3903" t="s">
        <v>125</v>
      </c>
      <c r="AH3903">
        <v>0</v>
      </c>
      <c r="AK3903">
        <v>0</v>
      </c>
    </row>
    <row r="3904" spans="1:37" x14ac:dyDescent="0.25">
      <c r="A3904" t="s">
        <v>79</v>
      </c>
      <c r="B3904">
        <v>15</v>
      </c>
      <c r="C3904">
        <v>2</v>
      </c>
      <c r="D3904">
        <v>5</v>
      </c>
      <c r="E3904">
        <v>11</v>
      </c>
      <c r="G3904">
        <v>1525</v>
      </c>
      <c r="H3904" t="s">
        <v>63</v>
      </c>
      <c r="I3904" t="s">
        <v>131</v>
      </c>
      <c r="J3904" t="s">
        <v>151</v>
      </c>
      <c r="L3904">
        <v>0</v>
      </c>
      <c r="M3904" t="s">
        <v>125</v>
      </c>
      <c r="O3904" t="s">
        <v>125</v>
      </c>
      <c r="P3904" t="s">
        <v>125</v>
      </c>
      <c r="Q3904" t="s">
        <v>125</v>
      </c>
      <c r="R3904" t="s">
        <v>125</v>
      </c>
      <c r="S3904" t="s">
        <v>125</v>
      </c>
      <c r="T3904">
        <v>0</v>
      </c>
      <c r="V3904" t="s">
        <v>125</v>
      </c>
      <c r="AE3904" t="s">
        <v>125</v>
      </c>
      <c r="AF3904">
        <v>0</v>
      </c>
      <c r="AG3904" t="s">
        <v>125</v>
      </c>
      <c r="AH3904">
        <v>0</v>
      </c>
      <c r="AK3904">
        <v>0</v>
      </c>
    </row>
    <row r="3905" spans="1:37" x14ac:dyDescent="0.25">
      <c r="A3905" t="s">
        <v>79</v>
      </c>
      <c r="B3905">
        <v>15</v>
      </c>
      <c r="C3905">
        <v>2</v>
      </c>
      <c r="D3905">
        <v>5</v>
      </c>
      <c r="E3905">
        <v>12</v>
      </c>
      <c r="G3905">
        <v>1525</v>
      </c>
      <c r="H3905" t="s">
        <v>63</v>
      </c>
      <c r="I3905" t="s">
        <v>133</v>
      </c>
      <c r="J3905" t="s">
        <v>152</v>
      </c>
      <c r="L3905">
        <v>0</v>
      </c>
      <c r="M3905" t="s">
        <v>125</v>
      </c>
      <c r="O3905" t="s">
        <v>125</v>
      </c>
      <c r="P3905" t="s">
        <v>125</v>
      </c>
      <c r="Q3905" t="s">
        <v>125</v>
      </c>
      <c r="R3905" t="s">
        <v>125</v>
      </c>
      <c r="S3905" t="s">
        <v>125</v>
      </c>
      <c r="T3905">
        <v>0</v>
      </c>
      <c r="V3905" t="s">
        <v>125</v>
      </c>
      <c r="AE3905" t="s">
        <v>125</v>
      </c>
      <c r="AF3905">
        <v>0</v>
      </c>
      <c r="AG3905" t="s">
        <v>125</v>
      </c>
      <c r="AH3905">
        <v>0</v>
      </c>
      <c r="AK3905">
        <v>0</v>
      </c>
    </row>
    <row r="3906" spans="1:37" x14ac:dyDescent="0.25">
      <c r="A3906" t="s">
        <v>79</v>
      </c>
      <c r="B3906">
        <v>15</v>
      </c>
      <c r="C3906">
        <v>2</v>
      </c>
      <c r="D3906">
        <v>5</v>
      </c>
      <c r="E3906">
        <v>13</v>
      </c>
      <c r="G3906">
        <v>1525</v>
      </c>
      <c r="H3906" t="s">
        <v>63</v>
      </c>
      <c r="I3906" t="s">
        <v>135</v>
      </c>
      <c r="J3906" t="s">
        <v>153</v>
      </c>
      <c r="L3906">
        <v>0</v>
      </c>
      <c r="M3906" t="s">
        <v>125</v>
      </c>
      <c r="O3906" t="s">
        <v>125</v>
      </c>
      <c r="P3906" t="s">
        <v>125</v>
      </c>
      <c r="Q3906" t="s">
        <v>125</v>
      </c>
      <c r="R3906" t="s">
        <v>125</v>
      </c>
      <c r="S3906" t="s">
        <v>125</v>
      </c>
      <c r="T3906">
        <v>0</v>
      </c>
      <c r="V3906" t="s">
        <v>125</v>
      </c>
      <c r="AE3906" t="s">
        <v>125</v>
      </c>
      <c r="AF3906">
        <v>0</v>
      </c>
      <c r="AG3906" t="s">
        <v>125</v>
      </c>
      <c r="AH3906">
        <v>0</v>
      </c>
      <c r="AK3906">
        <v>0</v>
      </c>
    </row>
    <row r="3907" spans="1:37" x14ac:dyDescent="0.25">
      <c r="A3907" t="s">
        <v>79</v>
      </c>
      <c r="B3907">
        <v>15</v>
      </c>
      <c r="C3907">
        <v>2</v>
      </c>
      <c r="D3907">
        <v>5</v>
      </c>
      <c r="E3907">
        <v>14</v>
      </c>
      <c r="G3907">
        <v>1525</v>
      </c>
      <c r="H3907" t="s">
        <v>63</v>
      </c>
      <c r="I3907" t="s">
        <v>137</v>
      </c>
      <c r="J3907" t="s">
        <v>154</v>
      </c>
      <c r="L3907">
        <v>0</v>
      </c>
      <c r="M3907" t="s">
        <v>125</v>
      </c>
      <c r="O3907" t="s">
        <v>125</v>
      </c>
      <c r="P3907" t="s">
        <v>125</v>
      </c>
      <c r="Q3907" t="s">
        <v>125</v>
      </c>
      <c r="R3907" t="s">
        <v>125</v>
      </c>
      <c r="S3907" t="s">
        <v>125</v>
      </c>
      <c r="T3907">
        <v>0</v>
      </c>
      <c r="V3907" t="s">
        <v>125</v>
      </c>
      <c r="AE3907" t="s">
        <v>125</v>
      </c>
      <c r="AF3907">
        <v>0</v>
      </c>
      <c r="AG3907" t="s">
        <v>125</v>
      </c>
      <c r="AH3907">
        <v>0</v>
      </c>
      <c r="AK3907">
        <v>0</v>
      </c>
    </row>
    <row r="3908" spans="1:37" x14ac:dyDescent="0.25">
      <c r="A3908" t="s">
        <v>79</v>
      </c>
      <c r="B3908">
        <v>15</v>
      </c>
      <c r="C3908">
        <v>2</v>
      </c>
      <c r="D3908">
        <v>5</v>
      </c>
      <c r="E3908">
        <v>15</v>
      </c>
      <c r="G3908">
        <v>1525</v>
      </c>
      <c r="H3908" t="s">
        <v>63</v>
      </c>
      <c r="I3908" t="s">
        <v>139</v>
      </c>
      <c r="J3908" t="s">
        <v>155</v>
      </c>
      <c r="L3908">
        <v>0</v>
      </c>
      <c r="M3908" t="s">
        <v>125</v>
      </c>
      <c r="O3908" t="s">
        <v>125</v>
      </c>
      <c r="P3908" t="s">
        <v>125</v>
      </c>
      <c r="Q3908" t="s">
        <v>125</v>
      </c>
      <c r="R3908" t="s">
        <v>125</v>
      </c>
      <c r="S3908" t="s">
        <v>125</v>
      </c>
      <c r="T3908">
        <v>0</v>
      </c>
      <c r="V3908" t="s">
        <v>125</v>
      </c>
      <c r="AE3908" t="s">
        <v>125</v>
      </c>
      <c r="AF3908">
        <v>0</v>
      </c>
      <c r="AG3908" t="s">
        <v>125</v>
      </c>
      <c r="AH3908">
        <v>0</v>
      </c>
      <c r="AK3908">
        <v>0</v>
      </c>
    </row>
    <row r="3909" spans="1:37" x14ac:dyDescent="0.25">
      <c r="L3909">
        <v>0</v>
      </c>
    </row>
    <row r="3910" spans="1:37" x14ac:dyDescent="0.25">
      <c r="L3910">
        <v>0</v>
      </c>
    </row>
    <row r="3911" spans="1:37" x14ac:dyDescent="0.25">
      <c r="A3911" t="s">
        <v>66</v>
      </c>
      <c r="B3911">
        <v>15</v>
      </c>
      <c r="C3911">
        <v>3</v>
      </c>
      <c r="G3911">
        <v>15</v>
      </c>
      <c r="H3911" t="s">
        <v>4974</v>
      </c>
      <c r="I3911" t="s">
        <v>5228</v>
      </c>
      <c r="M3911" t="s">
        <v>5229</v>
      </c>
      <c r="N3911" t="s">
        <v>5228</v>
      </c>
      <c r="P3911" t="s">
        <v>5230</v>
      </c>
      <c r="V3911" t="s">
        <v>5231</v>
      </c>
      <c r="Y3911" t="s">
        <v>5232</v>
      </c>
      <c r="AA3911" t="s">
        <v>5233</v>
      </c>
      <c r="AC3911" t="s">
        <v>63</v>
      </c>
      <c r="AE3911" t="s">
        <v>5234</v>
      </c>
      <c r="AF3911">
        <v>0</v>
      </c>
      <c r="AG3911" t="s">
        <v>5235</v>
      </c>
      <c r="AH3911">
        <v>0</v>
      </c>
      <c r="AK3911">
        <v>0</v>
      </c>
    </row>
    <row r="3912" spans="1:37" x14ac:dyDescent="0.25">
      <c r="L3912">
        <v>0</v>
      </c>
    </row>
    <row r="3913" spans="1:37" x14ac:dyDescent="0.25">
      <c r="A3913" t="s">
        <v>70</v>
      </c>
      <c r="B3913">
        <v>15</v>
      </c>
      <c r="C3913">
        <v>3</v>
      </c>
      <c r="D3913">
        <v>1</v>
      </c>
      <c r="G3913">
        <v>153</v>
      </c>
      <c r="M3913" t="s">
        <v>5236</v>
      </c>
      <c r="O3913" t="s">
        <v>5237</v>
      </c>
      <c r="P3913" t="s">
        <v>5238</v>
      </c>
      <c r="Q3913" t="s">
        <v>5239</v>
      </c>
      <c r="R3913" t="s">
        <v>179</v>
      </c>
      <c r="S3913" t="s">
        <v>5240</v>
      </c>
      <c r="V3913" t="s">
        <v>5241</v>
      </c>
      <c r="X3913" t="s">
        <v>5242</v>
      </c>
      <c r="Y3913" t="s">
        <v>5243</v>
      </c>
      <c r="Z3913" t="s">
        <v>5244</v>
      </c>
      <c r="AA3913" t="s">
        <v>5245</v>
      </c>
      <c r="AB3913" t="s">
        <v>63</v>
      </c>
      <c r="AC3913" t="s">
        <v>63</v>
      </c>
      <c r="AE3913" t="s">
        <v>5246</v>
      </c>
      <c r="AF3913">
        <v>0</v>
      </c>
      <c r="AG3913" t="s">
        <v>5247</v>
      </c>
      <c r="AH3913">
        <v>0</v>
      </c>
      <c r="AK3913">
        <v>0</v>
      </c>
    </row>
    <row r="3914" spans="1:37" x14ac:dyDescent="0.25">
      <c r="A3914" t="s">
        <v>79</v>
      </c>
      <c r="B3914">
        <v>15</v>
      </c>
      <c r="C3914">
        <v>3</v>
      </c>
      <c r="D3914">
        <v>1</v>
      </c>
      <c r="E3914">
        <v>1</v>
      </c>
      <c r="G3914">
        <v>1531</v>
      </c>
      <c r="H3914" t="s">
        <v>5237</v>
      </c>
      <c r="I3914" t="s">
        <v>80</v>
      </c>
      <c r="J3914" t="s">
        <v>5248</v>
      </c>
      <c r="L3914">
        <v>0</v>
      </c>
      <c r="M3914" t="s">
        <v>5249</v>
      </c>
      <c r="O3914" t="s">
        <v>5250</v>
      </c>
      <c r="P3914" t="s">
        <v>5251</v>
      </c>
      <c r="Q3914" t="s">
        <v>1155</v>
      </c>
      <c r="R3914" t="s">
        <v>1221</v>
      </c>
      <c r="S3914" t="s">
        <v>5252</v>
      </c>
      <c r="T3914">
        <v>2361</v>
      </c>
      <c r="U3914">
        <v>378</v>
      </c>
      <c r="V3914" t="s">
        <v>4929</v>
      </c>
      <c r="AE3914" t="s">
        <v>5253</v>
      </c>
      <c r="AF3914">
        <v>0</v>
      </c>
      <c r="AG3914" t="s">
        <v>5254</v>
      </c>
      <c r="AH3914">
        <v>0</v>
      </c>
      <c r="AK3914">
        <v>0</v>
      </c>
    </row>
    <row r="3915" spans="1:37" x14ac:dyDescent="0.25">
      <c r="A3915" t="s">
        <v>79</v>
      </c>
      <c r="B3915">
        <v>15</v>
      </c>
      <c r="C3915">
        <v>3</v>
      </c>
      <c r="D3915">
        <v>1</v>
      </c>
      <c r="E3915">
        <v>2</v>
      </c>
      <c r="G3915">
        <v>1531</v>
      </c>
      <c r="H3915" t="s">
        <v>5237</v>
      </c>
      <c r="I3915" t="s">
        <v>88</v>
      </c>
      <c r="J3915" t="s">
        <v>5255</v>
      </c>
      <c r="L3915">
        <v>0</v>
      </c>
      <c r="M3915" t="s">
        <v>5256</v>
      </c>
      <c r="O3915" t="s">
        <v>5008</v>
      </c>
      <c r="P3915" t="s">
        <v>5009</v>
      </c>
      <c r="Q3915" t="s">
        <v>5257</v>
      </c>
      <c r="R3915" t="s">
        <v>229</v>
      </c>
      <c r="S3915" t="s">
        <v>5011</v>
      </c>
      <c r="T3915">
        <v>2361</v>
      </c>
      <c r="U3915">
        <v>111</v>
      </c>
      <c r="V3915" t="s">
        <v>472</v>
      </c>
      <c r="AE3915" t="s">
        <v>5258</v>
      </c>
      <c r="AF3915">
        <v>0</v>
      </c>
      <c r="AG3915" t="s">
        <v>5259</v>
      </c>
      <c r="AH3915">
        <v>0</v>
      </c>
      <c r="AK3915">
        <v>0</v>
      </c>
    </row>
    <row r="3916" spans="1:37" x14ac:dyDescent="0.25">
      <c r="A3916" t="s">
        <v>79</v>
      </c>
      <c r="B3916">
        <v>15</v>
      </c>
      <c r="C3916">
        <v>3</v>
      </c>
      <c r="D3916">
        <v>1</v>
      </c>
      <c r="E3916">
        <v>3</v>
      </c>
      <c r="G3916">
        <v>1531</v>
      </c>
      <c r="H3916" t="s">
        <v>5237</v>
      </c>
      <c r="I3916" t="s">
        <v>95</v>
      </c>
      <c r="J3916" t="s">
        <v>5260</v>
      </c>
      <c r="L3916">
        <v>0</v>
      </c>
      <c r="M3916" t="s">
        <v>5261</v>
      </c>
      <c r="O3916" t="s">
        <v>294</v>
      </c>
      <c r="P3916" t="s">
        <v>295</v>
      </c>
      <c r="Q3916" t="s">
        <v>5262</v>
      </c>
      <c r="R3916" t="s">
        <v>229</v>
      </c>
      <c r="S3916" t="s">
        <v>297</v>
      </c>
      <c r="T3916">
        <v>2361</v>
      </c>
      <c r="U3916">
        <v>28</v>
      </c>
      <c r="V3916" t="s">
        <v>1081</v>
      </c>
      <c r="AE3916" t="s">
        <v>5263</v>
      </c>
      <c r="AF3916">
        <v>0</v>
      </c>
      <c r="AG3916" t="s">
        <v>5264</v>
      </c>
      <c r="AH3916">
        <v>0</v>
      </c>
      <c r="AK3916">
        <v>0</v>
      </c>
    </row>
    <row r="3917" spans="1:37" x14ac:dyDescent="0.25">
      <c r="A3917" t="s">
        <v>79</v>
      </c>
      <c r="B3917">
        <v>15</v>
      </c>
      <c r="C3917">
        <v>3</v>
      </c>
      <c r="D3917">
        <v>1</v>
      </c>
      <c r="E3917">
        <v>4</v>
      </c>
      <c r="G3917">
        <v>1531</v>
      </c>
      <c r="H3917" t="s">
        <v>5237</v>
      </c>
      <c r="I3917" t="s">
        <v>102</v>
      </c>
      <c r="J3917" t="s">
        <v>5265</v>
      </c>
      <c r="L3917">
        <v>0</v>
      </c>
      <c r="M3917" t="s">
        <v>125</v>
      </c>
      <c r="O3917" t="s">
        <v>125</v>
      </c>
      <c r="P3917" t="s">
        <v>125</v>
      </c>
      <c r="Q3917" t="s">
        <v>125</v>
      </c>
      <c r="R3917" t="s">
        <v>125</v>
      </c>
      <c r="S3917" t="s">
        <v>125</v>
      </c>
      <c r="T3917">
        <v>2361</v>
      </c>
      <c r="V3917" t="s">
        <v>125</v>
      </c>
      <c r="AE3917" t="s">
        <v>125</v>
      </c>
      <c r="AF3917">
        <v>0</v>
      </c>
      <c r="AG3917" t="s">
        <v>125</v>
      </c>
      <c r="AH3917">
        <v>0</v>
      </c>
      <c r="AK3917">
        <v>0</v>
      </c>
    </row>
    <row r="3918" spans="1:37" x14ac:dyDescent="0.25">
      <c r="A3918" t="s">
        <v>79</v>
      </c>
      <c r="B3918">
        <v>15</v>
      </c>
      <c r="C3918">
        <v>3</v>
      </c>
      <c r="D3918">
        <v>1</v>
      </c>
      <c r="E3918">
        <v>5</v>
      </c>
      <c r="G3918">
        <v>1531</v>
      </c>
      <c r="H3918" t="s">
        <v>5237</v>
      </c>
      <c r="I3918" t="s">
        <v>109</v>
      </c>
      <c r="J3918" t="s">
        <v>5266</v>
      </c>
      <c r="L3918">
        <v>0</v>
      </c>
      <c r="M3918" t="s">
        <v>125</v>
      </c>
      <c r="O3918" t="s">
        <v>125</v>
      </c>
      <c r="P3918" t="s">
        <v>125</v>
      </c>
      <c r="Q3918" t="s">
        <v>125</v>
      </c>
      <c r="R3918" t="s">
        <v>125</v>
      </c>
      <c r="S3918" t="s">
        <v>125</v>
      </c>
      <c r="T3918">
        <v>2361</v>
      </c>
      <c r="V3918" t="s">
        <v>125</v>
      </c>
      <c r="AE3918" t="s">
        <v>125</v>
      </c>
      <c r="AF3918">
        <v>0</v>
      </c>
      <c r="AG3918" t="s">
        <v>125</v>
      </c>
      <c r="AH3918">
        <v>0</v>
      </c>
      <c r="AK3918">
        <v>0</v>
      </c>
    </row>
    <row r="3919" spans="1:37" x14ac:dyDescent="0.25">
      <c r="A3919" t="s">
        <v>79</v>
      </c>
      <c r="B3919">
        <v>15</v>
      </c>
      <c r="C3919">
        <v>3</v>
      </c>
      <c r="D3919">
        <v>1</v>
      </c>
      <c r="E3919">
        <v>6</v>
      </c>
      <c r="G3919">
        <v>1531</v>
      </c>
      <c r="H3919" t="s">
        <v>5237</v>
      </c>
      <c r="I3919" t="s">
        <v>116</v>
      </c>
      <c r="J3919" t="s">
        <v>5267</v>
      </c>
      <c r="L3919">
        <v>0</v>
      </c>
      <c r="M3919" t="s">
        <v>125</v>
      </c>
      <c r="O3919" t="s">
        <v>125</v>
      </c>
      <c r="P3919" t="s">
        <v>125</v>
      </c>
      <c r="Q3919" t="s">
        <v>125</v>
      </c>
      <c r="R3919" t="s">
        <v>125</v>
      </c>
      <c r="S3919" t="s">
        <v>125</v>
      </c>
      <c r="T3919">
        <v>2361</v>
      </c>
      <c r="V3919" t="s">
        <v>125</v>
      </c>
      <c r="AE3919" t="s">
        <v>125</v>
      </c>
      <c r="AF3919">
        <v>0</v>
      </c>
      <c r="AG3919" t="s">
        <v>125</v>
      </c>
      <c r="AH3919">
        <v>0</v>
      </c>
      <c r="AK3919">
        <v>0</v>
      </c>
    </row>
    <row r="3920" spans="1:37" x14ac:dyDescent="0.25">
      <c r="A3920" t="s">
        <v>79</v>
      </c>
      <c r="B3920">
        <v>15</v>
      </c>
      <c r="C3920">
        <v>3</v>
      </c>
      <c r="D3920">
        <v>1</v>
      </c>
      <c r="E3920">
        <v>7</v>
      </c>
      <c r="G3920">
        <v>1531</v>
      </c>
      <c r="H3920" t="s">
        <v>5237</v>
      </c>
      <c r="I3920" t="s">
        <v>123</v>
      </c>
      <c r="J3920" t="s">
        <v>5268</v>
      </c>
      <c r="L3920">
        <v>0</v>
      </c>
      <c r="M3920" t="s">
        <v>125</v>
      </c>
      <c r="O3920" t="s">
        <v>125</v>
      </c>
      <c r="P3920" t="s">
        <v>125</v>
      </c>
      <c r="Q3920" t="s">
        <v>125</v>
      </c>
      <c r="R3920" t="s">
        <v>125</v>
      </c>
      <c r="S3920" t="s">
        <v>125</v>
      </c>
      <c r="T3920">
        <v>2361</v>
      </c>
      <c r="V3920" t="s">
        <v>125</v>
      </c>
      <c r="AE3920" t="s">
        <v>125</v>
      </c>
      <c r="AF3920">
        <v>0</v>
      </c>
      <c r="AG3920" t="s">
        <v>125</v>
      </c>
      <c r="AH3920">
        <v>0</v>
      </c>
      <c r="AK3920">
        <v>0</v>
      </c>
    </row>
    <row r="3921" spans="1:37" x14ac:dyDescent="0.25">
      <c r="A3921" t="s">
        <v>79</v>
      </c>
      <c r="B3921">
        <v>15</v>
      </c>
      <c r="C3921">
        <v>3</v>
      </c>
      <c r="D3921">
        <v>1</v>
      </c>
      <c r="E3921">
        <v>8</v>
      </c>
      <c r="G3921">
        <v>1531</v>
      </c>
      <c r="H3921" t="s">
        <v>5237</v>
      </c>
      <c r="I3921" t="s">
        <v>126</v>
      </c>
      <c r="J3921" t="s">
        <v>5269</v>
      </c>
      <c r="L3921">
        <v>0</v>
      </c>
      <c r="M3921" t="s">
        <v>125</v>
      </c>
      <c r="O3921" t="s">
        <v>125</v>
      </c>
      <c r="P3921" t="s">
        <v>125</v>
      </c>
      <c r="Q3921" t="s">
        <v>125</v>
      </c>
      <c r="R3921" t="s">
        <v>125</v>
      </c>
      <c r="S3921" t="s">
        <v>125</v>
      </c>
      <c r="T3921">
        <v>2361</v>
      </c>
      <c r="V3921" t="s">
        <v>125</v>
      </c>
      <c r="AE3921" t="s">
        <v>125</v>
      </c>
      <c r="AF3921">
        <v>0</v>
      </c>
      <c r="AG3921" t="s">
        <v>125</v>
      </c>
      <c r="AH3921">
        <v>0</v>
      </c>
      <c r="AK3921">
        <v>0</v>
      </c>
    </row>
    <row r="3922" spans="1:37" x14ac:dyDescent="0.25">
      <c r="A3922" t="s">
        <v>79</v>
      </c>
      <c r="B3922">
        <v>15</v>
      </c>
      <c r="C3922">
        <v>3</v>
      </c>
      <c r="D3922">
        <v>1</v>
      </c>
      <c r="E3922">
        <v>9</v>
      </c>
      <c r="G3922">
        <v>1531</v>
      </c>
      <c r="H3922" t="s">
        <v>5237</v>
      </c>
      <c r="I3922" t="s">
        <v>74</v>
      </c>
      <c r="J3922" t="s">
        <v>5270</v>
      </c>
      <c r="L3922">
        <v>0</v>
      </c>
      <c r="M3922" t="s">
        <v>125</v>
      </c>
      <c r="O3922" t="s">
        <v>125</v>
      </c>
      <c r="P3922" t="s">
        <v>125</v>
      </c>
      <c r="Q3922" t="s">
        <v>125</v>
      </c>
      <c r="R3922" t="s">
        <v>125</v>
      </c>
      <c r="S3922" t="s">
        <v>125</v>
      </c>
      <c r="T3922">
        <v>2361</v>
      </c>
      <c r="V3922" t="s">
        <v>125</v>
      </c>
      <c r="AE3922" t="s">
        <v>125</v>
      </c>
      <c r="AF3922">
        <v>0</v>
      </c>
      <c r="AG3922" t="s">
        <v>125</v>
      </c>
      <c r="AH3922">
        <v>0</v>
      </c>
      <c r="AK3922">
        <v>0</v>
      </c>
    </row>
    <row r="3923" spans="1:37" x14ac:dyDescent="0.25">
      <c r="A3923" t="s">
        <v>79</v>
      </c>
      <c r="B3923">
        <v>15</v>
      </c>
      <c r="C3923">
        <v>3</v>
      </c>
      <c r="D3923">
        <v>1</v>
      </c>
      <c r="E3923">
        <v>10</v>
      </c>
      <c r="G3923">
        <v>1531</v>
      </c>
      <c r="H3923" t="s">
        <v>5237</v>
      </c>
      <c r="I3923" t="s">
        <v>129</v>
      </c>
      <c r="J3923" t="s">
        <v>5271</v>
      </c>
      <c r="L3923">
        <v>0</v>
      </c>
      <c r="M3923" t="s">
        <v>125</v>
      </c>
      <c r="O3923" t="s">
        <v>125</v>
      </c>
      <c r="P3923" t="s">
        <v>125</v>
      </c>
      <c r="Q3923" t="s">
        <v>125</v>
      </c>
      <c r="R3923" t="s">
        <v>125</v>
      </c>
      <c r="S3923" t="s">
        <v>125</v>
      </c>
      <c r="T3923">
        <v>2361</v>
      </c>
      <c r="V3923" t="s">
        <v>125</v>
      </c>
      <c r="AE3923" t="s">
        <v>125</v>
      </c>
      <c r="AF3923">
        <v>0</v>
      </c>
      <c r="AG3923" t="s">
        <v>125</v>
      </c>
      <c r="AH3923">
        <v>0</v>
      </c>
      <c r="AK3923">
        <v>0</v>
      </c>
    </row>
    <row r="3924" spans="1:37" x14ac:dyDescent="0.25">
      <c r="A3924" t="s">
        <v>79</v>
      </c>
      <c r="B3924">
        <v>15</v>
      </c>
      <c r="C3924">
        <v>3</v>
      </c>
      <c r="D3924">
        <v>1</v>
      </c>
      <c r="E3924">
        <v>11</v>
      </c>
      <c r="G3924">
        <v>1531</v>
      </c>
      <c r="H3924" t="s">
        <v>5237</v>
      </c>
      <c r="I3924" t="s">
        <v>131</v>
      </c>
      <c r="J3924" t="s">
        <v>5272</v>
      </c>
      <c r="L3924">
        <v>0</v>
      </c>
      <c r="M3924" t="s">
        <v>125</v>
      </c>
      <c r="O3924" t="s">
        <v>125</v>
      </c>
      <c r="P3924" t="s">
        <v>125</v>
      </c>
      <c r="Q3924" t="s">
        <v>125</v>
      </c>
      <c r="R3924" t="s">
        <v>125</v>
      </c>
      <c r="S3924" t="s">
        <v>125</v>
      </c>
      <c r="T3924">
        <v>2361</v>
      </c>
      <c r="V3924" t="s">
        <v>125</v>
      </c>
      <c r="AE3924" t="s">
        <v>125</v>
      </c>
      <c r="AF3924">
        <v>0</v>
      </c>
      <c r="AG3924" t="s">
        <v>125</v>
      </c>
      <c r="AH3924">
        <v>0</v>
      </c>
      <c r="AK3924">
        <v>0</v>
      </c>
    </row>
    <row r="3925" spans="1:37" x14ac:dyDescent="0.25">
      <c r="A3925" t="s">
        <v>79</v>
      </c>
      <c r="B3925">
        <v>15</v>
      </c>
      <c r="C3925">
        <v>3</v>
      </c>
      <c r="D3925">
        <v>1</v>
      </c>
      <c r="E3925">
        <v>12</v>
      </c>
      <c r="G3925">
        <v>1531</v>
      </c>
      <c r="H3925" t="s">
        <v>5237</v>
      </c>
      <c r="I3925" t="s">
        <v>133</v>
      </c>
      <c r="J3925" t="s">
        <v>5273</v>
      </c>
      <c r="L3925">
        <v>0</v>
      </c>
      <c r="M3925" t="s">
        <v>125</v>
      </c>
      <c r="O3925" t="s">
        <v>125</v>
      </c>
      <c r="P3925" t="s">
        <v>125</v>
      </c>
      <c r="Q3925" t="s">
        <v>125</v>
      </c>
      <c r="R3925" t="s">
        <v>125</v>
      </c>
      <c r="S3925" t="s">
        <v>125</v>
      </c>
      <c r="T3925">
        <v>2361</v>
      </c>
      <c r="V3925" t="s">
        <v>125</v>
      </c>
      <c r="AE3925" t="s">
        <v>125</v>
      </c>
      <c r="AF3925">
        <v>0</v>
      </c>
      <c r="AG3925" t="s">
        <v>125</v>
      </c>
      <c r="AH3925">
        <v>0</v>
      </c>
      <c r="AK3925">
        <v>0</v>
      </c>
    </row>
    <row r="3926" spans="1:37" x14ac:dyDescent="0.25">
      <c r="A3926" t="s">
        <v>79</v>
      </c>
      <c r="B3926">
        <v>15</v>
      </c>
      <c r="C3926">
        <v>3</v>
      </c>
      <c r="D3926">
        <v>1</v>
      </c>
      <c r="E3926">
        <v>13</v>
      </c>
      <c r="G3926">
        <v>1531</v>
      </c>
      <c r="H3926" t="s">
        <v>5237</v>
      </c>
      <c r="I3926" t="s">
        <v>135</v>
      </c>
      <c r="J3926" t="s">
        <v>5274</v>
      </c>
      <c r="L3926">
        <v>0</v>
      </c>
      <c r="M3926" t="s">
        <v>125</v>
      </c>
      <c r="O3926" t="s">
        <v>125</v>
      </c>
      <c r="P3926" t="s">
        <v>125</v>
      </c>
      <c r="Q3926" t="s">
        <v>125</v>
      </c>
      <c r="R3926" t="s">
        <v>125</v>
      </c>
      <c r="S3926" t="s">
        <v>125</v>
      </c>
      <c r="T3926">
        <v>2361</v>
      </c>
      <c r="V3926" t="s">
        <v>125</v>
      </c>
      <c r="AE3926" t="s">
        <v>125</v>
      </c>
      <c r="AF3926">
        <v>0</v>
      </c>
      <c r="AG3926" t="s">
        <v>125</v>
      </c>
      <c r="AH3926">
        <v>0</v>
      </c>
      <c r="AK3926">
        <v>0</v>
      </c>
    </row>
    <row r="3927" spans="1:37" x14ac:dyDescent="0.25">
      <c r="A3927" t="s">
        <v>79</v>
      </c>
      <c r="B3927">
        <v>15</v>
      </c>
      <c r="C3927">
        <v>3</v>
      </c>
      <c r="D3927">
        <v>1</v>
      </c>
      <c r="E3927">
        <v>14</v>
      </c>
      <c r="G3927">
        <v>1531</v>
      </c>
      <c r="H3927" t="s">
        <v>5237</v>
      </c>
      <c r="I3927" t="s">
        <v>137</v>
      </c>
      <c r="J3927" t="s">
        <v>5275</v>
      </c>
      <c r="L3927">
        <v>0</v>
      </c>
      <c r="M3927" t="s">
        <v>125</v>
      </c>
      <c r="O3927" t="s">
        <v>125</v>
      </c>
      <c r="P3927" t="s">
        <v>125</v>
      </c>
      <c r="Q3927" t="s">
        <v>125</v>
      </c>
      <c r="R3927" t="s">
        <v>125</v>
      </c>
      <c r="S3927" t="s">
        <v>125</v>
      </c>
      <c r="T3927">
        <v>2361</v>
      </c>
      <c r="V3927" t="s">
        <v>125</v>
      </c>
      <c r="AE3927" t="s">
        <v>125</v>
      </c>
      <c r="AF3927">
        <v>0</v>
      </c>
      <c r="AG3927" t="s">
        <v>125</v>
      </c>
      <c r="AH3927">
        <v>0</v>
      </c>
      <c r="AK3927">
        <v>0</v>
      </c>
    </row>
    <row r="3928" spans="1:37" x14ac:dyDescent="0.25">
      <c r="A3928" t="s">
        <v>79</v>
      </c>
      <c r="B3928">
        <v>15</v>
      </c>
      <c r="C3928">
        <v>3</v>
      </c>
      <c r="D3928">
        <v>1</v>
      </c>
      <c r="E3928">
        <v>15</v>
      </c>
      <c r="G3928">
        <v>1531</v>
      </c>
      <c r="H3928" t="s">
        <v>5237</v>
      </c>
      <c r="I3928" t="s">
        <v>139</v>
      </c>
      <c r="J3928" t="s">
        <v>5276</v>
      </c>
      <c r="L3928">
        <v>0</v>
      </c>
      <c r="M3928" t="s">
        <v>125</v>
      </c>
      <c r="O3928" t="s">
        <v>125</v>
      </c>
      <c r="P3928" t="s">
        <v>125</v>
      </c>
      <c r="Q3928" t="s">
        <v>125</v>
      </c>
      <c r="R3928" t="s">
        <v>125</v>
      </c>
      <c r="S3928" t="s">
        <v>125</v>
      </c>
      <c r="T3928">
        <v>2361</v>
      </c>
      <c r="V3928" t="s">
        <v>125</v>
      </c>
      <c r="AE3928" t="s">
        <v>125</v>
      </c>
      <c r="AF3928">
        <v>0</v>
      </c>
      <c r="AG3928" t="s">
        <v>125</v>
      </c>
      <c r="AH3928">
        <v>0</v>
      </c>
      <c r="AK3928">
        <v>0</v>
      </c>
    </row>
    <row r="3929" spans="1:37" x14ac:dyDescent="0.25">
      <c r="L3929">
        <v>0</v>
      </c>
    </row>
    <row r="3930" spans="1:37" x14ac:dyDescent="0.25">
      <c r="A3930" t="s">
        <v>70</v>
      </c>
      <c r="B3930">
        <v>15</v>
      </c>
      <c r="C3930">
        <v>3</v>
      </c>
      <c r="D3930">
        <v>2</v>
      </c>
      <c r="G3930">
        <v>153</v>
      </c>
      <c r="M3930" t="s">
        <v>5277</v>
      </c>
      <c r="O3930" t="s">
        <v>5278</v>
      </c>
      <c r="P3930" t="s">
        <v>5279</v>
      </c>
      <c r="Q3930" t="s">
        <v>5239</v>
      </c>
      <c r="R3930" t="s">
        <v>179</v>
      </c>
      <c r="S3930" t="s">
        <v>5280</v>
      </c>
      <c r="V3930" t="s">
        <v>5281</v>
      </c>
      <c r="X3930" t="s">
        <v>5282</v>
      </c>
      <c r="Y3930" t="s">
        <v>5283</v>
      </c>
      <c r="Z3930" t="s">
        <v>5284</v>
      </c>
      <c r="AA3930" t="s">
        <v>5285</v>
      </c>
      <c r="AB3930" t="s">
        <v>63</v>
      </c>
      <c r="AC3930" t="s">
        <v>63</v>
      </c>
      <c r="AE3930" t="s">
        <v>5286</v>
      </c>
      <c r="AF3930">
        <v>0</v>
      </c>
      <c r="AG3930" t="s">
        <v>5287</v>
      </c>
      <c r="AH3930">
        <v>0</v>
      </c>
      <c r="AK3930">
        <v>0</v>
      </c>
    </row>
    <row r="3931" spans="1:37" x14ac:dyDescent="0.25">
      <c r="A3931" t="s">
        <v>79</v>
      </c>
      <c r="B3931">
        <v>15</v>
      </c>
      <c r="C3931">
        <v>3</v>
      </c>
      <c r="D3931">
        <v>2</v>
      </c>
      <c r="E3931">
        <v>1</v>
      </c>
      <c r="G3931">
        <v>1532</v>
      </c>
      <c r="H3931" t="s">
        <v>5278</v>
      </c>
      <c r="I3931" t="s">
        <v>80</v>
      </c>
      <c r="J3931" t="s">
        <v>5288</v>
      </c>
      <c r="L3931">
        <v>0</v>
      </c>
      <c r="M3931" t="s">
        <v>5289</v>
      </c>
      <c r="O3931" t="s">
        <v>5139</v>
      </c>
      <c r="P3931" t="s">
        <v>5140</v>
      </c>
      <c r="Q3931" t="s">
        <v>5290</v>
      </c>
      <c r="R3931" t="s">
        <v>210</v>
      </c>
      <c r="S3931" t="s">
        <v>5142</v>
      </c>
      <c r="T3931">
        <v>2361</v>
      </c>
      <c r="U3931">
        <v>4576</v>
      </c>
      <c r="V3931" t="s">
        <v>5291</v>
      </c>
      <c r="AE3931" t="s">
        <v>5292</v>
      </c>
      <c r="AF3931">
        <v>0</v>
      </c>
      <c r="AG3931" t="s">
        <v>5293</v>
      </c>
      <c r="AH3931">
        <v>0</v>
      </c>
      <c r="AK3931">
        <v>0</v>
      </c>
    </row>
    <row r="3932" spans="1:37" x14ac:dyDescent="0.25">
      <c r="A3932" t="s">
        <v>79</v>
      </c>
      <c r="B3932">
        <v>15</v>
      </c>
      <c r="C3932">
        <v>3</v>
      </c>
      <c r="D3932">
        <v>2</v>
      </c>
      <c r="E3932">
        <v>2</v>
      </c>
      <c r="G3932">
        <v>1532</v>
      </c>
      <c r="H3932" t="s">
        <v>5278</v>
      </c>
      <c r="I3932" t="s">
        <v>88</v>
      </c>
      <c r="J3932" t="s">
        <v>5294</v>
      </c>
      <c r="L3932">
        <v>0</v>
      </c>
      <c r="M3932" t="s">
        <v>5295</v>
      </c>
      <c r="O3932" t="s">
        <v>5008</v>
      </c>
      <c r="P3932" t="s">
        <v>5009</v>
      </c>
      <c r="Q3932" t="s">
        <v>1585</v>
      </c>
      <c r="R3932" t="s">
        <v>229</v>
      </c>
      <c r="S3932" t="s">
        <v>5011</v>
      </c>
      <c r="T3932">
        <v>2361</v>
      </c>
      <c r="U3932">
        <v>357</v>
      </c>
      <c r="V3932" t="s">
        <v>5296</v>
      </c>
      <c r="AE3932" t="s">
        <v>5297</v>
      </c>
      <c r="AF3932">
        <v>0</v>
      </c>
      <c r="AG3932" t="s">
        <v>5298</v>
      </c>
      <c r="AH3932">
        <v>0</v>
      </c>
      <c r="AK3932">
        <v>0</v>
      </c>
    </row>
    <row r="3933" spans="1:37" x14ac:dyDescent="0.25">
      <c r="A3933" t="s">
        <v>79</v>
      </c>
      <c r="B3933">
        <v>15</v>
      </c>
      <c r="C3933">
        <v>3</v>
      </c>
      <c r="D3933">
        <v>2</v>
      </c>
      <c r="E3933">
        <v>3</v>
      </c>
      <c r="G3933">
        <v>1532</v>
      </c>
      <c r="H3933" t="s">
        <v>5278</v>
      </c>
      <c r="I3933" t="s">
        <v>95</v>
      </c>
      <c r="J3933" t="s">
        <v>5299</v>
      </c>
      <c r="L3933">
        <v>0</v>
      </c>
      <c r="M3933" t="s">
        <v>5300</v>
      </c>
      <c r="O3933" t="s">
        <v>294</v>
      </c>
      <c r="P3933" t="s">
        <v>295</v>
      </c>
      <c r="Q3933" t="s">
        <v>5301</v>
      </c>
      <c r="R3933" t="s">
        <v>229</v>
      </c>
      <c r="S3933" t="s">
        <v>297</v>
      </c>
      <c r="T3933">
        <v>2361</v>
      </c>
      <c r="U3933">
        <v>90</v>
      </c>
      <c r="V3933" t="s">
        <v>554</v>
      </c>
      <c r="AE3933" t="s">
        <v>5302</v>
      </c>
      <c r="AF3933">
        <v>0</v>
      </c>
      <c r="AG3933" t="s">
        <v>5303</v>
      </c>
      <c r="AH3933">
        <v>0</v>
      </c>
      <c r="AK3933">
        <v>0</v>
      </c>
    </row>
    <row r="3934" spans="1:37" x14ac:dyDescent="0.25">
      <c r="A3934" t="s">
        <v>79</v>
      </c>
      <c r="B3934">
        <v>15</v>
      </c>
      <c r="C3934">
        <v>3</v>
      </c>
      <c r="D3934">
        <v>2</v>
      </c>
      <c r="E3934">
        <v>4</v>
      </c>
      <c r="G3934">
        <v>1532</v>
      </c>
      <c r="H3934" t="s">
        <v>5278</v>
      </c>
      <c r="I3934" t="s">
        <v>102</v>
      </c>
      <c r="J3934" t="s">
        <v>5304</v>
      </c>
      <c r="L3934">
        <v>0</v>
      </c>
      <c r="M3934" t="s">
        <v>125</v>
      </c>
      <c r="O3934" t="s">
        <v>125</v>
      </c>
      <c r="P3934" t="s">
        <v>125</v>
      </c>
      <c r="Q3934" t="s">
        <v>125</v>
      </c>
      <c r="R3934" t="s">
        <v>125</v>
      </c>
      <c r="S3934" t="s">
        <v>125</v>
      </c>
      <c r="T3934">
        <v>2361</v>
      </c>
      <c r="V3934" t="s">
        <v>125</v>
      </c>
      <c r="AE3934" t="s">
        <v>125</v>
      </c>
      <c r="AF3934">
        <v>0</v>
      </c>
      <c r="AG3934" t="s">
        <v>125</v>
      </c>
      <c r="AH3934">
        <v>0</v>
      </c>
      <c r="AK3934">
        <v>0</v>
      </c>
    </row>
    <row r="3935" spans="1:37" x14ac:dyDescent="0.25">
      <c r="A3935" t="s">
        <v>79</v>
      </c>
      <c r="B3935">
        <v>15</v>
      </c>
      <c r="C3935">
        <v>3</v>
      </c>
      <c r="D3935">
        <v>2</v>
      </c>
      <c r="E3935">
        <v>5</v>
      </c>
      <c r="G3935">
        <v>1532</v>
      </c>
      <c r="H3935" t="s">
        <v>5278</v>
      </c>
      <c r="I3935" t="s">
        <v>109</v>
      </c>
      <c r="J3935" t="s">
        <v>5305</v>
      </c>
      <c r="L3935">
        <v>0</v>
      </c>
      <c r="M3935" t="s">
        <v>125</v>
      </c>
      <c r="O3935" t="s">
        <v>125</v>
      </c>
      <c r="P3935" t="s">
        <v>125</v>
      </c>
      <c r="Q3935" t="s">
        <v>125</v>
      </c>
      <c r="R3935" t="s">
        <v>125</v>
      </c>
      <c r="S3935" t="s">
        <v>125</v>
      </c>
      <c r="T3935">
        <v>2361</v>
      </c>
      <c r="V3935" t="s">
        <v>125</v>
      </c>
      <c r="AE3935" t="s">
        <v>125</v>
      </c>
      <c r="AF3935">
        <v>0</v>
      </c>
      <c r="AG3935" t="s">
        <v>125</v>
      </c>
      <c r="AH3935">
        <v>0</v>
      </c>
      <c r="AK3935">
        <v>0</v>
      </c>
    </row>
    <row r="3936" spans="1:37" x14ac:dyDescent="0.25">
      <c r="A3936" t="s">
        <v>79</v>
      </c>
      <c r="B3936">
        <v>15</v>
      </c>
      <c r="C3936">
        <v>3</v>
      </c>
      <c r="D3936">
        <v>2</v>
      </c>
      <c r="E3936">
        <v>6</v>
      </c>
      <c r="G3936">
        <v>1532</v>
      </c>
      <c r="H3936" t="s">
        <v>5278</v>
      </c>
      <c r="I3936" t="s">
        <v>116</v>
      </c>
      <c r="J3936" t="s">
        <v>5306</v>
      </c>
      <c r="L3936">
        <v>0</v>
      </c>
      <c r="M3936" t="s">
        <v>125</v>
      </c>
      <c r="O3936" t="s">
        <v>125</v>
      </c>
      <c r="P3936" t="s">
        <v>125</v>
      </c>
      <c r="Q3936" t="s">
        <v>125</v>
      </c>
      <c r="R3936" t="s">
        <v>125</v>
      </c>
      <c r="S3936" t="s">
        <v>125</v>
      </c>
      <c r="T3936">
        <v>2361</v>
      </c>
      <c r="V3936" t="s">
        <v>125</v>
      </c>
      <c r="AE3936" t="s">
        <v>125</v>
      </c>
      <c r="AF3936">
        <v>0</v>
      </c>
      <c r="AG3936" t="s">
        <v>125</v>
      </c>
      <c r="AH3936">
        <v>0</v>
      </c>
      <c r="AK3936">
        <v>0</v>
      </c>
    </row>
    <row r="3937" spans="1:37" x14ac:dyDescent="0.25">
      <c r="A3937" t="s">
        <v>79</v>
      </c>
      <c r="B3937">
        <v>15</v>
      </c>
      <c r="C3937">
        <v>3</v>
      </c>
      <c r="D3937">
        <v>2</v>
      </c>
      <c r="E3937">
        <v>7</v>
      </c>
      <c r="G3937">
        <v>1532</v>
      </c>
      <c r="H3937" t="s">
        <v>5278</v>
      </c>
      <c r="I3937" t="s">
        <v>123</v>
      </c>
      <c r="J3937" t="s">
        <v>5307</v>
      </c>
      <c r="L3937">
        <v>0</v>
      </c>
      <c r="M3937" t="s">
        <v>125</v>
      </c>
      <c r="O3937" t="s">
        <v>125</v>
      </c>
      <c r="P3937" t="s">
        <v>125</v>
      </c>
      <c r="Q3937" t="s">
        <v>125</v>
      </c>
      <c r="R3937" t="s">
        <v>125</v>
      </c>
      <c r="S3937" t="s">
        <v>125</v>
      </c>
      <c r="T3937">
        <v>2361</v>
      </c>
      <c r="V3937" t="s">
        <v>125</v>
      </c>
      <c r="AE3937" t="s">
        <v>125</v>
      </c>
      <c r="AF3937">
        <v>0</v>
      </c>
      <c r="AG3937" t="s">
        <v>125</v>
      </c>
      <c r="AH3937">
        <v>0</v>
      </c>
      <c r="AK3937">
        <v>0</v>
      </c>
    </row>
    <row r="3938" spans="1:37" x14ac:dyDescent="0.25">
      <c r="A3938" t="s">
        <v>79</v>
      </c>
      <c r="B3938">
        <v>15</v>
      </c>
      <c r="C3938">
        <v>3</v>
      </c>
      <c r="D3938">
        <v>2</v>
      </c>
      <c r="E3938">
        <v>8</v>
      </c>
      <c r="G3938">
        <v>1532</v>
      </c>
      <c r="H3938" t="s">
        <v>5278</v>
      </c>
      <c r="I3938" t="s">
        <v>126</v>
      </c>
      <c r="J3938" t="s">
        <v>5308</v>
      </c>
      <c r="L3938">
        <v>0</v>
      </c>
      <c r="M3938" t="s">
        <v>125</v>
      </c>
      <c r="O3938" t="s">
        <v>125</v>
      </c>
      <c r="P3938" t="s">
        <v>125</v>
      </c>
      <c r="Q3938" t="s">
        <v>125</v>
      </c>
      <c r="R3938" t="s">
        <v>125</v>
      </c>
      <c r="S3938" t="s">
        <v>125</v>
      </c>
      <c r="T3938">
        <v>2361</v>
      </c>
      <c r="V3938" t="s">
        <v>125</v>
      </c>
      <c r="AE3938" t="s">
        <v>125</v>
      </c>
      <c r="AF3938">
        <v>0</v>
      </c>
      <c r="AG3938" t="s">
        <v>125</v>
      </c>
      <c r="AH3938">
        <v>0</v>
      </c>
      <c r="AK3938">
        <v>0</v>
      </c>
    </row>
    <row r="3939" spans="1:37" x14ac:dyDescent="0.25">
      <c r="A3939" t="s">
        <v>79</v>
      </c>
      <c r="B3939">
        <v>15</v>
      </c>
      <c r="C3939">
        <v>3</v>
      </c>
      <c r="D3939">
        <v>2</v>
      </c>
      <c r="E3939">
        <v>9</v>
      </c>
      <c r="G3939">
        <v>1532</v>
      </c>
      <c r="H3939" t="s">
        <v>5278</v>
      </c>
      <c r="I3939" t="s">
        <v>74</v>
      </c>
      <c r="J3939" t="s">
        <v>5309</v>
      </c>
      <c r="L3939">
        <v>0</v>
      </c>
      <c r="M3939" t="s">
        <v>125</v>
      </c>
      <c r="O3939" t="s">
        <v>125</v>
      </c>
      <c r="P3939" t="s">
        <v>125</v>
      </c>
      <c r="Q3939" t="s">
        <v>125</v>
      </c>
      <c r="R3939" t="s">
        <v>125</v>
      </c>
      <c r="S3939" t="s">
        <v>125</v>
      </c>
      <c r="T3939">
        <v>2361</v>
      </c>
      <c r="V3939" t="s">
        <v>125</v>
      </c>
      <c r="AE3939" t="s">
        <v>125</v>
      </c>
      <c r="AF3939">
        <v>0</v>
      </c>
      <c r="AG3939" t="s">
        <v>125</v>
      </c>
      <c r="AH3939">
        <v>0</v>
      </c>
      <c r="AK3939">
        <v>0</v>
      </c>
    </row>
    <row r="3940" spans="1:37" x14ac:dyDescent="0.25">
      <c r="A3940" t="s">
        <v>79</v>
      </c>
      <c r="B3940">
        <v>15</v>
      </c>
      <c r="C3940">
        <v>3</v>
      </c>
      <c r="D3940">
        <v>2</v>
      </c>
      <c r="E3940">
        <v>10</v>
      </c>
      <c r="G3940">
        <v>1532</v>
      </c>
      <c r="H3940" t="s">
        <v>5278</v>
      </c>
      <c r="I3940" t="s">
        <v>129</v>
      </c>
      <c r="J3940" t="s">
        <v>5310</v>
      </c>
      <c r="L3940">
        <v>0</v>
      </c>
      <c r="M3940" t="s">
        <v>125</v>
      </c>
      <c r="O3940" t="s">
        <v>125</v>
      </c>
      <c r="P3940" t="s">
        <v>125</v>
      </c>
      <c r="Q3940" t="s">
        <v>125</v>
      </c>
      <c r="R3940" t="s">
        <v>125</v>
      </c>
      <c r="S3940" t="s">
        <v>125</v>
      </c>
      <c r="T3940">
        <v>2361</v>
      </c>
      <c r="V3940" t="s">
        <v>125</v>
      </c>
      <c r="AE3940" t="s">
        <v>125</v>
      </c>
      <c r="AF3940">
        <v>0</v>
      </c>
      <c r="AG3940" t="s">
        <v>125</v>
      </c>
      <c r="AH3940">
        <v>0</v>
      </c>
      <c r="AK3940">
        <v>0</v>
      </c>
    </row>
    <row r="3941" spans="1:37" x14ac:dyDescent="0.25">
      <c r="A3941" t="s">
        <v>79</v>
      </c>
      <c r="B3941">
        <v>15</v>
      </c>
      <c r="C3941">
        <v>3</v>
      </c>
      <c r="D3941">
        <v>2</v>
      </c>
      <c r="E3941">
        <v>11</v>
      </c>
      <c r="G3941">
        <v>1532</v>
      </c>
      <c r="H3941" t="s">
        <v>5278</v>
      </c>
      <c r="I3941" t="s">
        <v>131</v>
      </c>
      <c r="J3941" t="s">
        <v>5311</v>
      </c>
      <c r="L3941">
        <v>0</v>
      </c>
      <c r="M3941" t="s">
        <v>125</v>
      </c>
      <c r="O3941" t="s">
        <v>125</v>
      </c>
      <c r="P3941" t="s">
        <v>125</v>
      </c>
      <c r="Q3941" t="s">
        <v>125</v>
      </c>
      <c r="R3941" t="s">
        <v>125</v>
      </c>
      <c r="S3941" t="s">
        <v>125</v>
      </c>
      <c r="T3941">
        <v>2361</v>
      </c>
      <c r="V3941" t="s">
        <v>125</v>
      </c>
      <c r="AE3941" t="s">
        <v>125</v>
      </c>
      <c r="AF3941">
        <v>0</v>
      </c>
      <c r="AG3941" t="s">
        <v>125</v>
      </c>
      <c r="AH3941">
        <v>0</v>
      </c>
      <c r="AK3941">
        <v>0</v>
      </c>
    </row>
    <row r="3942" spans="1:37" x14ac:dyDescent="0.25">
      <c r="A3942" t="s">
        <v>79</v>
      </c>
      <c r="B3942">
        <v>15</v>
      </c>
      <c r="C3942">
        <v>3</v>
      </c>
      <c r="D3942">
        <v>2</v>
      </c>
      <c r="E3942">
        <v>12</v>
      </c>
      <c r="G3942">
        <v>1532</v>
      </c>
      <c r="H3942" t="s">
        <v>5278</v>
      </c>
      <c r="I3942" t="s">
        <v>133</v>
      </c>
      <c r="J3942" t="s">
        <v>5312</v>
      </c>
      <c r="L3942">
        <v>0</v>
      </c>
      <c r="M3942" t="s">
        <v>125</v>
      </c>
      <c r="O3942" t="s">
        <v>125</v>
      </c>
      <c r="P3942" t="s">
        <v>125</v>
      </c>
      <c r="Q3942" t="s">
        <v>125</v>
      </c>
      <c r="R3942" t="s">
        <v>125</v>
      </c>
      <c r="S3942" t="s">
        <v>125</v>
      </c>
      <c r="T3942">
        <v>2361</v>
      </c>
      <c r="V3942" t="s">
        <v>125</v>
      </c>
      <c r="AE3942" t="s">
        <v>125</v>
      </c>
      <c r="AF3942">
        <v>0</v>
      </c>
      <c r="AG3942" t="s">
        <v>125</v>
      </c>
      <c r="AH3942">
        <v>0</v>
      </c>
      <c r="AK3942">
        <v>0</v>
      </c>
    </row>
    <row r="3943" spans="1:37" x14ac:dyDescent="0.25">
      <c r="A3943" t="s">
        <v>79</v>
      </c>
      <c r="B3943">
        <v>15</v>
      </c>
      <c r="C3943">
        <v>3</v>
      </c>
      <c r="D3943">
        <v>2</v>
      </c>
      <c r="E3943">
        <v>13</v>
      </c>
      <c r="G3943">
        <v>1532</v>
      </c>
      <c r="H3943" t="s">
        <v>5278</v>
      </c>
      <c r="I3943" t="s">
        <v>135</v>
      </c>
      <c r="J3943" t="s">
        <v>5313</v>
      </c>
      <c r="L3943">
        <v>0</v>
      </c>
      <c r="M3943" t="s">
        <v>125</v>
      </c>
      <c r="O3943" t="s">
        <v>125</v>
      </c>
      <c r="P3943" t="s">
        <v>125</v>
      </c>
      <c r="Q3943" t="s">
        <v>125</v>
      </c>
      <c r="R3943" t="s">
        <v>125</v>
      </c>
      <c r="S3943" t="s">
        <v>125</v>
      </c>
      <c r="T3943">
        <v>2361</v>
      </c>
      <c r="V3943" t="s">
        <v>125</v>
      </c>
      <c r="AE3943" t="s">
        <v>125</v>
      </c>
      <c r="AF3943">
        <v>0</v>
      </c>
      <c r="AG3943" t="s">
        <v>125</v>
      </c>
      <c r="AH3943">
        <v>0</v>
      </c>
      <c r="AK3943">
        <v>0</v>
      </c>
    </row>
    <row r="3944" spans="1:37" x14ac:dyDescent="0.25">
      <c r="A3944" t="s">
        <v>79</v>
      </c>
      <c r="B3944">
        <v>15</v>
      </c>
      <c r="C3944">
        <v>3</v>
      </c>
      <c r="D3944">
        <v>2</v>
      </c>
      <c r="E3944">
        <v>14</v>
      </c>
      <c r="G3944">
        <v>1532</v>
      </c>
      <c r="H3944" t="s">
        <v>5278</v>
      </c>
      <c r="I3944" t="s">
        <v>137</v>
      </c>
      <c r="J3944" t="s">
        <v>5314</v>
      </c>
      <c r="L3944">
        <v>0</v>
      </c>
      <c r="M3944" t="s">
        <v>125</v>
      </c>
      <c r="O3944" t="s">
        <v>125</v>
      </c>
      <c r="P3944" t="s">
        <v>125</v>
      </c>
      <c r="Q3944" t="s">
        <v>125</v>
      </c>
      <c r="R3944" t="s">
        <v>125</v>
      </c>
      <c r="S3944" t="s">
        <v>125</v>
      </c>
      <c r="T3944">
        <v>2361</v>
      </c>
      <c r="V3944" t="s">
        <v>125</v>
      </c>
      <c r="AE3944" t="s">
        <v>125</v>
      </c>
      <c r="AF3944">
        <v>0</v>
      </c>
      <c r="AG3944" t="s">
        <v>125</v>
      </c>
      <c r="AH3944">
        <v>0</v>
      </c>
      <c r="AK3944">
        <v>0</v>
      </c>
    </row>
    <row r="3945" spans="1:37" x14ac:dyDescent="0.25">
      <c r="A3945" t="s">
        <v>79</v>
      </c>
      <c r="B3945">
        <v>15</v>
      </c>
      <c r="C3945">
        <v>3</v>
      </c>
      <c r="D3945">
        <v>2</v>
      </c>
      <c r="E3945">
        <v>15</v>
      </c>
      <c r="G3945">
        <v>1532</v>
      </c>
      <c r="H3945" t="s">
        <v>5278</v>
      </c>
      <c r="I3945" t="s">
        <v>139</v>
      </c>
      <c r="J3945" t="s">
        <v>5315</v>
      </c>
      <c r="L3945">
        <v>0</v>
      </c>
      <c r="M3945" t="s">
        <v>125</v>
      </c>
      <c r="O3945" t="s">
        <v>125</v>
      </c>
      <c r="P3945" t="s">
        <v>125</v>
      </c>
      <c r="Q3945" t="s">
        <v>125</v>
      </c>
      <c r="R3945" t="s">
        <v>125</v>
      </c>
      <c r="S3945" t="s">
        <v>125</v>
      </c>
      <c r="T3945">
        <v>2361</v>
      </c>
      <c r="V3945" t="s">
        <v>125</v>
      </c>
      <c r="AE3945" t="s">
        <v>125</v>
      </c>
      <c r="AF3945">
        <v>0</v>
      </c>
      <c r="AG3945" t="s">
        <v>125</v>
      </c>
      <c r="AH3945">
        <v>0</v>
      </c>
      <c r="AK3945">
        <v>0</v>
      </c>
    </row>
    <row r="3946" spans="1:37" x14ac:dyDescent="0.25">
      <c r="L3946">
        <v>0</v>
      </c>
    </row>
    <row r="3947" spans="1:37" x14ac:dyDescent="0.25">
      <c r="A3947" t="s">
        <v>70</v>
      </c>
      <c r="B3947">
        <v>15</v>
      </c>
      <c r="C3947">
        <v>3</v>
      </c>
      <c r="D3947">
        <v>3</v>
      </c>
      <c r="G3947">
        <v>153</v>
      </c>
      <c r="L3947">
        <v>0</v>
      </c>
      <c r="M3947" t="s">
        <v>125</v>
      </c>
      <c r="P3947" t="s">
        <v>125</v>
      </c>
      <c r="R3947" t="s">
        <v>125</v>
      </c>
      <c r="S3947" t="s">
        <v>63</v>
      </c>
      <c r="V3947" t="s">
        <v>125</v>
      </c>
      <c r="X3947" t="s">
        <v>125</v>
      </c>
      <c r="Y3947" t="s">
        <v>125</v>
      </c>
      <c r="Z3947" t="s">
        <v>125</v>
      </c>
      <c r="AA3947" t="s">
        <v>125</v>
      </c>
      <c r="AB3947" t="s">
        <v>125</v>
      </c>
      <c r="AC3947" t="s">
        <v>125</v>
      </c>
      <c r="AE3947" t="s">
        <v>125</v>
      </c>
      <c r="AF3947">
        <v>0</v>
      </c>
      <c r="AG3947" t="s">
        <v>125</v>
      </c>
      <c r="AH3947">
        <v>0</v>
      </c>
      <c r="AK3947">
        <v>0</v>
      </c>
    </row>
    <row r="3948" spans="1:37" x14ac:dyDescent="0.25">
      <c r="A3948" t="s">
        <v>79</v>
      </c>
      <c r="B3948">
        <v>15</v>
      </c>
      <c r="C3948">
        <v>3</v>
      </c>
      <c r="D3948">
        <v>3</v>
      </c>
      <c r="E3948">
        <v>1</v>
      </c>
      <c r="G3948">
        <v>1533</v>
      </c>
      <c r="H3948" t="s">
        <v>63</v>
      </c>
      <c r="I3948" t="s">
        <v>80</v>
      </c>
      <c r="J3948" t="s">
        <v>141</v>
      </c>
      <c r="L3948">
        <v>0</v>
      </c>
      <c r="M3948" t="s">
        <v>125</v>
      </c>
      <c r="O3948" t="s">
        <v>125</v>
      </c>
      <c r="P3948" t="s">
        <v>125</v>
      </c>
      <c r="Q3948" t="s">
        <v>125</v>
      </c>
      <c r="R3948" t="s">
        <v>125</v>
      </c>
      <c r="S3948" t="s">
        <v>125</v>
      </c>
      <c r="T3948">
        <v>0</v>
      </c>
      <c r="V3948" t="s">
        <v>125</v>
      </c>
      <c r="AE3948" t="s">
        <v>125</v>
      </c>
      <c r="AF3948">
        <v>0</v>
      </c>
      <c r="AG3948" t="s">
        <v>125</v>
      </c>
      <c r="AH3948">
        <v>0</v>
      </c>
      <c r="AK3948">
        <v>0</v>
      </c>
    </row>
    <row r="3949" spans="1:37" x14ac:dyDescent="0.25">
      <c r="A3949" t="s">
        <v>79</v>
      </c>
      <c r="B3949">
        <v>15</v>
      </c>
      <c r="C3949">
        <v>3</v>
      </c>
      <c r="D3949">
        <v>3</v>
      </c>
      <c r="E3949">
        <v>2</v>
      </c>
      <c r="G3949">
        <v>1533</v>
      </c>
      <c r="H3949" t="s">
        <v>63</v>
      </c>
      <c r="I3949" t="s">
        <v>88</v>
      </c>
      <c r="J3949" t="s">
        <v>142</v>
      </c>
      <c r="L3949">
        <v>0</v>
      </c>
      <c r="M3949" t="s">
        <v>125</v>
      </c>
      <c r="O3949" t="s">
        <v>125</v>
      </c>
      <c r="P3949" t="s">
        <v>125</v>
      </c>
      <c r="Q3949" t="s">
        <v>125</v>
      </c>
      <c r="R3949" t="s">
        <v>125</v>
      </c>
      <c r="S3949" t="s">
        <v>125</v>
      </c>
      <c r="T3949">
        <v>0</v>
      </c>
      <c r="V3949" t="s">
        <v>125</v>
      </c>
      <c r="AE3949" t="s">
        <v>125</v>
      </c>
      <c r="AF3949">
        <v>0</v>
      </c>
      <c r="AG3949" t="s">
        <v>125</v>
      </c>
      <c r="AH3949">
        <v>0</v>
      </c>
      <c r="AK3949">
        <v>0</v>
      </c>
    </row>
    <row r="3950" spans="1:37" x14ac:dyDescent="0.25">
      <c r="A3950" t="s">
        <v>79</v>
      </c>
      <c r="B3950">
        <v>15</v>
      </c>
      <c r="C3950">
        <v>3</v>
      </c>
      <c r="D3950">
        <v>3</v>
      </c>
      <c r="E3950">
        <v>3</v>
      </c>
      <c r="G3950">
        <v>1533</v>
      </c>
      <c r="H3950" t="s">
        <v>63</v>
      </c>
      <c r="I3950" t="s">
        <v>95</v>
      </c>
      <c r="J3950" t="s">
        <v>143</v>
      </c>
      <c r="L3950">
        <v>0</v>
      </c>
      <c r="M3950" t="s">
        <v>125</v>
      </c>
      <c r="O3950" t="s">
        <v>125</v>
      </c>
      <c r="P3950" t="s">
        <v>125</v>
      </c>
      <c r="Q3950" t="s">
        <v>125</v>
      </c>
      <c r="R3950" t="s">
        <v>125</v>
      </c>
      <c r="S3950" t="s">
        <v>125</v>
      </c>
      <c r="T3950">
        <v>0</v>
      </c>
      <c r="V3950" t="s">
        <v>125</v>
      </c>
      <c r="AE3950" t="s">
        <v>125</v>
      </c>
      <c r="AF3950">
        <v>0</v>
      </c>
      <c r="AG3950" t="s">
        <v>125</v>
      </c>
      <c r="AH3950">
        <v>0</v>
      </c>
      <c r="AK3950">
        <v>0</v>
      </c>
    </row>
    <row r="3951" spans="1:37" x14ac:dyDescent="0.25">
      <c r="A3951" t="s">
        <v>79</v>
      </c>
      <c r="B3951">
        <v>15</v>
      </c>
      <c r="C3951">
        <v>3</v>
      </c>
      <c r="D3951">
        <v>3</v>
      </c>
      <c r="E3951">
        <v>4</v>
      </c>
      <c r="G3951">
        <v>1533</v>
      </c>
      <c r="H3951" t="s">
        <v>63</v>
      </c>
      <c r="I3951" t="s">
        <v>102</v>
      </c>
      <c r="J3951" t="s">
        <v>144</v>
      </c>
      <c r="L3951">
        <v>0</v>
      </c>
      <c r="M3951" t="s">
        <v>125</v>
      </c>
      <c r="O3951" t="s">
        <v>125</v>
      </c>
      <c r="P3951" t="s">
        <v>125</v>
      </c>
      <c r="Q3951" t="s">
        <v>125</v>
      </c>
      <c r="R3951" t="s">
        <v>125</v>
      </c>
      <c r="S3951" t="s">
        <v>125</v>
      </c>
      <c r="T3951">
        <v>0</v>
      </c>
      <c r="V3951" t="s">
        <v>125</v>
      </c>
      <c r="AE3951" t="s">
        <v>125</v>
      </c>
      <c r="AF3951">
        <v>0</v>
      </c>
      <c r="AG3951" t="s">
        <v>125</v>
      </c>
      <c r="AH3951">
        <v>0</v>
      </c>
      <c r="AK3951">
        <v>0</v>
      </c>
    </row>
    <row r="3952" spans="1:37" x14ac:dyDescent="0.25">
      <c r="A3952" t="s">
        <v>79</v>
      </c>
      <c r="B3952">
        <v>15</v>
      </c>
      <c r="C3952">
        <v>3</v>
      </c>
      <c r="D3952">
        <v>3</v>
      </c>
      <c r="E3952">
        <v>5</v>
      </c>
      <c r="G3952">
        <v>1533</v>
      </c>
      <c r="H3952" t="s">
        <v>63</v>
      </c>
      <c r="I3952" t="s">
        <v>109</v>
      </c>
      <c r="J3952" t="s">
        <v>145</v>
      </c>
      <c r="L3952">
        <v>0</v>
      </c>
      <c r="M3952" t="s">
        <v>125</v>
      </c>
      <c r="O3952" t="s">
        <v>125</v>
      </c>
      <c r="P3952" t="s">
        <v>125</v>
      </c>
      <c r="Q3952" t="s">
        <v>125</v>
      </c>
      <c r="R3952" t="s">
        <v>125</v>
      </c>
      <c r="S3952" t="s">
        <v>125</v>
      </c>
      <c r="T3952">
        <v>0</v>
      </c>
      <c r="V3952" t="s">
        <v>125</v>
      </c>
      <c r="AE3952" t="s">
        <v>125</v>
      </c>
      <c r="AF3952">
        <v>0</v>
      </c>
      <c r="AG3952" t="s">
        <v>125</v>
      </c>
      <c r="AH3952">
        <v>0</v>
      </c>
      <c r="AK3952">
        <v>0</v>
      </c>
    </row>
    <row r="3953" spans="1:37" x14ac:dyDescent="0.25">
      <c r="A3953" t="s">
        <v>79</v>
      </c>
      <c r="B3953">
        <v>15</v>
      </c>
      <c r="C3953">
        <v>3</v>
      </c>
      <c r="D3953">
        <v>3</v>
      </c>
      <c r="E3953">
        <v>6</v>
      </c>
      <c r="G3953">
        <v>1533</v>
      </c>
      <c r="H3953" t="s">
        <v>63</v>
      </c>
      <c r="I3953" t="s">
        <v>116</v>
      </c>
      <c r="J3953" t="s">
        <v>146</v>
      </c>
      <c r="L3953">
        <v>0</v>
      </c>
      <c r="M3953" t="s">
        <v>125</v>
      </c>
      <c r="O3953" t="s">
        <v>125</v>
      </c>
      <c r="P3953" t="s">
        <v>125</v>
      </c>
      <c r="Q3953" t="s">
        <v>125</v>
      </c>
      <c r="R3953" t="s">
        <v>125</v>
      </c>
      <c r="S3953" t="s">
        <v>125</v>
      </c>
      <c r="T3953">
        <v>0</v>
      </c>
      <c r="V3953" t="s">
        <v>125</v>
      </c>
      <c r="AE3953" t="s">
        <v>125</v>
      </c>
      <c r="AF3953">
        <v>0</v>
      </c>
      <c r="AG3953" t="s">
        <v>125</v>
      </c>
      <c r="AH3953">
        <v>0</v>
      </c>
      <c r="AK3953">
        <v>0</v>
      </c>
    </row>
    <row r="3954" spans="1:37" x14ac:dyDescent="0.25">
      <c r="A3954" t="s">
        <v>79</v>
      </c>
      <c r="B3954">
        <v>15</v>
      </c>
      <c r="C3954">
        <v>3</v>
      </c>
      <c r="D3954">
        <v>3</v>
      </c>
      <c r="E3954">
        <v>7</v>
      </c>
      <c r="G3954">
        <v>1533</v>
      </c>
      <c r="H3954" t="s">
        <v>63</v>
      </c>
      <c r="I3954" t="s">
        <v>123</v>
      </c>
      <c r="J3954" t="s">
        <v>147</v>
      </c>
      <c r="L3954">
        <v>0</v>
      </c>
      <c r="M3954" t="s">
        <v>125</v>
      </c>
      <c r="O3954" t="s">
        <v>125</v>
      </c>
      <c r="P3954" t="s">
        <v>125</v>
      </c>
      <c r="Q3954" t="s">
        <v>125</v>
      </c>
      <c r="R3954" t="s">
        <v>125</v>
      </c>
      <c r="S3954" t="s">
        <v>125</v>
      </c>
      <c r="T3954">
        <v>0</v>
      </c>
      <c r="V3954" t="s">
        <v>125</v>
      </c>
      <c r="AE3954" t="s">
        <v>125</v>
      </c>
      <c r="AF3954">
        <v>0</v>
      </c>
      <c r="AG3954" t="s">
        <v>125</v>
      </c>
      <c r="AH3954">
        <v>0</v>
      </c>
      <c r="AK3954">
        <v>0</v>
      </c>
    </row>
    <row r="3955" spans="1:37" x14ac:dyDescent="0.25">
      <c r="A3955" t="s">
        <v>79</v>
      </c>
      <c r="B3955">
        <v>15</v>
      </c>
      <c r="C3955">
        <v>3</v>
      </c>
      <c r="D3955">
        <v>3</v>
      </c>
      <c r="E3955">
        <v>8</v>
      </c>
      <c r="G3955">
        <v>1533</v>
      </c>
      <c r="H3955" t="s">
        <v>63</v>
      </c>
      <c r="I3955" t="s">
        <v>126</v>
      </c>
      <c r="J3955" t="s">
        <v>148</v>
      </c>
      <c r="L3955">
        <v>0</v>
      </c>
      <c r="M3955" t="s">
        <v>125</v>
      </c>
      <c r="O3955" t="s">
        <v>125</v>
      </c>
      <c r="P3955" t="s">
        <v>125</v>
      </c>
      <c r="Q3955" t="s">
        <v>125</v>
      </c>
      <c r="R3955" t="s">
        <v>125</v>
      </c>
      <c r="S3955" t="s">
        <v>125</v>
      </c>
      <c r="T3955">
        <v>0</v>
      </c>
      <c r="V3955" t="s">
        <v>125</v>
      </c>
      <c r="AE3955" t="s">
        <v>125</v>
      </c>
      <c r="AF3955">
        <v>0</v>
      </c>
      <c r="AG3955" t="s">
        <v>125</v>
      </c>
      <c r="AH3955">
        <v>0</v>
      </c>
      <c r="AK3955">
        <v>0</v>
      </c>
    </row>
    <row r="3956" spans="1:37" x14ac:dyDescent="0.25">
      <c r="A3956" t="s">
        <v>79</v>
      </c>
      <c r="B3956">
        <v>15</v>
      </c>
      <c r="C3956">
        <v>3</v>
      </c>
      <c r="D3956">
        <v>3</v>
      </c>
      <c r="E3956">
        <v>9</v>
      </c>
      <c r="G3956">
        <v>1533</v>
      </c>
      <c r="H3956" t="s">
        <v>63</v>
      </c>
      <c r="I3956" t="s">
        <v>74</v>
      </c>
      <c r="J3956" t="s">
        <v>149</v>
      </c>
      <c r="L3956">
        <v>0</v>
      </c>
      <c r="M3956" t="s">
        <v>125</v>
      </c>
      <c r="O3956" t="s">
        <v>125</v>
      </c>
      <c r="P3956" t="s">
        <v>125</v>
      </c>
      <c r="Q3956" t="s">
        <v>125</v>
      </c>
      <c r="R3956" t="s">
        <v>125</v>
      </c>
      <c r="S3956" t="s">
        <v>125</v>
      </c>
      <c r="T3956">
        <v>0</v>
      </c>
      <c r="V3956" t="s">
        <v>125</v>
      </c>
      <c r="AE3956" t="s">
        <v>125</v>
      </c>
      <c r="AF3956">
        <v>0</v>
      </c>
      <c r="AG3956" t="s">
        <v>125</v>
      </c>
      <c r="AH3956">
        <v>0</v>
      </c>
      <c r="AK3956">
        <v>0</v>
      </c>
    </row>
    <row r="3957" spans="1:37" x14ac:dyDescent="0.25">
      <c r="A3957" t="s">
        <v>79</v>
      </c>
      <c r="B3957">
        <v>15</v>
      </c>
      <c r="C3957">
        <v>3</v>
      </c>
      <c r="D3957">
        <v>3</v>
      </c>
      <c r="E3957">
        <v>10</v>
      </c>
      <c r="G3957">
        <v>1533</v>
      </c>
      <c r="H3957" t="s">
        <v>63</v>
      </c>
      <c r="I3957" t="s">
        <v>129</v>
      </c>
      <c r="J3957" t="s">
        <v>150</v>
      </c>
      <c r="L3957">
        <v>0</v>
      </c>
      <c r="M3957" t="s">
        <v>125</v>
      </c>
      <c r="O3957" t="s">
        <v>125</v>
      </c>
      <c r="P3957" t="s">
        <v>125</v>
      </c>
      <c r="Q3957" t="s">
        <v>125</v>
      </c>
      <c r="R3957" t="s">
        <v>125</v>
      </c>
      <c r="S3957" t="s">
        <v>125</v>
      </c>
      <c r="T3957">
        <v>0</v>
      </c>
      <c r="V3957" t="s">
        <v>125</v>
      </c>
      <c r="AE3957" t="s">
        <v>125</v>
      </c>
      <c r="AF3957">
        <v>0</v>
      </c>
      <c r="AG3957" t="s">
        <v>125</v>
      </c>
      <c r="AH3957">
        <v>0</v>
      </c>
      <c r="AK3957">
        <v>0</v>
      </c>
    </row>
    <row r="3958" spans="1:37" x14ac:dyDescent="0.25">
      <c r="A3958" t="s">
        <v>79</v>
      </c>
      <c r="B3958">
        <v>15</v>
      </c>
      <c r="C3958">
        <v>3</v>
      </c>
      <c r="D3958">
        <v>3</v>
      </c>
      <c r="E3958">
        <v>11</v>
      </c>
      <c r="G3958">
        <v>1533</v>
      </c>
      <c r="H3958" t="s">
        <v>63</v>
      </c>
      <c r="I3958" t="s">
        <v>131</v>
      </c>
      <c r="J3958" t="s">
        <v>151</v>
      </c>
      <c r="L3958">
        <v>0</v>
      </c>
      <c r="M3958" t="s">
        <v>125</v>
      </c>
      <c r="O3958" t="s">
        <v>125</v>
      </c>
      <c r="P3958" t="s">
        <v>125</v>
      </c>
      <c r="Q3958" t="s">
        <v>125</v>
      </c>
      <c r="R3958" t="s">
        <v>125</v>
      </c>
      <c r="S3958" t="s">
        <v>125</v>
      </c>
      <c r="T3958">
        <v>0</v>
      </c>
      <c r="V3958" t="s">
        <v>125</v>
      </c>
      <c r="AE3958" t="s">
        <v>125</v>
      </c>
      <c r="AF3958">
        <v>0</v>
      </c>
      <c r="AG3958" t="s">
        <v>125</v>
      </c>
      <c r="AH3958">
        <v>0</v>
      </c>
      <c r="AK3958">
        <v>0</v>
      </c>
    </row>
    <row r="3959" spans="1:37" x14ac:dyDescent="0.25">
      <c r="A3959" t="s">
        <v>79</v>
      </c>
      <c r="B3959">
        <v>15</v>
      </c>
      <c r="C3959">
        <v>3</v>
      </c>
      <c r="D3959">
        <v>3</v>
      </c>
      <c r="E3959">
        <v>12</v>
      </c>
      <c r="G3959">
        <v>1533</v>
      </c>
      <c r="H3959" t="s">
        <v>63</v>
      </c>
      <c r="I3959" t="s">
        <v>133</v>
      </c>
      <c r="J3959" t="s">
        <v>152</v>
      </c>
      <c r="L3959">
        <v>0</v>
      </c>
      <c r="M3959" t="s">
        <v>125</v>
      </c>
      <c r="O3959" t="s">
        <v>125</v>
      </c>
      <c r="P3959" t="s">
        <v>125</v>
      </c>
      <c r="Q3959" t="s">
        <v>125</v>
      </c>
      <c r="R3959" t="s">
        <v>125</v>
      </c>
      <c r="S3959" t="s">
        <v>125</v>
      </c>
      <c r="T3959">
        <v>0</v>
      </c>
      <c r="V3959" t="s">
        <v>125</v>
      </c>
      <c r="AE3959" t="s">
        <v>125</v>
      </c>
      <c r="AF3959">
        <v>0</v>
      </c>
      <c r="AG3959" t="s">
        <v>125</v>
      </c>
      <c r="AH3959">
        <v>0</v>
      </c>
      <c r="AK3959">
        <v>0</v>
      </c>
    </row>
    <row r="3960" spans="1:37" x14ac:dyDescent="0.25">
      <c r="A3960" t="s">
        <v>79</v>
      </c>
      <c r="B3960">
        <v>15</v>
      </c>
      <c r="C3960">
        <v>3</v>
      </c>
      <c r="D3960">
        <v>3</v>
      </c>
      <c r="E3960">
        <v>13</v>
      </c>
      <c r="G3960">
        <v>1533</v>
      </c>
      <c r="H3960" t="s">
        <v>63</v>
      </c>
      <c r="I3960" t="s">
        <v>135</v>
      </c>
      <c r="J3960" t="s">
        <v>153</v>
      </c>
      <c r="L3960">
        <v>0</v>
      </c>
      <c r="M3960" t="s">
        <v>125</v>
      </c>
      <c r="O3960" t="s">
        <v>125</v>
      </c>
      <c r="P3960" t="s">
        <v>125</v>
      </c>
      <c r="Q3960" t="s">
        <v>125</v>
      </c>
      <c r="R3960" t="s">
        <v>125</v>
      </c>
      <c r="S3960" t="s">
        <v>125</v>
      </c>
      <c r="T3960">
        <v>0</v>
      </c>
      <c r="V3960" t="s">
        <v>125</v>
      </c>
      <c r="AE3960" t="s">
        <v>125</v>
      </c>
      <c r="AF3960">
        <v>0</v>
      </c>
      <c r="AG3960" t="s">
        <v>125</v>
      </c>
      <c r="AH3960">
        <v>0</v>
      </c>
      <c r="AK3960">
        <v>0</v>
      </c>
    </row>
    <row r="3961" spans="1:37" x14ac:dyDescent="0.25">
      <c r="A3961" t="s">
        <v>79</v>
      </c>
      <c r="B3961">
        <v>15</v>
      </c>
      <c r="C3961">
        <v>3</v>
      </c>
      <c r="D3961">
        <v>3</v>
      </c>
      <c r="E3961">
        <v>14</v>
      </c>
      <c r="G3961">
        <v>1533</v>
      </c>
      <c r="H3961" t="s">
        <v>63</v>
      </c>
      <c r="I3961" t="s">
        <v>137</v>
      </c>
      <c r="J3961" t="s">
        <v>154</v>
      </c>
      <c r="L3961">
        <v>0</v>
      </c>
      <c r="M3961" t="s">
        <v>125</v>
      </c>
      <c r="O3961" t="s">
        <v>125</v>
      </c>
      <c r="P3961" t="s">
        <v>125</v>
      </c>
      <c r="Q3961" t="s">
        <v>125</v>
      </c>
      <c r="R3961" t="s">
        <v>125</v>
      </c>
      <c r="S3961" t="s">
        <v>125</v>
      </c>
      <c r="T3961">
        <v>0</v>
      </c>
      <c r="V3961" t="s">
        <v>125</v>
      </c>
      <c r="AE3961" t="s">
        <v>125</v>
      </c>
      <c r="AF3961">
        <v>0</v>
      </c>
      <c r="AG3961" t="s">
        <v>125</v>
      </c>
      <c r="AH3961">
        <v>0</v>
      </c>
      <c r="AK3961">
        <v>0</v>
      </c>
    </row>
    <row r="3962" spans="1:37" x14ac:dyDescent="0.25">
      <c r="A3962" t="s">
        <v>79</v>
      </c>
      <c r="B3962">
        <v>15</v>
      </c>
      <c r="C3962">
        <v>3</v>
      </c>
      <c r="D3962">
        <v>3</v>
      </c>
      <c r="E3962">
        <v>15</v>
      </c>
      <c r="G3962">
        <v>1533</v>
      </c>
      <c r="H3962" t="s">
        <v>63</v>
      </c>
      <c r="I3962" t="s">
        <v>139</v>
      </c>
      <c r="J3962" t="s">
        <v>155</v>
      </c>
      <c r="L3962">
        <v>0</v>
      </c>
      <c r="M3962" t="s">
        <v>125</v>
      </c>
      <c r="O3962" t="s">
        <v>125</v>
      </c>
      <c r="P3962" t="s">
        <v>125</v>
      </c>
      <c r="Q3962" t="s">
        <v>125</v>
      </c>
      <c r="R3962" t="s">
        <v>125</v>
      </c>
      <c r="S3962" t="s">
        <v>125</v>
      </c>
      <c r="T3962">
        <v>0</v>
      </c>
      <c r="V3962" t="s">
        <v>125</v>
      </c>
      <c r="AE3962" t="s">
        <v>125</v>
      </c>
      <c r="AF3962">
        <v>0</v>
      </c>
      <c r="AG3962" t="s">
        <v>125</v>
      </c>
      <c r="AH3962">
        <v>0</v>
      </c>
      <c r="AK3962">
        <v>0</v>
      </c>
    </row>
    <row r="3963" spans="1:37" x14ac:dyDescent="0.25">
      <c r="L3963">
        <v>0</v>
      </c>
    </row>
    <row r="3964" spans="1:37" x14ac:dyDescent="0.25">
      <c r="A3964" t="s">
        <v>70</v>
      </c>
      <c r="B3964">
        <v>15</v>
      </c>
      <c r="C3964">
        <v>3</v>
      </c>
      <c r="D3964">
        <v>4</v>
      </c>
      <c r="G3964">
        <v>153</v>
      </c>
      <c r="L3964">
        <v>0</v>
      </c>
      <c r="M3964" t="s">
        <v>125</v>
      </c>
      <c r="P3964" t="s">
        <v>125</v>
      </c>
      <c r="R3964" t="s">
        <v>125</v>
      </c>
      <c r="S3964" t="s">
        <v>63</v>
      </c>
      <c r="V3964" t="s">
        <v>125</v>
      </c>
      <c r="X3964" t="s">
        <v>125</v>
      </c>
      <c r="Y3964" t="s">
        <v>125</v>
      </c>
      <c r="Z3964" t="s">
        <v>125</v>
      </c>
      <c r="AA3964" t="s">
        <v>125</v>
      </c>
      <c r="AB3964" t="s">
        <v>125</v>
      </c>
      <c r="AC3964" t="s">
        <v>125</v>
      </c>
      <c r="AE3964" t="s">
        <v>125</v>
      </c>
      <c r="AF3964">
        <v>0</v>
      </c>
      <c r="AG3964" t="s">
        <v>125</v>
      </c>
      <c r="AH3964">
        <v>0</v>
      </c>
      <c r="AK3964">
        <v>0</v>
      </c>
    </row>
    <row r="3965" spans="1:37" x14ac:dyDescent="0.25">
      <c r="A3965" t="s">
        <v>79</v>
      </c>
      <c r="B3965">
        <v>15</v>
      </c>
      <c r="C3965">
        <v>3</v>
      </c>
      <c r="D3965">
        <v>4</v>
      </c>
      <c r="E3965">
        <v>1</v>
      </c>
      <c r="G3965">
        <v>1534</v>
      </c>
      <c r="H3965" t="s">
        <v>63</v>
      </c>
      <c r="I3965" t="s">
        <v>80</v>
      </c>
      <c r="J3965" t="s">
        <v>141</v>
      </c>
      <c r="L3965">
        <v>0</v>
      </c>
      <c r="M3965" t="s">
        <v>125</v>
      </c>
      <c r="O3965" t="s">
        <v>125</v>
      </c>
      <c r="P3965" t="s">
        <v>125</v>
      </c>
      <c r="Q3965" t="s">
        <v>125</v>
      </c>
      <c r="R3965" t="s">
        <v>125</v>
      </c>
      <c r="S3965" t="s">
        <v>125</v>
      </c>
      <c r="T3965">
        <v>0</v>
      </c>
      <c r="V3965" t="s">
        <v>125</v>
      </c>
      <c r="AE3965" t="s">
        <v>125</v>
      </c>
      <c r="AF3965">
        <v>0</v>
      </c>
      <c r="AG3965" t="s">
        <v>125</v>
      </c>
      <c r="AH3965">
        <v>0</v>
      </c>
      <c r="AK3965">
        <v>0</v>
      </c>
    </row>
    <row r="3966" spans="1:37" x14ac:dyDescent="0.25">
      <c r="A3966" t="s">
        <v>79</v>
      </c>
      <c r="B3966">
        <v>15</v>
      </c>
      <c r="C3966">
        <v>3</v>
      </c>
      <c r="D3966">
        <v>4</v>
      </c>
      <c r="E3966">
        <v>2</v>
      </c>
      <c r="G3966">
        <v>1534</v>
      </c>
      <c r="H3966" t="s">
        <v>63</v>
      </c>
      <c r="I3966" t="s">
        <v>88</v>
      </c>
      <c r="J3966" t="s">
        <v>142</v>
      </c>
      <c r="L3966">
        <v>0</v>
      </c>
      <c r="M3966" t="s">
        <v>125</v>
      </c>
      <c r="O3966" t="s">
        <v>125</v>
      </c>
      <c r="P3966" t="s">
        <v>125</v>
      </c>
      <c r="Q3966" t="s">
        <v>125</v>
      </c>
      <c r="R3966" t="s">
        <v>125</v>
      </c>
      <c r="S3966" t="s">
        <v>125</v>
      </c>
      <c r="T3966">
        <v>0</v>
      </c>
      <c r="V3966" t="s">
        <v>125</v>
      </c>
      <c r="AE3966" t="s">
        <v>125</v>
      </c>
      <c r="AF3966">
        <v>0</v>
      </c>
      <c r="AG3966" t="s">
        <v>125</v>
      </c>
      <c r="AH3966">
        <v>0</v>
      </c>
      <c r="AK3966">
        <v>0</v>
      </c>
    </row>
    <row r="3967" spans="1:37" x14ac:dyDescent="0.25">
      <c r="A3967" t="s">
        <v>79</v>
      </c>
      <c r="B3967">
        <v>15</v>
      </c>
      <c r="C3967">
        <v>3</v>
      </c>
      <c r="D3967">
        <v>4</v>
      </c>
      <c r="E3967">
        <v>3</v>
      </c>
      <c r="G3967">
        <v>1534</v>
      </c>
      <c r="H3967" t="s">
        <v>63</v>
      </c>
      <c r="I3967" t="s">
        <v>95</v>
      </c>
      <c r="J3967" t="s">
        <v>143</v>
      </c>
      <c r="L3967">
        <v>0</v>
      </c>
      <c r="M3967" t="s">
        <v>125</v>
      </c>
      <c r="O3967" t="s">
        <v>125</v>
      </c>
      <c r="P3967" t="s">
        <v>125</v>
      </c>
      <c r="Q3967" t="s">
        <v>125</v>
      </c>
      <c r="R3967" t="s">
        <v>125</v>
      </c>
      <c r="S3967" t="s">
        <v>125</v>
      </c>
      <c r="T3967">
        <v>0</v>
      </c>
      <c r="V3967" t="s">
        <v>125</v>
      </c>
      <c r="AE3967" t="s">
        <v>125</v>
      </c>
      <c r="AF3967">
        <v>0</v>
      </c>
      <c r="AG3967" t="s">
        <v>125</v>
      </c>
      <c r="AH3967">
        <v>0</v>
      </c>
      <c r="AK3967">
        <v>0</v>
      </c>
    </row>
    <row r="3968" spans="1:37" x14ac:dyDescent="0.25">
      <c r="A3968" t="s">
        <v>79</v>
      </c>
      <c r="B3968">
        <v>15</v>
      </c>
      <c r="C3968">
        <v>3</v>
      </c>
      <c r="D3968">
        <v>4</v>
      </c>
      <c r="E3968">
        <v>4</v>
      </c>
      <c r="G3968">
        <v>1534</v>
      </c>
      <c r="H3968" t="s">
        <v>63</v>
      </c>
      <c r="I3968" t="s">
        <v>102</v>
      </c>
      <c r="J3968" t="s">
        <v>144</v>
      </c>
      <c r="L3968">
        <v>0</v>
      </c>
      <c r="M3968" t="s">
        <v>125</v>
      </c>
      <c r="O3968" t="s">
        <v>125</v>
      </c>
      <c r="P3968" t="s">
        <v>125</v>
      </c>
      <c r="Q3968" t="s">
        <v>125</v>
      </c>
      <c r="R3968" t="s">
        <v>125</v>
      </c>
      <c r="S3968" t="s">
        <v>125</v>
      </c>
      <c r="T3968">
        <v>0</v>
      </c>
      <c r="V3968" t="s">
        <v>125</v>
      </c>
      <c r="AE3968" t="s">
        <v>125</v>
      </c>
      <c r="AF3968">
        <v>0</v>
      </c>
      <c r="AG3968" t="s">
        <v>125</v>
      </c>
      <c r="AH3968">
        <v>0</v>
      </c>
      <c r="AK3968">
        <v>0</v>
      </c>
    </row>
    <row r="3969" spans="1:37" x14ac:dyDescent="0.25">
      <c r="A3969" t="s">
        <v>79</v>
      </c>
      <c r="B3969">
        <v>15</v>
      </c>
      <c r="C3969">
        <v>3</v>
      </c>
      <c r="D3969">
        <v>4</v>
      </c>
      <c r="E3969">
        <v>5</v>
      </c>
      <c r="G3969">
        <v>1534</v>
      </c>
      <c r="H3969" t="s">
        <v>63</v>
      </c>
      <c r="I3969" t="s">
        <v>109</v>
      </c>
      <c r="J3969" t="s">
        <v>145</v>
      </c>
      <c r="L3969">
        <v>0</v>
      </c>
      <c r="M3969" t="s">
        <v>125</v>
      </c>
      <c r="O3969" t="s">
        <v>125</v>
      </c>
      <c r="P3969" t="s">
        <v>125</v>
      </c>
      <c r="Q3969" t="s">
        <v>125</v>
      </c>
      <c r="R3969" t="s">
        <v>125</v>
      </c>
      <c r="S3969" t="s">
        <v>125</v>
      </c>
      <c r="T3969">
        <v>0</v>
      </c>
      <c r="V3969" t="s">
        <v>125</v>
      </c>
      <c r="AE3969" t="s">
        <v>125</v>
      </c>
      <c r="AF3969">
        <v>0</v>
      </c>
      <c r="AG3969" t="s">
        <v>125</v>
      </c>
      <c r="AH3969">
        <v>0</v>
      </c>
      <c r="AK3969">
        <v>0</v>
      </c>
    </row>
    <row r="3970" spans="1:37" x14ac:dyDescent="0.25">
      <c r="A3970" t="s">
        <v>79</v>
      </c>
      <c r="B3970">
        <v>15</v>
      </c>
      <c r="C3970">
        <v>3</v>
      </c>
      <c r="D3970">
        <v>4</v>
      </c>
      <c r="E3970">
        <v>6</v>
      </c>
      <c r="G3970">
        <v>1534</v>
      </c>
      <c r="H3970" t="s">
        <v>63</v>
      </c>
      <c r="I3970" t="s">
        <v>116</v>
      </c>
      <c r="J3970" t="s">
        <v>146</v>
      </c>
      <c r="L3970">
        <v>0</v>
      </c>
      <c r="M3970" t="s">
        <v>125</v>
      </c>
      <c r="O3970" t="s">
        <v>125</v>
      </c>
      <c r="P3970" t="s">
        <v>125</v>
      </c>
      <c r="Q3970" t="s">
        <v>125</v>
      </c>
      <c r="R3970" t="s">
        <v>125</v>
      </c>
      <c r="S3970" t="s">
        <v>125</v>
      </c>
      <c r="T3970">
        <v>0</v>
      </c>
      <c r="V3970" t="s">
        <v>125</v>
      </c>
      <c r="AE3970" t="s">
        <v>125</v>
      </c>
      <c r="AF3970">
        <v>0</v>
      </c>
      <c r="AG3970" t="s">
        <v>125</v>
      </c>
      <c r="AH3970">
        <v>0</v>
      </c>
      <c r="AK3970">
        <v>0</v>
      </c>
    </row>
    <row r="3971" spans="1:37" x14ac:dyDescent="0.25">
      <c r="A3971" t="s">
        <v>79</v>
      </c>
      <c r="B3971">
        <v>15</v>
      </c>
      <c r="C3971">
        <v>3</v>
      </c>
      <c r="D3971">
        <v>4</v>
      </c>
      <c r="E3971">
        <v>7</v>
      </c>
      <c r="G3971">
        <v>1534</v>
      </c>
      <c r="H3971" t="s">
        <v>63</v>
      </c>
      <c r="I3971" t="s">
        <v>123</v>
      </c>
      <c r="J3971" t="s">
        <v>147</v>
      </c>
      <c r="L3971">
        <v>0</v>
      </c>
      <c r="M3971" t="s">
        <v>125</v>
      </c>
      <c r="O3971" t="s">
        <v>125</v>
      </c>
      <c r="P3971" t="s">
        <v>125</v>
      </c>
      <c r="Q3971" t="s">
        <v>125</v>
      </c>
      <c r="R3971" t="s">
        <v>125</v>
      </c>
      <c r="S3971" t="s">
        <v>125</v>
      </c>
      <c r="T3971">
        <v>0</v>
      </c>
      <c r="V3971" t="s">
        <v>125</v>
      </c>
      <c r="AE3971" t="s">
        <v>125</v>
      </c>
      <c r="AF3971">
        <v>0</v>
      </c>
      <c r="AG3971" t="s">
        <v>125</v>
      </c>
      <c r="AH3971">
        <v>0</v>
      </c>
      <c r="AK3971">
        <v>0</v>
      </c>
    </row>
    <row r="3972" spans="1:37" x14ac:dyDescent="0.25">
      <c r="A3972" t="s">
        <v>79</v>
      </c>
      <c r="B3972">
        <v>15</v>
      </c>
      <c r="C3972">
        <v>3</v>
      </c>
      <c r="D3972">
        <v>4</v>
      </c>
      <c r="E3972">
        <v>8</v>
      </c>
      <c r="G3972">
        <v>1534</v>
      </c>
      <c r="H3972" t="s">
        <v>63</v>
      </c>
      <c r="I3972" t="s">
        <v>126</v>
      </c>
      <c r="J3972" t="s">
        <v>148</v>
      </c>
      <c r="L3972">
        <v>0</v>
      </c>
      <c r="M3972" t="s">
        <v>125</v>
      </c>
      <c r="O3972" t="s">
        <v>125</v>
      </c>
      <c r="P3972" t="s">
        <v>125</v>
      </c>
      <c r="Q3972" t="s">
        <v>125</v>
      </c>
      <c r="R3972" t="s">
        <v>125</v>
      </c>
      <c r="S3972" t="s">
        <v>125</v>
      </c>
      <c r="T3972">
        <v>0</v>
      </c>
      <c r="V3972" t="s">
        <v>125</v>
      </c>
      <c r="AE3972" t="s">
        <v>125</v>
      </c>
      <c r="AF3972">
        <v>0</v>
      </c>
      <c r="AG3972" t="s">
        <v>125</v>
      </c>
      <c r="AH3972">
        <v>0</v>
      </c>
      <c r="AK3972">
        <v>0</v>
      </c>
    </row>
    <row r="3973" spans="1:37" x14ac:dyDescent="0.25">
      <c r="A3973" t="s">
        <v>79</v>
      </c>
      <c r="B3973">
        <v>15</v>
      </c>
      <c r="C3973">
        <v>3</v>
      </c>
      <c r="D3973">
        <v>4</v>
      </c>
      <c r="E3973">
        <v>9</v>
      </c>
      <c r="G3973">
        <v>1534</v>
      </c>
      <c r="H3973" t="s">
        <v>63</v>
      </c>
      <c r="I3973" t="s">
        <v>74</v>
      </c>
      <c r="J3973" t="s">
        <v>149</v>
      </c>
      <c r="L3973">
        <v>0</v>
      </c>
      <c r="M3973" t="s">
        <v>125</v>
      </c>
      <c r="O3973" t="s">
        <v>125</v>
      </c>
      <c r="P3973" t="s">
        <v>125</v>
      </c>
      <c r="Q3973" t="s">
        <v>125</v>
      </c>
      <c r="R3973" t="s">
        <v>125</v>
      </c>
      <c r="S3973" t="s">
        <v>125</v>
      </c>
      <c r="T3973">
        <v>0</v>
      </c>
      <c r="V3973" t="s">
        <v>125</v>
      </c>
      <c r="AE3973" t="s">
        <v>125</v>
      </c>
      <c r="AF3973">
        <v>0</v>
      </c>
      <c r="AG3973" t="s">
        <v>125</v>
      </c>
      <c r="AH3973">
        <v>0</v>
      </c>
      <c r="AK3973">
        <v>0</v>
      </c>
    </row>
    <row r="3974" spans="1:37" x14ac:dyDescent="0.25">
      <c r="A3974" t="s">
        <v>79</v>
      </c>
      <c r="B3974">
        <v>15</v>
      </c>
      <c r="C3974">
        <v>3</v>
      </c>
      <c r="D3974">
        <v>4</v>
      </c>
      <c r="E3974">
        <v>10</v>
      </c>
      <c r="G3974">
        <v>1534</v>
      </c>
      <c r="H3974" t="s">
        <v>63</v>
      </c>
      <c r="I3974" t="s">
        <v>129</v>
      </c>
      <c r="J3974" t="s">
        <v>150</v>
      </c>
      <c r="L3974">
        <v>0</v>
      </c>
      <c r="M3974" t="s">
        <v>125</v>
      </c>
      <c r="O3974" t="s">
        <v>125</v>
      </c>
      <c r="P3974" t="s">
        <v>125</v>
      </c>
      <c r="Q3974" t="s">
        <v>125</v>
      </c>
      <c r="R3974" t="s">
        <v>125</v>
      </c>
      <c r="S3974" t="s">
        <v>125</v>
      </c>
      <c r="T3974">
        <v>0</v>
      </c>
      <c r="V3974" t="s">
        <v>125</v>
      </c>
      <c r="AE3974" t="s">
        <v>125</v>
      </c>
      <c r="AF3974">
        <v>0</v>
      </c>
      <c r="AG3974" t="s">
        <v>125</v>
      </c>
      <c r="AH3974">
        <v>0</v>
      </c>
      <c r="AK3974">
        <v>0</v>
      </c>
    </row>
    <row r="3975" spans="1:37" x14ac:dyDescent="0.25">
      <c r="A3975" t="s">
        <v>79</v>
      </c>
      <c r="B3975">
        <v>15</v>
      </c>
      <c r="C3975">
        <v>3</v>
      </c>
      <c r="D3975">
        <v>4</v>
      </c>
      <c r="E3975">
        <v>11</v>
      </c>
      <c r="G3975">
        <v>1534</v>
      </c>
      <c r="H3975" t="s">
        <v>63</v>
      </c>
      <c r="I3975" t="s">
        <v>131</v>
      </c>
      <c r="J3975" t="s">
        <v>151</v>
      </c>
      <c r="L3975">
        <v>0</v>
      </c>
      <c r="M3975" t="s">
        <v>125</v>
      </c>
      <c r="O3975" t="s">
        <v>125</v>
      </c>
      <c r="P3975" t="s">
        <v>125</v>
      </c>
      <c r="Q3975" t="s">
        <v>125</v>
      </c>
      <c r="R3975" t="s">
        <v>125</v>
      </c>
      <c r="S3975" t="s">
        <v>125</v>
      </c>
      <c r="T3975">
        <v>0</v>
      </c>
      <c r="V3975" t="s">
        <v>125</v>
      </c>
      <c r="AE3975" t="s">
        <v>125</v>
      </c>
      <c r="AF3975">
        <v>0</v>
      </c>
      <c r="AG3975" t="s">
        <v>125</v>
      </c>
      <c r="AH3975">
        <v>0</v>
      </c>
      <c r="AK3975">
        <v>0</v>
      </c>
    </row>
    <row r="3976" spans="1:37" x14ac:dyDescent="0.25">
      <c r="A3976" t="s">
        <v>79</v>
      </c>
      <c r="B3976">
        <v>15</v>
      </c>
      <c r="C3976">
        <v>3</v>
      </c>
      <c r="D3976">
        <v>4</v>
      </c>
      <c r="E3976">
        <v>12</v>
      </c>
      <c r="G3976">
        <v>1534</v>
      </c>
      <c r="H3976" t="s">
        <v>63</v>
      </c>
      <c r="I3976" t="s">
        <v>133</v>
      </c>
      <c r="J3976" t="s">
        <v>152</v>
      </c>
      <c r="L3976">
        <v>0</v>
      </c>
      <c r="M3976" t="s">
        <v>125</v>
      </c>
      <c r="O3976" t="s">
        <v>125</v>
      </c>
      <c r="P3976" t="s">
        <v>125</v>
      </c>
      <c r="Q3976" t="s">
        <v>125</v>
      </c>
      <c r="R3976" t="s">
        <v>125</v>
      </c>
      <c r="S3976" t="s">
        <v>125</v>
      </c>
      <c r="T3976">
        <v>0</v>
      </c>
      <c r="V3976" t="s">
        <v>125</v>
      </c>
      <c r="AE3976" t="s">
        <v>125</v>
      </c>
      <c r="AF3976">
        <v>0</v>
      </c>
      <c r="AG3976" t="s">
        <v>125</v>
      </c>
      <c r="AH3976">
        <v>0</v>
      </c>
      <c r="AK3976">
        <v>0</v>
      </c>
    </row>
    <row r="3977" spans="1:37" x14ac:dyDescent="0.25">
      <c r="A3977" t="s">
        <v>79</v>
      </c>
      <c r="B3977">
        <v>15</v>
      </c>
      <c r="C3977">
        <v>3</v>
      </c>
      <c r="D3977">
        <v>4</v>
      </c>
      <c r="E3977">
        <v>13</v>
      </c>
      <c r="G3977">
        <v>1534</v>
      </c>
      <c r="H3977" t="s">
        <v>63</v>
      </c>
      <c r="I3977" t="s">
        <v>135</v>
      </c>
      <c r="J3977" t="s">
        <v>153</v>
      </c>
      <c r="L3977">
        <v>0</v>
      </c>
      <c r="M3977" t="s">
        <v>125</v>
      </c>
      <c r="O3977" t="s">
        <v>125</v>
      </c>
      <c r="P3977" t="s">
        <v>125</v>
      </c>
      <c r="Q3977" t="s">
        <v>125</v>
      </c>
      <c r="R3977" t="s">
        <v>125</v>
      </c>
      <c r="S3977" t="s">
        <v>125</v>
      </c>
      <c r="T3977">
        <v>0</v>
      </c>
      <c r="V3977" t="s">
        <v>125</v>
      </c>
      <c r="AE3977" t="s">
        <v>125</v>
      </c>
      <c r="AF3977">
        <v>0</v>
      </c>
      <c r="AG3977" t="s">
        <v>125</v>
      </c>
      <c r="AH3977">
        <v>0</v>
      </c>
      <c r="AK3977">
        <v>0</v>
      </c>
    </row>
    <row r="3978" spans="1:37" x14ac:dyDescent="0.25">
      <c r="A3978" t="s">
        <v>79</v>
      </c>
      <c r="B3978">
        <v>15</v>
      </c>
      <c r="C3978">
        <v>3</v>
      </c>
      <c r="D3978">
        <v>4</v>
      </c>
      <c r="E3978">
        <v>14</v>
      </c>
      <c r="G3978">
        <v>1534</v>
      </c>
      <c r="H3978" t="s">
        <v>63</v>
      </c>
      <c r="I3978" t="s">
        <v>137</v>
      </c>
      <c r="J3978" t="s">
        <v>154</v>
      </c>
      <c r="L3978">
        <v>0</v>
      </c>
      <c r="M3978" t="s">
        <v>125</v>
      </c>
      <c r="O3978" t="s">
        <v>125</v>
      </c>
      <c r="P3978" t="s">
        <v>125</v>
      </c>
      <c r="Q3978" t="s">
        <v>125</v>
      </c>
      <c r="R3978" t="s">
        <v>125</v>
      </c>
      <c r="S3978" t="s">
        <v>125</v>
      </c>
      <c r="T3978">
        <v>0</v>
      </c>
      <c r="V3978" t="s">
        <v>125</v>
      </c>
      <c r="AE3978" t="s">
        <v>125</v>
      </c>
      <c r="AF3978">
        <v>0</v>
      </c>
      <c r="AG3978" t="s">
        <v>125</v>
      </c>
      <c r="AH3978">
        <v>0</v>
      </c>
      <c r="AK3978">
        <v>0</v>
      </c>
    </row>
    <row r="3979" spans="1:37" x14ac:dyDescent="0.25">
      <c r="A3979" t="s">
        <v>79</v>
      </c>
      <c r="B3979">
        <v>15</v>
      </c>
      <c r="C3979">
        <v>3</v>
      </c>
      <c r="D3979">
        <v>4</v>
      </c>
      <c r="E3979">
        <v>15</v>
      </c>
      <c r="G3979">
        <v>1534</v>
      </c>
      <c r="H3979" t="s">
        <v>63</v>
      </c>
      <c r="I3979" t="s">
        <v>139</v>
      </c>
      <c r="J3979" t="s">
        <v>155</v>
      </c>
      <c r="L3979">
        <v>0</v>
      </c>
      <c r="M3979" t="s">
        <v>125</v>
      </c>
      <c r="O3979" t="s">
        <v>125</v>
      </c>
      <c r="P3979" t="s">
        <v>125</v>
      </c>
      <c r="Q3979" t="s">
        <v>125</v>
      </c>
      <c r="R3979" t="s">
        <v>125</v>
      </c>
      <c r="S3979" t="s">
        <v>125</v>
      </c>
      <c r="T3979">
        <v>0</v>
      </c>
      <c r="V3979" t="s">
        <v>125</v>
      </c>
      <c r="AE3979" t="s">
        <v>125</v>
      </c>
      <c r="AF3979">
        <v>0</v>
      </c>
      <c r="AG3979" t="s">
        <v>125</v>
      </c>
      <c r="AH3979">
        <v>0</v>
      </c>
      <c r="AK3979">
        <v>0</v>
      </c>
    </row>
    <row r="3980" spans="1:37" x14ac:dyDescent="0.25">
      <c r="L3980">
        <v>0</v>
      </c>
    </row>
    <row r="3981" spans="1:37" x14ac:dyDescent="0.25">
      <c r="A3981" t="s">
        <v>70</v>
      </c>
      <c r="B3981">
        <v>15</v>
      </c>
      <c r="C3981">
        <v>3</v>
      </c>
      <c r="D3981">
        <v>5</v>
      </c>
      <c r="G3981">
        <v>153</v>
      </c>
      <c r="L3981">
        <v>0</v>
      </c>
      <c r="M3981" t="s">
        <v>125</v>
      </c>
      <c r="P3981" t="s">
        <v>125</v>
      </c>
      <c r="R3981" t="s">
        <v>125</v>
      </c>
      <c r="S3981" t="s">
        <v>63</v>
      </c>
      <c r="V3981" t="s">
        <v>125</v>
      </c>
      <c r="X3981" t="s">
        <v>125</v>
      </c>
      <c r="Y3981" t="s">
        <v>125</v>
      </c>
      <c r="Z3981" t="s">
        <v>125</v>
      </c>
      <c r="AA3981" t="s">
        <v>125</v>
      </c>
      <c r="AB3981" t="s">
        <v>125</v>
      </c>
      <c r="AC3981" t="s">
        <v>125</v>
      </c>
      <c r="AE3981" t="s">
        <v>125</v>
      </c>
      <c r="AF3981">
        <v>0</v>
      </c>
      <c r="AG3981" t="s">
        <v>125</v>
      </c>
      <c r="AH3981">
        <v>0</v>
      </c>
      <c r="AK3981">
        <v>0</v>
      </c>
    </row>
    <row r="3982" spans="1:37" x14ac:dyDescent="0.25">
      <c r="A3982" t="s">
        <v>79</v>
      </c>
      <c r="B3982">
        <v>15</v>
      </c>
      <c r="C3982">
        <v>3</v>
      </c>
      <c r="D3982">
        <v>5</v>
      </c>
      <c r="E3982">
        <v>1</v>
      </c>
      <c r="G3982">
        <v>1535</v>
      </c>
      <c r="H3982" t="s">
        <v>63</v>
      </c>
      <c r="I3982" t="s">
        <v>80</v>
      </c>
      <c r="J3982" t="s">
        <v>141</v>
      </c>
      <c r="L3982">
        <v>0</v>
      </c>
      <c r="M3982" t="s">
        <v>125</v>
      </c>
      <c r="O3982" t="s">
        <v>125</v>
      </c>
      <c r="P3982" t="s">
        <v>125</v>
      </c>
      <c r="Q3982" t="s">
        <v>125</v>
      </c>
      <c r="R3982" t="s">
        <v>125</v>
      </c>
      <c r="S3982" t="s">
        <v>125</v>
      </c>
      <c r="T3982">
        <v>0</v>
      </c>
      <c r="V3982" t="s">
        <v>125</v>
      </c>
      <c r="AE3982" t="s">
        <v>125</v>
      </c>
      <c r="AF3982">
        <v>0</v>
      </c>
      <c r="AG3982" t="s">
        <v>125</v>
      </c>
      <c r="AH3982">
        <v>0</v>
      </c>
      <c r="AK3982">
        <v>0</v>
      </c>
    </row>
    <row r="3983" spans="1:37" x14ac:dyDescent="0.25">
      <c r="A3983" t="s">
        <v>79</v>
      </c>
      <c r="B3983">
        <v>15</v>
      </c>
      <c r="C3983">
        <v>3</v>
      </c>
      <c r="D3983">
        <v>5</v>
      </c>
      <c r="E3983">
        <v>2</v>
      </c>
      <c r="G3983">
        <v>1535</v>
      </c>
      <c r="H3983" t="s">
        <v>63</v>
      </c>
      <c r="I3983" t="s">
        <v>88</v>
      </c>
      <c r="J3983" t="s">
        <v>142</v>
      </c>
      <c r="L3983">
        <v>0</v>
      </c>
      <c r="M3983" t="s">
        <v>125</v>
      </c>
      <c r="O3983" t="s">
        <v>125</v>
      </c>
      <c r="P3983" t="s">
        <v>125</v>
      </c>
      <c r="Q3983" t="s">
        <v>125</v>
      </c>
      <c r="R3983" t="s">
        <v>125</v>
      </c>
      <c r="S3983" t="s">
        <v>125</v>
      </c>
      <c r="T3983">
        <v>0</v>
      </c>
      <c r="V3983" t="s">
        <v>125</v>
      </c>
      <c r="AE3983" t="s">
        <v>125</v>
      </c>
      <c r="AF3983">
        <v>0</v>
      </c>
      <c r="AG3983" t="s">
        <v>125</v>
      </c>
      <c r="AH3983">
        <v>0</v>
      </c>
      <c r="AK3983">
        <v>0</v>
      </c>
    </row>
    <row r="3984" spans="1:37" x14ac:dyDescent="0.25">
      <c r="A3984" t="s">
        <v>79</v>
      </c>
      <c r="B3984">
        <v>15</v>
      </c>
      <c r="C3984">
        <v>3</v>
      </c>
      <c r="D3984">
        <v>5</v>
      </c>
      <c r="E3984">
        <v>3</v>
      </c>
      <c r="G3984">
        <v>1535</v>
      </c>
      <c r="H3984" t="s">
        <v>63</v>
      </c>
      <c r="I3984" t="s">
        <v>95</v>
      </c>
      <c r="J3984" t="s">
        <v>143</v>
      </c>
      <c r="L3984">
        <v>0</v>
      </c>
      <c r="M3984" t="s">
        <v>125</v>
      </c>
      <c r="O3984" t="s">
        <v>125</v>
      </c>
      <c r="P3984" t="s">
        <v>125</v>
      </c>
      <c r="Q3984" t="s">
        <v>125</v>
      </c>
      <c r="R3984" t="s">
        <v>125</v>
      </c>
      <c r="S3984" t="s">
        <v>125</v>
      </c>
      <c r="T3984">
        <v>0</v>
      </c>
      <c r="V3984" t="s">
        <v>125</v>
      </c>
      <c r="AE3984" t="s">
        <v>125</v>
      </c>
      <c r="AF3984">
        <v>0</v>
      </c>
      <c r="AG3984" t="s">
        <v>125</v>
      </c>
      <c r="AH3984">
        <v>0</v>
      </c>
      <c r="AK3984">
        <v>0</v>
      </c>
    </row>
    <row r="3985" spans="1:37" x14ac:dyDescent="0.25">
      <c r="A3985" t="s">
        <v>79</v>
      </c>
      <c r="B3985">
        <v>15</v>
      </c>
      <c r="C3985">
        <v>3</v>
      </c>
      <c r="D3985">
        <v>5</v>
      </c>
      <c r="E3985">
        <v>4</v>
      </c>
      <c r="G3985">
        <v>1535</v>
      </c>
      <c r="H3985" t="s">
        <v>63</v>
      </c>
      <c r="I3985" t="s">
        <v>102</v>
      </c>
      <c r="J3985" t="s">
        <v>144</v>
      </c>
      <c r="L3985">
        <v>0</v>
      </c>
      <c r="M3985" t="s">
        <v>125</v>
      </c>
      <c r="O3985" t="s">
        <v>125</v>
      </c>
      <c r="P3985" t="s">
        <v>125</v>
      </c>
      <c r="Q3985" t="s">
        <v>125</v>
      </c>
      <c r="R3985" t="s">
        <v>125</v>
      </c>
      <c r="S3985" t="s">
        <v>125</v>
      </c>
      <c r="T3985">
        <v>0</v>
      </c>
      <c r="V3985" t="s">
        <v>125</v>
      </c>
      <c r="AE3985" t="s">
        <v>125</v>
      </c>
      <c r="AF3985">
        <v>0</v>
      </c>
      <c r="AG3985" t="s">
        <v>125</v>
      </c>
      <c r="AH3985">
        <v>0</v>
      </c>
      <c r="AK3985">
        <v>0</v>
      </c>
    </row>
    <row r="3986" spans="1:37" x14ac:dyDescent="0.25">
      <c r="A3986" t="s">
        <v>79</v>
      </c>
      <c r="B3986">
        <v>15</v>
      </c>
      <c r="C3986">
        <v>3</v>
      </c>
      <c r="D3986">
        <v>5</v>
      </c>
      <c r="E3986">
        <v>5</v>
      </c>
      <c r="G3986">
        <v>1535</v>
      </c>
      <c r="H3986" t="s">
        <v>63</v>
      </c>
      <c r="I3986" t="s">
        <v>109</v>
      </c>
      <c r="J3986" t="s">
        <v>145</v>
      </c>
      <c r="L3986">
        <v>0</v>
      </c>
      <c r="M3986" t="s">
        <v>125</v>
      </c>
      <c r="O3986" t="s">
        <v>125</v>
      </c>
      <c r="P3986" t="s">
        <v>125</v>
      </c>
      <c r="Q3986" t="s">
        <v>125</v>
      </c>
      <c r="R3986" t="s">
        <v>125</v>
      </c>
      <c r="S3986" t="s">
        <v>125</v>
      </c>
      <c r="T3986">
        <v>0</v>
      </c>
      <c r="V3986" t="s">
        <v>125</v>
      </c>
      <c r="AE3986" t="s">
        <v>125</v>
      </c>
      <c r="AF3986">
        <v>0</v>
      </c>
      <c r="AG3986" t="s">
        <v>125</v>
      </c>
      <c r="AH3986">
        <v>0</v>
      </c>
      <c r="AK3986">
        <v>0</v>
      </c>
    </row>
    <row r="3987" spans="1:37" x14ac:dyDescent="0.25">
      <c r="A3987" t="s">
        <v>79</v>
      </c>
      <c r="B3987">
        <v>15</v>
      </c>
      <c r="C3987">
        <v>3</v>
      </c>
      <c r="D3987">
        <v>5</v>
      </c>
      <c r="E3987">
        <v>6</v>
      </c>
      <c r="G3987">
        <v>1535</v>
      </c>
      <c r="H3987" t="s">
        <v>63</v>
      </c>
      <c r="I3987" t="s">
        <v>116</v>
      </c>
      <c r="J3987" t="s">
        <v>146</v>
      </c>
      <c r="L3987">
        <v>0</v>
      </c>
      <c r="M3987" t="s">
        <v>125</v>
      </c>
      <c r="O3987" t="s">
        <v>125</v>
      </c>
      <c r="P3987" t="s">
        <v>125</v>
      </c>
      <c r="Q3987" t="s">
        <v>125</v>
      </c>
      <c r="R3987" t="s">
        <v>125</v>
      </c>
      <c r="S3987" t="s">
        <v>125</v>
      </c>
      <c r="T3987">
        <v>0</v>
      </c>
      <c r="V3987" t="s">
        <v>125</v>
      </c>
      <c r="AE3987" t="s">
        <v>125</v>
      </c>
      <c r="AF3987">
        <v>0</v>
      </c>
      <c r="AG3987" t="s">
        <v>125</v>
      </c>
      <c r="AH3987">
        <v>0</v>
      </c>
      <c r="AK3987">
        <v>0</v>
      </c>
    </row>
    <row r="3988" spans="1:37" x14ac:dyDescent="0.25">
      <c r="A3988" t="s">
        <v>79</v>
      </c>
      <c r="B3988">
        <v>15</v>
      </c>
      <c r="C3988">
        <v>3</v>
      </c>
      <c r="D3988">
        <v>5</v>
      </c>
      <c r="E3988">
        <v>7</v>
      </c>
      <c r="G3988">
        <v>1535</v>
      </c>
      <c r="H3988" t="s">
        <v>63</v>
      </c>
      <c r="I3988" t="s">
        <v>123</v>
      </c>
      <c r="J3988" t="s">
        <v>147</v>
      </c>
      <c r="L3988">
        <v>0</v>
      </c>
      <c r="M3988" t="s">
        <v>125</v>
      </c>
      <c r="O3988" t="s">
        <v>125</v>
      </c>
      <c r="P3988" t="s">
        <v>125</v>
      </c>
      <c r="Q3988" t="s">
        <v>125</v>
      </c>
      <c r="R3988" t="s">
        <v>125</v>
      </c>
      <c r="S3988" t="s">
        <v>125</v>
      </c>
      <c r="T3988">
        <v>0</v>
      </c>
      <c r="V3988" t="s">
        <v>125</v>
      </c>
      <c r="AE3988" t="s">
        <v>125</v>
      </c>
      <c r="AF3988">
        <v>0</v>
      </c>
      <c r="AG3988" t="s">
        <v>125</v>
      </c>
      <c r="AH3988">
        <v>0</v>
      </c>
      <c r="AK3988">
        <v>0</v>
      </c>
    </row>
    <row r="3989" spans="1:37" x14ac:dyDescent="0.25">
      <c r="A3989" t="s">
        <v>79</v>
      </c>
      <c r="B3989">
        <v>15</v>
      </c>
      <c r="C3989">
        <v>3</v>
      </c>
      <c r="D3989">
        <v>5</v>
      </c>
      <c r="E3989">
        <v>8</v>
      </c>
      <c r="G3989">
        <v>1535</v>
      </c>
      <c r="H3989" t="s">
        <v>63</v>
      </c>
      <c r="I3989" t="s">
        <v>126</v>
      </c>
      <c r="J3989" t="s">
        <v>148</v>
      </c>
      <c r="L3989">
        <v>0</v>
      </c>
      <c r="M3989" t="s">
        <v>125</v>
      </c>
      <c r="O3989" t="s">
        <v>125</v>
      </c>
      <c r="P3989" t="s">
        <v>125</v>
      </c>
      <c r="Q3989" t="s">
        <v>125</v>
      </c>
      <c r="R3989" t="s">
        <v>125</v>
      </c>
      <c r="S3989" t="s">
        <v>125</v>
      </c>
      <c r="T3989">
        <v>0</v>
      </c>
      <c r="V3989" t="s">
        <v>125</v>
      </c>
      <c r="AE3989" t="s">
        <v>125</v>
      </c>
      <c r="AF3989">
        <v>0</v>
      </c>
      <c r="AG3989" t="s">
        <v>125</v>
      </c>
      <c r="AH3989">
        <v>0</v>
      </c>
      <c r="AK3989">
        <v>0</v>
      </c>
    </row>
    <row r="3990" spans="1:37" x14ac:dyDescent="0.25">
      <c r="A3990" t="s">
        <v>79</v>
      </c>
      <c r="B3990">
        <v>15</v>
      </c>
      <c r="C3990">
        <v>3</v>
      </c>
      <c r="D3990">
        <v>5</v>
      </c>
      <c r="E3990">
        <v>9</v>
      </c>
      <c r="G3990">
        <v>1535</v>
      </c>
      <c r="H3990" t="s">
        <v>63</v>
      </c>
      <c r="I3990" t="s">
        <v>74</v>
      </c>
      <c r="J3990" t="s">
        <v>149</v>
      </c>
      <c r="L3990">
        <v>0</v>
      </c>
      <c r="M3990" t="s">
        <v>125</v>
      </c>
      <c r="O3990" t="s">
        <v>125</v>
      </c>
      <c r="P3990" t="s">
        <v>125</v>
      </c>
      <c r="Q3990" t="s">
        <v>125</v>
      </c>
      <c r="R3990" t="s">
        <v>125</v>
      </c>
      <c r="S3990" t="s">
        <v>125</v>
      </c>
      <c r="T3990">
        <v>0</v>
      </c>
      <c r="V3990" t="s">
        <v>125</v>
      </c>
      <c r="AE3990" t="s">
        <v>125</v>
      </c>
      <c r="AF3990">
        <v>0</v>
      </c>
      <c r="AG3990" t="s">
        <v>125</v>
      </c>
      <c r="AH3990">
        <v>0</v>
      </c>
      <c r="AK3990">
        <v>0</v>
      </c>
    </row>
    <row r="3991" spans="1:37" x14ac:dyDescent="0.25">
      <c r="A3991" t="s">
        <v>79</v>
      </c>
      <c r="B3991">
        <v>15</v>
      </c>
      <c r="C3991">
        <v>3</v>
      </c>
      <c r="D3991">
        <v>5</v>
      </c>
      <c r="E3991">
        <v>10</v>
      </c>
      <c r="G3991">
        <v>1535</v>
      </c>
      <c r="H3991" t="s">
        <v>63</v>
      </c>
      <c r="I3991" t="s">
        <v>129</v>
      </c>
      <c r="J3991" t="s">
        <v>150</v>
      </c>
      <c r="L3991">
        <v>0</v>
      </c>
      <c r="M3991" t="s">
        <v>125</v>
      </c>
      <c r="O3991" t="s">
        <v>125</v>
      </c>
      <c r="P3991" t="s">
        <v>125</v>
      </c>
      <c r="Q3991" t="s">
        <v>125</v>
      </c>
      <c r="R3991" t="s">
        <v>125</v>
      </c>
      <c r="S3991" t="s">
        <v>125</v>
      </c>
      <c r="T3991">
        <v>0</v>
      </c>
      <c r="V3991" t="s">
        <v>125</v>
      </c>
      <c r="AE3991" t="s">
        <v>125</v>
      </c>
      <c r="AF3991">
        <v>0</v>
      </c>
      <c r="AG3991" t="s">
        <v>125</v>
      </c>
      <c r="AH3991">
        <v>0</v>
      </c>
      <c r="AK3991">
        <v>0</v>
      </c>
    </row>
    <row r="3992" spans="1:37" x14ac:dyDescent="0.25">
      <c r="A3992" t="s">
        <v>79</v>
      </c>
      <c r="B3992">
        <v>15</v>
      </c>
      <c r="C3992">
        <v>3</v>
      </c>
      <c r="D3992">
        <v>5</v>
      </c>
      <c r="E3992">
        <v>11</v>
      </c>
      <c r="G3992">
        <v>1535</v>
      </c>
      <c r="H3992" t="s">
        <v>63</v>
      </c>
      <c r="I3992" t="s">
        <v>131</v>
      </c>
      <c r="J3992" t="s">
        <v>151</v>
      </c>
      <c r="L3992">
        <v>0</v>
      </c>
      <c r="M3992" t="s">
        <v>125</v>
      </c>
      <c r="O3992" t="s">
        <v>125</v>
      </c>
      <c r="P3992" t="s">
        <v>125</v>
      </c>
      <c r="Q3992" t="s">
        <v>125</v>
      </c>
      <c r="R3992" t="s">
        <v>125</v>
      </c>
      <c r="S3992" t="s">
        <v>125</v>
      </c>
      <c r="T3992">
        <v>0</v>
      </c>
      <c r="V3992" t="s">
        <v>125</v>
      </c>
      <c r="AE3992" t="s">
        <v>125</v>
      </c>
      <c r="AF3992">
        <v>0</v>
      </c>
      <c r="AG3992" t="s">
        <v>125</v>
      </c>
      <c r="AH3992">
        <v>0</v>
      </c>
      <c r="AK3992">
        <v>0</v>
      </c>
    </row>
    <row r="3993" spans="1:37" x14ac:dyDescent="0.25">
      <c r="A3993" t="s">
        <v>79</v>
      </c>
      <c r="B3993">
        <v>15</v>
      </c>
      <c r="C3993">
        <v>3</v>
      </c>
      <c r="D3993">
        <v>5</v>
      </c>
      <c r="E3993">
        <v>12</v>
      </c>
      <c r="G3993">
        <v>1535</v>
      </c>
      <c r="H3993" t="s">
        <v>63</v>
      </c>
      <c r="I3993" t="s">
        <v>133</v>
      </c>
      <c r="J3993" t="s">
        <v>152</v>
      </c>
      <c r="L3993">
        <v>0</v>
      </c>
      <c r="M3993" t="s">
        <v>125</v>
      </c>
      <c r="O3993" t="s">
        <v>125</v>
      </c>
      <c r="P3993" t="s">
        <v>125</v>
      </c>
      <c r="Q3993" t="s">
        <v>125</v>
      </c>
      <c r="R3993" t="s">
        <v>125</v>
      </c>
      <c r="S3993" t="s">
        <v>125</v>
      </c>
      <c r="T3993">
        <v>0</v>
      </c>
      <c r="V3993" t="s">
        <v>125</v>
      </c>
      <c r="AE3993" t="s">
        <v>125</v>
      </c>
      <c r="AF3993">
        <v>0</v>
      </c>
      <c r="AG3993" t="s">
        <v>125</v>
      </c>
      <c r="AH3993">
        <v>0</v>
      </c>
      <c r="AK3993">
        <v>0</v>
      </c>
    </row>
    <row r="3994" spans="1:37" x14ac:dyDescent="0.25">
      <c r="A3994" t="s">
        <v>79</v>
      </c>
      <c r="B3994">
        <v>15</v>
      </c>
      <c r="C3994">
        <v>3</v>
      </c>
      <c r="D3994">
        <v>5</v>
      </c>
      <c r="E3994">
        <v>13</v>
      </c>
      <c r="G3994">
        <v>1535</v>
      </c>
      <c r="H3994" t="s">
        <v>63</v>
      </c>
      <c r="I3994" t="s">
        <v>135</v>
      </c>
      <c r="J3994" t="s">
        <v>153</v>
      </c>
      <c r="L3994">
        <v>0</v>
      </c>
      <c r="M3994" t="s">
        <v>125</v>
      </c>
      <c r="O3994" t="s">
        <v>125</v>
      </c>
      <c r="P3994" t="s">
        <v>125</v>
      </c>
      <c r="Q3994" t="s">
        <v>125</v>
      </c>
      <c r="R3994" t="s">
        <v>125</v>
      </c>
      <c r="S3994" t="s">
        <v>125</v>
      </c>
      <c r="T3994">
        <v>0</v>
      </c>
      <c r="V3994" t="s">
        <v>125</v>
      </c>
      <c r="AE3994" t="s">
        <v>125</v>
      </c>
      <c r="AF3994">
        <v>0</v>
      </c>
      <c r="AG3994" t="s">
        <v>125</v>
      </c>
      <c r="AH3994">
        <v>0</v>
      </c>
      <c r="AK3994">
        <v>0</v>
      </c>
    </row>
    <row r="3995" spans="1:37" x14ac:dyDescent="0.25">
      <c r="A3995" t="s">
        <v>79</v>
      </c>
      <c r="B3995">
        <v>15</v>
      </c>
      <c r="C3995">
        <v>3</v>
      </c>
      <c r="D3995">
        <v>5</v>
      </c>
      <c r="E3995">
        <v>14</v>
      </c>
      <c r="G3995">
        <v>1535</v>
      </c>
      <c r="H3995" t="s">
        <v>63</v>
      </c>
      <c r="I3995" t="s">
        <v>137</v>
      </c>
      <c r="J3995" t="s">
        <v>154</v>
      </c>
      <c r="L3995">
        <v>0</v>
      </c>
      <c r="M3995" t="s">
        <v>125</v>
      </c>
      <c r="O3995" t="s">
        <v>125</v>
      </c>
      <c r="P3995" t="s">
        <v>125</v>
      </c>
      <c r="Q3995" t="s">
        <v>125</v>
      </c>
      <c r="R3995" t="s">
        <v>125</v>
      </c>
      <c r="S3995" t="s">
        <v>125</v>
      </c>
      <c r="T3995">
        <v>0</v>
      </c>
      <c r="V3995" t="s">
        <v>125</v>
      </c>
      <c r="AE3995" t="s">
        <v>125</v>
      </c>
      <c r="AF3995">
        <v>0</v>
      </c>
      <c r="AG3995" t="s">
        <v>125</v>
      </c>
      <c r="AH3995">
        <v>0</v>
      </c>
      <c r="AK3995">
        <v>0</v>
      </c>
    </row>
    <row r="3996" spans="1:37" x14ac:dyDescent="0.25">
      <c r="A3996" t="s">
        <v>79</v>
      </c>
      <c r="B3996">
        <v>15</v>
      </c>
      <c r="C3996">
        <v>3</v>
      </c>
      <c r="D3996">
        <v>5</v>
      </c>
      <c r="E3996">
        <v>15</v>
      </c>
      <c r="G3996">
        <v>1535</v>
      </c>
      <c r="H3996" t="s">
        <v>63</v>
      </c>
      <c r="I3996" t="s">
        <v>139</v>
      </c>
      <c r="J3996" t="s">
        <v>155</v>
      </c>
      <c r="L3996">
        <v>0</v>
      </c>
      <c r="M3996" t="s">
        <v>125</v>
      </c>
      <c r="O3996" t="s">
        <v>125</v>
      </c>
      <c r="P3996" t="s">
        <v>125</v>
      </c>
      <c r="Q3996" t="s">
        <v>125</v>
      </c>
      <c r="R3996" t="s">
        <v>125</v>
      </c>
      <c r="S3996" t="s">
        <v>125</v>
      </c>
      <c r="T3996">
        <v>0</v>
      </c>
      <c r="V3996" t="s">
        <v>125</v>
      </c>
      <c r="AE3996" t="s">
        <v>125</v>
      </c>
      <c r="AF3996">
        <v>0</v>
      </c>
      <c r="AG3996" t="s">
        <v>125</v>
      </c>
      <c r="AH3996">
        <v>0</v>
      </c>
      <c r="AK3996">
        <v>0</v>
      </c>
    </row>
    <row r="3997" spans="1:37" x14ac:dyDescent="0.25">
      <c r="L3997">
        <v>0</v>
      </c>
    </row>
    <row r="3998" spans="1:37" x14ac:dyDescent="0.25">
      <c r="L3998">
        <v>0</v>
      </c>
    </row>
    <row r="3999" spans="1:37" x14ac:dyDescent="0.25">
      <c r="A3999" t="s">
        <v>56</v>
      </c>
      <c r="F3999">
        <v>16</v>
      </c>
      <c r="L3999">
        <v>16</v>
      </c>
      <c r="M3999" t="s">
        <v>139</v>
      </c>
      <c r="N3999" t="s">
        <v>5316</v>
      </c>
      <c r="P3999" t="s">
        <v>5317</v>
      </c>
      <c r="V3999" t="s">
        <v>5318</v>
      </c>
      <c r="Y3999" t="s">
        <v>5319</v>
      </c>
      <c r="AA3999" t="s">
        <v>5320</v>
      </c>
      <c r="AC3999" t="s">
        <v>63</v>
      </c>
      <c r="AE3999" t="s">
        <v>5321</v>
      </c>
      <c r="AF3999">
        <v>0</v>
      </c>
      <c r="AG3999" t="s">
        <v>5322</v>
      </c>
      <c r="AH3999">
        <v>0</v>
      </c>
      <c r="AK3999">
        <v>0</v>
      </c>
    </row>
    <row r="4000" spans="1:37" x14ac:dyDescent="0.25">
      <c r="L4000">
        <v>0</v>
      </c>
    </row>
    <row r="4001" spans="1:37" x14ac:dyDescent="0.25">
      <c r="A4001" t="s">
        <v>66</v>
      </c>
      <c r="B4001">
        <v>16</v>
      </c>
      <c r="C4001">
        <v>1</v>
      </c>
      <c r="G4001">
        <v>16</v>
      </c>
      <c r="H4001" t="s">
        <v>5316</v>
      </c>
      <c r="I4001" t="s">
        <v>5323</v>
      </c>
      <c r="M4001" t="s">
        <v>5324</v>
      </c>
      <c r="N4001" t="s">
        <v>5323</v>
      </c>
      <c r="P4001" t="s">
        <v>5325</v>
      </c>
      <c r="V4001" t="s">
        <v>5318</v>
      </c>
      <c r="Y4001" t="s">
        <v>5319</v>
      </c>
      <c r="AA4001" t="s">
        <v>5320</v>
      </c>
      <c r="AC4001" t="s">
        <v>63</v>
      </c>
      <c r="AE4001" t="s">
        <v>5321</v>
      </c>
      <c r="AF4001">
        <v>0</v>
      </c>
      <c r="AG4001" t="s">
        <v>5322</v>
      </c>
      <c r="AH4001">
        <v>0</v>
      </c>
      <c r="AK4001">
        <v>0</v>
      </c>
    </row>
    <row r="4002" spans="1:37" x14ac:dyDescent="0.25">
      <c r="L4002">
        <v>0</v>
      </c>
    </row>
    <row r="4003" spans="1:37" x14ac:dyDescent="0.25">
      <c r="A4003" t="s">
        <v>70</v>
      </c>
      <c r="B4003">
        <v>16</v>
      </c>
      <c r="C4003">
        <v>1</v>
      </c>
      <c r="D4003">
        <v>1</v>
      </c>
      <c r="G4003">
        <v>161</v>
      </c>
      <c r="M4003" t="s">
        <v>5326</v>
      </c>
      <c r="O4003" t="s">
        <v>803</v>
      </c>
      <c r="P4003" t="s">
        <v>804</v>
      </c>
      <c r="Q4003" t="s">
        <v>5327</v>
      </c>
      <c r="R4003" t="s">
        <v>179</v>
      </c>
      <c r="S4003" t="s">
        <v>806</v>
      </c>
      <c r="V4003" t="s">
        <v>5328</v>
      </c>
      <c r="X4003" t="s">
        <v>5329</v>
      </c>
      <c r="Y4003" t="s">
        <v>5330</v>
      </c>
      <c r="Z4003" t="s">
        <v>5331</v>
      </c>
      <c r="AA4003" t="s">
        <v>5332</v>
      </c>
      <c r="AB4003" t="s">
        <v>63</v>
      </c>
      <c r="AC4003" t="s">
        <v>63</v>
      </c>
      <c r="AE4003" t="s">
        <v>5333</v>
      </c>
      <c r="AF4003">
        <v>0</v>
      </c>
      <c r="AG4003" t="s">
        <v>5334</v>
      </c>
      <c r="AH4003">
        <v>0</v>
      </c>
      <c r="AK4003">
        <v>0</v>
      </c>
    </row>
    <row r="4004" spans="1:37" x14ac:dyDescent="0.25">
      <c r="A4004" t="s">
        <v>79</v>
      </c>
      <c r="B4004">
        <v>16</v>
      </c>
      <c r="C4004">
        <v>1</v>
      </c>
      <c r="D4004">
        <v>1</v>
      </c>
      <c r="E4004">
        <v>1</v>
      </c>
      <c r="G4004">
        <v>1611</v>
      </c>
      <c r="H4004" t="s">
        <v>803</v>
      </c>
      <c r="I4004" t="s">
        <v>80</v>
      </c>
      <c r="J4004" t="s">
        <v>5335</v>
      </c>
      <c r="L4004">
        <v>0</v>
      </c>
      <c r="M4004" t="s">
        <v>5336</v>
      </c>
      <c r="O4004" t="s">
        <v>5337</v>
      </c>
      <c r="P4004" t="s">
        <v>5338</v>
      </c>
      <c r="Q4004" t="s">
        <v>5339</v>
      </c>
      <c r="R4004" t="s">
        <v>192</v>
      </c>
      <c r="S4004" t="s">
        <v>5340</v>
      </c>
      <c r="T4004">
        <v>362</v>
      </c>
      <c r="U4004">
        <v>230</v>
      </c>
      <c r="V4004" t="s">
        <v>5341</v>
      </c>
      <c r="AE4004" t="s">
        <v>5342</v>
      </c>
      <c r="AF4004">
        <v>0</v>
      </c>
      <c r="AG4004" t="s">
        <v>5343</v>
      </c>
      <c r="AH4004">
        <v>0</v>
      </c>
      <c r="AK4004">
        <v>0</v>
      </c>
    </row>
    <row r="4005" spans="1:37" x14ac:dyDescent="0.25">
      <c r="A4005" t="s">
        <v>79</v>
      </c>
      <c r="B4005">
        <v>16</v>
      </c>
      <c r="C4005">
        <v>1</v>
      </c>
      <c r="D4005">
        <v>1</v>
      </c>
      <c r="E4005">
        <v>2</v>
      </c>
      <c r="G4005">
        <v>1611</v>
      </c>
      <c r="H4005" t="s">
        <v>803</v>
      </c>
      <c r="I4005" t="s">
        <v>88</v>
      </c>
      <c r="J4005" t="s">
        <v>5344</v>
      </c>
      <c r="L4005">
        <v>0</v>
      </c>
      <c r="M4005" t="s">
        <v>5345</v>
      </c>
      <c r="O4005" t="s">
        <v>5346</v>
      </c>
      <c r="P4005" t="s">
        <v>5347</v>
      </c>
      <c r="Q4005" t="s">
        <v>3048</v>
      </c>
      <c r="R4005" t="s">
        <v>210</v>
      </c>
      <c r="S4005" t="s">
        <v>5348</v>
      </c>
      <c r="T4005">
        <v>362</v>
      </c>
      <c r="U4005">
        <v>11</v>
      </c>
      <c r="V4005" t="s">
        <v>5203</v>
      </c>
      <c r="AE4005" t="s">
        <v>5349</v>
      </c>
      <c r="AF4005">
        <v>0</v>
      </c>
      <c r="AG4005" t="s">
        <v>5350</v>
      </c>
      <c r="AH4005">
        <v>0</v>
      </c>
      <c r="AK4005">
        <v>0</v>
      </c>
    </row>
    <row r="4006" spans="1:37" x14ac:dyDescent="0.25">
      <c r="A4006" t="s">
        <v>79</v>
      </c>
      <c r="B4006">
        <v>16</v>
      </c>
      <c r="C4006">
        <v>1</v>
      </c>
      <c r="D4006">
        <v>1</v>
      </c>
      <c r="E4006">
        <v>3</v>
      </c>
      <c r="G4006">
        <v>1611</v>
      </c>
      <c r="H4006" t="s">
        <v>803</v>
      </c>
      <c r="I4006" t="s">
        <v>95</v>
      </c>
      <c r="J4006" t="s">
        <v>5351</v>
      </c>
      <c r="L4006">
        <v>0</v>
      </c>
      <c r="M4006" t="s">
        <v>5352</v>
      </c>
      <c r="O4006" t="s">
        <v>226</v>
      </c>
      <c r="P4006" t="s">
        <v>227</v>
      </c>
      <c r="Q4006" t="s">
        <v>5353</v>
      </c>
      <c r="R4006" t="s">
        <v>229</v>
      </c>
      <c r="S4006" t="s">
        <v>230</v>
      </c>
      <c r="T4006">
        <v>362</v>
      </c>
      <c r="U4006">
        <v>24</v>
      </c>
      <c r="V4006" t="s">
        <v>2095</v>
      </c>
      <c r="AE4006" t="s">
        <v>5354</v>
      </c>
      <c r="AF4006">
        <v>0</v>
      </c>
      <c r="AG4006" t="s">
        <v>5355</v>
      </c>
      <c r="AH4006">
        <v>0</v>
      </c>
      <c r="AK4006">
        <v>0</v>
      </c>
    </row>
    <row r="4007" spans="1:37" x14ac:dyDescent="0.25">
      <c r="A4007" t="s">
        <v>79</v>
      </c>
      <c r="B4007">
        <v>16</v>
      </c>
      <c r="C4007">
        <v>1</v>
      </c>
      <c r="D4007">
        <v>1</v>
      </c>
      <c r="E4007">
        <v>4</v>
      </c>
      <c r="G4007">
        <v>1611</v>
      </c>
      <c r="H4007" t="s">
        <v>803</v>
      </c>
      <c r="I4007" t="s">
        <v>102</v>
      </c>
      <c r="J4007" t="s">
        <v>5356</v>
      </c>
      <c r="L4007">
        <v>0</v>
      </c>
      <c r="M4007" t="s">
        <v>5357</v>
      </c>
      <c r="O4007" t="s">
        <v>236</v>
      </c>
      <c r="P4007" t="s">
        <v>237</v>
      </c>
      <c r="Q4007" t="s">
        <v>5358</v>
      </c>
      <c r="R4007" t="s">
        <v>229</v>
      </c>
      <c r="S4007" t="s">
        <v>239</v>
      </c>
      <c r="T4007">
        <v>362</v>
      </c>
      <c r="U4007">
        <v>43</v>
      </c>
      <c r="V4007" t="s">
        <v>3010</v>
      </c>
      <c r="AE4007" t="s">
        <v>5359</v>
      </c>
      <c r="AF4007">
        <v>0</v>
      </c>
      <c r="AG4007" t="s">
        <v>5360</v>
      </c>
      <c r="AH4007">
        <v>0</v>
      </c>
      <c r="AK4007">
        <v>0</v>
      </c>
    </row>
    <row r="4008" spans="1:37" x14ac:dyDescent="0.25">
      <c r="A4008" t="s">
        <v>79</v>
      </c>
      <c r="B4008">
        <v>16</v>
      </c>
      <c r="C4008">
        <v>1</v>
      </c>
      <c r="D4008">
        <v>1</v>
      </c>
      <c r="E4008">
        <v>5</v>
      </c>
      <c r="G4008">
        <v>1611</v>
      </c>
      <c r="H4008" t="s">
        <v>803</v>
      </c>
      <c r="I4008" t="s">
        <v>109</v>
      </c>
      <c r="J4008" t="s">
        <v>5361</v>
      </c>
      <c r="L4008">
        <v>0</v>
      </c>
      <c r="M4008" t="s">
        <v>5362</v>
      </c>
      <c r="O4008" t="s">
        <v>5363</v>
      </c>
      <c r="P4008" t="s">
        <v>5364</v>
      </c>
      <c r="Q4008" t="s">
        <v>5365</v>
      </c>
      <c r="R4008" t="s">
        <v>248</v>
      </c>
      <c r="S4008" t="s">
        <v>5366</v>
      </c>
      <c r="T4008">
        <v>362</v>
      </c>
      <c r="U4008">
        <v>2</v>
      </c>
      <c r="V4008" t="s">
        <v>2121</v>
      </c>
      <c r="AE4008" t="s">
        <v>5367</v>
      </c>
      <c r="AF4008">
        <v>0</v>
      </c>
      <c r="AG4008" t="s">
        <v>5368</v>
      </c>
      <c r="AH4008">
        <v>0</v>
      </c>
      <c r="AK4008">
        <v>0</v>
      </c>
    </row>
    <row r="4009" spans="1:37" x14ac:dyDescent="0.25">
      <c r="A4009" t="s">
        <v>79</v>
      </c>
      <c r="B4009">
        <v>16</v>
      </c>
      <c r="C4009">
        <v>1</v>
      </c>
      <c r="D4009">
        <v>1</v>
      </c>
      <c r="E4009">
        <v>6</v>
      </c>
      <c r="G4009">
        <v>1611</v>
      </c>
      <c r="H4009" t="s">
        <v>803</v>
      </c>
      <c r="I4009" t="s">
        <v>116</v>
      </c>
      <c r="J4009" t="s">
        <v>5369</v>
      </c>
      <c r="L4009">
        <v>0</v>
      </c>
      <c r="M4009" t="s">
        <v>5370</v>
      </c>
      <c r="O4009" t="s">
        <v>5371</v>
      </c>
      <c r="P4009" t="s">
        <v>5372</v>
      </c>
      <c r="Q4009" t="s">
        <v>5373</v>
      </c>
      <c r="R4009" t="s">
        <v>258</v>
      </c>
      <c r="S4009" t="s">
        <v>5374</v>
      </c>
      <c r="T4009">
        <v>362</v>
      </c>
      <c r="U4009">
        <v>2</v>
      </c>
      <c r="V4009" t="s">
        <v>2418</v>
      </c>
      <c r="AE4009" t="s">
        <v>5375</v>
      </c>
      <c r="AF4009">
        <v>0</v>
      </c>
      <c r="AG4009" t="s">
        <v>5376</v>
      </c>
      <c r="AH4009">
        <v>0</v>
      </c>
      <c r="AK4009">
        <v>0</v>
      </c>
    </row>
    <row r="4010" spans="1:37" x14ac:dyDescent="0.25">
      <c r="A4010" t="s">
        <v>79</v>
      </c>
      <c r="B4010">
        <v>16</v>
      </c>
      <c r="C4010">
        <v>1</v>
      </c>
      <c r="D4010">
        <v>1</v>
      </c>
      <c r="E4010">
        <v>7</v>
      </c>
      <c r="G4010">
        <v>1611</v>
      </c>
      <c r="H4010" t="s">
        <v>803</v>
      </c>
      <c r="I4010" t="s">
        <v>123</v>
      </c>
      <c r="J4010" t="s">
        <v>5377</v>
      </c>
      <c r="L4010">
        <v>0</v>
      </c>
      <c r="M4010" t="s">
        <v>125</v>
      </c>
      <c r="O4010" t="s">
        <v>125</v>
      </c>
      <c r="P4010" t="s">
        <v>125</v>
      </c>
      <c r="Q4010" t="s">
        <v>125</v>
      </c>
      <c r="R4010" t="s">
        <v>125</v>
      </c>
      <c r="S4010" t="s">
        <v>125</v>
      </c>
      <c r="T4010">
        <v>362</v>
      </c>
      <c r="V4010" t="s">
        <v>125</v>
      </c>
      <c r="AE4010" t="s">
        <v>125</v>
      </c>
      <c r="AF4010">
        <v>0</v>
      </c>
      <c r="AG4010" t="s">
        <v>125</v>
      </c>
      <c r="AH4010">
        <v>0</v>
      </c>
      <c r="AK4010">
        <v>0</v>
      </c>
    </row>
    <row r="4011" spans="1:37" x14ac:dyDescent="0.25">
      <c r="A4011" t="s">
        <v>79</v>
      </c>
      <c r="B4011">
        <v>16</v>
      </c>
      <c r="C4011">
        <v>1</v>
      </c>
      <c r="D4011">
        <v>1</v>
      </c>
      <c r="E4011">
        <v>8</v>
      </c>
      <c r="G4011">
        <v>1611</v>
      </c>
      <c r="H4011" t="s">
        <v>803</v>
      </c>
      <c r="I4011" t="s">
        <v>126</v>
      </c>
      <c r="J4011" t="s">
        <v>5378</v>
      </c>
      <c r="L4011">
        <v>0</v>
      </c>
      <c r="M4011" t="s">
        <v>125</v>
      </c>
      <c r="O4011" t="s">
        <v>125</v>
      </c>
      <c r="P4011" t="s">
        <v>125</v>
      </c>
      <c r="Q4011" t="s">
        <v>125</v>
      </c>
      <c r="R4011" t="s">
        <v>125</v>
      </c>
      <c r="S4011" t="s">
        <v>125</v>
      </c>
      <c r="T4011">
        <v>362</v>
      </c>
      <c r="V4011" t="s">
        <v>125</v>
      </c>
      <c r="AE4011" t="s">
        <v>125</v>
      </c>
      <c r="AF4011">
        <v>0</v>
      </c>
      <c r="AG4011" t="s">
        <v>125</v>
      </c>
      <c r="AH4011">
        <v>0</v>
      </c>
      <c r="AK4011">
        <v>0</v>
      </c>
    </row>
    <row r="4012" spans="1:37" x14ac:dyDescent="0.25">
      <c r="A4012" t="s">
        <v>79</v>
      </c>
      <c r="B4012">
        <v>16</v>
      </c>
      <c r="C4012">
        <v>1</v>
      </c>
      <c r="D4012">
        <v>1</v>
      </c>
      <c r="E4012">
        <v>9</v>
      </c>
      <c r="G4012">
        <v>1611</v>
      </c>
      <c r="H4012" t="s">
        <v>803</v>
      </c>
      <c r="I4012" t="s">
        <v>74</v>
      </c>
      <c r="J4012" t="s">
        <v>5379</v>
      </c>
      <c r="L4012">
        <v>0</v>
      </c>
      <c r="M4012" t="s">
        <v>125</v>
      </c>
      <c r="O4012" t="s">
        <v>125</v>
      </c>
      <c r="P4012" t="s">
        <v>125</v>
      </c>
      <c r="Q4012" t="s">
        <v>125</v>
      </c>
      <c r="R4012" t="s">
        <v>125</v>
      </c>
      <c r="S4012" t="s">
        <v>125</v>
      </c>
      <c r="T4012">
        <v>362</v>
      </c>
      <c r="V4012" t="s">
        <v>125</v>
      </c>
      <c r="AE4012" t="s">
        <v>125</v>
      </c>
      <c r="AF4012">
        <v>0</v>
      </c>
      <c r="AG4012" t="s">
        <v>125</v>
      </c>
      <c r="AH4012">
        <v>0</v>
      </c>
      <c r="AK4012">
        <v>0</v>
      </c>
    </row>
    <row r="4013" spans="1:37" x14ac:dyDescent="0.25">
      <c r="A4013" t="s">
        <v>79</v>
      </c>
      <c r="B4013">
        <v>16</v>
      </c>
      <c r="C4013">
        <v>1</v>
      </c>
      <c r="D4013">
        <v>1</v>
      </c>
      <c r="E4013">
        <v>10</v>
      </c>
      <c r="G4013">
        <v>1611</v>
      </c>
      <c r="H4013" t="s">
        <v>803</v>
      </c>
      <c r="I4013" t="s">
        <v>129</v>
      </c>
      <c r="J4013" t="s">
        <v>5380</v>
      </c>
      <c r="L4013">
        <v>0</v>
      </c>
      <c r="M4013" t="s">
        <v>125</v>
      </c>
      <c r="O4013" t="s">
        <v>125</v>
      </c>
      <c r="P4013" t="s">
        <v>125</v>
      </c>
      <c r="Q4013" t="s">
        <v>125</v>
      </c>
      <c r="R4013" t="s">
        <v>125</v>
      </c>
      <c r="S4013" t="s">
        <v>125</v>
      </c>
      <c r="T4013">
        <v>362</v>
      </c>
      <c r="V4013" t="s">
        <v>125</v>
      </c>
      <c r="AE4013" t="s">
        <v>125</v>
      </c>
      <c r="AF4013">
        <v>0</v>
      </c>
      <c r="AG4013" t="s">
        <v>125</v>
      </c>
      <c r="AH4013">
        <v>0</v>
      </c>
      <c r="AK4013">
        <v>0</v>
      </c>
    </row>
    <row r="4014" spans="1:37" x14ac:dyDescent="0.25">
      <c r="A4014" t="s">
        <v>79</v>
      </c>
      <c r="B4014">
        <v>16</v>
      </c>
      <c r="C4014">
        <v>1</v>
      </c>
      <c r="D4014">
        <v>1</v>
      </c>
      <c r="E4014">
        <v>11</v>
      </c>
      <c r="G4014">
        <v>1611</v>
      </c>
      <c r="H4014" t="s">
        <v>803</v>
      </c>
      <c r="I4014" t="s">
        <v>131</v>
      </c>
      <c r="J4014" t="s">
        <v>5381</v>
      </c>
      <c r="L4014">
        <v>0</v>
      </c>
      <c r="M4014" t="s">
        <v>125</v>
      </c>
      <c r="O4014" t="s">
        <v>125</v>
      </c>
      <c r="P4014" t="s">
        <v>125</v>
      </c>
      <c r="Q4014" t="s">
        <v>125</v>
      </c>
      <c r="R4014" t="s">
        <v>125</v>
      </c>
      <c r="S4014" t="s">
        <v>125</v>
      </c>
      <c r="T4014">
        <v>362</v>
      </c>
      <c r="V4014" t="s">
        <v>125</v>
      </c>
      <c r="AE4014" t="s">
        <v>125</v>
      </c>
      <c r="AF4014">
        <v>0</v>
      </c>
      <c r="AG4014" t="s">
        <v>125</v>
      </c>
      <c r="AH4014">
        <v>0</v>
      </c>
      <c r="AK4014">
        <v>0</v>
      </c>
    </row>
    <row r="4015" spans="1:37" x14ac:dyDescent="0.25">
      <c r="A4015" t="s">
        <v>79</v>
      </c>
      <c r="B4015">
        <v>16</v>
      </c>
      <c r="C4015">
        <v>1</v>
      </c>
      <c r="D4015">
        <v>1</v>
      </c>
      <c r="E4015">
        <v>12</v>
      </c>
      <c r="G4015">
        <v>1611</v>
      </c>
      <c r="H4015" t="s">
        <v>803</v>
      </c>
      <c r="I4015" t="s">
        <v>133</v>
      </c>
      <c r="J4015" t="s">
        <v>5382</v>
      </c>
      <c r="L4015">
        <v>0</v>
      </c>
      <c r="M4015" t="s">
        <v>125</v>
      </c>
      <c r="O4015" t="s">
        <v>125</v>
      </c>
      <c r="P4015" t="s">
        <v>125</v>
      </c>
      <c r="Q4015" t="s">
        <v>125</v>
      </c>
      <c r="R4015" t="s">
        <v>125</v>
      </c>
      <c r="S4015" t="s">
        <v>125</v>
      </c>
      <c r="T4015">
        <v>362</v>
      </c>
      <c r="V4015" t="s">
        <v>125</v>
      </c>
      <c r="AE4015" t="s">
        <v>125</v>
      </c>
      <c r="AF4015">
        <v>0</v>
      </c>
      <c r="AG4015" t="s">
        <v>125</v>
      </c>
      <c r="AH4015">
        <v>0</v>
      </c>
      <c r="AK4015">
        <v>0</v>
      </c>
    </row>
    <row r="4016" spans="1:37" x14ac:dyDescent="0.25">
      <c r="A4016" t="s">
        <v>79</v>
      </c>
      <c r="B4016">
        <v>16</v>
      </c>
      <c r="C4016">
        <v>1</v>
      </c>
      <c r="D4016">
        <v>1</v>
      </c>
      <c r="E4016">
        <v>13</v>
      </c>
      <c r="G4016">
        <v>1611</v>
      </c>
      <c r="H4016" t="s">
        <v>803</v>
      </c>
      <c r="I4016" t="s">
        <v>135</v>
      </c>
      <c r="J4016" t="s">
        <v>5383</v>
      </c>
      <c r="L4016">
        <v>0</v>
      </c>
      <c r="M4016" t="s">
        <v>125</v>
      </c>
      <c r="O4016" t="s">
        <v>125</v>
      </c>
      <c r="P4016" t="s">
        <v>125</v>
      </c>
      <c r="Q4016" t="s">
        <v>125</v>
      </c>
      <c r="R4016" t="s">
        <v>125</v>
      </c>
      <c r="S4016" t="s">
        <v>125</v>
      </c>
      <c r="T4016">
        <v>362</v>
      </c>
      <c r="V4016" t="s">
        <v>125</v>
      </c>
      <c r="AE4016" t="s">
        <v>125</v>
      </c>
      <c r="AF4016">
        <v>0</v>
      </c>
      <c r="AG4016" t="s">
        <v>125</v>
      </c>
      <c r="AH4016">
        <v>0</v>
      </c>
      <c r="AK4016">
        <v>0</v>
      </c>
    </row>
    <row r="4017" spans="1:37" x14ac:dyDescent="0.25">
      <c r="A4017" t="s">
        <v>79</v>
      </c>
      <c r="B4017">
        <v>16</v>
      </c>
      <c r="C4017">
        <v>1</v>
      </c>
      <c r="D4017">
        <v>1</v>
      </c>
      <c r="E4017">
        <v>14</v>
      </c>
      <c r="G4017">
        <v>1611</v>
      </c>
      <c r="H4017" t="s">
        <v>803</v>
      </c>
      <c r="I4017" t="s">
        <v>137</v>
      </c>
      <c r="J4017" t="s">
        <v>5384</v>
      </c>
      <c r="L4017">
        <v>0</v>
      </c>
      <c r="M4017" t="s">
        <v>125</v>
      </c>
      <c r="O4017" t="s">
        <v>125</v>
      </c>
      <c r="P4017" t="s">
        <v>125</v>
      </c>
      <c r="Q4017" t="s">
        <v>125</v>
      </c>
      <c r="R4017" t="s">
        <v>125</v>
      </c>
      <c r="S4017" t="s">
        <v>125</v>
      </c>
      <c r="T4017">
        <v>362</v>
      </c>
      <c r="V4017" t="s">
        <v>125</v>
      </c>
      <c r="AE4017" t="s">
        <v>125</v>
      </c>
      <c r="AF4017">
        <v>0</v>
      </c>
      <c r="AG4017" t="s">
        <v>125</v>
      </c>
      <c r="AH4017">
        <v>0</v>
      </c>
      <c r="AK4017">
        <v>0</v>
      </c>
    </row>
    <row r="4018" spans="1:37" x14ac:dyDescent="0.25">
      <c r="A4018" t="s">
        <v>79</v>
      </c>
      <c r="B4018">
        <v>16</v>
      </c>
      <c r="C4018">
        <v>1</v>
      </c>
      <c r="D4018">
        <v>1</v>
      </c>
      <c r="E4018">
        <v>15</v>
      </c>
      <c r="G4018">
        <v>1611</v>
      </c>
      <c r="H4018" t="s">
        <v>803</v>
      </c>
      <c r="I4018" t="s">
        <v>139</v>
      </c>
      <c r="J4018" t="s">
        <v>5385</v>
      </c>
      <c r="L4018">
        <v>0</v>
      </c>
      <c r="M4018" t="s">
        <v>125</v>
      </c>
      <c r="O4018" t="s">
        <v>125</v>
      </c>
      <c r="P4018" t="s">
        <v>125</v>
      </c>
      <c r="Q4018" t="s">
        <v>125</v>
      </c>
      <c r="R4018" t="s">
        <v>125</v>
      </c>
      <c r="S4018" t="s">
        <v>125</v>
      </c>
      <c r="T4018">
        <v>362</v>
      </c>
      <c r="V4018" t="s">
        <v>125</v>
      </c>
      <c r="AE4018" t="s">
        <v>125</v>
      </c>
      <c r="AF4018">
        <v>0</v>
      </c>
      <c r="AG4018" t="s">
        <v>125</v>
      </c>
      <c r="AH4018">
        <v>0</v>
      </c>
      <c r="AK4018">
        <v>0</v>
      </c>
    </row>
    <row r="4019" spans="1:37" x14ac:dyDescent="0.25">
      <c r="L4019">
        <v>0</v>
      </c>
    </row>
    <row r="4020" spans="1:37" x14ac:dyDescent="0.25">
      <c r="A4020" t="s">
        <v>70</v>
      </c>
      <c r="B4020">
        <v>16</v>
      </c>
      <c r="C4020">
        <v>1</v>
      </c>
      <c r="D4020">
        <v>2</v>
      </c>
      <c r="G4020">
        <v>161</v>
      </c>
      <c r="M4020" t="s">
        <v>5386</v>
      </c>
      <c r="O4020" t="s">
        <v>812</v>
      </c>
      <c r="P4020" t="s">
        <v>813</v>
      </c>
      <c r="Q4020" t="s">
        <v>5327</v>
      </c>
      <c r="R4020" t="s">
        <v>179</v>
      </c>
      <c r="S4020" t="s">
        <v>814</v>
      </c>
      <c r="V4020" t="s">
        <v>5387</v>
      </c>
      <c r="X4020" t="s">
        <v>5388</v>
      </c>
      <c r="Y4020" t="s">
        <v>5389</v>
      </c>
      <c r="Z4020" t="s">
        <v>5390</v>
      </c>
      <c r="AA4020" t="s">
        <v>5391</v>
      </c>
      <c r="AB4020" t="s">
        <v>63</v>
      </c>
      <c r="AC4020" t="s">
        <v>63</v>
      </c>
      <c r="AE4020" t="s">
        <v>5392</v>
      </c>
      <c r="AF4020">
        <v>0</v>
      </c>
      <c r="AG4020" t="s">
        <v>5393</v>
      </c>
      <c r="AH4020">
        <v>0</v>
      </c>
      <c r="AK4020">
        <v>0</v>
      </c>
    </row>
    <row r="4021" spans="1:37" x14ac:dyDescent="0.25">
      <c r="A4021" t="s">
        <v>79</v>
      </c>
      <c r="B4021">
        <v>16</v>
      </c>
      <c r="C4021">
        <v>1</v>
      </c>
      <c r="D4021">
        <v>2</v>
      </c>
      <c r="E4021">
        <v>1</v>
      </c>
      <c r="G4021">
        <v>1612</v>
      </c>
      <c r="H4021" t="s">
        <v>812</v>
      </c>
      <c r="I4021" t="s">
        <v>80</v>
      </c>
      <c r="J4021" t="s">
        <v>5394</v>
      </c>
      <c r="L4021">
        <v>0</v>
      </c>
      <c r="M4021" t="s">
        <v>5395</v>
      </c>
      <c r="O4021" t="s">
        <v>5396</v>
      </c>
      <c r="P4021" t="s">
        <v>5397</v>
      </c>
      <c r="Q4021" t="s">
        <v>2424</v>
      </c>
      <c r="R4021" t="s">
        <v>363</v>
      </c>
      <c r="S4021" t="s">
        <v>3181</v>
      </c>
      <c r="T4021">
        <v>362</v>
      </c>
      <c r="U4021">
        <v>457</v>
      </c>
      <c r="V4021" t="s">
        <v>631</v>
      </c>
      <c r="AE4021" t="s">
        <v>5398</v>
      </c>
      <c r="AF4021">
        <v>0</v>
      </c>
      <c r="AG4021" t="s">
        <v>5399</v>
      </c>
      <c r="AH4021">
        <v>0</v>
      </c>
      <c r="AK4021">
        <v>0</v>
      </c>
    </row>
    <row r="4022" spans="1:37" x14ac:dyDescent="0.25">
      <c r="A4022" t="s">
        <v>79</v>
      </c>
      <c r="B4022">
        <v>16</v>
      </c>
      <c r="C4022">
        <v>1</v>
      </c>
      <c r="D4022">
        <v>2</v>
      </c>
      <c r="E4022">
        <v>2</v>
      </c>
      <c r="G4022">
        <v>1612</v>
      </c>
      <c r="H4022" t="s">
        <v>812</v>
      </c>
      <c r="I4022" t="s">
        <v>88</v>
      </c>
      <c r="J4022" t="s">
        <v>5400</v>
      </c>
      <c r="L4022">
        <v>0</v>
      </c>
      <c r="M4022" t="s">
        <v>5401</v>
      </c>
      <c r="O4022" t="s">
        <v>5402</v>
      </c>
      <c r="P4022" t="s">
        <v>5403</v>
      </c>
      <c r="Q4022" t="s">
        <v>2424</v>
      </c>
      <c r="R4022" t="s">
        <v>382</v>
      </c>
      <c r="S4022" t="s">
        <v>5404</v>
      </c>
      <c r="T4022">
        <v>362</v>
      </c>
      <c r="U4022">
        <v>457</v>
      </c>
      <c r="V4022" t="s">
        <v>5405</v>
      </c>
      <c r="AE4022" t="s">
        <v>5406</v>
      </c>
      <c r="AF4022">
        <v>0</v>
      </c>
      <c r="AG4022" t="s">
        <v>5407</v>
      </c>
      <c r="AH4022">
        <v>0</v>
      </c>
      <c r="AK4022">
        <v>0</v>
      </c>
    </row>
    <row r="4023" spans="1:37" x14ac:dyDescent="0.25">
      <c r="A4023" t="s">
        <v>79</v>
      </c>
      <c r="B4023">
        <v>16</v>
      </c>
      <c r="C4023">
        <v>1</v>
      </c>
      <c r="D4023">
        <v>2</v>
      </c>
      <c r="E4023">
        <v>3</v>
      </c>
      <c r="G4023">
        <v>1612</v>
      </c>
      <c r="H4023" t="s">
        <v>812</v>
      </c>
      <c r="I4023" t="s">
        <v>95</v>
      </c>
      <c r="J4023" t="s">
        <v>5408</v>
      </c>
      <c r="L4023">
        <v>0</v>
      </c>
      <c r="M4023" t="s">
        <v>5409</v>
      </c>
      <c r="O4023" t="s">
        <v>5410</v>
      </c>
      <c r="P4023" t="s">
        <v>5411</v>
      </c>
      <c r="Q4023" t="s">
        <v>5412</v>
      </c>
      <c r="R4023" t="s">
        <v>179</v>
      </c>
      <c r="S4023" t="s">
        <v>5413</v>
      </c>
      <c r="T4023">
        <v>362</v>
      </c>
      <c r="U4023">
        <v>492</v>
      </c>
      <c r="V4023" t="s">
        <v>5414</v>
      </c>
      <c r="AE4023" t="s">
        <v>5415</v>
      </c>
      <c r="AF4023">
        <v>0</v>
      </c>
      <c r="AG4023" t="s">
        <v>5416</v>
      </c>
      <c r="AH4023">
        <v>0</v>
      </c>
      <c r="AK4023">
        <v>0</v>
      </c>
    </row>
    <row r="4024" spans="1:37" x14ac:dyDescent="0.25">
      <c r="A4024" t="s">
        <v>79</v>
      </c>
      <c r="B4024">
        <v>16</v>
      </c>
      <c r="C4024">
        <v>1</v>
      </c>
      <c r="D4024">
        <v>2</v>
      </c>
      <c r="E4024">
        <v>4</v>
      </c>
      <c r="G4024">
        <v>1612</v>
      </c>
      <c r="H4024" t="s">
        <v>812</v>
      </c>
      <c r="I4024" t="s">
        <v>102</v>
      </c>
      <c r="J4024" t="s">
        <v>5417</v>
      </c>
      <c r="L4024">
        <v>0</v>
      </c>
      <c r="M4024" t="s">
        <v>5418</v>
      </c>
      <c r="O4024" t="s">
        <v>294</v>
      </c>
      <c r="P4024" t="s">
        <v>295</v>
      </c>
      <c r="Q4024" t="s">
        <v>5419</v>
      </c>
      <c r="R4024" t="s">
        <v>229</v>
      </c>
      <c r="S4024" t="s">
        <v>297</v>
      </c>
      <c r="T4024">
        <v>362</v>
      </c>
      <c r="U4024">
        <v>60</v>
      </c>
      <c r="V4024" t="s">
        <v>5420</v>
      </c>
      <c r="AE4024" t="s">
        <v>5421</v>
      </c>
      <c r="AF4024">
        <v>0</v>
      </c>
      <c r="AG4024" t="s">
        <v>5422</v>
      </c>
      <c r="AH4024">
        <v>0</v>
      </c>
      <c r="AK4024">
        <v>0</v>
      </c>
    </row>
    <row r="4025" spans="1:37" x14ac:dyDescent="0.25">
      <c r="A4025" t="s">
        <v>79</v>
      </c>
      <c r="B4025">
        <v>16</v>
      </c>
      <c r="C4025">
        <v>1</v>
      </c>
      <c r="D4025">
        <v>2</v>
      </c>
      <c r="E4025">
        <v>5</v>
      </c>
      <c r="G4025">
        <v>1612</v>
      </c>
      <c r="H4025" t="s">
        <v>812</v>
      </c>
      <c r="I4025" t="s">
        <v>109</v>
      </c>
      <c r="J4025" t="s">
        <v>5423</v>
      </c>
      <c r="L4025">
        <v>0</v>
      </c>
      <c r="M4025" t="s">
        <v>5424</v>
      </c>
      <c r="O4025" t="s">
        <v>5425</v>
      </c>
      <c r="P4025" t="s">
        <v>5426</v>
      </c>
      <c r="Q4025" t="s">
        <v>5427</v>
      </c>
      <c r="R4025" t="s">
        <v>229</v>
      </c>
      <c r="S4025" t="s">
        <v>239</v>
      </c>
      <c r="T4025">
        <v>362</v>
      </c>
      <c r="U4025">
        <v>46</v>
      </c>
      <c r="V4025" t="s">
        <v>5428</v>
      </c>
      <c r="AE4025" t="s">
        <v>5429</v>
      </c>
      <c r="AF4025">
        <v>0</v>
      </c>
      <c r="AG4025" t="s">
        <v>5430</v>
      </c>
      <c r="AH4025">
        <v>0</v>
      </c>
      <c r="AK4025">
        <v>0</v>
      </c>
    </row>
    <row r="4026" spans="1:37" x14ac:dyDescent="0.25">
      <c r="A4026" t="s">
        <v>79</v>
      </c>
      <c r="B4026">
        <v>16</v>
      </c>
      <c r="C4026">
        <v>1</v>
      </c>
      <c r="D4026">
        <v>2</v>
      </c>
      <c r="E4026">
        <v>6</v>
      </c>
      <c r="G4026">
        <v>1612</v>
      </c>
      <c r="H4026" t="s">
        <v>812</v>
      </c>
      <c r="I4026" t="s">
        <v>116</v>
      </c>
      <c r="J4026" t="s">
        <v>5431</v>
      </c>
      <c r="L4026">
        <v>0</v>
      </c>
      <c r="M4026" t="s">
        <v>5432</v>
      </c>
      <c r="O4026" t="s">
        <v>5363</v>
      </c>
      <c r="P4026" t="s">
        <v>5364</v>
      </c>
      <c r="Q4026" t="s">
        <v>5433</v>
      </c>
      <c r="R4026" t="s">
        <v>248</v>
      </c>
      <c r="S4026" t="s">
        <v>5366</v>
      </c>
      <c r="T4026">
        <v>362</v>
      </c>
      <c r="U4026">
        <v>2</v>
      </c>
      <c r="V4026" t="s">
        <v>250</v>
      </c>
      <c r="AE4026" t="s">
        <v>5434</v>
      </c>
      <c r="AF4026">
        <v>0</v>
      </c>
      <c r="AG4026" t="s">
        <v>5435</v>
      </c>
      <c r="AH4026">
        <v>0</v>
      </c>
      <c r="AK4026">
        <v>0</v>
      </c>
    </row>
    <row r="4027" spans="1:37" x14ac:dyDescent="0.25">
      <c r="A4027" t="s">
        <v>79</v>
      </c>
      <c r="B4027">
        <v>16</v>
      </c>
      <c r="C4027">
        <v>1</v>
      </c>
      <c r="D4027">
        <v>2</v>
      </c>
      <c r="E4027">
        <v>7</v>
      </c>
      <c r="G4027">
        <v>1612</v>
      </c>
      <c r="H4027" t="s">
        <v>812</v>
      </c>
      <c r="I4027" t="s">
        <v>123</v>
      </c>
      <c r="J4027" t="s">
        <v>5436</v>
      </c>
      <c r="L4027">
        <v>0</v>
      </c>
      <c r="M4027" t="s">
        <v>5437</v>
      </c>
      <c r="O4027" t="s">
        <v>5371</v>
      </c>
      <c r="P4027" t="s">
        <v>5372</v>
      </c>
      <c r="Q4027" t="s">
        <v>5438</v>
      </c>
      <c r="R4027" t="s">
        <v>258</v>
      </c>
      <c r="S4027" t="s">
        <v>5374</v>
      </c>
      <c r="T4027">
        <v>362</v>
      </c>
      <c r="U4027">
        <v>3</v>
      </c>
      <c r="V4027" t="s">
        <v>2507</v>
      </c>
      <c r="AE4027" t="s">
        <v>5439</v>
      </c>
      <c r="AF4027">
        <v>0</v>
      </c>
      <c r="AG4027" t="s">
        <v>5440</v>
      </c>
      <c r="AH4027">
        <v>0</v>
      </c>
      <c r="AK4027">
        <v>0</v>
      </c>
    </row>
    <row r="4028" spans="1:37" x14ac:dyDescent="0.25">
      <c r="A4028" t="s">
        <v>79</v>
      </c>
      <c r="B4028">
        <v>16</v>
      </c>
      <c r="C4028">
        <v>1</v>
      </c>
      <c r="D4028">
        <v>2</v>
      </c>
      <c r="E4028">
        <v>8</v>
      </c>
      <c r="G4028">
        <v>1612</v>
      </c>
      <c r="H4028" t="s">
        <v>812</v>
      </c>
      <c r="I4028" t="s">
        <v>126</v>
      </c>
      <c r="J4028" t="s">
        <v>5441</v>
      </c>
      <c r="L4028">
        <v>0</v>
      </c>
      <c r="M4028" t="s">
        <v>125</v>
      </c>
      <c r="O4028" t="s">
        <v>125</v>
      </c>
      <c r="P4028" t="s">
        <v>125</v>
      </c>
      <c r="Q4028" t="s">
        <v>125</v>
      </c>
      <c r="R4028" t="s">
        <v>125</v>
      </c>
      <c r="S4028" t="s">
        <v>125</v>
      </c>
      <c r="T4028">
        <v>362</v>
      </c>
      <c r="V4028" t="s">
        <v>125</v>
      </c>
      <c r="AE4028" t="s">
        <v>125</v>
      </c>
      <c r="AF4028">
        <v>0</v>
      </c>
      <c r="AG4028" t="s">
        <v>125</v>
      </c>
      <c r="AH4028">
        <v>0</v>
      </c>
      <c r="AK4028">
        <v>0</v>
      </c>
    </row>
    <row r="4029" spans="1:37" x14ac:dyDescent="0.25">
      <c r="A4029" t="s">
        <v>79</v>
      </c>
      <c r="B4029">
        <v>16</v>
      </c>
      <c r="C4029">
        <v>1</v>
      </c>
      <c r="D4029">
        <v>2</v>
      </c>
      <c r="E4029">
        <v>9</v>
      </c>
      <c r="G4029">
        <v>1612</v>
      </c>
      <c r="H4029" t="s">
        <v>812</v>
      </c>
      <c r="I4029" t="s">
        <v>74</v>
      </c>
      <c r="J4029" t="s">
        <v>5442</v>
      </c>
      <c r="L4029">
        <v>0</v>
      </c>
      <c r="M4029" t="s">
        <v>125</v>
      </c>
      <c r="O4029" t="s">
        <v>125</v>
      </c>
      <c r="P4029" t="s">
        <v>125</v>
      </c>
      <c r="Q4029" t="s">
        <v>125</v>
      </c>
      <c r="R4029" t="s">
        <v>125</v>
      </c>
      <c r="S4029" t="s">
        <v>125</v>
      </c>
      <c r="T4029">
        <v>362</v>
      </c>
      <c r="V4029" t="s">
        <v>125</v>
      </c>
      <c r="AE4029" t="s">
        <v>125</v>
      </c>
      <c r="AF4029">
        <v>0</v>
      </c>
      <c r="AG4029" t="s">
        <v>125</v>
      </c>
      <c r="AH4029">
        <v>0</v>
      </c>
      <c r="AK4029">
        <v>0</v>
      </c>
    </row>
    <row r="4030" spans="1:37" x14ac:dyDescent="0.25">
      <c r="A4030" t="s">
        <v>79</v>
      </c>
      <c r="B4030">
        <v>16</v>
      </c>
      <c r="C4030">
        <v>1</v>
      </c>
      <c r="D4030">
        <v>2</v>
      </c>
      <c r="E4030">
        <v>10</v>
      </c>
      <c r="G4030">
        <v>1612</v>
      </c>
      <c r="H4030" t="s">
        <v>812</v>
      </c>
      <c r="I4030" t="s">
        <v>129</v>
      </c>
      <c r="J4030" t="s">
        <v>5443</v>
      </c>
      <c r="L4030">
        <v>0</v>
      </c>
      <c r="M4030" t="s">
        <v>125</v>
      </c>
      <c r="O4030" t="s">
        <v>125</v>
      </c>
      <c r="P4030" t="s">
        <v>125</v>
      </c>
      <c r="Q4030" t="s">
        <v>125</v>
      </c>
      <c r="R4030" t="s">
        <v>125</v>
      </c>
      <c r="S4030" t="s">
        <v>125</v>
      </c>
      <c r="T4030">
        <v>362</v>
      </c>
      <c r="V4030" t="s">
        <v>125</v>
      </c>
      <c r="AE4030" t="s">
        <v>125</v>
      </c>
      <c r="AF4030">
        <v>0</v>
      </c>
      <c r="AG4030" t="s">
        <v>125</v>
      </c>
      <c r="AH4030">
        <v>0</v>
      </c>
      <c r="AK4030">
        <v>0</v>
      </c>
    </row>
    <row r="4031" spans="1:37" x14ac:dyDescent="0.25">
      <c r="A4031" t="s">
        <v>79</v>
      </c>
      <c r="B4031">
        <v>16</v>
      </c>
      <c r="C4031">
        <v>1</v>
      </c>
      <c r="D4031">
        <v>2</v>
      </c>
      <c r="E4031">
        <v>11</v>
      </c>
      <c r="G4031">
        <v>1612</v>
      </c>
      <c r="H4031" t="s">
        <v>812</v>
      </c>
      <c r="I4031" t="s">
        <v>131</v>
      </c>
      <c r="J4031" t="s">
        <v>5444</v>
      </c>
      <c r="L4031">
        <v>0</v>
      </c>
      <c r="M4031" t="s">
        <v>125</v>
      </c>
      <c r="O4031" t="s">
        <v>125</v>
      </c>
      <c r="P4031" t="s">
        <v>125</v>
      </c>
      <c r="Q4031" t="s">
        <v>125</v>
      </c>
      <c r="R4031" t="s">
        <v>125</v>
      </c>
      <c r="S4031" t="s">
        <v>125</v>
      </c>
      <c r="T4031">
        <v>362</v>
      </c>
      <c r="V4031" t="s">
        <v>125</v>
      </c>
      <c r="AE4031" t="s">
        <v>125</v>
      </c>
      <c r="AF4031">
        <v>0</v>
      </c>
      <c r="AG4031" t="s">
        <v>125</v>
      </c>
      <c r="AH4031">
        <v>0</v>
      </c>
      <c r="AK4031">
        <v>0</v>
      </c>
    </row>
    <row r="4032" spans="1:37" x14ac:dyDescent="0.25">
      <c r="A4032" t="s">
        <v>79</v>
      </c>
      <c r="B4032">
        <v>16</v>
      </c>
      <c r="C4032">
        <v>1</v>
      </c>
      <c r="D4032">
        <v>2</v>
      </c>
      <c r="E4032">
        <v>12</v>
      </c>
      <c r="G4032">
        <v>1612</v>
      </c>
      <c r="H4032" t="s">
        <v>812</v>
      </c>
      <c r="I4032" t="s">
        <v>133</v>
      </c>
      <c r="J4032" t="s">
        <v>5445</v>
      </c>
      <c r="L4032">
        <v>0</v>
      </c>
      <c r="M4032" t="s">
        <v>125</v>
      </c>
      <c r="O4032" t="s">
        <v>125</v>
      </c>
      <c r="P4032" t="s">
        <v>125</v>
      </c>
      <c r="Q4032" t="s">
        <v>125</v>
      </c>
      <c r="R4032" t="s">
        <v>125</v>
      </c>
      <c r="S4032" t="s">
        <v>125</v>
      </c>
      <c r="T4032">
        <v>362</v>
      </c>
      <c r="V4032" t="s">
        <v>125</v>
      </c>
      <c r="AE4032" t="s">
        <v>125</v>
      </c>
      <c r="AF4032">
        <v>0</v>
      </c>
      <c r="AG4032" t="s">
        <v>125</v>
      </c>
      <c r="AH4032">
        <v>0</v>
      </c>
      <c r="AK4032">
        <v>0</v>
      </c>
    </row>
    <row r="4033" spans="1:37" x14ac:dyDescent="0.25">
      <c r="A4033" t="s">
        <v>79</v>
      </c>
      <c r="B4033">
        <v>16</v>
      </c>
      <c r="C4033">
        <v>1</v>
      </c>
      <c r="D4033">
        <v>2</v>
      </c>
      <c r="E4033">
        <v>13</v>
      </c>
      <c r="G4033">
        <v>1612</v>
      </c>
      <c r="H4033" t="s">
        <v>812</v>
      </c>
      <c r="I4033" t="s">
        <v>135</v>
      </c>
      <c r="J4033" t="s">
        <v>5446</v>
      </c>
      <c r="L4033">
        <v>0</v>
      </c>
      <c r="M4033" t="s">
        <v>125</v>
      </c>
      <c r="O4033" t="s">
        <v>125</v>
      </c>
      <c r="P4033" t="s">
        <v>125</v>
      </c>
      <c r="Q4033" t="s">
        <v>125</v>
      </c>
      <c r="R4033" t="s">
        <v>125</v>
      </c>
      <c r="S4033" t="s">
        <v>125</v>
      </c>
      <c r="T4033">
        <v>362</v>
      </c>
      <c r="V4033" t="s">
        <v>125</v>
      </c>
      <c r="AE4033" t="s">
        <v>125</v>
      </c>
      <c r="AF4033">
        <v>0</v>
      </c>
      <c r="AG4033" t="s">
        <v>125</v>
      </c>
      <c r="AH4033">
        <v>0</v>
      </c>
      <c r="AK4033">
        <v>0</v>
      </c>
    </row>
    <row r="4034" spans="1:37" x14ac:dyDescent="0.25">
      <c r="A4034" t="s">
        <v>79</v>
      </c>
      <c r="B4034">
        <v>16</v>
      </c>
      <c r="C4034">
        <v>1</v>
      </c>
      <c r="D4034">
        <v>2</v>
      </c>
      <c r="E4034">
        <v>14</v>
      </c>
      <c r="G4034">
        <v>1612</v>
      </c>
      <c r="H4034" t="s">
        <v>812</v>
      </c>
      <c r="I4034" t="s">
        <v>137</v>
      </c>
      <c r="J4034" t="s">
        <v>5447</v>
      </c>
      <c r="L4034">
        <v>0</v>
      </c>
      <c r="M4034" t="s">
        <v>125</v>
      </c>
      <c r="O4034" t="s">
        <v>125</v>
      </c>
      <c r="P4034" t="s">
        <v>125</v>
      </c>
      <c r="Q4034" t="s">
        <v>125</v>
      </c>
      <c r="R4034" t="s">
        <v>125</v>
      </c>
      <c r="S4034" t="s">
        <v>125</v>
      </c>
      <c r="T4034">
        <v>362</v>
      </c>
      <c r="V4034" t="s">
        <v>125</v>
      </c>
      <c r="AE4034" t="s">
        <v>125</v>
      </c>
      <c r="AF4034">
        <v>0</v>
      </c>
      <c r="AG4034" t="s">
        <v>125</v>
      </c>
      <c r="AH4034">
        <v>0</v>
      </c>
      <c r="AK4034">
        <v>0</v>
      </c>
    </row>
    <row r="4035" spans="1:37" x14ac:dyDescent="0.25">
      <c r="A4035" t="s">
        <v>79</v>
      </c>
      <c r="B4035">
        <v>16</v>
      </c>
      <c r="C4035">
        <v>1</v>
      </c>
      <c r="D4035">
        <v>2</v>
      </c>
      <c r="E4035">
        <v>15</v>
      </c>
      <c r="G4035">
        <v>1612</v>
      </c>
      <c r="H4035" t="s">
        <v>812</v>
      </c>
      <c r="I4035" t="s">
        <v>139</v>
      </c>
      <c r="J4035" t="s">
        <v>5448</v>
      </c>
      <c r="L4035">
        <v>0</v>
      </c>
      <c r="M4035" t="s">
        <v>125</v>
      </c>
      <c r="O4035" t="s">
        <v>125</v>
      </c>
      <c r="P4035" t="s">
        <v>125</v>
      </c>
      <c r="Q4035" t="s">
        <v>125</v>
      </c>
      <c r="R4035" t="s">
        <v>125</v>
      </c>
      <c r="S4035" t="s">
        <v>125</v>
      </c>
      <c r="T4035">
        <v>362</v>
      </c>
      <c r="V4035" t="s">
        <v>125</v>
      </c>
      <c r="AE4035" t="s">
        <v>125</v>
      </c>
      <c r="AF4035">
        <v>0</v>
      </c>
      <c r="AG4035" t="s">
        <v>125</v>
      </c>
      <c r="AH4035">
        <v>0</v>
      </c>
      <c r="AK4035">
        <v>0</v>
      </c>
    </row>
    <row r="4036" spans="1:37" x14ac:dyDescent="0.25">
      <c r="L4036">
        <v>0</v>
      </c>
    </row>
    <row r="4037" spans="1:37" x14ac:dyDescent="0.25">
      <c r="A4037" t="s">
        <v>70</v>
      </c>
      <c r="B4037">
        <v>16</v>
      </c>
      <c r="C4037">
        <v>1</v>
      </c>
      <c r="D4037">
        <v>3</v>
      </c>
      <c r="G4037">
        <v>161</v>
      </c>
      <c r="M4037" t="s">
        <v>5449</v>
      </c>
      <c r="O4037" t="s">
        <v>5450</v>
      </c>
      <c r="P4037" t="s">
        <v>5451</v>
      </c>
      <c r="Q4037" t="s">
        <v>5452</v>
      </c>
      <c r="R4037" t="s">
        <v>192</v>
      </c>
      <c r="S4037" t="s">
        <v>5453</v>
      </c>
      <c r="V4037" t="s">
        <v>5454</v>
      </c>
      <c r="X4037" t="s">
        <v>5455</v>
      </c>
      <c r="Y4037" t="s">
        <v>5456</v>
      </c>
      <c r="Z4037" t="s">
        <v>5457</v>
      </c>
      <c r="AA4037" t="s">
        <v>5458</v>
      </c>
      <c r="AB4037" t="s">
        <v>63</v>
      </c>
      <c r="AC4037" t="s">
        <v>63</v>
      </c>
      <c r="AE4037" t="s">
        <v>5459</v>
      </c>
      <c r="AF4037">
        <v>0</v>
      </c>
      <c r="AG4037" t="s">
        <v>5460</v>
      </c>
      <c r="AH4037">
        <v>0</v>
      </c>
      <c r="AK4037">
        <v>0</v>
      </c>
    </row>
    <row r="4038" spans="1:37" x14ac:dyDescent="0.25">
      <c r="A4038" t="s">
        <v>79</v>
      </c>
      <c r="B4038">
        <v>16</v>
      </c>
      <c r="C4038">
        <v>1</v>
      </c>
      <c r="D4038">
        <v>3</v>
      </c>
      <c r="E4038">
        <v>1</v>
      </c>
      <c r="G4038">
        <v>1613</v>
      </c>
      <c r="H4038" t="s">
        <v>5450</v>
      </c>
      <c r="I4038" t="s">
        <v>80</v>
      </c>
      <c r="J4038" t="s">
        <v>5461</v>
      </c>
      <c r="L4038">
        <v>0</v>
      </c>
      <c r="M4038" t="s">
        <v>5462</v>
      </c>
      <c r="O4038" t="s">
        <v>4636</v>
      </c>
      <c r="P4038" t="s">
        <v>4637</v>
      </c>
      <c r="Q4038" t="s">
        <v>3120</v>
      </c>
      <c r="R4038" t="s">
        <v>4639</v>
      </c>
      <c r="S4038" t="s">
        <v>4640</v>
      </c>
      <c r="T4038">
        <v>29</v>
      </c>
      <c r="U4038">
        <v>2</v>
      </c>
      <c r="V4038" t="s">
        <v>3506</v>
      </c>
      <c r="AE4038" t="s">
        <v>5463</v>
      </c>
      <c r="AF4038">
        <v>0</v>
      </c>
      <c r="AG4038" t="s">
        <v>5464</v>
      </c>
      <c r="AH4038">
        <v>0</v>
      </c>
      <c r="AK4038">
        <v>0</v>
      </c>
    </row>
    <row r="4039" spans="1:37" x14ac:dyDescent="0.25">
      <c r="A4039" t="s">
        <v>79</v>
      </c>
      <c r="B4039">
        <v>16</v>
      </c>
      <c r="C4039">
        <v>1</v>
      </c>
      <c r="D4039">
        <v>3</v>
      </c>
      <c r="E4039">
        <v>2</v>
      </c>
      <c r="G4039">
        <v>1613</v>
      </c>
      <c r="H4039" t="s">
        <v>5450</v>
      </c>
      <c r="I4039" t="s">
        <v>88</v>
      </c>
      <c r="J4039" t="s">
        <v>5465</v>
      </c>
      <c r="L4039">
        <v>0</v>
      </c>
      <c r="M4039" t="s">
        <v>5466</v>
      </c>
      <c r="O4039" t="s">
        <v>207</v>
      </c>
      <c r="P4039" t="s">
        <v>208</v>
      </c>
      <c r="Q4039" t="s">
        <v>1070</v>
      </c>
      <c r="R4039" t="s">
        <v>210</v>
      </c>
      <c r="S4039" t="s">
        <v>211</v>
      </c>
      <c r="T4039">
        <v>29</v>
      </c>
      <c r="U4039">
        <v>0</v>
      </c>
      <c r="V4039" t="s">
        <v>1789</v>
      </c>
      <c r="AE4039" t="s">
        <v>5467</v>
      </c>
      <c r="AF4039">
        <v>0</v>
      </c>
      <c r="AG4039" t="s">
        <v>5468</v>
      </c>
      <c r="AH4039">
        <v>0</v>
      </c>
      <c r="AK4039">
        <v>0</v>
      </c>
    </row>
    <row r="4040" spans="1:37" x14ac:dyDescent="0.25">
      <c r="A4040" t="s">
        <v>79</v>
      </c>
      <c r="B4040">
        <v>16</v>
      </c>
      <c r="C4040">
        <v>1</v>
      </c>
      <c r="D4040">
        <v>3</v>
      </c>
      <c r="E4040">
        <v>3</v>
      </c>
      <c r="G4040">
        <v>1613</v>
      </c>
      <c r="H4040" t="s">
        <v>5450</v>
      </c>
      <c r="I4040" t="s">
        <v>95</v>
      </c>
      <c r="J4040" t="s">
        <v>5469</v>
      </c>
      <c r="L4040">
        <v>0</v>
      </c>
      <c r="M4040" t="s">
        <v>5470</v>
      </c>
      <c r="O4040" t="s">
        <v>5471</v>
      </c>
      <c r="P4040" t="s">
        <v>5472</v>
      </c>
      <c r="Q4040" t="s">
        <v>5473</v>
      </c>
      <c r="R4040" t="s">
        <v>210</v>
      </c>
      <c r="S4040" t="s">
        <v>5474</v>
      </c>
      <c r="T4040">
        <v>29</v>
      </c>
      <c r="U4040">
        <v>0</v>
      </c>
      <c r="V4040" t="s">
        <v>1789</v>
      </c>
      <c r="AE4040" t="s">
        <v>5475</v>
      </c>
      <c r="AF4040">
        <v>0</v>
      </c>
      <c r="AG4040" t="s">
        <v>5476</v>
      </c>
      <c r="AH4040">
        <v>0</v>
      </c>
      <c r="AK4040">
        <v>0</v>
      </c>
    </row>
    <row r="4041" spans="1:37" x14ac:dyDescent="0.25">
      <c r="A4041" t="s">
        <v>79</v>
      </c>
      <c r="B4041">
        <v>16</v>
      </c>
      <c r="C4041">
        <v>1</v>
      </c>
      <c r="D4041">
        <v>3</v>
      </c>
      <c r="E4041">
        <v>4</v>
      </c>
      <c r="G4041">
        <v>1613</v>
      </c>
      <c r="H4041" t="s">
        <v>5450</v>
      </c>
      <c r="I4041" t="s">
        <v>102</v>
      </c>
      <c r="J4041" t="s">
        <v>5477</v>
      </c>
      <c r="L4041">
        <v>0</v>
      </c>
      <c r="M4041" t="s">
        <v>5478</v>
      </c>
      <c r="O4041" t="s">
        <v>5479</v>
      </c>
      <c r="P4041" t="s">
        <v>5480</v>
      </c>
      <c r="Q4041" t="s">
        <v>5481</v>
      </c>
      <c r="R4041" t="s">
        <v>210</v>
      </c>
      <c r="S4041" t="s">
        <v>5482</v>
      </c>
      <c r="T4041">
        <v>29</v>
      </c>
      <c r="U4041">
        <v>2</v>
      </c>
      <c r="V4041" t="s">
        <v>5483</v>
      </c>
      <c r="AE4041" t="s">
        <v>5484</v>
      </c>
      <c r="AF4041">
        <v>0</v>
      </c>
      <c r="AG4041" t="s">
        <v>5485</v>
      </c>
      <c r="AH4041">
        <v>0</v>
      </c>
      <c r="AK4041">
        <v>0</v>
      </c>
    </row>
    <row r="4042" spans="1:37" x14ac:dyDescent="0.25">
      <c r="A4042" t="s">
        <v>79</v>
      </c>
      <c r="B4042">
        <v>16</v>
      </c>
      <c r="C4042">
        <v>1</v>
      </c>
      <c r="D4042">
        <v>3</v>
      </c>
      <c r="E4042">
        <v>5</v>
      </c>
      <c r="G4042">
        <v>1613</v>
      </c>
      <c r="H4042" t="s">
        <v>5450</v>
      </c>
      <c r="I4042" t="s">
        <v>109</v>
      </c>
      <c r="J4042" t="s">
        <v>5486</v>
      </c>
      <c r="L4042">
        <v>0</v>
      </c>
      <c r="M4042" t="s">
        <v>5487</v>
      </c>
      <c r="O4042" t="s">
        <v>5488</v>
      </c>
      <c r="P4042" t="s">
        <v>5489</v>
      </c>
      <c r="Q4042" t="s">
        <v>5490</v>
      </c>
      <c r="R4042" t="s">
        <v>192</v>
      </c>
      <c r="S4042" t="s">
        <v>5491</v>
      </c>
      <c r="T4042">
        <v>29</v>
      </c>
      <c r="U4042">
        <v>30</v>
      </c>
      <c r="V4042" t="s">
        <v>5492</v>
      </c>
      <c r="AE4042" t="s">
        <v>5493</v>
      </c>
      <c r="AF4042">
        <v>0</v>
      </c>
      <c r="AG4042" t="s">
        <v>5494</v>
      </c>
      <c r="AH4042">
        <v>0</v>
      </c>
      <c r="AK4042">
        <v>0</v>
      </c>
    </row>
    <row r="4043" spans="1:37" x14ac:dyDescent="0.25">
      <c r="A4043" t="s">
        <v>79</v>
      </c>
      <c r="B4043">
        <v>16</v>
      </c>
      <c r="C4043">
        <v>1</v>
      </c>
      <c r="D4043">
        <v>3</v>
      </c>
      <c r="E4043">
        <v>6</v>
      </c>
      <c r="G4043">
        <v>1613</v>
      </c>
      <c r="H4043" t="s">
        <v>5450</v>
      </c>
      <c r="I4043" t="s">
        <v>116</v>
      </c>
      <c r="J4043" t="s">
        <v>5495</v>
      </c>
      <c r="L4043">
        <v>0</v>
      </c>
      <c r="M4043" t="s">
        <v>5496</v>
      </c>
      <c r="O4043" t="s">
        <v>294</v>
      </c>
      <c r="P4043" t="s">
        <v>295</v>
      </c>
      <c r="Q4043" t="s">
        <v>4668</v>
      </c>
      <c r="R4043" t="s">
        <v>229</v>
      </c>
      <c r="S4043" t="s">
        <v>297</v>
      </c>
      <c r="T4043">
        <v>29</v>
      </c>
      <c r="U4043">
        <v>8</v>
      </c>
      <c r="V4043" t="s">
        <v>5497</v>
      </c>
      <c r="AE4043" t="s">
        <v>5498</v>
      </c>
      <c r="AF4043">
        <v>0</v>
      </c>
      <c r="AG4043" t="s">
        <v>5499</v>
      </c>
      <c r="AH4043">
        <v>0</v>
      </c>
      <c r="AK4043">
        <v>0</v>
      </c>
    </row>
    <row r="4044" spans="1:37" x14ac:dyDescent="0.25">
      <c r="A4044" t="s">
        <v>79</v>
      </c>
      <c r="B4044">
        <v>16</v>
      </c>
      <c r="C4044">
        <v>1</v>
      </c>
      <c r="D4044">
        <v>3</v>
      </c>
      <c r="E4044">
        <v>7</v>
      </c>
      <c r="G4044">
        <v>1613</v>
      </c>
      <c r="H4044" t="s">
        <v>5450</v>
      </c>
      <c r="I4044" t="s">
        <v>123</v>
      </c>
      <c r="J4044" t="s">
        <v>5500</v>
      </c>
      <c r="L4044">
        <v>0</v>
      </c>
      <c r="M4044" t="s">
        <v>5501</v>
      </c>
      <c r="O4044" t="s">
        <v>5425</v>
      </c>
      <c r="P4044" t="s">
        <v>5426</v>
      </c>
      <c r="Q4044" t="s">
        <v>5502</v>
      </c>
      <c r="R4044" t="s">
        <v>229</v>
      </c>
      <c r="S4044" t="s">
        <v>239</v>
      </c>
      <c r="T4044">
        <v>29</v>
      </c>
      <c r="U4044">
        <v>5</v>
      </c>
      <c r="V4044" t="s">
        <v>5503</v>
      </c>
      <c r="AE4044" t="s">
        <v>5504</v>
      </c>
      <c r="AF4044">
        <v>0</v>
      </c>
      <c r="AG4044" t="s">
        <v>5505</v>
      </c>
      <c r="AH4044">
        <v>0</v>
      </c>
      <c r="AK4044">
        <v>0</v>
      </c>
    </row>
    <row r="4045" spans="1:37" x14ac:dyDescent="0.25">
      <c r="A4045" t="s">
        <v>79</v>
      </c>
      <c r="B4045">
        <v>16</v>
      </c>
      <c r="C4045">
        <v>1</v>
      </c>
      <c r="D4045">
        <v>3</v>
      </c>
      <c r="E4045">
        <v>8</v>
      </c>
      <c r="G4045">
        <v>1613</v>
      </c>
      <c r="H4045" t="s">
        <v>5450</v>
      </c>
      <c r="I4045" t="s">
        <v>126</v>
      </c>
      <c r="J4045" t="s">
        <v>5506</v>
      </c>
      <c r="L4045">
        <v>0</v>
      </c>
      <c r="M4045" t="s">
        <v>5507</v>
      </c>
      <c r="O4045" t="s">
        <v>5363</v>
      </c>
      <c r="P4045" t="s">
        <v>5364</v>
      </c>
      <c r="Q4045" t="s">
        <v>5508</v>
      </c>
      <c r="R4045" t="s">
        <v>248</v>
      </c>
      <c r="S4045" t="s">
        <v>5366</v>
      </c>
      <c r="T4045">
        <v>29</v>
      </c>
      <c r="U4045">
        <v>0</v>
      </c>
      <c r="V4045" t="s">
        <v>2577</v>
      </c>
      <c r="AE4045" t="s">
        <v>5509</v>
      </c>
      <c r="AF4045">
        <v>0</v>
      </c>
      <c r="AG4045" t="s">
        <v>5510</v>
      </c>
      <c r="AH4045">
        <v>0</v>
      </c>
      <c r="AK4045">
        <v>0</v>
      </c>
    </row>
    <row r="4046" spans="1:37" x14ac:dyDescent="0.25">
      <c r="A4046" t="s">
        <v>79</v>
      </c>
      <c r="B4046">
        <v>16</v>
      </c>
      <c r="C4046">
        <v>1</v>
      </c>
      <c r="D4046">
        <v>3</v>
      </c>
      <c r="E4046">
        <v>9</v>
      </c>
      <c r="G4046">
        <v>1613</v>
      </c>
      <c r="H4046" t="s">
        <v>5450</v>
      </c>
      <c r="I4046" t="s">
        <v>74</v>
      </c>
      <c r="J4046" t="s">
        <v>5511</v>
      </c>
      <c r="L4046">
        <v>0</v>
      </c>
      <c r="M4046" t="s">
        <v>5512</v>
      </c>
      <c r="O4046" t="s">
        <v>5371</v>
      </c>
      <c r="P4046" t="s">
        <v>5372</v>
      </c>
      <c r="Q4046" t="s">
        <v>5513</v>
      </c>
      <c r="R4046" t="s">
        <v>258</v>
      </c>
      <c r="S4046" t="s">
        <v>5374</v>
      </c>
      <c r="T4046">
        <v>29</v>
      </c>
      <c r="U4046">
        <v>1</v>
      </c>
      <c r="V4046" t="s">
        <v>1339</v>
      </c>
      <c r="AE4046" t="s">
        <v>5514</v>
      </c>
      <c r="AF4046">
        <v>0</v>
      </c>
      <c r="AG4046" t="s">
        <v>5515</v>
      </c>
      <c r="AH4046">
        <v>0</v>
      </c>
      <c r="AK4046">
        <v>0</v>
      </c>
    </row>
    <row r="4047" spans="1:37" x14ac:dyDescent="0.25">
      <c r="A4047" t="s">
        <v>79</v>
      </c>
      <c r="B4047">
        <v>16</v>
      </c>
      <c r="C4047">
        <v>1</v>
      </c>
      <c r="D4047">
        <v>3</v>
      </c>
      <c r="E4047">
        <v>10</v>
      </c>
      <c r="G4047">
        <v>1613</v>
      </c>
      <c r="H4047" t="s">
        <v>5450</v>
      </c>
      <c r="I4047" t="s">
        <v>129</v>
      </c>
      <c r="J4047" t="s">
        <v>5516</v>
      </c>
      <c r="L4047">
        <v>0</v>
      </c>
      <c r="M4047" t="s">
        <v>125</v>
      </c>
      <c r="O4047" t="s">
        <v>125</v>
      </c>
      <c r="P4047" t="s">
        <v>125</v>
      </c>
      <c r="Q4047" t="s">
        <v>125</v>
      </c>
      <c r="R4047" t="s">
        <v>125</v>
      </c>
      <c r="S4047" t="s">
        <v>125</v>
      </c>
      <c r="T4047">
        <v>29</v>
      </c>
      <c r="V4047" t="s">
        <v>125</v>
      </c>
      <c r="AE4047" t="s">
        <v>125</v>
      </c>
      <c r="AF4047">
        <v>0</v>
      </c>
      <c r="AG4047" t="s">
        <v>125</v>
      </c>
      <c r="AH4047">
        <v>0</v>
      </c>
      <c r="AK4047">
        <v>0</v>
      </c>
    </row>
    <row r="4048" spans="1:37" x14ac:dyDescent="0.25">
      <c r="A4048" t="s">
        <v>79</v>
      </c>
      <c r="B4048">
        <v>16</v>
      </c>
      <c r="C4048">
        <v>1</v>
      </c>
      <c r="D4048">
        <v>3</v>
      </c>
      <c r="E4048">
        <v>11</v>
      </c>
      <c r="G4048">
        <v>1613</v>
      </c>
      <c r="H4048" t="s">
        <v>5450</v>
      </c>
      <c r="I4048" t="s">
        <v>131</v>
      </c>
      <c r="J4048" t="s">
        <v>5517</v>
      </c>
      <c r="L4048">
        <v>0</v>
      </c>
      <c r="M4048" t="s">
        <v>125</v>
      </c>
      <c r="O4048" t="s">
        <v>125</v>
      </c>
      <c r="P4048" t="s">
        <v>125</v>
      </c>
      <c r="Q4048" t="s">
        <v>125</v>
      </c>
      <c r="R4048" t="s">
        <v>125</v>
      </c>
      <c r="S4048" t="s">
        <v>125</v>
      </c>
      <c r="T4048">
        <v>29</v>
      </c>
      <c r="V4048" t="s">
        <v>125</v>
      </c>
      <c r="AE4048" t="s">
        <v>125</v>
      </c>
      <c r="AF4048">
        <v>0</v>
      </c>
      <c r="AG4048" t="s">
        <v>125</v>
      </c>
      <c r="AH4048">
        <v>0</v>
      </c>
      <c r="AK4048">
        <v>0</v>
      </c>
    </row>
    <row r="4049" spans="1:37" x14ac:dyDescent="0.25">
      <c r="A4049" t="s">
        <v>79</v>
      </c>
      <c r="B4049">
        <v>16</v>
      </c>
      <c r="C4049">
        <v>1</v>
      </c>
      <c r="D4049">
        <v>3</v>
      </c>
      <c r="E4049">
        <v>12</v>
      </c>
      <c r="G4049">
        <v>1613</v>
      </c>
      <c r="H4049" t="s">
        <v>5450</v>
      </c>
      <c r="I4049" t="s">
        <v>133</v>
      </c>
      <c r="J4049" t="s">
        <v>5518</v>
      </c>
      <c r="L4049">
        <v>0</v>
      </c>
      <c r="M4049" t="s">
        <v>125</v>
      </c>
      <c r="O4049" t="s">
        <v>125</v>
      </c>
      <c r="P4049" t="s">
        <v>125</v>
      </c>
      <c r="Q4049" t="s">
        <v>125</v>
      </c>
      <c r="R4049" t="s">
        <v>125</v>
      </c>
      <c r="S4049" t="s">
        <v>125</v>
      </c>
      <c r="T4049">
        <v>29</v>
      </c>
      <c r="V4049" t="s">
        <v>125</v>
      </c>
      <c r="AE4049" t="s">
        <v>125</v>
      </c>
      <c r="AF4049">
        <v>0</v>
      </c>
      <c r="AG4049" t="s">
        <v>125</v>
      </c>
      <c r="AH4049">
        <v>0</v>
      </c>
      <c r="AK4049">
        <v>0</v>
      </c>
    </row>
    <row r="4050" spans="1:37" x14ac:dyDescent="0.25">
      <c r="A4050" t="s">
        <v>79</v>
      </c>
      <c r="B4050">
        <v>16</v>
      </c>
      <c r="C4050">
        <v>1</v>
      </c>
      <c r="D4050">
        <v>3</v>
      </c>
      <c r="E4050">
        <v>13</v>
      </c>
      <c r="G4050">
        <v>1613</v>
      </c>
      <c r="H4050" t="s">
        <v>5450</v>
      </c>
      <c r="I4050" t="s">
        <v>135</v>
      </c>
      <c r="J4050" t="s">
        <v>5519</v>
      </c>
      <c r="L4050">
        <v>0</v>
      </c>
      <c r="M4050" t="s">
        <v>125</v>
      </c>
      <c r="O4050" t="s">
        <v>125</v>
      </c>
      <c r="P4050" t="s">
        <v>125</v>
      </c>
      <c r="Q4050" t="s">
        <v>125</v>
      </c>
      <c r="R4050" t="s">
        <v>125</v>
      </c>
      <c r="S4050" t="s">
        <v>125</v>
      </c>
      <c r="T4050">
        <v>29</v>
      </c>
      <c r="V4050" t="s">
        <v>125</v>
      </c>
      <c r="AE4050" t="s">
        <v>125</v>
      </c>
      <c r="AF4050">
        <v>0</v>
      </c>
      <c r="AG4050" t="s">
        <v>125</v>
      </c>
      <c r="AH4050">
        <v>0</v>
      </c>
      <c r="AK4050">
        <v>0</v>
      </c>
    </row>
    <row r="4051" spans="1:37" x14ac:dyDescent="0.25">
      <c r="A4051" t="s">
        <v>79</v>
      </c>
      <c r="B4051">
        <v>16</v>
      </c>
      <c r="C4051">
        <v>1</v>
      </c>
      <c r="D4051">
        <v>3</v>
      </c>
      <c r="E4051">
        <v>14</v>
      </c>
      <c r="G4051">
        <v>1613</v>
      </c>
      <c r="H4051" t="s">
        <v>5450</v>
      </c>
      <c r="I4051" t="s">
        <v>137</v>
      </c>
      <c r="J4051" t="s">
        <v>5520</v>
      </c>
      <c r="L4051">
        <v>0</v>
      </c>
      <c r="M4051" t="s">
        <v>125</v>
      </c>
      <c r="O4051" t="s">
        <v>125</v>
      </c>
      <c r="P4051" t="s">
        <v>125</v>
      </c>
      <c r="Q4051" t="s">
        <v>125</v>
      </c>
      <c r="R4051" t="s">
        <v>125</v>
      </c>
      <c r="S4051" t="s">
        <v>125</v>
      </c>
      <c r="T4051">
        <v>29</v>
      </c>
      <c r="V4051" t="s">
        <v>125</v>
      </c>
      <c r="AE4051" t="s">
        <v>125</v>
      </c>
      <c r="AF4051">
        <v>0</v>
      </c>
      <c r="AG4051" t="s">
        <v>125</v>
      </c>
      <c r="AH4051">
        <v>0</v>
      </c>
      <c r="AK4051">
        <v>0</v>
      </c>
    </row>
    <row r="4052" spans="1:37" x14ac:dyDescent="0.25">
      <c r="A4052" t="s">
        <v>79</v>
      </c>
      <c r="B4052">
        <v>16</v>
      </c>
      <c r="C4052">
        <v>1</v>
      </c>
      <c r="D4052">
        <v>3</v>
      </c>
      <c r="E4052">
        <v>15</v>
      </c>
      <c r="G4052">
        <v>1613</v>
      </c>
      <c r="H4052" t="s">
        <v>5450</v>
      </c>
      <c r="I4052" t="s">
        <v>139</v>
      </c>
      <c r="J4052" t="s">
        <v>5521</v>
      </c>
      <c r="L4052">
        <v>0</v>
      </c>
      <c r="M4052" t="s">
        <v>125</v>
      </c>
      <c r="O4052" t="s">
        <v>125</v>
      </c>
      <c r="P4052" t="s">
        <v>125</v>
      </c>
      <c r="Q4052" t="s">
        <v>125</v>
      </c>
      <c r="R4052" t="s">
        <v>125</v>
      </c>
      <c r="S4052" t="s">
        <v>125</v>
      </c>
      <c r="T4052">
        <v>29</v>
      </c>
      <c r="V4052" t="s">
        <v>125</v>
      </c>
      <c r="AE4052" t="s">
        <v>125</v>
      </c>
      <c r="AF4052">
        <v>0</v>
      </c>
      <c r="AG4052" t="s">
        <v>125</v>
      </c>
      <c r="AH4052">
        <v>0</v>
      </c>
      <c r="AK4052">
        <v>0</v>
      </c>
    </row>
    <row r="4053" spans="1:37" x14ac:dyDescent="0.25">
      <c r="L4053">
        <v>0</v>
      </c>
    </row>
    <row r="4054" spans="1:37" x14ac:dyDescent="0.25">
      <c r="A4054" t="s">
        <v>70</v>
      </c>
      <c r="B4054">
        <v>16</v>
      </c>
      <c r="C4054">
        <v>1</v>
      </c>
      <c r="D4054">
        <v>4</v>
      </c>
      <c r="G4054">
        <v>161</v>
      </c>
      <c r="M4054" t="s">
        <v>5522</v>
      </c>
      <c r="O4054" t="s">
        <v>5523</v>
      </c>
      <c r="P4054" t="s">
        <v>5524</v>
      </c>
      <c r="Q4054" t="s">
        <v>5525</v>
      </c>
      <c r="R4054" t="s">
        <v>192</v>
      </c>
      <c r="S4054" t="s">
        <v>5526</v>
      </c>
      <c r="V4054" t="s">
        <v>5527</v>
      </c>
      <c r="X4054" t="s">
        <v>5528</v>
      </c>
      <c r="Y4054" t="s">
        <v>5529</v>
      </c>
      <c r="Z4054" t="s">
        <v>5530</v>
      </c>
      <c r="AA4054" t="s">
        <v>5531</v>
      </c>
      <c r="AB4054" t="s">
        <v>63</v>
      </c>
      <c r="AC4054" t="s">
        <v>63</v>
      </c>
      <c r="AE4054" t="s">
        <v>5532</v>
      </c>
      <c r="AF4054">
        <v>0</v>
      </c>
      <c r="AG4054" t="s">
        <v>5533</v>
      </c>
      <c r="AH4054">
        <v>0</v>
      </c>
      <c r="AK4054">
        <v>0</v>
      </c>
    </row>
    <row r="4055" spans="1:37" x14ac:dyDescent="0.25">
      <c r="A4055" t="s">
        <v>79</v>
      </c>
      <c r="B4055">
        <v>16</v>
      </c>
      <c r="C4055">
        <v>1</v>
      </c>
      <c r="D4055">
        <v>4</v>
      </c>
      <c r="E4055">
        <v>1</v>
      </c>
      <c r="G4055">
        <v>1614</v>
      </c>
      <c r="H4055" t="s">
        <v>5523</v>
      </c>
      <c r="I4055" t="s">
        <v>80</v>
      </c>
      <c r="J4055" t="s">
        <v>5534</v>
      </c>
      <c r="L4055">
        <v>0</v>
      </c>
      <c r="M4055" t="s">
        <v>5535</v>
      </c>
      <c r="O4055" t="s">
        <v>4636</v>
      </c>
      <c r="P4055" t="s">
        <v>4637</v>
      </c>
      <c r="Q4055" t="s">
        <v>5536</v>
      </c>
      <c r="R4055" t="s">
        <v>4639</v>
      </c>
      <c r="S4055" t="s">
        <v>4640</v>
      </c>
      <c r="T4055">
        <v>115</v>
      </c>
      <c r="U4055">
        <v>24</v>
      </c>
      <c r="V4055" t="s">
        <v>5537</v>
      </c>
      <c r="AE4055" t="s">
        <v>5538</v>
      </c>
      <c r="AF4055">
        <v>0</v>
      </c>
      <c r="AG4055" t="s">
        <v>5539</v>
      </c>
      <c r="AH4055">
        <v>0</v>
      </c>
      <c r="AK4055">
        <v>0</v>
      </c>
    </row>
    <row r="4056" spans="1:37" x14ac:dyDescent="0.25">
      <c r="A4056" t="s">
        <v>79</v>
      </c>
      <c r="B4056">
        <v>16</v>
      </c>
      <c r="C4056">
        <v>1</v>
      </c>
      <c r="D4056">
        <v>4</v>
      </c>
      <c r="E4056">
        <v>2</v>
      </c>
      <c r="G4056">
        <v>1614</v>
      </c>
      <c r="H4056" t="s">
        <v>5523</v>
      </c>
      <c r="I4056" t="s">
        <v>88</v>
      </c>
      <c r="J4056" t="s">
        <v>5540</v>
      </c>
      <c r="L4056">
        <v>0</v>
      </c>
      <c r="M4056" t="s">
        <v>5541</v>
      </c>
      <c r="O4056" t="s">
        <v>5542</v>
      </c>
      <c r="P4056" t="s">
        <v>5543</v>
      </c>
      <c r="Q4056" t="s">
        <v>5490</v>
      </c>
      <c r="R4056" t="s">
        <v>192</v>
      </c>
      <c r="S4056" t="s">
        <v>5544</v>
      </c>
      <c r="T4056">
        <v>115</v>
      </c>
      <c r="U4056">
        <v>120</v>
      </c>
      <c r="V4056" t="s">
        <v>5545</v>
      </c>
      <c r="AE4056" t="s">
        <v>5546</v>
      </c>
      <c r="AF4056">
        <v>0</v>
      </c>
      <c r="AG4056" t="s">
        <v>5547</v>
      </c>
      <c r="AH4056">
        <v>0</v>
      </c>
      <c r="AK4056">
        <v>0</v>
      </c>
    </row>
    <row r="4057" spans="1:37" x14ac:dyDescent="0.25">
      <c r="A4057" t="s">
        <v>79</v>
      </c>
      <c r="B4057">
        <v>16</v>
      </c>
      <c r="C4057">
        <v>1</v>
      </c>
      <c r="D4057">
        <v>4</v>
      </c>
      <c r="E4057">
        <v>3</v>
      </c>
      <c r="G4057">
        <v>1614</v>
      </c>
      <c r="H4057" t="s">
        <v>5523</v>
      </c>
      <c r="I4057" t="s">
        <v>95</v>
      </c>
      <c r="J4057" t="s">
        <v>5548</v>
      </c>
      <c r="L4057">
        <v>0</v>
      </c>
      <c r="M4057" t="s">
        <v>5549</v>
      </c>
      <c r="O4057" t="s">
        <v>207</v>
      </c>
      <c r="P4057" t="s">
        <v>208</v>
      </c>
      <c r="Q4057" t="s">
        <v>1070</v>
      </c>
      <c r="R4057" t="s">
        <v>210</v>
      </c>
      <c r="S4057" t="s">
        <v>211</v>
      </c>
      <c r="T4057">
        <v>115</v>
      </c>
      <c r="U4057">
        <v>1</v>
      </c>
      <c r="V4057" t="s">
        <v>1789</v>
      </c>
      <c r="AE4057" t="s">
        <v>5467</v>
      </c>
      <c r="AF4057">
        <v>0</v>
      </c>
      <c r="AG4057" t="s">
        <v>5550</v>
      </c>
      <c r="AH4057">
        <v>0</v>
      </c>
      <c r="AK4057">
        <v>0</v>
      </c>
    </row>
    <row r="4058" spans="1:37" x14ac:dyDescent="0.25">
      <c r="A4058" t="s">
        <v>79</v>
      </c>
      <c r="B4058">
        <v>16</v>
      </c>
      <c r="C4058">
        <v>1</v>
      </c>
      <c r="D4058">
        <v>4</v>
      </c>
      <c r="E4058">
        <v>4</v>
      </c>
      <c r="G4058">
        <v>1614</v>
      </c>
      <c r="H4058" t="s">
        <v>5523</v>
      </c>
      <c r="I4058" t="s">
        <v>102</v>
      </c>
      <c r="J4058" t="s">
        <v>5551</v>
      </c>
      <c r="L4058">
        <v>0</v>
      </c>
      <c r="M4058" t="s">
        <v>5552</v>
      </c>
      <c r="O4058" t="s">
        <v>5471</v>
      </c>
      <c r="P4058" t="s">
        <v>5472</v>
      </c>
      <c r="Q4058" t="s">
        <v>5473</v>
      </c>
      <c r="R4058" t="s">
        <v>210</v>
      </c>
      <c r="S4058" t="s">
        <v>5474</v>
      </c>
      <c r="T4058">
        <v>115</v>
      </c>
      <c r="U4058">
        <v>0</v>
      </c>
      <c r="V4058" t="s">
        <v>1789</v>
      </c>
      <c r="AE4058" t="s">
        <v>5475</v>
      </c>
      <c r="AF4058">
        <v>0</v>
      </c>
      <c r="AG4058" t="s">
        <v>5553</v>
      </c>
      <c r="AH4058">
        <v>0</v>
      </c>
      <c r="AK4058">
        <v>0</v>
      </c>
    </row>
    <row r="4059" spans="1:37" x14ac:dyDescent="0.25">
      <c r="A4059" t="s">
        <v>79</v>
      </c>
      <c r="B4059">
        <v>16</v>
      </c>
      <c r="C4059">
        <v>1</v>
      </c>
      <c r="D4059">
        <v>4</v>
      </c>
      <c r="E4059">
        <v>5</v>
      </c>
      <c r="G4059">
        <v>1614</v>
      </c>
      <c r="H4059" t="s">
        <v>5523</v>
      </c>
      <c r="I4059" t="s">
        <v>109</v>
      </c>
      <c r="J4059" t="s">
        <v>5554</v>
      </c>
      <c r="L4059">
        <v>0</v>
      </c>
      <c r="M4059" t="s">
        <v>5555</v>
      </c>
      <c r="O4059" t="s">
        <v>5479</v>
      </c>
      <c r="P4059" t="s">
        <v>5480</v>
      </c>
      <c r="Q4059" t="s">
        <v>5481</v>
      </c>
      <c r="R4059" t="s">
        <v>210</v>
      </c>
      <c r="S4059" t="s">
        <v>5482</v>
      </c>
      <c r="T4059">
        <v>115</v>
      </c>
      <c r="U4059">
        <v>7</v>
      </c>
      <c r="V4059" t="s">
        <v>5483</v>
      </c>
      <c r="AE4059" t="s">
        <v>5484</v>
      </c>
      <c r="AF4059">
        <v>0</v>
      </c>
      <c r="AG4059" t="s">
        <v>5556</v>
      </c>
      <c r="AH4059">
        <v>0</v>
      </c>
      <c r="AK4059">
        <v>0</v>
      </c>
    </row>
    <row r="4060" spans="1:37" x14ac:dyDescent="0.25">
      <c r="A4060" t="s">
        <v>79</v>
      </c>
      <c r="B4060">
        <v>16</v>
      </c>
      <c r="C4060">
        <v>1</v>
      </c>
      <c r="D4060">
        <v>4</v>
      </c>
      <c r="E4060">
        <v>6</v>
      </c>
      <c r="G4060">
        <v>1614</v>
      </c>
      <c r="H4060" t="s">
        <v>5523</v>
      </c>
      <c r="I4060" t="s">
        <v>116</v>
      </c>
      <c r="J4060" t="s">
        <v>5557</v>
      </c>
      <c r="L4060">
        <v>0</v>
      </c>
      <c r="M4060" t="s">
        <v>5558</v>
      </c>
      <c r="O4060" t="s">
        <v>294</v>
      </c>
      <c r="P4060" t="s">
        <v>295</v>
      </c>
      <c r="Q4060" t="s">
        <v>5559</v>
      </c>
      <c r="R4060" t="s">
        <v>229</v>
      </c>
      <c r="S4060" t="s">
        <v>297</v>
      </c>
      <c r="T4060">
        <v>115</v>
      </c>
      <c r="U4060">
        <v>27</v>
      </c>
      <c r="V4060" t="s">
        <v>5560</v>
      </c>
      <c r="AE4060" t="s">
        <v>5561</v>
      </c>
      <c r="AF4060">
        <v>0</v>
      </c>
      <c r="AG4060" t="s">
        <v>5562</v>
      </c>
      <c r="AH4060">
        <v>0</v>
      </c>
      <c r="AK4060">
        <v>0</v>
      </c>
    </row>
    <row r="4061" spans="1:37" x14ac:dyDescent="0.25">
      <c r="A4061" t="s">
        <v>79</v>
      </c>
      <c r="B4061">
        <v>16</v>
      </c>
      <c r="C4061">
        <v>1</v>
      </c>
      <c r="D4061">
        <v>4</v>
      </c>
      <c r="E4061">
        <v>7</v>
      </c>
      <c r="G4061">
        <v>1614</v>
      </c>
      <c r="H4061" t="s">
        <v>5523</v>
      </c>
      <c r="I4061" t="s">
        <v>123</v>
      </c>
      <c r="J4061" t="s">
        <v>5563</v>
      </c>
      <c r="L4061">
        <v>0</v>
      </c>
      <c r="M4061" t="s">
        <v>5564</v>
      </c>
      <c r="O4061" t="s">
        <v>5425</v>
      </c>
      <c r="P4061" t="s">
        <v>5426</v>
      </c>
      <c r="Q4061" t="s">
        <v>5565</v>
      </c>
      <c r="R4061" t="s">
        <v>229</v>
      </c>
      <c r="S4061" t="s">
        <v>239</v>
      </c>
      <c r="T4061">
        <v>115</v>
      </c>
      <c r="U4061">
        <v>17</v>
      </c>
      <c r="V4061" t="s">
        <v>5566</v>
      </c>
      <c r="AE4061" t="s">
        <v>5567</v>
      </c>
      <c r="AF4061">
        <v>0</v>
      </c>
      <c r="AG4061" t="s">
        <v>5568</v>
      </c>
      <c r="AH4061">
        <v>0</v>
      </c>
      <c r="AK4061">
        <v>0</v>
      </c>
    </row>
    <row r="4062" spans="1:37" x14ac:dyDescent="0.25">
      <c r="A4062" t="s">
        <v>79</v>
      </c>
      <c r="B4062">
        <v>16</v>
      </c>
      <c r="C4062">
        <v>1</v>
      </c>
      <c r="D4062">
        <v>4</v>
      </c>
      <c r="E4062">
        <v>8</v>
      </c>
      <c r="G4062">
        <v>1614</v>
      </c>
      <c r="H4062" t="s">
        <v>5523</v>
      </c>
      <c r="I4062" t="s">
        <v>126</v>
      </c>
      <c r="J4062" t="s">
        <v>5569</v>
      </c>
      <c r="L4062">
        <v>0</v>
      </c>
      <c r="M4062" t="s">
        <v>5570</v>
      </c>
      <c r="O4062" t="s">
        <v>5363</v>
      </c>
      <c r="P4062" t="s">
        <v>5364</v>
      </c>
      <c r="Q4062" t="s">
        <v>5508</v>
      </c>
      <c r="R4062" t="s">
        <v>248</v>
      </c>
      <c r="S4062" t="s">
        <v>5366</v>
      </c>
      <c r="T4062">
        <v>115</v>
      </c>
      <c r="U4062">
        <v>2</v>
      </c>
      <c r="V4062" t="s">
        <v>2577</v>
      </c>
      <c r="AE4062" t="s">
        <v>5509</v>
      </c>
      <c r="AF4062">
        <v>0</v>
      </c>
      <c r="AG4062" t="s">
        <v>5571</v>
      </c>
      <c r="AH4062">
        <v>0</v>
      </c>
      <c r="AK4062">
        <v>0</v>
      </c>
    </row>
    <row r="4063" spans="1:37" x14ac:dyDescent="0.25">
      <c r="A4063" t="s">
        <v>79</v>
      </c>
      <c r="B4063">
        <v>16</v>
      </c>
      <c r="C4063">
        <v>1</v>
      </c>
      <c r="D4063">
        <v>4</v>
      </c>
      <c r="E4063">
        <v>9</v>
      </c>
      <c r="G4063">
        <v>1614</v>
      </c>
      <c r="H4063" t="s">
        <v>5523</v>
      </c>
      <c r="I4063" t="s">
        <v>74</v>
      </c>
      <c r="J4063" t="s">
        <v>5572</v>
      </c>
      <c r="L4063">
        <v>0</v>
      </c>
      <c r="M4063" t="s">
        <v>5573</v>
      </c>
      <c r="O4063" t="s">
        <v>5371</v>
      </c>
      <c r="P4063" t="s">
        <v>5372</v>
      </c>
      <c r="Q4063" t="s">
        <v>5513</v>
      </c>
      <c r="R4063" t="s">
        <v>258</v>
      </c>
      <c r="S4063" t="s">
        <v>5374</v>
      </c>
      <c r="T4063">
        <v>115</v>
      </c>
      <c r="U4063">
        <v>2</v>
      </c>
      <c r="V4063" t="s">
        <v>1339</v>
      </c>
      <c r="AE4063" t="s">
        <v>5514</v>
      </c>
      <c r="AF4063">
        <v>0</v>
      </c>
      <c r="AG4063" t="s">
        <v>5574</v>
      </c>
      <c r="AH4063">
        <v>0</v>
      </c>
      <c r="AK4063">
        <v>0</v>
      </c>
    </row>
    <row r="4064" spans="1:37" x14ac:dyDescent="0.25">
      <c r="A4064" t="s">
        <v>79</v>
      </c>
      <c r="B4064">
        <v>16</v>
      </c>
      <c r="C4064">
        <v>1</v>
      </c>
      <c r="D4064">
        <v>4</v>
      </c>
      <c r="E4064">
        <v>10</v>
      </c>
      <c r="G4064">
        <v>1614</v>
      </c>
      <c r="H4064" t="s">
        <v>5523</v>
      </c>
      <c r="I4064" t="s">
        <v>129</v>
      </c>
      <c r="J4064" t="s">
        <v>5575</v>
      </c>
      <c r="L4064">
        <v>0</v>
      </c>
      <c r="M4064" t="s">
        <v>125</v>
      </c>
      <c r="O4064" t="s">
        <v>125</v>
      </c>
      <c r="P4064" t="s">
        <v>125</v>
      </c>
      <c r="Q4064" t="s">
        <v>125</v>
      </c>
      <c r="R4064" t="s">
        <v>125</v>
      </c>
      <c r="S4064" t="s">
        <v>125</v>
      </c>
      <c r="T4064">
        <v>115</v>
      </c>
      <c r="V4064" t="s">
        <v>125</v>
      </c>
      <c r="AE4064" t="s">
        <v>125</v>
      </c>
      <c r="AF4064">
        <v>0</v>
      </c>
      <c r="AG4064" t="s">
        <v>125</v>
      </c>
      <c r="AH4064">
        <v>0</v>
      </c>
      <c r="AK4064">
        <v>0</v>
      </c>
    </row>
    <row r="4065" spans="1:37" x14ac:dyDescent="0.25">
      <c r="A4065" t="s">
        <v>79</v>
      </c>
      <c r="B4065">
        <v>16</v>
      </c>
      <c r="C4065">
        <v>1</v>
      </c>
      <c r="D4065">
        <v>4</v>
      </c>
      <c r="E4065">
        <v>11</v>
      </c>
      <c r="G4065">
        <v>1614</v>
      </c>
      <c r="H4065" t="s">
        <v>5523</v>
      </c>
      <c r="I4065" t="s">
        <v>131</v>
      </c>
      <c r="J4065" t="s">
        <v>5576</v>
      </c>
      <c r="L4065">
        <v>0</v>
      </c>
      <c r="M4065" t="s">
        <v>125</v>
      </c>
      <c r="O4065" t="s">
        <v>125</v>
      </c>
      <c r="P4065" t="s">
        <v>125</v>
      </c>
      <c r="Q4065" t="s">
        <v>125</v>
      </c>
      <c r="R4065" t="s">
        <v>125</v>
      </c>
      <c r="S4065" t="s">
        <v>125</v>
      </c>
      <c r="T4065">
        <v>115</v>
      </c>
      <c r="V4065" t="s">
        <v>125</v>
      </c>
      <c r="AE4065" t="s">
        <v>125</v>
      </c>
      <c r="AF4065">
        <v>0</v>
      </c>
      <c r="AG4065" t="s">
        <v>125</v>
      </c>
      <c r="AH4065">
        <v>0</v>
      </c>
      <c r="AK4065">
        <v>0</v>
      </c>
    </row>
    <row r="4066" spans="1:37" x14ac:dyDescent="0.25">
      <c r="A4066" t="s">
        <v>79</v>
      </c>
      <c r="B4066">
        <v>16</v>
      </c>
      <c r="C4066">
        <v>1</v>
      </c>
      <c r="D4066">
        <v>4</v>
      </c>
      <c r="E4066">
        <v>12</v>
      </c>
      <c r="G4066">
        <v>1614</v>
      </c>
      <c r="H4066" t="s">
        <v>5523</v>
      </c>
      <c r="I4066" t="s">
        <v>133</v>
      </c>
      <c r="J4066" t="s">
        <v>5577</v>
      </c>
      <c r="L4066">
        <v>0</v>
      </c>
      <c r="M4066" t="s">
        <v>125</v>
      </c>
      <c r="O4066" t="s">
        <v>125</v>
      </c>
      <c r="P4066" t="s">
        <v>125</v>
      </c>
      <c r="Q4066" t="s">
        <v>125</v>
      </c>
      <c r="R4066" t="s">
        <v>125</v>
      </c>
      <c r="S4066" t="s">
        <v>125</v>
      </c>
      <c r="T4066">
        <v>115</v>
      </c>
      <c r="V4066" t="s">
        <v>125</v>
      </c>
      <c r="AE4066" t="s">
        <v>125</v>
      </c>
      <c r="AF4066">
        <v>0</v>
      </c>
      <c r="AG4066" t="s">
        <v>125</v>
      </c>
      <c r="AH4066">
        <v>0</v>
      </c>
      <c r="AK4066">
        <v>0</v>
      </c>
    </row>
    <row r="4067" spans="1:37" x14ac:dyDescent="0.25">
      <c r="A4067" t="s">
        <v>79</v>
      </c>
      <c r="B4067">
        <v>16</v>
      </c>
      <c r="C4067">
        <v>1</v>
      </c>
      <c r="D4067">
        <v>4</v>
      </c>
      <c r="E4067">
        <v>13</v>
      </c>
      <c r="G4067">
        <v>1614</v>
      </c>
      <c r="H4067" t="s">
        <v>5523</v>
      </c>
      <c r="I4067" t="s">
        <v>135</v>
      </c>
      <c r="J4067" t="s">
        <v>5578</v>
      </c>
      <c r="L4067">
        <v>0</v>
      </c>
      <c r="M4067" t="s">
        <v>125</v>
      </c>
      <c r="O4067" t="s">
        <v>125</v>
      </c>
      <c r="P4067" t="s">
        <v>125</v>
      </c>
      <c r="Q4067" t="s">
        <v>125</v>
      </c>
      <c r="R4067" t="s">
        <v>125</v>
      </c>
      <c r="S4067" t="s">
        <v>125</v>
      </c>
      <c r="T4067">
        <v>115</v>
      </c>
      <c r="V4067" t="s">
        <v>125</v>
      </c>
      <c r="AE4067" t="s">
        <v>125</v>
      </c>
      <c r="AF4067">
        <v>0</v>
      </c>
      <c r="AG4067" t="s">
        <v>125</v>
      </c>
      <c r="AH4067">
        <v>0</v>
      </c>
      <c r="AK4067">
        <v>0</v>
      </c>
    </row>
    <row r="4068" spans="1:37" x14ac:dyDescent="0.25">
      <c r="A4068" t="s">
        <v>79</v>
      </c>
      <c r="B4068">
        <v>16</v>
      </c>
      <c r="C4068">
        <v>1</v>
      </c>
      <c r="D4068">
        <v>4</v>
      </c>
      <c r="E4068">
        <v>14</v>
      </c>
      <c r="G4068">
        <v>1614</v>
      </c>
      <c r="H4068" t="s">
        <v>5523</v>
      </c>
      <c r="I4068" t="s">
        <v>137</v>
      </c>
      <c r="J4068" t="s">
        <v>5579</v>
      </c>
      <c r="L4068">
        <v>0</v>
      </c>
      <c r="M4068" t="s">
        <v>125</v>
      </c>
      <c r="O4068" t="s">
        <v>125</v>
      </c>
      <c r="P4068" t="s">
        <v>125</v>
      </c>
      <c r="Q4068" t="s">
        <v>125</v>
      </c>
      <c r="R4068" t="s">
        <v>125</v>
      </c>
      <c r="S4068" t="s">
        <v>125</v>
      </c>
      <c r="T4068">
        <v>115</v>
      </c>
      <c r="V4068" t="s">
        <v>125</v>
      </c>
      <c r="AE4068" t="s">
        <v>125</v>
      </c>
      <c r="AF4068">
        <v>0</v>
      </c>
      <c r="AG4068" t="s">
        <v>125</v>
      </c>
      <c r="AH4068">
        <v>0</v>
      </c>
      <c r="AK4068">
        <v>0</v>
      </c>
    </row>
    <row r="4069" spans="1:37" x14ac:dyDescent="0.25">
      <c r="A4069" t="s">
        <v>79</v>
      </c>
      <c r="B4069">
        <v>16</v>
      </c>
      <c r="C4069">
        <v>1</v>
      </c>
      <c r="D4069">
        <v>4</v>
      </c>
      <c r="E4069">
        <v>15</v>
      </c>
      <c r="G4069">
        <v>1614</v>
      </c>
      <c r="H4069" t="s">
        <v>5523</v>
      </c>
      <c r="I4069" t="s">
        <v>139</v>
      </c>
      <c r="J4069" t="s">
        <v>5580</v>
      </c>
      <c r="L4069">
        <v>0</v>
      </c>
      <c r="M4069" t="s">
        <v>125</v>
      </c>
      <c r="O4069" t="s">
        <v>125</v>
      </c>
      <c r="P4069" t="s">
        <v>125</v>
      </c>
      <c r="Q4069" t="s">
        <v>125</v>
      </c>
      <c r="R4069" t="s">
        <v>125</v>
      </c>
      <c r="S4069" t="s">
        <v>125</v>
      </c>
      <c r="T4069">
        <v>115</v>
      </c>
      <c r="V4069" t="s">
        <v>125</v>
      </c>
      <c r="AE4069" t="s">
        <v>125</v>
      </c>
      <c r="AF4069">
        <v>0</v>
      </c>
      <c r="AG4069" t="s">
        <v>125</v>
      </c>
      <c r="AH4069">
        <v>0</v>
      </c>
      <c r="AK4069">
        <v>0</v>
      </c>
    </row>
    <row r="4070" spans="1:37" x14ac:dyDescent="0.25">
      <c r="L4070">
        <v>0</v>
      </c>
    </row>
    <row r="4071" spans="1:37" x14ac:dyDescent="0.25">
      <c r="A4071" t="s">
        <v>70</v>
      </c>
      <c r="B4071">
        <v>16</v>
      </c>
      <c r="C4071">
        <v>1</v>
      </c>
      <c r="D4071">
        <v>5</v>
      </c>
      <c r="G4071">
        <v>161</v>
      </c>
      <c r="L4071">
        <v>0</v>
      </c>
      <c r="M4071" t="s">
        <v>125</v>
      </c>
      <c r="P4071" t="s">
        <v>125</v>
      </c>
      <c r="R4071" t="s">
        <v>125</v>
      </c>
      <c r="S4071" t="s">
        <v>63</v>
      </c>
      <c r="V4071" t="s">
        <v>125</v>
      </c>
      <c r="X4071" t="s">
        <v>125</v>
      </c>
      <c r="Y4071" t="s">
        <v>125</v>
      </c>
      <c r="Z4071" t="s">
        <v>125</v>
      </c>
      <c r="AA4071" t="s">
        <v>125</v>
      </c>
      <c r="AB4071" t="s">
        <v>125</v>
      </c>
      <c r="AC4071" t="s">
        <v>125</v>
      </c>
      <c r="AE4071" t="s">
        <v>125</v>
      </c>
      <c r="AF4071">
        <v>0</v>
      </c>
      <c r="AG4071" t="s">
        <v>125</v>
      </c>
      <c r="AH4071">
        <v>0</v>
      </c>
      <c r="AK4071">
        <v>0</v>
      </c>
    </row>
    <row r="4072" spans="1:37" x14ac:dyDescent="0.25">
      <c r="A4072" t="s">
        <v>79</v>
      </c>
      <c r="B4072">
        <v>16</v>
      </c>
      <c r="C4072">
        <v>1</v>
      </c>
      <c r="D4072">
        <v>5</v>
      </c>
      <c r="E4072">
        <v>1</v>
      </c>
      <c r="G4072">
        <v>1615</v>
      </c>
      <c r="H4072" t="s">
        <v>63</v>
      </c>
      <c r="I4072" t="s">
        <v>80</v>
      </c>
      <c r="J4072" t="s">
        <v>141</v>
      </c>
      <c r="L4072">
        <v>0</v>
      </c>
      <c r="M4072" t="s">
        <v>125</v>
      </c>
      <c r="O4072" t="s">
        <v>125</v>
      </c>
      <c r="P4072" t="s">
        <v>125</v>
      </c>
      <c r="Q4072" t="s">
        <v>125</v>
      </c>
      <c r="R4072" t="s">
        <v>125</v>
      </c>
      <c r="S4072" t="s">
        <v>125</v>
      </c>
      <c r="T4072">
        <v>0</v>
      </c>
      <c r="V4072" t="s">
        <v>125</v>
      </c>
      <c r="AE4072" t="s">
        <v>125</v>
      </c>
      <c r="AF4072">
        <v>0</v>
      </c>
      <c r="AG4072" t="s">
        <v>125</v>
      </c>
      <c r="AH4072">
        <v>0</v>
      </c>
      <c r="AK4072">
        <v>0</v>
      </c>
    </row>
    <row r="4073" spans="1:37" x14ac:dyDescent="0.25">
      <c r="A4073" t="s">
        <v>79</v>
      </c>
      <c r="B4073">
        <v>16</v>
      </c>
      <c r="C4073">
        <v>1</v>
      </c>
      <c r="D4073">
        <v>5</v>
      </c>
      <c r="E4073">
        <v>2</v>
      </c>
      <c r="G4073">
        <v>1615</v>
      </c>
      <c r="H4073" t="s">
        <v>63</v>
      </c>
      <c r="I4073" t="s">
        <v>88</v>
      </c>
      <c r="J4073" t="s">
        <v>142</v>
      </c>
      <c r="L4073">
        <v>0</v>
      </c>
      <c r="M4073" t="s">
        <v>125</v>
      </c>
      <c r="O4073" t="s">
        <v>125</v>
      </c>
      <c r="P4073" t="s">
        <v>125</v>
      </c>
      <c r="Q4073" t="s">
        <v>125</v>
      </c>
      <c r="R4073" t="s">
        <v>125</v>
      </c>
      <c r="S4073" t="s">
        <v>125</v>
      </c>
      <c r="T4073">
        <v>0</v>
      </c>
      <c r="V4073" t="s">
        <v>125</v>
      </c>
      <c r="AE4073" t="s">
        <v>125</v>
      </c>
      <c r="AF4073">
        <v>0</v>
      </c>
      <c r="AG4073" t="s">
        <v>125</v>
      </c>
      <c r="AH4073">
        <v>0</v>
      </c>
      <c r="AK4073">
        <v>0</v>
      </c>
    </row>
    <row r="4074" spans="1:37" x14ac:dyDescent="0.25">
      <c r="A4074" t="s">
        <v>79</v>
      </c>
      <c r="B4074">
        <v>16</v>
      </c>
      <c r="C4074">
        <v>1</v>
      </c>
      <c r="D4074">
        <v>5</v>
      </c>
      <c r="E4074">
        <v>3</v>
      </c>
      <c r="G4074">
        <v>1615</v>
      </c>
      <c r="H4074" t="s">
        <v>63</v>
      </c>
      <c r="I4074" t="s">
        <v>95</v>
      </c>
      <c r="J4074" t="s">
        <v>143</v>
      </c>
      <c r="L4074">
        <v>0</v>
      </c>
      <c r="M4074" t="s">
        <v>125</v>
      </c>
      <c r="O4074" t="s">
        <v>125</v>
      </c>
      <c r="P4074" t="s">
        <v>125</v>
      </c>
      <c r="Q4074" t="s">
        <v>125</v>
      </c>
      <c r="R4074" t="s">
        <v>125</v>
      </c>
      <c r="S4074" t="s">
        <v>125</v>
      </c>
      <c r="T4074">
        <v>0</v>
      </c>
      <c r="V4074" t="s">
        <v>125</v>
      </c>
      <c r="AE4074" t="s">
        <v>125</v>
      </c>
      <c r="AF4074">
        <v>0</v>
      </c>
      <c r="AG4074" t="s">
        <v>125</v>
      </c>
      <c r="AH4074">
        <v>0</v>
      </c>
      <c r="AK4074">
        <v>0</v>
      </c>
    </row>
    <row r="4075" spans="1:37" x14ac:dyDescent="0.25">
      <c r="A4075" t="s">
        <v>79</v>
      </c>
      <c r="B4075">
        <v>16</v>
      </c>
      <c r="C4075">
        <v>1</v>
      </c>
      <c r="D4075">
        <v>5</v>
      </c>
      <c r="E4075">
        <v>4</v>
      </c>
      <c r="G4075">
        <v>1615</v>
      </c>
      <c r="H4075" t="s">
        <v>63</v>
      </c>
      <c r="I4075" t="s">
        <v>102</v>
      </c>
      <c r="J4075" t="s">
        <v>144</v>
      </c>
      <c r="L4075">
        <v>0</v>
      </c>
      <c r="M4075" t="s">
        <v>125</v>
      </c>
      <c r="O4075" t="s">
        <v>125</v>
      </c>
      <c r="P4075" t="s">
        <v>125</v>
      </c>
      <c r="Q4075" t="s">
        <v>125</v>
      </c>
      <c r="R4075" t="s">
        <v>125</v>
      </c>
      <c r="S4075" t="s">
        <v>125</v>
      </c>
      <c r="T4075">
        <v>0</v>
      </c>
      <c r="V4075" t="s">
        <v>125</v>
      </c>
      <c r="AE4075" t="s">
        <v>125</v>
      </c>
      <c r="AF4075">
        <v>0</v>
      </c>
      <c r="AG4075" t="s">
        <v>125</v>
      </c>
      <c r="AH4075">
        <v>0</v>
      </c>
      <c r="AK4075">
        <v>0</v>
      </c>
    </row>
    <row r="4076" spans="1:37" x14ac:dyDescent="0.25">
      <c r="A4076" t="s">
        <v>79</v>
      </c>
      <c r="B4076">
        <v>16</v>
      </c>
      <c r="C4076">
        <v>1</v>
      </c>
      <c r="D4076">
        <v>5</v>
      </c>
      <c r="E4076">
        <v>5</v>
      </c>
      <c r="G4076">
        <v>1615</v>
      </c>
      <c r="H4076" t="s">
        <v>63</v>
      </c>
      <c r="I4076" t="s">
        <v>109</v>
      </c>
      <c r="J4076" t="s">
        <v>145</v>
      </c>
      <c r="L4076">
        <v>0</v>
      </c>
      <c r="M4076" t="s">
        <v>125</v>
      </c>
      <c r="O4076" t="s">
        <v>125</v>
      </c>
      <c r="P4076" t="s">
        <v>125</v>
      </c>
      <c r="Q4076" t="s">
        <v>125</v>
      </c>
      <c r="R4076" t="s">
        <v>125</v>
      </c>
      <c r="S4076" t="s">
        <v>125</v>
      </c>
      <c r="T4076">
        <v>0</v>
      </c>
      <c r="V4076" t="s">
        <v>125</v>
      </c>
      <c r="AE4076" t="s">
        <v>125</v>
      </c>
      <c r="AF4076">
        <v>0</v>
      </c>
      <c r="AG4076" t="s">
        <v>125</v>
      </c>
      <c r="AH4076">
        <v>0</v>
      </c>
      <c r="AK4076">
        <v>0</v>
      </c>
    </row>
    <row r="4077" spans="1:37" x14ac:dyDescent="0.25">
      <c r="A4077" t="s">
        <v>79</v>
      </c>
      <c r="B4077">
        <v>16</v>
      </c>
      <c r="C4077">
        <v>1</v>
      </c>
      <c r="D4077">
        <v>5</v>
      </c>
      <c r="E4077">
        <v>6</v>
      </c>
      <c r="G4077">
        <v>1615</v>
      </c>
      <c r="H4077" t="s">
        <v>63</v>
      </c>
      <c r="I4077" t="s">
        <v>116</v>
      </c>
      <c r="J4077" t="s">
        <v>146</v>
      </c>
      <c r="L4077">
        <v>0</v>
      </c>
      <c r="M4077" t="s">
        <v>125</v>
      </c>
      <c r="O4077" t="s">
        <v>125</v>
      </c>
      <c r="P4077" t="s">
        <v>125</v>
      </c>
      <c r="Q4077" t="s">
        <v>125</v>
      </c>
      <c r="R4077" t="s">
        <v>125</v>
      </c>
      <c r="S4077" t="s">
        <v>125</v>
      </c>
      <c r="T4077">
        <v>0</v>
      </c>
      <c r="V4077" t="s">
        <v>125</v>
      </c>
      <c r="AE4077" t="s">
        <v>125</v>
      </c>
      <c r="AF4077">
        <v>0</v>
      </c>
      <c r="AG4077" t="s">
        <v>125</v>
      </c>
      <c r="AH4077">
        <v>0</v>
      </c>
      <c r="AK4077">
        <v>0</v>
      </c>
    </row>
    <row r="4078" spans="1:37" x14ac:dyDescent="0.25">
      <c r="A4078" t="s">
        <v>79</v>
      </c>
      <c r="B4078">
        <v>16</v>
      </c>
      <c r="C4078">
        <v>1</v>
      </c>
      <c r="D4078">
        <v>5</v>
      </c>
      <c r="E4078">
        <v>7</v>
      </c>
      <c r="G4078">
        <v>1615</v>
      </c>
      <c r="H4078" t="s">
        <v>63</v>
      </c>
      <c r="I4078" t="s">
        <v>123</v>
      </c>
      <c r="J4078" t="s">
        <v>147</v>
      </c>
      <c r="L4078">
        <v>0</v>
      </c>
      <c r="M4078" t="s">
        <v>125</v>
      </c>
      <c r="O4078" t="s">
        <v>125</v>
      </c>
      <c r="P4078" t="s">
        <v>125</v>
      </c>
      <c r="Q4078" t="s">
        <v>125</v>
      </c>
      <c r="R4078" t="s">
        <v>125</v>
      </c>
      <c r="S4078" t="s">
        <v>125</v>
      </c>
      <c r="T4078">
        <v>0</v>
      </c>
      <c r="V4078" t="s">
        <v>125</v>
      </c>
      <c r="AE4078" t="s">
        <v>125</v>
      </c>
      <c r="AF4078">
        <v>0</v>
      </c>
      <c r="AG4078" t="s">
        <v>125</v>
      </c>
      <c r="AH4078">
        <v>0</v>
      </c>
      <c r="AK4078">
        <v>0</v>
      </c>
    </row>
    <row r="4079" spans="1:37" x14ac:dyDescent="0.25">
      <c r="A4079" t="s">
        <v>79</v>
      </c>
      <c r="B4079">
        <v>16</v>
      </c>
      <c r="C4079">
        <v>1</v>
      </c>
      <c r="D4079">
        <v>5</v>
      </c>
      <c r="E4079">
        <v>8</v>
      </c>
      <c r="G4079">
        <v>1615</v>
      </c>
      <c r="H4079" t="s">
        <v>63</v>
      </c>
      <c r="I4079" t="s">
        <v>126</v>
      </c>
      <c r="J4079" t="s">
        <v>148</v>
      </c>
      <c r="L4079">
        <v>0</v>
      </c>
      <c r="M4079" t="s">
        <v>125</v>
      </c>
      <c r="O4079" t="s">
        <v>125</v>
      </c>
      <c r="P4079" t="s">
        <v>125</v>
      </c>
      <c r="Q4079" t="s">
        <v>125</v>
      </c>
      <c r="R4079" t="s">
        <v>125</v>
      </c>
      <c r="S4079" t="s">
        <v>125</v>
      </c>
      <c r="T4079">
        <v>0</v>
      </c>
      <c r="V4079" t="s">
        <v>125</v>
      </c>
      <c r="AE4079" t="s">
        <v>125</v>
      </c>
      <c r="AF4079">
        <v>0</v>
      </c>
      <c r="AG4079" t="s">
        <v>125</v>
      </c>
      <c r="AH4079">
        <v>0</v>
      </c>
      <c r="AK4079">
        <v>0</v>
      </c>
    </row>
    <row r="4080" spans="1:37" x14ac:dyDescent="0.25">
      <c r="A4080" t="s">
        <v>79</v>
      </c>
      <c r="B4080">
        <v>16</v>
      </c>
      <c r="C4080">
        <v>1</v>
      </c>
      <c r="D4080">
        <v>5</v>
      </c>
      <c r="E4080">
        <v>9</v>
      </c>
      <c r="G4080">
        <v>1615</v>
      </c>
      <c r="H4080" t="s">
        <v>63</v>
      </c>
      <c r="I4080" t="s">
        <v>74</v>
      </c>
      <c r="J4080" t="s">
        <v>149</v>
      </c>
      <c r="L4080">
        <v>0</v>
      </c>
      <c r="M4080" t="s">
        <v>125</v>
      </c>
      <c r="O4080" t="s">
        <v>125</v>
      </c>
      <c r="P4080" t="s">
        <v>125</v>
      </c>
      <c r="Q4080" t="s">
        <v>125</v>
      </c>
      <c r="R4080" t="s">
        <v>125</v>
      </c>
      <c r="S4080" t="s">
        <v>125</v>
      </c>
      <c r="T4080">
        <v>0</v>
      </c>
      <c r="V4080" t="s">
        <v>125</v>
      </c>
      <c r="AE4080" t="s">
        <v>125</v>
      </c>
      <c r="AF4080">
        <v>0</v>
      </c>
      <c r="AG4080" t="s">
        <v>125</v>
      </c>
      <c r="AH4080">
        <v>0</v>
      </c>
      <c r="AK4080">
        <v>0</v>
      </c>
    </row>
    <row r="4081" spans="1:37" x14ac:dyDescent="0.25">
      <c r="A4081" t="s">
        <v>79</v>
      </c>
      <c r="B4081">
        <v>16</v>
      </c>
      <c r="C4081">
        <v>1</v>
      </c>
      <c r="D4081">
        <v>5</v>
      </c>
      <c r="E4081">
        <v>10</v>
      </c>
      <c r="G4081">
        <v>1615</v>
      </c>
      <c r="H4081" t="s">
        <v>63</v>
      </c>
      <c r="I4081" t="s">
        <v>129</v>
      </c>
      <c r="J4081" t="s">
        <v>150</v>
      </c>
      <c r="L4081">
        <v>0</v>
      </c>
      <c r="M4081" t="s">
        <v>125</v>
      </c>
      <c r="O4081" t="s">
        <v>125</v>
      </c>
      <c r="P4081" t="s">
        <v>125</v>
      </c>
      <c r="Q4081" t="s">
        <v>125</v>
      </c>
      <c r="R4081" t="s">
        <v>125</v>
      </c>
      <c r="S4081" t="s">
        <v>125</v>
      </c>
      <c r="T4081">
        <v>0</v>
      </c>
      <c r="V4081" t="s">
        <v>125</v>
      </c>
      <c r="AE4081" t="s">
        <v>125</v>
      </c>
      <c r="AF4081">
        <v>0</v>
      </c>
      <c r="AG4081" t="s">
        <v>125</v>
      </c>
      <c r="AH4081">
        <v>0</v>
      </c>
      <c r="AK4081">
        <v>0</v>
      </c>
    </row>
    <row r="4082" spans="1:37" x14ac:dyDescent="0.25">
      <c r="A4082" t="s">
        <v>79</v>
      </c>
      <c r="B4082">
        <v>16</v>
      </c>
      <c r="C4082">
        <v>1</v>
      </c>
      <c r="D4082">
        <v>5</v>
      </c>
      <c r="E4082">
        <v>11</v>
      </c>
      <c r="G4082">
        <v>1615</v>
      </c>
      <c r="H4082" t="s">
        <v>63</v>
      </c>
      <c r="I4082" t="s">
        <v>131</v>
      </c>
      <c r="J4082" t="s">
        <v>151</v>
      </c>
      <c r="L4082">
        <v>0</v>
      </c>
      <c r="M4082" t="s">
        <v>125</v>
      </c>
      <c r="O4082" t="s">
        <v>125</v>
      </c>
      <c r="P4082" t="s">
        <v>125</v>
      </c>
      <c r="Q4082" t="s">
        <v>125</v>
      </c>
      <c r="R4082" t="s">
        <v>125</v>
      </c>
      <c r="S4082" t="s">
        <v>125</v>
      </c>
      <c r="T4082">
        <v>0</v>
      </c>
      <c r="V4082" t="s">
        <v>125</v>
      </c>
      <c r="AE4082" t="s">
        <v>125</v>
      </c>
      <c r="AF4082">
        <v>0</v>
      </c>
      <c r="AG4082" t="s">
        <v>125</v>
      </c>
      <c r="AH4082">
        <v>0</v>
      </c>
      <c r="AK4082">
        <v>0</v>
      </c>
    </row>
    <row r="4083" spans="1:37" x14ac:dyDescent="0.25">
      <c r="A4083" t="s">
        <v>79</v>
      </c>
      <c r="B4083">
        <v>16</v>
      </c>
      <c r="C4083">
        <v>1</v>
      </c>
      <c r="D4083">
        <v>5</v>
      </c>
      <c r="E4083">
        <v>12</v>
      </c>
      <c r="G4083">
        <v>1615</v>
      </c>
      <c r="H4083" t="s">
        <v>63</v>
      </c>
      <c r="I4083" t="s">
        <v>133</v>
      </c>
      <c r="J4083" t="s">
        <v>152</v>
      </c>
      <c r="L4083">
        <v>0</v>
      </c>
      <c r="M4083" t="s">
        <v>125</v>
      </c>
      <c r="O4083" t="s">
        <v>125</v>
      </c>
      <c r="P4083" t="s">
        <v>125</v>
      </c>
      <c r="Q4083" t="s">
        <v>125</v>
      </c>
      <c r="R4083" t="s">
        <v>125</v>
      </c>
      <c r="S4083" t="s">
        <v>125</v>
      </c>
      <c r="T4083">
        <v>0</v>
      </c>
      <c r="V4083" t="s">
        <v>125</v>
      </c>
      <c r="AE4083" t="s">
        <v>125</v>
      </c>
      <c r="AF4083">
        <v>0</v>
      </c>
      <c r="AG4083" t="s">
        <v>125</v>
      </c>
      <c r="AH4083">
        <v>0</v>
      </c>
      <c r="AK4083">
        <v>0</v>
      </c>
    </row>
    <row r="4084" spans="1:37" x14ac:dyDescent="0.25">
      <c r="A4084" t="s">
        <v>79</v>
      </c>
      <c r="B4084">
        <v>16</v>
      </c>
      <c r="C4084">
        <v>1</v>
      </c>
      <c r="D4084">
        <v>5</v>
      </c>
      <c r="E4084">
        <v>13</v>
      </c>
      <c r="G4084">
        <v>1615</v>
      </c>
      <c r="H4084" t="s">
        <v>63</v>
      </c>
      <c r="I4084" t="s">
        <v>135</v>
      </c>
      <c r="J4084" t="s">
        <v>153</v>
      </c>
      <c r="L4084">
        <v>0</v>
      </c>
      <c r="M4084" t="s">
        <v>125</v>
      </c>
      <c r="O4084" t="s">
        <v>125</v>
      </c>
      <c r="P4084" t="s">
        <v>125</v>
      </c>
      <c r="Q4084" t="s">
        <v>125</v>
      </c>
      <c r="R4084" t="s">
        <v>125</v>
      </c>
      <c r="S4084" t="s">
        <v>125</v>
      </c>
      <c r="T4084">
        <v>0</v>
      </c>
      <c r="V4084" t="s">
        <v>125</v>
      </c>
      <c r="AE4084" t="s">
        <v>125</v>
      </c>
      <c r="AF4084">
        <v>0</v>
      </c>
      <c r="AG4084" t="s">
        <v>125</v>
      </c>
      <c r="AH4084">
        <v>0</v>
      </c>
      <c r="AK4084">
        <v>0</v>
      </c>
    </row>
    <row r="4085" spans="1:37" x14ac:dyDescent="0.25">
      <c r="A4085" t="s">
        <v>79</v>
      </c>
      <c r="B4085">
        <v>16</v>
      </c>
      <c r="C4085">
        <v>1</v>
      </c>
      <c r="D4085">
        <v>5</v>
      </c>
      <c r="E4085">
        <v>14</v>
      </c>
      <c r="G4085">
        <v>1615</v>
      </c>
      <c r="H4085" t="s">
        <v>63</v>
      </c>
      <c r="I4085" t="s">
        <v>137</v>
      </c>
      <c r="J4085" t="s">
        <v>154</v>
      </c>
      <c r="L4085">
        <v>0</v>
      </c>
      <c r="M4085" t="s">
        <v>125</v>
      </c>
      <c r="O4085" t="s">
        <v>125</v>
      </c>
      <c r="P4085" t="s">
        <v>125</v>
      </c>
      <c r="Q4085" t="s">
        <v>125</v>
      </c>
      <c r="R4085" t="s">
        <v>125</v>
      </c>
      <c r="S4085" t="s">
        <v>125</v>
      </c>
      <c r="T4085">
        <v>0</v>
      </c>
      <c r="V4085" t="s">
        <v>125</v>
      </c>
      <c r="AE4085" t="s">
        <v>125</v>
      </c>
      <c r="AF4085">
        <v>0</v>
      </c>
      <c r="AG4085" t="s">
        <v>125</v>
      </c>
      <c r="AH4085">
        <v>0</v>
      </c>
      <c r="AK4085">
        <v>0</v>
      </c>
    </row>
    <row r="4086" spans="1:37" x14ac:dyDescent="0.25">
      <c r="A4086" t="s">
        <v>79</v>
      </c>
      <c r="B4086">
        <v>16</v>
      </c>
      <c r="C4086">
        <v>1</v>
      </c>
      <c r="D4086">
        <v>5</v>
      </c>
      <c r="E4086">
        <v>15</v>
      </c>
      <c r="G4086">
        <v>1615</v>
      </c>
      <c r="H4086" t="s">
        <v>63</v>
      </c>
      <c r="I4086" t="s">
        <v>139</v>
      </c>
      <c r="J4086" t="s">
        <v>155</v>
      </c>
      <c r="L4086">
        <v>0</v>
      </c>
      <c r="M4086" t="s">
        <v>125</v>
      </c>
      <c r="O4086" t="s">
        <v>125</v>
      </c>
      <c r="P4086" t="s">
        <v>125</v>
      </c>
      <c r="Q4086" t="s">
        <v>125</v>
      </c>
      <c r="R4086" t="s">
        <v>125</v>
      </c>
      <c r="S4086" t="s">
        <v>125</v>
      </c>
      <c r="T4086">
        <v>0</v>
      </c>
      <c r="V4086" t="s">
        <v>125</v>
      </c>
      <c r="AE4086" t="s">
        <v>125</v>
      </c>
      <c r="AF4086">
        <v>0</v>
      </c>
      <c r="AG4086" t="s">
        <v>125</v>
      </c>
      <c r="AH4086">
        <v>0</v>
      </c>
      <c r="AK4086">
        <v>0</v>
      </c>
    </row>
    <row r="4087" spans="1:37" x14ac:dyDescent="0.25">
      <c r="L4087">
        <v>0</v>
      </c>
    </row>
    <row r="4088" spans="1:37" x14ac:dyDescent="0.25">
      <c r="L4088">
        <v>0</v>
      </c>
    </row>
    <row r="4089" spans="1:37" x14ac:dyDescent="0.25">
      <c r="A4089" t="s">
        <v>66</v>
      </c>
      <c r="B4089">
        <v>16</v>
      </c>
      <c r="C4089">
        <v>2</v>
      </c>
      <c r="G4089">
        <v>16</v>
      </c>
      <c r="H4089" t="s">
        <v>5316</v>
      </c>
      <c r="I4089" t="s">
        <v>5581</v>
      </c>
      <c r="L4089">
        <v>0</v>
      </c>
      <c r="M4089" t="s">
        <v>125</v>
      </c>
      <c r="N4089" t="s">
        <v>125</v>
      </c>
      <c r="V4089" t="s">
        <v>63</v>
      </c>
      <c r="Y4089" t="s">
        <v>63</v>
      </c>
      <c r="AA4089" t="s">
        <v>63</v>
      </c>
      <c r="AC4089" t="s">
        <v>63</v>
      </c>
      <c r="AE4089" t="s">
        <v>63</v>
      </c>
      <c r="AF4089">
        <v>0</v>
      </c>
      <c r="AG4089" t="s">
        <v>63</v>
      </c>
      <c r="AH4089">
        <v>0</v>
      </c>
      <c r="AK4089">
        <v>0</v>
      </c>
    </row>
    <row r="4090" spans="1:37" x14ac:dyDescent="0.25">
      <c r="L4090">
        <v>0</v>
      </c>
    </row>
    <row r="4091" spans="1:37" x14ac:dyDescent="0.25">
      <c r="A4091" t="s">
        <v>70</v>
      </c>
      <c r="B4091">
        <v>16</v>
      </c>
      <c r="C4091">
        <v>2</v>
      </c>
      <c r="D4091">
        <v>1</v>
      </c>
      <c r="G4091">
        <v>162</v>
      </c>
      <c r="L4091">
        <v>0</v>
      </c>
      <c r="M4091" t="s">
        <v>125</v>
      </c>
      <c r="P4091" t="s">
        <v>125</v>
      </c>
      <c r="R4091" t="s">
        <v>125</v>
      </c>
      <c r="S4091" t="s">
        <v>63</v>
      </c>
      <c r="V4091" t="s">
        <v>125</v>
      </c>
      <c r="X4091" t="s">
        <v>125</v>
      </c>
      <c r="Y4091" t="s">
        <v>125</v>
      </c>
      <c r="Z4091" t="s">
        <v>125</v>
      </c>
      <c r="AA4091" t="s">
        <v>125</v>
      </c>
      <c r="AB4091" t="s">
        <v>125</v>
      </c>
      <c r="AC4091" t="s">
        <v>125</v>
      </c>
      <c r="AE4091" t="s">
        <v>125</v>
      </c>
      <c r="AF4091">
        <v>0</v>
      </c>
      <c r="AG4091" t="s">
        <v>125</v>
      </c>
      <c r="AH4091">
        <v>0</v>
      </c>
      <c r="AK4091">
        <v>0</v>
      </c>
    </row>
    <row r="4092" spans="1:37" x14ac:dyDescent="0.25">
      <c r="A4092" t="s">
        <v>79</v>
      </c>
      <c r="B4092">
        <v>16</v>
      </c>
      <c r="C4092">
        <v>2</v>
      </c>
      <c r="D4092">
        <v>1</v>
      </c>
      <c r="E4092">
        <v>1</v>
      </c>
      <c r="G4092">
        <v>1621</v>
      </c>
      <c r="H4092" t="s">
        <v>63</v>
      </c>
      <c r="I4092" t="s">
        <v>80</v>
      </c>
      <c r="J4092" t="s">
        <v>141</v>
      </c>
      <c r="L4092">
        <v>0</v>
      </c>
      <c r="M4092" t="s">
        <v>125</v>
      </c>
      <c r="O4092" t="s">
        <v>125</v>
      </c>
      <c r="P4092" t="s">
        <v>125</v>
      </c>
      <c r="Q4092" t="s">
        <v>125</v>
      </c>
      <c r="R4092" t="s">
        <v>125</v>
      </c>
      <c r="S4092" t="s">
        <v>125</v>
      </c>
      <c r="T4092">
        <v>0</v>
      </c>
      <c r="V4092" t="s">
        <v>125</v>
      </c>
      <c r="AE4092" t="s">
        <v>125</v>
      </c>
      <c r="AF4092">
        <v>0</v>
      </c>
      <c r="AG4092" t="s">
        <v>125</v>
      </c>
      <c r="AH4092">
        <v>0</v>
      </c>
      <c r="AK4092">
        <v>0</v>
      </c>
    </row>
    <row r="4093" spans="1:37" x14ac:dyDescent="0.25">
      <c r="A4093" t="s">
        <v>79</v>
      </c>
      <c r="B4093">
        <v>16</v>
      </c>
      <c r="C4093">
        <v>2</v>
      </c>
      <c r="D4093">
        <v>1</v>
      </c>
      <c r="E4093">
        <v>2</v>
      </c>
      <c r="G4093">
        <v>1621</v>
      </c>
      <c r="H4093" t="s">
        <v>63</v>
      </c>
      <c r="I4093" t="s">
        <v>88</v>
      </c>
      <c r="J4093" t="s">
        <v>142</v>
      </c>
      <c r="L4093">
        <v>0</v>
      </c>
      <c r="M4093" t="s">
        <v>125</v>
      </c>
      <c r="O4093" t="s">
        <v>125</v>
      </c>
      <c r="P4093" t="s">
        <v>125</v>
      </c>
      <c r="Q4093" t="s">
        <v>125</v>
      </c>
      <c r="R4093" t="s">
        <v>125</v>
      </c>
      <c r="S4093" t="s">
        <v>125</v>
      </c>
      <c r="T4093">
        <v>0</v>
      </c>
      <c r="V4093" t="s">
        <v>125</v>
      </c>
      <c r="AE4093" t="s">
        <v>125</v>
      </c>
      <c r="AF4093">
        <v>0</v>
      </c>
      <c r="AG4093" t="s">
        <v>125</v>
      </c>
      <c r="AH4093">
        <v>0</v>
      </c>
      <c r="AK4093">
        <v>0</v>
      </c>
    </row>
    <row r="4094" spans="1:37" x14ac:dyDescent="0.25">
      <c r="A4094" t="s">
        <v>79</v>
      </c>
      <c r="B4094">
        <v>16</v>
      </c>
      <c r="C4094">
        <v>2</v>
      </c>
      <c r="D4094">
        <v>1</v>
      </c>
      <c r="E4094">
        <v>3</v>
      </c>
      <c r="G4094">
        <v>1621</v>
      </c>
      <c r="H4094" t="s">
        <v>63</v>
      </c>
      <c r="I4094" t="s">
        <v>95</v>
      </c>
      <c r="J4094" t="s">
        <v>143</v>
      </c>
      <c r="L4094">
        <v>0</v>
      </c>
      <c r="M4094" t="s">
        <v>125</v>
      </c>
      <c r="O4094" t="s">
        <v>125</v>
      </c>
      <c r="P4094" t="s">
        <v>125</v>
      </c>
      <c r="Q4094" t="s">
        <v>125</v>
      </c>
      <c r="R4094" t="s">
        <v>125</v>
      </c>
      <c r="S4094" t="s">
        <v>125</v>
      </c>
      <c r="T4094">
        <v>0</v>
      </c>
      <c r="V4094" t="s">
        <v>125</v>
      </c>
      <c r="AE4094" t="s">
        <v>125</v>
      </c>
      <c r="AF4094">
        <v>0</v>
      </c>
      <c r="AG4094" t="s">
        <v>125</v>
      </c>
      <c r="AH4094">
        <v>0</v>
      </c>
      <c r="AK4094">
        <v>0</v>
      </c>
    </row>
    <row r="4095" spans="1:37" x14ac:dyDescent="0.25">
      <c r="A4095" t="s">
        <v>79</v>
      </c>
      <c r="B4095">
        <v>16</v>
      </c>
      <c r="C4095">
        <v>2</v>
      </c>
      <c r="D4095">
        <v>1</v>
      </c>
      <c r="E4095">
        <v>4</v>
      </c>
      <c r="G4095">
        <v>1621</v>
      </c>
      <c r="H4095" t="s">
        <v>63</v>
      </c>
      <c r="I4095" t="s">
        <v>102</v>
      </c>
      <c r="J4095" t="s">
        <v>144</v>
      </c>
      <c r="L4095">
        <v>0</v>
      </c>
      <c r="M4095" t="s">
        <v>125</v>
      </c>
      <c r="O4095" t="s">
        <v>125</v>
      </c>
      <c r="P4095" t="s">
        <v>125</v>
      </c>
      <c r="Q4095" t="s">
        <v>125</v>
      </c>
      <c r="R4095" t="s">
        <v>125</v>
      </c>
      <c r="S4095" t="s">
        <v>125</v>
      </c>
      <c r="T4095">
        <v>0</v>
      </c>
      <c r="V4095" t="s">
        <v>125</v>
      </c>
      <c r="AE4095" t="s">
        <v>125</v>
      </c>
      <c r="AF4095">
        <v>0</v>
      </c>
      <c r="AG4095" t="s">
        <v>125</v>
      </c>
      <c r="AH4095">
        <v>0</v>
      </c>
      <c r="AK4095">
        <v>0</v>
      </c>
    </row>
    <row r="4096" spans="1:37" x14ac:dyDescent="0.25">
      <c r="A4096" t="s">
        <v>79</v>
      </c>
      <c r="B4096">
        <v>16</v>
      </c>
      <c r="C4096">
        <v>2</v>
      </c>
      <c r="D4096">
        <v>1</v>
      </c>
      <c r="E4096">
        <v>5</v>
      </c>
      <c r="G4096">
        <v>1621</v>
      </c>
      <c r="H4096" t="s">
        <v>63</v>
      </c>
      <c r="I4096" t="s">
        <v>109</v>
      </c>
      <c r="J4096" t="s">
        <v>145</v>
      </c>
      <c r="L4096">
        <v>0</v>
      </c>
      <c r="M4096" t="s">
        <v>125</v>
      </c>
      <c r="O4096" t="s">
        <v>125</v>
      </c>
      <c r="P4096" t="s">
        <v>125</v>
      </c>
      <c r="Q4096" t="s">
        <v>125</v>
      </c>
      <c r="R4096" t="s">
        <v>125</v>
      </c>
      <c r="S4096" t="s">
        <v>125</v>
      </c>
      <c r="T4096">
        <v>0</v>
      </c>
      <c r="V4096" t="s">
        <v>125</v>
      </c>
      <c r="AE4096" t="s">
        <v>125</v>
      </c>
      <c r="AF4096">
        <v>0</v>
      </c>
      <c r="AG4096" t="s">
        <v>125</v>
      </c>
      <c r="AH4096">
        <v>0</v>
      </c>
      <c r="AK4096">
        <v>0</v>
      </c>
    </row>
    <row r="4097" spans="1:37" x14ac:dyDescent="0.25">
      <c r="A4097" t="s">
        <v>79</v>
      </c>
      <c r="B4097">
        <v>16</v>
      </c>
      <c r="C4097">
        <v>2</v>
      </c>
      <c r="D4097">
        <v>1</v>
      </c>
      <c r="E4097">
        <v>6</v>
      </c>
      <c r="G4097">
        <v>1621</v>
      </c>
      <c r="H4097" t="s">
        <v>63</v>
      </c>
      <c r="I4097" t="s">
        <v>116</v>
      </c>
      <c r="J4097" t="s">
        <v>146</v>
      </c>
      <c r="L4097">
        <v>0</v>
      </c>
      <c r="M4097" t="s">
        <v>125</v>
      </c>
      <c r="O4097" t="s">
        <v>125</v>
      </c>
      <c r="P4097" t="s">
        <v>125</v>
      </c>
      <c r="Q4097" t="s">
        <v>125</v>
      </c>
      <c r="R4097" t="s">
        <v>125</v>
      </c>
      <c r="S4097" t="s">
        <v>125</v>
      </c>
      <c r="T4097">
        <v>0</v>
      </c>
      <c r="V4097" t="s">
        <v>125</v>
      </c>
      <c r="AE4097" t="s">
        <v>125</v>
      </c>
      <c r="AF4097">
        <v>0</v>
      </c>
      <c r="AG4097" t="s">
        <v>125</v>
      </c>
      <c r="AH4097">
        <v>0</v>
      </c>
      <c r="AK4097">
        <v>0</v>
      </c>
    </row>
    <row r="4098" spans="1:37" x14ac:dyDescent="0.25">
      <c r="A4098" t="s">
        <v>79</v>
      </c>
      <c r="B4098">
        <v>16</v>
      </c>
      <c r="C4098">
        <v>2</v>
      </c>
      <c r="D4098">
        <v>1</v>
      </c>
      <c r="E4098">
        <v>7</v>
      </c>
      <c r="G4098">
        <v>1621</v>
      </c>
      <c r="H4098" t="s">
        <v>63</v>
      </c>
      <c r="I4098" t="s">
        <v>123</v>
      </c>
      <c r="J4098" t="s">
        <v>147</v>
      </c>
      <c r="L4098">
        <v>0</v>
      </c>
      <c r="M4098" t="s">
        <v>125</v>
      </c>
      <c r="O4098" t="s">
        <v>125</v>
      </c>
      <c r="P4098" t="s">
        <v>125</v>
      </c>
      <c r="Q4098" t="s">
        <v>125</v>
      </c>
      <c r="R4098" t="s">
        <v>125</v>
      </c>
      <c r="S4098" t="s">
        <v>125</v>
      </c>
      <c r="T4098">
        <v>0</v>
      </c>
      <c r="V4098" t="s">
        <v>125</v>
      </c>
      <c r="AE4098" t="s">
        <v>125</v>
      </c>
      <c r="AF4098">
        <v>0</v>
      </c>
      <c r="AG4098" t="s">
        <v>125</v>
      </c>
      <c r="AH4098">
        <v>0</v>
      </c>
      <c r="AK4098">
        <v>0</v>
      </c>
    </row>
    <row r="4099" spans="1:37" x14ac:dyDescent="0.25">
      <c r="A4099" t="s">
        <v>79</v>
      </c>
      <c r="B4099">
        <v>16</v>
      </c>
      <c r="C4099">
        <v>2</v>
      </c>
      <c r="D4099">
        <v>1</v>
      </c>
      <c r="E4099">
        <v>8</v>
      </c>
      <c r="G4099">
        <v>1621</v>
      </c>
      <c r="H4099" t="s">
        <v>63</v>
      </c>
      <c r="I4099" t="s">
        <v>126</v>
      </c>
      <c r="J4099" t="s">
        <v>148</v>
      </c>
      <c r="L4099">
        <v>0</v>
      </c>
      <c r="M4099" t="s">
        <v>125</v>
      </c>
      <c r="O4099" t="s">
        <v>125</v>
      </c>
      <c r="P4099" t="s">
        <v>125</v>
      </c>
      <c r="Q4099" t="s">
        <v>125</v>
      </c>
      <c r="R4099" t="s">
        <v>125</v>
      </c>
      <c r="S4099" t="s">
        <v>125</v>
      </c>
      <c r="T4099">
        <v>0</v>
      </c>
      <c r="V4099" t="s">
        <v>125</v>
      </c>
      <c r="AE4099" t="s">
        <v>125</v>
      </c>
      <c r="AF4099">
        <v>0</v>
      </c>
      <c r="AG4099" t="s">
        <v>125</v>
      </c>
      <c r="AH4099">
        <v>0</v>
      </c>
      <c r="AK4099">
        <v>0</v>
      </c>
    </row>
    <row r="4100" spans="1:37" x14ac:dyDescent="0.25">
      <c r="A4100" t="s">
        <v>79</v>
      </c>
      <c r="B4100">
        <v>16</v>
      </c>
      <c r="C4100">
        <v>2</v>
      </c>
      <c r="D4100">
        <v>1</v>
      </c>
      <c r="E4100">
        <v>9</v>
      </c>
      <c r="G4100">
        <v>1621</v>
      </c>
      <c r="H4100" t="s">
        <v>63</v>
      </c>
      <c r="I4100" t="s">
        <v>74</v>
      </c>
      <c r="J4100" t="s">
        <v>149</v>
      </c>
      <c r="L4100">
        <v>0</v>
      </c>
      <c r="M4100" t="s">
        <v>125</v>
      </c>
      <c r="O4100" t="s">
        <v>125</v>
      </c>
      <c r="P4100" t="s">
        <v>125</v>
      </c>
      <c r="Q4100" t="s">
        <v>125</v>
      </c>
      <c r="R4100" t="s">
        <v>125</v>
      </c>
      <c r="S4100" t="s">
        <v>125</v>
      </c>
      <c r="T4100">
        <v>0</v>
      </c>
      <c r="V4100" t="s">
        <v>125</v>
      </c>
      <c r="AE4100" t="s">
        <v>125</v>
      </c>
      <c r="AF4100">
        <v>0</v>
      </c>
      <c r="AG4100" t="s">
        <v>125</v>
      </c>
      <c r="AH4100">
        <v>0</v>
      </c>
      <c r="AK4100">
        <v>0</v>
      </c>
    </row>
    <row r="4101" spans="1:37" x14ac:dyDescent="0.25">
      <c r="A4101" t="s">
        <v>79</v>
      </c>
      <c r="B4101">
        <v>16</v>
      </c>
      <c r="C4101">
        <v>2</v>
      </c>
      <c r="D4101">
        <v>1</v>
      </c>
      <c r="E4101">
        <v>10</v>
      </c>
      <c r="G4101">
        <v>1621</v>
      </c>
      <c r="H4101" t="s">
        <v>63</v>
      </c>
      <c r="I4101" t="s">
        <v>129</v>
      </c>
      <c r="J4101" t="s">
        <v>150</v>
      </c>
      <c r="L4101">
        <v>0</v>
      </c>
      <c r="M4101" t="s">
        <v>125</v>
      </c>
      <c r="O4101" t="s">
        <v>125</v>
      </c>
      <c r="P4101" t="s">
        <v>125</v>
      </c>
      <c r="Q4101" t="s">
        <v>125</v>
      </c>
      <c r="R4101" t="s">
        <v>125</v>
      </c>
      <c r="S4101" t="s">
        <v>125</v>
      </c>
      <c r="T4101">
        <v>0</v>
      </c>
      <c r="V4101" t="s">
        <v>125</v>
      </c>
      <c r="AE4101" t="s">
        <v>125</v>
      </c>
      <c r="AF4101">
        <v>0</v>
      </c>
      <c r="AG4101" t="s">
        <v>125</v>
      </c>
      <c r="AH4101">
        <v>0</v>
      </c>
      <c r="AK4101">
        <v>0</v>
      </c>
    </row>
    <row r="4102" spans="1:37" x14ac:dyDescent="0.25">
      <c r="A4102" t="s">
        <v>79</v>
      </c>
      <c r="B4102">
        <v>16</v>
      </c>
      <c r="C4102">
        <v>2</v>
      </c>
      <c r="D4102">
        <v>1</v>
      </c>
      <c r="E4102">
        <v>11</v>
      </c>
      <c r="G4102">
        <v>1621</v>
      </c>
      <c r="H4102" t="s">
        <v>63</v>
      </c>
      <c r="I4102" t="s">
        <v>131</v>
      </c>
      <c r="J4102" t="s">
        <v>151</v>
      </c>
      <c r="L4102">
        <v>0</v>
      </c>
      <c r="M4102" t="s">
        <v>125</v>
      </c>
      <c r="O4102" t="s">
        <v>125</v>
      </c>
      <c r="P4102" t="s">
        <v>125</v>
      </c>
      <c r="Q4102" t="s">
        <v>125</v>
      </c>
      <c r="R4102" t="s">
        <v>125</v>
      </c>
      <c r="S4102" t="s">
        <v>125</v>
      </c>
      <c r="T4102">
        <v>0</v>
      </c>
      <c r="V4102" t="s">
        <v>125</v>
      </c>
      <c r="AE4102" t="s">
        <v>125</v>
      </c>
      <c r="AF4102">
        <v>0</v>
      </c>
      <c r="AG4102" t="s">
        <v>125</v>
      </c>
      <c r="AH4102">
        <v>0</v>
      </c>
      <c r="AK4102">
        <v>0</v>
      </c>
    </row>
    <row r="4103" spans="1:37" x14ac:dyDescent="0.25">
      <c r="A4103" t="s">
        <v>79</v>
      </c>
      <c r="B4103">
        <v>16</v>
      </c>
      <c r="C4103">
        <v>2</v>
      </c>
      <c r="D4103">
        <v>1</v>
      </c>
      <c r="E4103">
        <v>12</v>
      </c>
      <c r="G4103">
        <v>1621</v>
      </c>
      <c r="H4103" t="s">
        <v>63</v>
      </c>
      <c r="I4103" t="s">
        <v>133</v>
      </c>
      <c r="J4103" t="s">
        <v>152</v>
      </c>
      <c r="L4103">
        <v>0</v>
      </c>
      <c r="M4103" t="s">
        <v>125</v>
      </c>
      <c r="O4103" t="s">
        <v>125</v>
      </c>
      <c r="P4103" t="s">
        <v>125</v>
      </c>
      <c r="Q4103" t="s">
        <v>125</v>
      </c>
      <c r="R4103" t="s">
        <v>125</v>
      </c>
      <c r="S4103" t="s">
        <v>125</v>
      </c>
      <c r="T4103">
        <v>0</v>
      </c>
      <c r="V4103" t="s">
        <v>125</v>
      </c>
      <c r="AE4103" t="s">
        <v>125</v>
      </c>
      <c r="AF4103">
        <v>0</v>
      </c>
      <c r="AG4103" t="s">
        <v>125</v>
      </c>
      <c r="AH4103">
        <v>0</v>
      </c>
      <c r="AK4103">
        <v>0</v>
      </c>
    </row>
    <row r="4104" spans="1:37" x14ac:dyDescent="0.25">
      <c r="A4104" t="s">
        <v>79</v>
      </c>
      <c r="B4104">
        <v>16</v>
      </c>
      <c r="C4104">
        <v>2</v>
      </c>
      <c r="D4104">
        <v>1</v>
      </c>
      <c r="E4104">
        <v>13</v>
      </c>
      <c r="G4104">
        <v>1621</v>
      </c>
      <c r="H4104" t="s">
        <v>63</v>
      </c>
      <c r="I4104" t="s">
        <v>135</v>
      </c>
      <c r="J4104" t="s">
        <v>153</v>
      </c>
      <c r="L4104">
        <v>0</v>
      </c>
      <c r="M4104" t="s">
        <v>125</v>
      </c>
      <c r="O4104" t="s">
        <v>125</v>
      </c>
      <c r="P4104" t="s">
        <v>125</v>
      </c>
      <c r="Q4104" t="s">
        <v>125</v>
      </c>
      <c r="R4104" t="s">
        <v>125</v>
      </c>
      <c r="S4104" t="s">
        <v>125</v>
      </c>
      <c r="T4104">
        <v>0</v>
      </c>
      <c r="V4104" t="s">
        <v>125</v>
      </c>
      <c r="AE4104" t="s">
        <v>125</v>
      </c>
      <c r="AF4104">
        <v>0</v>
      </c>
      <c r="AG4104" t="s">
        <v>125</v>
      </c>
      <c r="AH4104">
        <v>0</v>
      </c>
      <c r="AK4104">
        <v>0</v>
      </c>
    </row>
    <row r="4105" spans="1:37" x14ac:dyDescent="0.25">
      <c r="A4105" t="s">
        <v>79</v>
      </c>
      <c r="B4105">
        <v>16</v>
      </c>
      <c r="C4105">
        <v>2</v>
      </c>
      <c r="D4105">
        <v>1</v>
      </c>
      <c r="E4105">
        <v>14</v>
      </c>
      <c r="G4105">
        <v>1621</v>
      </c>
      <c r="H4105" t="s">
        <v>63</v>
      </c>
      <c r="I4105" t="s">
        <v>137</v>
      </c>
      <c r="J4105" t="s">
        <v>154</v>
      </c>
      <c r="L4105">
        <v>0</v>
      </c>
      <c r="M4105" t="s">
        <v>125</v>
      </c>
      <c r="O4105" t="s">
        <v>125</v>
      </c>
      <c r="P4105" t="s">
        <v>125</v>
      </c>
      <c r="Q4105" t="s">
        <v>125</v>
      </c>
      <c r="R4105" t="s">
        <v>125</v>
      </c>
      <c r="S4105" t="s">
        <v>125</v>
      </c>
      <c r="T4105">
        <v>0</v>
      </c>
      <c r="V4105" t="s">
        <v>125</v>
      </c>
      <c r="AE4105" t="s">
        <v>125</v>
      </c>
      <c r="AF4105">
        <v>0</v>
      </c>
      <c r="AG4105" t="s">
        <v>125</v>
      </c>
      <c r="AH4105">
        <v>0</v>
      </c>
      <c r="AK4105">
        <v>0</v>
      </c>
    </row>
    <row r="4106" spans="1:37" x14ac:dyDescent="0.25">
      <c r="A4106" t="s">
        <v>79</v>
      </c>
      <c r="B4106">
        <v>16</v>
      </c>
      <c r="C4106">
        <v>2</v>
      </c>
      <c r="D4106">
        <v>1</v>
      </c>
      <c r="E4106">
        <v>15</v>
      </c>
      <c r="G4106">
        <v>1621</v>
      </c>
      <c r="H4106" t="s">
        <v>63</v>
      </c>
      <c r="I4106" t="s">
        <v>139</v>
      </c>
      <c r="J4106" t="s">
        <v>155</v>
      </c>
      <c r="L4106">
        <v>0</v>
      </c>
      <c r="M4106" t="s">
        <v>125</v>
      </c>
      <c r="O4106" t="s">
        <v>125</v>
      </c>
      <c r="P4106" t="s">
        <v>125</v>
      </c>
      <c r="Q4106" t="s">
        <v>125</v>
      </c>
      <c r="R4106" t="s">
        <v>125</v>
      </c>
      <c r="S4106" t="s">
        <v>125</v>
      </c>
      <c r="T4106">
        <v>0</v>
      </c>
      <c r="V4106" t="s">
        <v>125</v>
      </c>
      <c r="AE4106" t="s">
        <v>125</v>
      </c>
      <c r="AF4106">
        <v>0</v>
      </c>
      <c r="AG4106" t="s">
        <v>125</v>
      </c>
      <c r="AH4106">
        <v>0</v>
      </c>
      <c r="AK4106">
        <v>0</v>
      </c>
    </row>
    <row r="4107" spans="1:37" x14ac:dyDescent="0.25">
      <c r="L4107">
        <v>0</v>
      </c>
    </row>
    <row r="4108" spans="1:37" x14ac:dyDescent="0.25">
      <c r="A4108" t="s">
        <v>70</v>
      </c>
      <c r="B4108">
        <v>16</v>
      </c>
      <c r="C4108">
        <v>2</v>
      </c>
      <c r="D4108">
        <v>2</v>
      </c>
      <c r="G4108">
        <v>162</v>
      </c>
      <c r="L4108">
        <v>0</v>
      </c>
      <c r="M4108" t="s">
        <v>125</v>
      </c>
      <c r="P4108" t="s">
        <v>125</v>
      </c>
      <c r="R4108" t="s">
        <v>125</v>
      </c>
      <c r="S4108" t="s">
        <v>63</v>
      </c>
      <c r="V4108" t="s">
        <v>125</v>
      </c>
      <c r="X4108" t="s">
        <v>125</v>
      </c>
      <c r="Y4108" t="s">
        <v>125</v>
      </c>
      <c r="Z4108" t="s">
        <v>125</v>
      </c>
      <c r="AA4108" t="s">
        <v>125</v>
      </c>
      <c r="AB4108" t="s">
        <v>125</v>
      </c>
      <c r="AC4108" t="s">
        <v>125</v>
      </c>
      <c r="AE4108" t="s">
        <v>125</v>
      </c>
      <c r="AF4108">
        <v>0</v>
      </c>
      <c r="AG4108" t="s">
        <v>125</v>
      </c>
      <c r="AH4108">
        <v>0</v>
      </c>
      <c r="AK4108">
        <v>0</v>
      </c>
    </row>
    <row r="4109" spans="1:37" x14ac:dyDescent="0.25">
      <c r="A4109" t="s">
        <v>79</v>
      </c>
      <c r="B4109">
        <v>16</v>
      </c>
      <c r="C4109">
        <v>2</v>
      </c>
      <c r="D4109">
        <v>2</v>
      </c>
      <c r="E4109">
        <v>1</v>
      </c>
      <c r="G4109">
        <v>1622</v>
      </c>
      <c r="H4109" t="s">
        <v>63</v>
      </c>
      <c r="I4109" t="s">
        <v>80</v>
      </c>
      <c r="J4109" t="s">
        <v>141</v>
      </c>
      <c r="L4109">
        <v>0</v>
      </c>
      <c r="M4109" t="s">
        <v>125</v>
      </c>
      <c r="O4109" t="s">
        <v>125</v>
      </c>
      <c r="P4109" t="s">
        <v>125</v>
      </c>
      <c r="Q4109" t="s">
        <v>125</v>
      </c>
      <c r="R4109" t="s">
        <v>125</v>
      </c>
      <c r="S4109" t="s">
        <v>125</v>
      </c>
      <c r="T4109">
        <v>0</v>
      </c>
      <c r="V4109" t="s">
        <v>125</v>
      </c>
      <c r="AE4109" t="s">
        <v>125</v>
      </c>
      <c r="AF4109">
        <v>0</v>
      </c>
      <c r="AG4109" t="s">
        <v>125</v>
      </c>
      <c r="AH4109">
        <v>0</v>
      </c>
      <c r="AK4109">
        <v>0</v>
      </c>
    </row>
    <row r="4110" spans="1:37" x14ac:dyDescent="0.25">
      <c r="A4110" t="s">
        <v>79</v>
      </c>
      <c r="B4110">
        <v>16</v>
      </c>
      <c r="C4110">
        <v>2</v>
      </c>
      <c r="D4110">
        <v>2</v>
      </c>
      <c r="E4110">
        <v>2</v>
      </c>
      <c r="G4110">
        <v>1622</v>
      </c>
      <c r="H4110" t="s">
        <v>63</v>
      </c>
      <c r="I4110" t="s">
        <v>88</v>
      </c>
      <c r="J4110" t="s">
        <v>142</v>
      </c>
      <c r="L4110">
        <v>0</v>
      </c>
      <c r="M4110" t="s">
        <v>125</v>
      </c>
      <c r="O4110" t="s">
        <v>125</v>
      </c>
      <c r="P4110" t="s">
        <v>125</v>
      </c>
      <c r="Q4110" t="s">
        <v>125</v>
      </c>
      <c r="R4110" t="s">
        <v>125</v>
      </c>
      <c r="S4110" t="s">
        <v>125</v>
      </c>
      <c r="T4110">
        <v>0</v>
      </c>
      <c r="V4110" t="s">
        <v>125</v>
      </c>
      <c r="AE4110" t="s">
        <v>125</v>
      </c>
      <c r="AF4110">
        <v>0</v>
      </c>
      <c r="AG4110" t="s">
        <v>125</v>
      </c>
      <c r="AH4110">
        <v>0</v>
      </c>
      <c r="AK4110">
        <v>0</v>
      </c>
    </row>
    <row r="4111" spans="1:37" x14ac:dyDescent="0.25">
      <c r="A4111" t="s">
        <v>79</v>
      </c>
      <c r="B4111">
        <v>16</v>
      </c>
      <c r="C4111">
        <v>2</v>
      </c>
      <c r="D4111">
        <v>2</v>
      </c>
      <c r="E4111">
        <v>3</v>
      </c>
      <c r="G4111">
        <v>1622</v>
      </c>
      <c r="H4111" t="s">
        <v>63</v>
      </c>
      <c r="I4111" t="s">
        <v>95</v>
      </c>
      <c r="J4111" t="s">
        <v>143</v>
      </c>
      <c r="L4111">
        <v>0</v>
      </c>
      <c r="M4111" t="s">
        <v>125</v>
      </c>
      <c r="O4111" t="s">
        <v>125</v>
      </c>
      <c r="P4111" t="s">
        <v>125</v>
      </c>
      <c r="Q4111" t="s">
        <v>125</v>
      </c>
      <c r="R4111" t="s">
        <v>125</v>
      </c>
      <c r="S4111" t="s">
        <v>125</v>
      </c>
      <c r="T4111">
        <v>0</v>
      </c>
      <c r="V4111" t="s">
        <v>125</v>
      </c>
      <c r="AE4111" t="s">
        <v>125</v>
      </c>
      <c r="AF4111">
        <v>0</v>
      </c>
      <c r="AG4111" t="s">
        <v>125</v>
      </c>
      <c r="AH4111">
        <v>0</v>
      </c>
      <c r="AK4111">
        <v>0</v>
      </c>
    </row>
    <row r="4112" spans="1:37" x14ac:dyDescent="0.25">
      <c r="A4112" t="s">
        <v>79</v>
      </c>
      <c r="B4112">
        <v>16</v>
      </c>
      <c r="C4112">
        <v>2</v>
      </c>
      <c r="D4112">
        <v>2</v>
      </c>
      <c r="E4112">
        <v>4</v>
      </c>
      <c r="G4112">
        <v>1622</v>
      </c>
      <c r="H4112" t="s">
        <v>63</v>
      </c>
      <c r="I4112" t="s">
        <v>102</v>
      </c>
      <c r="J4112" t="s">
        <v>144</v>
      </c>
      <c r="L4112">
        <v>0</v>
      </c>
      <c r="M4112" t="s">
        <v>125</v>
      </c>
      <c r="O4112" t="s">
        <v>125</v>
      </c>
      <c r="P4112" t="s">
        <v>125</v>
      </c>
      <c r="Q4112" t="s">
        <v>125</v>
      </c>
      <c r="R4112" t="s">
        <v>125</v>
      </c>
      <c r="S4112" t="s">
        <v>125</v>
      </c>
      <c r="T4112">
        <v>0</v>
      </c>
      <c r="V4112" t="s">
        <v>125</v>
      </c>
      <c r="AE4112" t="s">
        <v>125</v>
      </c>
      <c r="AF4112">
        <v>0</v>
      </c>
      <c r="AG4112" t="s">
        <v>125</v>
      </c>
      <c r="AH4112">
        <v>0</v>
      </c>
      <c r="AK4112">
        <v>0</v>
      </c>
    </row>
    <row r="4113" spans="1:37" x14ac:dyDescent="0.25">
      <c r="A4113" t="s">
        <v>79</v>
      </c>
      <c r="B4113">
        <v>16</v>
      </c>
      <c r="C4113">
        <v>2</v>
      </c>
      <c r="D4113">
        <v>2</v>
      </c>
      <c r="E4113">
        <v>5</v>
      </c>
      <c r="G4113">
        <v>1622</v>
      </c>
      <c r="H4113" t="s">
        <v>63</v>
      </c>
      <c r="I4113" t="s">
        <v>109</v>
      </c>
      <c r="J4113" t="s">
        <v>145</v>
      </c>
      <c r="L4113">
        <v>0</v>
      </c>
      <c r="M4113" t="s">
        <v>125</v>
      </c>
      <c r="O4113" t="s">
        <v>125</v>
      </c>
      <c r="P4113" t="s">
        <v>125</v>
      </c>
      <c r="Q4113" t="s">
        <v>125</v>
      </c>
      <c r="R4113" t="s">
        <v>125</v>
      </c>
      <c r="S4113" t="s">
        <v>125</v>
      </c>
      <c r="T4113">
        <v>0</v>
      </c>
      <c r="V4113" t="s">
        <v>125</v>
      </c>
      <c r="AE4113" t="s">
        <v>125</v>
      </c>
      <c r="AF4113">
        <v>0</v>
      </c>
      <c r="AG4113" t="s">
        <v>125</v>
      </c>
      <c r="AH4113">
        <v>0</v>
      </c>
      <c r="AK4113">
        <v>0</v>
      </c>
    </row>
    <row r="4114" spans="1:37" x14ac:dyDescent="0.25">
      <c r="A4114" t="s">
        <v>79</v>
      </c>
      <c r="B4114">
        <v>16</v>
      </c>
      <c r="C4114">
        <v>2</v>
      </c>
      <c r="D4114">
        <v>2</v>
      </c>
      <c r="E4114">
        <v>6</v>
      </c>
      <c r="G4114">
        <v>1622</v>
      </c>
      <c r="H4114" t="s">
        <v>63</v>
      </c>
      <c r="I4114" t="s">
        <v>116</v>
      </c>
      <c r="J4114" t="s">
        <v>146</v>
      </c>
      <c r="L4114">
        <v>0</v>
      </c>
      <c r="M4114" t="s">
        <v>125</v>
      </c>
      <c r="O4114" t="s">
        <v>125</v>
      </c>
      <c r="P4114" t="s">
        <v>125</v>
      </c>
      <c r="Q4114" t="s">
        <v>125</v>
      </c>
      <c r="R4114" t="s">
        <v>125</v>
      </c>
      <c r="S4114" t="s">
        <v>125</v>
      </c>
      <c r="T4114">
        <v>0</v>
      </c>
      <c r="V4114" t="s">
        <v>125</v>
      </c>
      <c r="AE4114" t="s">
        <v>125</v>
      </c>
      <c r="AF4114">
        <v>0</v>
      </c>
      <c r="AG4114" t="s">
        <v>125</v>
      </c>
      <c r="AH4114">
        <v>0</v>
      </c>
      <c r="AK4114">
        <v>0</v>
      </c>
    </row>
    <row r="4115" spans="1:37" x14ac:dyDescent="0.25">
      <c r="A4115" t="s">
        <v>79</v>
      </c>
      <c r="B4115">
        <v>16</v>
      </c>
      <c r="C4115">
        <v>2</v>
      </c>
      <c r="D4115">
        <v>2</v>
      </c>
      <c r="E4115">
        <v>7</v>
      </c>
      <c r="G4115">
        <v>1622</v>
      </c>
      <c r="H4115" t="s">
        <v>63</v>
      </c>
      <c r="I4115" t="s">
        <v>123</v>
      </c>
      <c r="J4115" t="s">
        <v>147</v>
      </c>
      <c r="L4115">
        <v>0</v>
      </c>
      <c r="M4115" t="s">
        <v>125</v>
      </c>
      <c r="O4115" t="s">
        <v>125</v>
      </c>
      <c r="P4115" t="s">
        <v>125</v>
      </c>
      <c r="Q4115" t="s">
        <v>125</v>
      </c>
      <c r="R4115" t="s">
        <v>125</v>
      </c>
      <c r="S4115" t="s">
        <v>125</v>
      </c>
      <c r="T4115">
        <v>0</v>
      </c>
      <c r="V4115" t="s">
        <v>125</v>
      </c>
      <c r="AE4115" t="s">
        <v>125</v>
      </c>
      <c r="AF4115">
        <v>0</v>
      </c>
      <c r="AG4115" t="s">
        <v>125</v>
      </c>
      <c r="AH4115">
        <v>0</v>
      </c>
      <c r="AK4115">
        <v>0</v>
      </c>
    </row>
    <row r="4116" spans="1:37" x14ac:dyDescent="0.25">
      <c r="A4116" t="s">
        <v>79</v>
      </c>
      <c r="B4116">
        <v>16</v>
      </c>
      <c r="C4116">
        <v>2</v>
      </c>
      <c r="D4116">
        <v>2</v>
      </c>
      <c r="E4116">
        <v>8</v>
      </c>
      <c r="G4116">
        <v>1622</v>
      </c>
      <c r="H4116" t="s">
        <v>63</v>
      </c>
      <c r="I4116" t="s">
        <v>126</v>
      </c>
      <c r="J4116" t="s">
        <v>148</v>
      </c>
      <c r="L4116">
        <v>0</v>
      </c>
      <c r="M4116" t="s">
        <v>125</v>
      </c>
      <c r="O4116" t="s">
        <v>125</v>
      </c>
      <c r="P4116" t="s">
        <v>125</v>
      </c>
      <c r="Q4116" t="s">
        <v>125</v>
      </c>
      <c r="R4116" t="s">
        <v>125</v>
      </c>
      <c r="S4116" t="s">
        <v>125</v>
      </c>
      <c r="T4116">
        <v>0</v>
      </c>
      <c r="V4116" t="s">
        <v>125</v>
      </c>
      <c r="AE4116" t="s">
        <v>125</v>
      </c>
      <c r="AF4116">
        <v>0</v>
      </c>
      <c r="AG4116" t="s">
        <v>125</v>
      </c>
      <c r="AH4116">
        <v>0</v>
      </c>
      <c r="AK4116">
        <v>0</v>
      </c>
    </row>
    <row r="4117" spans="1:37" x14ac:dyDescent="0.25">
      <c r="A4117" t="s">
        <v>79</v>
      </c>
      <c r="B4117">
        <v>16</v>
      </c>
      <c r="C4117">
        <v>2</v>
      </c>
      <c r="D4117">
        <v>2</v>
      </c>
      <c r="E4117">
        <v>9</v>
      </c>
      <c r="G4117">
        <v>1622</v>
      </c>
      <c r="H4117" t="s">
        <v>63</v>
      </c>
      <c r="I4117" t="s">
        <v>74</v>
      </c>
      <c r="J4117" t="s">
        <v>149</v>
      </c>
      <c r="L4117">
        <v>0</v>
      </c>
      <c r="M4117" t="s">
        <v>125</v>
      </c>
      <c r="O4117" t="s">
        <v>125</v>
      </c>
      <c r="P4117" t="s">
        <v>125</v>
      </c>
      <c r="Q4117" t="s">
        <v>125</v>
      </c>
      <c r="R4117" t="s">
        <v>125</v>
      </c>
      <c r="S4117" t="s">
        <v>125</v>
      </c>
      <c r="T4117">
        <v>0</v>
      </c>
      <c r="V4117" t="s">
        <v>125</v>
      </c>
      <c r="AE4117" t="s">
        <v>125</v>
      </c>
      <c r="AF4117">
        <v>0</v>
      </c>
      <c r="AG4117" t="s">
        <v>125</v>
      </c>
      <c r="AH4117">
        <v>0</v>
      </c>
      <c r="AK4117">
        <v>0</v>
      </c>
    </row>
    <row r="4118" spans="1:37" x14ac:dyDescent="0.25">
      <c r="A4118" t="s">
        <v>79</v>
      </c>
      <c r="B4118">
        <v>16</v>
      </c>
      <c r="C4118">
        <v>2</v>
      </c>
      <c r="D4118">
        <v>2</v>
      </c>
      <c r="E4118">
        <v>10</v>
      </c>
      <c r="G4118">
        <v>1622</v>
      </c>
      <c r="H4118" t="s">
        <v>63</v>
      </c>
      <c r="I4118" t="s">
        <v>129</v>
      </c>
      <c r="J4118" t="s">
        <v>150</v>
      </c>
      <c r="L4118">
        <v>0</v>
      </c>
      <c r="M4118" t="s">
        <v>125</v>
      </c>
      <c r="O4118" t="s">
        <v>125</v>
      </c>
      <c r="P4118" t="s">
        <v>125</v>
      </c>
      <c r="Q4118" t="s">
        <v>125</v>
      </c>
      <c r="R4118" t="s">
        <v>125</v>
      </c>
      <c r="S4118" t="s">
        <v>125</v>
      </c>
      <c r="T4118">
        <v>0</v>
      </c>
      <c r="V4118" t="s">
        <v>125</v>
      </c>
      <c r="AE4118" t="s">
        <v>125</v>
      </c>
      <c r="AF4118">
        <v>0</v>
      </c>
      <c r="AG4118" t="s">
        <v>125</v>
      </c>
      <c r="AH4118">
        <v>0</v>
      </c>
      <c r="AK4118">
        <v>0</v>
      </c>
    </row>
    <row r="4119" spans="1:37" x14ac:dyDescent="0.25">
      <c r="A4119" t="s">
        <v>79</v>
      </c>
      <c r="B4119">
        <v>16</v>
      </c>
      <c r="C4119">
        <v>2</v>
      </c>
      <c r="D4119">
        <v>2</v>
      </c>
      <c r="E4119">
        <v>11</v>
      </c>
      <c r="G4119">
        <v>1622</v>
      </c>
      <c r="H4119" t="s">
        <v>63</v>
      </c>
      <c r="I4119" t="s">
        <v>131</v>
      </c>
      <c r="J4119" t="s">
        <v>151</v>
      </c>
      <c r="L4119">
        <v>0</v>
      </c>
      <c r="M4119" t="s">
        <v>125</v>
      </c>
      <c r="O4119" t="s">
        <v>125</v>
      </c>
      <c r="P4119" t="s">
        <v>125</v>
      </c>
      <c r="Q4119" t="s">
        <v>125</v>
      </c>
      <c r="R4119" t="s">
        <v>125</v>
      </c>
      <c r="S4119" t="s">
        <v>125</v>
      </c>
      <c r="T4119">
        <v>0</v>
      </c>
      <c r="V4119" t="s">
        <v>125</v>
      </c>
      <c r="AE4119" t="s">
        <v>125</v>
      </c>
      <c r="AF4119">
        <v>0</v>
      </c>
      <c r="AG4119" t="s">
        <v>125</v>
      </c>
      <c r="AH4119">
        <v>0</v>
      </c>
      <c r="AK4119">
        <v>0</v>
      </c>
    </row>
    <row r="4120" spans="1:37" x14ac:dyDescent="0.25">
      <c r="A4120" t="s">
        <v>79</v>
      </c>
      <c r="B4120">
        <v>16</v>
      </c>
      <c r="C4120">
        <v>2</v>
      </c>
      <c r="D4120">
        <v>2</v>
      </c>
      <c r="E4120">
        <v>12</v>
      </c>
      <c r="G4120">
        <v>1622</v>
      </c>
      <c r="H4120" t="s">
        <v>63</v>
      </c>
      <c r="I4120" t="s">
        <v>133</v>
      </c>
      <c r="J4120" t="s">
        <v>152</v>
      </c>
      <c r="L4120">
        <v>0</v>
      </c>
      <c r="M4120" t="s">
        <v>125</v>
      </c>
      <c r="O4120" t="s">
        <v>125</v>
      </c>
      <c r="P4120" t="s">
        <v>125</v>
      </c>
      <c r="Q4120" t="s">
        <v>125</v>
      </c>
      <c r="R4120" t="s">
        <v>125</v>
      </c>
      <c r="S4120" t="s">
        <v>125</v>
      </c>
      <c r="T4120">
        <v>0</v>
      </c>
      <c r="V4120" t="s">
        <v>125</v>
      </c>
      <c r="AE4120" t="s">
        <v>125</v>
      </c>
      <c r="AF4120">
        <v>0</v>
      </c>
      <c r="AG4120" t="s">
        <v>125</v>
      </c>
      <c r="AH4120">
        <v>0</v>
      </c>
      <c r="AK4120">
        <v>0</v>
      </c>
    </row>
    <row r="4121" spans="1:37" x14ac:dyDescent="0.25">
      <c r="A4121" t="s">
        <v>79</v>
      </c>
      <c r="B4121">
        <v>16</v>
      </c>
      <c r="C4121">
        <v>2</v>
      </c>
      <c r="D4121">
        <v>2</v>
      </c>
      <c r="E4121">
        <v>13</v>
      </c>
      <c r="G4121">
        <v>1622</v>
      </c>
      <c r="H4121" t="s">
        <v>63</v>
      </c>
      <c r="I4121" t="s">
        <v>135</v>
      </c>
      <c r="J4121" t="s">
        <v>153</v>
      </c>
      <c r="L4121">
        <v>0</v>
      </c>
      <c r="M4121" t="s">
        <v>125</v>
      </c>
      <c r="O4121" t="s">
        <v>125</v>
      </c>
      <c r="P4121" t="s">
        <v>125</v>
      </c>
      <c r="Q4121" t="s">
        <v>125</v>
      </c>
      <c r="R4121" t="s">
        <v>125</v>
      </c>
      <c r="S4121" t="s">
        <v>125</v>
      </c>
      <c r="T4121">
        <v>0</v>
      </c>
      <c r="V4121" t="s">
        <v>125</v>
      </c>
      <c r="AE4121" t="s">
        <v>125</v>
      </c>
      <c r="AF4121">
        <v>0</v>
      </c>
      <c r="AG4121" t="s">
        <v>125</v>
      </c>
      <c r="AH4121">
        <v>0</v>
      </c>
      <c r="AK4121">
        <v>0</v>
      </c>
    </row>
    <row r="4122" spans="1:37" x14ac:dyDescent="0.25">
      <c r="A4122" t="s">
        <v>79</v>
      </c>
      <c r="B4122">
        <v>16</v>
      </c>
      <c r="C4122">
        <v>2</v>
      </c>
      <c r="D4122">
        <v>2</v>
      </c>
      <c r="E4122">
        <v>14</v>
      </c>
      <c r="G4122">
        <v>1622</v>
      </c>
      <c r="H4122" t="s">
        <v>63</v>
      </c>
      <c r="I4122" t="s">
        <v>137</v>
      </c>
      <c r="J4122" t="s">
        <v>154</v>
      </c>
      <c r="L4122">
        <v>0</v>
      </c>
      <c r="M4122" t="s">
        <v>125</v>
      </c>
      <c r="O4122" t="s">
        <v>125</v>
      </c>
      <c r="P4122" t="s">
        <v>125</v>
      </c>
      <c r="Q4122" t="s">
        <v>125</v>
      </c>
      <c r="R4122" t="s">
        <v>125</v>
      </c>
      <c r="S4122" t="s">
        <v>125</v>
      </c>
      <c r="T4122">
        <v>0</v>
      </c>
      <c r="V4122" t="s">
        <v>125</v>
      </c>
      <c r="AE4122" t="s">
        <v>125</v>
      </c>
      <c r="AF4122">
        <v>0</v>
      </c>
      <c r="AG4122" t="s">
        <v>125</v>
      </c>
      <c r="AH4122">
        <v>0</v>
      </c>
      <c r="AK4122">
        <v>0</v>
      </c>
    </row>
    <row r="4123" spans="1:37" x14ac:dyDescent="0.25">
      <c r="A4123" t="s">
        <v>79</v>
      </c>
      <c r="B4123">
        <v>16</v>
      </c>
      <c r="C4123">
        <v>2</v>
      </c>
      <c r="D4123">
        <v>2</v>
      </c>
      <c r="E4123">
        <v>15</v>
      </c>
      <c r="G4123">
        <v>1622</v>
      </c>
      <c r="H4123" t="s">
        <v>63</v>
      </c>
      <c r="I4123" t="s">
        <v>139</v>
      </c>
      <c r="J4123" t="s">
        <v>155</v>
      </c>
      <c r="L4123">
        <v>0</v>
      </c>
      <c r="M4123" t="s">
        <v>125</v>
      </c>
      <c r="O4123" t="s">
        <v>125</v>
      </c>
      <c r="P4123" t="s">
        <v>125</v>
      </c>
      <c r="Q4123" t="s">
        <v>125</v>
      </c>
      <c r="R4123" t="s">
        <v>125</v>
      </c>
      <c r="S4123" t="s">
        <v>125</v>
      </c>
      <c r="T4123">
        <v>0</v>
      </c>
      <c r="V4123" t="s">
        <v>125</v>
      </c>
      <c r="AE4123" t="s">
        <v>125</v>
      </c>
      <c r="AF4123">
        <v>0</v>
      </c>
      <c r="AG4123" t="s">
        <v>125</v>
      </c>
      <c r="AH4123">
        <v>0</v>
      </c>
      <c r="AK4123">
        <v>0</v>
      </c>
    </row>
    <row r="4124" spans="1:37" x14ac:dyDescent="0.25">
      <c r="L4124">
        <v>0</v>
      </c>
    </row>
    <row r="4125" spans="1:37" x14ac:dyDescent="0.25">
      <c r="A4125" t="s">
        <v>70</v>
      </c>
      <c r="B4125">
        <v>16</v>
      </c>
      <c r="C4125">
        <v>2</v>
      </c>
      <c r="D4125">
        <v>3</v>
      </c>
      <c r="G4125">
        <v>162</v>
      </c>
      <c r="L4125">
        <v>0</v>
      </c>
      <c r="M4125" t="s">
        <v>125</v>
      </c>
      <c r="P4125" t="s">
        <v>125</v>
      </c>
      <c r="R4125" t="s">
        <v>125</v>
      </c>
      <c r="S4125" t="s">
        <v>63</v>
      </c>
      <c r="V4125" t="s">
        <v>125</v>
      </c>
      <c r="X4125" t="s">
        <v>125</v>
      </c>
      <c r="Y4125" t="s">
        <v>125</v>
      </c>
      <c r="Z4125" t="s">
        <v>125</v>
      </c>
      <c r="AA4125" t="s">
        <v>125</v>
      </c>
      <c r="AB4125" t="s">
        <v>125</v>
      </c>
      <c r="AC4125" t="s">
        <v>125</v>
      </c>
      <c r="AE4125" t="s">
        <v>125</v>
      </c>
      <c r="AF4125">
        <v>0</v>
      </c>
      <c r="AG4125" t="s">
        <v>125</v>
      </c>
      <c r="AH4125">
        <v>0</v>
      </c>
      <c r="AK4125">
        <v>0</v>
      </c>
    </row>
    <row r="4126" spans="1:37" x14ac:dyDescent="0.25">
      <c r="A4126" t="s">
        <v>79</v>
      </c>
      <c r="B4126">
        <v>16</v>
      </c>
      <c r="C4126">
        <v>2</v>
      </c>
      <c r="D4126">
        <v>3</v>
      </c>
      <c r="E4126">
        <v>1</v>
      </c>
      <c r="G4126">
        <v>1623</v>
      </c>
      <c r="H4126" t="s">
        <v>63</v>
      </c>
      <c r="I4126" t="s">
        <v>80</v>
      </c>
      <c r="J4126" t="s">
        <v>141</v>
      </c>
      <c r="L4126">
        <v>0</v>
      </c>
      <c r="M4126" t="s">
        <v>125</v>
      </c>
      <c r="O4126" t="s">
        <v>125</v>
      </c>
      <c r="P4126" t="s">
        <v>125</v>
      </c>
      <c r="Q4126" t="s">
        <v>125</v>
      </c>
      <c r="R4126" t="s">
        <v>125</v>
      </c>
      <c r="S4126" t="s">
        <v>125</v>
      </c>
      <c r="T4126">
        <v>0</v>
      </c>
      <c r="V4126" t="s">
        <v>125</v>
      </c>
      <c r="AE4126" t="s">
        <v>125</v>
      </c>
      <c r="AF4126">
        <v>0</v>
      </c>
      <c r="AG4126" t="s">
        <v>125</v>
      </c>
      <c r="AH4126">
        <v>0</v>
      </c>
      <c r="AK4126">
        <v>0</v>
      </c>
    </row>
    <row r="4127" spans="1:37" x14ac:dyDescent="0.25">
      <c r="A4127" t="s">
        <v>79</v>
      </c>
      <c r="B4127">
        <v>16</v>
      </c>
      <c r="C4127">
        <v>2</v>
      </c>
      <c r="D4127">
        <v>3</v>
      </c>
      <c r="E4127">
        <v>2</v>
      </c>
      <c r="G4127">
        <v>1623</v>
      </c>
      <c r="H4127" t="s">
        <v>63</v>
      </c>
      <c r="I4127" t="s">
        <v>88</v>
      </c>
      <c r="J4127" t="s">
        <v>142</v>
      </c>
      <c r="L4127">
        <v>0</v>
      </c>
      <c r="M4127" t="s">
        <v>125</v>
      </c>
      <c r="O4127" t="s">
        <v>125</v>
      </c>
      <c r="P4127" t="s">
        <v>125</v>
      </c>
      <c r="Q4127" t="s">
        <v>125</v>
      </c>
      <c r="R4127" t="s">
        <v>125</v>
      </c>
      <c r="S4127" t="s">
        <v>125</v>
      </c>
      <c r="T4127">
        <v>0</v>
      </c>
      <c r="V4127" t="s">
        <v>125</v>
      </c>
      <c r="AE4127" t="s">
        <v>125</v>
      </c>
      <c r="AF4127">
        <v>0</v>
      </c>
      <c r="AG4127" t="s">
        <v>125</v>
      </c>
      <c r="AH4127">
        <v>0</v>
      </c>
      <c r="AK4127">
        <v>0</v>
      </c>
    </row>
    <row r="4128" spans="1:37" x14ac:dyDescent="0.25">
      <c r="A4128" t="s">
        <v>79</v>
      </c>
      <c r="B4128">
        <v>16</v>
      </c>
      <c r="C4128">
        <v>2</v>
      </c>
      <c r="D4128">
        <v>3</v>
      </c>
      <c r="E4128">
        <v>3</v>
      </c>
      <c r="G4128">
        <v>1623</v>
      </c>
      <c r="H4128" t="s">
        <v>63</v>
      </c>
      <c r="I4128" t="s">
        <v>95</v>
      </c>
      <c r="J4128" t="s">
        <v>143</v>
      </c>
      <c r="L4128">
        <v>0</v>
      </c>
      <c r="M4128" t="s">
        <v>125</v>
      </c>
      <c r="O4128" t="s">
        <v>125</v>
      </c>
      <c r="P4128" t="s">
        <v>125</v>
      </c>
      <c r="Q4128" t="s">
        <v>125</v>
      </c>
      <c r="R4128" t="s">
        <v>125</v>
      </c>
      <c r="S4128" t="s">
        <v>125</v>
      </c>
      <c r="T4128">
        <v>0</v>
      </c>
      <c r="V4128" t="s">
        <v>125</v>
      </c>
      <c r="AE4128" t="s">
        <v>125</v>
      </c>
      <c r="AF4128">
        <v>0</v>
      </c>
      <c r="AG4128" t="s">
        <v>125</v>
      </c>
      <c r="AH4128">
        <v>0</v>
      </c>
      <c r="AK4128">
        <v>0</v>
      </c>
    </row>
    <row r="4129" spans="1:37" x14ac:dyDescent="0.25">
      <c r="A4129" t="s">
        <v>79</v>
      </c>
      <c r="B4129">
        <v>16</v>
      </c>
      <c r="C4129">
        <v>2</v>
      </c>
      <c r="D4129">
        <v>3</v>
      </c>
      <c r="E4129">
        <v>4</v>
      </c>
      <c r="G4129">
        <v>1623</v>
      </c>
      <c r="H4129" t="s">
        <v>63</v>
      </c>
      <c r="I4129" t="s">
        <v>102</v>
      </c>
      <c r="J4129" t="s">
        <v>144</v>
      </c>
      <c r="L4129">
        <v>0</v>
      </c>
      <c r="M4129" t="s">
        <v>125</v>
      </c>
      <c r="O4129" t="s">
        <v>125</v>
      </c>
      <c r="P4129" t="s">
        <v>125</v>
      </c>
      <c r="Q4129" t="s">
        <v>125</v>
      </c>
      <c r="R4129" t="s">
        <v>125</v>
      </c>
      <c r="S4129" t="s">
        <v>125</v>
      </c>
      <c r="T4129">
        <v>0</v>
      </c>
      <c r="V4129" t="s">
        <v>125</v>
      </c>
      <c r="AE4129" t="s">
        <v>125</v>
      </c>
      <c r="AF4129">
        <v>0</v>
      </c>
      <c r="AG4129" t="s">
        <v>125</v>
      </c>
      <c r="AH4129">
        <v>0</v>
      </c>
      <c r="AK4129">
        <v>0</v>
      </c>
    </row>
    <row r="4130" spans="1:37" x14ac:dyDescent="0.25">
      <c r="A4130" t="s">
        <v>79</v>
      </c>
      <c r="B4130">
        <v>16</v>
      </c>
      <c r="C4130">
        <v>2</v>
      </c>
      <c r="D4130">
        <v>3</v>
      </c>
      <c r="E4130">
        <v>5</v>
      </c>
      <c r="G4130">
        <v>1623</v>
      </c>
      <c r="H4130" t="s">
        <v>63</v>
      </c>
      <c r="I4130" t="s">
        <v>109</v>
      </c>
      <c r="J4130" t="s">
        <v>145</v>
      </c>
      <c r="L4130">
        <v>0</v>
      </c>
      <c r="M4130" t="s">
        <v>125</v>
      </c>
      <c r="O4130" t="s">
        <v>125</v>
      </c>
      <c r="P4130" t="s">
        <v>125</v>
      </c>
      <c r="Q4130" t="s">
        <v>125</v>
      </c>
      <c r="R4130" t="s">
        <v>125</v>
      </c>
      <c r="S4130" t="s">
        <v>125</v>
      </c>
      <c r="T4130">
        <v>0</v>
      </c>
      <c r="V4130" t="s">
        <v>125</v>
      </c>
      <c r="AE4130" t="s">
        <v>125</v>
      </c>
      <c r="AF4130">
        <v>0</v>
      </c>
      <c r="AG4130" t="s">
        <v>125</v>
      </c>
      <c r="AH4130">
        <v>0</v>
      </c>
      <c r="AK4130">
        <v>0</v>
      </c>
    </row>
    <row r="4131" spans="1:37" x14ac:dyDescent="0.25">
      <c r="A4131" t="s">
        <v>79</v>
      </c>
      <c r="B4131">
        <v>16</v>
      </c>
      <c r="C4131">
        <v>2</v>
      </c>
      <c r="D4131">
        <v>3</v>
      </c>
      <c r="E4131">
        <v>6</v>
      </c>
      <c r="G4131">
        <v>1623</v>
      </c>
      <c r="H4131" t="s">
        <v>63</v>
      </c>
      <c r="I4131" t="s">
        <v>116</v>
      </c>
      <c r="J4131" t="s">
        <v>146</v>
      </c>
      <c r="L4131">
        <v>0</v>
      </c>
      <c r="M4131" t="s">
        <v>125</v>
      </c>
      <c r="O4131" t="s">
        <v>125</v>
      </c>
      <c r="P4131" t="s">
        <v>125</v>
      </c>
      <c r="Q4131" t="s">
        <v>125</v>
      </c>
      <c r="R4131" t="s">
        <v>125</v>
      </c>
      <c r="S4131" t="s">
        <v>125</v>
      </c>
      <c r="T4131">
        <v>0</v>
      </c>
      <c r="V4131" t="s">
        <v>125</v>
      </c>
      <c r="AE4131" t="s">
        <v>125</v>
      </c>
      <c r="AF4131">
        <v>0</v>
      </c>
      <c r="AG4131" t="s">
        <v>125</v>
      </c>
      <c r="AH4131">
        <v>0</v>
      </c>
      <c r="AK4131">
        <v>0</v>
      </c>
    </row>
    <row r="4132" spans="1:37" x14ac:dyDescent="0.25">
      <c r="A4132" t="s">
        <v>79</v>
      </c>
      <c r="B4132">
        <v>16</v>
      </c>
      <c r="C4132">
        <v>2</v>
      </c>
      <c r="D4132">
        <v>3</v>
      </c>
      <c r="E4132">
        <v>7</v>
      </c>
      <c r="G4132">
        <v>1623</v>
      </c>
      <c r="H4132" t="s">
        <v>63</v>
      </c>
      <c r="I4132" t="s">
        <v>123</v>
      </c>
      <c r="J4132" t="s">
        <v>147</v>
      </c>
      <c r="L4132">
        <v>0</v>
      </c>
      <c r="M4132" t="s">
        <v>125</v>
      </c>
      <c r="O4132" t="s">
        <v>125</v>
      </c>
      <c r="P4132" t="s">
        <v>125</v>
      </c>
      <c r="Q4132" t="s">
        <v>125</v>
      </c>
      <c r="R4132" t="s">
        <v>125</v>
      </c>
      <c r="S4132" t="s">
        <v>125</v>
      </c>
      <c r="T4132">
        <v>0</v>
      </c>
      <c r="V4132" t="s">
        <v>125</v>
      </c>
      <c r="AE4132" t="s">
        <v>125</v>
      </c>
      <c r="AF4132">
        <v>0</v>
      </c>
      <c r="AG4132" t="s">
        <v>125</v>
      </c>
      <c r="AH4132">
        <v>0</v>
      </c>
      <c r="AK4132">
        <v>0</v>
      </c>
    </row>
    <row r="4133" spans="1:37" x14ac:dyDescent="0.25">
      <c r="A4133" t="s">
        <v>79</v>
      </c>
      <c r="B4133">
        <v>16</v>
      </c>
      <c r="C4133">
        <v>2</v>
      </c>
      <c r="D4133">
        <v>3</v>
      </c>
      <c r="E4133">
        <v>8</v>
      </c>
      <c r="G4133">
        <v>1623</v>
      </c>
      <c r="H4133" t="s">
        <v>63</v>
      </c>
      <c r="I4133" t="s">
        <v>126</v>
      </c>
      <c r="J4133" t="s">
        <v>148</v>
      </c>
      <c r="L4133">
        <v>0</v>
      </c>
      <c r="M4133" t="s">
        <v>125</v>
      </c>
      <c r="O4133" t="s">
        <v>125</v>
      </c>
      <c r="P4133" t="s">
        <v>125</v>
      </c>
      <c r="Q4133" t="s">
        <v>125</v>
      </c>
      <c r="R4133" t="s">
        <v>125</v>
      </c>
      <c r="S4133" t="s">
        <v>125</v>
      </c>
      <c r="T4133">
        <v>0</v>
      </c>
      <c r="V4133" t="s">
        <v>125</v>
      </c>
      <c r="AE4133" t="s">
        <v>125</v>
      </c>
      <c r="AF4133">
        <v>0</v>
      </c>
      <c r="AG4133" t="s">
        <v>125</v>
      </c>
      <c r="AH4133">
        <v>0</v>
      </c>
      <c r="AK4133">
        <v>0</v>
      </c>
    </row>
    <row r="4134" spans="1:37" x14ac:dyDescent="0.25">
      <c r="A4134" t="s">
        <v>79</v>
      </c>
      <c r="B4134">
        <v>16</v>
      </c>
      <c r="C4134">
        <v>2</v>
      </c>
      <c r="D4134">
        <v>3</v>
      </c>
      <c r="E4134">
        <v>9</v>
      </c>
      <c r="G4134">
        <v>1623</v>
      </c>
      <c r="H4134" t="s">
        <v>63</v>
      </c>
      <c r="I4134" t="s">
        <v>74</v>
      </c>
      <c r="J4134" t="s">
        <v>149</v>
      </c>
      <c r="L4134">
        <v>0</v>
      </c>
      <c r="M4134" t="s">
        <v>125</v>
      </c>
      <c r="O4134" t="s">
        <v>125</v>
      </c>
      <c r="P4134" t="s">
        <v>125</v>
      </c>
      <c r="Q4134" t="s">
        <v>125</v>
      </c>
      <c r="R4134" t="s">
        <v>125</v>
      </c>
      <c r="S4134" t="s">
        <v>125</v>
      </c>
      <c r="T4134">
        <v>0</v>
      </c>
      <c r="V4134" t="s">
        <v>125</v>
      </c>
      <c r="AE4134" t="s">
        <v>125</v>
      </c>
      <c r="AF4134">
        <v>0</v>
      </c>
      <c r="AG4134" t="s">
        <v>125</v>
      </c>
      <c r="AH4134">
        <v>0</v>
      </c>
      <c r="AK4134">
        <v>0</v>
      </c>
    </row>
    <row r="4135" spans="1:37" x14ac:dyDescent="0.25">
      <c r="A4135" t="s">
        <v>79</v>
      </c>
      <c r="B4135">
        <v>16</v>
      </c>
      <c r="C4135">
        <v>2</v>
      </c>
      <c r="D4135">
        <v>3</v>
      </c>
      <c r="E4135">
        <v>10</v>
      </c>
      <c r="G4135">
        <v>1623</v>
      </c>
      <c r="H4135" t="s">
        <v>63</v>
      </c>
      <c r="I4135" t="s">
        <v>129</v>
      </c>
      <c r="J4135" t="s">
        <v>150</v>
      </c>
      <c r="L4135">
        <v>0</v>
      </c>
      <c r="M4135" t="s">
        <v>125</v>
      </c>
      <c r="O4135" t="s">
        <v>125</v>
      </c>
      <c r="P4135" t="s">
        <v>125</v>
      </c>
      <c r="Q4135" t="s">
        <v>125</v>
      </c>
      <c r="R4135" t="s">
        <v>125</v>
      </c>
      <c r="S4135" t="s">
        <v>125</v>
      </c>
      <c r="T4135">
        <v>0</v>
      </c>
      <c r="V4135" t="s">
        <v>125</v>
      </c>
      <c r="AE4135" t="s">
        <v>125</v>
      </c>
      <c r="AF4135">
        <v>0</v>
      </c>
      <c r="AG4135" t="s">
        <v>125</v>
      </c>
      <c r="AH4135">
        <v>0</v>
      </c>
      <c r="AK4135">
        <v>0</v>
      </c>
    </row>
    <row r="4136" spans="1:37" x14ac:dyDescent="0.25">
      <c r="A4136" t="s">
        <v>79</v>
      </c>
      <c r="B4136">
        <v>16</v>
      </c>
      <c r="C4136">
        <v>2</v>
      </c>
      <c r="D4136">
        <v>3</v>
      </c>
      <c r="E4136">
        <v>11</v>
      </c>
      <c r="G4136">
        <v>1623</v>
      </c>
      <c r="H4136" t="s">
        <v>63</v>
      </c>
      <c r="I4136" t="s">
        <v>131</v>
      </c>
      <c r="J4136" t="s">
        <v>151</v>
      </c>
      <c r="L4136">
        <v>0</v>
      </c>
      <c r="M4136" t="s">
        <v>125</v>
      </c>
      <c r="O4136" t="s">
        <v>125</v>
      </c>
      <c r="P4136" t="s">
        <v>125</v>
      </c>
      <c r="Q4136" t="s">
        <v>125</v>
      </c>
      <c r="R4136" t="s">
        <v>125</v>
      </c>
      <c r="S4136" t="s">
        <v>125</v>
      </c>
      <c r="T4136">
        <v>0</v>
      </c>
      <c r="V4136" t="s">
        <v>125</v>
      </c>
      <c r="AE4136" t="s">
        <v>125</v>
      </c>
      <c r="AF4136">
        <v>0</v>
      </c>
      <c r="AG4136" t="s">
        <v>125</v>
      </c>
      <c r="AH4136">
        <v>0</v>
      </c>
      <c r="AK4136">
        <v>0</v>
      </c>
    </row>
    <row r="4137" spans="1:37" x14ac:dyDescent="0.25">
      <c r="A4137" t="s">
        <v>79</v>
      </c>
      <c r="B4137">
        <v>16</v>
      </c>
      <c r="C4137">
        <v>2</v>
      </c>
      <c r="D4137">
        <v>3</v>
      </c>
      <c r="E4137">
        <v>12</v>
      </c>
      <c r="G4137">
        <v>1623</v>
      </c>
      <c r="H4137" t="s">
        <v>63</v>
      </c>
      <c r="I4137" t="s">
        <v>133</v>
      </c>
      <c r="J4137" t="s">
        <v>152</v>
      </c>
      <c r="L4137">
        <v>0</v>
      </c>
      <c r="M4137" t="s">
        <v>125</v>
      </c>
      <c r="O4137" t="s">
        <v>125</v>
      </c>
      <c r="P4137" t="s">
        <v>125</v>
      </c>
      <c r="Q4137" t="s">
        <v>125</v>
      </c>
      <c r="R4137" t="s">
        <v>125</v>
      </c>
      <c r="S4137" t="s">
        <v>125</v>
      </c>
      <c r="T4137">
        <v>0</v>
      </c>
      <c r="V4137" t="s">
        <v>125</v>
      </c>
      <c r="AE4137" t="s">
        <v>125</v>
      </c>
      <c r="AF4137">
        <v>0</v>
      </c>
      <c r="AG4137" t="s">
        <v>125</v>
      </c>
      <c r="AH4137">
        <v>0</v>
      </c>
      <c r="AK4137">
        <v>0</v>
      </c>
    </row>
    <row r="4138" spans="1:37" x14ac:dyDescent="0.25">
      <c r="A4138" t="s">
        <v>79</v>
      </c>
      <c r="B4138">
        <v>16</v>
      </c>
      <c r="C4138">
        <v>2</v>
      </c>
      <c r="D4138">
        <v>3</v>
      </c>
      <c r="E4138">
        <v>13</v>
      </c>
      <c r="G4138">
        <v>1623</v>
      </c>
      <c r="H4138" t="s">
        <v>63</v>
      </c>
      <c r="I4138" t="s">
        <v>135</v>
      </c>
      <c r="J4138" t="s">
        <v>153</v>
      </c>
      <c r="L4138">
        <v>0</v>
      </c>
      <c r="M4138" t="s">
        <v>125</v>
      </c>
      <c r="O4138" t="s">
        <v>125</v>
      </c>
      <c r="P4138" t="s">
        <v>125</v>
      </c>
      <c r="Q4138" t="s">
        <v>125</v>
      </c>
      <c r="R4138" t="s">
        <v>125</v>
      </c>
      <c r="S4138" t="s">
        <v>125</v>
      </c>
      <c r="T4138">
        <v>0</v>
      </c>
      <c r="V4138" t="s">
        <v>125</v>
      </c>
      <c r="AE4138" t="s">
        <v>125</v>
      </c>
      <c r="AF4138">
        <v>0</v>
      </c>
      <c r="AG4138" t="s">
        <v>125</v>
      </c>
      <c r="AH4138">
        <v>0</v>
      </c>
      <c r="AK4138">
        <v>0</v>
      </c>
    </row>
    <row r="4139" spans="1:37" x14ac:dyDescent="0.25">
      <c r="A4139" t="s">
        <v>79</v>
      </c>
      <c r="B4139">
        <v>16</v>
      </c>
      <c r="C4139">
        <v>2</v>
      </c>
      <c r="D4139">
        <v>3</v>
      </c>
      <c r="E4139">
        <v>14</v>
      </c>
      <c r="G4139">
        <v>1623</v>
      </c>
      <c r="H4139" t="s">
        <v>63</v>
      </c>
      <c r="I4139" t="s">
        <v>137</v>
      </c>
      <c r="J4139" t="s">
        <v>154</v>
      </c>
      <c r="L4139">
        <v>0</v>
      </c>
      <c r="M4139" t="s">
        <v>125</v>
      </c>
      <c r="O4139" t="s">
        <v>125</v>
      </c>
      <c r="P4139" t="s">
        <v>125</v>
      </c>
      <c r="Q4139" t="s">
        <v>125</v>
      </c>
      <c r="R4139" t="s">
        <v>125</v>
      </c>
      <c r="S4139" t="s">
        <v>125</v>
      </c>
      <c r="T4139">
        <v>0</v>
      </c>
      <c r="V4139" t="s">
        <v>125</v>
      </c>
      <c r="AE4139" t="s">
        <v>125</v>
      </c>
      <c r="AF4139">
        <v>0</v>
      </c>
      <c r="AG4139" t="s">
        <v>125</v>
      </c>
      <c r="AH4139">
        <v>0</v>
      </c>
      <c r="AK4139">
        <v>0</v>
      </c>
    </row>
    <row r="4140" spans="1:37" x14ac:dyDescent="0.25">
      <c r="A4140" t="s">
        <v>79</v>
      </c>
      <c r="B4140">
        <v>16</v>
      </c>
      <c r="C4140">
        <v>2</v>
      </c>
      <c r="D4140">
        <v>3</v>
      </c>
      <c r="E4140">
        <v>15</v>
      </c>
      <c r="G4140">
        <v>1623</v>
      </c>
      <c r="H4140" t="s">
        <v>63</v>
      </c>
      <c r="I4140" t="s">
        <v>139</v>
      </c>
      <c r="J4140" t="s">
        <v>155</v>
      </c>
      <c r="L4140">
        <v>0</v>
      </c>
      <c r="M4140" t="s">
        <v>125</v>
      </c>
      <c r="O4140" t="s">
        <v>125</v>
      </c>
      <c r="P4140" t="s">
        <v>125</v>
      </c>
      <c r="Q4140" t="s">
        <v>125</v>
      </c>
      <c r="R4140" t="s">
        <v>125</v>
      </c>
      <c r="S4140" t="s">
        <v>125</v>
      </c>
      <c r="T4140">
        <v>0</v>
      </c>
      <c r="V4140" t="s">
        <v>125</v>
      </c>
      <c r="AE4140" t="s">
        <v>125</v>
      </c>
      <c r="AF4140">
        <v>0</v>
      </c>
      <c r="AG4140" t="s">
        <v>125</v>
      </c>
      <c r="AH4140">
        <v>0</v>
      </c>
      <c r="AK4140">
        <v>0</v>
      </c>
    </row>
    <row r="4141" spans="1:37" x14ac:dyDescent="0.25">
      <c r="L4141">
        <v>0</v>
      </c>
    </row>
    <row r="4142" spans="1:37" x14ac:dyDescent="0.25">
      <c r="A4142" t="s">
        <v>70</v>
      </c>
      <c r="B4142">
        <v>16</v>
      </c>
      <c r="C4142">
        <v>2</v>
      </c>
      <c r="D4142">
        <v>4</v>
      </c>
      <c r="G4142">
        <v>162</v>
      </c>
      <c r="L4142">
        <v>0</v>
      </c>
      <c r="M4142" t="s">
        <v>125</v>
      </c>
      <c r="P4142" t="s">
        <v>125</v>
      </c>
      <c r="R4142" t="s">
        <v>125</v>
      </c>
      <c r="S4142" t="s">
        <v>63</v>
      </c>
      <c r="V4142" t="s">
        <v>125</v>
      </c>
      <c r="X4142" t="s">
        <v>125</v>
      </c>
      <c r="Y4142" t="s">
        <v>125</v>
      </c>
      <c r="Z4142" t="s">
        <v>125</v>
      </c>
      <c r="AA4142" t="s">
        <v>125</v>
      </c>
      <c r="AB4142" t="s">
        <v>125</v>
      </c>
      <c r="AC4142" t="s">
        <v>125</v>
      </c>
      <c r="AE4142" t="s">
        <v>125</v>
      </c>
      <c r="AF4142">
        <v>0</v>
      </c>
      <c r="AG4142" t="s">
        <v>125</v>
      </c>
      <c r="AH4142">
        <v>0</v>
      </c>
      <c r="AK4142">
        <v>0</v>
      </c>
    </row>
    <row r="4143" spans="1:37" x14ac:dyDescent="0.25">
      <c r="A4143" t="s">
        <v>79</v>
      </c>
      <c r="B4143">
        <v>16</v>
      </c>
      <c r="C4143">
        <v>2</v>
      </c>
      <c r="D4143">
        <v>4</v>
      </c>
      <c r="E4143">
        <v>1</v>
      </c>
      <c r="G4143">
        <v>1624</v>
      </c>
      <c r="H4143" t="s">
        <v>63</v>
      </c>
      <c r="I4143" t="s">
        <v>80</v>
      </c>
      <c r="J4143" t="s">
        <v>141</v>
      </c>
      <c r="L4143">
        <v>0</v>
      </c>
      <c r="M4143" t="s">
        <v>125</v>
      </c>
      <c r="O4143" t="s">
        <v>125</v>
      </c>
      <c r="P4143" t="s">
        <v>125</v>
      </c>
      <c r="Q4143" t="s">
        <v>125</v>
      </c>
      <c r="R4143" t="s">
        <v>125</v>
      </c>
      <c r="S4143" t="s">
        <v>125</v>
      </c>
      <c r="T4143">
        <v>0</v>
      </c>
      <c r="V4143" t="s">
        <v>125</v>
      </c>
      <c r="AE4143" t="s">
        <v>125</v>
      </c>
      <c r="AF4143">
        <v>0</v>
      </c>
      <c r="AG4143" t="s">
        <v>125</v>
      </c>
      <c r="AH4143">
        <v>0</v>
      </c>
      <c r="AK4143">
        <v>0</v>
      </c>
    </row>
    <row r="4144" spans="1:37" x14ac:dyDescent="0.25">
      <c r="A4144" t="s">
        <v>79</v>
      </c>
      <c r="B4144">
        <v>16</v>
      </c>
      <c r="C4144">
        <v>2</v>
      </c>
      <c r="D4144">
        <v>4</v>
      </c>
      <c r="E4144">
        <v>2</v>
      </c>
      <c r="G4144">
        <v>1624</v>
      </c>
      <c r="H4144" t="s">
        <v>63</v>
      </c>
      <c r="I4144" t="s">
        <v>88</v>
      </c>
      <c r="J4144" t="s">
        <v>142</v>
      </c>
      <c r="L4144">
        <v>0</v>
      </c>
      <c r="M4144" t="s">
        <v>125</v>
      </c>
      <c r="O4144" t="s">
        <v>125</v>
      </c>
      <c r="P4144" t="s">
        <v>125</v>
      </c>
      <c r="Q4144" t="s">
        <v>125</v>
      </c>
      <c r="R4144" t="s">
        <v>125</v>
      </c>
      <c r="S4144" t="s">
        <v>125</v>
      </c>
      <c r="T4144">
        <v>0</v>
      </c>
      <c r="V4144" t="s">
        <v>125</v>
      </c>
      <c r="AE4144" t="s">
        <v>125</v>
      </c>
      <c r="AF4144">
        <v>0</v>
      </c>
      <c r="AG4144" t="s">
        <v>125</v>
      </c>
      <c r="AH4144">
        <v>0</v>
      </c>
      <c r="AK4144">
        <v>0</v>
      </c>
    </row>
    <row r="4145" spans="1:37" x14ac:dyDescent="0.25">
      <c r="A4145" t="s">
        <v>79</v>
      </c>
      <c r="B4145">
        <v>16</v>
      </c>
      <c r="C4145">
        <v>2</v>
      </c>
      <c r="D4145">
        <v>4</v>
      </c>
      <c r="E4145">
        <v>3</v>
      </c>
      <c r="G4145">
        <v>1624</v>
      </c>
      <c r="H4145" t="s">
        <v>63</v>
      </c>
      <c r="I4145" t="s">
        <v>95</v>
      </c>
      <c r="J4145" t="s">
        <v>143</v>
      </c>
      <c r="L4145">
        <v>0</v>
      </c>
      <c r="M4145" t="s">
        <v>125</v>
      </c>
      <c r="O4145" t="s">
        <v>125</v>
      </c>
      <c r="P4145" t="s">
        <v>125</v>
      </c>
      <c r="Q4145" t="s">
        <v>125</v>
      </c>
      <c r="R4145" t="s">
        <v>125</v>
      </c>
      <c r="S4145" t="s">
        <v>125</v>
      </c>
      <c r="T4145">
        <v>0</v>
      </c>
      <c r="V4145" t="s">
        <v>125</v>
      </c>
      <c r="AE4145" t="s">
        <v>125</v>
      </c>
      <c r="AF4145">
        <v>0</v>
      </c>
      <c r="AG4145" t="s">
        <v>125</v>
      </c>
      <c r="AH4145">
        <v>0</v>
      </c>
      <c r="AK4145">
        <v>0</v>
      </c>
    </row>
    <row r="4146" spans="1:37" x14ac:dyDescent="0.25">
      <c r="A4146" t="s">
        <v>79</v>
      </c>
      <c r="B4146">
        <v>16</v>
      </c>
      <c r="C4146">
        <v>2</v>
      </c>
      <c r="D4146">
        <v>4</v>
      </c>
      <c r="E4146">
        <v>4</v>
      </c>
      <c r="G4146">
        <v>1624</v>
      </c>
      <c r="H4146" t="s">
        <v>63</v>
      </c>
      <c r="I4146" t="s">
        <v>102</v>
      </c>
      <c r="J4146" t="s">
        <v>144</v>
      </c>
      <c r="L4146">
        <v>0</v>
      </c>
      <c r="M4146" t="s">
        <v>125</v>
      </c>
      <c r="O4146" t="s">
        <v>125</v>
      </c>
      <c r="P4146" t="s">
        <v>125</v>
      </c>
      <c r="Q4146" t="s">
        <v>125</v>
      </c>
      <c r="R4146" t="s">
        <v>125</v>
      </c>
      <c r="S4146" t="s">
        <v>125</v>
      </c>
      <c r="T4146">
        <v>0</v>
      </c>
      <c r="V4146" t="s">
        <v>125</v>
      </c>
      <c r="AE4146" t="s">
        <v>125</v>
      </c>
      <c r="AF4146">
        <v>0</v>
      </c>
      <c r="AG4146" t="s">
        <v>125</v>
      </c>
      <c r="AH4146">
        <v>0</v>
      </c>
      <c r="AK4146">
        <v>0</v>
      </c>
    </row>
    <row r="4147" spans="1:37" x14ac:dyDescent="0.25">
      <c r="A4147" t="s">
        <v>79</v>
      </c>
      <c r="B4147">
        <v>16</v>
      </c>
      <c r="C4147">
        <v>2</v>
      </c>
      <c r="D4147">
        <v>4</v>
      </c>
      <c r="E4147">
        <v>5</v>
      </c>
      <c r="G4147">
        <v>1624</v>
      </c>
      <c r="H4147" t="s">
        <v>63</v>
      </c>
      <c r="I4147" t="s">
        <v>109</v>
      </c>
      <c r="J4147" t="s">
        <v>145</v>
      </c>
      <c r="L4147">
        <v>0</v>
      </c>
      <c r="M4147" t="s">
        <v>125</v>
      </c>
      <c r="O4147" t="s">
        <v>125</v>
      </c>
      <c r="P4147" t="s">
        <v>125</v>
      </c>
      <c r="Q4147" t="s">
        <v>125</v>
      </c>
      <c r="R4147" t="s">
        <v>125</v>
      </c>
      <c r="S4147" t="s">
        <v>125</v>
      </c>
      <c r="T4147">
        <v>0</v>
      </c>
      <c r="V4147" t="s">
        <v>125</v>
      </c>
      <c r="AE4147" t="s">
        <v>125</v>
      </c>
      <c r="AF4147">
        <v>0</v>
      </c>
      <c r="AG4147" t="s">
        <v>125</v>
      </c>
      <c r="AH4147">
        <v>0</v>
      </c>
      <c r="AK4147">
        <v>0</v>
      </c>
    </row>
    <row r="4148" spans="1:37" x14ac:dyDescent="0.25">
      <c r="A4148" t="s">
        <v>79</v>
      </c>
      <c r="B4148">
        <v>16</v>
      </c>
      <c r="C4148">
        <v>2</v>
      </c>
      <c r="D4148">
        <v>4</v>
      </c>
      <c r="E4148">
        <v>6</v>
      </c>
      <c r="G4148">
        <v>1624</v>
      </c>
      <c r="H4148" t="s">
        <v>63</v>
      </c>
      <c r="I4148" t="s">
        <v>116</v>
      </c>
      <c r="J4148" t="s">
        <v>146</v>
      </c>
      <c r="L4148">
        <v>0</v>
      </c>
      <c r="M4148" t="s">
        <v>125</v>
      </c>
      <c r="O4148" t="s">
        <v>125</v>
      </c>
      <c r="P4148" t="s">
        <v>125</v>
      </c>
      <c r="Q4148" t="s">
        <v>125</v>
      </c>
      <c r="R4148" t="s">
        <v>125</v>
      </c>
      <c r="S4148" t="s">
        <v>125</v>
      </c>
      <c r="T4148">
        <v>0</v>
      </c>
      <c r="V4148" t="s">
        <v>125</v>
      </c>
      <c r="AE4148" t="s">
        <v>125</v>
      </c>
      <c r="AF4148">
        <v>0</v>
      </c>
      <c r="AG4148" t="s">
        <v>125</v>
      </c>
      <c r="AH4148">
        <v>0</v>
      </c>
      <c r="AK4148">
        <v>0</v>
      </c>
    </row>
    <row r="4149" spans="1:37" x14ac:dyDescent="0.25">
      <c r="A4149" t="s">
        <v>79</v>
      </c>
      <c r="B4149">
        <v>16</v>
      </c>
      <c r="C4149">
        <v>2</v>
      </c>
      <c r="D4149">
        <v>4</v>
      </c>
      <c r="E4149">
        <v>7</v>
      </c>
      <c r="G4149">
        <v>1624</v>
      </c>
      <c r="H4149" t="s">
        <v>63</v>
      </c>
      <c r="I4149" t="s">
        <v>123</v>
      </c>
      <c r="J4149" t="s">
        <v>147</v>
      </c>
      <c r="L4149">
        <v>0</v>
      </c>
      <c r="M4149" t="s">
        <v>125</v>
      </c>
      <c r="O4149" t="s">
        <v>125</v>
      </c>
      <c r="P4149" t="s">
        <v>125</v>
      </c>
      <c r="Q4149" t="s">
        <v>125</v>
      </c>
      <c r="R4149" t="s">
        <v>125</v>
      </c>
      <c r="S4149" t="s">
        <v>125</v>
      </c>
      <c r="T4149">
        <v>0</v>
      </c>
      <c r="V4149" t="s">
        <v>125</v>
      </c>
      <c r="AE4149" t="s">
        <v>125</v>
      </c>
      <c r="AF4149">
        <v>0</v>
      </c>
      <c r="AG4149" t="s">
        <v>125</v>
      </c>
      <c r="AH4149">
        <v>0</v>
      </c>
      <c r="AK4149">
        <v>0</v>
      </c>
    </row>
    <row r="4150" spans="1:37" x14ac:dyDescent="0.25">
      <c r="A4150" t="s">
        <v>79</v>
      </c>
      <c r="B4150">
        <v>16</v>
      </c>
      <c r="C4150">
        <v>2</v>
      </c>
      <c r="D4150">
        <v>4</v>
      </c>
      <c r="E4150">
        <v>8</v>
      </c>
      <c r="G4150">
        <v>1624</v>
      </c>
      <c r="H4150" t="s">
        <v>63</v>
      </c>
      <c r="I4150" t="s">
        <v>126</v>
      </c>
      <c r="J4150" t="s">
        <v>148</v>
      </c>
      <c r="L4150">
        <v>0</v>
      </c>
      <c r="M4150" t="s">
        <v>125</v>
      </c>
      <c r="O4150" t="s">
        <v>125</v>
      </c>
      <c r="P4150" t="s">
        <v>125</v>
      </c>
      <c r="Q4150" t="s">
        <v>125</v>
      </c>
      <c r="R4150" t="s">
        <v>125</v>
      </c>
      <c r="S4150" t="s">
        <v>125</v>
      </c>
      <c r="T4150">
        <v>0</v>
      </c>
      <c r="V4150" t="s">
        <v>125</v>
      </c>
      <c r="AE4150" t="s">
        <v>125</v>
      </c>
      <c r="AF4150">
        <v>0</v>
      </c>
      <c r="AG4150" t="s">
        <v>125</v>
      </c>
      <c r="AH4150">
        <v>0</v>
      </c>
      <c r="AK4150">
        <v>0</v>
      </c>
    </row>
    <row r="4151" spans="1:37" x14ac:dyDescent="0.25">
      <c r="A4151" t="s">
        <v>79</v>
      </c>
      <c r="B4151">
        <v>16</v>
      </c>
      <c r="C4151">
        <v>2</v>
      </c>
      <c r="D4151">
        <v>4</v>
      </c>
      <c r="E4151">
        <v>9</v>
      </c>
      <c r="G4151">
        <v>1624</v>
      </c>
      <c r="H4151" t="s">
        <v>63</v>
      </c>
      <c r="I4151" t="s">
        <v>74</v>
      </c>
      <c r="J4151" t="s">
        <v>149</v>
      </c>
      <c r="L4151">
        <v>0</v>
      </c>
      <c r="M4151" t="s">
        <v>125</v>
      </c>
      <c r="O4151" t="s">
        <v>125</v>
      </c>
      <c r="P4151" t="s">
        <v>125</v>
      </c>
      <c r="Q4151" t="s">
        <v>125</v>
      </c>
      <c r="R4151" t="s">
        <v>125</v>
      </c>
      <c r="S4151" t="s">
        <v>125</v>
      </c>
      <c r="T4151">
        <v>0</v>
      </c>
      <c r="V4151" t="s">
        <v>125</v>
      </c>
      <c r="AE4151" t="s">
        <v>125</v>
      </c>
      <c r="AF4151">
        <v>0</v>
      </c>
      <c r="AG4151" t="s">
        <v>125</v>
      </c>
      <c r="AH4151">
        <v>0</v>
      </c>
      <c r="AK4151">
        <v>0</v>
      </c>
    </row>
    <row r="4152" spans="1:37" x14ac:dyDescent="0.25">
      <c r="A4152" t="s">
        <v>79</v>
      </c>
      <c r="B4152">
        <v>16</v>
      </c>
      <c r="C4152">
        <v>2</v>
      </c>
      <c r="D4152">
        <v>4</v>
      </c>
      <c r="E4152">
        <v>10</v>
      </c>
      <c r="G4152">
        <v>1624</v>
      </c>
      <c r="H4152" t="s">
        <v>63</v>
      </c>
      <c r="I4152" t="s">
        <v>129</v>
      </c>
      <c r="J4152" t="s">
        <v>150</v>
      </c>
      <c r="L4152">
        <v>0</v>
      </c>
      <c r="M4152" t="s">
        <v>125</v>
      </c>
      <c r="O4152" t="s">
        <v>125</v>
      </c>
      <c r="P4152" t="s">
        <v>125</v>
      </c>
      <c r="Q4152" t="s">
        <v>125</v>
      </c>
      <c r="R4152" t="s">
        <v>125</v>
      </c>
      <c r="S4152" t="s">
        <v>125</v>
      </c>
      <c r="T4152">
        <v>0</v>
      </c>
      <c r="V4152" t="s">
        <v>125</v>
      </c>
      <c r="AE4152" t="s">
        <v>125</v>
      </c>
      <c r="AF4152">
        <v>0</v>
      </c>
      <c r="AG4152" t="s">
        <v>125</v>
      </c>
      <c r="AH4152">
        <v>0</v>
      </c>
      <c r="AK4152">
        <v>0</v>
      </c>
    </row>
    <row r="4153" spans="1:37" x14ac:dyDescent="0.25">
      <c r="A4153" t="s">
        <v>79</v>
      </c>
      <c r="B4153">
        <v>16</v>
      </c>
      <c r="C4153">
        <v>2</v>
      </c>
      <c r="D4153">
        <v>4</v>
      </c>
      <c r="E4153">
        <v>11</v>
      </c>
      <c r="G4153">
        <v>1624</v>
      </c>
      <c r="H4153" t="s">
        <v>63</v>
      </c>
      <c r="I4153" t="s">
        <v>131</v>
      </c>
      <c r="J4153" t="s">
        <v>151</v>
      </c>
      <c r="L4153">
        <v>0</v>
      </c>
      <c r="M4153" t="s">
        <v>125</v>
      </c>
      <c r="O4153" t="s">
        <v>125</v>
      </c>
      <c r="P4153" t="s">
        <v>125</v>
      </c>
      <c r="Q4153" t="s">
        <v>125</v>
      </c>
      <c r="R4153" t="s">
        <v>125</v>
      </c>
      <c r="S4153" t="s">
        <v>125</v>
      </c>
      <c r="T4153">
        <v>0</v>
      </c>
      <c r="V4153" t="s">
        <v>125</v>
      </c>
      <c r="AE4153" t="s">
        <v>125</v>
      </c>
      <c r="AF4153">
        <v>0</v>
      </c>
      <c r="AG4153" t="s">
        <v>125</v>
      </c>
      <c r="AH4153">
        <v>0</v>
      </c>
      <c r="AK4153">
        <v>0</v>
      </c>
    </row>
    <row r="4154" spans="1:37" x14ac:dyDescent="0.25">
      <c r="A4154" t="s">
        <v>79</v>
      </c>
      <c r="B4154">
        <v>16</v>
      </c>
      <c r="C4154">
        <v>2</v>
      </c>
      <c r="D4154">
        <v>4</v>
      </c>
      <c r="E4154">
        <v>12</v>
      </c>
      <c r="G4154">
        <v>1624</v>
      </c>
      <c r="H4154" t="s">
        <v>63</v>
      </c>
      <c r="I4154" t="s">
        <v>133</v>
      </c>
      <c r="J4154" t="s">
        <v>152</v>
      </c>
      <c r="L4154">
        <v>0</v>
      </c>
      <c r="M4154" t="s">
        <v>125</v>
      </c>
      <c r="O4154" t="s">
        <v>125</v>
      </c>
      <c r="P4154" t="s">
        <v>125</v>
      </c>
      <c r="Q4154" t="s">
        <v>125</v>
      </c>
      <c r="R4154" t="s">
        <v>125</v>
      </c>
      <c r="S4154" t="s">
        <v>125</v>
      </c>
      <c r="T4154">
        <v>0</v>
      </c>
      <c r="V4154" t="s">
        <v>125</v>
      </c>
      <c r="AE4154" t="s">
        <v>125</v>
      </c>
      <c r="AF4154">
        <v>0</v>
      </c>
      <c r="AG4154" t="s">
        <v>125</v>
      </c>
      <c r="AH4154">
        <v>0</v>
      </c>
      <c r="AK4154">
        <v>0</v>
      </c>
    </row>
    <row r="4155" spans="1:37" x14ac:dyDescent="0.25">
      <c r="A4155" t="s">
        <v>79</v>
      </c>
      <c r="B4155">
        <v>16</v>
      </c>
      <c r="C4155">
        <v>2</v>
      </c>
      <c r="D4155">
        <v>4</v>
      </c>
      <c r="E4155">
        <v>13</v>
      </c>
      <c r="G4155">
        <v>1624</v>
      </c>
      <c r="H4155" t="s">
        <v>63</v>
      </c>
      <c r="I4155" t="s">
        <v>135</v>
      </c>
      <c r="J4155" t="s">
        <v>153</v>
      </c>
      <c r="L4155">
        <v>0</v>
      </c>
      <c r="M4155" t="s">
        <v>125</v>
      </c>
      <c r="O4155" t="s">
        <v>125</v>
      </c>
      <c r="P4155" t="s">
        <v>125</v>
      </c>
      <c r="Q4155" t="s">
        <v>125</v>
      </c>
      <c r="R4155" t="s">
        <v>125</v>
      </c>
      <c r="S4155" t="s">
        <v>125</v>
      </c>
      <c r="T4155">
        <v>0</v>
      </c>
      <c r="V4155" t="s">
        <v>125</v>
      </c>
      <c r="AE4155" t="s">
        <v>125</v>
      </c>
      <c r="AF4155">
        <v>0</v>
      </c>
      <c r="AG4155" t="s">
        <v>125</v>
      </c>
      <c r="AH4155">
        <v>0</v>
      </c>
      <c r="AK4155">
        <v>0</v>
      </c>
    </row>
    <row r="4156" spans="1:37" x14ac:dyDescent="0.25">
      <c r="A4156" t="s">
        <v>79</v>
      </c>
      <c r="B4156">
        <v>16</v>
      </c>
      <c r="C4156">
        <v>2</v>
      </c>
      <c r="D4156">
        <v>4</v>
      </c>
      <c r="E4156">
        <v>14</v>
      </c>
      <c r="G4156">
        <v>1624</v>
      </c>
      <c r="H4156" t="s">
        <v>63</v>
      </c>
      <c r="I4156" t="s">
        <v>137</v>
      </c>
      <c r="J4156" t="s">
        <v>154</v>
      </c>
      <c r="L4156">
        <v>0</v>
      </c>
      <c r="M4156" t="s">
        <v>125</v>
      </c>
      <c r="O4156" t="s">
        <v>125</v>
      </c>
      <c r="P4156" t="s">
        <v>125</v>
      </c>
      <c r="Q4156" t="s">
        <v>125</v>
      </c>
      <c r="R4156" t="s">
        <v>125</v>
      </c>
      <c r="S4156" t="s">
        <v>125</v>
      </c>
      <c r="T4156">
        <v>0</v>
      </c>
      <c r="V4156" t="s">
        <v>125</v>
      </c>
      <c r="AE4156" t="s">
        <v>125</v>
      </c>
      <c r="AF4156">
        <v>0</v>
      </c>
      <c r="AG4156" t="s">
        <v>125</v>
      </c>
      <c r="AH4156">
        <v>0</v>
      </c>
      <c r="AK4156">
        <v>0</v>
      </c>
    </row>
    <row r="4157" spans="1:37" x14ac:dyDescent="0.25">
      <c r="A4157" t="s">
        <v>79</v>
      </c>
      <c r="B4157">
        <v>16</v>
      </c>
      <c r="C4157">
        <v>2</v>
      </c>
      <c r="D4157">
        <v>4</v>
      </c>
      <c r="E4157">
        <v>15</v>
      </c>
      <c r="G4157">
        <v>1624</v>
      </c>
      <c r="H4157" t="s">
        <v>63</v>
      </c>
      <c r="I4157" t="s">
        <v>139</v>
      </c>
      <c r="J4157" t="s">
        <v>155</v>
      </c>
      <c r="L4157">
        <v>0</v>
      </c>
      <c r="M4157" t="s">
        <v>125</v>
      </c>
      <c r="O4157" t="s">
        <v>125</v>
      </c>
      <c r="P4157" t="s">
        <v>125</v>
      </c>
      <c r="Q4157" t="s">
        <v>125</v>
      </c>
      <c r="R4157" t="s">
        <v>125</v>
      </c>
      <c r="S4157" t="s">
        <v>125</v>
      </c>
      <c r="T4157">
        <v>0</v>
      </c>
      <c r="V4157" t="s">
        <v>125</v>
      </c>
      <c r="AE4157" t="s">
        <v>125</v>
      </c>
      <c r="AF4157">
        <v>0</v>
      </c>
      <c r="AG4157" t="s">
        <v>125</v>
      </c>
      <c r="AH4157">
        <v>0</v>
      </c>
      <c r="AK4157">
        <v>0</v>
      </c>
    </row>
    <row r="4158" spans="1:37" x14ac:dyDescent="0.25">
      <c r="L4158">
        <v>0</v>
      </c>
    </row>
    <row r="4159" spans="1:37" x14ac:dyDescent="0.25">
      <c r="A4159" t="s">
        <v>70</v>
      </c>
      <c r="B4159">
        <v>16</v>
      </c>
      <c r="C4159">
        <v>2</v>
      </c>
      <c r="D4159">
        <v>5</v>
      </c>
      <c r="G4159">
        <v>162</v>
      </c>
      <c r="L4159">
        <v>0</v>
      </c>
      <c r="M4159" t="s">
        <v>125</v>
      </c>
      <c r="P4159" t="s">
        <v>125</v>
      </c>
      <c r="R4159" t="s">
        <v>125</v>
      </c>
      <c r="S4159" t="s">
        <v>63</v>
      </c>
      <c r="V4159" t="s">
        <v>125</v>
      </c>
      <c r="X4159" t="s">
        <v>125</v>
      </c>
      <c r="Y4159" t="s">
        <v>125</v>
      </c>
      <c r="Z4159" t="s">
        <v>125</v>
      </c>
      <c r="AA4159" t="s">
        <v>125</v>
      </c>
      <c r="AB4159" t="s">
        <v>125</v>
      </c>
      <c r="AC4159" t="s">
        <v>125</v>
      </c>
      <c r="AE4159" t="s">
        <v>125</v>
      </c>
      <c r="AF4159">
        <v>0</v>
      </c>
      <c r="AG4159" t="s">
        <v>125</v>
      </c>
      <c r="AH4159">
        <v>0</v>
      </c>
      <c r="AK4159">
        <v>0</v>
      </c>
    </row>
    <row r="4160" spans="1:37" x14ac:dyDescent="0.25">
      <c r="A4160" t="s">
        <v>79</v>
      </c>
      <c r="B4160">
        <v>16</v>
      </c>
      <c r="C4160">
        <v>2</v>
      </c>
      <c r="D4160">
        <v>5</v>
      </c>
      <c r="E4160">
        <v>1</v>
      </c>
      <c r="G4160">
        <v>1625</v>
      </c>
      <c r="H4160" t="s">
        <v>63</v>
      </c>
      <c r="I4160" t="s">
        <v>80</v>
      </c>
      <c r="J4160" t="s">
        <v>141</v>
      </c>
      <c r="L4160">
        <v>0</v>
      </c>
      <c r="M4160" t="s">
        <v>125</v>
      </c>
      <c r="O4160" t="s">
        <v>125</v>
      </c>
      <c r="P4160" t="s">
        <v>125</v>
      </c>
      <c r="Q4160" t="s">
        <v>125</v>
      </c>
      <c r="R4160" t="s">
        <v>125</v>
      </c>
      <c r="S4160" t="s">
        <v>125</v>
      </c>
      <c r="T4160">
        <v>0</v>
      </c>
      <c r="V4160" t="s">
        <v>125</v>
      </c>
      <c r="AE4160" t="s">
        <v>125</v>
      </c>
      <c r="AF4160">
        <v>0</v>
      </c>
      <c r="AG4160" t="s">
        <v>125</v>
      </c>
      <c r="AH4160">
        <v>0</v>
      </c>
      <c r="AK4160">
        <v>0</v>
      </c>
    </row>
    <row r="4161" spans="1:37" x14ac:dyDescent="0.25">
      <c r="A4161" t="s">
        <v>79</v>
      </c>
      <c r="B4161">
        <v>16</v>
      </c>
      <c r="C4161">
        <v>2</v>
      </c>
      <c r="D4161">
        <v>5</v>
      </c>
      <c r="E4161">
        <v>2</v>
      </c>
      <c r="G4161">
        <v>1625</v>
      </c>
      <c r="H4161" t="s">
        <v>63</v>
      </c>
      <c r="I4161" t="s">
        <v>88</v>
      </c>
      <c r="J4161" t="s">
        <v>142</v>
      </c>
      <c r="L4161">
        <v>0</v>
      </c>
      <c r="M4161" t="s">
        <v>125</v>
      </c>
      <c r="O4161" t="s">
        <v>125</v>
      </c>
      <c r="P4161" t="s">
        <v>125</v>
      </c>
      <c r="Q4161" t="s">
        <v>125</v>
      </c>
      <c r="R4161" t="s">
        <v>125</v>
      </c>
      <c r="S4161" t="s">
        <v>125</v>
      </c>
      <c r="T4161">
        <v>0</v>
      </c>
      <c r="V4161" t="s">
        <v>125</v>
      </c>
      <c r="AE4161" t="s">
        <v>125</v>
      </c>
      <c r="AF4161">
        <v>0</v>
      </c>
      <c r="AG4161" t="s">
        <v>125</v>
      </c>
      <c r="AH4161">
        <v>0</v>
      </c>
      <c r="AK4161">
        <v>0</v>
      </c>
    </row>
    <row r="4162" spans="1:37" x14ac:dyDescent="0.25">
      <c r="A4162" t="s">
        <v>79</v>
      </c>
      <c r="B4162">
        <v>16</v>
      </c>
      <c r="C4162">
        <v>2</v>
      </c>
      <c r="D4162">
        <v>5</v>
      </c>
      <c r="E4162">
        <v>3</v>
      </c>
      <c r="G4162">
        <v>1625</v>
      </c>
      <c r="H4162" t="s">
        <v>63</v>
      </c>
      <c r="I4162" t="s">
        <v>95</v>
      </c>
      <c r="J4162" t="s">
        <v>143</v>
      </c>
      <c r="L4162">
        <v>0</v>
      </c>
      <c r="M4162" t="s">
        <v>125</v>
      </c>
      <c r="O4162" t="s">
        <v>125</v>
      </c>
      <c r="P4162" t="s">
        <v>125</v>
      </c>
      <c r="Q4162" t="s">
        <v>125</v>
      </c>
      <c r="R4162" t="s">
        <v>125</v>
      </c>
      <c r="S4162" t="s">
        <v>125</v>
      </c>
      <c r="T4162">
        <v>0</v>
      </c>
      <c r="V4162" t="s">
        <v>125</v>
      </c>
      <c r="AE4162" t="s">
        <v>125</v>
      </c>
      <c r="AF4162">
        <v>0</v>
      </c>
      <c r="AG4162" t="s">
        <v>125</v>
      </c>
      <c r="AH4162">
        <v>0</v>
      </c>
      <c r="AK4162">
        <v>0</v>
      </c>
    </row>
    <row r="4163" spans="1:37" x14ac:dyDescent="0.25">
      <c r="A4163" t="s">
        <v>79</v>
      </c>
      <c r="B4163">
        <v>16</v>
      </c>
      <c r="C4163">
        <v>2</v>
      </c>
      <c r="D4163">
        <v>5</v>
      </c>
      <c r="E4163">
        <v>4</v>
      </c>
      <c r="G4163">
        <v>1625</v>
      </c>
      <c r="H4163" t="s">
        <v>63</v>
      </c>
      <c r="I4163" t="s">
        <v>102</v>
      </c>
      <c r="J4163" t="s">
        <v>144</v>
      </c>
      <c r="L4163">
        <v>0</v>
      </c>
      <c r="M4163" t="s">
        <v>125</v>
      </c>
      <c r="O4163" t="s">
        <v>125</v>
      </c>
      <c r="P4163" t="s">
        <v>125</v>
      </c>
      <c r="Q4163" t="s">
        <v>125</v>
      </c>
      <c r="R4163" t="s">
        <v>125</v>
      </c>
      <c r="S4163" t="s">
        <v>125</v>
      </c>
      <c r="T4163">
        <v>0</v>
      </c>
      <c r="V4163" t="s">
        <v>125</v>
      </c>
      <c r="AE4163" t="s">
        <v>125</v>
      </c>
      <c r="AF4163">
        <v>0</v>
      </c>
      <c r="AG4163" t="s">
        <v>125</v>
      </c>
      <c r="AH4163">
        <v>0</v>
      </c>
      <c r="AK4163">
        <v>0</v>
      </c>
    </row>
    <row r="4164" spans="1:37" x14ac:dyDescent="0.25">
      <c r="A4164" t="s">
        <v>79</v>
      </c>
      <c r="B4164">
        <v>16</v>
      </c>
      <c r="C4164">
        <v>2</v>
      </c>
      <c r="D4164">
        <v>5</v>
      </c>
      <c r="E4164">
        <v>5</v>
      </c>
      <c r="G4164">
        <v>1625</v>
      </c>
      <c r="H4164" t="s">
        <v>63</v>
      </c>
      <c r="I4164" t="s">
        <v>109</v>
      </c>
      <c r="J4164" t="s">
        <v>145</v>
      </c>
      <c r="L4164">
        <v>0</v>
      </c>
      <c r="M4164" t="s">
        <v>125</v>
      </c>
      <c r="O4164" t="s">
        <v>125</v>
      </c>
      <c r="P4164" t="s">
        <v>125</v>
      </c>
      <c r="Q4164" t="s">
        <v>125</v>
      </c>
      <c r="R4164" t="s">
        <v>125</v>
      </c>
      <c r="S4164" t="s">
        <v>125</v>
      </c>
      <c r="T4164">
        <v>0</v>
      </c>
      <c r="V4164" t="s">
        <v>125</v>
      </c>
      <c r="AE4164" t="s">
        <v>125</v>
      </c>
      <c r="AF4164">
        <v>0</v>
      </c>
      <c r="AG4164" t="s">
        <v>125</v>
      </c>
      <c r="AH4164">
        <v>0</v>
      </c>
      <c r="AK4164">
        <v>0</v>
      </c>
    </row>
    <row r="4165" spans="1:37" x14ac:dyDescent="0.25">
      <c r="A4165" t="s">
        <v>79</v>
      </c>
      <c r="B4165">
        <v>16</v>
      </c>
      <c r="C4165">
        <v>2</v>
      </c>
      <c r="D4165">
        <v>5</v>
      </c>
      <c r="E4165">
        <v>6</v>
      </c>
      <c r="G4165">
        <v>1625</v>
      </c>
      <c r="H4165" t="s">
        <v>63</v>
      </c>
      <c r="I4165" t="s">
        <v>116</v>
      </c>
      <c r="J4165" t="s">
        <v>146</v>
      </c>
      <c r="L4165">
        <v>0</v>
      </c>
      <c r="M4165" t="s">
        <v>125</v>
      </c>
      <c r="O4165" t="s">
        <v>125</v>
      </c>
      <c r="P4165" t="s">
        <v>125</v>
      </c>
      <c r="Q4165" t="s">
        <v>125</v>
      </c>
      <c r="R4165" t="s">
        <v>125</v>
      </c>
      <c r="S4165" t="s">
        <v>125</v>
      </c>
      <c r="T4165">
        <v>0</v>
      </c>
      <c r="V4165" t="s">
        <v>125</v>
      </c>
      <c r="AE4165" t="s">
        <v>125</v>
      </c>
      <c r="AF4165">
        <v>0</v>
      </c>
      <c r="AG4165" t="s">
        <v>125</v>
      </c>
      <c r="AH4165">
        <v>0</v>
      </c>
      <c r="AK4165">
        <v>0</v>
      </c>
    </row>
    <row r="4166" spans="1:37" x14ac:dyDescent="0.25">
      <c r="A4166" t="s">
        <v>79</v>
      </c>
      <c r="B4166">
        <v>16</v>
      </c>
      <c r="C4166">
        <v>2</v>
      </c>
      <c r="D4166">
        <v>5</v>
      </c>
      <c r="E4166">
        <v>7</v>
      </c>
      <c r="G4166">
        <v>1625</v>
      </c>
      <c r="H4166" t="s">
        <v>63</v>
      </c>
      <c r="I4166" t="s">
        <v>123</v>
      </c>
      <c r="J4166" t="s">
        <v>147</v>
      </c>
      <c r="L4166">
        <v>0</v>
      </c>
      <c r="M4166" t="s">
        <v>125</v>
      </c>
      <c r="O4166" t="s">
        <v>125</v>
      </c>
      <c r="P4166" t="s">
        <v>125</v>
      </c>
      <c r="Q4166" t="s">
        <v>125</v>
      </c>
      <c r="R4166" t="s">
        <v>125</v>
      </c>
      <c r="S4166" t="s">
        <v>125</v>
      </c>
      <c r="T4166">
        <v>0</v>
      </c>
      <c r="V4166" t="s">
        <v>125</v>
      </c>
      <c r="AE4166" t="s">
        <v>125</v>
      </c>
      <c r="AF4166">
        <v>0</v>
      </c>
      <c r="AG4166" t="s">
        <v>125</v>
      </c>
      <c r="AH4166">
        <v>0</v>
      </c>
      <c r="AK4166">
        <v>0</v>
      </c>
    </row>
    <row r="4167" spans="1:37" x14ac:dyDescent="0.25">
      <c r="A4167" t="s">
        <v>79</v>
      </c>
      <c r="B4167">
        <v>16</v>
      </c>
      <c r="C4167">
        <v>2</v>
      </c>
      <c r="D4167">
        <v>5</v>
      </c>
      <c r="E4167">
        <v>8</v>
      </c>
      <c r="G4167">
        <v>1625</v>
      </c>
      <c r="H4167" t="s">
        <v>63</v>
      </c>
      <c r="I4167" t="s">
        <v>126</v>
      </c>
      <c r="J4167" t="s">
        <v>148</v>
      </c>
      <c r="L4167">
        <v>0</v>
      </c>
      <c r="M4167" t="s">
        <v>125</v>
      </c>
      <c r="O4167" t="s">
        <v>125</v>
      </c>
      <c r="P4167" t="s">
        <v>125</v>
      </c>
      <c r="Q4167" t="s">
        <v>125</v>
      </c>
      <c r="R4167" t="s">
        <v>125</v>
      </c>
      <c r="S4167" t="s">
        <v>125</v>
      </c>
      <c r="T4167">
        <v>0</v>
      </c>
      <c r="V4167" t="s">
        <v>125</v>
      </c>
      <c r="AE4167" t="s">
        <v>125</v>
      </c>
      <c r="AF4167">
        <v>0</v>
      </c>
      <c r="AG4167" t="s">
        <v>125</v>
      </c>
      <c r="AH4167">
        <v>0</v>
      </c>
      <c r="AK4167">
        <v>0</v>
      </c>
    </row>
    <row r="4168" spans="1:37" x14ac:dyDescent="0.25">
      <c r="A4168" t="s">
        <v>79</v>
      </c>
      <c r="B4168">
        <v>16</v>
      </c>
      <c r="C4168">
        <v>2</v>
      </c>
      <c r="D4168">
        <v>5</v>
      </c>
      <c r="E4168">
        <v>9</v>
      </c>
      <c r="G4168">
        <v>1625</v>
      </c>
      <c r="H4168" t="s">
        <v>63</v>
      </c>
      <c r="I4168" t="s">
        <v>74</v>
      </c>
      <c r="J4168" t="s">
        <v>149</v>
      </c>
      <c r="L4168">
        <v>0</v>
      </c>
      <c r="M4168" t="s">
        <v>125</v>
      </c>
      <c r="O4168" t="s">
        <v>125</v>
      </c>
      <c r="P4168" t="s">
        <v>125</v>
      </c>
      <c r="Q4168" t="s">
        <v>125</v>
      </c>
      <c r="R4168" t="s">
        <v>125</v>
      </c>
      <c r="S4168" t="s">
        <v>125</v>
      </c>
      <c r="T4168">
        <v>0</v>
      </c>
      <c r="V4168" t="s">
        <v>125</v>
      </c>
      <c r="AE4168" t="s">
        <v>125</v>
      </c>
      <c r="AF4168">
        <v>0</v>
      </c>
      <c r="AG4168" t="s">
        <v>125</v>
      </c>
      <c r="AH4168">
        <v>0</v>
      </c>
      <c r="AK4168">
        <v>0</v>
      </c>
    </row>
    <row r="4169" spans="1:37" x14ac:dyDescent="0.25">
      <c r="A4169" t="s">
        <v>79</v>
      </c>
      <c r="B4169">
        <v>16</v>
      </c>
      <c r="C4169">
        <v>2</v>
      </c>
      <c r="D4169">
        <v>5</v>
      </c>
      <c r="E4169">
        <v>10</v>
      </c>
      <c r="G4169">
        <v>1625</v>
      </c>
      <c r="H4169" t="s">
        <v>63</v>
      </c>
      <c r="I4169" t="s">
        <v>129</v>
      </c>
      <c r="J4169" t="s">
        <v>150</v>
      </c>
      <c r="L4169">
        <v>0</v>
      </c>
      <c r="M4169" t="s">
        <v>125</v>
      </c>
      <c r="O4169" t="s">
        <v>125</v>
      </c>
      <c r="P4169" t="s">
        <v>125</v>
      </c>
      <c r="Q4169" t="s">
        <v>125</v>
      </c>
      <c r="R4169" t="s">
        <v>125</v>
      </c>
      <c r="S4169" t="s">
        <v>125</v>
      </c>
      <c r="T4169">
        <v>0</v>
      </c>
      <c r="V4169" t="s">
        <v>125</v>
      </c>
      <c r="AE4169" t="s">
        <v>125</v>
      </c>
      <c r="AF4169">
        <v>0</v>
      </c>
      <c r="AG4169" t="s">
        <v>125</v>
      </c>
      <c r="AH4169">
        <v>0</v>
      </c>
      <c r="AK4169">
        <v>0</v>
      </c>
    </row>
    <row r="4170" spans="1:37" x14ac:dyDescent="0.25">
      <c r="A4170" t="s">
        <v>79</v>
      </c>
      <c r="B4170">
        <v>16</v>
      </c>
      <c r="C4170">
        <v>2</v>
      </c>
      <c r="D4170">
        <v>5</v>
      </c>
      <c r="E4170">
        <v>11</v>
      </c>
      <c r="G4170">
        <v>1625</v>
      </c>
      <c r="H4170" t="s">
        <v>63</v>
      </c>
      <c r="I4170" t="s">
        <v>131</v>
      </c>
      <c r="J4170" t="s">
        <v>151</v>
      </c>
      <c r="L4170">
        <v>0</v>
      </c>
      <c r="M4170" t="s">
        <v>125</v>
      </c>
      <c r="O4170" t="s">
        <v>125</v>
      </c>
      <c r="P4170" t="s">
        <v>125</v>
      </c>
      <c r="Q4170" t="s">
        <v>125</v>
      </c>
      <c r="R4170" t="s">
        <v>125</v>
      </c>
      <c r="S4170" t="s">
        <v>125</v>
      </c>
      <c r="T4170">
        <v>0</v>
      </c>
      <c r="V4170" t="s">
        <v>125</v>
      </c>
      <c r="AE4170" t="s">
        <v>125</v>
      </c>
      <c r="AF4170">
        <v>0</v>
      </c>
      <c r="AG4170" t="s">
        <v>125</v>
      </c>
      <c r="AH4170">
        <v>0</v>
      </c>
      <c r="AK4170">
        <v>0</v>
      </c>
    </row>
    <row r="4171" spans="1:37" x14ac:dyDescent="0.25">
      <c r="A4171" t="s">
        <v>79</v>
      </c>
      <c r="B4171">
        <v>16</v>
      </c>
      <c r="C4171">
        <v>2</v>
      </c>
      <c r="D4171">
        <v>5</v>
      </c>
      <c r="E4171">
        <v>12</v>
      </c>
      <c r="G4171">
        <v>1625</v>
      </c>
      <c r="H4171" t="s">
        <v>63</v>
      </c>
      <c r="I4171" t="s">
        <v>133</v>
      </c>
      <c r="J4171" t="s">
        <v>152</v>
      </c>
      <c r="L4171">
        <v>0</v>
      </c>
      <c r="M4171" t="s">
        <v>125</v>
      </c>
      <c r="O4171" t="s">
        <v>125</v>
      </c>
      <c r="P4171" t="s">
        <v>125</v>
      </c>
      <c r="Q4171" t="s">
        <v>125</v>
      </c>
      <c r="R4171" t="s">
        <v>125</v>
      </c>
      <c r="S4171" t="s">
        <v>125</v>
      </c>
      <c r="T4171">
        <v>0</v>
      </c>
      <c r="V4171" t="s">
        <v>125</v>
      </c>
      <c r="AE4171" t="s">
        <v>125</v>
      </c>
      <c r="AF4171">
        <v>0</v>
      </c>
      <c r="AG4171" t="s">
        <v>125</v>
      </c>
      <c r="AH4171">
        <v>0</v>
      </c>
      <c r="AK4171">
        <v>0</v>
      </c>
    </row>
    <row r="4172" spans="1:37" x14ac:dyDescent="0.25">
      <c r="A4172" t="s">
        <v>79</v>
      </c>
      <c r="B4172">
        <v>16</v>
      </c>
      <c r="C4172">
        <v>2</v>
      </c>
      <c r="D4172">
        <v>5</v>
      </c>
      <c r="E4172">
        <v>13</v>
      </c>
      <c r="G4172">
        <v>1625</v>
      </c>
      <c r="H4172" t="s">
        <v>63</v>
      </c>
      <c r="I4172" t="s">
        <v>135</v>
      </c>
      <c r="J4172" t="s">
        <v>153</v>
      </c>
      <c r="L4172">
        <v>0</v>
      </c>
      <c r="M4172" t="s">
        <v>125</v>
      </c>
      <c r="O4172" t="s">
        <v>125</v>
      </c>
      <c r="P4172" t="s">
        <v>125</v>
      </c>
      <c r="Q4172" t="s">
        <v>125</v>
      </c>
      <c r="R4172" t="s">
        <v>125</v>
      </c>
      <c r="S4172" t="s">
        <v>125</v>
      </c>
      <c r="T4172">
        <v>0</v>
      </c>
      <c r="V4172" t="s">
        <v>125</v>
      </c>
      <c r="AE4172" t="s">
        <v>125</v>
      </c>
      <c r="AF4172">
        <v>0</v>
      </c>
      <c r="AG4172" t="s">
        <v>125</v>
      </c>
      <c r="AH4172">
        <v>0</v>
      </c>
      <c r="AK4172">
        <v>0</v>
      </c>
    </row>
    <row r="4173" spans="1:37" x14ac:dyDescent="0.25">
      <c r="A4173" t="s">
        <v>79</v>
      </c>
      <c r="B4173">
        <v>16</v>
      </c>
      <c r="C4173">
        <v>2</v>
      </c>
      <c r="D4173">
        <v>5</v>
      </c>
      <c r="E4173">
        <v>14</v>
      </c>
      <c r="G4173">
        <v>1625</v>
      </c>
      <c r="H4173" t="s">
        <v>63</v>
      </c>
      <c r="I4173" t="s">
        <v>137</v>
      </c>
      <c r="J4173" t="s">
        <v>154</v>
      </c>
      <c r="L4173">
        <v>0</v>
      </c>
      <c r="M4173" t="s">
        <v>125</v>
      </c>
      <c r="O4173" t="s">
        <v>125</v>
      </c>
      <c r="P4173" t="s">
        <v>125</v>
      </c>
      <c r="Q4173" t="s">
        <v>125</v>
      </c>
      <c r="R4173" t="s">
        <v>125</v>
      </c>
      <c r="S4173" t="s">
        <v>125</v>
      </c>
      <c r="T4173">
        <v>0</v>
      </c>
      <c r="V4173" t="s">
        <v>125</v>
      </c>
      <c r="AE4173" t="s">
        <v>125</v>
      </c>
      <c r="AF4173">
        <v>0</v>
      </c>
      <c r="AG4173" t="s">
        <v>125</v>
      </c>
      <c r="AH4173">
        <v>0</v>
      </c>
      <c r="AK4173">
        <v>0</v>
      </c>
    </row>
    <row r="4174" spans="1:37" x14ac:dyDescent="0.25">
      <c r="A4174" t="s">
        <v>79</v>
      </c>
      <c r="B4174">
        <v>16</v>
      </c>
      <c r="C4174">
        <v>2</v>
      </c>
      <c r="D4174">
        <v>5</v>
      </c>
      <c r="E4174">
        <v>15</v>
      </c>
      <c r="G4174">
        <v>1625</v>
      </c>
      <c r="H4174" t="s">
        <v>63</v>
      </c>
      <c r="I4174" t="s">
        <v>139</v>
      </c>
      <c r="J4174" t="s">
        <v>155</v>
      </c>
      <c r="L4174">
        <v>0</v>
      </c>
      <c r="M4174" t="s">
        <v>125</v>
      </c>
      <c r="O4174" t="s">
        <v>125</v>
      </c>
      <c r="P4174" t="s">
        <v>125</v>
      </c>
      <c r="Q4174" t="s">
        <v>125</v>
      </c>
      <c r="R4174" t="s">
        <v>125</v>
      </c>
      <c r="S4174" t="s">
        <v>125</v>
      </c>
      <c r="T4174">
        <v>0</v>
      </c>
      <c r="V4174" t="s">
        <v>125</v>
      </c>
      <c r="AE4174" t="s">
        <v>125</v>
      </c>
      <c r="AF4174">
        <v>0</v>
      </c>
      <c r="AG4174" t="s">
        <v>125</v>
      </c>
      <c r="AH4174">
        <v>0</v>
      </c>
      <c r="AK4174">
        <v>0</v>
      </c>
    </row>
    <row r="4175" spans="1:37" x14ac:dyDescent="0.25">
      <c r="L4175">
        <v>0</v>
      </c>
    </row>
    <row r="4176" spans="1:37" x14ac:dyDescent="0.25">
      <c r="L4176">
        <v>0</v>
      </c>
    </row>
    <row r="4177" spans="1:37" x14ac:dyDescent="0.25">
      <c r="A4177" t="s">
        <v>66</v>
      </c>
      <c r="B4177">
        <v>16</v>
      </c>
      <c r="C4177">
        <v>3</v>
      </c>
      <c r="G4177">
        <v>16</v>
      </c>
      <c r="H4177" t="s">
        <v>5316</v>
      </c>
      <c r="I4177" t="s">
        <v>5582</v>
      </c>
      <c r="L4177">
        <v>0</v>
      </c>
      <c r="M4177" t="s">
        <v>125</v>
      </c>
      <c r="N4177" t="s">
        <v>125</v>
      </c>
      <c r="V4177" t="s">
        <v>63</v>
      </c>
      <c r="Y4177" t="s">
        <v>63</v>
      </c>
      <c r="AA4177" t="s">
        <v>63</v>
      </c>
      <c r="AC4177" t="s">
        <v>63</v>
      </c>
      <c r="AE4177" t="s">
        <v>63</v>
      </c>
      <c r="AF4177">
        <v>0</v>
      </c>
      <c r="AG4177" t="s">
        <v>63</v>
      </c>
      <c r="AH4177">
        <v>0</v>
      </c>
      <c r="AK4177">
        <v>0</v>
      </c>
    </row>
    <row r="4178" spans="1:37" x14ac:dyDescent="0.25">
      <c r="L4178">
        <v>0</v>
      </c>
    </row>
    <row r="4179" spans="1:37" x14ac:dyDescent="0.25">
      <c r="A4179" t="s">
        <v>70</v>
      </c>
      <c r="B4179">
        <v>16</v>
      </c>
      <c r="C4179">
        <v>3</v>
      </c>
      <c r="D4179">
        <v>1</v>
      </c>
      <c r="G4179">
        <v>163</v>
      </c>
      <c r="L4179">
        <v>0</v>
      </c>
      <c r="M4179" t="s">
        <v>125</v>
      </c>
      <c r="P4179" t="s">
        <v>125</v>
      </c>
      <c r="R4179" t="s">
        <v>125</v>
      </c>
      <c r="S4179" t="s">
        <v>63</v>
      </c>
      <c r="V4179" t="s">
        <v>125</v>
      </c>
      <c r="X4179" t="s">
        <v>125</v>
      </c>
      <c r="Y4179" t="s">
        <v>125</v>
      </c>
      <c r="Z4179" t="s">
        <v>125</v>
      </c>
      <c r="AA4179" t="s">
        <v>125</v>
      </c>
      <c r="AB4179" t="s">
        <v>125</v>
      </c>
      <c r="AC4179" t="s">
        <v>125</v>
      </c>
      <c r="AE4179" t="s">
        <v>125</v>
      </c>
      <c r="AF4179">
        <v>0</v>
      </c>
      <c r="AG4179" t="s">
        <v>125</v>
      </c>
      <c r="AH4179">
        <v>0</v>
      </c>
      <c r="AK4179">
        <v>0</v>
      </c>
    </row>
    <row r="4180" spans="1:37" x14ac:dyDescent="0.25">
      <c r="A4180" t="s">
        <v>79</v>
      </c>
      <c r="B4180">
        <v>16</v>
      </c>
      <c r="C4180">
        <v>3</v>
      </c>
      <c r="D4180">
        <v>1</v>
      </c>
      <c r="E4180">
        <v>1</v>
      </c>
      <c r="G4180">
        <v>1631</v>
      </c>
      <c r="H4180" t="s">
        <v>63</v>
      </c>
      <c r="I4180" t="s">
        <v>80</v>
      </c>
      <c r="J4180" t="s">
        <v>141</v>
      </c>
      <c r="L4180">
        <v>0</v>
      </c>
      <c r="M4180" t="s">
        <v>125</v>
      </c>
      <c r="O4180" t="s">
        <v>125</v>
      </c>
      <c r="P4180" t="s">
        <v>125</v>
      </c>
      <c r="Q4180" t="s">
        <v>125</v>
      </c>
      <c r="R4180" t="s">
        <v>125</v>
      </c>
      <c r="S4180" t="s">
        <v>125</v>
      </c>
      <c r="T4180">
        <v>0</v>
      </c>
      <c r="V4180" t="s">
        <v>125</v>
      </c>
      <c r="AE4180" t="s">
        <v>125</v>
      </c>
      <c r="AF4180">
        <v>0</v>
      </c>
      <c r="AG4180" t="s">
        <v>125</v>
      </c>
      <c r="AH4180">
        <v>0</v>
      </c>
      <c r="AK4180">
        <v>0</v>
      </c>
    </row>
    <row r="4181" spans="1:37" x14ac:dyDescent="0.25">
      <c r="A4181" t="s">
        <v>79</v>
      </c>
      <c r="B4181">
        <v>16</v>
      </c>
      <c r="C4181">
        <v>3</v>
      </c>
      <c r="D4181">
        <v>1</v>
      </c>
      <c r="E4181">
        <v>2</v>
      </c>
      <c r="G4181">
        <v>1631</v>
      </c>
      <c r="H4181" t="s">
        <v>63</v>
      </c>
      <c r="I4181" t="s">
        <v>88</v>
      </c>
      <c r="J4181" t="s">
        <v>142</v>
      </c>
      <c r="L4181">
        <v>0</v>
      </c>
      <c r="M4181" t="s">
        <v>125</v>
      </c>
      <c r="O4181" t="s">
        <v>125</v>
      </c>
      <c r="P4181" t="s">
        <v>125</v>
      </c>
      <c r="Q4181" t="s">
        <v>125</v>
      </c>
      <c r="R4181" t="s">
        <v>125</v>
      </c>
      <c r="S4181" t="s">
        <v>125</v>
      </c>
      <c r="T4181">
        <v>0</v>
      </c>
      <c r="V4181" t="s">
        <v>125</v>
      </c>
      <c r="AE4181" t="s">
        <v>125</v>
      </c>
      <c r="AF4181">
        <v>0</v>
      </c>
      <c r="AG4181" t="s">
        <v>125</v>
      </c>
      <c r="AH4181">
        <v>0</v>
      </c>
      <c r="AK4181">
        <v>0</v>
      </c>
    </row>
    <row r="4182" spans="1:37" x14ac:dyDescent="0.25">
      <c r="A4182" t="s">
        <v>79</v>
      </c>
      <c r="B4182">
        <v>16</v>
      </c>
      <c r="C4182">
        <v>3</v>
      </c>
      <c r="D4182">
        <v>1</v>
      </c>
      <c r="E4182">
        <v>3</v>
      </c>
      <c r="G4182">
        <v>1631</v>
      </c>
      <c r="H4182" t="s">
        <v>63</v>
      </c>
      <c r="I4182" t="s">
        <v>95</v>
      </c>
      <c r="J4182" t="s">
        <v>143</v>
      </c>
      <c r="L4182">
        <v>0</v>
      </c>
      <c r="M4182" t="s">
        <v>125</v>
      </c>
      <c r="O4182" t="s">
        <v>125</v>
      </c>
      <c r="P4182" t="s">
        <v>125</v>
      </c>
      <c r="Q4182" t="s">
        <v>125</v>
      </c>
      <c r="R4182" t="s">
        <v>125</v>
      </c>
      <c r="S4182" t="s">
        <v>125</v>
      </c>
      <c r="T4182">
        <v>0</v>
      </c>
      <c r="V4182" t="s">
        <v>125</v>
      </c>
      <c r="AE4182" t="s">
        <v>125</v>
      </c>
      <c r="AF4182">
        <v>0</v>
      </c>
      <c r="AG4182" t="s">
        <v>125</v>
      </c>
      <c r="AH4182">
        <v>0</v>
      </c>
      <c r="AK4182">
        <v>0</v>
      </c>
    </row>
    <row r="4183" spans="1:37" x14ac:dyDescent="0.25">
      <c r="A4183" t="s">
        <v>79</v>
      </c>
      <c r="B4183">
        <v>16</v>
      </c>
      <c r="C4183">
        <v>3</v>
      </c>
      <c r="D4183">
        <v>1</v>
      </c>
      <c r="E4183">
        <v>4</v>
      </c>
      <c r="G4183">
        <v>1631</v>
      </c>
      <c r="H4183" t="s">
        <v>63</v>
      </c>
      <c r="I4183" t="s">
        <v>102</v>
      </c>
      <c r="J4183" t="s">
        <v>144</v>
      </c>
      <c r="L4183">
        <v>0</v>
      </c>
      <c r="M4183" t="s">
        <v>125</v>
      </c>
      <c r="O4183" t="s">
        <v>125</v>
      </c>
      <c r="P4183" t="s">
        <v>125</v>
      </c>
      <c r="Q4183" t="s">
        <v>125</v>
      </c>
      <c r="R4183" t="s">
        <v>125</v>
      </c>
      <c r="S4183" t="s">
        <v>125</v>
      </c>
      <c r="T4183">
        <v>0</v>
      </c>
      <c r="V4183" t="s">
        <v>125</v>
      </c>
      <c r="AE4183" t="s">
        <v>125</v>
      </c>
      <c r="AF4183">
        <v>0</v>
      </c>
      <c r="AG4183" t="s">
        <v>125</v>
      </c>
      <c r="AH4183">
        <v>0</v>
      </c>
      <c r="AK4183">
        <v>0</v>
      </c>
    </row>
    <row r="4184" spans="1:37" x14ac:dyDescent="0.25">
      <c r="A4184" t="s">
        <v>79</v>
      </c>
      <c r="B4184">
        <v>16</v>
      </c>
      <c r="C4184">
        <v>3</v>
      </c>
      <c r="D4184">
        <v>1</v>
      </c>
      <c r="E4184">
        <v>5</v>
      </c>
      <c r="G4184">
        <v>1631</v>
      </c>
      <c r="H4184" t="s">
        <v>63</v>
      </c>
      <c r="I4184" t="s">
        <v>109</v>
      </c>
      <c r="J4184" t="s">
        <v>145</v>
      </c>
      <c r="L4184">
        <v>0</v>
      </c>
      <c r="M4184" t="s">
        <v>125</v>
      </c>
      <c r="O4184" t="s">
        <v>125</v>
      </c>
      <c r="P4184" t="s">
        <v>125</v>
      </c>
      <c r="Q4184" t="s">
        <v>125</v>
      </c>
      <c r="R4184" t="s">
        <v>125</v>
      </c>
      <c r="S4184" t="s">
        <v>125</v>
      </c>
      <c r="T4184">
        <v>0</v>
      </c>
      <c r="V4184" t="s">
        <v>125</v>
      </c>
      <c r="AE4184" t="s">
        <v>125</v>
      </c>
      <c r="AF4184">
        <v>0</v>
      </c>
      <c r="AG4184" t="s">
        <v>125</v>
      </c>
      <c r="AH4184">
        <v>0</v>
      </c>
      <c r="AK4184">
        <v>0</v>
      </c>
    </row>
    <row r="4185" spans="1:37" x14ac:dyDescent="0.25">
      <c r="A4185" t="s">
        <v>79</v>
      </c>
      <c r="B4185">
        <v>16</v>
      </c>
      <c r="C4185">
        <v>3</v>
      </c>
      <c r="D4185">
        <v>1</v>
      </c>
      <c r="E4185">
        <v>6</v>
      </c>
      <c r="G4185">
        <v>1631</v>
      </c>
      <c r="H4185" t="s">
        <v>63</v>
      </c>
      <c r="I4185" t="s">
        <v>116</v>
      </c>
      <c r="J4185" t="s">
        <v>146</v>
      </c>
      <c r="L4185">
        <v>0</v>
      </c>
      <c r="M4185" t="s">
        <v>125</v>
      </c>
      <c r="O4185" t="s">
        <v>125</v>
      </c>
      <c r="P4185" t="s">
        <v>125</v>
      </c>
      <c r="Q4185" t="s">
        <v>125</v>
      </c>
      <c r="R4185" t="s">
        <v>125</v>
      </c>
      <c r="S4185" t="s">
        <v>125</v>
      </c>
      <c r="T4185">
        <v>0</v>
      </c>
      <c r="V4185" t="s">
        <v>125</v>
      </c>
      <c r="AE4185" t="s">
        <v>125</v>
      </c>
      <c r="AF4185">
        <v>0</v>
      </c>
      <c r="AG4185" t="s">
        <v>125</v>
      </c>
      <c r="AH4185">
        <v>0</v>
      </c>
      <c r="AK4185">
        <v>0</v>
      </c>
    </row>
    <row r="4186" spans="1:37" x14ac:dyDescent="0.25">
      <c r="A4186" t="s">
        <v>79</v>
      </c>
      <c r="B4186">
        <v>16</v>
      </c>
      <c r="C4186">
        <v>3</v>
      </c>
      <c r="D4186">
        <v>1</v>
      </c>
      <c r="E4186">
        <v>7</v>
      </c>
      <c r="G4186">
        <v>1631</v>
      </c>
      <c r="H4186" t="s">
        <v>63</v>
      </c>
      <c r="I4186" t="s">
        <v>123</v>
      </c>
      <c r="J4186" t="s">
        <v>147</v>
      </c>
      <c r="L4186">
        <v>0</v>
      </c>
      <c r="M4186" t="s">
        <v>125</v>
      </c>
      <c r="O4186" t="s">
        <v>125</v>
      </c>
      <c r="P4186" t="s">
        <v>125</v>
      </c>
      <c r="Q4186" t="s">
        <v>125</v>
      </c>
      <c r="R4186" t="s">
        <v>125</v>
      </c>
      <c r="S4186" t="s">
        <v>125</v>
      </c>
      <c r="T4186">
        <v>0</v>
      </c>
      <c r="V4186" t="s">
        <v>125</v>
      </c>
      <c r="AE4186" t="s">
        <v>125</v>
      </c>
      <c r="AF4186">
        <v>0</v>
      </c>
      <c r="AG4186" t="s">
        <v>125</v>
      </c>
      <c r="AH4186">
        <v>0</v>
      </c>
      <c r="AK4186">
        <v>0</v>
      </c>
    </row>
    <row r="4187" spans="1:37" x14ac:dyDescent="0.25">
      <c r="A4187" t="s">
        <v>79</v>
      </c>
      <c r="B4187">
        <v>16</v>
      </c>
      <c r="C4187">
        <v>3</v>
      </c>
      <c r="D4187">
        <v>1</v>
      </c>
      <c r="E4187">
        <v>8</v>
      </c>
      <c r="G4187">
        <v>1631</v>
      </c>
      <c r="H4187" t="s">
        <v>63</v>
      </c>
      <c r="I4187" t="s">
        <v>126</v>
      </c>
      <c r="J4187" t="s">
        <v>148</v>
      </c>
      <c r="L4187">
        <v>0</v>
      </c>
      <c r="M4187" t="s">
        <v>125</v>
      </c>
      <c r="O4187" t="s">
        <v>125</v>
      </c>
      <c r="P4187" t="s">
        <v>125</v>
      </c>
      <c r="Q4187" t="s">
        <v>125</v>
      </c>
      <c r="R4187" t="s">
        <v>125</v>
      </c>
      <c r="S4187" t="s">
        <v>125</v>
      </c>
      <c r="T4187">
        <v>0</v>
      </c>
      <c r="V4187" t="s">
        <v>125</v>
      </c>
      <c r="AE4187" t="s">
        <v>125</v>
      </c>
      <c r="AF4187">
        <v>0</v>
      </c>
      <c r="AG4187" t="s">
        <v>125</v>
      </c>
      <c r="AH4187">
        <v>0</v>
      </c>
      <c r="AK4187">
        <v>0</v>
      </c>
    </row>
    <row r="4188" spans="1:37" x14ac:dyDescent="0.25">
      <c r="A4188" t="s">
        <v>79</v>
      </c>
      <c r="B4188">
        <v>16</v>
      </c>
      <c r="C4188">
        <v>3</v>
      </c>
      <c r="D4188">
        <v>1</v>
      </c>
      <c r="E4188">
        <v>9</v>
      </c>
      <c r="G4188">
        <v>1631</v>
      </c>
      <c r="H4188" t="s">
        <v>63</v>
      </c>
      <c r="I4188" t="s">
        <v>74</v>
      </c>
      <c r="J4188" t="s">
        <v>149</v>
      </c>
      <c r="L4188">
        <v>0</v>
      </c>
      <c r="M4188" t="s">
        <v>125</v>
      </c>
      <c r="O4188" t="s">
        <v>125</v>
      </c>
      <c r="P4188" t="s">
        <v>125</v>
      </c>
      <c r="Q4188" t="s">
        <v>125</v>
      </c>
      <c r="R4188" t="s">
        <v>125</v>
      </c>
      <c r="S4188" t="s">
        <v>125</v>
      </c>
      <c r="T4188">
        <v>0</v>
      </c>
      <c r="V4188" t="s">
        <v>125</v>
      </c>
      <c r="AE4188" t="s">
        <v>125</v>
      </c>
      <c r="AF4188">
        <v>0</v>
      </c>
      <c r="AG4188" t="s">
        <v>125</v>
      </c>
      <c r="AH4188">
        <v>0</v>
      </c>
      <c r="AK4188">
        <v>0</v>
      </c>
    </row>
    <row r="4189" spans="1:37" x14ac:dyDescent="0.25">
      <c r="A4189" t="s">
        <v>79</v>
      </c>
      <c r="B4189">
        <v>16</v>
      </c>
      <c r="C4189">
        <v>3</v>
      </c>
      <c r="D4189">
        <v>1</v>
      </c>
      <c r="E4189">
        <v>10</v>
      </c>
      <c r="G4189">
        <v>1631</v>
      </c>
      <c r="H4189" t="s">
        <v>63</v>
      </c>
      <c r="I4189" t="s">
        <v>129</v>
      </c>
      <c r="J4189" t="s">
        <v>150</v>
      </c>
      <c r="L4189">
        <v>0</v>
      </c>
      <c r="M4189" t="s">
        <v>125</v>
      </c>
      <c r="O4189" t="s">
        <v>125</v>
      </c>
      <c r="P4189" t="s">
        <v>125</v>
      </c>
      <c r="Q4189" t="s">
        <v>125</v>
      </c>
      <c r="R4189" t="s">
        <v>125</v>
      </c>
      <c r="S4189" t="s">
        <v>125</v>
      </c>
      <c r="T4189">
        <v>0</v>
      </c>
      <c r="V4189" t="s">
        <v>125</v>
      </c>
      <c r="AE4189" t="s">
        <v>125</v>
      </c>
      <c r="AF4189">
        <v>0</v>
      </c>
      <c r="AG4189" t="s">
        <v>125</v>
      </c>
      <c r="AH4189">
        <v>0</v>
      </c>
      <c r="AK4189">
        <v>0</v>
      </c>
    </row>
    <row r="4190" spans="1:37" x14ac:dyDescent="0.25">
      <c r="A4190" t="s">
        <v>79</v>
      </c>
      <c r="B4190">
        <v>16</v>
      </c>
      <c r="C4190">
        <v>3</v>
      </c>
      <c r="D4190">
        <v>1</v>
      </c>
      <c r="E4190">
        <v>11</v>
      </c>
      <c r="G4190">
        <v>1631</v>
      </c>
      <c r="H4190" t="s">
        <v>63</v>
      </c>
      <c r="I4190" t="s">
        <v>131</v>
      </c>
      <c r="J4190" t="s">
        <v>151</v>
      </c>
      <c r="L4190">
        <v>0</v>
      </c>
      <c r="M4190" t="s">
        <v>125</v>
      </c>
      <c r="O4190" t="s">
        <v>125</v>
      </c>
      <c r="P4190" t="s">
        <v>125</v>
      </c>
      <c r="Q4190" t="s">
        <v>125</v>
      </c>
      <c r="R4190" t="s">
        <v>125</v>
      </c>
      <c r="S4190" t="s">
        <v>125</v>
      </c>
      <c r="T4190">
        <v>0</v>
      </c>
      <c r="V4190" t="s">
        <v>125</v>
      </c>
      <c r="AE4190" t="s">
        <v>125</v>
      </c>
      <c r="AF4190">
        <v>0</v>
      </c>
      <c r="AG4190" t="s">
        <v>125</v>
      </c>
      <c r="AH4190">
        <v>0</v>
      </c>
      <c r="AK4190">
        <v>0</v>
      </c>
    </row>
    <row r="4191" spans="1:37" x14ac:dyDescent="0.25">
      <c r="A4191" t="s">
        <v>79</v>
      </c>
      <c r="B4191">
        <v>16</v>
      </c>
      <c r="C4191">
        <v>3</v>
      </c>
      <c r="D4191">
        <v>1</v>
      </c>
      <c r="E4191">
        <v>12</v>
      </c>
      <c r="G4191">
        <v>1631</v>
      </c>
      <c r="H4191" t="s">
        <v>63</v>
      </c>
      <c r="I4191" t="s">
        <v>133</v>
      </c>
      <c r="J4191" t="s">
        <v>152</v>
      </c>
      <c r="L4191">
        <v>0</v>
      </c>
      <c r="M4191" t="s">
        <v>125</v>
      </c>
      <c r="O4191" t="s">
        <v>125</v>
      </c>
      <c r="P4191" t="s">
        <v>125</v>
      </c>
      <c r="Q4191" t="s">
        <v>125</v>
      </c>
      <c r="R4191" t="s">
        <v>125</v>
      </c>
      <c r="S4191" t="s">
        <v>125</v>
      </c>
      <c r="T4191">
        <v>0</v>
      </c>
      <c r="V4191" t="s">
        <v>125</v>
      </c>
      <c r="AE4191" t="s">
        <v>125</v>
      </c>
      <c r="AF4191">
        <v>0</v>
      </c>
      <c r="AG4191" t="s">
        <v>125</v>
      </c>
      <c r="AH4191">
        <v>0</v>
      </c>
      <c r="AK4191">
        <v>0</v>
      </c>
    </row>
    <row r="4192" spans="1:37" x14ac:dyDescent="0.25">
      <c r="A4192" t="s">
        <v>79</v>
      </c>
      <c r="B4192">
        <v>16</v>
      </c>
      <c r="C4192">
        <v>3</v>
      </c>
      <c r="D4192">
        <v>1</v>
      </c>
      <c r="E4192">
        <v>13</v>
      </c>
      <c r="G4192">
        <v>1631</v>
      </c>
      <c r="H4192" t="s">
        <v>63</v>
      </c>
      <c r="I4192" t="s">
        <v>135</v>
      </c>
      <c r="J4192" t="s">
        <v>153</v>
      </c>
      <c r="L4192">
        <v>0</v>
      </c>
      <c r="M4192" t="s">
        <v>125</v>
      </c>
      <c r="O4192" t="s">
        <v>125</v>
      </c>
      <c r="P4192" t="s">
        <v>125</v>
      </c>
      <c r="Q4192" t="s">
        <v>125</v>
      </c>
      <c r="R4192" t="s">
        <v>125</v>
      </c>
      <c r="S4192" t="s">
        <v>125</v>
      </c>
      <c r="T4192">
        <v>0</v>
      </c>
      <c r="V4192" t="s">
        <v>125</v>
      </c>
      <c r="AE4192" t="s">
        <v>125</v>
      </c>
      <c r="AF4192">
        <v>0</v>
      </c>
      <c r="AG4192" t="s">
        <v>125</v>
      </c>
      <c r="AH4192">
        <v>0</v>
      </c>
      <c r="AK4192">
        <v>0</v>
      </c>
    </row>
    <row r="4193" spans="1:37" x14ac:dyDescent="0.25">
      <c r="A4193" t="s">
        <v>79</v>
      </c>
      <c r="B4193">
        <v>16</v>
      </c>
      <c r="C4193">
        <v>3</v>
      </c>
      <c r="D4193">
        <v>1</v>
      </c>
      <c r="E4193">
        <v>14</v>
      </c>
      <c r="G4193">
        <v>1631</v>
      </c>
      <c r="H4193" t="s">
        <v>63</v>
      </c>
      <c r="I4193" t="s">
        <v>137</v>
      </c>
      <c r="J4193" t="s">
        <v>154</v>
      </c>
      <c r="L4193">
        <v>0</v>
      </c>
      <c r="M4193" t="s">
        <v>125</v>
      </c>
      <c r="O4193" t="s">
        <v>125</v>
      </c>
      <c r="P4193" t="s">
        <v>125</v>
      </c>
      <c r="Q4193" t="s">
        <v>125</v>
      </c>
      <c r="R4193" t="s">
        <v>125</v>
      </c>
      <c r="S4193" t="s">
        <v>125</v>
      </c>
      <c r="T4193">
        <v>0</v>
      </c>
      <c r="V4193" t="s">
        <v>125</v>
      </c>
      <c r="AE4193" t="s">
        <v>125</v>
      </c>
      <c r="AF4193">
        <v>0</v>
      </c>
      <c r="AG4193" t="s">
        <v>125</v>
      </c>
      <c r="AH4193">
        <v>0</v>
      </c>
      <c r="AK4193">
        <v>0</v>
      </c>
    </row>
    <row r="4194" spans="1:37" x14ac:dyDescent="0.25">
      <c r="A4194" t="s">
        <v>79</v>
      </c>
      <c r="B4194">
        <v>16</v>
      </c>
      <c r="C4194">
        <v>3</v>
      </c>
      <c r="D4194">
        <v>1</v>
      </c>
      <c r="E4194">
        <v>15</v>
      </c>
      <c r="G4194">
        <v>1631</v>
      </c>
      <c r="H4194" t="s">
        <v>63</v>
      </c>
      <c r="I4194" t="s">
        <v>139</v>
      </c>
      <c r="J4194" t="s">
        <v>155</v>
      </c>
      <c r="L4194">
        <v>0</v>
      </c>
      <c r="M4194" t="s">
        <v>125</v>
      </c>
      <c r="O4194" t="s">
        <v>125</v>
      </c>
      <c r="P4194" t="s">
        <v>125</v>
      </c>
      <c r="Q4194" t="s">
        <v>125</v>
      </c>
      <c r="R4194" t="s">
        <v>125</v>
      </c>
      <c r="S4194" t="s">
        <v>125</v>
      </c>
      <c r="T4194">
        <v>0</v>
      </c>
      <c r="V4194" t="s">
        <v>125</v>
      </c>
      <c r="AE4194" t="s">
        <v>125</v>
      </c>
      <c r="AF4194">
        <v>0</v>
      </c>
      <c r="AG4194" t="s">
        <v>125</v>
      </c>
      <c r="AH4194">
        <v>0</v>
      </c>
      <c r="AK4194">
        <v>0</v>
      </c>
    </row>
    <row r="4195" spans="1:37" x14ac:dyDescent="0.25">
      <c r="L4195">
        <v>0</v>
      </c>
    </row>
    <row r="4196" spans="1:37" x14ac:dyDescent="0.25">
      <c r="A4196" t="s">
        <v>70</v>
      </c>
      <c r="B4196">
        <v>16</v>
      </c>
      <c r="C4196">
        <v>3</v>
      </c>
      <c r="D4196">
        <v>2</v>
      </c>
      <c r="G4196">
        <v>163</v>
      </c>
      <c r="L4196">
        <v>0</v>
      </c>
      <c r="M4196" t="s">
        <v>125</v>
      </c>
      <c r="P4196" t="s">
        <v>125</v>
      </c>
      <c r="R4196" t="s">
        <v>125</v>
      </c>
      <c r="S4196" t="s">
        <v>63</v>
      </c>
      <c r="V4196" t="s">
        <v>125</v>
      </c>
      <c r="X4196" t="s">
        <v>125</v>
      </c>
      <c r="Y4196" t="s">
        <v>125</v>
      </c>
      <c r="Z4196" t="s">
        <v>125</v>
      </c>
      <c r="AA4196" t="s">
        <v>125</v>
      </c>
      <c r="AB4196" t="s">
        <v>125</v>
      </c>
      <c r="AC4196" t="s">
        <v>125</v>
      </c>
      <c r="AE4196" t="s">
        <v>125</v>
      </c>
      <c r="AF4196">
        <v>0</v>
      </c>
      <c r="AG4196" t="s">
        <v>125</v>
      </c>
      <c r="AH4196">
        <v>0</v>
      </c>
      <c r="AK4196">
        <v>0</v>
      </c>
    </row>
    <row r="4197" spans="1:37" x14ac:dyDescent="0.25">
      <c r="A4197" t="s">
        <v>79</v>
      </c>
      <c r="B4197">
        <v>16</v>
      </c>
      <c r="C4197">
        <v>3</v>
      </c>
      <c r="D4197">
        <v>2</v>
      </c>
      <c r="E4197">
        <v>1</v>
      </c>
      <c r="G4197">
        <v>1632</v>
      </c>
      <c r="H4197" t="s">
        <v>63</v>
      </c>
      <c r="I4197" t="s">
        <v>80</v>
      </c>
      <c r="J4197" t="s">
        <v>141</v>
      </c>
      <c r="L4197">
        <v>0</v>
      </c>
      <c r="M4197" t="s">
        <v>125</v>
      </c>
      <c r="O4197" t="s">
        <v>125</v>
      </c>
      <c r="P4197" t="s">
        <v>125</v>
      </c>
      <c r="Q4197" t="s">
        <v>125</v>
      </c>
      <c r="R4197" t="s">
        <v>125</v>
      </c>
      <c r="S4197" t="s">
        <v>125</v>
      </c>
      <c r="T4197">
        <v>0</v>
      </c>
      <c r="V4197" t="s">
        <v>125</v>
      </c>
      <c r="AE4197" t="s">
        <v>125</v>
      </c>
      <c r="AF4197">
        <v>0</v>
      </c>
      <c r="AG4197" t="s">
        <v>125</v>
      </c>
      <c r="AH4197">
        <v>0</v>
      </c>
      <c r="AK4197">
        <v>0</v>
      </c>
    </row>
    <row r="4198" spans="1:37" x14ac:dyDescent="0.25">
      <c r="A4198" t="s">
        <v>79</v>
      </c>
      <c r="B4198">
        <v>16</v>
      </c>
      <c r="C4198">
        <v>3</v>
      </c>
      <c r="D4198">
        <v>2</v>
      </c>
      <c r="E4198">
        <v>2</v>
      </c>
      <c r="G4198">
        <v>1632</v>
      </c>
      <c r="H4198" t="s">
        <v>63</v>
      </c>
      <c r="I4198" t="s">
        <v>88</v>
      </c>
      <c r="J4198" t="s">
        <v>142</v>
      </c>
      <c r="L4198">
        <v>0</v>
      </c>
      <c r="M4198" t="s">
        <v>125</v>
      </c>
      <c r="O4198" t="s">
        <v>125</v>
      </c>
      <c r="P4198" t="s">
        <v>125</v>
      </c>
      <c r="Q4198" t="s">
        <v>125</v>
      </c>
      <c r="R4198" t="s">
        <v>125</v>
      </c>
      <c r="S4198" t="s">
        <v>125</v>
      </c>
      <c r="T4198">
        <v>0</v>
      </c>
      <c r="V4198" t="s">
        <v>125</v>
      </c>
      <c r="AE4198" t="s">
        <v>125</v>
      </c>
      <c r="AF4198">
        <v>0</v>
      </c>
      <c r="AG4198" t="s">
        <v>125</v>
      </c>
      <c r="AH4198">
        <v>0</v>
      </c>
      <c r="AK4198">
        <v>0</v>
      </c>
    </row>
    <row r="4199" spans="1:37" x14ac:dyDescent="0.25">
      <c r="A4199" t="s">
        <v>79</v>
      </c>
      <c r="B4199">
        <v>16</v>
      </c>
      <c r="C4199">
        <v>3</v>
      </c>
      <c r="D4199">
        <v>2</v>
      </c>
      <c r="E4199">
        <v>3</v>
      </c>
      <c r="G4199">
        <v>1632</v>
      </c>
      <c r="H4199" t="s">
        <v>63</v>
      </c>
      <c r="I4199" t="s">
        <v>95</v>
      </c>
      <c r="J4199" t="s">
        <v>143</v>
      </c>
      <c r="L4199">
        <v>0</v>
      </c>
      <c r="M4199" t="s">
        <v>125</v>
      </c>
      <c r="O4199" t="s">
        <v>125</v>
      </c>
      <c r="P4199" t="s">
        <v>125</v>
      </c>
      <c r="Q4199" t="s">
        <v>125</v>
      </c>
      <c r="R4199" t="s">
        <v>125</v>
      </c>
      <c r="S4199" t="s">
        <v>125</v>
      </c>
      <c r="T4199">
        <v>0</v>
      </c>
      <c r="V4199" t="s">
        <v>125</v>
      </c>
      <c r="AE4199" t="s">
        <v>125</v>
      </c>
      <c r="AF4199">
        <v>0</v>
      </c>
      <c r="AG4199" t="s">
        <v>125</v>
      </c>
      <c r="AH4199">
        <v>0</v>
      </c>
      <c r="AK4199">
        <v>0</v>
      </c>
    </row>
    <row r="4200" spans="1:37" x14ac:dyDescent="0.25">
      <c r="A4200" t="s">
        <v>79</v>
      </c>
      <c r="B4200">
        <v>16</v>
      </c>
      <c r="C4200">
        <v>3</v>
      </c>
      <c r="D4200">
        <v>2</v>
      </c>
      <c r="E4200">
        <v>4</v>
      </c>
      <c r="G4200">
        <v>1632</v>
      </c>
      <c r="H4200" t="s">
        <v>63</v>
      </c>
      <c r="I4200" t="s">
        <v>102</v>
      </c>
      <c r="J4200" t="s">
        <v>144</v>
      </c>
      <c r="L4200">
        <v>0</v>
      </c>
      <c r="M4200" t="s">
        <v>125</v>
      </c>
      <c r="O4200" t="s">
        <v>125</v>
      </c>
      <c r="P4200" t="s">
        <v>125</v>
      </c>
      <c r="Q4200" t="s">
        <v>125</v>
      </c>
      <c r="R4200" t="s">
        <v>125</v>
      </c>
      <c r="S4200" t="s">
        <v>125</v>
      </c>
      <c r="T4200">
        <v>0</v>
      </c>
      <c r="V4200" t="s">
        <v>125</v>
      </c>
      <c r="AE4200" t="s">
        <v>125</v>
      </c>
      <c r="AF4200">
        <v>0</v>
      </c>
      <c r="AG4200" t="s">
        <v>125</v>
      </c>
      <c r="AH4200">
        <v>0</v>
      </c>
      <c r="AK4200">
        <v>0</v>
      </c>
    </row>
    <row r="4201" spans="1:37" x14ac:dyDescent="0.25">
      <c r="A4201" t="s">
        <v>79</v>
      </c>
      <c r="B4201">
        <v>16</v>
      </c>
      <c r="C4201">
        <v>3</v>
      </c>
      <c r="D4201">
        <v>2</v>
      </c>
      <c r="E4201">
        <v>5</v>
      </c>
      <c r="G4201">
        <v>1632</v>
      </c>
      <c r="H4201" t="s">
        <v>63</v>
      </c>
      <c r="I4201" t="s">
        <v>109</v>
      </c>
      <c r="J4201" t="s">
        <v>145</v>
      </c>
      <c r="L4201">
        <v>0</v>
      </c>
      <c r="M4201" t="s">
        <v>125</v>
      </c>
      <c r="O4201" t="s">
        <v>125</v>
      </c>
      <c r="P4201" t="s">
        <v>125</v>
      </c>
      <c r="Q4201" t="s">
        <v>125</v>
      </c>
      <c r="R4201" t="s">
        <v>125</v>
      </c>
      <c r="S4201" t="s">
        <v>125</v>
      </c>
      <c r="T4201">
        <v>0</v>
      </c>
      <c r="V4201" t="s">
        <v>125</v>
      </c>
      <c r="AE4201" t="s">
        <v>125</v>
      </c>
      <c r="AF4201">
        <v>0</v>
      </c>
      <c r="AG4201" t="s">
        <v>125</v>
      </c>
      <c r="AH4201">
        <v>0</v>
      </c>
      <c r="AK4201">
        <v>0</v>
      </c>
    </row>
    <row r="4202" spans="1:37" x14ac:dyDescent="0.25">
      <c r="A4202" t="s">
        <v>79</v>
      </c>
      <c r="B4202">
        <v>16</v>
      </c>
      <c r="C4202">
        <v>3</v>
      </c>
      <c r="D4202">
        <v>2</v>
      </c>
      <c r="E4202">
        <v>6</v>
      </c>
      <c r="G4202">
        <v>1632</v>
      </c>
      <c r="H4202" t="s">
        <v>63</v>
      </c>
      <c r="I4202" t="s">
        <v>116</v>
      </c>
      <c r="J4202" t="s">
        <v>146</v>
      </c>
      <c r="L4202">
        <v>0</v>
      </c>
      <c r="M4202" t="s">
        <v>125</v>
      </c>
      <c r="O4202" t="s">
        <v>125</v>
      </c>
      <c r="P4202" t="s">
        <v>125</v>
      </c>
      <c r="Q4202" t="s">
        <v>125</v>
      </c>
      <c r="R4202" t="s">
        <v>125</v>
      </c>
      <c r="S4202" t="s">
        <v>125</v>
      </c>
      <c r="T4202">
        <v>0</v>
      </c>
      <c r="V4202" t="s">
        <v>125</v>
      </c>
      <c r="AE4202" t="s">
        <v>125</v>
      </c>
      <c r="AF4202">
        <v>0</v>
      </c>
      <c r="AG4202" t="s">
        <v>125</v>
      </c>
      <c r="AH4202">
        <v>0</v>
      </c>
      <c r="AK4202">
        <v>0</v>
      </c>
    </row>
    <row r="4203" spans="1:37" x14ac:dyDescent="0.25">
      <c r="A4203" t="s">
        <v>79</v>
      </c>
      <c r="B4203">
        <v>16</v>
      </c>
      <c r="C4203">
        <v>3</v>
      </c>
      <c r="D4203">
        <v>2</v>
      </c>
      <c r="E4203">
        <v>7</v>
      </c>
      <c r="G4203">
        <v>1632</v>
      </c>
      <c r="H4203" t="s">
        <v>63</v>
      </c>
      <c r="I4203" t="s">
        <v>123</v>
      </c>
      <c r="J4203" t="s">
        <v>147</v>
      </c>
      <c r="L4203">
        <v>0</v>
      </c>
      <c r="M4203" t="s">
        <v>125</v>
      </c>
      <c r="O4203" t="s">
        <v>125</v>
      </c>
      <c r="P4203" t="s">
        <v>125</v>
      </c>
      <c r="Q4203" t="s">
        <v>125</v>
      </c>
      <c r="R4203" t="s">
        <v>125</v>
      </c>
      <c r="S4203" t="s">
        <v>125</v>
      </c>
      <c r="T4203">
        <v>0</v>
      </c>
      <c r="V4203" t="s">
        <v>125</v>
      </c>
      <c r="AE4203" t="s">
        <v>125</v>
      </c>
      <c r="AF4203">
        <v>0</v>
      </c>
      <c r="AG4203" t="s">
        <v>125</v>
      </c>
      <c r="AH4203">
        <v>0</v>
      </c>
      <c r="AK4203">
        <v>0</v>
      </c>
    </row>
    <row r="4204" spans="1:37" x14ac:dyDescent="0.25">
      <c r="A4204" t="s">
        <v>79</v>
      </c>
      <c r="B4204">
        <v>16</v>
      </c>
      <c r="C4204">
        <v>3</v>
      </c>
      <c r="D4204">
        <v>2</v>
      </c>
      <c r="E4204">
        <v>8</v>
      </c>
      <c r="G4204">
        <v>1632</v>
      </c>
      <c r="H4204" t="s">
        <v>63</v>
      </c>
      <c r="I4204" t="s">
        <v>126</v>
      </c>
      <c r="J4204" t="s">
        <v>148</v>
      </c>
      <c r="L4204">
        <v>0</v>
      </c>
      <c r="M4204" t="s">
        <v>125</v>
      </c>
      <c r="O4204" t="s">
        <v>125</v>
      </c>
      <c r="P4204" t="s">
        <v>125</v>
      </c>
      <c r="Q4204" t="s">
        <v>125</v>
      </c>
      <c r="R4204" t="s">
        <v>125</v>
      </c>
      <c r="S4204" t="s">
        <v>125</v>
      </c>
      <c r="T4204">
        <v>0</v>
      </c>
      <c r="V4204" t="s">
        <v>125</v>
      </c>
      <c r="AE4204" t="s">
        <v>125</v>
      </c>
      <c r="AF4204">
        <v>0</v>
      </c>
      <c r="AG4204" t="s">
        <v>125</v>
      </c>
      <c r="AH4204">
        <v>0</v>
      </c>
      <c r="AK4204">
        <v>0</v>
      </c>
    </row>
    <row r="4205" spans="1:37" x14ac:dyDescent="0.25">
      <c r="A4205" t="s">
        <v>79</v>
      </c>
      <c r="B4205">
        <v>16</v>
      </c>
      <c r="C4205">
        <v>3</v>
      </c>
      <c r="D4205">
        <v>2</v>
      </c>
      <c r="E4205">
        <v>9</v>
      </c>
      <c r="G4205">
        <v>1632</v>
      </c>
      <c r="H4205" t="s">
        <v>63</v>
      </c>
      <c r="I4205" t="s">
        <v>74</v>
      </c>
      <c r="J4205" t="s">
        <v>149</v>
      </c>
      <c r="L4205">
        <v>0</v>
      </c>
      <c r="M4205" t="s">
        <v>125</v>
      </c>
      <c r="O4205" t="s">
        <v>125</v>
      </c>
      <c r="P4205" t="s">
        <v>125</v>
      </c>
      <c r="Q4205" t="s">
        <v>125</v>
      </c>
      <c r="R4205" t="s">
        <v>125</v>
      </c>
      <c r="S4205" t="s">
        <v>125</v>
      </c>
      <c r="T4205">
        <v>0</v>
      </c>
      <c r="V4205" t="s">
        <v>125</v>
      </c>
      <c r="AE4205" t="s">
        <v>125</v>
      </c>
      <c r="AF4205">
        <v>0</v>
      </c>
      <c r="AG4205" t="s">
        <v>125</v>
      </c>
      <c r="AH4205">
        <v>0</v>
      </c>
      <c r="AK4205">
        <v>0</v>
      </c>
    </row>
    <row r="4206" spans="1:37" x14ac:dyDescent="0.25">
      <c r="A4206" t="s">
        <v>79</v>
      </c>
      <c r="B4206">
        <v>16</v>
      </c>
      <c r="C4206">
        <v>3</v>
      </c>
      <c r="D4206">
        <v>2</v>
      </c>
      <c r="E4206">
        <v>10</v>
      </c>
      <c r="G4206">
        <v>1632</v>
      </c>
      <c r="H4206" t="s">
        <v>63</v>
      </c>
      <c r="I4206" t="s">
        <v>129</v>
      </c>
      <c r="J4206" t="s">
        <v>150</v>
      </c>
      <c r="L4206">
        <v>0</v>
      </c>
      <c r="M4206" t="s">
        <v>125</v>
      </c>
      <c r="O4206" t="s">
        <v>125</v>
      </c>
      <c r="P4206" t="s">
        <v>125</v>
      </c>
      <c r="Q4206" t="s">
        <v>125</v>
      </c>
      <c r="R4206" t="s">
        <v>125</v>
      </c>
      <c r="S4206" t="s">
        <v>125</v>
      </c>
      <c r="T4206">
        <v>0</v>
      </c>
      <c r="V4206" t="s">
        <v>125</v>
      </c>
      <c r="AE4206" t="s">
        <v>125</v>
      </c>
      <c r="AF4206">
        <v>0</v>
      </c>
      <c r="AG4206" t="s">
        <v>125</v>
      </c>
      <c r="AH4206">
        <v>0</v>
      </c>
      <c r="AK4206">
        <v>0</v>
      </c>
    </row>
    <row r="4207" spans="1:37" x14ac:dyDescent="0.25">
      <c r="A4207" t="s">
        <v>79</v>
      </c>
      <c r="B4207">
        <v>16</v>
      </c>
      <c r="C4207">
        <v>3</v>
      </c>
      <c r="D4207">
        <v>2</v>
      </c>
      <c r="E4207">
        <v>11</v>
      </c>
      <c r="G4207">
        <v>1632</v>
      </c>
      <c r="H4207" t="s">
        <v>63</v>
      </c>
      <c r="I4207" t="s">
        <v>131</v>
      </c>
      <c r="J4207" t="s">
        <v>151</v>
      </c>
      <c r="L4207">
        <v>0</v>
      </c>
      <c r="M4207" t="s">
        <v>125</v>
      </c>
      <c r="O4207" t="s">
        <v>125</v>
      </c>
      <c r="P4207" t="s">
        <v>125</v>
      </c>
      <c r="Q4207" t="s">
        <v>125</v>
      </c>
      <c r="R4207" t="s">
        <v>125</v>
      </c>
      <c r="S4207" t="s">
        <v>125</v>
      </c>
      <c r="T4207">
        <v>0</v>
      </c>
      <c r="V4207" t="s">
        <v>125</v>
      </c>
      <c r="AE4207" t="s">
        <v>125</v>
      </c>
      <c r="AF4207">
        <v>0</v>
      </c>
      <c r="AG4207" t="s">
        <v>125</v>
      </c>
      <c r="AH4207">
        <v>0</v>
      </c>
      <c r="AK4207">
        <v>0</v>
      </c>
    </row>
    <row r="4208" spans="1:37" x14ac:dyDescent="0.25">
      <c r="A4208" t="s">
        <v>79</v>
      </c>
      <c r="B4208">
        <v>16</v>
      </c>
      <c r="C4208">
        <v>3</v>
      </c>
      <c r="D4208">
        <v>2</v>
      </c>
      <c r="E4208">
        <v>12</v>
      </c>
      <c r="G4208">
        <v>1632</v>
      </c>
      <c r="H4208" t="s">
        <v>63</v>
      </c>
      <c r="I4208" t="s">
        <v>133</v>
      </c>
      <c r="J4208" t="s">
        <v>152</v>
      </c>
      <c r="L4208">
        <v>0</v>
      </c>
      <c r="M4208" t="s">
        <v>125</v>
      </c>
      <c r="O4208" t="s">
        <v>125</v>
      </c>
      <c r="P4208" t="s">
        <v>125</v>
      </c>
      <c r="Q4208" t="s">
        <v>125</v>
      </c>
      <c r="R4208" t="s">
        <v>125</v>
      </c>
      <c r="S4208" t="s">
        <v>125</v>
      </c>
      <c r="T4208">
        <v>0</v>
      </c>
      <c r="V4208" t="s">
        <v>125</v>
      </c>
      <c r="AE4208" t="s">
        <v>125</v>
      </c>
      <c r="AF4208">
        <v>0</v>
      </c>
      <c r="AG4208" t="s">
        <v>125</v>
      </c>
      <c r="AH4208">
        <v>0</v>
      </c>
      <c r="AK4208">
        <v>0</v>
      </c>
    </row>
    <row r="4209" spans="1:37" x14ac:dyDescent="0.25">
      <c r="A4209" t="s">
        <v>79</v>
      </c>
      <c r="B4209">
        <v>16</v>
      </c>
      <c r="C4209">
        <v>3</v>
      </c>
      <c r="D4209">
        <v>2</v>
      </c>
      <c r="E4209">
        <v>13</v>
      </c>
      <c r="G4209">
        <v>1632</v>
      </c>
      <c r="H4209" t="s">
        <v>63</v>
      </c>
      <c r="I4209" t="s">
        <v>135</v>
      </c>
      <c r="J4209" t="s">
        <v>153</v>
      </c>
      <c r="L4209">
        <v>0</v>
      </c>
      <c r="M4209" t="s">
        <v>125</v>
      </c>
      <c r="O4209" t="s">
        <v>125</v>
      </c>
      <c r="P4209" t="s">
        <v>125</v>
      </c>
      <c r="Q4209" t="s">
        <v>125</v>
      </c>
      <c r="R4209" t="s">
        <v>125</v>
      </c>
      <c r="S4209" t="s">
        <v>125</v>
      </c>
      <c r="T4209">
        <v>0</v>
      </c>
      <c r="V4209" t="s">
        <v>125</v>
      </c>
      <c r="AE4209" t="s">
        <v>125</v>
      </c>
      <c r="AF4209">
        <v>0</v>
      </c>
      <c r="AG4209" t="s">
        <v>125</v>
      </c>
      <c r="AH4209">
        <v>0</v>
      </c>
      <c r="AK4209">
        <v>0</v>
      </c>
    </row>
    <row r="4210" spans="1:37" x14ac:dyDescent="0.25">
      <c r="A4210" t="s">
        <v>79</v>
      </c>
      <c r="B4210">
        <v>16</v>
      </c>
      <c r="C4210">
        <v>3</v>
      </c>
      <c r="D4210">
        <v>2</v>
      </c>
      <c r="E4210">
        <v>14</v>
      </c>
      <c r="G4210">
        <v>1632</v>
      </c>
      <c r="H4210" t="s">
        <v>63</v>
      </c>
      <c r="I4210" t="s">
        <v>137</v>
      </c>
      <c r="J4210" t="s">
        <v>154</v>
      </c>
      <c r="L4210">
        <v>0</v>
      </c>
      <c r="M4210" t="s">
        <v>125</v>
      </c>
      <c r="O4210" t="s">
        <v>125</v>
      </c>
      <c r="P4210" t="s">
        <v>125</v>
      </c>
      <c r="Q4210" t="s">
        <v>125</v>
      </c>
      <c r="R4210" t="s">
        <v>125</v>
      </c>
      <c r="S4210" t="s">
        <v>125</v>
      </c>
      <c r="T4210">
        <v>0</v>
      </c>
      <c r="V4210" t="s">
        <v>125</v>
      </c>
      <c r="AE4210" t="s">
        <v>125</v>
      </c>
      <c r="AF4210">
        <v>0</v>
      </c>
      <c r="AG4210" t="s">
        <v>125</v>
      </c>
      <c r="AH4210">
        <v>0</v>
      </c>
      <c r="AK4210">
        <v>0</v>
      </c>
    </row>
    <row r="4211" spans="1:37" x14ac:dyDescent="0.25">
      <c r="A4211" t="s">
        <v>79</v>
      </c>
      <c r="B4211">
        <v>16</v>
      </c>
      <c r="C4211">
        <v>3</v>
      </c>
      <c r="D4211">
        <v>2</v>
      </c>
      <c r="E4211">
        <v>15</v>
      </c>
      <c r="G4211">
        <v>1632</v>
      </c>
      <c r="H4211" t="s">
        <v>63</v>
      </c>
      <c r="I4211" t="s">
        <v>139</v>
      </c>
      <c r="J4211" t="s">
        <v>155</v>
      </c>
      <c r="L4211">
        <v>0</v>
      </c>
      <c r="M4211" t="s">
        <v>125</v>
      </c>
      <c r="O4211" t="s">
        <v>125</v>
      </c>
      <c r="P4211" t="s">
        <v>125</v>
      </c>
      <c r="Q4211" t="s">
        <v>125</v>
      </c>
      <c r="R4211" t="s">
        <v>125</v>
      </c>
      <c r="S4211" t="s">
        <v>125</v>
      </c>
      <c r="T4211">
        <v>0</v>
      </c>
      <c r="V4211" t="s">
        <v>125</v>
      </c>
      <c r="AE4211" t="s">
        <v>125</v>
      </c>
      <c r="AF4211">
        <v>0</v>
      </c>
      <c r="AG4211" t="s">
        <v>125</v>
      </c>
      <c r="AH4211">
        <v>0</v>
      </c>
      <c r="AK4211">
        <v>0</v>
      </c>
    </row>
    <row r="4212" spans="1:37" x14ac:dyDescent="0.25">
      <c r="L4212">
        <v>0</v>
      </c>
    </row>
    <row r="4213" spans="1:37" x14ac:dyDescent="0.25">
      <c r="A4213" t="s">
        <v>70</v>
      </c>
      <c r="B4213">
        <v>16</v>
      </c>
      <c r="C4213">
        <v>3</v>
      </c>
      <c r="D4213">
        <v>3</v>
      </c>
      <c r="G4213">
        <v>163</v>
      </c>
      <c r="L4213">
        <v>0</v>
      </c>
      <c r="M4213" t="s">
        <v>125</v>
      </c>
      <c r="P4213" t="s">
        <v>125</v>
      </c>
      <c r="R4213" t="s">
        <v>125</v>
      </c>
      <c r="S4213" t="s">
        <v>63</v>
      </c>
      <c r="V4213" t="s">
        <v>125</v>
      </c>
      <c r="X4213" t="s">
        <v>125</v>
      </c>
      <c r="Y4213" t="s">
        <v>125</v>
      </c>
      <c r="Z4213" t="s">
        <v>125</v>
      </c>
      <c r="AA4213" t="s">
        <v>125</v>
      </c>
      <c r="AB4213" t="s">
        <v>125</v>
      </c>
      <c r="AC4213" t="s">
        <v>125</v>
      </c>
      <c r="AE4213" t="s">
        <v>125</v>
      </c>
      <c r="AF4213">
        <v>0</v>
      </c>
      <c r="AG4213" t="s">
        <v>125</v>
      </c>
      <c r="AH4213">
        <v>0</v>
      </c>
      <c r="AK4213">
        <v>0</v>
      </c>
    </row>
    <row r="4214" spans="1:37" x14ac:dyDescent="0.25">
      <c r="A4214" t="s">
        <v>79</v>
      </c>
      <c r="B4214">
        <v>16</v>
      </c>
      <c r="C4214">
        <v>3</v>
      </c>
      <c r="D4214">
        <v>3</v>
      </c>
      <c r="E4214">
        <v>1</v>
      </c>
      <c r="G4214">
        <v>1633</v>
      </c>
      <c r="H4214" t="s">
        <v>63</v>
      </c>
      <c r="I4214" t="s">
        <v>80</v>
      </c>
      <c r="J4214" t="s">
        <v>141</v>
      </c>
      <c r="L4214">
        <v>0</v>
      </c>
      <c r="M4214" t="s">
        <v>125</v>
      </c>
      <c r="O4214" t="s">
        <v>125</v>
      </c>
      <c r="P4214" t="s">
        <v>125</v>
      </c>
      <c r="Q4214" t="s">
        <v>125</v>
      </c>
      <c r="R4214" t="s">
        <v>125</v>
      </c>
      <c r="S4214" t="s">
        <v>125</v>
      </c>
      <c r="T4214">
        <v>0</v>
      </c>
      <c r="V4214" t="s">
        <v>125</v>
      </c>
      <c r="AE4214" t="s">
        <v>125</v>
      </c>
      <c r="AF4214">
        <v>0</v>
      </c>
      <c r="AG4214" t="s">
        <v>125</v>
      </c>
      <c r="AH4214">
        <v>0</v>
      </c>
      <c r="AK4214">
        <v>0</v>
      </c>
    </row>
    <row r="4215" spans="1:37" x14ac:dyDescent="0.25">
      <c r="A4215" t="s">
        <v>79</v>
      </c>
      <c r="B4215">
        <v>16</v>
      </c>
      <c r="C4215">
        <v>3</v>
      </c>
      <c r="D4215">
        <v>3</v>
      </c>
      <c r="E4215">
        <v>2</v>
      </c>
      <c r="G4215">
        <v>1633</v>
      </c>
      <c r="H4215" t="s">
        <v>63</v>
      </c>
      <c r="I4215" t="s">
        <v>88</v>
      </c>
      <c r="J4215" t="s">
        <v>142</v>
      </c>
      <c r="L4215">
        <v>0</v>
      </c>
      <c r="M4215" t="s">
        <v>125</v>
      </c>
      <c r="O4215" t="s">
        <v>125</v>
      </c>
      <c r="P4215" t="s">
        <v>125</v>
      </c>
      <c r="Q4215" t="s">
        <v>125</v>
      </c>
      <c r="R4215" t="s">
        <v>125</v>
      </c>
      <c r="S4215" t="s">
        <v>125</v>
      </c>
      <c r="T4215">
        <v>0</v>
      </c>
      <c r="V4215" t="s">
        <v>125</v>
      </c>
      <c r="AE4215" t="s">
        <v>125</v>
      </c>
      <c r="AF4215">
        <v>0</v>
      </c>
      <c r="AG4215" t="s">
        <v>125</v>
      </c>
      <c r="AH4215">
        <v>0</v>
      </c>
      <c r="AK4215">
        <v>0</v>
      </c>
    </row>
    <row r="4216" spans="1:37" x14ac:dyDescent="0.25">
      <c r="A4216" t="s">
        <v>79</v>
      </c>
      <c r="B4216">
        <v>16</v>
      </c>
      <c r="C4216">
        <v>3</v>
      </c>
      <c r="D4216">
        <v>3</v>
      </c>
      <c r="E4216">
        <v>3</v>
      </c>
      <c r="G4216">
        <v>1633</v>
      </c>
      <c r="H4216" t="s">
        <v>63</v>
      </c>
      <c r="I4216" t="s">
        <v>95</v>
      </c>
      <c r="J4216" t="s">
        <v>143</v>
      </c>
      <c r="L4216">
        <v>0</v>
      </c>
      <c r="M4216" t="s">
        <v>125</v>
      </c>
      <c r="O4216" t="s">
        <v>125</v>
      </c>
      <c r="P4216" t="s">
        <v>125</v>
      </c>
      <c r="Q4216" t="s">
        <v>125</v>
      </c>
      <c r="R4216" t="s">
        <v>125</v>
      </c>
      <c r="S4216" t="s">
        <v>125</v>
      </c>
      <c r="T4216">
        <v>0</v>
      </c>
      <c r="V4216" t="s">
        <v>125</v>
      </c>
      <c r="AE4216" t="s">
        <v>125</v>
      </c>
      <c r="AF4216">
        <v>0</v>
      </c>
      <c r="AG4216" t="s">
        <v>125</v>
      </c>
      <c r="AH4216">
        <v>0</v>
      </c>
      <c r="AK4216">
        <v>0</v>
      </c>
    </row>
    <row r="4217" spans="1:37" x14ac:dyDescent="0.25">
      <c r="A4217" t="s">
        <v>79</v>
      </c>
      <c r="B4217">
        <v>16</v>
      </c>
      <c r="C4217">
        <v>3</v>
      </c>
      <c r="D4217">
        <v>3</v>
      </c>
      <c r="E4217">
        <v>4</v>
      </c>
      <c r="G4217">
        <v>1633</v>
      </c>
      <c r="H4217" t="s">
        <v>63</v>
      </c>
      <c r="I4217" t="s">
        <v>102</v>
      </c>
      <c r="J4217" t="s">
        <v>144</v>
      </c>
      <c r="L4217">
        <v>0</v>
      </c>
      <c r="M4217" t="s">
        <v>125</v>
      </c>
      <c r="O4217" t="s">
        <v>125</v>
      </c>
      <c r="P4217" t="s">
        <v>125</v>
      </c>
      <c r="Q4217" t="s">
        <v>125</v>
      </c>
      <c r="R4217" t="s">
        <v>125</v>
      </c>
      <c r="S4217" t="s">
        <v>125</v>
      </c>
      <c r="T4217">
        <v>0</v>
      </c>
      <c r="V4217" t="s">
        <v>125</v>
      </c>
      <c r="AE4217" t="s">
        <v>125</v>
      </c>
      <c r="AF4217">
        <v>0</v>
      </c>
      <c r="AG4217" t="s">
        <v>125</v>
      </c>
      <c r="AH4217">
        <v>0</v>
      </c>
      <c r="AK4217">
        <v>0</v>
      </c>
    </row>
    <row r="4218" spans="1:37" x14ac:dyDescent="0.25">
      <c r="A4218" t="s">
        <v>79</v>
      </c>
      <c r="B4218">
        <v>16</v>
      </c>
      <c r="C4218">
        <v>3</v>
      </c>
      <c r="D4218">
        <v>3</v>
      </c>
      <c r="E4218">
        <v>5</v>
      </c>
      <c r="G4218">
        <v>1633</v>
      </c>
      <c r="H4218" t="s">
        <v>63</v>
      </c>
      <c r="I4218" t="s">
        <v>109</v>
      </c>
      <c r="J4218" t="s">
        <v>145</v>
      </c>
      <c r="L4218">
        <v>0</v>
      </c>
      <c r="M4218" t="s">
        <v>125</v>
      </c>
      <c r="O4218" t="s">
        <v>125</v>
      </c>
      <c r="P4218" t="s">
        <v>125</v>
      </c>
      <c r="Q4218" t="s">
        <v>125</v>
      </c>
      <c r="R4218" t="s">
        <v>125</v>
      </c>
      <c r="S4218" t="s">
        <v>125</v>
      </c>
      <c r="T4218">
        <v>0</v>
      </c>
      <c r="V4218" t="s">
        <v>125</v>
      </c>
      <c r="AE4218" t="s">
        <v>125</v>
      </c>
      <c r="AF4218">
        <v>0</v>
      </c>
      <c r="AG4218" t="s">
        <v>125</v>
      </c>
      <c r="AH4218">
        <v>0</v>
      </c>
      <c r="AK4218">
        <v>0</v>
      </c>
    </row>
    <row r="4219" spans="1:37" x14ac:dyDescent="0.25">
      <c r="A4219" t="s">
        <v>79</v>
      </c>
      <c r="B4219">
        <v>16</v>
      </c>
      <c r="C4219">
        <v>3</v>
      </c>
      <c r="D4219">
        <v>3</v>
      </c>
      <c r="E4219">
        <v>6</v>
      </c>
      <c r="G4219">
        <v>1633</v>
      </c>
      <c r="H4219" t="s">
        <v>63</v>
      </c>
      <c r="I4219" t="s">
        <v>116</v>
      </c>
      <c r="J4219" t="s">
        <v>146</v>
      </c>
      <c r="L4219">
        <v>0</v>
      </c>
      <c r="M4219" t="s">
        <v>125</v>
      </c>
      <c r="O4219" t="s">
        <v>125</v>
      </c>
      <c r="P4219" t="s">
        <v>125</v>
      </c>
      <c r="Q4219" t="s">
        <v>125</v>
      </c>
      <c r="R4219" t="s">
        <v>125</v>
      </c>
      <c r="S4219" t="s">
        <v>125</v>
      </c>
      <c r="T4219">
        <v>0</v>
      </c>
      <c r="V4219" t="s">
        <v>125</v>
      </c>
      <c r="AE4219" t="s">
        <v>125</v>
      </c>
      <c r="AF4219">
        <v>0</v>
      </c>
      <c r="AG4219" t="s">
        <v>125</v>
      </c>
      <c r="AH4219">
        <v>0</v>
      </c>
      <c r="AK4219">
        <v>0</v>
      </c>
    </row>
    <row r="4220" spans="1:37" x14ac:dyDescent="0.25">
      <c r="A4220" t="s">
        <v>79</v>
      </c>
      <c r="B4220">
        <v>16</v>
      </c>
      <c r="C4220">
        <v>3</v>
      </c>
      <c r="D4220">
        <v>3</v>
      </c>
      <c r="E4220">
        <v>7</v>
      </c>
      <c r="G4220">
        <v>1633</v>
      </c>
      <c r="H4220" t="s">
        <v>63</v>
      </c>
      <c r="I4220" t="s">
        <v>123</v>
      </c>
      <c r="J4220" t="s">
        <v>147</v>
      </c>
      <c r="L4220">
        <v>0</v>
      </c>
      <c r="M4220" t="s">
        <v>125</v>
      </c>
      <c r="O4220" t="s">
        <v>125</v>
      </c>
      <c r="P4220" t="s">
        <v>125</v>
      </c>
      <c r="Q4220" t="s">
        <v>125</v>
      </c>
      <c r="R4220" t="s">
        <v>125</v>
      </c>
      <c r="S4220" t="s">
        <v>125</v>
      </c>
      <c r="T4220">
        <v>0</v>
      </c>
      <c r="V4220" t="s">
        <v>125</v>
      </c>
      <c r="AE4220" t="s">
        <v>125</v>
      </c>
      <c r="AF4220">
        <v>0</v>
      </c>
      <c r="AG4220" t="s">
        <v>125</v>
      </c>
      <c r="AH4220">
        <v>0</v>
      </c>
      <c r="AK4220">
        <v>0</v>
      </c>
    </row>
    <row r="4221" spans="1:37" x14ac:dyDescent="0.25">
      <c r="A4221" t="s">
        <v>79</v>
      </c>
      <c r="B4221">
        <v>16</v>
      </c>
      <c r="C4221">
        <v>3</v>
      </c>
      <c r="D4221">
        <v>3</v>
      </c>
      <c r="E4221">
        <v>8</v>
      </c>
      <c r="G4221">
        <v>1633</v>
      </c>
      <c r="H4221" t="s">
        <v>63</v>
      </c>
      <c r="I4221" t="s">
        <v>126</v>
      </c>
      <c r="J4221" t="s">
        <v>148</v>
      </c>
      <c r="L4221">
        <v>0</v>
      </c>
      <c r="M4221" t="s">
        <v>125</v>
      </c>
      <c r="O4221" t="s">
        <v>125</v>
      </c>
      <c r="P4221" t="s">
        <v>125</v>
      </c>
      <c r="Q4221" t="s">
        <v>125</v>
      </c>
      <c r="R4221" t="s">
        <v>125</v>
      </c>
      <c r="S4221" t="s">
        <v>125</v>
      </c>
      <c r="T4221">
        <v>0</v>
      </c>
      <c r="V4221" t="s">
        <v>125</v>
      </c>
      <c r="AE4221" t="s">
        <v>125</v>
      </c>
      <c r="AF4221">
        <v>0</v>
      </c>
      <c r="AG4221" t="s">
        <v>125</v>
      </c>
      <c r="AH4221">
        <v>0</v>
      </c>
      <c r="AK4221">
        <v>0</v>
      </c>
    </row>
    <row r="4222" spans="1:37" x14ac:dyDescent="0.25">
      <c r="A4222" t="s">
        <v>79</v>
      </c>
      <c r="B4222">
        <v>16</v>
      </c>
      <c r="C4222">
        <v>3</v>
      </c>
      <c r="D4222">
        <v>3</v>
      </c>
      <c r="E4222">
        <v>9</v>
      </c>
      <c r="G4222">
        <v>1633</v>
      </c>
      <c r="H4222" t="s">
        <v>63</v>
      </c>
      <c r="I4222" t="s">
        <v>74</v>
      </c>
      <c r="J4222" t="s">
        <v>149</v>
      </c>
      <c r="L4222">
        <v>0</v>
      </c>
      <c r="M4222" t="s">
        <v>125</v>
      </c>
      <c r="O4222" t="s">
        <v>125</v>
      </c>
      <c r="P4222" t="s">
        <v>125</v>
      </c>
      <c r="Q4222" t="s">
        <v>125</v>
      </c>
      <c r="R4222" t="s">
        <v>125</v>
      </c>
      <c r="S4222" t="s">
        <v>125</v>
      </c>
      <c r="T4222">
        <v>0</v>
      </c>
      <c r="V4222" t="s">
        <v>125</v>
      </c>
      <c r="AE4222" t="s">
        <v>125</v>
      </c>
      <c r="AF4222">
        <v>0</v>
      </c>
      <c r="AG4222" t="s">
        <v>125</v>
      </c>
      <c r="AH4222">
        <v>0</v>
      </c>
      <c r="AK4222">
        <v>0</v>
      </c>
    </row>
    <row r="4223" spans="1:37" x14ac:dyDescent="0.25">
      <c r="A4223" t="s">
        <v>79</v>
      </c>
      <c r="B4223">
        <v>16</v>
      </c>
      <c r="C4223">
        <v>3</v>
      </c>
      <c r="D4223">
        <v>3</v>
      </c>
      <c r="E4223">
        <v>10</v>
      </c>
      <c r="G4223">
        <v>1633</v>
      </c>
      <c r="H4223" t="s">
        <v>63</v>
      </c>
      <c r="I4223" t="s">
        <v>129</v>
      </c>
      <c r="J4223" t="s">
        <v>150</v>
      </c>
      <c r="L4223">
        <v>0</v>
      </c>
      <c r="M4223" t="s">
        <v>125</v>
      </c>
      <c r="O4223" t="s">
        <v>125</v>
      </c>
      <c r="P4223" t="s">
        <v>125</v>
      </c>
      <c r="Q4223" t="s">
        <v>125</v>
      </c>
      <c r="R4223" t="s">
        <v>125</v>
      </c>
      <c r="S4223" t="s">
        <v>125</v>
      </c>
      <c r="T4223">
        <v>0</v>
      </c>
      <c r="V4223" t="s">
        <v>125</v>
      </c>
      <c r="AE4223" t="s">
        <v>125</v>
      </c>
      <c r="AF4223">
        <v>0</v>
      </c>
      <c r="AG4223" t="s">
        <v>125</v>
      </c>
      <c r="AH4223">
        <v>0</v>
      </c>
      <c r="AK4223">
        <v>0</v>
      </c>
    </row>
    <row r="4224" spans="1:37" x14ac:dyDescent="0.25">
      <c r="A4224" t="s">
        <v>79</v>
      </c>
      <c r="B4224">
        <v>16</v>
      </c>
      <c r="C4224">
        <v>3</v>
      </c>
      <c r="D4224">
        <v>3</v>
      </c>
      <c r="E4224">
        <v>11</v>
      </c>
      <c r="G4224">
        <v>1633</v>
      </c>
      <c r="H4224" t="s">
        <v>63</v>
      </c>
      <c r="I4224" t="s">
        <v>131</v>
      </c>
      <c r="J4224" t="s">
        <v>151</v>
      </c>
      <c r="L4224">
        <v>0</v>
      </c>
      <c r="M4224" t="s">
        <v>125</v>
      </c>
      <c r="O4224" t="s">
        <v>125</v>
      </c>
      <c r="P4224" t="s">
        <v>125</v>
      </c>
      <c r="Q4224" t="s">
        <v>125</v>
      </c>
      <c r="R4224" t="s">
        <v>125</v>
      </c>
      <c r="S4224" t="s">
        <v>125</v>
      </c>
      <c r="T4224">
        <v>0</v>
      </c>
      <c r="V4224" t="s">
        <v>125</v>
      </c>
      <c r="AE4224" t="s">
        <v>125</v>
      </c>
      <c r="AF4224">
        <v>0</v>
      </c>
      <c r="AG4224" t="s">
        <v>125</v>
      </c>
      <c r="AH4224">
        <v>0</v>
      </c>
      <c r="AK4224">
        <v>0</v>
      </c>
    </row>
    <row r="4225" spans="1:37" x14ac:dyDescent="0.25">
      <c r="A4225" t="s">
        <v>79</v>
      </c>
      <c r="B4225">
        <v>16</v>
      </c>
      <c r="C4225">
        <v>3</v>
      </c>
      <c r="D4225">
        <v>3</v>
      </c>
      <c r="E4225">
        <v>12</v>
      </c>
      <c r="G4225">
        <v>1633</v>
      </c>
      <c r="H4225" t="s">
        <v>63</v>
      </c>
      <c r="I4225" t="s">
        <v>133</v>
      </c>
      <c r="J4225" t="s">
        <v>152</v>
      </c>
      <c r="L4225">
        <v>0</v>
      </c>
      <c r="M4225" t="s">
        <v>125</v>
      </c>
      <c r="O4225" t="s">
        <v>125</v>
      </c>
      <c r="P4225" t="s">
        <v>125</v>
      </c>
      <c r="Q4225" t="s">
        <v>125</v>
      </c>
      <c r="R4225" t="s">
        <v>125</v>
      </c>
      <c r="S4225" t="s">
        <v>125</v>
      </c>
      <c r="T4225">
        <v>0</v>
      </c>
      <c r="V4225" t="s">
        <v>125</v>
      </c>
      <c r="AE4225" t="s">
        <v>125</v>
      </c>
      <c r="AF4225">
        <v>0</v>
      </c>
      <c r="AG4225" t="s">
        <v>125</v>
      </c>
      <c r="AH4225">
        <v>0</v>
      </c>
      <c r="AK4225">
        <v>0</v>
      </c>
    </row>
    <row r="4226" spans="1:37" x14ac:dyDescent="0.25">
      <c r="A4226" t="s">
        <v>79</v>
      </c>
      <c r="B4226">
        <v>16</v>
      </c>
      <c r="C4226">
        <v>3</v>
      </c>
      <c r="D4226">
        <v>3</v>
      </c>
      <c r="E4226">
        <v>13</v>
      </c>
      <c r="G4226">
        <v>1633</v>
      </c>
      <c r="H4226" t="s">
        <v>63</v>
      </c>
      <c r="I4226" t="s">
        <v>135</v>
      </c>
      <c r="J4226" t="s">
        <v>153</v>
      </c>
      <c r="L4226">
        <v>0</v>
      </c>
      <c r="M4226" t="s">
        <v>125</v>
      </c>
      <c r="O4226" t="s">
        <v>125</v>
      </c>
      <c r="P4226" t="s">
        <v>125</v>
      </c>
      <c r="Q4226" t="s">
        <v>125</v>
      </c>
      <c r="R4226" t="s">
        <v>125</v>
      </c>
      <c r="S4226" t="s">
        <v>125</v>
      </c>
      <c r="T4226">
        <v>0</v>
      </c>
      <c r="V4226" t="s">
        <v>125</v>
      </c>
      <c r="AE4226" t="s">
        <v>125</v>
      </c>
      <c r="AF4226">
        <v>0</v>
      </c>
      <c r="AG4226" t="s">
        <v>125</v>
      </c>
      <c r="AH4226">
        <v>0</v>
      </c>
      <c r="AK4226">
        <v>0</v>
      </c>
    </row>
    <row r="4227" spans="1:37" x14ac:dyDescent="0.25">
      <c r="A4227" t="s">
        <v>79</v>
      </c>
      <c r="B4227">
        <v>16</v>
      </c>
      <c r="C4227">
        <v>3</v>
      </c>
      <c r="D4227">
        <v>3</v>
      </c>
      <c r="E4227">
        <v>14</v>
      </c>
      <c r="G4227">
        <v>1633</v>
      </c>
      <c r="H4227" t="s">
        <v>63</v>
      </c>
      <c r="I4227" t="s">
        <v>137</v>
      </c>
      <c r="J4227" t="s">
        <v>154</v>
      </c>
      <c r="L4227">
        <v>0</v>
      </c>
      <c r="M4227" t="s">
        <v>125</v>
      </c>
      <c r="O4227" t="s">
        <v>125</v>
      </c>
      <c r="P4227" t="s">
        <v>125</v>
      </c>
      <c r="Q4227" t="s">
        <v>125</v>
      </c>
      <c r="R4227" t="s">
        <v>125</v>
      </c>
      <c r="S4227" t="s">
        <v>125</v>
      </c>
      <c r="T4227">
        <v>0</v>
      </c>
      <c r="V4227" t="s">
        <v>125</v>
      </c>
      <c r="AE4227" t="s">
        <v>125</v>
      </c>
      <c r="AF4227">
        <v>0</v>
      </c>
      <c r="AG4227" t="s">
        <v>125</v>
      </c>
      <c r="AH4227">
        <v>0</v>
      </c>
      <c r="AK4227">
        <v>0</v>
      </c>
    </row>
    <row r="4228" spans="1:37" x14ac:dyDescent="0.25">
      <c r="A4228" t="s">
        <v>79</v>
      </c>
      <c r="B4228">
        <v>16</v>
      </c>
      <c r="C4228">
        <v>3</v>
      </c>
      <c r="D4228">
        <v>3</v>
      </c>
      <c r="E4228">
        <v>15</v>
      </c>
      <c r="G4228">
        <v>1633</v>
      </c>
      <c r="H4228" t="s">
        <v>63</v>
      </c>
      <c r="I4228" t="s">
        <v>139</v>
      </c>
      <c r="J4228" t="s">
        <v>155</v>
      </c>
      <c r="L4228">
        <v>0</v>
      </c>
      <c r="M4228" t="s">
        <v>125</v>
      </c>
      <c r="O4228" t="s">
        <v>125</v>
      </c>
      <c r="P4228" t="s">
        <v>125</v>
      </c>
      <c r="Q4228" t="s">
        <v>125</v>
      </c>
      <c r="R4228" t="s">
        <v>125</v>
      </c>
      <c r="S4228" t="s">
        <v>125</v>
      </c>
      <c r="T4228">
        <v>0</v>
      </c>
      <c r="V4228" t="s">
        <v>125</v>
      </c>
      <c r="AE4228" t="s">
        <v>125</v>
      </c>
      <c r="AF4228">
        <v>0</v>
      </c>
      <c r="AG4228" t="s">
        <v>125</v>
      </c>
      <c r="AH4228">
        <v>0</v>
      </c>
      <c r="AK4228">
        <v>0</v>
      </c>
    </row>
    <row r="4229" spans="1:37" x14ac:dyDescent="0.25">
      <c r="L4229">
        <v>0</v>
      </c>
    </row>
    <row r="4230" spans="1:37" x14ac:dyDescent="0.25">
      <c r="A4230" t="s">
        <v>70</v>
      </c>
      <c r="B4230">
        <v>16</v>
      </c>
      <c r="C4230">
        <v>3</v>
      </c>
      <c r="D4230">
        <v>4</v>
      </c>
      <c r="G4230">
        <v>163</v>
      </c>
      <c r="L4230">
        <v>0</v>
      </c>
      <c r="M4230" t="s">
        <v>125</v>
      </c>
      <c r="P4230" t="s">
        <v>125</v>
      </c>
      <c r="R4230" t="s">
        <v>125</v>
      </c>
      <c r="S4230" t="s">
        <v>63</v>
      </c>
      <c r="V4230" t="s">
        <v>125</v>
      </c>
      <c r="X4230" t="s">
        <v>125</v>
      </c>
      <c r="Y4230" t="s">
        <v>125</v>
      </c>
      <c r="Z4230" t="s">
        <v>125</v>
      </c>
      <c r="AA4230" t="s">
        <v>125</v>
      </c>
      <c r="AB4230" t="s">
        <v>125</v>
      </c>
      <c r="AC4230" t="s">
        <v>125</v>
      </c>
      <c r="AE4230" t="s">
        <v>125</v>
      </c>
      <c r="AF4230">
        <v>0</v>
      </c>
      <c r="AG4230" t="s">
        <v>125</v>
      </c>
      <c r="AH4230">
        <v>0</v>
      </c>
      <c r="AK4230">
        <v>0</v>
      </c>
    </row>
    <row r="4231" spans="1:37" x14ac:dyDescent="0.25">
      <c r="A4231" t="s">
        <v>79</v>
      </c>
      <c r="B4231">
        <v>16</v>
      </c>
      <c r="C4231">
        <v>3</v>
      </c>
      <c r="D4231">
        <v>4</v>
      </c>
      <c r="E4231">
        <v>1</v>
      </c>
      <c r="G4231">
        <v>1634</v>
      </c>
      <c r="H4231" t="s">
        <v>63</v>
      </c>
      <c r="I4231" t="s">
        <v>80</v>
      </c>
      <c r="J4231" t="s">
        <v>141</v>
      </c>
      <c r="L4231">
        <v>0</v>
      </c>
      <c r="M4231" t="s">
        <v>125</v>
      </c>
      <c r="O4231" t="s">
        <v>125</v>
      </c>
      <c r="P4231" t="s">
        <v>125</v>
      </c>
      <c r="Q4231" t="s">
        <v>125</v>
      </c>
      <c r="R4231" t="s">
        <v>125</v>
      </c>
      <c r="S4231" t="s">
        <v>125</v>
      </c>
      <c r="T4231">
        <v>0</v>
      </c>
      <c r="V4231" t="s">
        <v>125</v>
      </c>
      <c r="AE4231" t="s">
        <v>125</v>
      </c>
      <c r="AF4231">
        <v>0</v>
      </c>
      <c r="AG4231" t="s">
        <v>125</v>
      </c>
      <c r="AH4231">
        <v>0</v>
      </c>
      <c r="AK4231">
        <v>0</v>
      </c>
    </row>
    <row r="4232" spans="1:37" x14ac:dyDescent="0.25">
      <c r="A4232" t="s">
        <v>79</v>
      </c>
      <c r="B4232">
        <v>16</v>
      </c>
      <c r="C4232">
        <v>3</v>
      </c>
      <c r="D4232">
        <v>4</v>
      </c>
      <c r="E4232">
        <v>2</v>
      </c>
      <c r="G4232">
        <v>1634</v>
      </c>
      <c r="H4232" t="s">
        <v>63</v>
      </c>
      <c r="I4232" t="s">
        <v>88</v>
      </c>
      <c r="J4232" t="s">
        <v>142</v>
      </c>
      <c r="L4232">
        <v>0</v>
      </c>
      <c r="M4232" t="s">
        <v>125</v>
      </c>
      <c r="O4232" t="s">
        <v>125</v>
      </c>
      <c r="P4232" t="s">
        <v>125</v>
      </c>
      <c r="Q4232" t="s">
        <v>125</v>
      </c>
      <c r="R4232" t="s">
        <v>125</v>
      </c>
      <c r="S4232" t="s">
        <v>125</v>
      </c>
      <c r="T4232">
        <v>0</v>
      </c>
      <c r="V4232" t="s">
        <v>125</v>
      </c>
      <c r="AE4232" t="s">
        <v>125</v>
      </c>
      <c r="AF4232">
        <v>0</v>
      </c>
      <c r="AG4232" t="s">
        <v>125</v>
      </c>
      <c r="AH4232">
        <v>0</v>
      </c>
      <c r="AK4232">
        <v>0</v>
      </c>
    </row>
    <row r="4233" spans="1:37" x14ac:dyDescent="0.25">
      <c r="A4233" t="s">
        <v>79</v>
      </c>
      <c r="B4233">
        <v>16</v>
      </c>
      <c r="C4233">
        <v>3</v>
      </c>
      <c r="D4233">
        <v>4</v>
      </c>
      <c r="E4233">
        <v>3</v>
      </c>
      <c r="G4233">
        <v>1634</v>
      </c>
      <c r="H4233" t="s">
        <v>63</v>
      </c>
      <c r="I4233" t="s">
        <v>95</v>
      </c>
      <c r="J4233" t="s">
        <v>143</v>
      </c>
      <c r="L4233">
        <v>0</v>
      </c>
      <c r="M4233" t="s">
        <v>125</v>
      </c>
      <c r="O4233" t="s">
        <v>125</v>
      </c>
      <c r="P4233" t="s">
        <v>125</v>
      </c>
      <c r="Q4233" t="s">
        <v>125</v>
      </c>
      <c r="R4233" t="s">
        <v>125</v>
      </c>
      <c r="S4233" t="s">
        <v>125</v>
      </c>
      <c r="T4233">
        <v>0</v>
      </c>
      <c r="V4233" t="s">
        <v>125</v>
      </c>
      <c r="AE4233" t="s">
        <v>125</v>
      </c>
      <c r="AF4233">
        <v>0</v>
      </c>
      <c r="AG4233" t="s">
        <v>125</v>
      </c>
      <c r="AH4233">
        <v>0</v>
      </c>
      <c r="AK4233">
        <v>0</v>
      </c>
    </row>
    <row r="4234" spans="1:37" x14ac:dyDescent="0.25">
      <c r="A4234" t="s">
        <v>79</v>
      </c>
      <c r="B4234">
        <v>16</v>
      </c>
      <c r="C4234">
        <v>3</v>
      </c>
      <c r="D4234">
        <v>4</v>
      </c>
      <c r="E4234">
        <v>4</v>
      </c>
      <c r="G4234">
        <v>1634</v>
      </c>
      <c r="H4234" t="s">
        <v>63</v>
      </c>
      <c r="I4234" t="s">
        <v>102</v>
      </c>
      <c r="J4234" t="s">
        <v>144</v>
      </c>
      <c r="L4234">
        <v>0</v>
      </c>
      <c r="M4234" t="s">
        <v>125</v>
      </c>
      <c r="O4234" t="s">
        <v>125</v>
      </c>
      <c r="P4234" t="s">
        <v>125</v>
      </c>
      <c r="Q4234" t="s">
        <v>125</v>
      </c>
      <c r="R4234" t="s">
        <v>125</v>
      </c>
      <c r="S4234" t="s">
        <v>125</v>
      </c>
      <c r="T4234">
        <v>0</v>
      </c>
      <c r="V4234" t="s">
        <v>125</v>
      </c>
      <c r="AE4234" t="s">
        <v>125</v>
      </c>
      <c r="AF4234">
        <v>0</v>
      </c>
      <c r="AG4234" t="s">
        <v>125</v>
      </c>
      <c r="AH4234">
        <v>0</v>
      </c>
      <c r="AK4234">
        <v>0</v>
      </c>
    </row>
    <row r="4235" spans="1:37" x14ac:dyDescent="0.25">
      <c r="A4235" t="s">
        <v>79</v>
      </c>
      <c r="B4235">
        <v>16</v>
      </c>
      <c r="C4235">
        <v>3</v>
      </c>
      <c r="D4235">
        <v>4</v>
      </c>
      <c r="E4235">
        <v>5</v>
      </c>
      <c r="G4235">
        <v>1634</v>
      </c>
      <c r="H4235" t="s">
        <v>63</v>
      </c>
      <c r="I4235" t="s">
        <v>109</v>
      </c>
      <c r="J4235" t="s">
        <v>145</v>
      </c>
      <c r="L4235">
        <v>0</v>
      </c>
      <c r="M4235" t="s">
        <v>125</v>
      </c>
      <c r="O4235" t="s">
        <v>125</v>
      </c>
      <c r="P4235" t="s">
        <v>125</v>
      </c>
      <c r="Q4235" t="s">
        <v>125</v>
      </c>
      <c r="R4235" t="s">
        <v>125</v>
      </c>
      <c r="S4235" t="s">
        <v>125</v>
      </c>
      <c r="T4235">
        <v>0</v>
      </c>
      <c r="V4235" t="s">
        <v>125</v>
      </c>
      <c r="AE4235" t="s">
        <v>125</v>
      </c>
      <c r="AF4235">
        <v>0</v>
      </c>
      <c r="AG4235" t="s">
        <v>125</v>
      </c>
      <c r="AH4235">
        <v>0</v>
      </c>
      <c r="AK4235">
        <v>0</v>
      </c>
    </row>
    <row r="4236" spans="1:37" x14ac:dyDescent="0.25">
      <c r="A4236" t="s">
        <v>79</v>
      </c>
      <c r="B4236">
        <v>16</v>
      </c>
      <c r="C4236">
        <v>3</v>
      </c>
      <c r="D4236">
        <v>4</v>
      </c>
      <c r="E4236">
        <v>6</v>
      </c>
      <c r="G4236">
        <v>1634</v>
      </c>
      <c r="H4236" t="s">
        <v>63</v>
      </c>
      <c r="I4236" t="s">
        <v>116</v>
      </c>
      <c r="J4236" t="s">
        <v>146</v>
      </c>
      <c r="L4236">
        <v>0</v>
      </c>
      <c r="M4236" t="s">
        <v>125</v>
      </c>
      <c r="O4236" t="s">
        <v>125</v>
      </c>
      <c r="P4236" t="s">
        <v>125</v>
      </c>
      <c r="Q4236" t="s">
        <v>125</v>
      </c>
      <c r="R4236" t="s">
        <v>125</v>
      </c>
      <c r="S4236" t="s">
        <v>125</v>
      </c>
      <c r="T4236">
        <v>0</v>
      </c>
      <c r="V4236" t="s">
        <v>125</v>
      </c>
      <c r="AE4236" t="s">
        <v>125</v>
      </c>
      <c r="AF4236">
        <v>0</v>
      </c>
      <c r="AG4236" t="s">
        <v>125</v>
      </c>
      <c r="AH4236">
        <v>0</v>
      </c>
      <c r="AK4236">
        <v>0</v>
      </c>
    </row>
    <row r="4237" spans="1:37" x14ac:dyDescent="0.25">
      <c r="A4237" t="s">
        <v>79</v>
      </c>
      <c r="B4237">
        <v>16</v>
      </c>
      <c r="C4237">
        <v>3</v>
      </c>
      <c r="D4237">
        <v>4</v>
      </c>
      <c r="E4237">
        <v>7</v>
      </c>
      <c r="G4237">
        <v>1634</v>
      </c>
      <c r="H4237" t="s">
        <v>63</v>
      </c>
      <c r="I4237" t="s">
        <v>123</v>
      </c>
      <c r="J4237" t="s">
        <v>147</v>
      </c>
      <c r="L4237">
        <v>0</v>
      </c>
      <c r="M4237" t="s">
        <v>125</v>
      </c>
      <c r="O4237" t="s">
        <v>125</v>
      </c>
      <c r="P4237" t="s">
        <v>125</v>
      </c>
      <c r="Q4237" t="s">
        <v>125</v>
      </c>
      <c r="R4237" t="s">
        <v>125</v>
      </c>
      <c r="S4237" t="s">
        <v>125</v>
      </c>
      <c r="T4237">
        <v>0</v>
      </c>
      <c r="V4237" t="s">
        <v>125</v>
      </c>
      <c r="AE4237" t="s">
        <v>125</v>
      </c>
      <c r="AF4237">
        <v>0</v>
      </c>
      <c r="AG4237" t="s">
        <v>125</v>
      </c>
      <c r="AH4237">
        <v>0</v>
      </c>
      <c r="AK4237">
        <v>0</v>
      </c>
    </row>
    <row r="4238" spans="1:37" x14ac:dyDescent="0.25">
      <c r="A4238" t="s">
        <v>79</v>
      </c>
      <c r="B4238">
        <v>16</v>
      </c>
      <c r="C4238">
        <v>3</v>
      </c>
      <c r="D4238">
        <v>4</v>
      </c>
      <c r="E4238">
        <v>8</v>
      </c>
      <c r="G4238">
        <v>1634</v>
      </c>
      <c r="H4238" t="s">
        <v>63</v>
      </c>
      <c r="I4238" t="s">
        <v>126</v>
      </c>
      <c r="J4238" t="s">
        <v>148</v>
      </c>
      <c r="L4238">
        <v>0</v>
      </c>
      <c r="M4238" t="s">
        <v>125</v>
      </c>
      <c r="O4238" t="s">
        <v>125</v>
      </c>
      <c r="P4238" t="s">
        <v>125</v>
      </c>
      <c r="Q4238" t="s">
        <v>125</v>
      </c>
      <c r="R4238" t="s">
        <v>125</v>
      </c>
      <c r="S4238" t="s">
        <v>125</v>
      </c>
      <c r="T4238">
        <v>0</v>
      </c>
      <c r="V4238" t="s">
        <v>125</v>
      </c>
      <c r="AE4238" t="s">
        <v>125</v>
      </c>
      <c r="AF4238">
        <v>0</v>
      </c>
      <c r="AG4238" t="s">
        <v>125</v>
      </c>
      <c r="AH4238">
        <v>0</v>
      </c>
      <c r="AK4238">
        <v>0</v>
      </c>
    </row>
    <row r="4239" spans="1:37" x14ac:dyDescent="0.25">
      <c r="A4239" t="s">
        <v>79</v>
      </c>
      <c r="B4239">
        <v>16</v>
      </c>
      <c r="C4239">
        <v>3</v>
      </c>
      <c r="D4239">
        <v>4</v>
      </c>
      <c r="E4239">
        <v>9</v>
      </c>
      <c r="G4239">
        <v>1634</v>
      </c>
      <c r="H4239" t="s">
        <v>63</v>
      </c>
      <c r="I4239" t="s">
        <v>74</v>
      </c>
      <c r="J4239" t="s">
        <v>149</v>
      </c>
      <c r="L4239">
        <v>0</v>
      </c>
      <c r="M4239" t="s">
        <v>125</v>
      </c>
      <c r="O4239" t="s">
        <v>125</v>
      </c>
      <c r="P4239" t="s">
        <v>125</v>
      </c>
      <c r="Q4239" t="s">
        <v>125</v>
      </c>
      <c r="R4239" t="s">
        <v>125</v>
      </c>
      <c r="S4239" t="s">
        <v>125</v>
      </c>
      <c r="T4239">
        <v>0</v>
      </c>
      <c r="V4239" t="s">
        <v>125</v>
      </c>
      <c r="AE4239" t="s">
        <v>125</v>
      </c>
      <c r="AF4239">
        <v>0</v>
      </c>
      <c r="AG4239" t="s">
        <v>125</v>
      </c>
      <c r="AH4239">
        <v>0</v>
      </c>
      <c r="AK4239">
        <v>0</v>
      </c>
    </row>
    <row r="4240" spans="1:37" x14ac:dyDescent="0.25">
      <c r="A4240" t="s">
        <v>79</v>
      </c>
      <c r="B4240">
        <v>16</v>
      </c>
      <c r="C4240">
        <v>3</v>
      </c>
      <c r="D4240">
        <v>4</v>
      </c>
      <c r="E4240">
        <v>10</v>
      </c>
      <c r="G4240">
        <v>1634</v>
      </c>
      <c r="H4240" t="s">
        <v>63</v>
      </c>
      <c r="I4240" t="s">
        <v>129</v>
      </c>
      <c r="J4240" t="s">
        <v>150</v>
      </c>
      <c r="L4240">
        <v>0</v>
      </c>
      <c r="M4240" t="s">
        <v>125</v>
      </c>
      <c r="O4240" t="s">
        <v>125</v>
      </c>
      <c r="P4240" t="s">
        <v>125</v>
      </c>
      <c r="Q4240" t="s">
        <v>125</v>
      </c>
      <c r="R4240" t="s">
        <v>125</v>
      </c>
      <c r="S4240" t="s">
        <v>125</v>
      </c>
      <c r="T4240">
        <v>0</v>
      </c>
      <c r="V4240" t="s">
        <v>125</v>
      </c>
      <c r="AE4240" t="s">
        <v>125</v>
      </c>
      <c r="AF4240">
        <v>0</v>
      </c>
      <c r="AG4240" t="s">
        <v>125</v>
      </c>
      <c r="AH4240">
        <v>0</v>
      </c>
      <c r="AK4240">
        <v>0</v>
      </c>
    </row>
    <row r="4241" spans="1:37" x14ac:dyDescent="0.25">
      <c r="A4241" t="s">
        <v>79</v>
      </c>
      <c r="B4241">
        <v>16</v>
      </c>
      <c r="C4241">
        <v>3</v>
      </c>
      <c r="D4241">
        <v>4</v>
      </c>
      <c r="E4241">
        <v>11</v>
      </c>
      <c r="G4241">
        <v>1634</v>
      </c>
      <c r="H4241" t="s">
        <v>63</v>
      </c>
      <c r="I4241" t="s">
        <v>131</v>
      </c>
      <c r="J4241" t="s">
        <v>151</v>
      </c>
      <c r="L4241">
        <v>0</v>
      </c>
      <c r="M4241" t="s">
        <v>125</v>
      </c>
      <c r="O4241" t="s">
        <v>125</v>
      </c>
      <c r="P4241" t="s">
        <v>125</v>
      </c>
      <c r="Q4241" t="s">
        <v>125</v>
      </c>
      <c r="R4241" t="s">
        <v>125</v>
      </c>
      <c r="S4241" t="s">
        <v>125</v>
      </c>
      <c r="T4241">
        <v>0</v>
      </c>
      <c r="V4241" t="s">
        <v>125</v>
      </c>
      <c r="AE4241" t="s">
        <v>125</v>
      </c>
      <c r="AF4241">
        <v>0</v>
      </c>
      <c r="AG4241" t="s">
        <v>125</v>
      </c>
      <c r="AH4241">
        <v>0</v>
      </c>
      <c r="AK4241">
        <v>0</v>
      </c>
    </row>
    <row r="4242" spans="1:37" x14ac:dyDescent="0.25">
      <c r="A4242" t="s">
        <v>79</v>
      </c>
      <c r="B4242">
        <v>16</v>
      </c>
      <c r="C4242">
        <v>3</v>
      </c>
      <c r="D4242">
        <v>4</v>
      </c>
      <c r="E4242">
        <v>12</v>
      </c>
      <c r="G4242">
        <v>1634</v>
      </c>
      <c r="H4242" t="s">
        <v>63</v>
      </c>
      <c r="I4242" t="s">
        <v>133</v>
      </c>
      <c r="J4242" t="s">
        <v>152</v>
      </c>
      <c r="L4242">
        <v>0</v>
      </c>
      <c r="M4242" t="s">
        <v>125</v>
      </c>
      <c r="O4242" t="s">
        <v>125</v>
      </c>
      <c r="P4242" t="s">
        <v>125</v>
      </c>
      <c r="Q4242" t="s">
        <v>125</v>
      </c>
      <c r="R4242" t="s">
        <v>125</v>
      </c>
      <c r="S4242" t="s">
        <v>125</v>
      </c>
      <c r="T4242">
        <v>0</v>
      </c>
      <c r="V4242" t="s">
        <v>125</v>
      </c>
      <c r="AE4242" t="s">
        <v>125</v>
      </c>
      <c r="AF4242">
        <v>0</v>
      </c>
      <c r="AG4242" t="s">
        <v>125</v>
      </c>
      <c r="AH4242">
        <v>0</v>
      </c>
      <c r="AK4242">
        <v>0</v>
      </c>
    </row>
    <row r="4243" spans="1:37" x14ac:dyDescent="0.25">
      <c r="A4243" t="s">
        <v>79</v>
      </c>
      <c r="B4243">
        <v>16</v>
      </c>
      <c r="C4243">
        <v>3</v>
      </c>
      <c r="D4243">
        <v>4</v>
      </c>
      <c r="E4243">
        <v>13</v>
      </c>
      <c r="G4243">
        <v>1634</v>
      </c>
      <c r="H4243" t="s">
        <v>63</v>
      </c>
      <c r="I4243" t="s">
        <v>135</v>
      </c>
      <c r="J4243" t="s">
        <v>153</v>
      </c>
      <c r="L4243">
        <v>0</v>
      </c>
      <c r="M4243" t="s">
        <v>125</v>
      </c>
      <c r="O4243" t="s">
        <v>125</v>
      </c>
      <c r="P4243" t="s">
        <v>125</v>
      </c>
      <c r="Q4243" t="s">
        <v>125</v>
      </c>
      <c r="R4243" t="s">
        <v>125</v>
      </c>
      <c r="S4243" t="s">
        <v>125</v>
      </c>
      <c r="T4243">
        <v>0</v>
      </c>
      <c r="V4243" t="s">
        <v>125</v>
      </c>
      <c r="AE4243" t="s">
        <v>125</v>
      </c>
      <c r="AF4243">
        <v>0</v>
      </c>
      <c r="AG4243" t="s">
        <v>125</v>
      </c>
      <c r="AH4243">
        <v>0</v>
      </c>
      <c r="AK4243">
        <v>0</v>
      </c>
    </row>
    <row r="4244" spans="1:37" x14ac:dyDescent="0.25">
      <c r="A4244" t="s">
        <v>79</v>
      </c>
      <c r="B4244">
        <v>16</v>
      </c>
      <c r="C4244">
        <v>3</v>
      </c>
      <c r="D4244">
        <v>4</v>
      </c>
      <c r="E4244">
        <v>14</v>
      </c>
      <c r="G4244">
        <v>1634</v>
      </c>
      <c r="H4244" t="s">
        <v>63</v>
      </c>
      <c r="I4244" t="s">
        <v>137</v>
      </c>
      <c r="J4244" t="s">
        <v>154</v>
      </c>
      <c r="L4244">
        <v>0</v>
      </c>
      <c r="M4244" t="s">
        <v>125</v>
      </c>
      <c r="O4244" t="s">
        <v>125</v>
      </c>
      <c r="P4244" t="s">
        <v>125</v>
      </c>
      <c r="Q4244" t="s">
        <v>125</v>
      </c>
      <c r="R4244" t="s">
        <v>125</v>
      </c>
      <c r="S4244" t="s">
        <v>125</v>
      </c>
      <c r="T4244">
        <v>0</v>
      </c>
      <c r="V4244" t="s">
        <v>125</v>
      </c>
      <c r="AE4244" t="s">
        <v>125</v>
      </c>
      <c r="AF4244">
        <v>0</v>
      </c>
      <c r="AG4244" t="s">
        <v>125</v>
      </c>
      <c r="AH4244">
        <v>0</v>
      </c>
      <c r="AK4244">
        <v>0</v>
      </c>
    </row>
    <row r="4245" spans="1:37" x14ac:dyDescent="0.25">
      <c r="A4245" t="s">
        <v>79</v>
      </c>
      <c r="B4245">
        <v>16</v>
      </c>
      <c r="C4245">
        <v>3</v>
      </c>
      <c r="D4245">
        <v>4</v>
      </c>
      <c r="E4245">
        <v>15</v>
      </c>
      <c r="G4245">
        <v>1634</v>
      </c>
      <c r="H4245" t="s">
        <v>63</v>
      </c>
      <c r="I4245" t="s">
        <v>139</v>
      </c>
      <c r="J4245" t="s">
        <v>155</v>
      </c>
      <c r="L4245">
        <v>0</v>
      </c>
      <c r="M4245" t="s">
        <v>125</v>
      </c>
      <c r="O4245" t="s">
        <v>125</v>
      </c>
      <c r="P4245" t="s">
        <v>125</v>
      </c>
      <c r="Q4245" t="s">
        <v>125</v>
      </c>
      <c r="R4245" t="s">
        <v>125</v>
      </c>
      <c r="S4245" t="s">
        <v>125</v>
      </c>
      <c r="T4245">
        <v>0</v>
      </c>
      <c r="V4245" t="s">
        <v>125</v>
      </c>
      <c r="AE4245" t="s">
        <v>125</v>
      </c>
      <c r="AF4245">
        <v>0</v>
      </c>
      <c r="AG4245" t="s">
        <v>125</v>
      </c>
      <c r="AH4245">
        <v>0</v>
      </c>
      <c r="AK4245">
        <v>0</v>
      </c>
    </row>
    <row r="4246" spans="1:37" x14ac:dyDescent="0.25">
      <c r="L4246">
        <v>0</v>
      </c>
    </row>
    <row r="4247" spans="1:37" x14ac:dyDescent="0.25">
      <c r="A4247" t="s">
        <v>70</v>
      </c>
      <c r="B4247">
        <v>16</v>
      </c>
      <c r="C4247">
        <v>3</v>
      </c>
      <c r="D4247">
        <v>5</v>
      </c>
      <c r="G4247">
        <v>163</v>
      </c>
      <c r="L4247">
        <v>0</v>
      </c>
      <c r="M4247" t="s">
        <v>125</v>
      </c>
      <c r="P4247" t="s">
        <v>125</v>
      </c>
      <c r="R4247" t="s">
        <v>125</v>
      </c>
      <c r="S4247" t="s">
        <v>63</v>
      </c>
      <c r="V4247" t="s">
        <v>125</v>
      </c>
      <c r="X4247" t="s">
        <v>125</v>
      </c>
      <c r="Y4247" t="s">
        <v>125</v>
      </c>
      <c r="Z4247" t="s">
        <v>125</v>
      </c>
      <c r="AA4247" t="s">
        <v>125</v>
      </c>
      <c r="AB4247" t="s">
        <v>125</v>
      </c>
      <c r="AC4247" t="s">
        <v>125</v>
      </c>
      <c r="AE4247" t="s">
        <v>125</v>
      </c>
      <c r="AF4247">
        <v>0</v>
      </c>
      <c r="AG4247" t="s">
        <v>125</v>
      </c>
      <c r="AH4247">
        <v>0</v>
      </c>
      <c r="AK4247">
        <v>0</v>
      </c>
    </row>
    <row r="4248" spans="1:37" x14ac:dyDescent="0.25">
      <c r="A4248" t="s">
        <v>79</v>
      </c>
      <c r="B4248">
        <v>16</v>
      </c>
      <c r="C4248">
        <v>3</v>
      </c>
      <c r="D4248">
        <v>5</v>
      </c>
      <c r="E4248">
        <v>1</v>
      </c>
      <c r="G4248">
        <v>1635</v>
      </c>
      <c r="H4248" t="s">
        <v>63</v>
      </c>
      <c r="I4248" t="s">
        <v>80</v>
      </c>
      <c r="J4248" t="s">
        <v>141</v>
      </c>
      <c r="L4248">
        <v>0</v>
      </c>
      <c r="M4248" t="s">
        <v>125</v>
      </c>
      <c r="O4248" t="s">
        <v>125</v>
      </c>
      <c r="P4248" t="s">
        <v>125</v>
      </c>
      <c r="Q4248" t="s">
        <v>125</v>
      </c>
      <c r="R4248" t="s">
        <v>125</v>
      </c>
      <c r="S4248" t="s">
        <v>125</v>
      </c>
      <c r="T4248">
        <v>0</v>
      </c>
      <c r="V4248" t="s">
        <v>125</v>
      </c>
      <c r="AE4248" t="s">
        <v>125</v>
      </c>
      <c r="AF4248">
        <v>0</v>
      </c>
      <c r="AG4248" t="s">
        <v>125</v>
      </c>
      <c r="AH4248">
        <v>0</v>
      </c>
      <c r="AK4248">
        <v>0</v>
      </c>
    </row>
    <row r="4249" spans="1:37" x14ac:dyDescent="0.25">
      <c r="A4249" t="s">
        <v>79</v>
      </c>
      <c r="B4249">
        <v>16</v>
      </c>
      <c r="C4249">
        <v>3</v>
      </c>
      <c r="D4249">
        <v>5</v>
      </c>
      <c r="E4249">
        <v>2</v>
      </c>
      <c r="G4249">
        <v>1635</v>
      </c>
      <c r="H4249" t="s">
        <v>63</v>
      </c>
      <c r="I4249" t="s">
        <v>88</v>
      </c>
      <c r="J4249" t="s">
        <v>142</v>
      </c>
      <c r="L4249">
        <v>0</v>
      </c>
      <c r="M4249" t="s">
        <v>125</v>
      </c>
      <c r="O4249" t="s">
        <v>125</v>
      </c>
      <c r="P4249" t="s">
        <v>125</v>
      </c>
      <c r="Q4249" t="s">
        <v>125</v>
      </c>
      <c r="R4249" t="s">
        <v>125</v>
      </c>
      <c r="S4249" t="s">
        <v>125</v>
      </c>
      <c r="T4249">
        <v>0</v>
      </c>
      <c r="V4249" t="s">
        <v>125</v>
      </c>
      <c r="AE4249" t="s">
        <v>125</v>
      </c>
      <c r="AF4249">
        <v>0</v>
      </c>
      <c r="AG4249" t="s">
        <v>125</v>
      </c>
      <c r="AH4249">
        <v>0</v>
      </c>
      <c r="AK4249">
        <v>0</v>
      </c>
    </row>
    <row r="4250" spans="1:37" x14ac:dyDescent="0.25">
      <c r="A4250" t="s">
        <v>79</v>
      </c>
      <c r="B4250">
        <v>16</v>
      </c>
      <c r="C4250">
        <v>3</v>
      </c>
      <c r="D4250">
        <v>5</v>
      </c>
      <c r="E4250">
        <v>3</v>
      </c>
      <c r="G4250">
        <v>1635</v>
      </c>
      <c r="H4250" t="s">
        <v>63</v>
      </c>
      <c r="I4250" t="s">
        <v>95</v>
      </c>
      <c r="J4250" t="s">
        <v>143</v>
      </c>
      <c r="L4250">
        <v>0</v>
      </c>
      <c r="M4250" t="s">
        <v>125</v>
      </c>
      <c r="O4250" t="s">
        <v>125</v>
      </c>
      <c r="P4250" t="s">
        <v>125</v>
      </c>
      <c r="Q4250" t="s">
        <v>125</v>
      </c>
      <c r="R4250" t="s">
        <v>125</v>
      </c>
      <c r="S4250" t="s">
        <v>125</v>
      </c>
      <c r="T4250">
        <v>0</v>
      </c>
      <c r="V4250" t="s">
        <v>125</v>
      </c>
      <c r="AE4250" t="s">
        <v>125</v>
      </c>
      <c r="AF4250">
        <v>0</v>
      </c>
      <c r="AG4250" t="s">
        <v>125</v>
      </c>
      <c r="AH4250">
        <v>0</v>
      </c>
      <c r="AK4250">
        <v>0</v>
      </c>
    </row>
    <row r="4251" spans="1:37" x14ac:dyDescent="0.25">
      <c r="A4251" t="s">
        <v>79</v>
      </c>
      <c r="B4251">
        <v>16</v>
      </c>
      <c r="C4251">
        <v>3</v>
      </c>
      <c r="D4251">
        <v>5</v>
      </c>
      <c r="E4251">
        <v>4</v>
      </c>
      <c r="G4251">
        <v>1635</v>
      </c>
      <c r="H4251" t="s">
        <v>63</v>
      </c>
      <c r="I4251" t="s">
        <v>102</v>
      </c>
      <c r="J4251" t="s">
        <v>144</v>
      </c>
      <c r="L4251">
        <v>0</v>
      </c>
      <c r="M4251" t="s">
        <v>125</v>
      </c>
      <c r="O4251" t="s">
        <v>125</v>
      </c>
      <c r="P4251" t="s">
        <v>125</v>
      </c>
      <c r="Q4251" t="s">
        <v>125</v>
      </c>
      <c r="R4251" t="s">
        <v>125</v>
      </c>
      <c r="S4251" t="s">
        <v>125</v>
      </c>
      <c r="T4251">
        <v>0</v>
      </c>
      <c r="V4251" t="s">
        <v>125</v>
      </c>
      <c r="AE4251" t="s">
        <v>125</v>
      </c>
      <c r="AF4251">
        <v>0</v>
      </c>
      <c r="AG4251" t="s">
        <v>125</v>
      </c>
      <c r="AH4251">
        <v>0</v>
      </c>
      <c r="AK4251">
        <v>0</v>
      </c>
    </row>
    <row r="4252" spans="1:37" x14ac:dyDescent="0.25">
      <c r="A4252" t="s">
        <v>79</v>
      </c>
      <c r="B4252">
        <v>16</v>
      </c>
      <c r="C4252">
        <v>3</v>
      </c>
      <c r="D4252">
        <v>5</v>
      </c>
      <c r="E4252">
        <v>5</v>
      </c>
      <c r="G4252">
        <v>1635</v>
      </c>
      <c r="H4252" t="s">
        <v>63</v>
      </c>
      <c r="I4252" t="s">
        <v>109</v>
      </c>
      <c r="J4252" t="s">
        <v>145</v>
      </c>
      <c r="L4252">
        <v>0</v>
      </c>
      <c r="M4252" t="s">
        <v>125</v>
      </c>
      <c r="O4252" t="s">
        <v>125</v>
      </c>
      <c r="P4252" t="s">
        <v>125</v>
      </c>
      <c r="Q4252" t="s">
        <v>125</v>
      </c>
      <c r="R4252" t="s">
        <v>125</v>
      </c>
      <c r="S4252" t="s">
        <v>125</v>
      </c>
      <c r="T4252">
        <v>0</v>
      </c>
      <c r="V4252" t="s">
        <v>125</v>
      </c>
      <c r="AE4252" t="s">
        <v>125</v>
      </c>
      <c r="AF4252">
        <v>0</v>
      </c>
      <c r="AG4252" t="s">
        <v>125</v>
      </c>
      <c r="AH4252">
        <v>0</v>
      </c>
      <c r="AK4252">
        <v>0</v>
      </c>
    </row>
    <row r="4253" spans="1:37" x14ac:dyDescent="0.25">
      <c r="A4253" t="s">
        <v>79</v>
      </c>
      <c r="B4253">
        <v>16</v>
      </c>
      <c r="C4253">
        <v>3</v>
      </c>
      <c r="D4253">
        <v>5</v>
      </c>
      <c r="E4253">
        <v>6</v>
      </c>
      <c r="G4253">
        <v>1635</v>
      </c>
      <c r="H4253" t="s">
        <v>63</v>
      </c>
      <c r="I4253" t="s">
        <v>116</v>
      </c>
      <c r="J4253" t="s">
        <v>146</v>
      </c>
      <c r="L4253">
        <v>0</v>
      </c>
      <c r="M4253" t="s">
        <v>125</v>
      </c>
      <c r="O4253" t="s">
        <v>125</v>
      </c>
      <c r="P4253" t="s">
        <v>125</v>
      </c>
      <c r="Q4253" t="s">
        <v>125</v>
      </c>
      <c r="R4253" t="s">
        <v>125</v>
      </c>
      <c r="S4253" t="s">
        <v>125</v>
      </c>
      <c r="T4253">
        <v>0</v>
      </c>
      <c r="V4253" t="s">
        <v>125</v>
      </c>
      <c r="AE4253" t="s">
        <v>125</v>
      </c>
      <c r="AF4253">
        <v>0</v>
      </c>
      <c r="AG4253" t="s">
        <v>125</v>
      </c>
      <c r="AH4253">
        <v>0</v>
      </c>
      <c r="AK4253">
        <v>0</v>
      </c>
    </row>
    <row r="4254" spans="1:37" x14ac:dyDescent="0.25">
      <c r="A4254" t="s">
        <v>79</v>
      </c>
      <c r="B4254">
        <v>16</v>
      </c>
      <c r="C4254">
        <v>3</v>
      </c>
      <c r="D4254">
        <v>5</v>
      </c>
      <c r="E4254">
        <v>7</v>
      </c>
      <c r="G4254">
        <v>1635</v>
      </c>
      <c r="H4254" t="s">
        <v>63</v>
      </c>
      <c r="I4254" t="s">
        <v>123</v>
      </c>
      <c r="J4254" t="s">
        <v>147</v>
      </c>
      <c r="L4254">
        <v>0</v>
      </c>
      <c r="M4254" t="s">
        <v>125</v>
      </c>
      <c r="O4254" t="s">
        <v>125</v>
      </c>
      <c r="P4254" t="s">
        <v>125</v>
      </c>
      <c r="Q4254" t="s">
        <v>125</v>
      </c>
      <c r="R4254" t="s">
        <v>125</v>
      </c>
      <c r="S4254" t="s">
        <v>125</v>
      </c>
      <c r="T4254">
        <v>0</v>
      </c>
      <c r="V4254" t="s">
        <v>125</v>
      </c>
      <c r="AE4254" t="s">
        <v>125</v>
      </c>
      <c r="AF4254">
        <v>0</v>
      </c>
      <c r="AG4254" t="s">
        <v>125</v>
      </c>
      <c r="AH4254">
        <v>0</v>
      </c>
      <c r="AK4254">
        <v>0</v>
      </c>
    </row>
    <row r="4255" spans="1:37" x14ac:dyDescent="0.25">
      <c r="A4255" t="s">
        <v>79</v>
      </c>
      <c r="B4255">
        <v>16</v>
      </c>
      <c r="C4255">
        <v>3</v>
      </c>
      <c r="D4255">
        <v>5</v>
      </c>
      <c r="E4255">
        <v>8</v>
      </c>
      <c r="G4255">
        <v>1635</v>
      </c>
      <c r="H4255" t="s">
        <v>63</v>
      </c>
      <c r="I4255" t="s">
        <v>126</v>
      </c>
      <c r="J4255" t="s">
        <v>148</v>
      </c>
      <c r="L4255">
        <v>0</v>
      </c>
      <c r="M4255" t="s">
        <v>125</v>
      </c>
      <c r="O4255" t="s">
        <v>125</v>
      </c>
      <c r="P4255" t="s">
        <v>125</v>
      </c>
      <c r="Q4255" t="s">
        <v>125</v>
      </c>
      <c r="R4255" t="s">
        <v>125</v>
      </c>
      <c r="S4255" t="s">
        <v>125</v>
      </c>
      <c r="T4255">
        <v>0</v>
      </c>
      <c r="V4255" t="s">
        <v>125</v>
      </c>
      <c r="AE4255" t="s">
        <v>125</v>
      </c>
      <c r="AF4255">
        <v>0</v>
      </c>
      <c r="AG4255" t="s">
        <v>125</v>
      </c>
      <c r="AH4255">
        <v>0</v>
      </c>
      <c r="AK4255">
        <v>0</v>
      </c>
    </row>
    <row r="4256" spans="1:37" x14ac:dyDescent="0.25">
      <c r="A4256" t="s">
        <v>79</v>
      </c>
      <c r="B4256">
        <v>16</v>
      </c>
      <c r="C4256">
        <v>3</v>
      </c>
      <c r="D4256">
        <v>5</v>
      </c>
      <c r="E4256">
        <v>9</v>
      </c>
      <c r="G4256">
        <v>1635</v>
      </c>
      <c r="H4256" t="s">
        <v>63</v>
      </c>
      <c r="I4256" t="s">
        <v>74</v>
      </c>
      <c r="J4256" t="s">
        <v>149</v>
      </c>
      <c r="L4256">
        <v>0</v>
      </c>
      <c r="M4256" t="s">
        <v>125</v>
      </c>
      <c r="O4256" t="s">
        <v>125</v>
      </c>
      <c r="P4256" t="s">
        <v>125</v>
      </c>
      <c r="Q4256" t="s">
        <v>125</v>
      </c>
      <c r="R4256" t="s">
        <v>125</v>
      </c>
      <c r="S4256" t="s">
        <v>125</v>
      </c>
      <c r="T4256">
        <v>0</v>
      </c>
      <c r="V4256" t="s">
        <v>125</v>
      </c>
      <c r="AE4256" t="s">
        <v>125</v>
      </c>
      <c r="AF4256">
        <v>0</v>
      </c>
      <c r="AG4256" t="s">
        <v>125</v>
      </c>
      <c r="AH4256">
        <v>0</v>
      </c>
      <c r="AK4256">
        <v>0</v>
      </c>
    </row>
    <row r="4257" spans="1:37" x14ac:dyDescent="0.25">
      <c r="A4257" t="s">
        <v>79</v>
      </c>
      <c r="B4257">
        <v>16</v>
      </c>
      <c r="C4257">
        <v>3</v>
      </c>
      <c r="D4257">
        <v>5</v>
      </c>
      <c r="E4257">
        <v>10</v>
      </c>
      <c r="G4257">
        <v>1635</v>
      </c>
      <c r="H4257" t="s">
        <v>63</v>
      </c>
      <c r="I4257" t="s">
        <v>129</v>
      </c>
      <c r="J4257" t="s">
        <v>150</v>
      </c>
      <c r="L4257">
        <v>0</v>
      </c>
      <c r="M4257" t="s">
        <v>125</v>
      </c>
      <c r="O4257" t="s">
        <v>125</v>
      </c>
      <c r="P4257" t="s">
        <v>125</v>
      </c>
      <c r="Q4257" t="s">
        <v>125</v>
      </c>
      <c r="R4257" t="s">
        <v>125</v>
      </c>
      <c r="S4257" t="s">
        <v>125</v>
      </c>
      <c r="T4257">
        <v>0</v>
      </c>
      <c r="V4257" t="s">
        <v>125</v>
      </c>
      <c r="AE4257" t="s">
        <v>125</v>
      </c>
      <c r="AF4257">
        <v>0</v>
      </c>
      <c r="AG4257" t="s">
        <v>125</v>
      </c>
      <c r="AH4257">
        <v>0</v>
      </c>
      <c r="AK4257">
        <v>0</v>
      </c>
    </row>
    <row r="4258" spans="1:37" x14ac:dyDescent="0.25">
      <c r="A4258" t="s">
        <v>79</v>
      </c>
      <c r="B4258">
        <v>16</v>
      </c>
      <c r="C4258">
        <v>3</v>
      </c>
      <c r="D4258">
        <v>5</v>
      </c>
      <c r="E4258">
        <v>11</v>
      </c>
      <c r="G4258">
        <v>1635</v>
      </c>
      <c r="H4258" t="s">
        <v>63</v>
      </c>
      <c r="I4258" t="s">
        <v>131</v>
      </c>
      <c r="J4258" t="s">
        <v>151</v>
      </c>
      <c r="L4258">
        <v>0</v>
      </c>
      <c r="M4258" t="s">
        <v>125</v>
      </c>
      <c r="O4258" t="s">
        <v>125</v>
      </c>
      <c r="P4258" t="s">
        <v>125</v>
      </c>
      <c r="Q4258" t="s">
        <v>125</v>
      </c>
      <c r="R4258" t="s">
        <v>125</v>
      </c>
      <c r="S4258" t="s">
        <v>125</v>
      </c>
      <c r="T4258">
        <v>0</v>
      </c>
      <c r="V4258" t="s">
        <v>125</v>
      </c>
      <c r="AE4258" t="s">
        <v>125</v>
      </c>
      <c r="AF4258">
        <v>0</v>
      </c>
      <c r="AG4258" t="s">
        <v>125</v>
      </c>
      <c r="AH4258">
        <v>0</v>
      </c>
      <c r="AK4258">
        <v>0</v>
      </c>
    </row>
    <row r="4259" spans="1:37" x14ac:dyDescent="0.25">
      <c r="A4259" t="s">
        <v>79</v>
      </c>
      <c r="B4259">
        <v>16</v>
      </c>
      <c r="C4259">
        <v>3</v>
      </c>
      <c r="D4259">
        <v>5</v>
      </c>
      <c r="E4259">
        <v>12</v>
      </c>
      <c r="G4259">
        <v>1635</v>
      </c>
      <c r="H4259" t="s">
        <v>63</v>
      </c>
      <c r="I4259" t="s">
        <v>133</v>
      </c>
      <c r="J4259" t="s">
        <v>152</v>
      </c>
      <c r="L4259">
        <v>0</v>
      </c>
      <c r="M4259" t="s">
        <v>125</v>
      </c>
      <c r="O4259" t="s">
        <v>125</v>
      </c>
      <c r="P4259" t="s">
        <v>125</v>
      </c>
      <c r="Q4259" t="s">
        <v>125</v>
      </c>
      <c r="R4259" t="s">
        <v>125</v>
      </c>
      <c r="S4259" t="s">
        <v>125</v>
      </c>
      <c r="T4259">
        <v>0</v>
      </c>
      <c r="V4259" t="s">
        <v>125</v>
      </c>
      <c r="AE4259" t="s">
        <v>125</v>
      </c>
      <c r="AF4259">
        <v>0</v>
      </c>
      <c r="AG4259" t="s">
        <v>125</v>
      </c>
      <c r="AH4259">
        <v>0</v>
      </c>
      <c r="AK4259">
        <v>0</v>
      </c>
    </row>
    <row r="4260" spans="1:37" x14ac:dyDescent="0.25">
      <c r="A4260" t="s">
        <v>79</v>
      </c>
      <c r="B4260">
        <v>16</v>
      </c>
      <c r="C4260">
        <v>3</v>
      </c>
      <c r="D4260">
        <v>5</v>
      </c>
      <c r="E4260">
        <v>13</v>
      </c>
      <c r="G4260">
        <v>1635</v>
      </c>
      <c r="H4260" t="s">
        <v>63</v>
      </c>
      <c r="I4260" t="s">
        <v>135</v>
      </c>
      <c r="J4260" t="s">
        <v>153</v>
      </c>
      <c r="L4260">
        <v>0</v>
      </c>
      <c r="M4260" t="s">
        <v>125</v>
      </c>
      <c r="O4260" t="s">
        <v>125</v>
      </c>
      <c r="P4260" t="s">
        <v>125</v>
      </c>
      <c r="Q4260" t="s">
        <v>125</v>
      </c>
      <c r="R4260" t="s">
        <v>125</v>
      </c>
      <c r="S4260" t="s">
        <v>125</v>
      </c>
      <c r="T4260">
        <v>0</v>
      </c>
      <c r="V4260" t="s">
        <v>125</v>
      </c>
      <c r="AE4260" t="s">
        <v>125</v>
      </c>
      <c r="AF4260">
        <v>0</v>
      </c>
      <c r="AG4260" t="s">
        <v>125</v>
      </c>
      <c r="AH4260">
        <v>0</v>
      </c>
      <c r="AK4260">
        <v>0</v>
      </c>
    </row>
    <row r="4261" spans="1:37" x14ac:dyDescent="0.25">
      <c r="A4261" t="s">
        <v>79</v>
      </c>
      <c r="B4261">
        <v>16</v>
      </c>
      <c r="C4261">
        <v>3</v>
      </c>
      <c r="D4261">
        <v>5</v>
      </c>
      <c r="E4261">
        <v>14</v>
      </c>
      <c r="G4261">
        <v>1635</v>
      </c>
      <c r="H4261" t="s">
        <v>63</v>
      </c>
      <c r="I4261" t="s">
        <v>137</v>
      </c>
      <c r="J4261" t="s">
        <v>154</v>
      </c>
      <c r="L4261">
        <v>0</v>
      </c>
      <c r="M4261" t="s">
        <v>125</v>
      </c>
      <c r="O4261" t="s">
        <v>125</v>
      </c>
      <c r="P4261" t="s">
        <v>125</v>
      </c>
      <c r="Q4261" t="s">
        <v>125</v>
      </c>
      <c r="R4261" t="s">
        <v>125</v>
      </c>
      <c r="S4261" t="s">
        <v>125</v>
      </c>
      <c r="T4261">
        <v>0</v>
      </c>
      <c r="V4261" t="s">
        <v>125</v>
      </c>
      <c r="AE4261" t="s">
        <v>125</v>
      </c>
      <c r="AF4261">
        <v>0</v>
      </c>
      <c r="AG4261" t="s">
        <v>125</v>
      </c>
      <c r="AH4261">
        <v>0</v>
      </c>
      <c r="AK4261">
        <v>0</v>
      </c>
    </row>
    <row r="4262" spans="1:37" x14ac:dyDescent="0.25">
      <c r="A4262" t="s">
        <v>79</v>
      </c>
      <c r="B4262">
        <v>16</v>
      </c>
      <c r="C4262">
        <v>3</v>
      </c>
      <c r="D4262">
        <v>5</v>
      </c>
      <c r="E4262">
        <v>15</v>
      </c>
      <c r="G4262">
        <v>1635</v>
      </c>
      <c r="H4262" t="s">
        <v>63</v>
      </c>
      <c r="I4262" t="s">
        <v>139</v>
      </c>
      <c r="J4262" t="s">
        <v>155</v>
      </c>
      <c r="L4262">
        <v>0</v>
      </c>
      <c r="M4262" t="s">
        <v>125</v>
      </c>
      <c r="O4262" t="s">
        <v>125</v>
      </c>
      <c r="P4262" t="s">
        <v>125</v>
      </c>
      <c r="Q4262" t="s">
        <v>125</v>
      </c>
      <c r="R4262" t="s">
        <v>125</v>
      </c>
      <c r="S4262" t="s">
        <v>125</v>
      </c>
      <c r="T4262">
        <v>0</v>
      </c>
      <c r="V4262" t="s">
        <v>125</v>
      </c>
      <c r="AE4262" t="s">
        <v>125</v>
      </c>
      <c r="AF4262">
        <v>0</v>
      </c>
      <c r="AG4262" t="s">
        <v>125</v>
      </c>
      <c r="AH4262">
        <v>0</v>
      </c>
      <c r="AK4262">
        <v>0</v>
      </c>
    </row>
    <row r="4263" spans="1:37" x14ac:dyDescent="0.25">
      <c r="L4263">
        <v>0</v>
      </c>
    </row>
    <row r="4264" spans="1:37" x14ac:dyDescent="0.25">
      <c r="L4264">
        <v>0</v>
      </c>
    </row>
    <row r="4265" spans="1:37" x14ac:dyDescent="0.25">
      <c r="A4265" t="s">
        <v>56</v>
      </c>
      <c r="F4265">
        <v>17</v>
      </c>
      <c r="L4265">
        <v>17</v>
      </c>
      <c r="M4265" t="s">
        <v>2953</v>
      </c>
      <c r="N4265" t="s">
        <v>5583</v>
      </c>
      <c r="P4265" t="s">
        <v>5584</v>
      </c>
      <c r="V4265" t="s">
        <v>5585</v>
      </c>
      <c r="Y4265" t="s">
        <v>5586</v>
      </c>
      <c r="AA4265" t="s">
        <v>5587</v>
      </c>
      <c r="AC4265" t="s">
        <v>5588</v>
      </c>
      <c r="AE4265" t="s">
        <v>5589</v>
      </c>
      <c r="AF4265">
        <v>0</v>
      </c>
      <c r="AG4265" t="s">
        <v>5590</v>
      </c>
      <c r="AH4265">
        <v>0</v>
      </c>
      <c r="AK4265">
        <v>0</v>
      </c>
    </row>
    <row r="4266" spans="1:37" x14ac:dyDescent="0.25">
      <c r="L4266">
        <v>0</v>
      </c>
    </row>
    <row r="4267" spans="1:37" x14ac:dyDescent="0.25">
      <c r="A4267" t="s">
        <v>66</v>
      </c>
      <c r="B4267">
        <v>17</v>
      </c>
      <c r="C4267">
        <v>1</v>
      </c>
      <c r="G4267">
        <v>17</v>
      </c>
      <c r="H4267" t="s">
        <v>5583</v>
      </c>
      <c r="I4267" t="s">
        <v>5591</v>
      </c>
      <c r="M4267" t="s">
        <v>5592</v>
      </c>
      <c r="N4267" t="s">
        <v>5591</v>
      </c>
      <c r="P4267" t="s">
        <v>5593</v>
      </c>
      <c r="V4267" t="s">
        <v>5594</v>
      </c>
      <c r="Y4267" t="s">
        <v>5595</v>
      </c>
      <c r="AA4267" t="s">
        <v>5596</v>
      </c>
      <c r="AC4267" t="s">
        <v>5597</v>
      </c>
      <c r="AE4267" t="s">
        <v>5598</v>
      </c>
      <c r="AF4267">
        <v>0</v>
      </c>
      <c r="AG4267" t="s">
        <v>5599</v>
      </c>
      <c r="AH4267">
        <v>0</v>
      </c>
      <c r="AK4267">
        <v>0</v>
      </c>
    </row>
    <row r="4268" spans="1:37" x14ac:dyDescent="0.25">
      <c r="L4268">
        <v>0</v>
      </c>
    </row>
    <row r="4269" spans="1:37" x14ac:dyDescent="0.25">
      <c r="A4269" t="s">
        <v>70</v>
      </c>
      <c r="B4269">
        <v>17</v>
      </c>
      <c r="C4269">
        <v>1</v>
      </c>
      <c r="D4269">
        <v>1</v>
      </c>
      <c r="G4269">
        <v>171</v>
      </c>
      <c r="M4269" t="s">
        <v>5600</v>
      </c>
      <c r="O4269" t="s">
        <v>5601</v>
      </c>
      <c r="P4269" t="s">
        <v>5602</v>
      </c>
      <c r="Q4269" t="s">
        <v>74</v>
      </c>
      <c r="R4269" t="s">
        <v>382</v>
      </c>
      <c r="S4269" t="s">
        <v>5603</v>
      </c>
      <c r="V4269" t="s">
        <v>5604</v>
      </c>
      <c r="X4269" t="s">
        <v>5605</v>
      </c>
      <c r="Y4269" t="s">
        <v>5606</v>
      </c>
      <c r="Z4269" t="s">
        <v>5607</v>
      </c>
      <c r="AA4269" t="s">
        <v>5608</v>
      </c>
      <c r="AB4269" t="s">
        <v>63</v>
      </c>
      <c r="AC4269" t="s">
        <v>63</v>
      </c>
      <c r="AE4269" t="s">
        <v>5609</v>
      </c>
      <c r="AF4269">
        <v>0</v>
      </c>
      <c r="AG4269" t="s">
        <v>5610</v>
      </c>
      <c r="AH4269">
        <v>0</v>
      </c>
      <c r="AK4269">
        <v>0</v>
      </c>
    </row>
    <row r="4270" spans="1:37" x14ac:dyDescent="0.25">
      <c r="A4270" t="s">
        <v>79</v>
      </c>
      <c r="B4270">
        <v>17</v>
      </c>
      <c r="C4270">
        <v>1</v>
      </c>
      <c r="D4270">
        <v>1</v>
      </c>
      <c r="E4270">
        <v>1</v>
      </c>
      <c r="G4270">
        <v>1711</v>
      </c>
      <c r="H4270" t="s">
        <v>5601</v>
      </c>
      <c r="I4270" t="s">
        <v>80</v>
      </c>
      <c r="J4270" t="s">
        <v>5611</v>
      </c>
      <c r="L4270">
        <v>0</v>
      </c>
      <c r="M4270" t="s">
        <v>5612</v>
      </c>
      <c r="O4270" t="s">
        <v>5613</v>
      </c>
      <c r="P4270" t="s">
        <v>5614</v>
      </c>
      <c r="Q4270" t="s">
        <v>57</v>
      </c>
      <c r="R4270" t="s">
        <v>382</v>
      </c>
      <c r="S4270" t="s">
        <v>5615</v>
      </c>
      <c r="T4270">
        <v>10</v>
      </c>
      <c r="U4270">
        <v>10</v>
      </c>
      <c r="V4270" t="s">
        <v>5615</v>
      </c>
      <c r="AE4270" t="s">
        <v>5616</v>
      </c>
      <c r="AF4270">
        <v>0</v>
      </c>
      <c r="AG4270" t="s">
        <v>5617</v>
      </c>
      <c r="AH4270">
        <v>0</v>
      </c>
      <c r="AK4270">
        <v>0</v>
      </c>
    </row>
    <row r="4271" spans="1:37" x14ac:dyDescent="0.25">
      <c r="A4271" t="s">
        <v>79</v>
      </c>
      <c r="B4271">
        <v>17</v>
      </c>
      <c r="C4271">
        <v>1</v>
      </c>
      <c r="D4271">
        <v>1</v>
      </c>
      <c r="E4271">
        <v>2</v>
      </c>
      <c r="G4271">
        <v>1711</v>
      </c>
      <c r="H4271" t="s">
        <v>5601</v>
      </c>
      <c r="I4271" t="s">
        <v>88</v>
      </c>
      <c r="J4271" t="s">
        <v>5618</v>
      </c>
      <c r="L4271">
        <v>0</v>
      </c>
      <c r="M4271" t="s">
        <v>5619</v>
      </c>
      <c r="O4271" t="s">
        <v>294</v>
      </c>
      <c r="P4271" t="s">
        <v>295</v>
      </c>
      <c r="Q4271" t="s">
        <v>5620</v>
      </c>
      <c r="R4271" t="s">
        <v>229</v>
      </c>
      <c r="S4271" t="s">
        <v>297</v>
      </c>
      <c r="T4271">
        <v>10</v>
      </c>
      <c r="U4271">
        <v>10</v>
      </c>
      <c r="V4271" t="s">
        <v>5621</v>
      </c>
      <c r="AE4271" t="s">
        <v>5622</v>
      </c>
      <c r="AF4271">
        <v>0</v>
      </c>
      <c r="AG4271" t="s">
        <v>5623</v>
      </c>
      <c r="AH4271">
        <v>0</v>
      </c>
      <c r="AK4271">
        <v>0</v>
      </c>
    </row>
    <row r="4272" spans="1:37" x14ac:dyDescent="0.25">
      <c r="A4272" t="s">
        <v>79</v>
      </c>
      <c r="B4272">
        <v>17</v>
      </c>
      <c r="C4272">
        <v>1</v>
      </c>
      <c r="D4272">
        <v>1</v>
      </c>
      <c r="E4272">
        <v>3</v>
      </c>
      <c r="G4272">
        <v>1711</v>
      </c>
      <c r="H4272" t="s">
        <v>5601</v>
      </c>
      <c r="I4272" t="s">
        <v>95</v>
      </c>
      <c r="J4272" t="s">
        <v>5624</v>
      </c>
      <c r="L4272">
        <v>0</v>
      </c>
      <c r="M4272" t="s">
        <v>5625</v>
      </c>
      <c r="O4272" t="s">
        <v>303</v>
      </c>
      <c r="P4272" t="s">
        <v>304</v>
      </c>
      <c r="Q4272" t="s">
        <v>1910</v>
      </c>
      <c r="R4272" t="s">
        <v>229</v>
      </c>
      <c r="S4272" t="s">
        <v>305</v>
      </c>
      <c r="T4272">
        <v>10</v>
      </c>
      <c r="U4272">
        <v>3</v>
      </c>
      <c r="V4272" t="s">
        <v>5626</v>
      </c>
      <c r="AE4272" t="s">
        <v>5627</v>
      </c>
      <c r="AF4272">
        <v>0</v>
      </c>
      <c r="AG4272" t="s">
        <v>5628</v>
      </c>
      <c r="AH4272">
        <v>0</v>
      </c>
      <c r="AK4272">
        <v>0</v>
      </c>
    </row>
    <row r="4273" spans="1:37" x14ac:dyDescent="0.25">
      <c r="A4273" t="s">
        <v>79</v>
      </c>
      <c r="B4273">
        <v>17</v>
      </c>
      <c r="C4273">
        <v>1</v>
      </c>
      <c r="D4273">
        <v>1</v>
      </c>
      <c r="E4273">
        <v>4</v>
      </c>
      <c r="G4273">
        <v>1711</v>
      </c>
      <c r="H4273" t="s">
        <v>5601</v>
      </c>
      <c r="I4273" t="s">
        <v>102</v>
      </c>
      <c r="J4273" t="s">
        <v>5629</v>
      </c>
      <c r="L4273">
        <v>0</v>
      </c>
      <c r="M4273" t="s">
        <v>125</v>
      </c>
      <c r="O4273" t="s">
        <v>125</v>
      </c>
      <c r="P4273" t="s">
        <v>125</v>
      </c>
      <c r="Q4273" t="s">
        <v>125</v>
      </c>
      <c r="R4273" t="s">
        <v>125</v>
      </c>
      <c r="S4273" t="s">
        <v>125</v>
      </c>
      <c r="T4273">
        <v>10</v>
      </c>
      <c r="V4273" t="s">
        <v>125</v>
      </c>
      <c r="AE4273" t="s">
        <v>125</v>
      </c>
      <c r="AF4273">
        <v>0</v>
      </c>
      <c r="AG4273" t="s">
        <v>125</v>
      </c>
      <c r="AH4273">
        <v>0</v>
      </c>
      <c r="AK4273">
        <v>0</v>
      </c>
    </row>
    <row r="4274" spans="1:37" x14ac:dyDescent="0.25">
      <c r="A4274" t="s">
        <v>79</v>
      </c>
      <c r="B4274">
        <v>17</v>
      </c>
      <c r="C4274">
        <v>1</v>
      </c>
      <c r="D4274">
        <v>1</v>
      </c>
      <c r="E4274">
        <v>5</v>
      </c>
      <c r="G4274">
        <v>1711</v>
      </c>
      <c r="H4274" t="s">
        <v>5601</v>
      </c>
      <c r="I4274" t="s">
        <v>109</v>
      </c>
      <c r="J4274" t="s">
        <v>5630</v>
      </c>
      <c r="L4274">
        <v>0</v>
      </c>
      <c r="M4274" t="s">
        <v>125</v>
      </c>
      <c r="O4274" t="s">
        <v>125</v>
      </c>
      <c r="P4274" t="s">
        <v>125</v>
      </c>
      <c r="Q4274" t="s">
        <v>125</v>
      </c>
      <c r="R4274" t="s">
        <v>125</v>
      </c>
      <c r="S4274" t="s">
        <v>125</v>
      </c>
      <c r="T4274">
        <v>10</v>
      </c>
      <c r="V4274" t="s">
        <v>125</v>
      </c>
      <c r="AE4274" t="s">
        <v>125</v>
      </c>
      <c r="AF4274">
        <v>0</v>
      </c>
      <c r="AG4274" t="s">
        <v>125</v>
      </c>
      <c r="AH4274">
        <v>0</v>
      </c>
      <c r="AK4274">
        <v>0</v>
      </c>
    </row>
    <row r="4275" spans="1:37" x14ac:dyDescent="0.25">
      <c r="A4275" t="s">
        <v>79</v>
      </c>
      <c r="B4275">
        <v>17</v>
      </c>
      <c r="C4275">
        <v>1</v>
      </c>
      <c r="D4275">
        <v>1</v>
      </c>
      <c r="E4275">
        <v>6</v>
      </c>
      <c r="G4275">
        <v>1711</v>
      </c>
      <c r="H4275" t="s">
        <v>5601</v>
      </c>
      <c r="I4275" t="s">
        <v>116</v>
      </c>
      <c r="J4275" t="s">
        <v>5631</v>
      </c>
      <c r="L4275">
        <v>0</v>
      </c>
      <c r="M4275" t="s">
        <v>125</v>
      </c>
      <c r="O4275" t="s">
        <v>125</v>
      </c>
      <c r="P4275" t="s">
        <v>125</v>
      </c>
      <c r="Q4275" t="s">
        <v>125</v>
      </c>
      <c r="R4275" t="s">
        <v>125</v>
      </c>
      <c r="S4275" t="s">
        <v>125</v>
      </c>
      <c r="T4275">
        <v>10</v>
      </c>
      <c r="V4275" t="s">
        <v>125</v>
      </c>
      <c r="AE4275" t="s">
        <v>125</v>
      </c>
      <c r="AF4275">
        <v>0</v>
      </c>
      <c r="AG4275" t="s">
        <v>125</v>
      </c>
      <c r="AH4275">
        <v>0</v>
      </c>
      <c r="AK4275">
        <v>0</v>
      </c>
    </row>
    <row r="4276" spans="1:37" x14ac:dyDescent="0.25">
      <c r="A4276" t="s">
        <v>79</v>
      </c>
      <c r="B4276">
        <v>17</v>
      </c>
      <c r="C4276">
        <v>1</v>
      </c>
      <c r="D4276">
        <v>1</v>
      </c>
      <c r="E4276">
        <v>7</v>
      </c>
      <c r="G4276">
        <v>1711</v>
      </c>
      <c r="H4276" t="s">
        <v>5601</v>
      </c>
      <c r="I4276" t="s">
        <v>123</v>
      </c>
      <c r="J4276" t="s">
        <v>5632</v>
      </c>
      <c r="L4276">
        <v>0</v>
      </c>
      <c r="M4276" t="s">
        <v>125</v>
      </c>
      <c r="O4276" t="s">
        <v>125</v>
      </c>
      <c r="P4276" t="s">
        <v>125</v>
      </c>
      <c r="Q4276" t="s">
        <v>125</v>
      </c>
      <c r="R4276" t="s">
        <v>125</v>
      </c>
      <c r="S4276" t="s">
        <v>125</v>
      </c>
      <c r="T4276">
        <v>10</v>
      </c>
      <c r="V4276" t="s">
        <v>125</v>
      </c>
      <c r="AE4276" t="s">
        <v>125</v>
      </c>
      <c r="AF4276">
        <v>0</v>
      </c>
      <c r="AG4276" t="s">
        <v>125</v>
      </c>
      <c r="AH4276">
        <v>0</v>
      </c>
      <c r="AK4276">
        <v>0</v>
      </c>
    </row>
    <row r="4277" spans="1:37" x14ac:dyDescent="0.25">
      <c r="A4277" t="s">
        <v>79</v>
      </c>
      <c r="B4277">
        <v>17</v>
      </c>
      <c r="C4277">
        <v>1</v>
      </c>
      <c r="D4277">
        <v>1</v>
      </c>
      <c r="E4277">
        <v>8</v>
      </c>
      <c r="G4277">
        <v>1711</v>
      </c>
      <c r="H4277" t="s">
        <v>5601</v>
      </c>
      <c r="I4277" t="s">
        <v>126</v>
      </c>
      <c r="J4277" t="s">
        <v>5633</v>
      </c>
      <c r="L4277">
        <v>0</v>
      </c>
      <c r="M4277" t="s">
        <v>125</v>
      </c>
      <c r="O4277" t="s">
        <v>125</v>
      </c>
      <c r="P4277" t="s">
        <v>125</v>
      </c>
      <c r="Q4277" t="s">
        <v>125</v>
      </c>
      <c r="R4277" t="s">
        <v>125</v>
      </c>
      <c r="S4277" t="s">
        <v>125</v>
      </c>
      <c r="T4277">
        <v>10</v>
      </c>
      <c r="V4277" t="s">
        <v>125</v>
      </c>
      <c r="AE4277" t="s">
        <v>125</v>
      </c>
      <c r="AF4277">
        <v>0</v>
      </c>
      <c r="AG4277" t="s">
        <v>125</v>
      </c>
      <c r="AH4277">
        <v>0</v>
      </c>
      <c r="AK4277">
        <v>0</v>
      </c>
    </row>
    <row r="4278" spans="1:37" x14ac:dyDescent="0.25">
      <c r="A4278" t="s">
        <v>79</v>
      </c>
      <c r="B4278">
        <v>17</v>
      </c>
      <c r="C4278">
        <v>1</v>
      </c>
      <c r="D4278">
        <v>1</v>
      </c>
      <c r="E4278">
        <v>9</v>
      </c>
      <c r="G4278">
        <v>1711</v>
      </c>
      <c r="H4278" t="s">
        <v>5601</v>
      </c>
      <c r="I4278" t="s">
        <v>74</v>
      </c>
      <c r="J4278" t="s">
        <v>5634</v>
      </c>
      <c r="L4278">
        <v>0</v>
      </c>
      <c r="M4278" t="s">
        <v>125</v>
      </c>
      <c r="O4278" t="s">
        <v>125</v>
      </c>
      <c r="P4278" t="s">
        <v>125</v>
      </c>
      <c r="Q4278" t="s">
        <v>125</v>
      </c>
      <c r="R4278" t="s">
        <v>125</v>
      </c>
      <c r="S4278" t="s">
        <v>125</v>
      </c>
      <c r="T4278">
        <v>10</v>
      </c>
      <c r="V4278" t="s">
        <v>125</v>
      </c>
      <c r="AE4278" t="s">
        <v>125</v>
      </c>
      <c r="AF4278">
        <v>0</v>
      </c>
      <c r="AG4278" t="s">
        <v>125</v>
      </c>
      <c r="AH4278">
        <v>0</v>
      </c>
      <c r="AK4278">
        <v>0</v>
      </c>
    </row>
    <row r="4279" spans="1:37" x14ac:dyDescent="0.25">
      <c r="A4279" t="s">
        <v>79</v>
      </c>
      <c r="B4279">
        <v>17</v>
      </c>
      <c r="C4279">
        <v>1</v>
      </c>
      <c r="D4279">
        <v>1</v>
      </c>
      <c r="E4279">
        <v>10</v>
      </c>
      <c r="G4279">
        <v>1711</v>
      </c>
      <c r="H4279" t="s">
        <v>5601</v>
      </c>
      <c r="I4279" t="s">
        <v>129</v>
      </c>
      <c r="J4279" t="s">
        <v>5635</v>
      </c>
      <c r="L4279">
        <v>0</v>
      </c>
      <c r="M4279" t="s">
        <v>125</v>
      </c>
      <c r="O4279" t="s">
        <v>125</v>
      </c>
      <c r="P4279" t="s">
        <v>125</v>
      </c>
      <c r="Q4279" t="s">
        <v>125</v>
      </c>
      <c r="R4279" t="s">
        <v>125</v>
      </c>
      <c r="S4279" t="s">
        <v>125</v>
      </c>
      <c r="T4279">
        <v>10</v>
      </c>
      <c r="V4279" t="s">
        <v>125</v>
      </c>
      <c r="AE4279" t="s">
        <v>125</v>
      </c>
      <c r="AF4279">
        <v>0</v>
      </c>
      <c r="AG4279" t="s">
        <v>125</v>
      </c>
      <c r="AH4279">
        <v>0</v>
      </c>
      <c r="AK4279">
        <v>0</v>
      </c>
    </row>
    <row r="4280" spans="1:37" x14ac:dyDescent="0.25">
      <c r="A4280" t="s">
        <v>79</v>
      </c>
      <c r="B4280">
        <v>17</v>
      </c>
      <c r="C4280">
        <v>1</v>
      </c>
      <c r="D4280">
        <v>1</v>
      </c>
      <c r="E4280">
        <v>11</v>
      </c>
      <c r="G4280">
        <v>1711</v>
      </c>
      <c r="H4280" t="s">
        <v>5601</v>
      </c>
      <c r="I4280" t="s">
        <v>131</v>
      </c>
      <c r="J4280" t="s">
        <v>5636</v>
      </c>
      <c r="L4280">
        <v>0</v>
      </c>
      <c r="M4280" t="s">
        <v>125</v>
      </c>
      <c r="O4280" t="s">
        <v>125</v>
      </c>
      <c r="P4280" t="s">
        <v>125</v>
      </c>
      <c r="Q4280" t="s">
        <v>125</v>
      </c>
      <c r="R4280" t="s">
        <v>125</v>
      </c>
      <c r="S4280" t="s">
        <v>125</v>
      </c>
      <c r="T4280">
        <v>10</v>
      </c>
      <c r="V4280" t="s">
        <v>125</v>
      </c>
      <c r="AE4280" t="s">
        <v>125</v>
      </c>
      <c r="AF4280">
        <v>0</v>
      </c>
      <c r="AG4280" t="s">
        <v>125</v>
      </c>
      <c r="AH4280">
        <v>0</v>
      </c>
      <c r="AK4280">
        <v>0</v>
      </c>
    </row>
    <row r="4281" spans="1:37" x14ac:dyDescent="0.25">
      <c r="A4281" t="s">
        <v>79</v>
      </c>
      <c r="B4281">
        <v>17</v>
      </c>
      <c r="C4281">
        <v>1</v>
      </c>
      <c r="D4281">
        <v>1</v>
      </c>
      <c r="E4281">
        <v>12</v>
      </c>
      <c r="G4281">
        <v>1711</v>
      </c>
      <c r="H4281" t="s">
        <v>5601</v>
      </c>
      <c r="I4281" t="s">
        <v>133</v>
      </c>
      <c r="J4281" t="s">
        <v>5637</v>
      </c>
      <c r="L4281">
        <v>0</v>
      </c>
      <c r="M4281" t="s">
        <v>125</v>
      </c>
      <c r="O4281" t="s">
        <v>125</v>
      </c>
      <c r="P4281" t="s">
        <v>125</v>
      </c>
      <c r="Q4281" t="s">
        <v>125</v>
      </c>
      <c r="R4281" t="s">
        <v>125</v>
      </c>
      <c r="S4281" t="s">
        <v>125</v>
      </c>
      <c r="T4281">
        <v>10</v>
      </c>
      <c r="V4281" t="s">
        <v>125</v>
      </c>
      <c r="AE4281" t="s">
        <v>125</v>
      </c>
      <c r="AF4281">
        <v>0</v>
      </c>
      <c r="AG4281" t="s">
        <v>125</v>
      </c>
      <c r="AH4281">
        <v>0</v>
      </c>
      <c r="AK4281">
        <v>0</v>
      </c>
    </row>
    <row r="4282" spans="1:37" x14ac:dyDescent="0.25">
      <c r="A4282" t="s">
        <v>79</v>
      </c>
      <c r="B4282">
        <v>17</v>
      </c>
      <c r="C4282">
        <v>1</v>
      </c>
      <c r="D4282">
        <v>1</v>
      </c>
      <c r="E4282">
        <v>13</v>
      </c>
      <c r="G4282">
        <v>1711</v>
      </c>
      <c r="H4282" t="s">
        <v>5601</v>
      </c>
      <c r="I4282" t="s">
        <v>135</v>
      </c>
      <c r="J4282" t="s">
        <v>5638</v>
      </c>
      <c r="L4282">
        <v>0</v>
      </c>
      <c r="M4282" t="s">
        <v>125</v>
      </c>
      <c r="O4282" t="s">
        <v>125</v>
      </c>
      <c r="P4282" t="s">
        <v>125</v>
      </c>
      <c r="Q4282" t="s">
        <v>125</v>
      </c>
      <c r="R4282" t="s">
        <v>125</v>
      </c>
      <c r="S4282" t="s">
        <v>125</v>
      </c>
      <c r="T4282">
        <v>10</v>
      </c>
      <c r="V4282" t="s">
        <v>125</v>
      </c>
      <c r="AE4282" t="s">
        <v>125</v>
      </c>
      <c r="AF4282">
        <v>0</v>
      </c>
      <c r="AG4282" t="s">
        <v>125</v>
      </c>
      <c r="AH4282">
        <v>0</v>
      </c>
      <c r="AK4282">
        <v>0</v>
      </c>
    </row>
    <row r="4283" spans="1:37" x14ac:dyDescent="0.25">
      <c r="A4283" t="s">
        <v>79</v>
      </c>
      <c r="B4283">
        <v>17</v>
      </c>
      <c r="C4283">
        <v>1</v>
      </c>
      <c r="D4283">
        <v>1</v>
      </c>
      <c r="E4283">
        <v>14</v>
      </c>
      <c r="G4283">
        <v>1711</v>
      </c>
      <c r="H4283" t="s">
        <v>5601</v>
      </c>
      <c r="I4283" t="s">
        <v>137</v>
      </c>
      <c r="J4283" t="s">
        <v>5639</v>
      </c>
      <c r="L4283">
        <v>0</v>
      </c>
      <c r="M4283" t="s">
        <v>125</v>
      </c>
      <c r="O4283" t="s">
        <v>125</v>
      </c>
      <c r="P4283" t="s">
        <v>125</v>
      </c>
      <c r="Q4283" t="s">
        <v>125</v>
      </c>
      <c r="R4283" t="s">
        <v>125</v>
      </c>
      <c r="S4283" t="s">
        <v>125</v>
      </c>
      <c r="T4283">
        <v>10</v>
      </c>
      <c r="V4283" t="s">
        <v>125</v>
      </c>
      <c r="AE4283" t="s">
        <v>125</v>
      </c>
      <c r="AF4283">
        <v>0</v>
      </c>
      <c r="AG4283" t="s">
        <v>125</v>
      </c>
      <c r="AH4283">
        <v>0</v>
      </c>
      <c r="AK4283">
        <v>0</v>
      </c>
    </row>
    <row r="4284" spans="1:37" x14ac:dyDescent="0.25">
      <c r="A4284" t="s">
        <v>79</v>
      </c>
      <c r="B4284">
        <v>17</v>
      </c>
      <c r="C4284">
        <v>1</v>
      </c>
      <c r="D4284">
        <v>1</v>
      </c>
      <c r="E4284">
        <v>15</v>
      </c>
      <c r="G4284">
        <v>1711</v>
      </c>
      <c r="H4284" t="s">
        <v>5601</v>
      </c>
      <c r="I4284" t="s">
        <v>139</v>
      </c>
      <c r="J4284" t="s">
        <v>5640</v>
      </c>
      <c r="L4284">
        <v>0</v>
      </c>
      <c r="M4284" t="s">
        <v>125</v>
      </c>
      <c r="O4284" t="s">
        <v>125</v>
      </c>
      <c r="P4284" t="s">
        <v>125</v>
      </c>
      <c r="Q4284" t="s">
        <v>125</v>
      </c>
      <c r="R4284" t="s">
        <v>125</v>
      </c>
      <c r="S4284" t="s">
        <v>125</v>
      </c>
      <c r="T4284">
        <v>10</v>
      </c>
      <c r="V4284" t="s">
        <v>125</v>
      </c>
      <c r="AE4284" t="s">
        <v>125</v>
      </c>
      <c r="AF4284">
        <v>0</v>
      </c>
      <c r="AG4284" t="s">
        <v>125</v>
      </c>
      <c r="AH4284">
        <v>0</v>
      </c>
      <c r="AK4284">
        <v>0</v>
      </c>
    </row>
    <row r="4285" spans="1:37" x14ac:dyDescent="0.25">
      <c r="L4285">
        <v>0</v>
      </c>
    </row>
    <row r="4286" spans="1:37" x14ac:dyDescent="0.25">
      <c r="A4286" t="s">
        <v>70</v>
      </c>
      <c r="B4286">
        <v>17</v>
      </c>
      <c r="C4286">
        <v>1</v>
      </c>
      <c r="D4286">
        <v>2</v>
      </c>
      <c r="G4286">
        <v>171</v>
      </c>
      <c r="M4286" t="s">
        <v>5641</v>
      </c>
      <c r="O4286" t="s">
        <v>5642</v>
      </c>
      <c r="P4286" t="s">
        <v>5643</v>
      </c>
      <c r="Q4286" t="s">
        <v>131</v>
      </c>
      <c r="R4286" t="s">
        <v>382</v>
      </c>
      <c r="S4286" t="s">
        <v>5644</v>
      </c>
      <c r="V4286" t="s">
        <v>5645</v>
      </c>
      <c r="X4286" t="s">
        <v>5646</v>
      </c>
      <c r="Y4286" t="s">
        <v>5647</v>
      </c>
      <c r="Z4286" t="s">
        <v>5648</v>
      </c>
      <c r="AA4286" t="s">
        <v>5649</v>
      </c>
      <c r="AB4286" t="s">
        <v>5650</v>
      </c>
      <c r="AC4286" t="s">
        <v>5597</v>
      </c>
      <c r="AE4286" t="s">
        <v>5651</v>
      </c>
      <c r="AF4286">
        <v>0</v>
      </c>
      <c r="AG4286" t="s">
        <v>5652</v>
      </c>
      <c r="AH4286">
        <v>0</v>
      </c>
      <c r="AK4286">
        <v>0</v>
      </c>
    </row>
    <row r="4287" spans="1:37" x14ac:dyDescent="0.25">
      <c r="A4287" t="s">
        <v>79</v>
      </c>
      <c r="B4287">
        <v>17</v>
      </c>
      <c r="C4287">
        <v>1</v>
      </c>
      <c r="D4287">
        <v>2</v>
      </c>
      <c r="E4287">
        <v>1</v>
      </c>
      <c r="G4287">
        <v>1712</v>
      </c>
      <c r="H4287" t="s">
        <v>5642</v>
      </c>
      <c r="I4287" t="s">
        <v>80</v>
      </c>
      <c r="J4287" t="s">
        <v>5653</v>
      </c>
      <c r="L4287">
        <v>0</v>
      </c>
      <c r="M4287" t="s">
        <v>5654</v>
      </c>
      <c r="O4287" t="s">
        <v>5655</v>
      </c>
      <c r="P4287" t="s">
        <v>5656</v>
      </c>
      <c r="Q4287" t="s">
        <v>57</v>
      </c>
      <c r="R4287" t="s">
        <v>382</v>
      </c>
      <c r="S4287" t="s">
        <v>5657</v>
      </c>
      <c r="T4287">
        <v>12</v>
      </c>
      <c r="U4287">
        <v>12</v>
      </c>
      <c r="V4287" t="s">
        <v>5657</v>
      </c>
      <c r="AE4287" t="s">
        <v>5658</v>
      </c>
      <c r="AF4287">
        <v>0</v>
      </c>
      <c r="AG4287" t="s">
        <v>5659</v>
      </c>
      <c r="AH4287">
        <v>0</v>
      </c>
      <c r="AK4287">
        <v>0</v>
      </c>
    </row>
    <row r="4288" spans="1:37" x14ac:dyDescent="0.25">
      <c r="A4288" t="s">
        <v>79</v>
      </c>
      <c r="B4288">
        <v>17</v>
      </c>
      <c r="C4288">
        <v>1</v>
      </c>
      <c r="D4288">
        <v>2</v>
      </c>
      <c r="E4288">
        <v>2</v>
      </c>
      <c r="G4288">
        <v>1712</v>
      </c>
      <c r="H4288" t="s">
        <v>5642</v>
      </c>
      <c r="I4288" t="s">
        <v>88</v>
      </c>
      <c r="J4288" t="s">
        <v>5660</v>
      </c>
      <c r="L4288">
        <v>0</v>
      </c>
      <c r="M4288" t="s">
        <v>5661</v>
      </c>
      <c r="O4288" t="s">
        <v>294</v>
      </c>
      <c r="P4288" t="s">
        <v>295</v>
      </c>
      <c r="Q4288" t="s">
        <v>5662</v>
      </c>
      <c r="R4288" t="s">
        <v>229</v>
      </c>
      <c r="S4288" t="s">
        <v>297</v>
      </c>
      <c r="T4288">
        <v>12</v>
      </c>
      <c r="U4288">
        <v>52</v>
      </c>
      <c r="V4288" t="s">
        <v>5663</v>
      </c>
      <c r="AE4288" t="s">
        <v>5664</v>
      </c>
      <c r="AF4288">
        <v>0</v>
      </c>
      <c r="AG4288" t="s">
        <v>5665</v>
      </c>
      <c r="AH4288">
        <v>0</v>
      </c>
      <c r="AK4288">
        <v>0</v>
      </c>
    </row>
    <row r="4289" spans="1:37" x14ac:dyDescent="0.25">
      <c r="A4289" t="s">
        <v>79</v>
      </c>
      <c r="B4289">
        <v>17</v>
      </c>
      <c r="C4289">
        <v>1</v>
      </c>
      <c r="D4289">
        <v>2</v>
      </c>
      <c r="E4289">
        <v>3</v>
      </c>
      <c r="G4289">
        <v>1712</v>
      </c>
      <c r="H4289" t="s">
        <v>5642</v>
      </c>
      <c r="I4289" t="s">
        <v>95</v>
      </c>
      <c r="J4289" t="s">
        <v>5666</v>
      </c>
      <c r="L4289">
        <v>0</v>
      </c>
      <c r="M4289" t="s">
        <v>5667</v>
      </c>
      <c r="O4289" t="s">
        <v>303</v>
      </c>
      <c r="P4289" t="s">
        <v>304</v>
      </c>
      <c r="Q4289" t="s">
        <v>5668</v>
      </c>
      <c r="R4289" t="s">
        <v>229</v>
      </c>
      <c r="S4289" t="s">
        <v>305</v>
      </c>
      <c r="T4289">
        <v>12</v>
      </c>
      <c r="U4289">
        <v>13</v>
      </c>
      <c r="V4289" t="s">
        <v>5669</v>
      </c>
      <c r="AE4289" t="s">
        <v>5670</v>
      </c>
      <c r="AF4289">
        <v>0</v>
      </c>
      <c r="AG4289" t="s">
        <v>5671</v>
      </c>
      <c r="AH4289">
        <v>0</v>
      </c>
      <c r="AK4289">
        <v>0</v>
      </c>
    </row>
    <row r="4290" spans="1:37" x14ac:dyDescent="0.25">
      <c r="A4290" t="s">
        <v>79</v>
      </c>
      <c r="B4290">
        <v>17</v>
      </c>
      <c r="C4290">
        <v>1</v>
      </c>
      <c r="D4290">
        <v>2</v>
      </c>
      <c r="E4290">
        <v>4</v>
      </c>
      <c r="G4290">
        <v>1712</v>
      </c>
      <c r="H4290" t="s">
        <v>5642</v>
      </c>
      <c r="I4290" t="s">
        <v>102</v>
      </c>
      <c r="J4290" t="s">
        <v>5672</v>
      </c>
      <c r="L4290">
        <v>0</v>
      </c>
      <c r="M4290" t="s">
        <v>5673</v>
      </c>
      <c r="O4290" t="s">
        <v>5674</v>
      </c>
      <c r="P4290" t="s">
        <v>5675</v>
      </c>
      <c r="Q4290" t="s">
        <v>5676</v>
      </c>
      <c r="R4290" t="s">
        <v>248</v>
      </c>
      <c r="S4290" t="s">
        <v>5677</v>
      </c>
      <c r="T4290">
        <v>12</v>
      </c>
      <c r="U4290">
        <v>4</v>
      </c>
      <c r="V4290" t="s">
        <v>5678</v>
      </c>
      <c r="AE4290" t="s">
        <v>5679</v>
      </c>
      <c r="AF4290">
        <v>0</v>
      </c>
      <c r="AG4290" t="s">
        <v>5680</v>
      </c>
      <c r="AH4290">
        <v>0</v>
      </c>
      <c r="AK4290">
        <v>0</v>
      </c>
    </row>
    <row r="4291" spans="1:37" x14ac:dyDescent="0.25">
      <c r="A4291" t="s">
        <v>79</v>
      </c>
      <c r="B4291">
        <v>17</v>
      </c>
      <c r="C4291">
        <v>1</v>
      </c>
      <c r="D4291">
        <v>2</v>
      </c>
      <c r="E4291">
        <v>5</v>
      </c>
      <c r="G4291">
        <v>1712</v>
      </c>
      <c r="H4291" t="s">
        <v>5642</v>
      </c>
      <c r="I4291" t="s">
        <v>109</v>
      </c>
      <c r="J4291" t="s">
        <v>5681</v>
      </c>
      <c r="L4291">
        <v>0</v>
      </c>
      <c r="M4291" t="s">
        <v>5682</v>
      </c>
      <c r="O4291" t="s">
        <v>5683</v>
      </c>
      <c r="P4291" t="s">
        <v>5684</v>
      </c>
      <c r="Q4291" t="s">
        <v>5685</v>
      </c>
      <c r="R4291" t="s">
        <v>258</v>
      </c>
      <c r="S4291" t="s">
        <v>5686</v>
      </c>
      <c r="T4291">
        <v>12</v>
      </c>
      <c r="U4291">
        <v>15</v>
      </c>
      <c r="V4291" t="s">
        <v>5687</v>
      </c>
      <c r="AE4291" t="s">
        <v>5688</v>
      </c>
      <c r="AF4291">
        <v>0</v>
      </c>
      <c r="AG4291" t="s">
        <v>5689</v>
      </c>
      <c r="AH4291">
        <v>0</v>
      </c>
      <c r="AK4291">
        <v>0</v>
      </c>
    </row>
    <row r="4292" spans="1:37" x14ac:dyDescent="0.25">
      <c r="A4292" t="s">
        <v>79</v>
      </c>
      <c r="B4292">
        <v>17</v>
      </c>
      <c r="C4292">
        <v>1</v>
      </c>
      <c r="D4292">
        <v>2</v>
      </c>
      <c r="E4292">
        <v>6</v>
      </c>
      <c r="G4292">
        <v>1712</v>
      </c>
      <c r="H4292" t="s">
        <v>5642</v>
      </c>
      <c r="I4292" t="s">
        <v>116</v>
      </c>
      <c r="J4292" t="s">
        <v>5690</v>
      </c>
      <c r="L4292">
        <v>0</v>
      </c>
      <c r="M4292" t="s">
        <v>125</v>
      </c>
      <c r="O4292" t="s">
        <v>125</v>
      </c>
      <c r="P4292" t="s">
        <v>125</v>
      </c>
      <c r="Q4292" t="s">
        <v>125</v>
      </c>
      <c r="R4292" t="s">
        <v>125</v>
      </c>
      <c r="S4292" t="s">
        <v>125</v>
      </c>
      <c r="T4292">
        <v>12</v>
      </c>
      <c r="V4292" t="s">
        <v>125</v>
      </c>
      <c r="AE4292" t="s">
        <v>125</v>
      </c>
      <c r="AF4292">
        <v>0</v>
      </c>
      <c r="AG4292" t="s">
        <v>125</v>
      </c>
      <c r="AH4292">
        <v>0</v>
      </c>
      <c r="AK4292">
        <v>0</v>
      </c>
    </row>
    <row r="4293" spans="1:37" x14ac:dyDescent="0.25">
      <c r="A4293" t="s">
        <v>79</v>
      </c>
      <c r="B4293">
        <v>17</v>
      </c>
      <c r="C4293">
        <v>1</v>
      </c>
      <c r="D4293">
        <v>2</v>
      </c>
      <c r="E4293">
        <v>7</v>
      </c>
      <c r="G4293">
        <v>1712</v>
      </c>
      <c r="H4293" t="s">
        <v>5642</v>
      </c>
      <c r="I4293" t="s">
        <v>123</v>
      </c>
      <c r="J4293" t="s">
        <v>5691</v>
      </c>
      <c r="L4293">
        <v>0</v>
      </c>
      <c r="M4293" t="s">
        <v>125</v>
      </c>
      <c r="O4293" t="s">
        <v>125</v>
      </c>
      <c r="P4293" t="s">
        <v>125</v>
      </c>
      <c r="Q4293" t="s">
        <v>125</v>
      </c>
      <c r="R4293" t="s">
        <v>125</v>
      </c>
      <c r="S4293" t="s">
        <v>125</v>
      </c>
      <c r="T4293">
        <v>12</v>
      </c>
      <c r="V4293" t="s">
        <v>125</v>
      </c>
      <c r="AE4293" t="s">
        <v>125</v>
      </c>
      <c r="AF4293">
        <v>0</v>
      </c>
      <c r="AG4293" t="s">
        <v>125</v>
      </c>
      <c r="AH4293">
        <v>0</v>
      </c>
      <c r="AK4293">
        <v>0</v>
      </c>
    </row>
    <row r="4294" spans="1:37" x14ac:dyDescent="0.25">
      <c r="A4294" t="s">
        <v>79</v>
      </c>
      <c r="B4294">
        <v>17</v>
      </c>
      <c r="C4294">
        <v>1</v>
      </c>
      <c r="D4294">
        <v>2</v>
      </c>
      <c r="E4294">
        <v>8</v>
      </c>
      <c r="G4294">
        <v>1712</v>
      </c>
      <c r="H4294" t="s">
        <v>5642</v>
      </c>
      <c r="I4294" t="s">
        <v>126</v>
      </c>
      <c r="J4294" t="s">
        <v>5692</v>
      </c>
      <c r="L4294">
        <v>0</v>
      </c>
      <c r="M4294" t="s">
        <v>125</v>
      </c>
      <c r="O4294" t="s">
        <v>125</v>
      </c>
      <c r="P4294" t="s">
        <v>125</v>
      </c>
      <c r="Q4294" t="s">
        <v>125</v>
      </c>
      <c r="R4294" t="s">
        <v>125</v>
      </c>
      <c r="S4294" t="s">
        <v>125</v>
      </c>
      <c r="T4294">
        <v>12</v>
      </c>
      <c r="V4294" t="s">
        <v>125</v>
      </c>
      <c r="AE4294" t="s">
        <v>125</v>
      </c>
      <c r="AF4294">
        <v>0</v>
      </c>
      <c r="AG4294" t="s">
        <v>125</v>
      </c>
      <c r="AH4294">
        <v>0</v>
      </c>
      <c r="AK4294">
        <v>0</v>
      </c>
    </row>
    <row r="4295" spans="1:37" x14ac:dyDescent="0.25">
      <c r="A4295" t="s">
        <v>79</v>
      </c>
      <c r="B4295">
        <v>17</v>
      </c>
      <c r="C4295">
        <v>1</v>
      </c>
      <c r="D4295">
        <v>2</v>
      </c>
      <c r="E4295">
        <v>9</v>
      </c>
      <c r="G4295">
        <v>1712</v>
      </c>
      <c r="H4295" t="s">
        <v>5642</v>
      </c>
      <c r="I4295" t="s">
        <v>74</v>
      </c>
      <c r="J4295" t="s">
        <v>5693</v>
      </c>
      <c r="L4295">
        <v>0</v>
      </c>
      <c r="M4295" t="s">
        <v>125</v>
      </c>
      <c r="O4295" t="s">
        <v>125</v>
      </c>
      <c r="P4295" t="s">
        <v>125</v>
      </c>
      <c r="Q4295" t="s">
        <v>125</v>
      </c>
      <c r="R4295" t="s">
        <v>125</v>
      </c>
      <c r="S4295" t="s">
        <v>125</v>
      </c>
      <c r="T4295">
        <v>12</v>
      </c>
      <c r="V4295" t="s">
        <v>125</v>
      </c>
      <c r="AE4295" t="s">
        <v>125</v>
      </c>
      <c r="AF4295">
        <v>0</v>
      </c>
      <c r="AG4295" t="s">
        <v>125</v>
      </c>
      <c r="AH4295">
        <v>0</v>
      </c>
      <c r="AK4295">
        <v>0</v>
      </c>
    </row>
    <row r="4296" spans="1:37" x14ac:dyDescent="0.25">
      <c r="A4296" t="s">
        <v>79</v>
      </c>
      <c r="B4296">
        <v>17</v>
      </c>
      <c r="C4296">
        <v>1</v>
      </c>
      <c r="D4296">
        <v>2</v>
      </c>
      <c r="E4296">
        <v>10</v>
      </c>
      <c r="G4296">
        <v>1712</v>
      </c>
      <c r="H4296" t="s">
        <v>5642</v>
      </c>
      <c r="I4296" t="s">
        <v>129</v>
      </c>
      <c r="J4296" t="s">
        <v>5694</v>
      </c>
      <c r="L4296">
        <v>0</v>
      </c>
      <c r="M4296" t="s">
        <v>125</v>
      </c>
      <c r="O4296" t="s">
        <v>125</v>
      </c>
      <c r="P4296" t="s">
        <v>125</v>
      </c>
      <c r="Q4296" t="s">
        <v>125</v>
      </c>
      <c r="R4296" t="s">
        <v>125</v>
      </c>
      <c r="S4296" t="s">
        <v>125</v>
      </c>
      <c r="T4296">
        <v>12</v>
      </c>
      <c r="V4296" t="s">
        <v>125</v>
      </c>
      <c r="AE4296" t="s">
        <v>125</v>
      </c>
      <c r="AF4296">
        <v>0</v>
      </c>
      <c r="AG4296" t="s">
        <v>125</v>
      </c>
      <c r="AH4296">
        <v>0</v>
      </c>
      <c r="AK4296">
        <v>0</v>
      </c>
    </row>
    <row r="4297" spans="1:37" x14ac:dyDescent="0.25">
      <c r="A4297" t="s">
        <v>79</v>
      </c>
      <c r="B4297">
        <v>17</v>
      </c>
      <c r="C4297">
        <v>1</v>
      </c>
      <c r="D4297">
        <v>2</v>
      </c>
      <c r="E4297">
        <v>11</v>
      </c>
      <c r="G4297">
        <v>1712</v>
      </c>
      <c r="H4297" t="s">
        <v>5642</v>
      </c>
      <c r="I4297" t="s">
        <v>131</v>
      </c>
      <c r="J4297" t="s">
        <v>5695</v>
      </c>
      <c r="L4297">
        <v>0</v>
      </c>
      <c r="M4297" t="s">
        <v>125</v>
      </c>
      <c r="O4297" t="s">
        <v>125</v>
      </c>
      <c r="P4297" t="s">
        <v>125</v>
      </c>
      <c r="Q4297" t="s">
        <v>125</v>
      </c>
      <c r="R4297" t="s">
        <v>125</v>
      </c>
      <c r="S4297" t="s">
        <v>125</v>
      </c>
      <c r="T4297">
        <v>12</v>
      </c>
      <c r="V4297" t="s">
        <v>125</v>
      </c>
      <c r="AE4297" t="s">
        <v>125</v>
      </c>
      <c r="AF4297">
        <v>0</v>
      </c>
      <c r="AG4297" t="s">
        <v>125</v>
      </c>
      <c r="AH4297">
        <v>0</v>
      </c>
      <c r="AK4297">
        <v>0</v>
      </c>
    </row>
    <row r="4298" spans="1:37" x14ac:dyDescent="0.25">
      <c r="A4298" t="s">
        <v>79</v>
      </c>
      <c r="B4298">
        <v>17</v>
      </c>
      <c r="C4298">
        <v>1</v>
      </c>
      <c r="D4298">
        <v>2</v>
      </c>
      <c r="E4298">
        <v>12</v>
      </c>
      <c r="G4298">
        <v>1712</v>
      </c>
      <c r="H4298" t="s">
        <v>5642</v>
      </c>
      <c r="I4298" t="s">
        <v>133</v>
      </c>
      <c r="J4298" t="s">
        <v>5696</v>
      </c>
      <c r="L4298">
        <v>0</v>
      </c>
      <c r="M4298" t="s">
        <v>125</v>
      </c>
      <c r="O4298" t="s">
        <v>125</v>
      </c>
      <c r="P4298" t="s">
        <v>125</v>
      </c>
      <c r="Q4298" t="s">
        <v>125</v>
      </c>
      <c r="R4298" t="s">
        <v>125</v>
      </c>
      <c r="S4298" t="s">
        <v>125</v>
      </c>
      <c r="T4298">
        <v>12</v>
      </c>
      <c r="V4298" t="s">
        <v>125</v>
      </c>
      <c r="AE4298" t="s">
        <v>125</v>
      </c>
      <c r="AF4298">
        <v>0</v>
      </c>
      <c r="AG4298" t="s">
        <v>125</v>
      </c>
      <c r="AH4298">
        <v>0</v>
      </c>
      <c r="AK4298">
        <v>0</v>
      </c>
    </row>
    <row r="4299" spans="1:37" x14ac:dyDescent="0.25">
      <c r="A4299" t="s">
        <v>79</v>
      </c>
      <c r="B4299">
        <v>17</v>
      </c>
      <c r="C4299">
        <v>1</v>
      </c>
      <c r="D4299">
        <v>2</v>
      </c>
      <c r="E4299">
        <v>13</v>
      </c>
      <c r="G4299">
        <v>1712</v>
      </c>
      <c r="H4299" t="s">
        <v>5642</v>
      </c>
      <c r="I4299" t="s">
        <v>135</v>
      </c>
      <c r="J4299" t="s">
        <v>5697</v>
      </c>
      <c r="L4299">
        <v>0</v>
      </c>
      <c r="M4299" t="s">
        <v>125</v>
      </c>
      <c r="O4299" t="s">
        <v>125</v>
      </c>
      <c r="P4299" t="s">
        <v>125</v>
      </c>
      <c r="Q4299" t="s">
        <v>125</v>
      </c>
      <c r="R4299" t="s">
        <v>125</v>
      </c>
      <c r="S4299" t="s">
        <v>125</v>
      </c>
      <c r="T4299">
        <v>12</v>
      </c>
      <c r="V4299" t="s">
        <v>125</v>
      </c>
      <c r="AE4299" t="s">
        <v>125</v>
      </c>
      <c r="AF4299">
        <v>0</v>
      </c>
      <c r="AG4299" t="s">
        <v>125</v>
      </c>
      <c r="AH4299">
        <v>0</v>
      </c>
      <c r="AK4299">
        <v>0</v>
      </c>
    </row>
    <row r="4300" spans="1:37" x14ac:dyDescent="0.25">
      <c r="A4300" t="s">
        <v>79</v>
      </c>
      <c r="B4300">
        <v>17</v>
      </c>
      <c r="C4300">
        <v>1</v>
      </c>
      <c r="D4300">
        <v>2</v>
      </c>
      <c r="E4300">
        <v>14</v>
      </c>
      <c r="G4300">
        <v>1712</v>
      </c>
      <c r="H4300" t="s">
        <v>5642</v>
      </c>
      <c r="I4300" t="s">
        <v>137</v>
      </c>
      <c r="J4300" t="s">
        <v>5698</v>
      </c>
      <c r="L4300">
        <v>0</v>
      </c>
      <c r="M4300" t="s">
        <v>125</v>
      </c>
      <c r="O4300" t="s">
        <v>125</v>
      </c>
      <c r="P4300" t="s">
        <v>125</v>
      </c>
      <c r="Q4300" t="s">
        <v>125</v>
      </c>
      <c r="R4300" t="s">
        <v>125</v>
      </c>
      <c r="S4300" t="s">
        <v>125</v>
      </c>
      <c r="T4300">
        <v>12</v>
      </c>
      <c r="V4300" t="s">
        <v>125</v>
      </c>
      <c r="AE4300" t="s">
        <v>125</v>
      </c>
      <c r="AF4300">
        <v>0</v>
      </c>
      <c r="AG4300" t="s">
        <v>125</v>
      </c>
      <c r="AH4300">
        <v>0</v>
      </c>
      <c r="AK4300">
        <v>0</v>
      </c>
    </row>
    <row r="4301" spans="1:37" x14ac:dyDescent="0.25">
      <c r="A4301" t="s">
        <v>79</v>
      </c>
      <c r="B4301">
        <v>17</v>
      </c>
      <c r="C4301">
        <v>1</v>
      </c>
      <c r="D4301">
        <v>2</v>
      </c>
      <c r="E4301">
        <v>15</v>
      </c>
      <c r="G4301">
        <v>1712</v>
      </c>
      <c r="H4301" t="s">
        <v>5642</v>
      </c>
      <c r="I4301" t="s">
        <v>139</v>
      </c>
      <c r="J4301" t="s">
        <v>5699</v>
      </c>
      <c r="L4301">
        <v>0</v>
      </c>
      <c r="M4301" t="s">
        <v>125</v>
      </c>
      <c r="O4301" t="s">
        <v>125</v>
      </c>
      <c r="P4301" t="s">
        <v>125</v>
      </c>
      <c r="Q4301" t="s">
        <v>125</v>
      </c>
      <c r="R4301" t="s">
        <v>125</v>
      </c>
      <c r="S4301" t="s">
        <v>125</v>
      </c>
      <c r="T4301">
        <v>12</v>
      </c>
      <c r="V4301" t="s">
        <v>125</v>
      </c>
      <c r="AE4301" t="s">
        <v>125</v>
      </c>
      <c r="AF4301">
        <v>0</v>
      </c>
      <c r="AG4301" t="s">
        <v>125</v>
      </c>
      <c r="AH4301">
        <v>0</v>
      </c>
      <c r="AK4301">
        <v>0</v>
      </c>
    </row>
    <row r="4302" spans="1:37" x14ac:dyDescent="0.25">
      <c r="L4302">
        <v>0</v>
      </c>
    </row>
    <row r="4303" spans="1:37" x14ac:dyDescent="0.25">
      <c r="A4303" t="s">
        <v>70</v>
      </c>
      <c r="B4303">
        <v>17</v>
      </c>
      <c r="C4303">
        <v>1</v>
      </c>
      <c r="D4303">
        <v>3</v>
      </c>
      <c r="G4303">
        <v>171</v>
      </c>
      <c r="M4303" t="s">
        <v>5700</v>
      </c>
      <c r="O4303" t="s">
        <v>5701</v>
      </c>
      <c r="P4303" t="s">
        <v>5702</v>
      </c>
      <c r="Q4303" t="s">
        <v>5703</v>
      </c>
      <c r="R4303" t="s">
        <v>179</v>
      </c>
      <c r="S4303" t="s">
        <v>5704</v>
      </c>
      <c r="V4303" t="s">
        <v>5705</v>
      </c>
      <c r="X4303" t="s">
        <v>5706</v>
      </c>
      <c r="Y4303" t="s">
        <v>5707</v>
      </c>
      <c r="Z4303" t="s">
        <v>5708</v>
      </c>
      <c r="AA4303" t="s">
        <v>5709</v>
      </c>
      <c r="AB4303" t="s">
        <v>63</v>
      </c>
      <c r="AC4303" t="s">
        <v>63</v>
      </c>
      <c r="AE4303" t="s">
        <v>5710</v>
      </c>
      <c r="AF4303">
        <v>0</v>
      </c>
      <c r="AG4303" t="s">
        <v>5711</v>
      </c>
      <c r="AH4303">
        <v>0</v>
      </c>
      <c r="AK4303">
        <v>0</v>
      </c>
    </row>
    <row r="4304" spans="1:37" x14ac:dyDescent="0.25">
      <c r="A4304" t="s">
        <v>79</v>
      </c>
      <c r="B4304">
        <v>17</v>
      </c>
      <c r="C4304">
        <v>1</v>
      </c>
      <c r="D4304">
        <v>3</v>
      </c>
      <c r="E4304">
        <v>1</v>
      </c>
      <c r="G4304">
        <v>1713</v>
      </c>
      <c r="H4304" t="s">
        <v>5701</v>
      </c>
      <c r="I4304" t="s">
        <v>80</v>
      </c>
      <c r="J4304" t="s">
        <v>5712</v>
      </c>
      <c r="L4304">
        <v>0</v>
      </c>
      <c r="M4304" t="s">
        <v>5713</v>
      </c>
      <c r="O4304" t="s">
        <v>5714</v>
      </c>
      <c r="P4304" t="s">
        <v>5715</v>
      </c>
      <c r="Q4304" t="s">
        <v>57</v>
      </c>
      <c r="R4304" t="s">
        <v>179</v>
      </c>
      <c r="S4304" t="s">
        <v>5716</v>
      </c>
      <c r="T4304">
        <v>110</v>
      </c>
      <c r="U4304">
        <v>110</v>
      </c>
      <c r="V4304" t="s">
        <v>5716</v>
      </c>
      <c r="AE4304" t="s">
        <v>5717</v>
      </c>
      <c r="AF4304">
        <v>0</v>
      </c>
      <c r="AG4304" t="s">
        <v>5718</v>
      </c>
      <c r="AH4304">
        <v>0</v>
      </c>
      <c r="AK4304">
        <v>0</v>
      </c>
    </row>
    <row r="4305" spans="1:37" x14ac:dyDescent="0.25">
      <c r="A4305" t="s">
        <v>79</v>
      </c>
      <c r="B4305">
        <v>17</v>
      </c>
      <c r="C4305">
        <v>1</v>
      </c>
      <c r="D4305">
        <v>3</v>
      </c>
      <c r="E4305">
        <v>2</v>
      </c>
      <c r="G4305">
        <v>1713</v>
      </c>
      <c r="H4305" t="s">
        <v>5701</v>
      </c>
      <c r="I4305" t="s">
        <v>88</v>
      </c>
      <c r="J4305" t="s">
        <v>5719</v>
      </c>
      <c r="L4305">
        <v>0</v>
      </c>
      <c r="M4305" t="s">
        <v>5720</v>
      </c>
      <c r="O4305" t="s">
        <v>294</v>
      </c>
      <c r="P4305" t="s">
        <v>295</v>
      </c>
      <c r="Q4305" t="s">
        <v>5721</v>
      </c>
      <c r="R4305" t="s">
        <v>229</v>
      </c>
      <c r="S4305" t="s">
        <v>297</v>
      </c>
      <c r="T4305">
        <v>110</v>
      </c>
      <c r="U4305">
        <v>17</v>
      </c>
      <c r="V4305" t="s">
        <v>5722</v>
      </c>
      <c r="AE4305" t="s">
        <v>5723</v>
      </c>
      <c r="AF4305">
        <v>0</v>
      </c>
      <c r="AG4305" t="s">
        <v>5724</v>
      </c>
      <c r="AH4305">
        <v>0</v>
      </c>
      <c r="AK4305">
        <v>0</v>
      </c>
    </row>
    <row r="4306" spans="1:37" x14ac:dyDescent="0.25">
      <c r="A4306" t="s">
        <v>79</v>
      </c>
      <c r="B4306">
        <v>17</v>
      </c>
      <c r="C4306">
        <v>1</v>
      </c>
      <c r="D4306">
        <v>3</v>
      </c>
      <c r="E4306">
        <v>3</v>
      </c>
      <c r="G4306">
        <v>1713</v>
      </c>
      <c r="H4306" t="s">
        <v>5701</v>
      </c>
      <c r="I4306" t="s">
        <v>95</v>
      </c>
      <c r="J4306" t="s">
        <v>5725</v>
      </c>
      <c r="L4306">
        <v>0</v>
      </c>
      <c r="M4306" t="s">
        <v>5726</v>
      </c>
      <c r="O4306" t="s">
        <v>303</v>
      </c>
      <c r="P4306" t="s">
        <v>304</v>
      </c>
      <c r="Q4306" t="s">
        <v>5727</v>
      </c>
      <c r="R4306" t="s">
        <v>229</v>
      </c>
      <c r="S4306" t="s">
        <v>305</v>
      </c>
      <c r="T4306">
        <v>110</v>
      </c>
      <c r="U4306">
        <v>4</v>
      </c>
      <c r="V4306" t="s">
        <v>5728</v>
      </c>
      <c r="AE4306" t="s">
        <v>5729</v>
      </c>
      <c r="AF4306">
        <v>0</v>
      </c>
      <c r="AG4306" t="s">
        <v>5730</v>
      </c>
      <c r="AH4306">
        <v>0</v>
      </c>
      <c r="AK4306">
        <v>0</v>
      </c>
    </row>
    <row r="4307" spans="1:37" x14ac:dyDescent="0.25">
      <c r="A4307" t="s">
        <v>79</v>
      </c>
      <c r="B4307">
        <v>17</v>
      </c>
      <c r="C4307">
        <v>1</v>
      </c>
      <c r="D4307">
        <v>3</v>
      </c>
      <c r="E4307">
        <v>4</v>
      </c>
      <c r="G4307">
        <v>1713</v>
      </c>
      <c r="H4307" t="s">
        <v>5701</v>
      </c>
      <c r="I4307" t="s">
        <v>102</v>
      </c>
      <c r="J4307" t="s">
        <v>5731</v>
      </c>
      <c r="L4307">
        <v>0</v>
      </c>
      <c r="M4307" t="s">
        <v>125</v>
      </c>
      <c r="O4307" t="s">
        <v>125</v>
      </c>
      <c r="P4307" t="s">
        <v>125</v>
      </c>
      <c r="Q4307" t="s">
        <v>125</v>
      </c>
      <c r="R4307" t="s">
        <v>125</v>
      </c>
      <c r="S4307" t="s">
        <v>125</v>
      </c>
      <c r="T4307">
        <v>110</v>
      </c>
      <c r="V4307" t="s">
        <v>125</v>
      </c>
      <c r="AE4307" t="s">
        <v>125</v>
      </c>
      <c r="AF4307">
        <v>0</v>
      </c>
      <c r="AG4307" t="s">
        <v>125</v>
      </c>
      <c r="AH4307">
        <v>0</v>
      </c>
      <c r="AK4307">
        <v>0</v>
      </c>
    </row>
    <row r="4308" spans="1:37" x14ac:dyDescent="0.25">
      <c r="A4308" t="s">
        <v>79</v>
      </c>
      <c r="B4308">
        <v>17</v>
      </c>
      <c r="C4308">
        <v>1</v>
      </c>
      <c r="D4308">
        <v>3</v>
      </c>
      <c r="E4308">
        <v>5</v>
      </c>
      <c r="G4308">
        <v>1713</v>
      </c>
      <c r="H4308" t="s">
        <v>5701</v>
      </c>
      <c r="I4308" t="s">
        <v>109</v>
      </c>
      <c r="J4308" t="s">
        <v>5732</v>
      </c>
      <c r="L4308">
        <v>0</v>
      </c>
      <c r="M4308" t="s">
        <v>125</v>
      </c>
      <c r="O4308" t="s">
        <v>125</v>
      </c>
      <c r="P4308" t="s">
        <v>125</v>
      </c>
      <c r="Q4308" t="s">
        <v>125</v>
      </c>
      <c r="R4308" t="s">
        <v>125</v>
      </c>
      <c r="S4308" t="s">
        <v>125</v>
      </c>
      <c r="T4308">
        <v>110</v>
      </c>
      <c r="V4308" t="s">
        <v>125</v>
      </c>
      <c r="AE4308" t="s">
        <v>125</v>
      </c>
      <c r="AF4308">
        <v>0</v>
      </c>
      <c r="AG4308" t="s">
        <v>125</v>
      </c>
      <c r="AH4308">
        <v>0</v>
      </c>
      <c r="AK4308">
        <v>0</v>
      </c>
    </row>
    <row r="4309" spans="1:37" x14ac:dyDescent="0.25">
      <c r="A4309" t="s">
        <v>79</v>
      </c>
      <c r="B4309">
        <v>17</v>
      </c>
      <c r="C4309">
        <v>1</v>
      </c>
      <c r="D4309">
        <v>3</v>
      </c>
      <c r="E4309">
        <v>6</v>
      </c>
      <c r="G4309">
        <v>1713</v>
      </c>
      <c r="H4309" t="s">
        <v>5701</v>
      </c>
      <c r="I4309" t="s">
        <v>116</v>
      </c>
      <c r="J4309" t="s">
        <v>5733</v>
      </c>
      <c r="L4309">
        <v>0</v>
      </c>
      <c r="M4309" t="s">
        <v>125</v>
      </c>
      <c r="O4309" t="s">
        <v>125</v>
      </c>
      <c r="P4309" t="s">
        <v>125</v>
      </c>
      <c r="Q4309" t="s">
        <v>125</v>
      </c>
      <c r="R4309" t="s">
        <v>125</v>
      </c>
      <c r="S4309" t="s">
        <v>125</v>
      </c>
      <c r="T4309">
        <v>110</v>
      </c>
      <c r="V4309" t="s">
        <v>125</v>
      </c>
      <c r="AE4309" t="s">
        <v>125</v>
      </c>
      <c r="AF4309">
        <v>0</v>
      </c>
      <c r="AG4309" t="s">
        <v>125</v>
      </c>
      <c r="AH4309">
        <v>0</v>
      </c>
      <c r="AK4309">
        <v>0</v>
      </c>
    </row>
    <row r="4310" spans="1:37" x14ac:dyDescent="0.25">
      <c r="A4310" t="s">
        <v>79</v>
      </c>
      <c r="B4310">
        <v>17</v>
      </c>
      <c r="C4310">
        <v>1</v>
      </c>
      <c r="D4310">
        <v>3</v>
      </c>
      <c r="E4310">
        <v>7</v>
      </c>
      <c r="G4310">
        <v>1713</v>
      </c>
      <c r="H4310" t="s">
        <v>5701</v>
      </c>
      <c r="I4310" t="s">
        <v>123</v>
      </c>
      <c r="J4310" t="s">
        <v>5734</v>
      </c>
      <c r="L4310">
        <v>0</v>
      </c>
      <c r="M4310" t="s">
        <v>125</v>
      </c>
      <c r="O4310" t="s">
        <v>125</v>
      </c>
      <c r="P4310" t="s">
        <v>125</v>
      </c>
      <c r="Q4310" t="s">
        <v>125</v>
      </c>
      <c r="R4310" t="s">
        <v>125</v>
      </c>
      <c r="S4310" t="s">
        <v>125</v>
      </c>
      <c r="T4310">
        <v>110</v>
      </c>
      <c r="V4310" t="s">
        <v>125</v>
      </c>
      <c r="AE4310" t="s">
        <v>125</v>
      </c>
      <c r="AF4310">
        <v>0</v>
      </c>
      <c r="AG4310" t="s">
        <v>125</v>
      </c>
      <c r="AH4310">
        <v>0</v>
      </c>
      <c r="AK4310">
        <v>0</v>
      </c>
    </row>
    <row r="4311" spans="1:37" x14ac:dyDescent="0.25">
      <c r="A4311" t="s">
        <v>79</v>
      </c>
      <c r="B4311">
        <v>17</v>
      </c>
      <c r="C4311">
        <v>1</v>
      </c>
      <c r="D4311">
        <v>3</v>
      </c>
      <c r="E4311">
        <v>8</v>
      </c>
      <c r="G4311">
        <v>1713</v>
      </c>
      <c r="H4311" t="s">
        <v>5701</v>
      </c>
      <c r="I4311" t="s">
        <v>126</v>
      </c>
      <c r="J4311" t="s">
        <v>5735</v>
      </c>
      <c r="L4311">
        <v>0</v>
      </c>
      <c r="M4311" t="s">
        <v>125</v>
      </c>
      <c r="O4311" t="s">
        <v>125</v>
      </c>
      <c r="P4311" t="s">
        <v>125</v>
      </c>
      <c r="Q4311" t="s">
        <v>125</v>
      </c>
      <c r="R4311" t="s">
        <v>125</v>
      </c>
      <c r="S4311" t="s">
        <v>125</v>
      </c>
      <c r="T4311">
        <v>110</v>
      </c>
      <c r="V4311" t="s">
        <v>125</v>
      </c>
      <c r="AE4311" t="s">
        <v>125</v>
      </c>
      <c r="AF4311">
        <v>0</v>
      </c>
      <c r="AG4311" t="s">
        <v>125</v>
      </c>
      <c r="AH4311">
        <v>0</v>
      </c>
      <c r="AK4311">
        <v>0</v>
      </c>
    </row>
    <row r="4312" spans="1:37" x14ac:dyDescent="0.25">
      <c r="A4312" t="s">
        <v>79</v>
      </c>
      <c r="B4312">
        <v>17</v>
      </c>
      <c r="C4312">
        <v>1</v>
      </c>
      <c r="D4312">
        <v>3</v>
      </c>
      <c r="E4312">
        <v>9</v>
      </c>
      <c r="G4312">
        <v>1713</v>
      </c>
      <c r="H4312" t="s">
        <v>5701</v>
      </c>
      <c r="I4312" t="s">
        <v>74</v>
      </c>
      <c r="J4312" t="s">
        <v>5736</v>
      </c>
      <c r="L4312">
        <v>0</v>
      </c>
      <c r="M4312" t="s">
        <v>125</v>
      </c>
      <c r="O4312" t="s">
        <v>125</v>
      </c>
      <c r="P4312" t="s">
        <v>125</v>
      </c>
      <c r="Q4312" t="s">
        <v>125</v>
      </c>
      <c r="R4312" t="s">
        <v>125</v>
      </c>
      <c r="S4312" t="s">
        <v>125</v>
      </c>
      <c r="T4312">
        <v>110</v>
      </c>
      <c r="V4312" t="s">
        <v>125</v>
      </c>
      <c r="AE4312" t="s">
        <v>125</v>
      </c>
      <c r="AF4312">
        <v>0</v>
      </c>
      <c r="AG4312" t="s">
        <v>125</v>
      </c>
      <c r="AH4312">
        <v>0</v>
      </c>
      <c r="AK4312">
        <v>0</v>
      </c>
    </row>
    <row r="4313" spans="1:37" x14ac:dyDescent="0.25">
      <c r="A4313" t="s">
        <v>79</v>
      </c>
      <c r="B4313">
        <v>17</v>
      </c>
      <c r="C4313">
        <v>1</v>
      </c>
      <c r="D4313">
        <v>3</v>
      </c>
      <c r="E4313">
        <v>10</v>
      </c>
      <c r="G4313">
        <v>1713</v>
      </c>
      <c r="H4313" t="s">
        <v>5701</v>
      </c>
      <c r="I4313" t="s">
        <v>129</v>
      </c>
      <c r="J4313" t="s">
        <v>5737</v>
      </c>
      <c r="L4313">
        <v>0</v>
      </c>
      <c r="M4313" t="s">
        <v>125</v>
      </c>
      <c r="O4313" t="s">
        <v>125</v>
      </c>
      <c r="P4313" t="s">
        <v>125</v>
      </c>
      <c r="Q4313" t="s">
        <v>125</v>
      </c>
      <c r="R4313" t="s">
        <v>125</v>
      </c>
      <c r="S4313" t="s">
        <v>125</v>
      </c>
      <c r="T4313">
        <v>110</v>
      </c>
      <c r="V4313" t="s">
        <v>125</v>
      </c>
      <c r="AE4313" t="s">
        <v>125</v>
      </c>
      <c r="AF4313">
        <v>0</v>
      </c>
      <c r="AG4313" t="s">
        <v>125</v>
      </c>
      <c r="AH4313">
        <v>0</v>
      </c>
      <c r="AK4313">
        <v>0</v>
      </c>
    </row>
    <row r="4314" spans="1:37" x14ac:dyDescent="0.25">
      <c r="A4314" t="s">
        <v>79</v>
      </c>
      <c r="B4314">
        <v>17</v>
      </c>
      <c r="C4314">
        <v>1</v>
      </c>
      <c r="D4314">
        <v>3</v>
      </c>
      <c r="E4314">
        <v>11</v>
      </c>
      <c r="G4314">
        <v>1713</v>
      </c>
      <c r="H4314" t="s">
        <v>5701</v>
      </c>
      <c r="I4314" t="s">
        <v>131</v>
      </c>
      <c r="J4314" t="s">
        <v>5738</v>
      </c>
      <c r="L4314">
        <v>0</v>
      </c>
      <c r="M4314" t="s">
        <v>125</v>
      </c>
      <c r="O4314" t="s">
        <v>125</v>
      </c>
      <c r="P4314" t="s">
        <v>125</v>
      </c>
      <c r="Q4314" t="s">
        <v>125</v>
      </c>
      <c r="R4314" t="s">
        <v>125</v>
      </c>
      <c r="S4314" t="s">
        <v>125</v>
      </c>
      <c r="T4314">
        <v>110</v>
      </c>
      <c r="V4314" t="s">
        <v>125</v>
      </c>
      <c r="AE4314" t="s">
        <v>125</v>
      </c>
      <c r="AF4314">
        <v>0</v>
      </c>
      <c r="AG4314" t="s">
        <v>125</v>
      </c>
      <c r="AH4314">
        <v>0</v>
      </c>
      <c r="AK4314">
        <v>0</v>
      </c>
    </row>
    <row r="4315" spans="1:37" x14ac:dyDescent="0.25">
      <c r="A4315" t="s">
        <v>79</v>
      </c>
      <c r="B4315">
        <v>17</v>
      </c>
      <c r="C4315">
        <v>1</v>
      </c>
      <c r="D4315">
        <v>3</v>
      </c>
      <c r="E4315">
        <v>12</v>
      </c>
      <c r="G4315">
        <v>1713</v>
      </c>
      <c r="H4315" t="s">
        <v>5701</v>
      </c>
      <c r="I4315" t="s">
        <v>133</v>
      </c>
      <c r="J4315" t="s">
        <v>5739</v>
      </c>
      <c r="L4315">
        <v>0</v>
      </c>
      <c r="M4315" t="s">
        <v>125</v>
      </c>
      <c r="O4315" t="s">
        <v>125</v>
      </c>
      <c r="P4315" t="s">
        <v>125</v>
      </c>
      <c r="Q4315" t="s">
        <v>125</v>
      </c>
      <c r="R4315" t="s">
        <v>125</v>
      </c>
      <c r="S4315" t="s">
        <v>125</v>
      </c>
      <c r="T4315">
        <v>110</v>
      </c>
      <c r="V4315" t="s">
        <v>125</v>
      </c>
      <c r="AE4315" t="s">
        <v>125</v>
      </c>
      <c r="AF4315">
        <v>0</v>
      </c>
      <c r="AG4315" t="s">
        <v>125</v>
      </c>
      <c r="AH4315">
        <v>0</v>
      </c>
      <c r="AK4315">
        <v>0</v>
      </c>
    </row>
    <row r="4316" spans="1:37" x14ac:dyDescent="0.25">
      <c r="A4316" t="s">
        <v>79</v>
      </c>
      <c r="B4316">
        <v>17</v>
      </c>
      <c r="C4316">
        <v>1</v>
      </c>
      <c r="D4316">
        <v>3</v>
      </c>
      <c r="E4316">
        <v>13</v>
      </c>
      <c r="G4316">
        <v>1713</v>
      </c>
      <c r="H4316" t="s">
        <v>5701</v>
      </c>
      <c r="I4316" t="s">
        <v>135</v>
      </c>
      <c r="J4316" t="s">
        <v>5740</v>
      </c>
      <c r="L4316">
        <v>0</v>
      </c>
      <c r="M4316" t="s">
        <v>125</v>
      </c>
      <c r="O4316" t="s">
        <v>125</v>
      </c>
      <c r="P4316" t="s">
        <v>125</v>
      </c>
      <c r="Q4316" t="s">
        <v>125</v>
      </c>
      <c r="R4316" t="s">
        <v>125</v>
      </c>
      <c r="S4316" t="s">
        <v>125</v>
      </c>
      <c r="T4316">
        <v>110</v>
      </c>
      <c r="V4316" t="s">
        <v>125</v>
      </c>
      <c r="AE4316" t="s">
        <v>125</v>
      </c>
      <c r="AF4316">
        <v>0</v>
      </c>
      <c r="AG4316" t="s">
        <v>125</v>
      </c>
      <c r="AH4316">
        <v>0</v>
      </c>
      <c r="AK4316">
        <v>0</v>
      </c>
    </row>
    <row r="4317" spans="1:37" x14ac:dyDescent="0.25">
      <c r="A4317" t="s">
        <v>79</v>
      </c>
      <c r="B4317">
        <v>17</v>
      </c>
      <c r="C4317">
        <v>1</v>
      </c>
      <c r="D4317">
        <v>3</v>
      </c>
      <c r="E4317">
        <v>14</v>
      </c>
      <c r="G4317">
        <v>1713</v>
      </c>
      <c r="H4317" t="s">
        <v>5701</v>
      </c>
      <c r="I4317" t="s">
        <v>137</v>
      </c>
      <c r="J4317" t="s">
        <v>5741</v>
      </c>
      <c r="L4317">
        <v>0</v>
      </c>
      <c r="M4317" t="s">
        <v>125</v>
      </c>
      <c r="O4317" t="s">
        <v>125</v>
      </c>
      <c r="P4317" t="s">
        <v>125</v>
      </c>
      <c r="Q4317" t="s">
        <v>125</v>
      </c>
      <c r="R4317" t="s">
        <v>125</v>
      </c>
      <c r="S4317" t="s">
        <v>125</v>
      </c>
      <c r="T4317">
        <v>110</v>
      </c>
      <c r="V4317" t="s">
        <v>125</v>
      </c>
      <c r="AE4317" t="s">
        <v>125</v>
      </c>
      <c r="AF4317">
        <v>0</v>
      </c>
      <c r="AG4317" t="s">
        <v>125</v>
      </c>
      <c r="AH4317">
        <v>0</v>
      </c>
      <c r="AK4317">
        <v>0</v>
      </c>
    </row>
    <row r="4318" spans="1:37" x14ac:dyDescent="0.25">
      <c r="A4318" t="s">
        <v>79</v>
      </c>
      <c r="B4318">
        <v>17</v>
      </c>
      <c r="C4318">
        <v>1</v>
      </c>
      <c r="D4318">
        <v>3</v>
      </c>
      <c r="E4318">
        <v>15</v>
      </c>
      <c r="G4318">
        <v>1713</v>
      </c>
      <c r="H4318" t="s">
        <v>5701</v>
      </c>
      <c r="I4318" t="s">
        <v>139</v>
      </c>
      <c r="J4318" t="s">
        <v>5742</v>
      </c>
      <c r="L4318">
        <v>0</v>
      </c>
      <c r="M4318" t="s">
        <v>125</v>
      </c>
      <c r="O4318" t="s">
        <v>125</v>
      </c>
      <c r="P4318" t="s">
        <v>125</v>
      </c>
      <c r="Q4318" t="s">
        <v>125</v>
      </c>
      <c r="R4318" t="s">
        <v>125</v>
      </c>
      <c r="S4318" t="s">
        <v>125</v>
      </c>
      <c r="T4318">
        <v>110</v>
      </c>
      <c r="V4318" t="s">
        <v>125</v>
      </c>
      <c r="AE4318" t="s">
        <v>125</v>
      </c>
      <c r="AF4318">
        <v>0</v>
      </c>
      <c r="AG4318" t="s">
        <v>125</v>
      </c>
      <c r="AH4318">
        <v>0</v>
      </c>
      <c r="AK4318">
        <v>0</v>
      </c>
    </row>
    <row r="4319" spans="1:37" x14ac:dyDescent="0.25">
      <c r="L4319">
        <v>0</v>
      </c>
    </row>
    <row r="4320" spans="1:37" x14ac:dyDescent="0.25">
      <c r="A4320" t="s">
        <v>70</v>
      </c>
      <c r="B4320">
        <v>17</v>
      </c>
      <c r="C4320">
        <v>1</v>
      </c>
      <c r="D4320">
        <v>4</v>
      </c>
      <c r="G4320">
        <v>171</v>
      </c>
      <c r="L4320">
        <v>0</v>
      </c>
      <c r="M4320" t="s">
        <v>125</v>
      </c>
      <c r="P4320" t="s">
        <v>125</v>
      </c>
      <c r="R4320" t="s">
        <v>125</v>
      </c>
      <c r="S4320" t="s">
        <v>63</v>
      </c>
      <c r="V4320" t="s">
        <v>125</v>
      </c>
      <c r="X4320" t="s">
        <v>125</v>
      </c>
      <c r="Y4320" t="s">
        <v>125</v>
      </c>
      <c r="Z4320" t="s">
        <v>125</v>
      </c>
      <c r="AA4320" t="s">
        <v>125</v>
      </c>
      <c r="AB4320" t="s">
        <v>125</v>
      </c>
      <c r="AC4320" t="s">
        <v>125</v>
      </c>
      <c r="AE4320" t="s">
        <v>125</v>
      </c>
      <c r="AF4320">
        <v>0</v>
      </c>
      <c r="AG4320" t="s">
        <v>125</v>
      </c>
      <c r="AH4320">
        <v>0</v>
      </c>
      <c r="AK4320">
        <v>0</v>
      </c>
    </row>
    <row r="4321" spans="1:37" x14ac:dyDescent="0.25">
      <c r="A4321" t="s">
        <v>79</v>
      </c>
      <c r="B4321">
        <v>17</v>
      </c>
      <c r="C4321">
        <v>1</v>
      </c>
      <c r="D4321">
        <v>4</v>
      </c>
      <c r="E4321">
        <v>1</v>
      </c>
      <c r="G4321">
        <v>1714</v>
      </c>
      <c r="H4321" t="s">
        <v>63</v>
      </c>
      <c r="I4321" t="s">
        <v>80</v>
      </c>
      <c r="J4321" t="s">
        <v>141</v>
      </c>
      <c r="L4321">
        <v>0</v>
      </c>
      <c r="M4321" t="s">
        <v>125</v>
      </c>
      <c r="O4321" t="s">
        <v>125</v>
      </c>
      <c r="P4321" t="s">
        <v>125</v>
      </c>
      <c r="Q4321" t="s">
        <v>125</v>
      </c>
      <c r="R4321" t="s">
        <v>125</v>
      </c>
      <c r="S4321" t="s">
        <v>125</v>
      </c>
      <c r="T4321">
        <v>0</v>
      </c>
      <c r="V4321" t="s">
        <v>125</v>
      </c>
      <c r="AE4321" t="s">
        <v>125</v>
      </c>
      <c r="AF4321">
        <v>0</v>
      </c>
      <c r="AG4321" t="s">
        <v>125</v>
      </c>
      <c r="AH4321">
        <v>0</v>
      </c>
      <c r="AK4321">
        <v>0</v>
      </c>
    </row>
    <row r="4322" spans="1:37" x14ac:dyDescent="0.25">
      <c r="A4322" t="s">
        <v>79</v>
      </c>
      <c r="B4322">
        <v>17</v>
      </c>
      <c r="C4322">
        <v>1</v>
      </c>
      <c r="D4322">
        <v>4</v>
      </c>
      <c r="E4322">
        <v>2</v>
      </c>
      <c r="G4322">
        <v>1714</v>
      </c>
      <c r="H4322" t="s">
        <v>63</v>
      </c>
      <c r="I4322" t="s">
        <v>88</v>
      </c>
      <c r="J4322" t="s">
        <v>142</v>
      </c>
      <c r="L4322">
        <v>0</v>
      </c>
      <c r="M4322" t="s">
        <v>125</v>
      </c>
      <c r="O4322" t="s">
        <v>125</v>
      </c>
      <c r="P4322" t="s">
        <v>125</v>
      </c>
      <c r="Q4322" t="s">
        <v>125</v>
      </c>
      <c r="R4322" t="s">
        <v>125</v>
      </c>
      <c r="S4322" t="s">
        <v>125</v>
      </c>
      <c r="T4322">
        <v>0</v>
      </c>
      <c r="V4322" t="s">
        <v>125</v>
      </c>
      <c r="AE4322" t="s">
        <v>125</v>
      </c>
      <c r="AF4322">
        <v>0</v>
      </c>
      <c r="AG4322" t="s">
        <v>125</v>
      </c>
      <c r="AH4322">
        <v>0</v>
      </c>
      <c r="AK4322">
        <v>0</v>
      </c>
    </row>
    <row r="4323" spans="1:37" x14ac:dyDescent="0.25">
      <c r="A4323" t="s">
        <v>79</v>
      </c>
      <c r="B4323">
        <v>17</v>
      </c>
      <c r="C4323">
        <v>1</v>
      </c>
      <c r="D4323">
        <v>4</v>
      </c>
      <c r="E4323">
        <v>3</v>
      </c>
      <c r="G4323">
        <v>1714</v>
      </c>
      <c r="H4323" t="s">
        <v>63</v>
      </c>
      <c r="I4323" t="s">
        <v>95</v>
      </c>
      <c r="J4323" t="s">
        <v>143</v>
      </c>
      <c r="L4323">
        <v>0</v>
      </c>
      <c r="M4323" t="s">
        <v>125</v>
      </c>
      <c r="O4323" t="s">
        <v>125</v>
      </c>
      <c r="P4323" t="s">
        <v>125</v>
      </c>
      <c r="Q4323" t="s">
        <v>125</v>
      </c>
      <c r="R4323" t="s">
        <v>125</v>
      </c>
      <c r="S4323" t="s">
        <v>125</v>
      </c>
      <c r="T4323">
        <v>0</v>
      </c>
      <c r="V4323" t="s">
        <v>125</v>
      </c>
      <c r="AE4323" t="s">
        <v>125</v>
      </c>
      <c r="AF4323">
        <v>0</v>
      </c>
      <c r="AG4323" t="s">
        <v>125</v>
      </c>
      <c r="AH4323">
        <v>0</v>
      </c>
      <c r="AK4323">
        <v>0</v>
      </c>
    </row>
    <row r="4324" spans="1:37" x14ac:dyDescent="0.25">
      <c r="A4324" t="s">
        <v>79</v>
      </c>
      <c r="B4324">
        <v>17</v>
      </c>
      <c r="C4324">
        <v>1</v>
      </c>
      <c r="D4324">
        <v>4</v>
      </c>
      <c r="E4324">
        <v>4</v>
      </c>
      <c r="G4324">
        <v>1714</v>
      </c>
      <c r="H4324" t="s">
        <v>63</v>
      </c>
      <c r="I4324" t="s">
        <v>102</v>
      </c>
      <c r="J4324" t="s">
        <v>144</v>
      </c>
      <c r="L4324">
        <v>0</v>
      </c>
      <c r="M4324" t="s">
        <v>125</v>
      </c>
      <c r="O4324" t="s">
        <v>125</v>
      </c>
      <c r="P4324" t="s">
        <v>125</v>
      </c>
      <c r="Q4324" t="s">
        <v>125</v>
      </c>
      <c r="R4324" t="s">
        <v>125</v>
      </c>
      <c r="S4324" t="s">
        <v>125</v>
      </c>
      <c r="T4324">
        <v>0</v>
      </c>
      <c r="V4324" t="s">
        <v>125</v>
      </c>
      <c r="AE4324" t="s">
        <v>125</v>
      </c>
      <c r="AF4324">
        <v>0</v>
      </c>
      <c r="AG4324" t="s">
        <v>125</v>
      </c>
      <c r="AH4324">
        <v>0</v>
      </c>
      <c r="AK4324">
        <v>0</v>
      </c>
    </row>
    <row r="4325" spans="1:37" x14ac:dyDescent="0.25">
      <c r="A4325" t="s">
        <v>79</v>
      </c>
      <c r="B4325">
        <v>17</v>
      </c>
      <c r="C4325">
        <v>1</v>
      </c>
      <c r="D4325">
        <v>4</v>
      </c>
      <c r="E4325">
        <v>5</v>
      </c>
      <c r="G4325">
        <v>1714</v>
      </c>
      <c r="H4325" t="s">
        <v>63</v>
      </c>
      <c r="I4325" t="s">
        <v>109</v>
      </c>
      <c r="J4325" t="s">
        <v>145</v>
      </c>
      <c r="L4325">
        <v>0</v>
      </c>
      <c r="M4325" t="s">
        <v>125</v>
      </c>
      <c r="O4325" t="s">
        <v>125</v>
      </c>
      <c r="P4325" t="s">
        <v>125</v>
      </c>
      <c r="Q4325" t="s">
        <v>125</v>
      </c>
      <c r="R4325" t="s">
        <v>125</v>
      </c>
      <c r="S4325" t="s">
        <v>125</v>
      </c>
      <c r="T4325">
        <v>0</v>
      </c>
      <c r="V4325" t="s">
        <v>125</v>
      </c>
      <c r="AE4325" t="s">
        <v>125</v>
      </c>
      <c r="AF4325">
        <v>0</v>
      </c>
      <c r="AG4325" t="s">
        <v>125</v>
      </c>
      <c r="AH4325">
        <v>0</v>
      </c>
      <c r="AK4325">
        <v>0</v>
      </c>
    </row>
    <row r="4326" spans="1:37" x14ac:dyDescent="0.25">
      <c r="A4326" t="s">
        <v>79</v>
      </c>
      <c r="B4326">
        <v>17</v>
      </c>
      <c r="C4326">
        <v>1</v>
      </c>
      <c r="D4326">
        <v>4</v>
      </c>
      <c r="E4326">
        <v>6</v>
      </c>
      <c r="G4326">
        <v>1714</v>
      </c>
      <c r="H4326" t="s">
        <v>63</v>
      </c>
      <c r="I4326" t="s">
        <v>116</v>
      </c>
      <c r="J4326" t="s">
        <v>146</v>
      </c>
      <c r="L4326">
        <v>0</v>
      </c>
      <c r="M4326" t="s">
        <v>125</v>
      </c>
      <c r="O4326" t="s">
        <v>125</v>
      </c>
      <c r="P4326" t="s">
        <v>125</v>
      </c>
      <c r="Q4326" t="s">
        <v>125</v>
      </c>
      <c r="R4326" t="s">
        <v>125</v>
      </c>
      <c r="S4326" t="s">
        <v>125</v>
      </c>
      <c r="T4326">
        <v>0</v>
      </c>
      <c r="V4326" t="s">
        <v>125</v>
      </c>
      <c r="AE4326" t="s">
        <v>125</v>
      </c>
      <c r="AF4326">
        <v>0</v>
      </c>
      <c r="AG4326" t="s">
        <v>125</v>
      </c>
      <c r="AH4326">
        <v>0</v>
      </c>
      <c r="AK4326">
        <v>0</v>
      </c>
    </row>
    <row r="4327" spans="1:37" x14ac:dyDescent="0.25">
      <c r="A4327" t="s">
        <v>79</v>
      </c>
      <c r="B4327">
        <v>17</v>
      </c>
      <c r="C4327">
        <v>1</v>
      </c>
      <c r="D4327">
        <v>4</v>
      </c>
      <c r="E4327">
        <v>7</v>
      </c>
      <c r="G4327">
        <v>1714</v>
      </c>
      <c r="H4327" t="s">
        <v>63</v>
      </c>
      <c r="I4327" t="s">
        <v>123</v>
      </c>
      <c r="J4327" t="s">
        <v>147</v>
      </c>
      <c r="L4327">
        <v>0</v>
      </c>
      <c r="M4327" t="s">
        <v>125</v>
      </c>
      <c r="O4327" t="s">
        <v>125</v>
      </c>
      <c r="P4327" t="s">
        <v>125</v>
      </c>
      <c r="Q4327" t="s">
        <v>125</v>
      </c>
      <c r="R4327" t="s">
        <v>125</v>
      </c>
      <c r="S4327" t="s">
        <v>125</v>
      </c>
      <c r="T4327">
        <v>0</v>
      </c>
      <c r="V4327" t="s">
        <v>125</v>
      </c>
      <c r="AE4327" t="s">
        <v>125</v>
      </c>
      <c r="AF4327">
        <v>0</v>
      </c>
      <c r="AG4327" t="s">
        <v>125</v>
      </c>
      <c r="AH4327">
        <v>0</v>
      </c>
      <c r="AK4327">
        <v>0</v>
      </c>
    </row>
    <row r="4328" spans="1:37" x14ac:dyDescent="0.25">
      <c r="A4328" t="s">
        <v>79</v>
      </c>
      <c r="B4328">
        <v>17</v>
      </c>
      <c r="C4328">
        <v>1</v>
      </c>
      <c r="D4328">
        <v>4</v>
      </c>
      <c r="E4328">
        <v>8</v>
      </c>
      <c r="G4328">
        <v>1714</v>
      </c>
      <c r="H4328" t="s">
        <v>63</v>
      </c>
      <c r="I4328" t="s">
        <v>126</v>
      </c>
      <c r="J4328" t="s">
        <v>148</v>
      </c>
      <c r="L4328">
        <v>0</v>
      </c>
      <c r="M4328" t="s">
        <v>125</v>
      </c>
      <c r="O4328" t="s">
        <v>125</v>
      </c>
      <c r="P4328" t="s">
        <v>125</v>
      </c>
      <c r="Q4328" t="s">
        <v>125</v>
      </c>
      <c r="R4328" t="s">
        <v>125</v>
      </c>
      <c r="S4328" t="s">
        <v>125</v>
      </c>
      <c r="T4328">
        <v>0</v>
      </c>
      <c r="V4328" t="s">
        <v>125</v>
      </c>
      <c r="AE4328" t="s">
        <v>125</v>
      </c>
      <c r="AF4328">
        <v>0</v>
      </c>
      <c r="AG4328" t="s">
        <v>125</v>
      </c>
      <c r="AH4328">
        <v>0</v>
      </c>
      <c r="AK4328">
        <v>0</v>
      </c>
    </row>
    <row r="4329" spans="1:37" x14ac:dyDescent="0.25">
      <c r="A4329" t="s">
        <v>79</v>
      </c>
      <c r="B4329">
        <v>17</v>
      </c>
      <c r="C4329">
        <v>1</v>
      </c>
      <c r="D4329">
        <v>4</v>
      </c>
      <c r="E4329">
        <v>9</v>
      </c>
      <c r="G4329">
        <v>1714</v>
      </c>
      <c r="H4329" t="s">
        <v>63</v>
      </c>
      <c r="I4329" t="s">
        <v>74</v>
      </c>
      <c r="J4329" t="s">
        <v>149</v>
      </c>
      <c r="L4329">
        <v>0</v>
      </c>
      <c r="M4329" t="s">
        <v>125</v>
      </c>
      <c r="O4329" t="s">
        <v>125</v>
      </c>
      <c r="P4329" t="s">
        <v>125</v>
      </c>
      <c r="Q4329" t="s">
        <v>125</v>
      </c>
      <c r="R4329" t="s">
        <v>125</v>
      </c>
      <c r="S4329" t="s">
        <v>125</v>
      </c>
      <c r="T4329">
        <v>0</v>
      </c>
      <c r="V4329" t="s">
        <v>125</v>
      </c>
      <c r="AE4329" t="s">
        <v>125</v>
      </c>
      <c r="AF4329">
        <v>0</v>
      </c>
      <c r="AG4329" t="s">
        <v>125</v>
      </c>
      <c r="AH4329">
        <v>0</v>
      </c>
      <c r="AK4329">
        <v>0</v>
      </c>
    </row>
    <row r="4330" spans="1:37" x14ac:dyDescent="0.25">
      <c r="A4330" t="s">
        <v>79</v>
      </c>
      <c r="B4330">
        <v>17</v>
      </c>
      <c r="C4330">
        <v>1</v>
      </c>
      <c r="D4330">
        <v>4</v>
      </c>
      <c r="E4330">
        <v>10</v>
      </c>
      <c r="G4330">
        <v>1714</v>
      </c>
      <c r="H4330" t="s">
        <v>63</v>
      </c>
      <c r="I4330" t="s">
        <v>129</v>
      </c>
      <c r="J4330" t="s">
        <v>150</v>
      </c>
      <c r="L4330">
        <v>0</v>
      </c>
      <c r="M4330" t="s">
        <v>125</v>
      </c>
      <c r="O4330" t="s">
        <v>125</v>
      </c>
      <c r="P4330" t="s">
        <v>125</v>
      </c>
      <c r="Q4330" t="s">
        <v>125</v>
      </c>
      <c r="R4330" t="s">
        <v>125</v>
      </c>
      <c r="S4330" t="s">
        <v>125</v>
      </c>
      <c r="T4330">
        <v>0</v>
      </c>
      <c r="V4330" t="s">
        <v>125</v>
      </c>
      <c r="AE4330" t="s">
        <v>125</v>
      </c>
      <c r="AF4330">
        <v>0</v>
      </c>
      <c r="AG4330" t="s">
        <v>125</v>
      </c>
      <c r="AH4330">
        <v>0</v>
      </c>
      <c r="AK4330">
        <v>0</v>
      </c>
    </row>
    <row r="4331" spans="1:37" x14ac:dyDescent="0.25">
      <c r="A4331" t="s">
        <v>79</v>
      </c>
      <c r="B4331">
        <v>17</v>
      </c>
      <c r="C4331">
        <v>1</v>
      </c>
      <c r="D4331">
        <v>4</v>
      </c>
      <c r="E4331">
        <v>11</v>
      </c>
      <c r="G4331">
        <v>1714</v>
      </c>
      <c r="H4331" t="s">
        <v>63</v>
      </c>
      <c r="I4331" t="s">
        <v>131</v>
      </c>
      <c r="J4331" t="s">
        <v>151</v>
      </c>
      <c r="L4331">
        <v>0</v>
      </c>
      <c r="M4331" t="s">
        <v>125</v>
      </c>
      <c r="O4331" t="s">
        <v>125</v>
      </c>
      <c r="P4331" t="s">
        <v>125</v>
      </c>
      <c r="Q4331" t="s">
        <v>125</v>
      </c>
      <c r="R4331" t="s">
        <v>125</v>
      </c>
      <c r="S4331" t="s">
        <v>125</v>
      </c>
      <c r="T4331">
        <v>0</v>
      </c>
      <c r="V4331" t="s">
        <v>125</v>
      </c>
      <c r="AE4331" t="s">
        <v>125</v>
      </c>
      <c r="AF4331">
        <v>0</v>
      </c>
      <c r="AG4331" t="s">
        <v>125</v>
      </c>
      <c r="AH4331">
        <v>0</v>
      </c>
      <c r="AK4331">
        <v>0</v>
      </c>
    </row>
    <row r="4332" spans="1:37" x14ac:dyDescent="0.25">
      <c r="A4332" t="s">
        <v>79</v>
      </c>
      <c r="B4332">
        <v>17</v>
      </c>
      <c r="C4332">
        <v>1</v>
      </c>
      <c r="D4332">
        <v>4</v>
      </c>
      <c r="E4332">
        <v>12</v>
      </c>
      <c r="G4332">
        <v>1714</v>
      </c>
      <c r="H4332" t="s">
        <v>63</v>
      </c>
      <c r="I4332" t="s">
        <v>133</v>
      </c>
      <c r="J4332" t="s">
        <v>152</v>
      </c>
      <c r="L4332">
        <v>0</v>
      </c>
      <c r="M4332" t="s">
        <v>125</v>
      </c>
      <c r="O4332" t="s">
        <v>125</v>
      </c>
      <c r="P4332" t="s">
        <v>125</v>
      </c>
      <c r="Q4332" t="s">
        <v>125</v>
      </c>
      <c r="R4332" t="s">
        <v>125</v>
      </c>
      <c r="S4332" t="s">
        <v>125</v>
      </c>
      <c r="T4332">
        <v>0</v>
      </c>
      <c r="V4332" t="s">
        <v>125</v>
      </c>
      <c r="AE4332" t="s">
        <v>125</v>
      </c>
      <c r="AF4332">
        <v>0</v>
      </c>
      <c r="AG4332" t="s">
        <v>125</v>
      </c>
      <c r="AH4332">
        <v>0</v>
      </c>
      <c r="AK4332">
        <v>0</v>
      </c>
    </row>
    <row r="4333" spans="1:37" x14ac:dyDescent="0.25">
      <c r="A4333" t="s">
        <v>79</v>
      </c>
      <c r="B4333">
        <v>17</v>
      </c>
      <c r="C4333">
        <v>1</v>
      </c>
      <c r="D4333">
        <v>4</v>
      </c>
      <c r="E4333">
        <v>13</v>
      </c>
      <c r="G4333">
        <v>1714</v>
      </c>
      <c r="H4333" t="s">
        <v>63</v>
      </c>
      <c r="I4333" t="s">
        <v>135</v>
      </c>
      <c r="J4333" t="s">
        <v>153</v>
      </c>
      <c r="L4333">
        <v>0</v>
      </c>
      <c r="M4333" t="s">
        <v>125</v>
      </c>
      <c r="O4333" t="s">
        <v>125</v>
      </c>
      <c r="P4333" t="s">
        <v>125</v>
      </c>
      <c r="Q4333" t="s">
        <v>125</v>
      </c>
      <c r="R4333" t="s">
        <v>125</v>
      </c>
      <c r="S4333" t="s">
        <v>125</v>
      </c>
      <c r="T4333">
        <v>0</v>
      </c>
      <c r="V4333" t="s">
        <v>125</v>
      </c>
      <c r="AE4333" t="s">
        <v>125</v>
      </c>
      <c r="AF4333">
        <v>0</v>
      </c>
      <c r="AG4333" t="s">
        <v>125</v>
      </c>
      <c r="AH4333">
        <v>0</v>
      </c>
      <c r="AK4333">
        <v>0</v>
      </c>
    </row>
    <row r="4334" spans="1:37" x14ac:dyDescent="0.25">
      <c r="A4334" t="s">
        <v>79</v>
      </c>
      <c r="B4334">
        <v>17</v>
      </c>
      <c r="C4334">
        <v>1</v>
      </c>
      <c r="D4334">
        <v>4</v>
      </c>
      <c r="E4334">
        <v>14</v>
      </c>
      <c r="G4334">
        <v>1714</v>
      </c>
      <c r="H4334" t="s">
        <v>63</v>
      </c>
      <c r="I4334" t="s">
        <v>137</v>
      </c>
      <c r="J4334" t="s">
        <v>154</v>
      </c>
      <c r="L4334">
        <v>0</v>
      </c>
      <c r="M4334" t="s">
        <v>125</v>
      </c>
      <c r="O4334" t="s">
        <v>125</v>
      </c>
      <c r="P4334" t="s">
        <v>125</v>
      </c>
      <c r="Q4334" t="s">
        <v>125</v>
      </c>
      <c r="R4334" t="s">
        <v>125</v>
      </c>
      <c r="S4334" t="s">
        <v>125</v>
      </c>
      <c r="T4334">
        <v>0</v>
      </c>
      <c r="V4334" t="s">
        <v>125</v>
      </c>
      <c r="AE4334" t="s">
        <v>125</v>
      </c>
      <c r="AF4334">
        <v>0</v>
      </c>
      <c r="AG4334" t="s">
        <v>125</v>
      </c>
      <c r="AH4334">
        <v>0</v>
      </c>
      <c r="AK4334">
        <v>0</v>
      </c>
    </row>
    <row r="4335" spans="1:37" x14ac:dyDescent="0.25">
      <c r="A4335" t="s">
        <v>79</v>
      </c>
      <c r="B4335">
        <v>17</v>
      </c>
      <c r="C4335">
        <v>1</v>
      </c>
      <c r="D4335">
        <v>4</v>
      </c>
      <c r="E4335">
        <v>15</v>
      </c>
      <c r="G4335">
        <v>1714</v>
      </c>
      <c r="H4335" t="s">
        <v>63</v>
      </c>
      <c r="I4335" t="s">
        <v>139</v>
      </c>
      <c r="J4335" t="s">
        <v>155</v>
      </c>
      <c r="L4335">
        <v>0</v>
      </c>
      <c r="M4335" t="s">
        <v>125</v>
      </c>
      <c r="O4335" t="s">
        <v>125</v>
      </c>
      <c r="P4335" t="s">
        <v>125</v>
      </c>
      <c r="Q4335" t="s">
        <v>125</v>
      </c>
      <c r="R4335" t="s">
        <v>125</v>
      </c>
      <c r="S4335" t="s">
        <v>125</v>
      </c>
      <c r="T4335">
        <v>0</v>
      </c>
      <c r="V4335" t="s">
        <v>125</v>
      </c>
      <c r="AE4335" t="s">
        <v>125</v>
      </c>
      <c r="AF4335">
        <v>0</v>
      </c>
      <c r="AG4335" t="s">
        <v>125</v>
      </c>
      <c r="AH4335">
        <v>0</v>
      </c>
      <c r="AK4335">
        <v>0</v>
      </c>
    </row>
    <row r="4336" spans="1:37" x14ac:dyDescent="0.25">
      <c r="L4336">
        <v>0</v>
      </c>
    </row>
    <row r="4337" spans="1:37" x14ac:dyDescent="0.25">
      <c r="A4337" t="s">
        <v>70</v>
      </c>
      <c r="B4337">
        <v>17</v>
      </c>
      <c r="C4337">
        <v>1</v>
      </c>
      <c r="D4337">
        <v>5</v>
      </c>
      <c r="G4337">
        <v>171</v>
      </c>
      <c r="L4337">
        <v>0</v>
      </c>
      <c r="M4337" t="s">
        <v>125</v>
      </c>
      <c r="P4337" t="s">
        <v>125</v>
      </c>
      <c r="R4337" t="s">
        <v>125</v>
      </c>
      <c r="S4337" t="s">
        <v>63</v>
      </c>
      <c r="V4337" t="s">
        <v>125</v>
      </c>
      <c r="X4337" t="s">
        <v>125</v>
      </c>
      <c r="Y4337" t="s">
        <v>125</v>
      </c>
      <c r="Z4337" t="s">
        <v>125</v>
      </c>
      <c r="AA4337" t="s">
        <v>125</v>
      </c>
      <c r="AB4337" t="s">
        <v>125</v>
      </c>
      <c r="AC4337" t="s">
        <v>125</v>
      </c>
      <c r="AE4337" t="s">
        <v>125</v>
      </c>
      <c r="AF4337">
        <v>0</v>
      </c>
      <c r="AG4337" t="s">
        <v>125</v>
      </c>
      <c r="AH4337">
        <v>0</v>
      </c>
      <c r="AK4337">
        <v>0</v>
      </c>
    </row>
    <row r="4338" spans="1:37" x14ac:dyDescent="0.25">
      <c r="A4338" t="s">
        <v>79</v>
      </c>
      <c r="B4338">
        <v>17</v>
      </c>
      <c r="C4338">
        <v>1</v>
      </c>
      <c r="D4338">
        <v>5</v>
      </c>
      <c r="E4338">
        <v>1</v>
      </c>
      <c r="G4338">
        <v>1715</v>
      </c>
      <c r="H4338" t="s">
        <v>63</v>
      </c>
      <c r="I4338" t="s">
        <v>80</v>
      </c>
      <c r="J4338" t="s">
        <v>141</v>
      </c>
      <c r="L4338">
        <v>0</v>
      </c>
      <c r="M4338" t="s">
        <v>125</v>
      </c>
      <c r="O4338" t="s">
        <v>125</v>
      </c>
      <c r="P4338" t="s">
        <v>125</v>
      </c>
      <c r="Q4338" t="s">
        <v>125</v>
      </c>
      <c r="R4338" t="s">
        <v>125</v>
      </c>
      <c r="S4338" t="s">
        <v>125</v>
      </c>
      <c r="T4338">
        <v>0</v>
      </c>
      <c r="V4338" t="s">
        <v>125</v>
      </c>
      <c r="AE4338" t="s">
        <v>125</v>
      </c>
      <c r="AF4338">
        <v>0</v>
      </c>
      <c r="AG4338" t="s">
        <v>125</v>
      </c>
      <c r="AH4338">
        <v>0</v>
      </c>
      <c r="AK4338">
        <v>0</v>
      </c>
    </row>
    <row r="4339" spans="1:37" x14ac:dyDescent="0.25">
      <c r="A4339" t="s">
        <v>79</v>
      </c>
      <c r="B4339">
        <v>17</v>
      </c>
      <c r="C4339">
        <v>1</v>
      </c>
      <c r="D4339">
        <v>5</v>
      </c>
      <c r="E4339">
        <v>2</v>
      </c>
      <c r="G4339">
        <v>1715</v>
      </c>
      <c r="H4339" t="s">
        <v>63</v>
      </c>
      <c r="I4339" t="s">
        <v>88</v>
      </c>
      <c r="J4339" t="s">
        <v>142</v>
      </c>
      <c r="L4339">
        <v>0</v>
      </c>
      <c r="M4339" t="s">
        <v>125</v>
      </c>
      <c r="O4339" t="s">
        <v>125</v>
      </c>
      <c r="P4339" t="s">
        <v>125</v>
      </c>
      <c r="Q4339" t="s">
        <v>125</v>
      </c>
      <c r="R4339" t="s">
        <v>125</v>
      </c>
      <c r="S4339" t="s">
        <v>125</v>
      </c>
      <c r="T4339">
        <v>0</v>
      </c>
      <c r="V4339" t="s">
        <v>125</v>
      </c>
      <c r="AE4339" t="s">
        <v>125</v>
      </c>
      <c r="AF4339">
        <v>0</v>
      </c>
      <c r="AG4339" t="s">
        <v>125</v>
      </c>
      <c r="AH4339">
        <v>0</v>
      </c>
      <c r="AK4339">
        <v>0</v>
      </c>
    </row>
    <row r="4340" spans="1:37" x14ac:dyDescent="0.25">
      <c r="A4340" t="s">
        <v>79</v>
      </c>
      <c r="B4340">
        <v>17</v>
      </c>
      <c r="C4340">
        <v>1</v>
      </c>
      <c r="D4340">
        <v>5</v>
      </c>
      <c r="E4340">
        <v>3</v>
      </c>
      <c r="G4340">
        <v>1715</v>
      </c>
      <c r="H4340" t="s">
        <v>63</v>
      </c>
      <c r="I4340" t="s">
        <v>95</v>
      </c>
      <c r="J4340" t="s">
        <v>143</v>
      </c>
      <c r="L4340">
        <v>0</v>
      </c>
      <c r="M4340" t="s">
        <v>125</v>
      </c>
      <c r="O4340" t="s">
        <v>125</v>
      </c>
      <c r="P4340" t="s">
        <v>125</v>
      </c>
      <c r="Q4340" t="s">
        <v>125</v>
      </c>
      <c r="R4340" t="s">
        <v>125</v>
      </c>
      <c r="S4340" t="s">
        <v>125</v>
      </c>
      <c r="T4340">
        <v>0</v>
      </c>
      <c r="V4340" t="s">
        <v>125</v>
      </c>
      <c r="AE4340" t="s">
        <v>125</v>
      </c>
      <c r="AF4340">
        <v>0</v>
      </c>
      <c r="AG4340" t="s">
        <v>125</v>
      </c>
      <c r="AH4340">
        <v>0</v>
      </c>
      <c r="AK4340">
        <v>0</v>
      </c>
    </row>
    <row r="4341" spans="1:37" x14ac:dyDescent="0.25">
      <c r="A4341" t="s">
        <v>79</v>
      </c>
      <c r="B4341">
        <v>17</v>
      </c>
      <c r="C4341">
        <v>1</v>
      </c>
      <c r="D4341">
        <v>5</v>
      </c>
      <c r="E4341">
        <v>4</v>
      </c>
      <c r="G4341">
        <v>1715</v>
      </c>
      <c r="H4341" t="s">
        <v>63</v>
      </c>
      <c r="I4341" t="s">
        <v>102</v>
      </c>
      <c r="J4341" t="s">
        <v>144</v>
      </c>
      <c r="L4341">
        <v>0</v>
      </c>
      <c r="M4341" t="s">
        <v>125</v>
      </c>
      <c r="O4341" t="s">
        <v>125</v>
      </c>
      <c r="P4341" t="s">
        <v>125</v>
      </c>
      <c r="Q4341" t="s">
        <v>125</v>
      </c>
      <c r="R4341" t="s">
        <v>125</v>
      </c>
      <c r="S4341" t="s">
        <v>125</v>
      </c>
      <c r="T4341">
        <v>0</v>
      </c>
      <c r="V4341" t="s">
        <v>125</v>
      </c>
      <c r="AE4341" t="s">
        <v>125</v>
      </c>
      <c r="AF4341">
        <v>0</v>
      </c>
      <c r="AG4341" t="s">
        <v>125</v>
      </c>
      <c r="AH4341">
        <v>0</v>
      </c>
      <c r="AK4341">
        <v>0</v>
      </c>
    </row>
    <row r="4342" spans="1:37" x14ac:dyDescent="0.25">
      <c r="A4342" t="s">
        <v>79</v>
      </c>
      <c r="B4342">
        <v>17</v>
      </c>
      <c r="C4342">
        <v>1</v>
      </c>
      <c r="D4342">
        <v>5</v>
      </c>
      <c r="E4342">
        <v>5</v>
      </c>
      <c r="G4342">
        <v>1715</v>
      </c>
      <c r="H4342" t="s">
        <v>63</v>
      </c>
      <c r="I4342" t="s">
        <v>109</v>
      </c>
      <c r="J4342" t="s">
        <v>145</v>
      </c>
      <c r="L4342">
        <v>0</v>
      </c>
      <c r="M4342" t="s">
        <v>125</v>
      </c>
      <c r="O4342" t="s">
        <v>125</v>
      </c>
      <c r="P4342" t="s">
        <v>125</v>
      </c>
      <c r="Q4342" t="s">
        <v>125</v>
      </c>
      <c r="R4342" t="s">
        <v>125</v>
      </c>
      <c r="S4342" t="s">
        <v>125</v>
      </c>
      <c r="T4342">
        <v>0</v>
      </c>
      <c r="V4342" t="s">
        <v>125</v>
      </c>
      <c r="AE4342" t="s">
        <v>125</v>
      </c>
      <c r="AF4342">
        <v>0</v>
      </c>
      <c r="AG4342" t="s">
        <v>125</v>
      </c>
      <c r="AH4342">
        <v>0</v>
      </c>
      <c r="AK4342">
        <v>0</v>
      </c>
    </row>
    <row r="4343" spans="1:37" x14ac:dyDescent="0.25">
      <c r="A4343" t="s">
        <v>79</v>
      </c>
      <c r="B4343">
        <v>17</v>
      </c>
      <c r="C4343">
        <v>1</v>
      </c>
      <c r="D4343">
        <v>5</v>
      </c>
      <c r="E4343">
        <v>6</v>
      </c>
      <c r="G4343">
        <v>1715</v>
      </c>
      <c r="H4343" t="s">
        <v>63</v>
      </c>
      <c r="I4343" t="s">
        <v>116</v>
      </c>
      <c r="J4343" t="s">
        <v>146</v>
      </c>
      <c r="L4343">
        <v>0</v>
      </c>
      <c r="M4343" t="s">
        <v>125</v>
      </c>
      <c r="O4343" t="s">
        <v>125</v>
      </c>
      <c r="P4343" t="s">
        <v>125</v>
      </c>
      <c r="Q4343" t="s">
        <v>125</v>
      </c>
      <c r="R4343" t="s">
        <v>125</v>
      </c>
      <c r="S4343" t="s">
        <v>125</v>
      </c>
      <c r="T4343">
        <v>0</v>
      </c>
      <c r="V4343" t="s">
        <v>125</v>
      </c>
      <c r="AE4343" t="s">
        <v>125</v>
      </c>
      <c r="AF4343">
        <v>0</v>
      </c>
      <c r="AG4343" t="s">
        <v>125</v>
      </c>
      <c r="AH4343">
        <v>0</v>
      </c>
      <c r="AK4343">
        <v>0</v>
      </c>
    </row>
    <row r="4344" spans="1:37" x14ac:dyDescent="0.25">
      <c r="A4344" t="s">
        <v>79</v>
      </c>
      <c r="B4344">
        <v>17</v>
      </c>
      <c r="C4344">
        <v>1</v>
      </c>
      <c r="D4344">
        <v>5</v>
      </c>
      <c r="E4344">
        <v>7</v>
      </c>
      <c r="G4344">
        <v>1715</v>
      </c>
      <c r="H4344" t="s">
        <v>63</v>
      </c>
      <c r="I4344" t="s">
        <v>123</v>
      </c>
      <c r="J4344" t="s">
        <v>147</v>
      </c>
      <c r="L4344">
        <v>0</v>
      </c>
      <c r="M4344" t="s">
        <v>125</v>
      </c>
      <c r="O4344" t="s">
        <v>125</v>
      </c>
      <c r="P4344" t="s">
        <v>125</v>
      </c>
      <c r="Q4344" t="s">
        <v>125</v>
      </c>
      <c r="R4344" t="s">
        <v>125</v>
      </c>
      <c r="S4344" t="s">
        <v>125</v>
      </c>
      <c r="T4344">
        <v>0</v>
      </c>
      <c r="V4344" t="s">
        <v>125</v>
      </c>
      <c r="AE4344" t="s">
        <v>125</v>
      </c>
      <c r="AF4344">
        <v>0</v>
      </c>
      <c r="AG4344" t="s">
        <v>125</v>
      </c>
      <c r="AH4344">
        <v>0</v>
      </c>
      <c r="AK4344">
        <v>0</v>
      </c>
    </row>
    <row r="4345" spans="1:37" x14ac:dyDescent="0.25">
      <c r="A4345" t="s">
        <v>79</v>
      </c>
      <c r="B4345">
        <v>17</v>
      </c>
      <c r="C4345">
        <v>1</v>
      </c>
      <c r="D4345">
        <v>5</v>
      </c>
      <c r="E4345">
        <v>8</v>
      </c>
      <c r="G4345">
        <v>1715</v>
      </c>
      <c r="H4345" t="s">
        <v>63</v>
      </c>
      <c r="I4345" t="s">
        <v>126</v>
      </c>
      <c r="J4345" t="s">
        <v>148</v>
      </c>
      <c r="L4345">
        <v>0</v>
      </c>
      <c r="M4345" t="s">
        <v>125</v>
      </c>
      <c r="O4345" t="s">
        <v>125</v>
      </c>
      <c r="P4345" t="s">
        <v>125</v>
      </c>
      <c r="Q4345" t="s">
        <v>125</v>
      </c>
      <c r="R4345" t="s">
        <v>125</v>
      </c>
      <c r="S4345" t="s">
        <v>125</v>
      </c>
      <c r="T4345">
        <v>0</v>
      </c>
      <c r="V4345" t="s">
        <v>125</v>
      </c>
      <c r="AE4345" t="s">
        <v>125</v>
      </c>
      <c r="AF4345">
        <v>0</v>
      </c>
      <c r="AG4345" t="s">
        <v>125</v>
      </c>
      <c r="AH4345">
        <v>0</v>
      </c>
      <c r="AK4345">
        <v>0</v>
      </c>
    </row>
    <row r="4346" spans="1:37" x14ac:dyDescent="0.25">
      <c r="A4346" t="s">
        <v>79</v>
      </c>
      <c r="B4346">
        <v>17</v>
      </c>
      <c r="C4346">
        <v>1</v>
      </c>
      <c r="D4346">
        <v>5</v>
      </c>
      <c r="E4346">
        <v>9</v>
      </c>
      <c r="G4346">
        <v>1715</v>
      </c>
      <c r="H4346" t="s">
        <v>63</v>
      </c>
      <c r="I4346" t="s">
        <v>74</v>
      </c>
      <c r="J4346" t="s">
        <v>149</v>
      </c>
      <c r="L4346">
        <v>0</v>
      </c>
      <c r="M4346" t="s">
        <v>125</v>
      </c>
      <c r="O4346" t="s">
        <v>125</v>
      </c>
      <c r="P4346" t="s">
        <v>125</v>
      </c>
      <c r="Q4346" t="s">
        <v>125</v>
      </c>
      <c r="R4346" t="s">
        <v>125</v>
      </c>
      <c r="S4346" t="s">
        <v>125</v>
      </c>
      <c r="T4346">
        <v>0</v>
      </c>
      <c r="V4346" t="s">
        <v>125</v>
      </c>
      <c r="AE4346" t="s">
        <v>125</v>
      </c>
      <c r="AF4346">
        <v>0</v>
      </c>
      <c r="AG4346" t="s">
        <v>125</v>
      </c>
      <c r="AH4346">
        <v>0</v>
      </c>
      <c r="AK4346">
        <v>0</v>
      </c>
    </row>
    <row r="4347" spans="1:37" x14ac:dyDescent="0.25">
      <c r="A4347" t="s">
        <v>79</v>
      </c>
      <c r="B4347">
        <v>17</v>
      </c>
      <c r="C4347">
        <v>1</v>
      </c>
      <c r="D4347">
        <v>5</v>
      </c>
      <c r="E4347">
        <v>10</v>
      </c>
      <c r="G4347">
        <v>1715</v>
      </c>
      <c r="H4347" t="s">
        <v>63</v>
      </c>
      <c r="I4347" t="s">
        <v>129</v>
      </c>
      <c r="J4347" t="s">
        <v>150</v>
      </c>
      <c r="L4347">
        <v>0</v>
      </c>
      <c r="M4347" t="s">
        <v>125</v>
      </c>
      <c r="O4347" t="s">
        <v>125</v>
      </c>
      <c r="P4347" t="s">
        <v>125</v>
      </c>
      <c r="Q4347" t="s">
        <v>125</v>
      </c>
      <c r="R4347" t="s">
        <v>125</v>
      </c>
      <c r="S4347" t="s">
        <v>125</v>
      </c>
      <c r="T4347">
        <v>0</v>
      </c>
      <c r="V4347" t="s">
        <v>125</v>
      </c>
      <c r="AE4347" t="s">
        <v>125</v>
      </c>
      <c r="AF4347">
        <v>0</v>
      </c>
      <c r="AG4347" t="s">
        <v>125</v>
      </c>
      <c r="AH4347">
        <v>0</v>
      </c>
      <c r="AK4347">
        <v>0</v>
      </c>
    </row>
    <row r="4348" spans="1:37" x14ac:dyDescent="0.25">
      <c r="A4348" t="s">
        <v>79</v>
      </c>
      <c r="B4348">
        <v>17</v>
      </c>
      <c r="C4348">
        <v>1</v>
      </c>
      <c r="D4348">
        <v>5</v>
      </c>
      <c r="E4348">
        <v>11</v>
      </c>
      <c r="G4348">
        <v>1715</v>
      </c>
      <c r="H4348" t="s">
        <v>63</v>
      </c>
      <c r="I4348" t="s">
        <v>131</v>
      </c>
      <c r="J4348" t="s">
        <v>151</v>
      </c>
      <c r="L4348">
        <v>0</v>
      </c>
      <c r="M4348" t="s">
        <v>125</v>
      </c>
      <c r="O4348" t="s">
        <v>125</v>
      </c>
      <c r="P4348" t="s">
        <v>125</v>
      </c>
      <c r="Q4348" t="s">
        <v>125</v>
      </c>
      <c r="R4348" t="s">
        <v>125</v>
      </c>
      <c r="S4348" t="s">
        <v>125</v>
      </c>
      <c r="T4348">
        <v>0</v>
      </c>
      <c r="V4348" t="s">
        <v>125</v>
      </c>
      <c r="AE4348" t="s">
        <v>125</v>
      </c>
      <c r="AF4348">
        <v>0</v>
      </c>
      <c r="AG4348" t="s">
        <v>125</v>
      </c>
      <c r="AH4348">
        <v>0</v>
      </c>
      <c r="AK4348">
        <v>0</v>
      </c>
    </row>
    <row r="4349" spans="1:37" x14ac:dyDescent="0.25">
      <c r="A4349" t="s">
        <v>79</v>
      </c>
      <c r="B4349">
        <v>17</v>
      </c>
      <c r="C4349">
        <v>1</v>
      </c>
      <c r="D4349">
        <v>5</v>
      </c>
      <c r="E4349">
        <v>12</v>
      </c>
      <c r="G4349">
        <v>1715</v>
      </c>
      <c r="H4349" t="s">
        <v>63</v>
      </c>
      <c r="I4349" t="s">
        <v>133</v>
      </c>
      <c r="J4349" t="s">
        <v>152</v>
      </c>
      <c r="L4349">
        <v>0</v>
      </c>
      <c r="M4349" t="s">
        <v>125</v>
      </c>
      <c r="O4349" t="s">
        <v>125</v>
      </c>
      <c r="P4349" t="s">
        <v>125</v>
      </c>
      <c r="Q4349" t="s">
        <v>125</v>
      </c>
      <c r="R4349" t="s">
        <v>125</v>
      </c>
      <c r="S4349" t="s">
        <v>125</v>
      </c>
      <c r="T4349">
        <v>0</v>
      </c>
      <c r="V4349" t="s">
        <v>125</v>
      </c>
      <c r="AE4349" t="s">
        <v>125</v>
      </c>
      <c r="AF4349">
        <v>0</v>
      </c>
      <c r="AG4349" t="s">
        <v>125</v>
      </c>
      <c r="AH4349">
        <v>0</v>
      </c>
      <c r="AK4349">
        <v>0</v>
      </c>
    </row>
    <row r="4350" spans="1:37" x14ac:dyDescent="0.25">
      <c r="A4350" t="s">
        <v>79</v>
      </c>
      <c r="B4350">
        <v>17</v>
      </c>
      <c r="C4350">
        <v>1</v>
      </c>
      <c r="D4350">
        <v>5</v>
      </c>
      <c r="E4350">
        <v>13</v>
      </c>
      <c r="G4350">
        <v>1715</v>
      </c>
      <c r="H4350" t="s">
        <v>63</v>
      </c>
      <c r="I4350" t="s">
        <v>135</v>
      </c>
      <c r="J4350" t="s">
        <v>153</v>
      </c>
      <c r="L4350">
        <v>0</v>
      </c>
      <c r="M4350" t="s">
        <v>125</v>
      </c>
      <c r="O4350" t="s">
        <v>125</v>
      </c>
      <c r="P4350" t="s">
        <v>125</v>
      </c>
      <c r="Q4350" t="s">
        <v>125</v>
      </c>
      <c r="R4350" t="s">
        <v>125</v>
      </c>
      <c r="S4350" t="s">
        <v>125</v>
      </c>
      <c r="T4350">
        <v>0</v>
      </c>
      <c r="V4350" t="s">
        <v>125</v>
      </c>
      <c r="AE4350" t="s">
        <v>125</v>
      </c>
      <c r="AF4350">
        <v>0</v>
      </c>
      <c r="AG4350" t="s">
        <v>125</v>
      </c>
      <c r="AH4350">
        <v>0</v>
      </c>
      <c r="AK4350">
        <v>0</v>
      </c>
    </row>
    <row r="4351" spans="1:37" x14ac:dyDescent="0.25">
      <c r="A4351" t="s">
        <v>79</v>
      </c>
      <c r="B4351">
        <v>17</v>
      </c>
      <c r="C4351">
        <v>1</v>
      </c>
      <c r="D4351">
        <v>5</v>
      </c>
      <c r="E4351">
        <v>14</v>
      </c>
      <c r="G4351">
        <v>1715</v>
      </c>
      <c r="H4351" t="s">
        <v>63</v>
      </c>
      <c r="I4351" t="s">
        <v>137</v>
      </c>
      <c r="J4351" t="s">
        <v>154</v>
      </c>
      <c r="L4351">
        <v>0</v>
      </c>
      <c r="M4351" t="s">
        <v>125</v>
      </c>
      <c r="O4351" t="s">
        <v>125</v>
      </c>
      <c r="P4351" t="s">
        <v>125</v>
      </c>
      <c r="Q4351" t="s">
        <v>125</v>
      </c>
      <c r="R4351" t="s">
        <v>125</v>
      </c>
      <c r="S4351" t="s">
        <v>125</v>
      </c>
      <c r="T4351">
        <v>0</v>
      </c>
      <c r="V4351" t="s">
        <v>125</v>
      </c>
      <c r="AE4351" t="s">
        <v>125</v>
      </c>
      <c r="AF4351">
        <v>0</v>
      </c>
      <c r="AG4351" t="s">
        <v>125</v>
      </c>
      <c r="AH4351">
        <v>0</v>
      </c>
      <c r="AK4351">
        <v>0</v>
      </c>
    </row>
    <row r="4352" spans="1:37" x14ac:dyDescent="0.25">
      <c r="A4352" t="s">
        <v>79</v>
      </c>
      <c r="B4352">
        <v>17</v>
      </c>
      <c r="C4352">
        <v>1</v>
      </c>
      <c r="D4352">
        <v>5</v>
      </c>
      <c r="E4352">
        <v>15</v>
      </c>
      <c r="G4352">
        <v>1715</v>
      </c>
      <c r="H4352" t="s">
        <v>63</v>
      </c>
      <c r="I4352" t="s">
        <v>139</v>
      </c>
      <c r="J4352" t="s">
        <v>155</v>
      </c>
      <c r="L4352">
        <v>0</v>
      </c>
      <c r="M4352" t="s">
        <v>125</v>
      </c>
      <c r="O4352" t="s">
        <v>125</v>
      </c>
      <c r="P4352" t="s">
        <v>125</v>
      </c>
      <c r="Q4352" t="s">
        <v>125</v>
      </c>
      <c r="R4352" t="s">
        <v>125</v>
      </c>
      <c r="S4352" t="s">
        <v>125</v>
      </c>
      <c r="T4352">
        <v>0</v>
      </c>
      <c r="V4352" t="s">
        <v>125</v>
      </c>
      <c r="AE4352" t="s">
        <v>125</v>
      </c>
      <c r="AF4352">
        <v>0</v>
      </c>
      <c r="AG4352" t="s">
        <v>125</v>
      </c>
      <c r="AH4352">
        <v>0</v>
      </c>
      <c r="AK4352">
        <v>0</v>
      </c>
    </row>
    <row r="4353" spans="1:37" x14ac:dyDescent="0.25">
      <c r="L4353">
        <v>0</v>
      </c>
    </row>
    <row r="4354" spans="1:37" x14ac:dyDescent="0.25">
      <c r="L4354">
        <v>0</v>
      </c>
    </row>
    <row r="4355" spans="1:37" x14ac:dyDescent="0.25">
      <c r="A4355" t="s">
        <v>66</v>
      </c>
      <c r="B4355">
        <v>17</v>
      </c>
      <c r="C4355">
        <v>2</v>
      </c>
      <c r="G4355">
        <v>17</v>
      </c>
      <c r="H4355" t="s">
        <v>5583</v>
      </c>
      <c r="I4355" t="s">
        <v>5743</v>
      </c>
      <c r="M4355" t="s">
        <v>5744</v>
      </c>
      <c r="N4355" t="s">
        <v>5743</v>
      </c>
      <c r="P4355" t="s">
        <v>5745</v>
      </c>
      <c r="V4355" t="s">
        <v>5746</v>
      </c>
      <c r="Y4355" t="s">
        <v>5747</v>
      </c>
      <c r="AA4355" t="s">
        <v>5748</v>
      </c>
      <c r="AC4355" t="s">
        <v>63</v>
      </c>
      <c r="AE4355" t="s">
        <v>5749</v>
      </c>
      <c r="AF4355">
        <v>0</v>
      </c>
      <c r="AG4355" t="s">
        <v>5750</v>
      </c>
      <c r="AH4355">
        <v>0</v>
      </c>
      <c r="AK4355">
        <v>0</v>
      </c>
    </row>
    <row r="4356" spans="1:37" x14ac:dyDescent="0.25">
      <c r="L4356">
        <v>0</v>
      </c>
    </row>
    <row r="4357" spans="1:37" x14ac:dyDescent="0.25">
      <c r="A4357" t="s">
        <v>70</v>
      </c>
      <c r="B4357">
        <v>17</v>
      </c>
      <c r="C4357">
        <v>2</v>
      </c>
      <c r="D4357">
        <v>1</v>
      </c>
      <c r="G4357">
        <v>172</v>
      </c>
      <c r="M4357" t="s">
        <v>5751</v>
      </c>
      <c r="O4357" t="s">
        <v>5752</v>
      </c>
      <c r="P4357" t="s">
        <v>5753</v>
      </c>
      <c r="Q4357" t="s">
        <v>74</v>
      </c>
      <c r="R4357" t="s">
        <v>382</v>
      </c>
      <c r="S4357" t="s">
        <v>5754</v>
      </c>
      <c r="V4357" t="s">
        <v>5746</v>
      </c>
      <c r="X4357" t="s">
        <v>5755</v>
      </c>
      <c r="Y4357" t="s">
        <v>5747</v>
      </c>
      <c r="Z4357" t="s">
        <v>5756</v>
      </c>
      <c r="AA4357" t="s">
        <v>5748</v>
      </c>
      <c r="AB4357" t="s">
        <v>63</v>
      </c>
      <c r="AC4357" t="s">
        <v>63</v>
      </c>
      <c r="AE4357" t="s">
        <v>5749</v>
      </c>
      <c r="AF4357">
        <v>0</v>
      </c>
      <c r="AG4357" t="s">
        <v>5750</v>
      </c>
      <c r="AH4357">
        <v>0</v>
      </c>
      <c r="AK4357">
        <v>0</v>
      </c>
    </row>
    <row r="4358" spans="1:37" x14ac:dyDescent="0.25">
      <c r="A4358" t="s">
        <v>79</v>
      </c>
      <c r="B4358">
        <v>17</v>
      </c>
      <c r="C4358">
        <v>2</v>
      </c>
      <c r="D4358">
        <v>1</v>
      </c>
      <c r="E4358">
        <v>1</v>
      </c>
      <c r="G4358">
        <v>1721</v>
      </c>
      <c r="H4358" t="s">
        <v>5752</v>
      </c>
      <c r="I4358" t="s">
        <v>80</v>
      </c>
      <c r="J4358" t="s">
        <v>5757</v>
      </c>
      <c r="L4358">
        <v>0</v>
      </c>
      <c r="M4358" t="s">
        <v>5758</v>
      </c>
      <c r="O4358" t="s">
        <v>5759</v>
      </c>
      <c r="P4358" t="s">
        <v>5760</v>
      </c>
      <c r="Q4358" t="s">
        <v>57</v>
      </c>
      <c r="R4358" t="s">
        <v>382</v>
      </c>
      <c r="S4358" t="s">
        <v>5761</v>
      </c>
      <c r="T4358">
        <v>10</v>
      </c>
      <c r="U4358">
        <v>10</v>
      </c>
      <c r="V4358" t="s">
        <v>5761</v>
      </c>
      <c r="AE4358" t="s">
        <v>5762</v>
      </c>
      <c r="AF4358">
        <v>0</v>
      </c>
      <c r="AG4358" t="s">
        <v>5617</v>
      </c>
      <c r="AH4358">
        <v>0</v>
      </c>
      <c r="AK4358">
        <v>0</v>
      </c>
    </row>
    <row r="4359" spans="1:37" x14ac:dyDescent="0.25">
      <c r="A4359" t="s">
        <v>79</v>
      </c>
      <c r="B4359">
        <v>17</v>
      </c>
      <c r="C4359">
        <v>2</v>
      </c>
      <c r="D4359">
        <v>1</v>
      </c>
      <c r="E4359">
        <v>2</v>
      </c>
      <c r="G4359">
        <v>1721</v>
      </c>
      <c r="H4359" t="s">
        <v>5752</v>
      </c>
      <c r="I4359" t="s">
        <v>88</v>
      </c>
      <c r="J4359" t="s">
        <v>5763</v>
      </c>
      <c r="L4359">
        <v>0</v>
      </c>
      <c r="M4359" t="s">
        <v>5764</v>
      </c>
      <c r="O4359" t="s">
        <v>1319</v>
      </c>
      <c r="P4359" t="s">
        <v>1320</v>
      </c>
      <c r="Q4359" t="s">
        <v>5765</v>
      </c>
      <c r="R4359" t="s">
        <v>229</v>
      </c>
      <c r="S4359" t="s">
        <v>1322</v>
      </c>
      <c r="T4359">
        <v>10</v>
      </c>
      <c r="U4359">
        <v>14</v>
      </c>
      <c r="V4359" t="s">
        <v>5766</v>
      </c>
      <c r="AE4359" t="s">
        <v>5767</v>
      </c>
      <c r="AF4359">
        <v>0</v>
      </c>
      <c r="AG4359" t="s">
        <v>5768</v>
      </c>
      <c r="AH4359">
        <v>0</v>
      </c>
      <c r="AK4359">
        <v>0</v>
      </c>
    </row>
    <row r="4360" spans="1:37" x14ac:dyDescent="0.25">
      <c r="A4360" t="s">
        <v>79</v>
      </c>
      <c r="B4360">
        <v>17</v>
      </c>
      <c r="C4360">
        <v>2</v>
      </c>
      <c r="D4360">
        <v>1</v>
      </c>
      <c r="E4360">
        <v>3</v>
      </c>
      <c r="G4360">
        <v>1721</v>
      </c>
      <c r="H4360" t="s">
        <v>5752</v>
      </c>
      <c r="I4360" t="s">
        <v>95</v>
      </c>
      <c r="J4360" t="s">
        <v>5769</v>
      </c>
      <c r="L4360">
        <v>0</v>
      </c>
      <c r="M4360" t="s">
        <v>5770</v>
      </c>
      <c r="O4360" t="s">
        <v>294</v>
      </c>
      <c r="P4360" t="s">
        <v>295</v>
      </c>
      <c r="Q4360" t="s">
        <v>5771</v>
      </c>
      <c r="R4360" t="s">
        <v>229</v>
      </c>
      <c r="S4360" t="s">
        <v>297</v>
      </c>
      <c r="T4360">
        <v>10</v>
      </c>
      <c r="U4360">
        <v>7</v>
      </c>
      <c r="V4360" t="s">
        <v>5772</v>
      </c>
      <c r="AE4360" t="s">
        <v>5773</v>
      </c>
      <c r="AF4360">
        <v>0</v>
      </c>
      <c r="AG4360" t="s">
        <v>5774</v>
      </c>
      <c r="AH4360">
        <v>0</v>
      </c>
      <c r="AK4360">
        <v>0</v>
      </c>
    </row>
    <row r="4361" spans="1:37" x14ac:dyDescent="0.25">
      <c r="A4361" t="s">
        <v>79</v>
      </c>
      <c r="B4361">
        <v>17</v>
      </c>
      <c r="C4361">
        <v>2</v>
      </c>
      <c r="D4361">
        <v>1</v>
      </c>
      <c r="E4361">
        <v>4</v>
      </c>
      <c r="G4361">
        <v>1721</v>
      </c>
      <c r="H4361" t="s">
        <v>5752</v>
      </c>
      <c r="I4361" t="s">
        <v>102</v>
      </c>
      <c r="J4361" t="s">
        <v>5775</v>
      </c>
      <c r="L4361">
        <v>0</v>
      </c>
      <c r="M4361" t="s">
        <v>125</v>
      </c>
      <c r="O4361" t="s">
        <v>125</v>
      </c>
      <c r="P4361" t="s">
        <v>125</v>
      </c>
      <c r="Q4361" t="s">
        <v>125</v>
      </c>
      <c r="R4361" t="s">
        <v>125</v>
      </c>
      <c r="S4361" t="s">
        <v>125</v>
      </c>
      <c r="T4361">
        <v>10</v>
      </c>
      <c r="V4361" t="s">
        <v>125</v>
      </c>
      <c r="AE4361" t="s">
        <v>125</v>
      </c>
      <c r="AF4361">
        <v>0</v>
      </c>
      <c r="AG4361" t="s">
        <v>125</v>
      </c>
      <c r="AH4361">
        <v>0</v>
      </c>
      <c r="AK4361">
        <v>0</v>
      </c>
    </row>
    <row r="4362" spans="1:37" x14ac:dyDescent="0.25">
      <c r="A4362" t="s">
        <v>79</v>
      </c>
      <c r="B4362">
        <v>17</v>
      </c>
      <c r="C4362">
        <v>2</v>
      </c>
      <c r="D4362">
        <v>1</v>
      </c>
      <c r="E4362">
        <v>5</v>
      </c>
      <c r="G4362">
        <v>1721</v>
      </c>
      <c r="H4362" t="s">
        <v>5752</v>
      </c>
      <c r="I4362" t="s">
        <v>109</v>
      </c>
      <c r="J4362" t="s">
        <v>5776</v>
      </c>
      <c r="L4362">
        <v>0</v>
      </c>
      <c r="M4362" t="s">
        <v>125</v>
      </c>
      <c r="O4362" t="s">
        <v>125</v>
      </c>
      <c r="P4362" t="s">
        <v>125</v>
      </c>
      <c r="Q4362" t="s">
        <v>125</v>
      </c>
      <c r="R4362" t="s">
        <v>125</v>
      </c>
      <c r="S4362" t="s">
        <v>125</v>
      </c>
      <c r="T4362">
        <v>10</v>
      </c>
      <c r="V4362" t="s">
        <v>125</v>
      </c>
      <c r="AE4362" t="s">
        <v>125</v>
      </c>
      <c r="AF4362">
        <v>0</v>
      </c>
      <c r="AG4362" t="s">
        <v>125</v>
      </c>
      <c r="AH4362">
        <v>0</v>
      </c>
      <c r="AK4362">
        <v>0</v>
      </c>
    </row>
    <row r="4363" spans="1:37" x14ac:dyDescent="0.25">
      <c r="A4363" t="s">
        <v>79</v>
      </c>
      <c r="B4363">
        <v>17</v>
      </c>
      <c r="C4363">
        <v>2</v>
      </c>
      <c r="D4363">
        <v>1</v>
      </c>
      <c r="E4363">
        <v>6</v>
      </c>
      <c r="G4363">
        <v>1721</v>
      </c>
      <c r="H4363" t="s">
        <v>5752</v>
      </c>
      <c r="I4363" t="s">
        <v>116</v>
      </c>
      <c r="J4363" t="s">
        <v>5777</v>
      </c>
      <c r="L4363">
        <v>0</v>
      </c>
      <c r="M4363" t="s">
        <v>125</v>
      </c>
      <c r="O4363" t="s">
        <v>125</v>
      </c>
      <c r="P4363" t="s">
        <v>125</v>
      </c>
      <c r="Q4363" t="s">
        <v>125</v>
      </c>
      <c r="R4363" t="s">
        <v>125</v>
      </c>
      <c r="S4363" t="s">
        <v>125</v>
      </c>
      <c r="T4363">
        <v>10</v>
      </c>
      <c r="V4363" t="s">
        <v>125</v>
      </c>
      <c r="AE4363" t="s">
        <v>125</v>
      </c>
      <c r="AF4363">
        <v>0</v>
      </c>
      <c r="AG4363" t="s">
        <v>125</v>
      </c>
      <c r="AH4363">
        <v>0</v>
      </c>
      <c r="AK4363">
        <v>0</v>
      </c>
    </row>
    <row r="4364" spans="1:37" x14ac:dyDescent="0.25">
      <c r="A4364" t="s">
        <v>79</v>
      </c>
      <c r="B4364">
        <v>17</v>
      </c>
      <c r="C4364">
        <v>2</v>
      </c>
      <c r="D4364">
        <v>1</v>
      </c>
      <c r="E4364">
        <v>7</v>
      </c>
      <c r="G4364">
        <v>1721</v>
      </c>
      <c r="H4364" t="s">
        <v>5752</v>
      </c>
      <c r="I4364" t="s">
        <v>123</v>
      </c>
      <c r="J4364" t="s">
        <v>5778</v>
      </c>
      <c r="L4364">
        <v>0</v>
      </c>
      <c r="M4364" t="s">
        <v>125</v>
      </c>
      <c r="O4364" t="s">
        <v>125</v>
      </c>
      <c r="P4364" t="s">
        <v>125</v>
      </c>
      <c r="Q4364" t="s">
        <v>125</v>
      </c>
      <c r="R4364" t="s">
        <v>125</v>
      </c>
      <c r="S4364" t="s">
        <v>125</v>
      </c>
      <c r="T4364">
        <v>10</v>
      </c>
      <c r="V4364" t="s">
        <v>125</v>
      </c>
      <c r="AE4364" t="s">
        <v>125</v>
      </c>
      <c r="AF4364">
        <v>0</v>
      </c>
      <c r="AG4364" t="s">
        <v>125</v>
      </c>
      <c r="AH4364">
        <v>0</v>
      </c>
      <c r="AK4364">
        <v>0</v>
      </c>
    </row>
    <row r="4365" spans="1:37" x14ac:dyDescent="0.25">
      <c r="A4365" t="s">
        <v>79</v>
      </c>
      <c r="B4365">
        <v>17</v>
      </c>
      <c r="C4365">
        <v>2</v>
      </c>
      <c r="D4365">
        <v>1</v>
      </c>
      <c r="E4365">
        <v>8</v>
      </c>
      <c r="G4365">
        <v>1721</v>
      </c>
      <c r="H4365" t="s">
        <v>5752</v>
      </c>
      <c r="I4365" t="s">
        <v>126</v>
      </c>
      <c r="J4365" t="s">
        <v>5779</v>
      </c>
      <c r="L4365">
        <v>0</v>
      </c>
      <c r="M4365" t="s">
        <v>125</v>
      </c>
      <c r="O4365" t="s">
        <v>125</v>
      </c>
      <c r="P4365" t="s">
        <v>125</v>
      </c>
      <c r="Q4365" t="s">
        <v>125</v>
      </c>
      <c r="R4365" t="s">
        <v>125</v>
      </c>
      <c r="S4365" t="s">
        <v>125</v>
      </c>
      <c r="T4365">
        <v>10</v>
      </c>
      <c r="V4365" t="s">
        <v>125</v>
      </c>
      <c r="AE4365" t="s">
        <v>125</v>
      </c>
      <c r="AF4365">
        <v>0</v>
      </c>
      <c r="AG4365" t="s">
        <v>125</v>
      </c>
      <c r="AH4365">
        <v>0</v>
      </c>
      <c r="AK4365">
        <v>0</v>
      </c>
    </row>
    <row r="4366" spans="1:37" x14ac:dyDescent="0.25">
      <c r="A4366" t="s">
        <v>79</v>
      </c>
      <c r="B4366">
        <v>17</v>
      </c>
      <c r="C4366">
        <v>2</v>
      </c>
      <c r="D4366">
        <v>1</v>
      </c>
      <c r="E4366">
        <v>9</v>
      </c>
      <c r="G4366">
        <v>1721</v>
      </c>
      <c r="H4366" t="s">
        <v>5752</v>
      </c>
      <c r="I4366" t="s">
        <v>74</v>
      </c>
      <c r="J4366" t="s">
        <v>5780</v>
      </c>
      <c r="L4366">
        <v>0</v>
      </c>
      <c r="M4366" t="s">
        <v>125</v>
      </c>
      <c r="O4366" t="s">
        <v>125</v>
      </c>
      <c r="P4366" t="s">
        <v>125</v>
      </c>
      <c r="Q4366" t="s">
        <v>125</v>
      </c>
      <c r="R4366" t="s">
        <v>125</v>
      </c>
      <c r="S4366" t="s">
        <v>125</v>
      </c>
      <c r="T4366">
        <v>10</v>
      </c>
      <c r="V4366" t="s">
        <v>125</v>
      </c>
      <c r="AE4366" t="s">
        <v>125</v>
      </c>
      <c r="AF4366">
        <v>0</v>
      </c>
      <c r="AG4366" t="s">
        <v>125</v>
      </c>
      <c r="AH4366">
        <v>0</v>
      </c>
      <c r="AK4366">
        <v>0</v>
      </c>
    </row>
    <row r="4367" spans="1:37" x14ac:dyDescent="0.25">
      <c r="A4367" t="s">
        <v>79</v>
      </c>
      <c r="B4367">
        <v>17</v>
      </c>
      <c r="C4367">
        <v>2</v>
      </c>
      <c r="D4367">
        <v>1</v>
      </c>
      <c r="E4367">
        <v>10</v>
      </c>
      <c r="G4367">
        <v>1721</v>
      </c>
      <c r="H4367" t="s">
        <v>5752</v>
      </c>
      <c r="I4367" t="s">
        <v>129</v>
      </c>
      <c r="J4367" t="s">
        <v>5781</v>
      </c>
      <c r="L4367">
        <v>0</v>
      </c>
      <c r="M4367" t="s">
        <v>125</v>
      </c>
      <c r="O4367" t="s">
        <v>125</v>
      </c>
      <c r="P4367" t="s">
        <v>125</v>
      </c>
      <c r="Q4367" t="s">
        <v>125</v>
      </c>
      <c r="R4367" t="s">
        <v>125</v>
      </c>
      <c r="S4367" t="s">
        <v>125</v>
      </c>
      <c r="T4367">
        <v>10</v>
      </c>
      <c r="V4367" t="s">
        <v>125</v>
      </c>
      <c r="AE4367" t="s">
        <v>125</v>
      </c>
      <c r="AF4367">
        <v>0</v>
      </c>
      <c r="AG4367" t="s">
        <v>125</v>
      </c>
      <c r="AH4367">
        <v>0</v>
      </c>
      <c r="AK4367">
        <v>0</v>
      </c>
    </row>
    <row r="4368" spans="1:37" x14ac:dyDescent="0.25">
      <c r="A4368" t="s">
        <v>79</v>
      </c>
      <c r="B4368">
        <v>17</v>
      </c>
      <c r="C4368">
        <v>2</v>
      </c>
      <c r="D4368">
        <v>1</v>
      </c>
      <c r="E4368">
        <v>11</v>
      </c>
      <c r="G4368">
        <v>1721</v>
      </c>
      <c r="H4368" t="s">
        <v>5752</v>
      </c>
      <c r="I4368" t="s">
        <v>131</v>
      </c>
      <c r="J4368" t="s">
        <v>5782</v>
      </c>
      <c r="L4368">
        <v>0</v>
      </c>
      <c r="M4368" t="s">
        <v>125</v>
      </c>
      <c r="O4368" t="s">
        <v>125</v>
      </c>
      <c r="P4368" t="s">
        <v>125</v>
      </c>
      <c r="Q4368" t="s">
        <v>125</v>
      </c>
      <c r="R4368" t="s">
        <v>125</v>
      </c>
      <c r="S4368" t="s">
        <v>125</v>
      </c>
      <c r="T4368">
        <v>10</v>
      </c>
      <c r="V4368" t="s">
        <v>125</v>
      </c>
      <c r="AE4368" t="s">
        <v>125</v>
      </c>
      <c r="AF4368">
        <v>0</v>
      </c>
      <c r="AG4368" t="s">
        <v>125</v>
      </c>
      <c r="AH4368">
        <v>0</v>
      </c>
      <c r="AK4368">
        <v>0</v>
      </c>
    </row>
    <row r="4369" spans="1:37" x14ac:dyDescent="0.25">
      <c r="A4369" t="s">
        <v>79</v>
      </c>
      <c r="B4369">
        <v>17</v>
      </c>
      <c r="C4369">
        <v>2</v>
      </c>
      <c r="D4369">
        <v>1</v>
      </c>
      <c r="E4369">
        <v>12</v>
      </c>
      <c r="G4369">
        <v>1721</v>
      </c>
      <c r="H4369" t="s">
        <v>5752</v>
      </c>
      <c r="I4369" t="s">
        <v>133</v>
      </c>
      <c r="J4369" t="s">
        <v>5783</v>
      </c>
      <c r="L4369">
        <v>0</v>
      </c>
      <c r="M4369" t="s">
        <v>125</v>
      </c>
      <c r="O4369" t="s">
        <v>125</v>
      </c>
      <c r="P4369" t="s">
        <v>125</v>
      </c>
      <c r="Q4369" t="s">
        <v>125</v>
      </c>
      <c r="R4369" t="s">
        <v>125</v>
      </c>
      <c r="S4369" t="s">
        <v>125</v>
      </c>
      <c r="T4369">
        <v>10</v>
      </c>
      <c r="V4369" t="s">
        <v>125</v>
      </c>
      <c r="AE4369" t="s">
        <v>125</v>
      </c>
      <c r="AF4369">
        <v>0</v>
      </c>
      <c r="AG4369" t="s">
        <v>125</v>
      </c>
      <c r="AH4369">
        <v>0</v>
      </c>
      <c r="AK4369">
        <v>0</v>
      </c>
    </row>
    <row r="4370" spans="1:37" x14ac:dyDescent="0.25">
      <c r="A4370" t="s">
        <v>79</v>
      </c>
      <c r="B4370">
        <v>17</v>
      </c>
      <c r="C4370">
        <v>2</v>
      </c>
      <c r="D4370">
        <v>1</v>
      </c>
      <c r="E4370">
        <v>13</v>
      </c>
      <c r="G4370">
        <v>1721</v>
      </c>
      <c r="H4370" t="s">
        <v>5752</v>
      </c>
      <c r="I4370" t="s">
        <v>135</v>
      </c>
      <c r="J4370" t="s">
        <v>5784</v>
      </c>
      <c r="L4370">
        <v>0</v>
      </c>
      <c r="M4370" t="s">
        <v>125</v>
      </c>
      <c r="O4370" t="s">
        <v>125</v>
      </c>
      <c r="P4370" t="s">
        <v>125</v>
      </c>
      <c r="Q4370" t="s">
        <v>125</v>
      </c>
      <c r="R4370" t="s">
        <v>125</v>
      </c>
      <c r="S4370" t="s">
        <v>125</v>
      </c>
      <c r="T4370">
        <v>10</v>
      </c>
      <c r="V4370" t="s">
        <v>125</v>
      </c>
      <c r="AE4370" t="s">
        <v>125</v>
      </c>
      <c r="AF4370">
        <v>0</v>
      </c>
      <c r="AG4370" t="s">
        <v>125</v>
      </c>
      <c r="AH4370">
        <v>0</v>
      </c>
      <c r="AK4370">
        <v>0</v>
      </c>
    </row>
    <row r="4371" spans="1:37" x14ac:dyDescent="0.25">
      <c r="A4371" t="s">
        <v>79</v>
      </c>
      <c r="B4371">
        <v>17</v>
      </c>
      <c r="C4371">
        <v>2</v>
      </c>
      <c r="D4371">
        <v>1</v>
      </c>
      <c r="E4371">
        <v>14</v>
      </c>
      <c r="G4371">
        <v>1721</v>
      </c>
      <c r="H4371" t="s">
        <v>5752</v>
      </c>
      <c r="I4371" t="s">
        <v>137</v>
      </c>
      <c r="J4371" t="s">
        <v>5785</v>
      </c>
      <c r="L4371">
        <v>0</v>
      </c>
      <c r="M4371" t="s">
        <v>125</v>
      </c>
      <c r="O4371" t="s">
        <v>125</v>
      </c>
      <c r="P4371" t="s">
        <v>125</v>
      </c>
      <c r="Q4371" t="s">
        <v>125</v>
      </c>
      <c r="R4371" t="s">
        <v>125</v>
      </c>
      <c r="S4371" t="s">
        <v>125</v>
      </c>
      <c r="T4371">
        <v>10</v>
      </c>
      <c r="V4371" t="s">
        <v>125</v>
      </c>
      <c r="AE4371" t="s">
        <v>125</v>
      </c>
      <c r="AF4371">
        <v>0</v>
      </c>
      <c r="AG4371" t="s">
        <v>125</v>
      </c>
      <c r="AH4371">
        <v>0</v>
      </c>
      <c r="AK4371">
        <v>0</v>
      </c>
    </row>
    <row r="4372" spans="1:37" x14ac:dyDescent="0.25">
      <c r="A4372" t="s">
        <v>79</v>
      </c>
      <c r="B4372">
        <v>17</v>
      </c>
      <c r="C4372">
        <v>2</v>
      </c>
      <c r="D4372">
        <v>1</v>
      </c>
      <c r="E4372">
        <v>15</v>
      </c>
      <c r="G4372">
        <v>1721</v>
      </c>
      <c r="H4372" t="s">
        <v>5752</v>
      </c>
      <c r="I4372" t="s">
        <v>139</v>
      </c>
      <c r="J4372" t="s">
        <v>5786</v>
      </c>
      <c r="L4372">
        <v>0</v>
      </c>
      <c r="M4372" t="s">
        <v>125</v>
      </c>
      <c r="O4372" t="s">
        <v>125</v>
      </c>
      <c r="P4372" t="s">
        <v>125</v>
      </c>
      <c r="Q4372" t="s">
        <v>125</v>
      </c>
      <c r="R4372" t="s">
        <v>125</v>
      </c>
      <c r="S4372" t="s">
        <v>125</v>
      </c>
      <c r="T4372">
        <v>10</v>
      </c>
      <c r="V4372" t="s">
        <v>125</v>
      </c>
      <c r="AE4372" t="s">
        <v>125</v>
      </c>
      <c r="AF4372">
        <v>0</v>
      </c>
      <c r="AG4372" t="s">
        <v>125</v>
      </c>
      <c r="AH4372">
        <v>0</v>
      </c>
      <c r="AK4372">
        <v>0</v>
      </c>
    </row>
    <row r="4373" spans="1:37" x14ac:dyDescent="0.25">
      <c r="L4373">
        <v>0</v>
      </c>
    </row>
    <row r="4374" spans="1:37" x14ac:dyDescent="0.25">
      <c r="A4374" t="s">
        <v>70</v>
      </c>
      <c r="B4374">
        <v>17</v>
      </c>
      <c r="C4374">
        <v>2</v>
      </c>
      <c r="D4374">
        <v>2</v>
      </c>
      <c r="G4374">
        <v>172</v>
      </c>
      <c r="L4374">
        <v>0</v>
      </c>
      <c r="M4374" t="s">
        <v>125</v>
      </c>
      <c r="P4374" t="s">
        <v>125</v>
      </c>
      <c r="R4374" t="s">
        <v>125</v>
      </c>
      <c r="S4374" t="s">
        <v>63</v>
      </c>
      <c r="V4374" t="s">
        <v>125</v>
      </c>
      <c r="X4374" t="s">
        <v>125</v>
      </c>
      <c r="Y4374" t="s">
        <v>125</v>
      </c>
      <c r="Z4374" t="s">
        <v>125</v>
      </c>
      <c r="AA4374" t="s">
        <v>125</v>
      </c>
      <c r="AB4374" t="s">
        <v>125</v>
      </c>
      <c r="AC4374" t="s">
        <v>125</v>
      </c>
      <c r="AE4374" t="s">
        <v>125</v>
      </c>
      <c r="AF4374">
        <v>0</v>
      </c>
      <c r="AG4374" t="s">
        <v>125</v>
      </c>
      <c r="AH4374">
        <v>0</v>
      </c>
      <c r="AK4374">
        <v>0</v>
      </c>
    </row>
    <row r="4375" spans="1:37" x14ac:dyDescent="0.25">
      <c r="A4375" t="s">
        <v>79</v>
      </c>
      <c r="B4375">
        <v>17</v>
      </c>
      <c r="C4375">
        <v>2</v>
      </c>
      <c r="D4375">
        <v>2</v>
      </c>
      <c r="E4375">
        <v>1</v>
      </c>
      <c r="G4375">
        <v>1722</v>
      </c>
      <c r="H4375" t="s">
        <v>63</v>
      </c>
      <c r="I4375" t="s">
        <v>80</v>
      </c>
      <c r="J4375" t="s">
        <v>141</v>
      </c>
      <c r="L4375">
        <v>0</v>
      </c>
      <c r="M4375" t="s">
        <v>125</v>
      </c>
      <c r="O4375" t="s">
        <v>125</v>
      </c>
      <c r="P4375" t="s">
        <v>125</v>
      </c>
      <c r="Q4375" t="s">
        <v>125</v>
      </c>
      <c r="R4375" t="s">
        <v>125</v>
      </c>
      <c r="S4375" t="s">
        <v>125</v>
      </c>
      <c r="T4375">
        <v>0</v>
      </c>
      <c r="V4375" t="s">
        <v>125</v>
      </c>
      <c r="AE4375" t="s">
        <v>125</v>
      </c>
      <c r="AF4375">
        <v>0</v>
      </c>
      <c r="AG4375" t="s">
        <v>125</v>
      </c>
      <c r="AH4375">
        <v>0</v>
      </c>
      <c r="AK4375">
        <v>0</v>
      </c>
    </row>
    <row r="4376" spans="1:37" x14ac:dyDescent="0.25">
      <c r="A4376" t="s">
        <v>79</v>
      </c>
      <c r="B4376">
        <v>17</v>
      </c>
      <c r="C4376">
        <v>2</v>
      </c>
      <c r="D4376">
        <v>2</v>
      </c>
      <c r="E4376">
        <v>2</v>
      </c>
      <c r="G4376">
        <v>1722</v>
      </c>
      <c r="H4376" t="s">
        <v>63</v>
      </c>
      <c r="I4376" t="s">
        <v>88</v>
      </c>
      <c r="J4376" t="s">
        <v>142</v>
      </c>
      <c r="L4376">
        <v>0</v>
      </c>
      <c r="M4376" t="s">
        <v>125</v>
      </c>
      <c r="O4376" t="s">
        <v>125</v>
      </c>
      <c r="P4376" t="s">
        <v>125</v>
      </c>
      <c r="Q4376" t="s">
        <v>125</v>
      </c>
      <c r="R4376" t="s">
        <v>125</v>
      </c>
      <c r="S4376" t="s">
        <v>125</v>
      </c>
      <c r="T4376">
        <v>0</v>
      </c>
      <c r="V4376" t="s">
        <v>125</v>
      </c>
      <c r="AE4376" t="s">
        <v>125</v>
      </c>
      <c r="AF4376">
        <v>0</v>
      </c>
      <c r="AG4376" t="s">
        <v>125</v>
      </c>
      <c r="AH4376">
        <v>0</v>
      </c>
      <c r="AK4376">
        <v>0</v>
      </c>
    </row>
    <row r="4377" spans="1:37" x14ac:dyDescent="0.25">
      <c r="A4377" t="s">
        <v>79</v>
      </c>
      <c r="B4377">
        <v>17</v>
      </c>
      <c r="C4377">
        <v>2</v>
      </c>
      <c r="D4377">
        <v>2</v>
      </c>
      <c r="E4377">
        <v>3</v>
      </c>
      <c r="G4377">
        <v>1722</v>
      </c>
      <c r="H4377" t="s">
        <v>63</v>
      </c>
      <c r="I4377" t="s">
        <v>95</v>
      </c>
      <c r="J4377" t="s">
        <v>143</v>
      </c>
      <c r="L4377">
        <v>0</v>
      </c>
      <c r="M4377" t="s">
        <v>125</v>
      </c>
      <c r="O4377" t="s">
        <v>125</v>
      </c>
      <c r="P4377" t="s">
        <v>125</v>
      </c>
      <c r="Q4377" t="s">
        <v>125</v>
      </c>
      <c r="R4377" t="s">
        <v>125</v>
      </c>
      <c r="S4377" t="s">
        <v>125</v>
      </c>
      <c r="T4377">
        <v>0</v>
      </c>
      <c r="V4377" t="s">
        <v>125</v>
      </c>
      <c r="AE4377" t="s">
        <v>125</v>
      </c>
      <c r="AF4377">
        <v>0</v>
      </c>
      <c r="AG4377" t="s">
        <v>125</v>
      </c>
      <c r="AH4377">
        <v>0</v>
      </c>
      <c r="AK4377">
        <v>0</v>
      </c>
    </row>
    <row r="4378" spans="1:37" x14ac:dyDescent="0.25">
      <c r="A4378" t="s">
        <v>79</v>
      </c>
      <c r="B4378">
        <v>17</v>
      </c>
      <c r="C4378">
        <v>2</v>
      </c>
      <c r="D4378">
        <v>2</v>
      </c>
      <c r="E4378">
        <v>4</v>
      </c>
      <c r="G4378">
        <v>1722</v>
      </c>
      <c r="H4378" t="s">
        <v>63</v>
      </c>
      <c r="I4378" t="s">
        <v>102</v>
      </c>
      <c r="J4378" t="s">
        <v>144</v>
      </c>
      <c r="L4378">
        <v>0</v>
      </c>
      <c r="M4378" t="s">
        <v>125</v>
      </c>
      <c r="O4378" t="s">
        <v>125</v>
      </c>
      <c r="P4378" t="s">
        <v>125</v>
      </c>
      <c r="Q4378" t="s">
        <v>125</v>
      </c>
      <c r="R4378" t="s">
        <v>125</v>
      </c>
      <c r="S4378" t="s">
        <v>125</v>
      </c>
      <c r="T4378">
        <v>0</v>
      </c>
      <c r="V4378" t="s">
        <v>125</v>
      </c>
      <c r="AE4378" t="s">
        <v>125</v>
      </c>
      <c r="AF4378">
        <v>0</v>
      </c>
      <c r="AG4378" t="s">
        <v>125</v>
      </c>
      <c r="AH4378">
        <v>0</v>
      </c>
      <c r="AK4378">
        <v>0</v>
      </c>
    </row>
    <row r="4379" spans="1:37" x14ac:dyDescent="0.25">
      <c r="A4379" t="s">
        <v>79</v>
      </c>
      <c r="B4379">
        <v>17</v>
      </c>
      <c r="C4379">
        <v>2</v>
      </c>
      <c r="D4379">
        <v>2</v>
      </c>
      <c r="E4379">
        <v>5</v>
      </c>
      <c r="G4379">
        <v>1722</v>
      </c>
      <c r="H4379" t="s">
        <v>63</v>
      </c>
      <c r="I4379" t="s">
        <v>109</v>
      </c>
      <c r="J4379" t="s">
        <v>145</v>
      </c>
      <c r="L4379">
        <v>0</v>
      </c>
      <c r="M4379" t="s">
        <v>125</v>
      </c>
      <c r="O4379" t="s">
        <v>125</v>
      </c>
      <c r="P4379" t="s">
        <v>125</v>
      </c>
      <c r="Q4379" t="s">
        <v>125</v>
      </c>
      <c r="R4379" t="s">
        <v>125</v>
      </c>
      <c r="S4379" t="s">
        <v>125</v>
      </c>
      <c r="T4379">
        <v>0</v>
      </c>
      <c r="V4379" t="s">
        <v>125</v>
      </c>
      <c r="AE4379" t="s">
        <v>125</v>
      </c>
      <c r="AF4379">
        <v>0</v>
      </c>
      <c r="AG4379" t="s">
        <v>125</v>
      </c>
      <c r="AH4379">
        <v>0</v>
      </c>
      <c r="AK4379">
        <v>0</v>
      </c>
    </row>
    <row r="4380" spans="1:37" x14ac:dyDescent="0.25">
      <c r="A4380" t="s">
        <v>79</v>
      </c>
      <c r="B4380">
        <v>17</v>
      </c>
      <c r="C4380">
        <v>2</v>
      </c>
      <c r="D4380">
        <v>2</v>
      </c>
      <c r="E4380">
        <v>6</v>
      </c>
      <c r="G4380">
        <v>1722</v>
      </c>
      <c r="H4380" t="s">
        <v>63</v>
      </c>
      <c r="I4380" t="s">
        <v>116</v>
      </c>
      <c r="J4380" t="s">
        <v>146</v>
      </c>
      <c r="L4380">
        <v>0</v>
      </c>
      <c r="M4380" t="s">
        <v>125</v>
      </c>
      <c r="O4380" t="s">
        <v>125</v>
      </c>
      <c r="P4380" t="s">
        <v>125</v>
      </c>
      <c r="Q4380" t="s">
        <v>125</v>
      </c>
      <c r="R4380" t="s">
        <v>125</v>
      </c>
      <c r="S4380" t="s">
        <v>125</v>
      </c>
      <c r="T4380">
        <v>0</v>
      </c>
      <c r="V4380" t="s">
        <v>125</v>
      </c>
      <c r="AE4380" t="s">
        <v>125</v>
      </c>
      <c r="AF4380">
        <v>0</v>
      </c>
      <c r="AG4380" t="s">
        <v>125</v>
      </c>
      <c r="AH4380">
        <v>0</v>
      </c>
      <c r="AK4380">
        <v>0</v>
      </c>
    </row>
    <row r="4381" spans="1:37" x14ac:dyDescent="0.25">
      <c r="A4381" t="s">
        <v>79</v>
      </c>
      <c r="B4381">
        <v>17</v>
      </c>
      <c r="C4381">
        <v>2</v>
      </c>
      <c r="D4381">
        <v>2</v>
      </c>
      <c r="E4381">
        <v>7</v>
      </c>
      <c r="G4381">
        <v>1722</v>
      </c>
      <c r="H4381" t="s">
        <v>63</v>
      </c>
      <c r="I4381" t="s">
        <v>123</v>
      </c>
      <c r="J4381" t="s">
        <v>147</v>
      </c>
      <c r="L4381">
        <v>0</v>
      </c>
      <c r="M4381" t="s">
        <v>125</v>
      </c>
      <c r="O4381" t="s">
        <v>125</v>
      </c>
      <c r="P4381" t="s">
        <v>125</v>
      </c>
      <c r="Q4381" t="s">
        <v>125</v>
      </c>
      <c r="R4381" t="s">
        <v>125</v>
      </c>
      <c r="S4381" t="s">
        <v>125</v>
      </c>
      <c r="T4381">
        <v>0</v>
      </c>
      <c r="V4381" t="s">
        <v>125</v>
      </c>
      <c r="AE4381" t="s">
        <v>125</v>
      </c>
      <c r="AF4381">
        <v>0</v>
      </c>
      <c r="AG4381" t="s">
        <v>125</v>
      </c>
      <c r="AH4381">
        <v>0</v>
      </c>
      <c r="AK4381">
        <v>0</v>
      </c>
    </row>
    <row r="4382" spans="1:37" x14ac:dyDescent="0.25">
      <c r="A4382" t="s">
        <v>79</v>
      </c>
      <c r="B4382">
        <v>17</v>
      </c>
      <c r="C4382">
        <v>2</v>
      </c>
      <c r="D4382">
        <v>2</v>
      </c>
      <c r="E4382">
        <v>8</v>
      </c>
      <c r="G4382">
        <v>1722</v>
      </c>
      <c r="H4382" t="s">
        <v>63</v>
      </c>
      <c r="I4382" t="s">
        <v>126</v>
      </c>
      <c r="J4382" t="s">
        <v>148</v>
      </c>
      <c r="L4382">
        <v>0</v>
      </c>
      <c r="M4382" t="s">
        <v>125</v>
      </c>
      <c r="O4382" t="s">
        <v>125</v>
      </c>
      <c r="P4382" t="s">
        <v>125</v>
      </c>
      <c r="Q4382" t="s">
        <v>125</v>
      </c>
      <c r="R4382" t="s">
        <v>125</v>
      </c>
      <c r="S4382" t="s">
        <v>125</v>
      </c>
      <c r="T4382">
        <v>0</v>
      </c>
      <c r="V4382" t="s">
        <v>125</v>
      </c>
      <c r="AE4382" t="s">
        <v>125</v>
      </c>
      <c r="AF4382">
        <v>0</v>
      </c>
      <c r="AG4382" t="s">
        <v>125</v>
      </c>
      <c r="AH4382">
        <v>0</v>
      </c>
      <c r="AK4382">
        <v>0</v>
      </c>
    </row>
    <row r="4383" spans="1:37" x14ac:dyDescent="0.25">
      <c r="A4383" t="s">
        <v>79</v>
      </c>
      <c r="B4383">
        <v>17</v>
      </c>
      <c r="C4383">
        <v>2</v>
      </c>
      <c r="D4383">
        <v>2</v>
      </c>
      <c r="E4383">
        <v>9</v>
      </c>
      <c r="G4383">
        <v>1722</v>
      </c>
      <c r="H4383" t="s">
        <v>63</v>
      </c>
      <c r="I4383" t="s">
        <v>74</v>
      </c>
      <c r="J4383" t="s">
        <v>149</v>
      </c>
      <c r="L4383">
        <v>0</v>
      </c>
      <c r="M4383" t="s">
        <v>125</v>
      </c>
      <c r="O4383" t="s">
        <v>125</v>
      </c>
      <c r="P4383" t="s">
        <v>125</v>
      </c>
      <c r="Q4383" t="s">
        <v>125</v>
      </c>
      <c r="R4383" t="s">
        <v>125</v>
      </c>
      <c r="S4383" t="s">
        <v>125</v>
      </c>
      <c r="T4383">
        <v>0</v>
      </c>
      <c r="V4383" t="s">
        <v>125</v>
      </c>
      <c r="AE4383" t="s">
        <v>125</v>
      </c>
      <c r="AF4383">
        <v>0</v>
      </c>
      <c r="AG4383" t="s">
        <v>125</v>
      </c>
      <c r="AH4383">
        <v>0</v>
      </c>
      <c r="AK4383">
        <v>0</v>
      </c>
    </row>
    <row r="4384" spans="1:37" x14ac:dyDescent="0.25">
      <c r="A4384" t="s">
        <v>79</v>
      </c>
      <c r="B4384">
        <v>17</v>
      </c>
      <c r="C4384">
        <v>2</v>
      </c>
      <c r="D4384">
        <v>2</v>
      </c>
      <c r="E4384">
        <v>10</v>
      </c>
      <c r="G4384">
        <v>1722</v>
      </c>
      <c r="H4384" t="s">
        <v>63</v>
      </c>
      <c r="I4384" t="s">
        <v>129</v>
      </c>
      <c r="J4384" t="s">
        <v>150</v>
      </c>
      <c r="L4384">
        <v>0</v>
      </c>
      <c r="M4384" t="s">
        <v>125</v>
      </c>
      <c r="O4384" t="s">
        <v>125</v>
      </c>
      <c r="P4384" t="s">
        <v>125</v>
      </c>
      <c r="Q4384" t="s">
        <v>125</v>
      </c>
      <c r="R4384" t="s">
        <v>125</v>
      </c>
      <c r="S4384" t="s">
        <v>125</v>
      </c>
      <c r="T4384">
        <v>0</v>
      </c>
      <c r="V4384" t="s">
        <v>125</v>
      </c>
      <c r="AE4384" t="s">
        <v>125</v>
      </c>
      <c r="AF4384">
        <v>0</v>
      </c>
      <c r="AG4384" t="s">
        <v>125</v>
      </c>
      <c r="AH4384">
        <v>0</v>
      </c>
      <c r="AK4384">
        <v>0</v>
      </c>
    </row>
    <row r="4385" spans="1:37" x14ac:dyDescent="0.25">
      <c r="A4385" t="s">
        <v>79</v>
      </c>
      <c r="B4385">
        <v>17</v>
      </c>
      <c r="C4385">
        <v>2</v>
      </c>
      <c r="D4385">
        <v>2</v>
      </c>
      <c r="E4385">
        <v>11</v>
      </c>
      <c r="G4385">
        <v>1722</v>
      </c>
      <c r="H4385" t="s">
        <v>63</v>
      </c>
      <c r="I4385" t="s">
        <v>131</v>
      </c>
      <c r="J4385" t="s">
        <v>151</v>
      </c>
      <c r="L4385">
        <v>0</v>
      </c>
      <c r="M4385" t="s">
        <v>125</v>
      </c>
      <c r="O4385" t="s">
        <v>125</v>
      </c>
      <c r="P4385" t="s">
        <v>125</v>
      </c>
      <c r="Q4385" t="s">
        <v>125</v>
      </c>
      <c r="R4385" t="s">
        <v>125</v>
      </c>
      <c r="S4385" t="s">
        <v>125</v>
      </c>
      <c r="T4385">
        <v>0</v>
      </c>
      <c r="V4385" t="s">
        <v>125</v>
      </c>
      <c r="AE4385" t="s">
        <v>125</v>
      </c>
      <c r="AF4385">
        <v>0</v>
      </c>
      <c r="AG4385" t="s">
        <v>125</v>
      </c>
      <c r="AH4385">
        <v>0</v>
      </c>
      <c r="AK4385">
        <v>0</v>
      </c>
    </row>
    <row r="4386" spans="1:37" x14ac:dyDescent="0.25">
      <c r="A4386" t="s">
        <v>79</v>
      </c>
      <c r="B4386">
        <v>17</v>
      </c>
      <c r="C4386">
        <v>2</v>
      </c>
      <c r="D4386">
        <v>2</v>
      </c>
      <c r="E4386">
        <v>12</v>
      </c>
      <c r="G4386">
        <v>1722</v>
      </c>
      <c r="H4386" t="s">
        <v>63</v>
      </c>
      <c r="I4386" t="s">
        <v>133</v>
      </c>
      <c r="J4386" t="s">
        <v>152</v>
      </c>
      <c r="L4386">
        <v>0</v>
      </c>
      <c r="M4386" t="s">
        <v>125</v>
      </c>
      <c r="O4386" t="s">
        <v>125</v>
      </c>
      <c r="P4386" t="s">
        <v>125</v>
      </c>
      <c r="Q4386" t="s">
        <v>125</v>
      </c>
      <c r="R4386" t="s">
        <v>125</v>
      </c>
      <c r="S4386" t="s">
        <v>125</v>
      </c>
      <c r="T4386">
        <v>0</v>
      </c>
      <c r="V4386" t="s">
        <v>125</v>
      </c>
      <c r="AE4386" t="s">
        <v>125</v>
      </c>
      <c r="AF4386">
        <v>0</v>
      </c>
      <c r="AG4386" t="s">
        <v>125</v>
      </c>
      <c r="AH4386">
        <v>0</v>
      </c>
      <c r="AK4386">
        <v>0</v>
      </c>
    </row>
    <row r="4387" spans="1:37" x14ac:dyDescent="0.25">
      <c r="A4387" t="s">
        <v>79</v>
      </c>
      <c r="B4387">
        <v>17</v>
      </c>
      <c r="C4387">
        <v>2</v>
      </c>
      <c r="D4387">
        <v>2</v>
      </c>
      <c r="E4387">
        <v>13</v>
      </c>
      <c r="G4387">
        <v>1722</v>
      </c>
      <c r="H4387" t="s">
        <v>63</v>
      </c>
      <c r="I4387" t="s">
        <v>135</v>
      </c>
      <c r="J4387" t="s">
        <v>153</v>
      </c>
      <c r="L4387">
        <v>0</v>
      </c>
      <c r="M4387" t="s">
        <v>125</v>
      </c>
      <c r="O4387" t="s">
        <v>125</v>
      </c>
      <c r="P4387" t="s">
        <v>125</v>
      </c>
      <c r="Q4387" t="s">
        <v>125</v>
      </c>
      <c r="R4387" t="s">
        <v>125</v>
      </c>
      <c r="S4387" t="s">
        <v>125</v>
      </c>
      <c r="T4387">
        <v>0</v>
      </c>
      <c r="V4387" t="s">
        <v>125</v>
      </c>
      <c r="AE4387" t="s">
        <v>125</v>
      </c>
      <c r="AF4387">
        <v>0</v>
      </c>
      <c r="AG4387" t="s">
        <v>125</v>
      </c>
      <c r="AH4387">
        <v>0</v>
      </c>
      <c r="AK4387">
        <v>0</v>
      </c>
    </row>
    <row r="4388" spans="1:37" x14ac:dyDescent="0.25">
      <c r="A4388" t="s">
        <v>79</v>
      </c>
      <c r="B4388">
        <v>17</v>
      </c>
      <c r="C4388">
        <v>2</v>
      </c>
      <c r="D4388">
        <v>2</v>
      </c>
      <c r="E4388">
        <v>14</v>
      </c>
      <c r="G4388">
        <v>1722</v>
      </c>
      <c r="H4388" t="s">
        <v>63</v>
      </c>
      <c r="I4388" t="s">
        <v>137</v>
      </c>
      <c r="J4388" t="s">
        <v>154</v>
      </c>
      <c r="L4388">
        <v>0</v>
      </c>
      <c r="M4388" t="s">
        <v>125</v>
      </c>
      <c r="O4388" t="s">
        <v>125</v>
      </c>
      <c r="P4388" t="s">
        <v>125</v>
      </c>
      <c r="Q4388" t="s">
        <v>125</v>
      </c>
      <c r="R4388" t="s">
        <v>125</v>
      </c>
      <c r="S4388" t="s">
        <v>125</v>
      </c>
      <c r="T4388">
        <v>0</v>
      </c>
      <c r="V4388" t="s">
        <v>125</v>
      </c>
      <c r="AE4388" t="s">
        <v>125</v>
      </c>
      <c r="AF4388">
        <v>0</v>
      </c>
      <c r="AG4388" t="s">
        <v>125</v>
      </c>
      <c r="AH4388">
        <v>0</v>
      </c>
      <c r="AK4388">
        <v>0</v>
      </c>
    </row>
    <row r="4389" spans="1:37" x14ac:dyDescent="0.25">
      <c r="A4389" t="s">
        <v>79</v>
      </c>
      <c r="B4389">
        <v>17</v>
      </c>
      <c r="C4389">
        <v>2</v>
      </c>
      <c r="D4389">
        <v>2</v>
      </c>
      <c r="E4389">
        <v>15</v>
      </c>
      <c r="G4389">
        <v>1722</v>
      </c>
      <c r="H4389" t="s">
        <v>63</v>
      </c>
      <c r="I4389" t="s">
        <v>139</v>
      </c>
      <c r="J4389" t="s">
        <v>155</v>
      </c>
      <c r="L4389">
        <v>0</v>
      </c>
      <c r="M4389" t="s">
        <v>125</v>
      </c>
      <c r="O4389" t="s">
        <v>125</v>
      </c>
      <c r="P4389" t="s">
        <v>125</v>
      </c>
      <c r="Q4389" t="s">
        <v>125</v>
      </c>
      <c r="R4389" t="s">
        <v>125</v>
      </c>
      <c r="S4389" t="s">
        <v>125</v>
      </c>
      <c r="T4389">
        <v>0</v>
      </c>
      <c r="V4389" t="s">
        <v>125</v>
      </c>
      <c r="AE4389" t="s">
        <v>125</v>
      </c>
      <c r="AF4389">
        <v>0</v>
      </c>
      <c r="AG4389" t="s">
        <v>125</v>
      </c>
      <c r="AH4389">
        <v>0</v>
      </c>
      <c r="AK4389">
        <v>0</v>
      </c>
    </row>
    <row r="4390" spans="1:37" x14ac:dyDescent="0.25">
      <c r="L4390">
        <v>0</v>
      </c>
    </row>
    <row r="4391" spans="1:37" x14ac:dyDescent="0.25">
      <c r="A4391" t="s">
        <v>70</v>
      </c>
      <c r="B4391">
        <v>17</v>
      </c>
      <c r="C4391">
        <v>2</v>
      </c>
      <c r="D4391">
        <v>3</v>
      </c>
      <c r="G4391">
        <v>172</v>
      </c>
      <c r="L4391">
        <v>0</v>
      </c>
      <c r="M4391" t="s">
        <v>125</v>
      </c>
      <c r="P4391" t="s">
        <v>125</v>
      </c>
      <c r="R4391" t="s">
        <v>125</v>
      </c>
      <c r="S4391" t="s">
        <v>63</v>
      </c>
      <c r="V4391" t="s">
        <v>125</v>
      </c>
      <c r="X4391" t="s">
        <v>125</v>
      </c>
      <c r="Y4391" t="s">
        <v>125</v>
      </c>
      <c r="Z4391" t="s">
        <v>125</v>
      </c>
      <c r="AA4391" t="s">
        <v>125</v>
      </c>
      <c r="AB4391" t="s">
        <v>125</v>
      </c>
      <c r="AC4391" t="s">
        <v>125</v>
      </c>
      <c r="AE4391" t="s">
        <v>125</v>
      </c>
      <c r="AF4391">
        <v>0</v>
      </c>
      <c r="AG4391" t="s">
        <v>125</v>
      </c>
      <c r="AH4391">
        <v>0</v>
      </c>
      <c r="AK4391">
        <v>0</v>
      </c>
    </row>
    <row r="4392" spans="1:37" x14ac:dyDescent="0.25">
      <c r="A4392" t="s">
        <v>79</v>
      </c>
      <c r="B4392">
        <v>17</v>
      </c>
      <c r="C4392">
        <v>2</v>
      </c>
      <c r="D4392">
        <v>3</v>
      </c>
      <c r="E4392">
        <v>1</v>
      </c>
      <c r="G4392">
        <v>1723</v>
      </c>
      <c r="H4392" t="s">
        <v>63</v>
      </c>
      <c r="I4392" t="s">
        <v>80</v>
      </c>
      <c r="J4392" t="s">
        <v>141</v>
      </c>
      <c r="L4392">
        <v>0</v>
      </c>
      <c r="M4392" t="s">
        <v>125</v>
      </c>
      <c r="O4392" t="s">
        <v>125</v>
      </c>
      <c r="P4392" t="s">
        <v>125</v>
      </c>
      <c r="Q4392" t="s">
        <v>125</v>
      </c>
      <c r="R4392" t="s">
        <v>125</v>
      </c>
      <c r="S4392" t="s">
        <v>125</v>
      </c>
      <c r="T4392">
        <v>0</v>
      </c>
      <c r="V4392" t="s">
        <v>125</v>
      </c>
      <c r="AE4392" t="s">
        <v>125</v>
      </c>
      <c r="AF4392">
        <v>0</v>
      </c>
      <c r="AG4392" t="s">
        <v>125</v>
      </c>
      <c r="AH4392">
        <v>0</v>
      </c>
      <c r="AK4392">
        <v>0</v>
      </c>
    </row>
    <row r="4393" spans="1:37" x14ac:dyDescent="0.25">
      <c r="A4393" t="s">
        <v>79</v>
      </c>
      <c r="B4393">
        <v>17</v>
      </c>
      <c r="C4393">
        <v>2</v>
      </c>
      <c r="D4393">
        <v>3</v>
      </c>
      <c r="E4393">
        <v>2</v>
      </c>
      <c r="G4393">
        <v>1723</v>
      </c>
      <c r="H4393" t="s">
        <v>63</v>
      </c>
      <c r="I4393" t="s">
        <v>88</v>
      </c>
      <c r="J4393" t="s">
        <v>142</v>
      </c>
      <c r="L4393">
        <v>0</v>
      </c>
      <c r="M4393" t="s">
        <v>125</v>
      </c>
      <c r="O4393" t="s">
        <v>125</v>
      </c>
      <c r="P4393" t="s">
        <v>125</v>
      </c>
      <c r="Q4393" t="s">
        <v>125</v>
      </c>
      <c r="R4393" t="s">
        <v>125</v>
      </c>
      <c r="S4393" t="s">
        <v>125</v>
      </c>
      <c r="T4393">
        <v>0</v>
      </c>
      <c r="V4393" t="s">
        <v>125</v>
      </c>
      <c r="AE4393" t="s">
        <v>125</v>
      </c>
      <c r="AF4393">
        <v>0</v>
      </c>
      <c r="AG4393" t="s">
        <v>125</v>
      </c>
      <c r="AH4393">
        <v>0</v>
      </c>
      <c r="AK4393">
        <v>0</v>
      </c>
    </row>
    <row r="4394" spans="1:37" x14ac:dyDescent="0.25">
      <c r="A4394" t="s">
        <v>79</v>
      </c>
      <c r="B4394">
        <v>17</v>
      </c>
      <c r="C4394">
        <v>2</v>
      </c>
      <c r="D4394">
        <v>3</v>
      </c>
      <c r="E4394">
        <v>3</v>
      </c>
      <c r="G4394">
        <v>1723</v>
      </c>
      <c r="H4394" t="s">
        <v>63</v>
      </c>
      <c r="I4394" t="s">
        <v>95</v>
      </c>
      <c r="J4394" t="s">
        <v>143</v>
      </c>
      <c r="L4394">
        <v>0</v>
      </c>
      <c r="M4394" t="s">
        <v>125</v>
      </c>
      <c r="O4394" t="s">
        <v>125</v>
      </c>
      <c r="P4394" t="s">
        <v>125</v>
      </c>
      <c r="Q4394" t="s">
        <v>125</v>
      </c>
      <c r="R4394" t="s">
        <v>125</v>
      </c>
      <c r="S4394" t="s">
        <v>125</v>
      </c>
      <c r="T4394">
        <v>0</v>
      </c>
      <c r="V4394" t="s">
        <v>125</v>
      </c>
      <c r="AE4394" t="s">
        <v>125</v>
      </c>
      <c r="AF4394">
        <v>0</v>
      </c>
      <c r="AG4394" t="s">
        <v>125</v>
      </c>
      <c r="AH4394">
        <v>0</v>
      </c>
      <c r="AK4394">
        <v>0</v>
      </c>
    </row>
    <row r="4395" spans="1:37" x14ac:dyDescent="0.25">
      <c r="A4395" t="s">
        <v>79</v>
      </c>
      <c r="B4395">
        <v>17</v>
      </c>
      <c r="C4395">
        <v>2</v>
      </c>
      <c r="D4395">
        <v>3</v>
      </c>
      <c r="E4395">
        <v>4</v>
      </c>
      <c r="G4395">
        <v>1723</v>
      </c>
      <c r="H4395" t="s">
        <v>63</v>
      </c>
      <c r="I4395" t="s">
        <v>102</v>
      </c>
      <c r="J4395" t="s">
        <v>144</v>
      </c>
      <c r="L4395">
        <v>0</v>
      </c>
      <c r="M4395" t="s">
        <v>125</v>
      </c>
      <c r="O4395" t="s">
        <v>125</v>
      </c>
      <c r="P4395" t="s">
        <v>125</v>
      </c>
      <c r="Q4395" t="s">
        <v>125</v>
      </c>
      <c r="R4395" t="s">
        <v>125</v>
      </c>
      <c r="S4395" t="s">
        <v>125</v>
      </c>
      <c r="T4395">
        <v>0</v>
      </c>
      <c r="V4395" t="s">
        <v>125</v>
      </c>
      <c r="AE4395" t="s">
        <v>125</v>
      </c>
      <c r="AF4395">
        <v>0</v>
      </c>
      <c r="AG4395" t="s">
        <v>125</v>
      </c>
      <c r="AH4395">
        <v>0</v>
      </c>
      <c r="AK4395">
        <v>0</v>
      </c>
    </row>
    <row r="4396" spans="1:37" x14ac:dyDescent="0.25">
      <c r="A4396" t="s">
        <v>79</v>
      </c>
      <c r="B4396">
        <v>17</v>
      </c>
      <c r="C4396">
        <v>2</v>
      </c>
      <c r="D4396">
        <v>3</v>
      </c>
      <c r="E4396">
        <v>5</v>
      </c>
      <c r="G4396">
        <v>1723</v>
      </c>
      <c r="H4396" t="s">
        <v>63</v>
      </c>
      <c r="I4396" t="s">
        <v>109</v>
      </c>
      <c r="J4396" t="s">
        <v>145</v>
      </c>
      <c r="L4396">
        <v>0</v>
      </c>
      <c r="M4396" t="s">
        <v>125</v>
      </c>
      <c r="O4396" t="s">
        <v>125</v>
      </c>
      <c r="P4396" t="s">
        <v>125</v>
      </c>
      <c r="Q4396" t="s">
        <v>125</v>
      </c>
      <c r="R4396" t="s">
        <v>125</v>
      </c>
      <c r="S4396" t="s">
        <v>125</v>
      </c>
      <c r="T4396">
        <v>0</v>
      </c>
      <c r="V4396" t="s">
        <v>125</v>
      </c>
      <c r="AE4396" t="s">
        <v>125</v>
      </c>
      <c r="AF4396">
        <v>0</v>
      </c>
      <c r="AG4396" t="s">
        <v>125</v>
      </c>
      <c r="AH4396">
        <v>0</v>
      </c>
      <c r="AK4396">
        <v>0</v>
      </c>
    </row>
    <row r="4397" spans="1:37" x14ac:dyDescent="0.25">
      <c r="A4397" t="s">
        <v>79</v>
      </c>
      <c r="B4397">
        <v>17</v>
      </c>
      <c r="C4397">
        <v>2</v>
      </c>
      <c r="D4397">
        <v>3</v>
      </c>
      <c r="E4397">
        <v>6</v>
      </c>
      <c r="G4397">
        <v>1723</v>
      </c>
      <c r="H4397" t="s">
        <v>63</v>
      </c>
      <c r="I4397" t="s">
        <v>116</v>
      </c>
      <c r="J4397" t="s">
        <v>146</v>
      </c>
      <c r="L4397">
        <v>0</v>
      </c>
      <c r="M4397" t="s">
        <v>125</v>
      </c>
      <c r="O4397" t="s">
        <v>125</v>
      </c>
      <c r="P4397" t="s">
        <v>125</v>
      </c>
      <c r="Q4397" t="s">
        <v>125</v>
      </c>
      <c r="R4397" t="s">
        <v>125</v>
      </c>
      <c r="S4397" t="s">
        <v>125</v>
      </c>
      <c r="T4397">
        <v>0</v>
      </c>
      <c r="V4397" t="s">
        <v>125</v>
      </c>
      <c r="AE4397" t="s">
        <v>125</v>
      </c>
      <c r="AF4397">
        <v>0</v>
      </c>
      <c r="AG4397" t="s">
        <v>125</v>
      </c>
      <c r="AH4397">
        <v>0</v>
      </c>
      <c r="AK4397">
        <v>0</v>
      </c>
    </row>
    <row r="4398" spans="1:37" x14ac:dyDescent="0.25">
      <c r="A4398" t="s">
        <v>79</v>
      </c>
      <c r="B4398">
        <v>17</v>
      </c>
      <c r="C4398">
        <v>2</v>
      </c>
      <c r="D4398">
        <v>3</v>
      </c>
      <c r="E4398">
        <v>7</v>
      </c>
      <c r="G4398">
        <v>1723</v>
      </c>
      <c r="H4398" t="s">
        <v>63</v>
      </c>
      <c r="I4398" t="s">
        <v>123</v>
      </c>
      <c r="J4398" t="s">
        <v>147</v>
      </c>
      <c r="L4398">
        <v>0</v>
      </c>
      <c r="M4398" t="s">
        <v>125</v>
      </c>
      <c r="O4398" t="s">
        <v>125</v>
      </c>
      <c r="P4398" t="s">
        <v>125</v>
      </c>
      <c r="Q4398" t="s">
        <v>125</v>
      </c>
      <c r="R4398" t="s">
        <v>125</v>
      </c>
      <c r="S4398" t="s">
        <v>125</v>
      </c>
      <c r="T4398">
        <v>0</v>
      </c>
      <c r="V4398" t="s">
        <v>125</v>
      </c>
      <c r="AE4398" t="s">
        <v>125</v>
      </c>
      <c r="AF4398">
        <v>0</v>
      </c>
      <c r="AG4398" t="s">
        <v>125</v>
      </c>
      <c r="AH4398">
        <v>0</v>
      </c>
      <c r="AK4398">
        <v>0</v>
      </c>
    </row>
    <row r="4399" spans="1:37" x14ac:dyDescent="0.25">
      <c r="A4399" t="s">
        <v>79</v>
      </c>
      <c r="B4399">
        <v>17</v>
      </c>
      <c r="C4399">
        <v>2</v>
      </c>
      <c r="D4399">
        <v>3</v>
      </c>
      <c r="E4399">
        <v>8</v>
      </c>
      <c r="G4399">
        <v>1723</v>
      </c>
      <c r="H4399" t="s">
        <v>63</v>
      </c>
      <c r="I4399" t="s">
        <v>126</v>
      </c>
      <c r="J4399" t="s">
        <v>148</v>
      </c>
      <c r="L4399">
        <v>0</v>
      </c>
      <c r="M4399" t="s">
        <v>125</v>
      </c>
      <c r="O4399" t="s">
        <v>125</v>
      </c>
      <c r="P4399" t="s">
        <v>125</v>
      </c>
      <c r="Q4399" t="s">
        <v>125</v>
      </c>
      <c r="R4399" t="s">
        <v>125</v>
      </c>
      <c r="S4399" t="s">
        <v>125</v>
      </c>
      <c r="T4399">
        <v>0</v>
      </c>
      <c r="V4399" t="s">
        <v>125</v>
      </c>
      <c r="AE4399" t="s">
        <v>125</v>
      </c>
      <c r="AF4399">
        <v>0</v>
      </c>
      <c r="AG4399" t="s">
        <v>125</v>
      </c>
      <c r="AH4399">
        <v>0</v>
      </c>
      <c r="AK4399">
        <v>0</v>
      </c>
    </row>
    <row r="4400" spans="1:37" x14ac:dyDescent="0.25">
      <c r="A4400" t="s">
        <v>79</v>
      </c>
      <c r="B4400">
        <v>17</v>
      </c>
      <c r="C4400">
        <v>2</v>
      </c>
      <c r="D4400">
        <v>3</v>
      </c>
      <c r="E4400">
        <v>9</v>
      </c>
      <c r="G4400">
        <v>1723</v>
      </c>
      <c r="H4400" t="s">
        <v>63</v>
      </c>
      <c r="I4400" t="s">
        <v>74</v>
      </c>
      <c r="J4400" t="s">
        <v>149</v>
      </c>
      <c r="L4400">
        <v>0</v>
      </c>
      <c r="M4400" t="s">
        <v>125</v>
      </c>
      <c r="O4400" t="s">
        <v>125</v>
      </c>
      <c r="P4400" t="s">
        <v>125</v>
      </c>
      <c r="Q4400" t="s">
        <v>125</v>
      </c>
      <c r="R4400" t="s">
        <v>125</v>
      </c>
      <c r="S4400" t="s">
        <v>125</v>
      </c>
      <c r="T4400">
        <v>0</v>
      </c>
      <c r="V4400" t="s">
        <v>125</v>
      </c>
      <c r="AE4400" t="s">
        <v>125</v>
      </c>
      <c r="AF4400">
        <v>0</v>
      </c>
      <c r="AG4400" t="s">
        <v>125</v>
      </c>
      <c r="AH4400">
        <v>0</v>
      </c>
      <c r="AK4400">
        <v>0</v>
      </c>
    </row>
    <row r="4401" spans="1:37" x14ac:dyDescent="0.25">
      <c r="A4401" t="s">
        <v>79</v>
      </c>
      <c r="B4401">
        <v>17</v>
      </c>
      <c r="C4401">
        <v>2</v>
      </c>
      <c r="D4401">
        <v>3</v>
      </c>
      <c r="E4401">
        <v>10</v>
      </c>
      <c r="G4401">
        <v>1723</v>
      </c>
      <c r="H4401" t="s">
        <v>63</v>
      </c>
      <c r="I4401" t="s">
        <v>129</v>
      </c>
      <c r="J4401" t="s">
        <v>150</v>
      </c>
      <c r="L4401">
        <v>0</v>
      </c>
      <c r="M4401" t="s">
        <v>125</v>
      </c>
      <c r="O4401" t="s">
        <v>125</v>
      </c>
      <c r="P4401" t="s">
        <v>125</v>
      </c>
      <c r="Q4401" t="s">
        <v>125</v>
      </c>
      <c r="R4401" t="s">
        <v>125</v>
      </c>
      <c r="S4401" t="s">
        <v>125</v>
      </c>
      <c r="T4401">
        <v>0</v>
      </c>
      <c r="V4401" t="s">
        <v>125</v>
      </c>
      <c r="AE4401" t="s">
        <v>125</v>
      </c>
      <c r="AF4401">
        <v>0</v>
      </c>
      <c r="AG4401" t="s">
        <v>125</v>
      </c>
      <c r="AH4401">
        <v>0</v>
      </c>
      <c r="AK4401">
        <v>0</v>
      </c>
    </row>
    <row r="4402" spans="1:37" x14ac:dyDescent="0.25">
      <c r="A4402" t="s">
        <v>79</v>
      </c>
      <c r="B4402">
        <v>17</v>
      </c>
      <c r="C4402">
        <v>2</v>
      </c>
      <c r="D4402">
        <v>3</v>
      </c>
      <c r="E4402">
        <v>11</v>
      </c>
      <c r="G4402">
        <v>1723</v>
      </c>
      <c r="H4402" t="s">
        <v>63</v>
      </c>
      <c r="I4402" t="s">
        <v>131</v>
      </c>
      <c r="J4402" t="s">
        <v>151</v>
      </c>
      <c r="L4402">
        <v>0</v>
      </c>
      <c r="M4402" t="s">
        <v>125</v>
      </c>
      <c r="O4402" t="s">
        <v>125</v>
      </c>
      <c r="P4402" t="s">
        <v>125</v>
      </c>
      <c r="Q4402" t="s">
        <v>125</v>
      </c>
      <c r="R4402" t="s">
        <v>125</v>
      </c>
      <c r="S4402" t="s">
        <v>125</v>
      </c>
      <c r="T4402">
        <v>0</v>
      </c>
      <c r="V4402" t="s">
        <v>125</v>
      </c>
      <c r="AE4402" t="s">
        <v>125</v>
      </c>
      <c r="AF4402">
        <v>0</v>
      </c>
      <c r="AG4402" t="s">
        <v>125</v>
      </c>
      <c r="AH4402">
        <v>0</v>
      </c>
      <c r="AK4402">
        <v>0</v>
      </c>
    </row>
    <row r="4403" spans="1:37" x14ac:dyDescent="0.25">
      <c r="A4403" t="s">
        <v>79</v>
      </c>
      <c r="B4403">
        <v>17</v>
      </c>
      <c r="C4403">
        <v>2</v>
      </c>
      <c r="D4403">
        <v>3</v>
      </c>
      <c r="E4403">
        <v>12</v>
      </c>
      <c r="G4403">
        <v>1723</v>
      </c>
      <c r="H4403" t="s">
        <v>63</v>
      </c>
      <c r="I4403" t="s">
        <v>133</v>
      </c>
      <c r="J4403" t="s">
        <v>152</v>
      </c>
      <c r="L4403">
        <v>0</v>
      </c>
      <c r="M4403" t="s">
        <v>125</v>
      </c>
      <c r="O4403" t="s">
        <v>125</v>
      </c>
      <c r="P4403" t="s">
        <v>125</v>
      </c>
      <c r="Q4403" t="s">
        <v>125</v>
      </c>
      <c r="R4403" t="s">
        <v>125</v>
      </c>
      <c r="S4403" t="s">
        <v>125</v>
      </c>
      <c r="T4403">
        <v>0</v>
      </c>
      <c r="V4403" t="s">
        <v>125</v>
      </c>
      <c r="AE4403" t="s">
        <v>125</v>
      </c>
      <c r="AF4403">
        <v>0</v>
      </c>
      <c r="AG4403" t="s">
        <v>125</v>
      </c>
      <c r="AH4403">
        <v>0</v>
      </c>
      <c r="AK4403">
        <v>0</v>
      </c>
    </row>
    <row r="4404" spans="1:37" x14ac:dyDescent="0.25">
      <c r="A4404" t="s">
        <v>79</v>
      </c>
      <c r="B4404">
        <v>17</v>
      </c>
      <c r="C4404">
        <v>2</v>
      </c>
      <c r="D4404">
        <v>3</v>
      </c>
      <c r="E4404">
        <v>13</v>
      </c>
      <c r="G4404">
        <v>1723</v>
      </c>
      <c r="H4404" t="s">
        <v>63</v>
      </c>
      <c r="I4404" t="s">
        <v>135</v>
      </c>
      <c r="J4404" t="s">
        <v>153</v>
      </c>
      <c r="L4404">
        <v>0</v>
      </c>
      <c r="M4404" t="s">
        <v>125</v>
      </c>
      <c r="O4404" t="s">
        <v>125</v>
      </c>
      <c r="P4404" t="s">
        <v>125</v>
      </c>
      <c r="Q4404" t="s">
        <v>125</v>
      </c>
      <c r="R4404" t="s">
        <v>125</v>
      </c>
      <c r="S4404" t="s">
        <v>125</v>
      </c>
      <c r="T4404">
        <v>0</v>
      </c>
      <c r="V4404" t="s">
        <v>125</v>
      </c>
      <c r="AE4404" t="s">
        <v>125</v>
      </c>
      <c r="AF4404">
        <v>0</v>
      </c>
      <c r="AG4404" t="s">
        <v>125</v>
      </c>
      <c r="AH4404">
        <v>0</v>
      </c>
      <c r="AK4404">
        <v>0</v>
      </c>
    </row>
    <row r="4405" spans="1:37" x14ac:dyDescent="0.25">
      <c r="A4405" t="s">
        <v>79</v>
      </c>
      <c r="B4405">
        <v>17</v>
      </c>
      <c r="C4405">
        <v>2</v>
      </c>
      <c r="D4405">
        <v>3</v>
      </c>
      <c r="E4405">
        <v>14</v>
      </c>
      <c r="G4405">
        <v>1723</v>
      </c>
      <c r="H4405" t="s">
        <v>63</v>
      </c>
      <c r="I4405" t="s">
        <v>137</v>
      </c>
      <c r="J4405" t="s">
        <v>154</v>
      </c>
      <c r="L4405">
        <v>0</v>
      </c>
      <c r="M4405" t="s">
        <v>125</v>
      </c>
      <c r="O4405" t="s">
        <v>125</v>
      </c>
      <c r="P4405" t="s">
        <v>125</v>
      </c>
      <c r="Q4405" t="s">
        <v>125</v>
      </c>
      <c r="R4405" t="s">
        <v>125</v>
      </c>
      <c r="S4405" t="s">
        <v>125</v>
      </c>
      <c r="T4405">
        <v>0</v>
      </c>
      <c r="V4405" t="s">
        <v>125</v>
      </c>
      <c r="AE4405" t="s">
        <v>125</v>
      </c>
      <c r="AF4405">
        <v>0</v>
      </c>
      <c r="AG4405" t="s">
        <v>125</v>
      </c>
      <c r="AH4405">
        <v>0</v>
      </c>
      <c r="AK4405">
        <v>0</v>
      </c>
    </row>
    <row r="4406" spans="1:37" x14ac:dyDescent="0.25">
      <c r="A4406" t="s">
        <v>79</v>
      </c>
      <c r="B4406">
        <v>17</v>
      </c>
      <c r="C4406">
        <v>2</v>
      </c>
      <c r="D4406">
        <v>3</v>
      </c>
      <c r="E4406">
        <v>15</v>
      </c>
      <c r="G4406">
        <v>1723</v>
      </c>
      <c r="H4406" t="s">
        <v>63</v>
      </c>
      <c r="I4406" t="s">
        <v>139</v>
      </c>
      <c r="J4406" t="s">
        <v>155</v>
      </c>
      <c r="L4406">
        <v>0</v>
      </c>
      <c r="M4406" t="s">
        <v>125</v>
      </c>
      <c r="O4406" t="s">
        <v>125</v>
      </c>
      <c r="P4406" t="s">
        <v>125</v>
      </c>
      <c r="Q4406" t="s">
        <v>125</v>
      </c>
      <c r="R4406" t="s">
        <v>125</v>
      </c>
      <c r="S4406" t="s">
        <v>125</v>
      </c>
      <c r="T4406">
        <v>0</v>
      </c>
      <c r="V4406" t="s">
        <v>125</v>
      </c>
      <c r="AE4406" t="s">
        <v>125</v>
      </c>
      <c r="AF4406">
        <v>0</v>
      </c>
      <c r="AG4406" t="s">
        <v>125</v>
      </c>
      <c r="AH4406">
        <v>0</v>
      </c>
      <c r="AK4406">
        <v>0</v>
      </c>
    </row>
    <row r="4407" spans="1:37" x14ac:dyDescent="0.25">
      <c r="L4407">
        <v>0</v>
      </c>
    </row>
    <row r="4408" spans="1:37" x14ac:dyDescent="0.25">
      <c r="A4408" t="s">
        <v>70</v>
      </c>
      <c r="B4408">
        <v>17</v>
      </c>
      <c r="C4408">
        <v>2</v>
      </c>
      <c r="D4408">
        <v>4</v>
      </c>
      <c r="G4408">
        <v>172</v>
      </c>
      <c r="L4408">
        <v>0</v>
      </c>
      <c r="M4408" t="s">
        <v>125</v>
      </c>
      <c r="P4408" t="s">
        <v>125</v>
      </c>
      <c r="R4408" t="s">
        <v>125</v>
      </c>
      <c r="S4408" t="s">
        <v>63</v>
      </c>
      <c r="V4408" t="s">
        <v>125</v>
      </c>
      <c r="X4408" t="s">
        <v>125</v>
      </c>
      <c r="Y4408" t="s">
        <v>125</v>
      </c>
      <c r="Z4408" t="s">
        <v>125</v>
      </c>
      <c r="AA4408" t="s">
        <v>125</v>
      </c>
      <c r="AB4408" t="s">
        <v>125</v>
      </c>
      <c r="AC4408" t="s">
        <v>125</v>
      </c>
      <c r="AE4408" t="s">
        <v>125</v>
      </c>
      <c r="AF4408">
        <v>0</v>
      </c>
      <c r="AG4408" t="s">
        <v>125</v>
      </c>
      <c r="AH4408">
        <v>0</v>
      </c>
      <c r="AK4408">
        <v>0</v>
      </c>
    </row>
    <row r="4409" spans="1:37" x14ac:dyDescent="0.25">
      <c r="A4409" t="s">
        <v>79</v>
      </c>
      <c r="B4409">
        <v>17</v>
      </c>
      <c r="C4409">
        <v>2</v>
      </c>
      <c r="D4409">
        <v>4</v>
      </c>
      <c r="E4409">
        <v>1</v>
      </c>
      <c r="G4409">
        <v>1724</v>
      </c>
      <c r="H4409" t="s">
        <v>63</v>
      </c>
      <c r="I4409" t="s">
        <v>80</v>
      </c>
      <c r="J4409" t="s">
        <v>141</v>
      </c>
      <c r="L4409">
        <v>0</v>
      </c>
      <c r="M4409" t="s">
        <v>125</v>
      </c>
      <c r="O4409" t="s">
        <v>125</v>
      </c>
      <c r="P4409" t="s">
        <v>125</v>
      </c>
      <c r="Q4409" t="s">
        <v>125</v>
      </c>
      <c r="R4409" t="s">
        <v>125</v>
      </c>
      <c r="S4409" t="s">
        <v>125</v>
      </c>
      <c r="T4409">
        <v>0</v>
      </c>
      <c r="V4409" t="s">
        <v>125</v>
      </c>
      <c r="AE4409" t="s">
        <v>125</v>
      </c>
      <c r="AF4409">
        <v>0</v>
      </c>
      <c r="AG4409" t="s">
        <v>125</v>
      </c>
      <c r="AH4409">
        <v>0</v>
      </c>
      <c r="AK4409">
        <v>0</v>
      </c>
    </row>
    <row r="4410" spans="1:37" x14ac:dyDescent="0.25">
      <c r="A4410" t="s">
        <v>79</v>
      </c>
      <c r="B4410">
        <v>17</v>
      </c>
      <c r="C4410">
        <v>2</v>
      </c>
      <c r="D4410">
        <v>4</v>
      </c>
      <c r="E4410">
        <v>2</v>
      </c>
      <c r="G4410">
        <v>1724</v>
      </c>
      <c r="H4410" t="s">
        <v>63</v>
      </c>
      <c r="I4410" t="s">
        <v>88</v>
      </c>
      <c r="J4410" t="s">
        <v>142</v>
      </c>
      <c r="L4410">
        <v>0</v>
      </c>
      <c r="M4410" t="s">
        <v>125</v>
      </c>
      <c r="O4410" t="s">
        <v>125</v>
      </c>
      <c r="P4410" t="s">
        <v>125</v>
      </c>
      <c r="Q4410" t="s">
        <v>125</v>
      </c>
      <c r="R4410" t="s">
        <v>125</v>
      </c>
      <c r="S4410" t="s">
        <v>125</v>
      </c>
      <c r="T4410">
        <v>0</v>
      </c>
      <c r="V4410" t="s">
        <v>125</v>
      </c>
      <c r="AE4410" t="s">
        <v>125</v>
      </c>
      <c r="AF4410">
        <v>0</v>
      </c>
      <c r="AG4410" t="s">
        <v>125</v>
      </c>
      <c r="AH4410">
        <v>0</v>
      </c>
      <c r="AK4410">
        <v>0</v>
      </c>
    </row>
    <row r="4411" spans="1:37" x14ac:dyDescent="0.25">
      <c r="A4411" t="s">
        <v>79</v>
      </c>
      <c r="B4411">
        <v>17</v>
      </c>
      <c r="C4411">
        <v>2</v>
      </c>
      <c r="D4411">
        <v>4</v>
      </c>
      <c r="E4411">
        <v>3</v>
      </c>
      <c r="G4411">
        <v>1724</v>
      </c>
      <c r="H4411" t="s">
        <v>63</v>
      </c>
      <c r="I4411" t="s">
        <v>95</v>
      </c>
      <c r="J4411" t="s">
        <v>143</v>
      </c>
      <c r="L4411">
        <v>0</v>
      </c>
      <c r="M4411" t="s">
        <v>125</v>
      </c>
      <c r="O4411" t="s">
        <v>125</v>
      </c>
      <c r="P4411" t="s">
        <v>125</v>
      </c>
      <c r="Q4411" t="s">
        <v>125</v>
      </c>
      <c r="R4411" t="s">
        <v>125</v>
      </c>
      <c r="S4411" t="s">
        <v>125</v>
      </c>
      <c r="T4411">
        <v>0</v>
      </c>
      <c r="V4411" t="s">
        <v>125</v>
      </c>
      <c r="AE4411" t="s">
        <v>125</v>
      </c>
      <c r="AF4411">
        <v>0</v>
      </c>
      <c r="AG4411" t="s">
        <v>125</v>
      </c>
      <c r="AH4411">
        <v>0</v>
      </c>
      <c r="AK4411">
        <v>0</v>
      </c>
    </row>
    <row r="4412" spans="1:37" x14ac:dyDescent="0.25">
      <c r="A4412" t="s">
        <v>79</v>
      </c>
      <c r="B4412">
        <v>17</v>
      </c>
      <c r="C4412">
        <v>2</v>
      </c>
      <c r="D4412">
        <v>4</v>
      </c>
      <c r="E4412">
        <v>4</v>
      </c>
      <c r="G4412">
        <v>1724</v>
      </c>
      <c r="H4412" t="s">
        <v>63</v>
      </c>
      <c r="I4412" t="s">
        <v>102</v>
      </c>
      <c r="J4412" t="s">
        <v>144</v>
      </c>
      <c r="L4412">
        <v>0</v>
      </c>
      <c r="M4412" t="s">
        <v>125</v>
      </c>
      <c r="O4412" t="s">
        <v>125</v>
      </c>
      <c r="P4412" t="s">
        <v>125</v>
      </c>
      <c r="Q4412" t="s">
        <v>125</v>
      </c>
      <c r="R4412" t="s">
        <v>125</v>
      </c>
      <c r="S4412" t="s">
        <v>125</v>
      </c>
      <c r="T4412">
        <v>0</v>
      </c>
      <c r="V4412" t="s">
        <v>125</v>
      </c>
      <c r="AE4412" t="s">
        <v>125</v>
      </c>
      <c r="AF4412">
        <v>0</v>
      </c>
      <c r="AG4412" t="s">
        <v>125</v>
      </c>
      <c r="AH4412">
        <v>0</v>
      </c>
      <c r="AK4412">
        <v>0</v>
      </c>
    </row>
    <row r="4413" spans="1:37" x14ac:dyDescent="0.25">
      <c r="A4413" t="s">
        <v>79</v>
      </c>
      <c r="B4413">
        <v>17</v>
      </c>
      <c r="C4413">
        <v>2</v>
      </c>
      <c r="D4413">
        <v>4</v>
      </c>
      <c r="E4413">
        <v>5</v>
      </c>
      <c r="G4413">
        <v>1724</v>
      </c>
      <c r="H4413" t="s">
        <v>63</v>
      </c>
      <c r="I4413" t="s">
        <v>109</v>
      </c>
      <c r="J4413" t="s">
        <v>145</v>
      </c>
      <c r="L4413">
        <v>0</v>
      </c>
      <c r="M4413" t="s">
        <v>125</v>
      </c>
      <c r="O4413" t="s">
        <v>125</v>
      </c>
      <c r="P4413" t="s">
        <v>125</v>
      </c>
      <c r="Q4413" t="s">
        <v>125</v>
      </c>
      <c r="R4413" t="s">
        <v>125</v>
      </c>
      <c r="S4413" t="s">
        <v>125</v>
      </c>
      <c r="T4413">
        <v>0</v>
      </c>
      <c r="V4413" t="s">
        <v>125</v>
      </c>
      <c r="AE4413" t="s">
        <v>125</v>
      </c>
      <c r="AF4413">
        <v>0</v>
      </c>
      <c r="AG4413" t="s">
        <v>125</v>
      </c>
      <c r="AH4413">
        <v>0</v>
      </c>
      <c r="AK4413">
        <v>0</v>
      </c>
    </row>
    <row r="4414" spans="1:37" x14ac:dyDescent="0.25">
      <c r="A4414" t="s">
        <v>79</v>
      </c>
      <c r="B4414">
        <v>17</v>
      </c>
      <c r="C4414">
        <v>2</v>
      </c>
      <c r="D4414">
        <v>4</v>
      </c>
      <c r="E4414">
        <v>6</v>
      </c>
      <c r="G4414">
        <v>1724</v>
      </c>
      <c r="H4414" t="s">
        <v>63</v>
      </c>
      <c r="I4414" t="s">
        <v>116</v>
      </c>
      <c r="J4414" t="s">
        <v>146</v>
      </c>
      <c r="L4414">
        <v>0</v>
      </c>
      <c r="M4414" t="s">
        <v>125</v>
      </c>
      <c r="O4414" t="s">
        <v>125</v>
      </c>
      <c r="P4414" t="s">
        <v>125</v>
      </c>
      <c r="Q4414" t="s">
        <v>125</v>
      </c>
      <c r="R4414" t="s">
        <v>125</v>
      </c>
      <c r="S4414" t="s">
        <v>125</v>
      </c>
      <c r="T4414">
        <v>0</v>
      </c>
      <c r="V4414" t="s">
        <v>125</v>
      </c>
      <c r="AE4414" t="s">
        <v>125</v>
      </c>
      <c r="AF4414">
        <v>0</v>
      </c>
      <c r="AG4414" t="s">
        <v>125</v>
      </c>
      <c r="AH4414">
        <v>0</v>
      </c>
      <c r="AK4414">
        <v>0</v>
      </c>
    </row>
    <row r="4415" spans="1:37" x14ac:dyDescent="0.25">
      <c r="A4415" t="s">
        <v>79</v>
      </c>
      <c r="B4415">
        <v>17</v>
      </c>
      <c r="C4415">
        <v>2</v>
      </c>
      <c r="D4415">
        <v>4</v>
      </c>
      <c r="E4415">
        <v>7</v>
      </c>
      <c r="G4415">
        <v>1724</v>
      </c>
      <c r="H4415" t="s">
        <v>63</v>
      </c>
      <c r="I4415" t="s">
        <v>123</v>
      </c>
      <c r="J4415" t="s">
        <v>147</v>
      </c>
      <c r="L4415">
        <v>0</v>
      </c>
      <c r="M4415" t="s">
        <v>125</v>
      </c>
      <c r="O4415" t="s">
        <v>125</v>
      </c>
      <c r="P4415" t="s">
        <v>125</v>
      </c>
      <c r="Q4415" t="s">
        <v>125</v>
      </c>
      <c r="R4415" t="s">
        <v>125</v>
      </c>
      <c r="S4415" t="s">
        <v>125</v>
      </c>
      <c r="T4415">
        <v>0</v>
      </c>
      <c r="V4415" t="s">
        <v>125</v>
      </c>
      <c r="AE4415" t="s">
        <v>125</v>
      </c>
      <c r="AF4415">
        <v>0</v>
      </c>
      <c r="AG4415" t="s">
        <v>125</v>
      </c>
      <c r="AH4415">
        <v>0</v>
      </c>
      <c r="AK4415">
        <v>0</v>
      </c>
    </row>
    <row r="4416" spans="1:37" x14ac:dyDescent="0.25">
      <c r="A4416" t="s">
        <v>79</v>
      </c>
      <c r="B4416">
        <v>17</v>
      </c>
      <c r="C4416">
        <v>2</v>
      </c>
      <c r="D4416">
        <v>4</v>
      </c>
      <c r="E4416">
        <v>8</v>
      </c>
      <c r="G4416">
        <v>1724</v>
      </c>
      <c r="H4416" t="s">
        <v>63</v>
      </c>
      <c r="I4416" t="s">
        <v>126</v>
      </c>
      <c r="J4416" t="s">
        <v>148</v>
      </c>
      <c r="L4416">
        <v>0</v>
      </c>
      <c r="M4416" t="s">
        <v>125</v>
      </c>
      <c r="O4416" t="s">
        <v>125</v>
      </c>
      <c r="P4416" t="s">
        <v>125</v>
      </c>
      <c r="Q4416" t="s">
        <v>125</v>
      </c>
      <c r="R4416" t="s">
        <v>125</v>
      </c>
      <c r="S4416" t="s">
        <v>125</v>
      </c>
      <c r="T4416">
        <v>0</v>
      </c>
      <c r="V4416" t="s">
        <v>125</v>
      </c>
      <c r="AE4416" t="s">
        <v>125</v>
      </c>
      <c r="AF4416">
        <v>0</v>
      </c>
      <c r="AG4416" t="s">
        <v>125</v>
      </c>
      <c r="AH4416">
        <v>0</v>
      </c>
      <c r="AK4416">
        <v>0</v>
      </c>
    </row>
    <row r="4417" spans="1:37" x14ac:dyDescent="0.25">
      <c r="A4417" t="s">
        <v>79</v>
      </c>
      <c r="B4417">
        <v>17</v>
      </c>
      <c r="C4417">
        <v>2</v>
      </c>
      <c r="D4417">
        <v>4</v>
      </c>
      <c r="E4417">
        <v>9</v>
      </c>
      <c r="G4417">
        <v>1724</v>
      </c>
      <c r="H4417" t="s">
        <v>63</v>
      </c>
      <c r="I4417" t="s">
        <v>74</v>
      </c>
      <c r="J4417" t="s">
        <v>149</v>
      </c>
      <c r="L4417">
        <v>0</v>
      </c>
      <c r="M4417" t="s">
        <v>125</v>
      </c>
      <c r="O4417" t="s">
        <v>125</v>
      </c>
      <c r="P4417" t="s">
        <v>125</v>
      </c>
      <c r="Q4417" t="s">
        <v>125</v>
      </c>
      <c r="R4417" t="s">
        <v>125</v>
      </c>
      <c r="S4417" t="s">
        <v>125</v>
      </c>
      <c r="T4417">
        <v>0</v>
      </c>
      <c r="V4417" t="s">
        <v>125</v>
      </c>
      <c r="AE4417" t="s">
        <v>125</v>
      </c>
      <c r="AF4417">
        <v>0</v>
      </c>
      <c r="AG4417" t="s">
        <v>125</v>
      </c>
      <c r="AH4417">
        <v>0</v>
      </c>
      <c r="AK4417">
        <v>0</v>
      </c>
    </row>
    <row r="4418" spans="1:37" x14ac:dyDescent="0.25">
      <c r="A4418" t="s">
        <v>79</v>
      </c>
      <c r="B4418">
        <v>17</v>
      </c>
      <c r="C4418">
        <v>2</v>
      </c>
      <c r="D4418">
        <v>4</v>
      </c>
      <c r="E4418">
        <v>10</v>
      </c>
      <c r="G4418">
        <v>1724</v>
      </c>
      <c r="H4418" t="s">
        <v>63</v>
      </c>
      <c r="I4418" t="s">
        <v>129</v>
      </c>
      <c r="J4418" t="s">
        <v>150</v>
      </c>
      <c r="L4418">
        <v>0</v>
      </c>
      <c r="M4418" t="s">
        <v>125</v>
      </c>
      <c r="O4418" t="s">
        <v>125</v>
      </c>
      <c r="P4418" t="s">
        <v>125</v>
      </c>
      <c r="Q4418" t="s">
        <v>125</v>
      </c>
      <c r="R4418" t="s">
        <v>125</v>
      </c>
      <c r="S4418" t="s">
        <v>125</v>
      </c>
      <c r="T4418">
        <v>0</v>
      </c>
      <c r="V4418" t="s">
        <v>125</v>
      </c>
      <c r="AE4418" t="s">
        <v>125</v>
      </c>
      <c r="AF4418">
        <v>0</v>
      </c>
      <c r="AG4418" t="s">
        <v>125</v>
      </c>
      <c r="AH4418">
        <v>0</v>
      </c>
      <c r="AK4418">
        <v>0</v>
      </c>
    </row>
    <row r="4419" spans="1:37" x14ac:dyDescent="0.25">
      <c r="A4419" t="s">
        <v>79</v>
      </c>
      <c r="B4419">
        <v>17</v>
      </c>
      <c r="C4419">
        <v>2</v>
      </c>
      <c r="D4419">
        <v>4</v>
      </c>
      <c r="E4419">
        <v>11</v>
      </c>
      <c r="G4419">
        <v>1724</v>
      </c>
      <c r="H4419" t="s">
        <v>63</v>
      </c>
      <c r="I4419" t="s">
        <v>131</v>
      </c>
      <c r="J4419" t="s">
        <v>151</v>
      </c>
      <c r="L4419">
        <v>0</v>
      </c>
      <c r="M4419" t="s">
        <v>125</v>
      </c>
      <c r="O4419" t="s">
        <v>125</v>
      </c>
      <c r="P4419" t="s">
        <v>125</v>
      </c>
      <c r="Q4419" t="s">
        <v>125</v>
      </c>
      <c r="R4419" t="s">
        <v>125</v>
      </c>
      <c r="S4419" t="s">
        <v>125</v>
      </c>
      <c r="T4419">
        <v>0</v>
      </c>
      <c r="V4419" t="s">
        <v>125</v>
      </c>
      <c r="AE4419" t="s">
        <v>125</v>
      </c>
      <c r="AF4419">
        <v>0</v>
      </c>
      <c r="AG4419" t="s">
        <v>125</v>
      </c>
      <c r="AH4419">
        <v>0</v>
      </c>
      <c r="AK4419">
        <v>0</v>
      </c>
    </row>
    <row r="4420" spans="1:37" x14ac:dyDescent="0.25">
      <c r="A4420" t="s">
        <v>79</v>
      </c>
      <c r="B4420">
        <v>17</v>
      </c>
      <c r="C4420">
        <v>2</v>
      </c>
      <c r="D4420">
        <v>4</v>
      </c>
      <c r="E4420">
        <v>12</v>
      </c>
      <c r="G4420">
        <v>1724</v>
      </c>
      <c r="H4420" t="s">
        <v>63</v>
      </c>
      <c r="I4420" t="s">
        <v>133</v>
      </c>
      <c r="J4420" t="s">
        <v>152</v>
      </c>
      <c r="L4420">
        <v>0</v>
      </c>
      <c r="M4420" t="s">
        <v>125</v>
      </c>
      <c r="O4420" t="s">
        <v>125</v>
      </c>
      <c r="P4420" t="s">
        <v>125</v>
      </c>
      <c r="Q4420" t="s">
        <v>125</v>
      </c>
      <c r="R4420" t="s">
        <v>125</v>
      </c>
      <c r="S4420" t="s">
        <v>125</v>
      </c>
      <c r="T4420">
        <v>0</v>
      </c>
      <c r="V4420" t="s">
        <v>125</v>
      </c>
      <c r="AE4420" t="s">
        <v>125</v>
      </c>
      <c r="AF4420">
        <v>0</v>
      </c>
      <c r="AG4420" t="s">
        <v>125</v>
      </c>
      <c r="AH4420">
        <v>0</v>
      </c>
      <c r="AK4420">
        <v>0</v>
      </c>
    </row>
    <row r="4421" spans="1:37" x14ac:dyDescent="0.25">
      <c r="A4421" t="s">
        <v>79</v>
      </c>
      <c r="B4421">
        <v>17</v>
      </c>
      <c r="C4421">
        <v>2</v>
      </c>
      <c r="D4421">
        <v>4</v>
      </c>
      <c r="E4421">
        <v>13</v>
      </c>
      <c r="G4421">
        <v>1724</v>
      </c>
      <c r="H4421" t="s">
        <v>63</v>
      </c>
      <c r="I4421" t="s">
        <v>135</v>
      </c>
      <c r="J4421" t="s">
        <v>153</v>
      </c>
      <c r="L4421">
        <v>0</v>
      </c>
      <c r="M4421" t="s">
        <v>125</v>
      </c>
      <c r="O4421" t="s">
        <v>125</v>
      </c>
      <c r="P4421" t="s">
        <v>125</v>
      </c>
      <c r="Q4421" t="s">
        <v>125</v>
      </c>
      <c r="R4421" t="s">
        <v>125</v>
      </c>
      <c r="S4421" t="s">
        <v>125</v>
      </c>
      <c r="T4421">
        <v>0</v>
      </c>
      <c r="V4421" t="s">
        <v>125</v>
      </c>
      <c r="AE4421" t="s">
        <v>125</v>
      </c>
      <c r="AF4421">
        <v>0</v>
      </c>
      <c r="AG4421" t="s">
        <v>125</v>
      </c>
      <c r="AH4421">
        <v>0</v>
      </c>
      <c r="AK4421">
        <v>0</v>
      </c>
    </row>
    <row r="4422" spans="1:37" x14ac:dyDescent="0.25">
      <c r="A4422" t="s">
        <v>79</v>
      </c>
      <c r="B4422">
        <v>17</v>
      </c>
      <c r="C4422">
        <v>2</v>
      </c>
      <c r="D4422">
        <v>4</v>
      </c>
      <c r="E4422">
        <v>14</v>
      </c>
      <c r="G4422">
        <v>1724</v>
      </c>
      <c r="H4422" t="s">
        <v>63</v>
      </c>
      <c r="I4422" t="s">
        <v>137</v>
      </c>
      <c r="J4422" t="s">
        <v>154</v>
      </c>
      <c r="L4422">
        <v>0</v>
      </c>
      <c r="M4422" t="s">
        <v>125</v>
      </c>
      <c r="O4422" t="s">
        <v>125</v>
      </c>
      <c r="P4422" t="s">
        <v>125</v>
      </c>
      <c r="Q4422" t="s">
        <v>125</v>
      </c>
      <c r="R4422" t="s">
        <v>125</v>
      </c>
      <c r="S4422" t="s">
        <v>125</v>
      </c>
      <c r="T4422">
        <v>0</v>
      </c>
      <c r="V4422" t="s">
        <v>125</v>
      </c>
      <c r="AE4422" t="s">
        <v>125</v>
      </c>
      <c r="AF4422">
        <v>0</v>
      </c>
      <c r="AG4422" t="s">
        <v>125</v>
      </c>
      <c r="AH4422">
        <v>0</v>
      </c>
      <c r="AK4422">
        <v>0</v>
      </c>
    </row>
    <row r="4423" spans="1:37" x14ac:dyDescent="0.25">
      <c r="A4423" t="s">
        <v>79</v>
      </c>
      <c r="B4423">
        <v>17</v>
      </c>
      <c r="C4423">
        <v>2</v>
      </c>
      <c r="D4423">
        <v>4</v>
      </c>
      <c r="E4423">
        <v>15</v>
      </c>
      <c r="G4423">
        <v>1724</v>
      </c>
      <c r="H4423" t="s">
        <v>63</v>
      </c>
      <c r="I4423" t="s">
        <v>139</v>
      </c>
      <c r="J4423" t="s">
        <v>155</v>
      </c>
      <c r="L4423">
        <v>0</v>
      </c>
      <c r="M4423" t="s">
        <v>125</v>
      </c>
      <c r="O4423" t="s">
        <v>125</v>
      </c>
      <c r="P4423" t="s">
        <v>125</v>
      </c>
      <c r="Q4423" t="s">
        <v>125</v>
      </c>
      <c r="R4423" t="s">
        <v>125</v>
      </c>
      <c r="S4423" t="s">
        <v>125</v>
      </c>
      <c r="T4423">
        <v>0</v>
      </c>
      <c r="V4423" t="s">
        <v>125</v>
      </c>
      <c r="AE4423" t="s">
        <v>125</v>
      </c>
      <c r="AF4423">
        <v>0</v>
      </c>
      <c r="AG4423" t="s">
        <v>125</v>
      </c>
      <c r="AH4423">
        <v>0</v>
      </c>
      <c r="AK4423">
        <v>0</v>
      </c>
    </row>
    <row r="4424" spans="1:37" x14ac:dyDescent="0.25">
      <c r="L4424">
        <v>0</v>
      </c>
    </row>
    <row r="4425" spans="1:37" x14ac:dyDescent="0.25">
      <c r="A4425" t="s">
        <v>70</v>
      </c>
      <c r="B4425">
        <v>17</v>
      </c>
      <c r="C4425">
        <v>2</v>
      </c>
      <c r="D4425">
        <v>5</v>
      </c>
      <c r="G4425">
        <v>172</v>
      </c>
      <c r="L4425">
        <v>0</v>
      </c>
      <c r="M4425" t="s">
        <v>125</v>
      </c>
      <c r="P4425" t="s">
        <v>125</v>
      </c>
      <c r="R4425" t="s">
        <v>125</v>
      </c>
      <c r="S4425" t="s">
        <v>63</v>
      </c>
      <c r="V4425" t="s">
        <v>125</v>
      </c>
      <c r="X4425" t="s">
        <v>125</v>
      </c>
      <c r="Y4425" t="s">
        <v>125</v>
      </c>
      <c r="Z4425" t="s">
        <v>125</v>
      </c>
      <c r="AA4425" t="s">
        <v>125</v>
      </c>
      <c r="AB4425" t="s">
        <v>125</v>
      </c>
      <c r="AC4425" t="s">
        <v>125</v>
      </c>
      <c r="AE4425" t="s">
        <v>125</v>
      </c>
      <c r="AF4425">
        <v>0</v>
      </c>
      <c r="AG4425" t="s">
        <v>125</v>
      </c>
      <c r="AH4425">
        <v>0</v>
      </c>
      <c r="AK4425">
        <v>0</v>
      </c>
    </row>
    <row r="4426" spans="1:37" x14ac:dyDescent="0.25">
      <c r="A4426" t="s">
        <v>79</v>
      </c>
      <c r="B4426">
        <v>17</v>
      </c>
      <c r="C4426">
        <v>2</v>
      </c>
      <c r="D4426">
        <v>5</v>
      </c>
      <c r="E4426">
        <v>1</v>
      </c>
      <c r="G4426">
        <v>1725</v>
      </c>
      <c r="H4426" t="s">
        <v>63</v>
      </c>
      <c r="I4426" t="s">
        <v>80</v>
      </c>
      <c r="J4426" t="s">
        <v>141</v>
      </c>
      <c r="L4426">
        <v>0</v>
      </c>
      <c r="M4426" t="s">
        <v>125</v>
      </c>
      <c r="O4426" t="s">
        <v>125</v>
      </c>
      <c r="P4426" t="s">
        <v>125</v>
      </c>
      <c r="Q4426" t="s">
        <v>125</v>
      </c>
      <c r="R4426" t="s">
        <v>125</v>
      </c>
      <c r="S4426" t="s">
        <v>125</v>
      </c>
      <c r="T4426">
        <v>0</v>
      </c>
      <c r="V4426" t="s">
        <v>125</v>
      </c>
      <c r="AE4426" t="s">
        <v>125</v>
      </c>
      <c r="AF4426">
        <v>0</v>
      </c>
      <c r="AG4426" t="s">
        <v>125</v>
      </c>
      <c r="AH4426">
        <v>0</v>
      </c>
      <c r="AK4426">
        <v>0</v>
      </c>
    </row>
    <row r="4427" spans="1:37" x14ac:dyDescent="0.25">
      <c r="A4427" t="s">
        <v>79</v>
      </c>
      <c r="B4427">
        <v>17</v>
      </c>
      <c r="C4427">
        <v>2</v>
      </c>
      <c r="D4427">
        <v>5</v>
      </c>
      <c r="E4427">
        <v>2</v>
      </c>
      <c r="G4427">
        <v>1725</v>
      </c>
      <c r="H4427" t="s">
        <v>63</v>
      </c>
      <c r="I4427" t="s">
        <v>88</v>
      </c>
      <c r="J4427" t="s">
        <v>142</v>
      </c>
      <c r="L4427">
        <v>0</v>
      </c>
      <c r="M4427" t="s">
        <v>125</v>
      </c>
      <c r="O4427" t="s">
        <v>125</v>
      </c>
      <c r="P4427" t="s">
        <v>125</v>
      </c>
      <c r="Q4427" t="s">
        <v>125</v>
      </c>
      <c r="R4427" t="s">
        <v>125</v>
      </c>
      <c r="S4427" t="s">
        <v>125</v>
      </c>
      <c r="T4427">
        <v>0</v>
      </c>
      <c r="V4427" t="s">
        <v>125</v>
      </c>
      <c r="AE4427" t="s">
        <v>125</v>
      </c>
      <c r="AF4427">
        <v>0</v>
      </c>
      <c r="AG4427" t="s">
        <v>125</v>
      </c>
      <c r="AH4427">
        <v>0</v>
      </c>
      <c r="AK4427">
        <v>0</v>
      </c>
    </row>
    <row r="4428" spans="1:37" x14ac:dyDescent="0.25">
      <c r="A4428" t="s">
        <v>79</v>
      </c>
      <c r="B4428">
        <v>17</v>
      </c>
      <c r="C4428">
        <v>2</v>
      </c>
      <c r="D4428">
        <v>5</v>
      </c>
      <c r="E4428">
        <v>3</v>
      </c>
      <c r="G4428">
        <v>1725</v>
      </c>
      <c r="H4428" t="s">
        <v>63</v>
      </c>
      <c r="I4428" t="s">
        <v>95</v>
      </c>
      <c r="J4428" t="s">
        <v>143</v>
      </c>
      <c r="L4428">
        <v>0</v>
      </c>
      <c r="M4428" t="s">
        <v>125</v>
      </c>
      <c r="O4428" t="s">
        <v>125</v>
      </c>
      <c r="P4428" t="s">
        <v>125</v>
      </c>
      <c r="Q4428" t="s">
        <v>125</v>
      </c>
      <c r="R4428" t="s">
        <v>125</v>
      </c>
      <c r="S4428" t="s">
        <v>125</v>
      </c>
      <c r="T4428">
        <v>0</v>
      </c>
      <c r="V4428" t="s">
        <v>125</v>
      </c>
      <c r="AE4428" t="s">
        <v>125</v>
      </c>
      <c r="AF4428">
        <v>0</v>
      </c>
      <c r="AG4428" t="s">
        <v>125</v>
      </c>
      <c r="AH4428">
        <v>0</v>
      </c>
      <c r="AK4428">
        <v>0</v>
      </c>
    </row>
    <row r="4429" spans="1:37" x14ac:dyDescent="0.25">
      <c r="A4429" t="s">
        <v>79</v>
      </c>
      <c r="B4429">
        <v>17</v>
      </c>
      <c r="C4429">
        <v>2</v>
      </c>
      <c r="D4429">
        <v>5</v>
      </c>
      <c r="E4429">
        <v>4</v>
      </c>
      <c r="G4429">
        <v>1725</v>
      </c>
      <c r="H4429" t="s">
        <v>63</v>
      </c>
      <c r="I4429" t="s">
        <v>102</v>
      </c>
      <c r="J4429" t="s">
        <v>144</v>
      </c>
      <c r="L4429">
        <v>0</v>
      </c>
      <c r="M4429" t="s">
        <v>125</v>
      </c>
      <c r="O4429" t="s">
        <v>125</v>
      </c>
      <c r="P4429" t="s">
        <v>125</v>
      </c>
      <c r="Q4429" t="s">
        <v>125</v>
      </c>
      <c r="R4429" t="s">
        <v>125</v>
      </c>
      <c r="S4429" t="s">
        <v>125</v>
      </c>
      <c r="T4429">
        <v>0</v>
      </c>
      <c r="V4429" t="s">
        <v>125</v>
      </c>
      <c r="AE4429" t="s">
        <v>125</v>
      </c>
      <c r="AF4429">
        <v>0</v>
      </c>
      <c r="AG4429" t="s">
        <v>125</v>
      </c>
      <c r="AH4429">
        <v>0</v>
      </c>
      <c r="AK4429">
        <v>0</v>
      </c>
    </row>
    <row r="4430" spans="1:37" x14ac:dyDescent="0.25">
      <c r="A4430" t="s">
        <v>79</v>
      </c>
      <c r="B4430">
        <v>17</v>
      </c>
      <c r="C4430">
        <v>2</v>
      </c>
      <c r="D4430">
        <v>5</v>
      </c>
      <c r="E4430">
        <v>5</v>
      </c>
      <c r="G4430">
        <v>1725</v>
      </c>
      <c r="H4430" t="s">
        <v>63</v>
      </c>
      <c r="I4430" t="s">
        <v>109</v>
      </c>
      <c r="J4430" t="s">
        <v>145</v>
      </c>
      <c r="L4430">
        <v>0</v>
      </c>
      <c r="M4430" t="s">
        <v>125</v>
      </c>
      <c r="O4430" t="s">
        <v>125</v>
      </c>
      <c r="P4430" t="s">
        <v>125</v>
      </c>
      <c r="Q4430" t="s">
        <v>125</v>
      </c>
      <c r="R4430" t="s">
        <v>125</v>
      </c>
      <c r="S4430" t="s">
        <v>125</v>
      </c>
      <c r="T4430">
        <v>0</v>
      </c>
      <c r="V4430" t="s">
        <v>125</v>
      </c>
      <c r="AE4430" t="s">
        <v>125</v>
      </c>
      <c r="AF4430">
        <v>0</v>
      </c>
      <c r="AG4430" t="s">
        <v>125</v>
      </c>
      <c r="AH4430">
        <v>0</v>
      </c>
      <c r="AK4430">
        <v>0</v>
      </c>
    </row>
    <row r="4431" spans="1:37" x14ac:dyDescent="0.25">
      <c r="A4431" t="s">
        <v>79</v>
      </c>
      <c r="B4431">
        <v>17</v>
      </c>
      <c r="C4431">
        <v>2</v>
      </c>
      <c r="D4431">
        <v>5</v>
      </c>
      <c r="E4431">
        <v>6</v>
      </c>
      <c r="G4431">
        <v>1725</v>
      </c>
      <c r="H4431" t="s">
        <v>63</v>
      </c>
      <c r="I4431" t="s">
        <v>116</v>
      </c>
      <c r="J4431" t="s">
        <v>146</v>
      </c>
      <c r="L4431">
        <v>0</v>
      </c>
      <c r="M4431" t="s">
        <v>125</v>
      </c>
      <c r="O4431" t="s">
        <v>125</v>
      </c>
      <c r="P4431" t="s">
        <v>125</v>
      </c>
      <c r="Q4431" t="s">
        <v>125</v>
      </c>
      <c r="R4431" t="s">
        <v>125</v>
      </c>
      <c r="S4431" t="s">
        <v>125</v>
      </c>
      <c r="T4431">
        <v>0</v>
      </c>
      <c r="V4431" t="s">
        <v>125</v>
      </c>
      <c r="AE4431" t="s">
        <v>125</v>
      </c>
      <c r="AF4431">
        <v>0</v>
      </c>
      <c r="AG4431" t="s">
        <v>125</v>
      </c>
      <c r="AH4431">
        <v>0</v>
      </c>
      <c r="AK4431">
        <v>0</v>
      </c>
    </row>
    <row r="4432" spans="1:37" x14ac:dyDescent="0.25">
      <c r="A4432" t="s">
        <v>79</v>
      </c>
      <c r="B4432">
        <v>17</v>
      </c>
      <c r="C4432">
        <v>2</v>
      </c>
      <c r="D4432">
        <v>5</v>
      </c>
      <c r="E4432">
        <v>7</v>
      </c>
      <c r="G4432">
        <v>1725</v>
      </c>
      <c r="H4432" t="s">
        <v>63</v>
      </c>
      <c r="I4432" t="s">
        <v>123</v>
      </c>
      <c r="J4432" t="s">
        <v>147</v>
      </c>
      <c r="L4432">
        <v>0</v>
      </c>
      <c r="M4432" t="s">
        <v>125</v>
      </c>
      <c r="O4432" t="s">
        <v>125</v>
      </c>
      <c r="P4432" t="s">
        <v>125</v>
      </c>
      <c r="Q4432" t="s">
        <v>125</v>
      </c>
      <c r="R4432" t="s">
        <v>125</v>
      </c>
      <c r="S4432" t="s">
        <v>125</v>
      </c>
      <c r="T4432">
        <v>0</v>
      </c>
      <c r="V4432" t="s">
        <v>125</v>
      </c>
      <c r="AE4432" t="s">
        <v>125</v>
      </c>
      <c r="AF4432">
        <v>0</v>
      </c>
      <c r="AG4432" t="s">
        <v>125</v>
      </c>
      <c r="AH4432">
        <v>0</v>
      </c>
      <c r="AK4432">
        <v>0</v>
      </c>
    </row>
    <row r="4433" spans="1:37" x14ac:dyDescent="0.25">
      <c r="A4433" t="s">
        <v>79</v>
      </c>
      <c r="B4433">
        <v>17</v>
      </c>
      <c r="C4433">
        <v>2</v>
      </c>
      <c r="D4433">
        <v>5</v>
      </c>
      <c r="E4433">
        <v>8</v>
      </c>
      <c r="G4433">
        <v>1725</v>
      </c>
      <c r="H4433" t="s">
        <v>63</v>
      </c>
      <c r="I4433" t="s">
        <v>126</v>
      </c>
      <c r="J4433" t="s">
        <v>148</v>
      </c>
      <c r="L4433">
        <v>0</v>
      </c>
      <c r="M4433" t="s">
        <v>125</v>
      </c>
      <c r="O4433" t="s">
        <v>125</v>
      </c>
      <c r="P4433" t="s">
        <v>125</v>
      </c>
      <c r="Q4433" t="s">
        <v>125</v>
      </c>
      <c r="R4433" t="s">
        <v>125</v>
      </c>
      <c r="S4433" t="s">
        <v>125</v>
      </c>
      <c r="T4433">
        <v>0</v>
      </c>
      <c r="V4433" t="s">
        <v>125</v>
      </c>
      <c r="AE4433" t="s">
        <v>125</v>
      </c>
      <c r="AF4433">
        <v>0</v>
      </c>
      <c r="AG4433" t="s">
        <v>125</v>
      </c>
      <c r="AH4433">
        <v>0</v>
      </c>
      <c r="AK4433">
        <v>0</v>
      </c>
    </row>
    <row r="4434" spans="1:37" x14ac:dyDescent="0.25">
      <c r="A4434" t="s">
        <v>79</v>
      </c>
      <c r="B4434">
        <v>17</v>
      </c>
      <c r="C4434">
        <v>2</v>
      </c>
      <c r="D4434">
        <v>5</v>
      </c>
      <c r="E4434">
        <v>9</v>
      </c>
      <c r="G4434">
        <v>1725</v>
      </c>
      <c r="H4434" t="s">
        <v>63</v>
      </c>
      <c r="I4434" t="s">
        <v>74</v>
      </c>
      <c r="J4434" t="s">
        <v>149</v>
      </c>
      <c r="L4434">
        <v>0</v>
      </c>
      <c r="M4434" t="s">
        <v>125</v>
      </c>
      <c r="O4434" t="s">
        <v>125</v>
      </c>
      <c r="P4434" t="s">
        <v>125</v>
      </c>
      <c r="Q4434" t="s">
        <v>125</v>
      </c>
      <c r="R4434" t="s">
        <v>125</v>
      </c>
      <c r="S4434" t="s">
        <v>125</v>
      </c>
      <c r="T4434">
        <v>0</v>
      </c>
      <c r="V4434" t="s">
        <v>125</v>
      </c>
      <c r="AE4434" t="s">
        <v>125</v>
      </c>
      <c r="AF4434">
        <v>0</v>
      </c>
      <c r="AG4434" t="s">
        <v>125</v>
      </c>
      <c r="AH4434">
        <v>0</v>
      </c>
      <c r="AK4434">
        <v>0</v>
      </c>
    </row>
    <row r="4435" spans="1:37" x14ac:dyDescent="0.25">
      <c r="A4435" t="s">
        <v>79</v>
      </c>
      <c r="B4435">
        <v>17</v>
      </c>
      <c r="C4435">
        <v>2</v>
      </c>
      <c r="D4435">
        <v>5</v>
      </c>
      <c r="E4435">
        <v>10</v>
      </c>
      <c r="G4435">
        <v>1725</v>
      </c>
      <c r="H4435" t="s">
        <v>63</v>
      </c>
      <c r="I4435" t="s">
        <v>129</v>
      </c>
      <c r="J4435" t="s">
        <v>150</v>
      </c>
      <c r="L4435">
        <v>0</v>
      </c>
      <c r="M4435" t="s">
        <v>125</v>
      </c>
      <c r="O4435" t="s">
        <v>125</v>
      </c>
      <c r="P4435" t="s">
        <v>125</v>
      </c>
      <c r="Q4435" t="s">
        <v>125</v>
      </c>
      <c r="R4435" t="s">
        <v>125</v>
      </c>
      <c r="S4435" t="s">
        <v>125</v>
      </c>
      <c r="T4435">
        <v>0</v>
      </c>
      <c r="V4435" t="s">
        <v>125</v>
      </c>
      <c r="AE4435" t="s">
        <v>125</v>
      </c>
      <c r="AF4435">
        <v>0</v>
      </c>
      <c r="AG4435" t="s">
        <v>125</v>
      </c>
      <c r="AH4435">
        <v>0</v>
      </c>
      <c r="AK4435">
        <v>0</v>
      </c>
    </row>
    <row r="4436" spans="1:37" x14ac:dyDescent="0.25">
      <c r="A4436" t="s">
        <v>79</v>
      </c>
      <c r="B4436">
        <v>17</v>
      </c>
      <c r="C4436">
        <v>2</v>
      </c>
      <c r="D4436">
        <v>5</v>
      </c>
      <c r="E4436">
        <v>11</v>
      </c>
      <c r="G4436">
        <v>1725</v>
      </c>
      <c r="H4436" t="s">
        <v>63</v>
      </c>
      <c r="I4436" t="s">
        <v>131</v>
      </c>
      <c r="J4436" t="s">
        <v>151</v>
      </c>
      <c r="L4436">
        <v>0</v>
      </c>
      <c r="M4436" t="s">
        <v>125</v>
      </c>
      <c r="O4436" t="s">
        <v>125</v>
      </c>
      <c r="P4436" t="s">
        <v>125</v>
      </c>
      <c r="Q4436" t="s">
        <v>125</v>
      </c>
      <c r="R4436" t="s">
        <v>125</v>
      </c>
      <c r="S4436" t="s">
        <v>125</v>
      </c>
      <c r="T4436">
        <v>0</v>
      </c>
      <c r="V4436" t="s">
        <v>125</v>
      </c>
      <c r="AE4436" t="s">
        <v>125</v>
      </c>
      <c r="AF4436">
        <v>0</v>
      </c>
      <c r="AG4436" t="s">
        <v>125</v>
      </c>
      <c r="AH4436">
        <v>0</v>
      </c>
      <c r="AK4436">
        <v>0</v>
      </c>
    </row>
    <row r="4437" spans="1:37" x14ac:dyDescent="0.25">
      <c r="A4437" t="s">
        <v>79</v>
      </c>
      <c r="B4437">
        <v>17</v>
      </c>
      <c r="C4437">
        <v>2</v>
      </c>
      <c r="D4437">
        <v>5</v>
      </c>
      <c r="E4437">
        <v>12</v>
      </c>
      <c r="G4437">
        <v>1725</v>
      </c>
      <c r="H4437" t="s">
        <v>63</v>
      </c>
      <c r="I4437" t="s">
        <v>133</v>
      </c>
      <c r="J4437" t="s">
        <v>152</v>
      </c>
      <c r="L4437">
        <v>0</v>
      </c>
      <c r="M4437" t="s">
        <v>125</v>
      </c>
      <c r="O4437" t="s">
        <v>125</v>
      </c>
      <c r="P4437" t="s">
        <v>125</v>
      </c>
      <c r="Q4437" t="s">
        <v>125</v>
      </c>
      <c r="R4437" t="s">
        <v>125</v>
      </c>
      <c r="S4437" t="s">
        <v>125</v>
      </c>
      <c r="T4437">
        <v>0</v>
      </c>
      <c r="V4437" t="s">
        <v>125</v>
      </c>
      <c r="AE4437" t="s">
        <v>125</v>
      </c>
      <c r="AF4437">
        <v>0</v>
      </c>
      <c r="AG4437" t="s">
        <v>125</v>
      </c>
      <c r="AH4437">
        <v>0</v>
      </c>
      <c r="AK4437">
        <v>0</v>
      </c>
    </row>
    <row r="4438" spans="1:37" x14ac:dyDescent="0.25">
      <c r="A4438" t="s">
        <v>79</v>
      </c>
      <c r="B4438">
        <v>17</v>
      </c>
      <c r="C4438">
        <v>2</v>
      </c>
      <c r="D4438">
        <v>5</v>
      </c>
      <c r="E4438">
        <v>13</v>
      </c>
      <c r="G4438">
        <v>1725</v>
      </c>
      <c r="H4438" t="s">
        <v>63</v>
      </c>
      <c r="I4438" t="s">
        <v>135</v>
      </c>
      <c r="J4438" t="s">
        <v>153</v>
      </c>
      <c r="L4438">
        <v>0</v>
      </c>
      <c r="M4438" t="s">
        <v>125</v>
      </c>
      <c r="O4438" t="s">
        <v>125</v>
      </c>
      <c r="P4438" t="s">
        <v>125</v>
      </c>
      <c r="Q4438" t="s">
        <v>125</v>
      </c>
      <c r="R4438" t="s">
        <v>125</v>
      </c>
      <c r="S4438" t="s">
        <v>125</v>
      </c>
      <c r="T4438">
        <v>0</v>
      </c>
      <c r="V4438" t="s">
        <v>125</v>
      </c>
      <c r="AE4438" t="s">
        <v>125</v>
      </c>
      <c r="AF4438">
        <v>0</v>
      </c>
      <c r="AG4438" t="s">
        <v>125</v>
      </c>
      <c r="AH4438">
        <v>0</v>
      </c>
      <c r="AK4438">
        <v>0</v>
      </c>
    </row>
    <row r="4439" spans="1:37" x14ac:dyDescent="0.25">
      <c r="A4439" t="s">
        <v>79</v>
      </c>
      <c r="B4439">
        <v>17</v>
      </c>
      <c r="C4439">
        <v>2</v>
      </c>
      <c r="D4439">
        <v>5</v>
      </c>
      <c r="E4439">
        <v>14</v>
      </c>
      <c r="G4439">
        <v>1725</v>
      </c>
      <c r="H4439" t="s">
        <v>63</v>
      </c>
      <c r="I4439" t="s">
        <v>137</v>
      </c>
      <c r="J4439" t="s">
        <v>154</v>
      </c>
      <c r="L4439">
        <v>0</v>
      </c>
      <c r="M4439" t="s">
        <v>125</v>
      </c>
      <c r="O4439" t="s">
        <v>125</v>
      </c>
      <c r="P4439" t="s">
        <v>125</v>
      </c>
      <c r="Q4439" t="s">
        <v>125</v>
      </c>
      <c r="R4439" t="s">
        <v>125</v>
      </c>
      <c r="S4439" t="s">
        <v>125</v>
      </c>
      <c r="T4439">
        <v>0</v>
      </c>
      <c r="V4439" t="s">
        <v>125</v>
      </c>
      <c r="AE4439" t="s">
        <v>125</v>
      </c>
      <c r="AF4439">
        <v>0</v>
      </c>
      <c r="AG4439" t="s">
        <v>125</v>
      </c>
      <c r="AH4439">
        <v>0</v>
      </c>
      <c r="AK4439">
        <v>0</v>
      </c>
    </row>
    <row r="4440" spans="1:37" x14ac:dyDescent="0.25">
      <c r="A4440" t="s">
        <v>79</v>
      </c>
      <c r="B4440">
        <v>17</v>
      </c>
      <c r="C4440">
        <v>2</v>
      </c>
      <c r="D4440">
        <v>5</v>
      </c>
      <c r="E4440">
        <v>15</v>
      </c>
      <c r="G4440">
        <v>1725</v>
      </c>
      <c r="H4440" t="s">
        <v>63</v>
      </c>
      <c r="I4440" t="s">
        <v>139</v>
      </c>
      <c r="J4440" t="s">
        <v>155</v>
      </c>
      <c r="L4440">
        <v>0</v>
      </c>
      <c r="M4440" t="s">
        <v>125</v>
      </c>
      <c r="O4440" t="s">
        <v>125</v>
      </c>
      <c r="P4440" t="s">
        <v>125</v>
      </c>
      <c r="Q4440" t="s">
        <v>125</v>
      </c>
      <c r="R4440" t="s">
        <v>125</v>
      </c>
      <c r="S4440" t="s">
        <v>125</v>
      </c>
      <c r="T4440">
        <v>0</v>
      </c>
      <c r="V4440" t="s">
        <v>125</v>
      </c>
      <c r="AE4440" t="s">
        <v>125</v>
      </c>
      <c r="AF4440">
        <v>0</v>
      </c>
      <c r="AG4440" t="s">
        <v>125</v>
      </c>
      <c r="AH4440">
        <v>0</v>
      </c>
      <c r="AK4440">
        <v>0</v>
      </c>
    </row>
    <row r="4441" spans="1:37" x14ac:dyDescent="0.25">
      <c r="L4441">
        <v>0</v>
      </c>
    </row>
    <row r="4442" spans="1:37" x14ac:dyDescent="0.25">
      <c r="L4442">
        <v>0</v>
      </c>
    </row>
    <row r="4443" spans="1:37" x14ac:dyDescent="0.25">
      <c r="A4443" t="s">
        <v>66</v>
      </c>
      <c r="B4443">
        <v>17</v>
      </c>
      <c r="C4443">
        <v>3</v>
      </c>
      <c r="G4443">
        <v>17</v>
      </c>
      <c r="H4443" t="s">
        <v>5583</v>
      </c>
      <c r="I4443" t="s">
        <v>5787</v>
      </c>
      <c r="M4443" t="s">
        <v>5788</v>
      </c>
      <c r="N4443" t="s">
        <v>5787</v>
      </c>
      <c r="P4443" t="s">
        <v>5789</v>
      </c>
      <c r="V4443" t="s">
        <v>5790</v>
      </c>
      <c r="Y4443" t="s">
        <v>5791</v>
      </c>
      <c r="AA4443" t="s">
        <v>5792</v>
      </c>
      <c r="AC4443" t="s">
        <v>5793</v>
      </c>
      <c r="AE4443" t="s">
        <v>5794</v>
      </c>
      <c r="AF4443">
        <v>0</v>
      </c>
      <c r="AG4443" t="s">
        <v>5795</v>
      </c>
      <c r="AH4443">
        <v>0</v>
      </c>
      <c r="AK4443">
        <v>0</v>
      </c>
    </row>
    <row r="4444" spans="1:37" x14ac:dyDescent="0.25">
      <c r="L4444">
        <v>0</v>
      </c>
    </row>
    <row r="4445" spans="1:37" x14ac:dyDescent="0.25">
      <c r="A4445" t="s">
        <v>70</v>
      </c>
      <c r="B4445">
        <v>17</v>
      </c>
      <c r="C4445">
        <v>3</v>
      </c>
      <c r="D4445">
        <v>1</v>
      </c>
      <c r="G4445">
        <v>173</v>
      </c>
      <c r="M4445" t="s">
        <v>5796</v>
      </c>
      <c r="O4445" t="s">
        <v>5797</v>
      </c>
      <c r="P4445" t="s">
        <v>5798</v>
      </c>
      <c r="Q4445" t="s">
        <v>74</v>
      </c>
      <c r="R4445" t="s">
        <v>382</v>
      </c>
      <c r="S4445" t="s">
        <v>5799</v>
      </c>
      <c r="V4445" t="s">
        <v>5790</v>
      </c>
      <c r="X4445" t="s">
        <v>5800</v>
      </c>
      <c r="Y4445" t="s">
        <v>5791</v>
      </c>
      <c r="Z4445" t="s">
        <v>5801</v>
      </c>
      <c r="AA4445" t="s">
        <v>5792</v>
      </c>
      <c r="AB4445" t="s">
        <v>5802</v>
      </c>
      <c r="AC4445" t="s">
        <v>5793</v>
      </c>
      <c r="AE4445" t="s">
        <v>5794</v>
      </c>
      <c r="AF4445">
        <v>0</v>
      </c>
      <c r="AG4445" t="s">
        <v>5795</v>
      </c>
      <c r="AH4445">
        <v>0</v>
      </c>
      <c r="AK4445">
        <v>0</v>
      </c>
    </row>
    <row r="4446" spans="1:37" x14ac:dyDescent="0.25">
      <c r="A4446" t="s">
        <v>79</v>
      </c>
      <c r="B4446">
        <v>17</v>
      </c>
      <c r="C4446">
        <v>3</v>
      </c>
      <c r="D4446">
        <v>1</v>
      </c>
      <c r="E4446">
        <v>1</v>
      </c>
      <c r="G4446">
        <v>1731</v>
      </c>
      <c r="H4446" t="s">
        <v>5797</v>
      </c>
      <c r="I4446" t="s">
        <v>80</v>
      </c>
      <c r="J4446" t="s">
        <v>5803</v>
      </c>
      <c r="L4446">
        <v>0</v>
      </c>
      <c r="M4446" t="s">
        <v>5804</v>
      </c>
      <c r="O4446" t="s">
        <v>5805</v>
      </c>
      <c r="P4446" t="s">
        <v>5806</v>
      </c>
      <c r="Q4446" t="s">
        <v>311</v>
      </c>
      <c r="R4446" t="s">
        <v>268</v>
      </c>
      <c r="S4446" t="s">
        <v>5807</v>
      </c>
      <c r="T4446">
        <v>10</v>
      </c>
      <c r="U4446">
        <v>0</v>
      </c>
      <c r="V4446" t="s">
        <v>1155</v>
      </c>
      <c r="AE4446" t="s">
        <v>5808</v>
      </c>
      <c r="AF4446">
        <v>0</v>
      </c>
      <c r="AG4446" t="s">
        <v>5809</v>
      </c>
      <c r="AH4446">
        <v>0</v>
      </c>
      <c r="AK4446">
        <v>0</v>
      </c>
    </row>
    <row r="4447" spans="1:37" x14ac:dyDescent="0.25">
      <c r="A4447" t="s">
        <v>79</v>
      </c>
      <c r="B4447">
        <v>17</v>
      </c>
      <c r="C4447">
        <v>3</v>
      </c>
      <c r="D4447">
        <v>1</v>
      </c>
      <c r="E4447">
        <v>2</v>
      </c>
      <c r="G4447">
        <v>1731</v>
      </c>
      <c r="H4447" t="s">
        <v>5797</v>
      </c>
      <c r="I4447" t="s">
        <v>88</v>
      </c>
      <c r="J4447" t="s">
        <v>5810</v>
      </c>
      <c r="L4447">
        <v>0</v>
      </c>
      <c r="M4447" t="s">
        <v>5811</v>
      </c>
      <c r="O4447" t="s">
        <v>5812</v>
      </c>
      <c r="P4447" t="s">
        <v>5813</v>
      </c>
      <c r="Q4447" t="s">
        <v>5814</v>
      </c>
      <c r="R4447" t="s">
        <v>248</v>
      </c>
      <c r="S4447" t="s">
        <v>5815</v>
      </c>
      <c r="T4447">
        <v>10</v>
      </c>
      <c r="U4447">
        <v>1</v>
      </c>
      <c r="V4447" t="s">
        <v>5816</v>
      </c>
      <c r="AE4447" t="s">
        <v>5817</v>
      </c>
      <c r="AF4447">
        <v>0</v>
      </c>
      <c r="AG4447" t="s">
        <v>5818</v>
      </c>
      <c r="AH4447">
        <v>0</v>
      </c>
      <c r="AK4447">
        <v>0</v>
      </c>
    </row>
    <row r="4448" spans="1:37" x14ac:dyDescent="0.25">
      <c r="A4448" t="s">
        <v>79</v>
      </c>
      <c r="B4448">
        <v>17</v>
      </c>
      <c r="C4448">
        <v>3</v>
      </c>
      <c r="D4448">
        <v>1</v>
      </c>
      <c r="E4448">
        <v>3</v>
      </c>
      <c r="G4448">
        <v>1731</v>
      </c>
      <c r="H4448" t="s">
        <v>5797</v>
      </c>
      <c r="I4448" t="s">
        <v>95</v>
      </c>
      <c r="J4448" t="s">
        <v>5819</v>
      </c>
      <c r="L4448">
        <v>0</v>
      </c>
      <c r="M4448" t="s">
        <v>5820</v>
      </c>
      <c r="O4448" t="s">
        <v>5821</v>
      </c>
      <c r="P4448" t="s">
        <v>5822</v>
      </c>
      <c r="Q4448" t="s">
        <v>5823</v>
      </c>
      <c r="R4448" t="s">
        <v>258</v>
      </c>
      <c r="S4448" t="s">
        <v>5824</v>
      </c>
      <c r="T4448">
        <v>10</v>
      </c>
      <c r="U4448">
        <v>13</v>
      </c>
      <c r="V4448" t="s">
        <v>5825</v>
      </c>
      <c r="AE4448" t="s">
        <v>5826</v>
      </c>
      <c r="AF4448">
        <v>0</v>
      </c>
      <c r="AG4448" t="s">
        <v>5827</v>
      </c>
      <c r="AH4448">
        <v>0</v>
      </c>
      <c r="AK4448">
        <v>0</v>
      </c>
    </row>
    <row r="4449" spans="1:37" x14ac:dyDescent="0.25">
      <c r="A4449" t="s">
        <v>79</v>
      </c>
      <c r="B4449">
        <v>17</v>
      </c>
      <c r="C4449">
        <v>3</v>
      </c>
      <c r="D4449">
        <v>1</v>
      </c>
      <c r="E4449">
        <v>4</v>
      </c>
      <c r="G4449">
        <v>1731</v>
      </c>
      <c r="H4449" t="s">
        <v>5797</v>
      </c>
      <c r="I4449" t="s">
        <v>102</v>
      </c>
      <c r="J4449" t="s">
        <v>5828</v>
      </c>
      <c r="L4449">
        <v>0</v>
      </c>
      <c r="M4449" t="s">
        <v>5829</v>
      </c>
      <c r="O4449" t="s">
        <v>5830</v>
      </c>
      <c r="P4449" t="s">
        <v>5831</v>
      </c>
      <c r="Q4449" t="s">
        <v>57</v>
      </c>
      <c r="R4449" t="s">
        <v>382</v>
      </c>
      <c r="S4449" t="s">
        <v>5832</v>
      </c>
      <c r="T4449">
        <v>10</v>
      </c>
      <c r="U4449">
        <v>10</v>
      </c>
      <c r="V4449" t="s">
        <v>5832</v>
      </c>
      <c r="AE4449" t="s">
        <v>5833</v>
      </c>
      <c r="AF4449">
        <v>0</v>
      </c>
      <c r="AG4449" t="s">
        <v>5617</v>
      </c>
      <c r="AH4449">
        <v>0</v>
      </c>
      <c r="AK4449">
        <v>0</v>
      </c>
    </row>
    <row r="4450" spans="1:37" x14ac:dyDescent="0.25">
      <c r="A4450" t="s">
        <v>79</v>
      </c>
      <c r="B4450">
        <v>17</v>
      </c>
      <c r="C4450">
        <v>3</v>
      </c>
      <c r="D4450">
        <v>1</v>
      </c>
      <c r="E4450">
        <v>5</v>
      </c>
      <c r="G4450">
        <v>1731</v>
      </c>
      <c r="H4450" t="s">
        <v>5797</v>
      </c>
      <c r="I4450" t="s">
        <v>109</v>
      </c>
      <c r="J4450" t="s">
        <v>5834</v>
      </c>
      <c r="L4450">
        <v>0</v>
      </c>
      <c r="M4450" t="s">
        <v>5835</v>
      </c>
      <c r="O4450" t="s">
        <v>5836</v>
      </c>
      <c r="P4450" t="s">
        <v>5837</v>
      </c>
      <c r="Q4450" t="s">
        <v>5838</v>
      </c>
      <c r="R4450" t="s">
        <v>268</v>
      </c>
      <c r="S4450" t="s">
        <v>5839</v>
      </c>
      <c r="T4450">
        <v>10</v>
      </c>
      <c r="U4450">
        <v>0</v>
      </c>
      <c r="V4450" t="s">
        <v>2095</v>
      </c>
      <c r="AE4450" t="s">
        <v>5840</v>
      </c>
      <c r="AF4450">
        <v>0</v>
      </c>
      <c r="AG4450" t="s">
        <v>5841</v>
      </c>
      <c r="AH4450">
        <v>0</v>
      </c>
      <c r="AK4450">
        <v>0</v>
      </c>
    </row>
    <row r="4451" spans="1:37" x14ac:dyDescent="0.25">
      <c r="A4451" t="s">
        <v>79</v>
      </c>
      <c r="B4451">
        <v>17</v>
      </c>
      <c r="C4451">
        <v>3</v>
      </c>
      <c r="D4451">
        <v>1</v>
      </c>
      <c r="E4451">
        <v>6</v>
      </c>
      <c r="G4451">
        <v>1731</v>
      </c>
      <c r="H4451" t="s">
        <v>5797</v>
      </c>
      <c r="I4451" t="s">
        <v>116</v>
      </c>
      <c r="J4451" t="s">
        <v>5842</v>
      </c>
      <c r="L4451">
        <v>0</v>
      </c>
      <c r="M4451" t="s">
        <v>5843</v>
      </c>
      <c r="O4451" t="s">
        <v>1319</v>
      </c>
      <c r="P4451" t="s">
        <v>1320</v>
      </c>
      <c r="Q4451" t="s">
        <v>5844</v>
      </c>
      <c r="R4451" t="s">
        <v>229</v>
      </c>
      <c r="S4451" t="s">
        <v>1322</v>
      </c>
      <c r="T4451">
        <v>10</v>
      </c>
      <c r="U4451">
        <v>35</v>
      </c>
      <c r="V4451" t="s">
        <v>5845</v>
      </c>
      <c r="AE4451" t="s">
        <v>5846</v>
      </c>
      <c r="AF4451">
        <v>0</v>
      </c>
      <c r="AG4451" t="s">
        <v>5847</v>
      </c>
      <c r="AH4451">
        <v>0</v>
      </c>
      <c r="AK4451">
        <v>0</v>
      </c>
    </row>
    <row r="4452" spans="1:37" x14ac:dyDescent="0.25">
      <c r="A4452" t="s">
        <v>79</v>
      </c>
      <c r="B4452">
        <v>17</v>
      </c>
      <c r="C4452">
        <v>3</v>
      </c>
      <c r="D4452">
        <v>1</v>
      </c>
      <c r="E4452">
        <v>7</v>
      </c>
      <c r="G4452">
        <v>1731</v>
      </c>
      <c r="H4452" t="s">
        <v>5797</v>
      </c>
      <c r="I4452" t="s">
        <v>123</v>
      </c>
      <c r="J4452" t="s">
        <v>5848</v>
      </c>
      <c r="L4452">
        <v>0</v>
      </c>
      <c r="M4452" t="s">
        <v>5849</v>
      </c>
      <c r="O4452" t="s">
        <v>294</v>
      </c>
      <c r="P4452" t="s">
        <v>295</v>
      </c>
      <c r="Q4452" t="s">
        <v>5850</v>
      </c>
      <c r="R4452" t="s">
        <v>229</v>
      </c>
      <c r="S4452" t="s">
        <v>297</v>
      </c>
      <c r="T4452">
        <v>10</v>
      </c>
      <c r="U4452">
        <v>17</v>
      </c>
      <c r="V4452" t="s">
        <v>5851</v>
      </c>
      <c r="AE4452" t="s">
        <v>5852</v>
      </c>
      <c r="AF4452">
        <v>0</v>
      </c>
      <c r="AG4452" t="s">
        <v>5853</v>
      </c>
      <c r="AH4452">
        <v>0</v>
      </c>
      <c r="AK4452">
        <v>0</v>
      </c>
    </row>
    <row r="4453" spans="1:37" x14ac:dyDescent="0.25">
      <c r="A4453" t="s">
        <v>79</v>
      </c>
      <c r="B4453">
        <v>17</v>
      </c>
      <c r="C4453">
        <v>3</v>
      </c>
      <c r="D4453">
        <v>1</v>
      </c>
      <c r="E4453">
        <v>8</v>
      </c>
      <c r="G4453">
        <v>1731</v>
      </c>
      <c r="H4453" t="s">
        <v>5797</v>
      </c>
      <c r="I4453" t="s">
        <v>126</v>
      </c>
      <c r="J4453" t="s">
        <v>5854</v>
      </c>
      <c r="L4453">
        <v>0</v>
      </c>
      <c r="M4453" t="s">
        <v>5855</v>
      </c>
      <c r="O4453" t="s">
        <v>5856</v>
      </c>
      <c r="P4453" t="s">
        <v>5857</v>
      </c>
      <c r="Q4453" t="s">
        <v>5858</v>
      </c>
      <c r="R4453" t="s">
        <v>268</v>
      </c>
      <c r="S4453" t="s">
        <v>5859</v>
      </c>
      <c r="T4453">
        <v>10</v>
      </c>
      <c r="U4453">
        <v>1</v>
      </c>
      <c r="V4453" t="s">
        <v>998</v>
      </c>
      <c r="AE4453" t="s">
        <v>5860</v>
      </c>
      <c r="AF4453">
        <v>0</v>
      </c>
      <c r="AG4453" t="s">
        <v>5861</v>
      </c>
      <c r="AH4453">
        <v>0</v>
      </c>
      <c r="AK4453">
        <v>0</v>
      </c>
    </row>
    <row r="4454" spans="1:37" x14ac:dyDescent="0.25">
      <c r="A4454" t="s">
        <v>79</v>
      </c>
      <c r="B4454">
        <v>17</v>
      </c>
      <c r="C4454">
        <v>3</v>
      </c>
      <c r="D4454">
        <v>1</v>
      </c>
      <c r="E4454">
        <v>9</v>
      </c>
      <c r="G4454">
        <v>1731</v>
      </c>
      <c r="H4454" t="s">
        <v>5797</v>
      </c>
      <c r="I4454" t="s">
        <v>74</v>
      </c>
      <c r="J4454" t="s">
        <v>5862</v>
      </c>
      <c r="L4454">
        <v>0</v>
      </c>
      <c r="M4454" t="s">
        <v>125</v>
      </c>
      <c r="O4454" t="s">
        <v>125</v>
      </c>
      <c r="P4454" t="s">
        <v>125</v>
      </c>
      <c r="Q4454" t="s">
        <v>125</v>
      </c>
      <c r="R4454" t="s">
        <v>125</v>
      </c>
      <c r="S4454" t="s">
        <v>125</v>
      </c>
      <c r="T4454">
        <v>10</v>
      </c>
      <c r="V4454" t="s">
        <v>125</v>
      </c>
      <c r="AE4454" t="s">
        <v>125</v>
      </c>
      <c r="AF4454">
        <v>0</v>
      </c>
      <c r="AG4454" t="s">
        <v>125</v>
      </c>
      <c r="AH4454">
        <v>0</v>
      </c>
      <c r="AK4454">
        <v>0</v>
      </c>
    </row>
    <row r="4455" spans="1:37" x14ac:dyDescent="0.25">
      <c r="A4455" t="s">
        <v>79</v>
      </c>
      <c r="B4455">
        <v>17</v>
      </c>
      <c r="C4455">
        <v>3</v>
      </c>
      <c r="D4455">
        <v>1</v>
      </c>
      <c r="E4455">
        <v>10</v>
      </c>
      <c r="G4455">
        <v>1731</v>
      </c>
      <c r="H4455" t="s">
        <v>5797</v>
      </c>
      <c r="I4455" t="s">
        <v>129</v>
      </c>
      <c r="J4455" t="s">
        <v>5863</v>
      </c>
      <c r="L4455">
        <v>0</v>
      </c>
      <c r="M4455" t="s">
        <v>125</v>
      </c>
      <c r="O4455" t="s">
        <v>125</v>
      </c>
      <c r="P4455" t="s">
        <v>125</v>
      </c>
      <c r="Q4455" t="s">
        <v>125</v>
      </c>
      <c r="R4455" t="s">
        <v>125</v>
      </c>
      <c r="S4455" t="s">
        <v>125</v>
      </c>
      <c r="T4455">
        <v>10</v>
      </c>
      <c r="V4455" t="s">
        <v>125</v>
      </c>
      <c r="AE4455" t="s">
        <v>125</v>
      </c>
      <c r="AF4455">
        <v>0</v>
      </c>
      <c r="AG4455" t="s">
        <v>125</v>
      </c>
      <c r="AH4455">
        <v>0</v>
      </c>
      <c r="AK4455">
        <v>0</v>
      </c>
    </row>
    <row r="4456" spans="1:37" x14ac:dyDescent="0.25">
      <c r="A4456" t="s">
        <v>79</v>
      </c>
      <c r="B4456">
        <v>17</v>
      </c>
      <c r="C4456">
        <v>3</v>
      </c>
      <c r="D4456">
        <v>1</v>
      </c>
      <c r="E4456">
        <v>11</v>
      </c>
      <c r="G4456">
        <v>1731</v>
      </c>
      <c r="H4456" t="s">
        <v>5797</v>
      </c>
      <c r="I4456" t="s">
        <v>131</v>
      </c>
      <c r="J4456" t="s">
        <v>5864</v>
      </c>
      <c r="L4456">
        <v>0</v>
      </c>
      <c r="M4456" t="s">
        <v>125</v>
      </c>
      <c r="O4456" t="s">
        <v>125</v>
      </c>
      <c r="P4456" t="s">
        <v>125</v>
      </c>
      <c r="Q4456" t="s">
        <v>125</v>
      </c>
      <c r="R4456" t="s">
        <v>125</v>
      </c>
      <c r="S4456" t="s">
        <v>125</v>
      </c>
      <c r="T4456">
        <v>10</v>
      </c>
      <c r="V4456" t="s">
        <v>125</v>
      </c>
      <c r="AE4456" t="s">
        <v>125</v>
      </c>
      <c r="AF4456">
        <v>0</v>
      </c>
      <c r="AG4456" t="s">
        <v>125</v>
      </c>
      <c r="AH4456">
        <v>0</v>
      </c>
      <c r="AK4456">
        <v>0</v>
      </c>
    </row>
    <row r="4457" spans="1:37" x14ac:dyDescent="0.25">
      <c r="A4457" t="s">
        <v>79</v>
      </c>
      <c r="B4457">
        <v>17</v>
      </c>
      <c r="C4457">
        <v>3</v>
      </c>
      <c r="D4457">
        <v>1</v>
      </c>
      <c r="E4457">
        <v>12</v>
      </c>
      <c r="G4457">
        <v>1731</v>
      </c>
      <c r="H4457" t="s">
        <v>5797</v>
      </c>
      <c r="I4457" t="s">
        <v>133</v>
      </c>
      <c r="J4457" t="s">
        <v>5865</v>
      </c>
      <c r="L4457">
        <v>0</v>
      </c>
      <c r="M4457" t="s">
        <v>125</v>
      </c>
      <c r="O4457" t="s">
        <v>125</v>
      </c>
      <c r="P4457" t="s">
        <v>125</v>
      </c>
      <c r="Q4457" t="s">
        <v>125</v>
      </c>
      <c r="R4457" t="s">
        <v>125</v>
      </c>
      <c r="S4457" t="s">
        <v>125</v>
      </c>
      <c r="T4457">
        <v>10</v>
      </c>
      <c r="V4457" t="s">
        <v>125</v>
      </c>
      <c r="AE4457" t="s">
        <v>125</v>
      </c>
      <c r="AF4457">
        <v>0</v>
      </c>
      <c r="AG4457" t="s">
        <v>125</v>
      </c>
      <c r="AH4457">
        <v>0</v>
      </c>
      <c r="AK4457">
        <v>0</v>
      </c>
    </row>
    <row r="4458" spans="1:37" x14ac:dyDescent="0.25">
      <c r="A4458" t="s">
        <v>79</v>
      </c>
      <c r="B4458">
        <v>17</v>
      </c>
      <c r="C4458">
        <v>3</v>
      </c>
      <c r="D4458">
        <v>1</v>
      </c>
      <c r="E4458">
        <v>13</v>
      </c>
      <c r="G4458">
        <v>1731</v>
      </c>
      <c r="H4458" t="s">
        <v>5797</v>
      </c>
      <c r="I4458" t="s">
        <v>135</v>
      </c>
      <c r="J4458" t="s">
        <v>5866</v>
      </c>
      <c r="L4458">
        <v>0</v>
      </c>
      <c r="M4458" t="s">
        <v>125</v>
      </c>
      <c r="O4458" t="s">
        <v>125</v>
      </c>
      <c r="P4458" t="s">
        <v>125</v>
      </c>
      <c r="Q4458" t="s">
        <v>125</v>
      </c>
      <c r="R4458" t="s">
        <v>125</v>
      </c>
      <c r="S4458" t="s">
        <v>125</v>
      </c>
      <c r="T4458">
        <v>10</v>
      </c>
      <c r="V4458" t="s">
        <v>125</v>
      </c>
      <c r="AE4458" t="s">
        <v>125</v>
      </c>
      <c r="AF4458">
        <v>0</v>
      </c>
      <c r="AG4458" t="s">
        <v>125</v>
      </c>
      <c r="AH4458">
        <v>0</v>
      </c>
      <c r="AK4458">
        <v>0</v>
      </c>
    </row>
    <row r="4459" spans="1:37" x14ac:dyDescent="0.25">
      <c r="A4459" t="s">
        <v>79</v>
      </c>
      <c r="B4459">
        <v>17</v>
      </c>
      <c r="C4459">
        <v>3</v>
      </c>
      <c r="D4459">
        <v>1</v>
      </c>
      <c r="E4459">
        <v>14</v>
      </c>
      <c r="G4459">
        <v>1731</v>
      </c>
      <c r="H4459" t="s">
        <v>5797</v>
      </c>
      <c r="I4459" t="s">
        <v>137</v>
      </c>
      <c r="J4459" t="s">
        <v>5867</v>
      </c>
      <c r="L4459">
        <v>0</v>
      </c>
      <c r="M4459" t="s">
        <v>125</v>
      </c>
      <c r="O4459" t="s">
        <v>125</v>
      </c>
      <c r="P4459" t="s">
        <v>125</v>
      </c>
      <c r="Q4459" t="s">
        <v>125</v>
      </c>
      <c r="R4459" t="s">
        <v>125</v>
      </c>
      <c r="S4459" t="s">
        <v>125</v>
      </c>
      <c r="T4459">
        <v>10</v>
      </c>
      <c r="V4459" t="s">
        <v>125</v>
      </c>
      <c r="AE4459" t="s">
        <v>125</v>
      </c>
      <c r="AF4459">
        <v>0</v>
      </c>
      <c r="AG4459" t="s">
        <v>125</v>
      </c>
      <c r="AH4459">
        <v>0</v>
      </c>
      <c r="AK4459">
        <v>0</v>
      </c>
    </row>
    <row r="4460" spans="1:37" x14ac:dyDescent="0.25">
      <c r="A4460" t="s">
        <v>79</v>
      </c>
      <c r="B4460">
        <v>17</v>
      </c>
      <c r="C4460">
        <v>3</v>
      </c>
      <c r="D4460">
        <v>1</v>
      </c>
      <c r="E4460">
        <v>15</v>
      </c>
      <c r="G4460">
        <v>1731</v>
      </c>
      <c r="H4460" t="s">
        <v>5797</v>
      </c>
      <c r="I4460" t="s">
        <v>139</v>
      </c>
      <c r="J4460" t="s">
        <v>5868</v>
      </c>
      <c r="L4460">
        <v>0</v>
      </c>
      <c r="M4460" t="s">
        <v>125</v>
      </c>
      <c r="O4460" t="s">
        <v>125</v>
      </c>
      <c r="P4460" t="s">
        <v>125</v>
      </c>
      <c r="Q4460" t="s">
        <v>125</v>
      </c>
      <c r="R4460" t="s">
        <v>125</v>
      </c>
      <c r="S4460" t="s">
        <v>125</v>
      </c>
      <c r="T4460">
        <v>10</v>
      </c>
      <c r="V4460" t="s">
        <v>125</v>
      </c>
      <c r="AE4460" t="s">
        <v>125</v>
      </c>
      <c r="AF4460">
        <v>0</v>
      </c>
      <c r="AG4460" t="s">
        <v>125</v>
      </c>
      <c r="AH4460">
        <v>0</v>
      </c>
      <c r="AK4460">
        <v>0</v>
      </c>
    </row>
    <row r="4461" spans="1:37" x14ac:dyDescent="0.25">
      <c r="L4461">
        <v>0</v>
      </c>
    </row>
    <row r="4462" spans="1:37" x14ac:dyDescent="0.25">
      <c r="A4462" t="s">
        <v>70</v>
      </c>
      <c r="B4462">
        <v>17</v>
      </c>
      <c r="C4462">
        <v>3</v>
      </c>
      <c r="D4462">
        <v>2</v>
      </c>
      <c r="G4462">
        <v>173</v>
      </c>
      <c r="L4462">
        <v>0</v>
      </c>
      <c r="M4462" t="s">
        <v>125</v>
      </c>
      <c r="P4462" t="s">
        <v>125</v>
      </c>
      <c r="R4462" t="s">
        <v>125</v>
      </c>
      <c r="S4462" t="s">
        <v>63</v>
      </c>
      <c r="V4462" t="s">
        <v>125</v>
      </c>
      <c r="X4462" t="s">
        <v>125</v>
      </c>
      <c r="Y4462" t="s">
        <v>125</v>
      </c>
      <c r="Z4462" t="s">
        <v>125</v>
      </c>
      <c r="AA4462" t="s">
        <v>125</v>
      </c>
      <c r="AB4462" t="s">
        <v>125</v>
      </c>
      <c r="AC4462" t="s">
        <v>125</v>
      </c>
      <c r="AE4462" t="s">
        <v>125</v>
      </c>
      <c r="AF4462">
        <v>0</v>
      </c>
      <c r="AG4462" t="s">
        <v>125</v>
      </c>
      <c r="AH4462">
        <v>0</v>
      </c>
      <c r="AK4462">
        <v>0</v>
      </c>
    </row>
    <row r="4463" spans="1:37" x14ac:dyDescent="0.25">
      <c r="A4463" t="s">
        <v>79</v>
      </c>
      <c r="B4463">
        <v>17</v>
      </c>
      <c r="C4463">
        <v>3</v>
      </c>
      <c r="D4463">
        <v>2</v>
      </c>
      <c r="E4463">
        <v>1</v>
      </c>
      <c r="G4463">
        <v>1732</v>
      </c>
      <c r="H4463" t="s">
        <v>63</v>
      </c>
      <c r="I4463" t="s">
        <v>80</v>
      </c>
      <c r="J4463" t="s">
        <v>141</v>
      </c>
      <c r="L4463">
        <v>0</v>
      </c>
      <c r="M4463" t="s">
        <v>125</v>
      </c>
      <c r="O4463" t="s">
        <v>125</v>
      </c>
      <c r="P4463" t="s">
        <v>125</v>
      </c>
      <c r="Q4463" t="s">
        <v>125</v>
      </c>
      <c r="R4463" t="s">
        <v>125</v>
      </c>
      <c r="S4463" t="s">
        <v>125</v>
      </c>
      <c r="T4463">
        <v>0</v>
      </c>
      <c r="V4463" t="s">
        <v>125</v>
      </c>
      <c r="AE4463" t="s">
        <v>125</v>
      </c>
      <c r="AF4463">
        <v>0</v>
      </c>
      <c r="AG4463" t="s">
        <v>125</v>
      </c>
      <c r="AH4463">
        <v>0</v>
      </c>
      <c r="AK4463">
        <v>0</v>
      </c>
    </row>
    <row r="4464" spans="1:37" x14ac:dyDescent="0.25">
      <c r="A4464" t="s">
        <v>79</v>
      </c>
      <c r="B4464">
        <v>17</v>
      </c>
      <c r="C4464">
        <v>3</v>
      </c>
      <c r="D4464">
        <v>2</v>
      </c>
      <c r="E4464">
        <v>2</v>
      </c>
      <c r="G4464">
        <v>1732</v>
      </c>
      <c r="H4464" t="s">
        <v>63</v>
      </c>
      <c r="I4464" t="s">
        <v>88</v>
      </c>
      <c r="J4464" t="s">
        <v>142</v>
      </c>
      <c r="L4464">
        <v>0</v>
      </c>
      <c r="M4464" t="s">
        <v>125</v>
      </c>
      <c r="O4464" t="s">
        <v>125</v>
      </c>
      <c r="P4464" t="s">
        <v>125</v>
      </c>
      <c r="Q4464" t="s">
        <v>125</v>
      </c>
      <c r="R4464" t="s">
        <v>125</v>
      </c>
      <c r="S4464" t="s">
        <v>125</v>
      </c>
      <c r="T4464">
        <v>0</v>
      </c>
      <c r="V4464" t="s">
        <v>125</v>
      </c>
      <c r="AE4464" t="s">
        <v>125</v>
      </c>
      <c r="AF4464">
        <v>0</v>
      </c>
      <c r="AG4464" t="s">
        <v>125</v>
      </c>
      <c r="AH4464">
        <v>0</v>
      </c>
      <c r="AK4464">
        <v>0</v>
      </c>
    </row>
    <row r="4465" spans="1:37" x14ac:dyDescent="0.25">
      <c r="A4465" t="s">
        <v>79</v>
      </c>
      <c r="B4465">
        <v>17</v>
      </c>
      <c r="C4465">
        <v>3</v>
      </c>
      <c r="D4465">
        <v>2</v>
      </c>
      <c r="E4465">
        <v>3</v>
      </c>
      <c r="G4465">
        <v>1732</v>
      </c>
      <c r="H4465" t="s">
        <v>63</v>
      </c>
      <c r="I4465" t="s">
        <v>95</v>
      </c>
      <c r="J4465" t="s">
        <v>143</v>
      </c>
      <c r="L4465">
        <v>0</v>
      </c>
      <c r="M4465" t="s">
        <v>125</v>
      </c>
      <c r="O4465" t="s">
        <v>125</v>
      </c>
      <c r="P4465" t="s">
        <v>125</v>
      </c>
      <c r="Q4465" t="s">
        <v>125</v>
      </c>
      <c r="R4465" t="s">
        <v>125</v>
      </c>
      <c r="S4465" t="s">
        <v>125</v>
      </c>
      <c r="T4465">
        <v>0</v>
      </c>
      <c r="V4465" t="s">
        <v>125</v>
      </c>
      <c r="AE4465" t="s">
        <v>125</v>
      </c>
      <c r="AF4465">
        <v>0</v>
      </c>
      <c r="AG4465" t="s">
        <v>125</v>
      </c>
      <c r="AH4465">
        <v>0</v>
      </c>
      <c r="AK4465">
        <v>0</v>
      </c>
    </row>
    <row r="4466" spans="1:37" x14ac:dyDescent="0.25">
      <c r="A4466" t="s">
        <v>79</v>
      </c>
      <c r="B4466">
        <v>17</v>
      </c>
      <c r="C4466">
        <v>3</v>
      </c>
      <c r="D4466">
        <v>2</v>
      </c>
      <c r="E4466">
        <v>4</v>
      </c>
      <c r="G4466">
        <v>1732</v>
      </c>
      <c r="H4466" t="s">
        <v>63</v>
      </c>
      <c r="I4466" t="s">
        <v>102</v>
      </c>
      <c r="J4466" t="s">
        <v>144</v>
      </c>
      <c r="L4466">
        <v>0</v>
      </c>
      <c r="M4466" t="s">
        <v>125</v>
      </c>
      <c r="O4466" t="s">
        <v>125</v>
      </c>
      <c r="P4466" t="s">
        <v>125</v>
      </c>
      <c r="Q4466" t="s">
        <v>125</v>
      </c>
      <c r="R4466" t="s">
        <v>125</v>
      </c>
      <c r="S4466" t="s">
        <v>125</v>
      </c>
      <c r="T4466">
        <v>0</v>
      </c>
      <c r="V4466" t="s">
        <v>125</v>
      </c>
      <c r="AE4466" t="s">
        <v>125</v>
      </c>
      <c r="AF4466">
        <v>0</v>
      </c>
      <c r="AG4466" t="s">
        <v>125</v>
      </c>
      <c r="AH4466">
        <v>0</v>
      </c>
      <c r="AK4466">
        <v>0</v>
      </c>
    </row>
    <row r="4467" spans="1:37" x14ac:dyDescent="0.25">
      <c r="A4467" t="s">
        <v>79</v>
      </c>
      <c r="B4467">
        <v>17</v>
      </c>
      <c r="C4467">
        <v>3</v>
      </c>
      <c r="D4467">
        <v>2</v>
      </c>
      <c r="E4467">
        <v>5</v>
      </c>
      <c r="G4467">
        <v>1732</v>
      </c>
      <c r="H4467" t="s">
        <v>63</v>
      </c>
      <c r="I4467" t="s">
        <v>109</v>
      </c>
      <c r="J4467" t="s">
        <v>145</v>
      </c>
      <c r="L4467">
        <v>0</v>
      </c>
      <c r="M4467" t="s">
        <v>125</v>
      </c>
      <c r="O4467" t="s">
        <v>125</v>
      </c>
      <c r="P4467" t="s">
        <v>125</v>
      </c>
      <c r="Q4467" t="s">
        <v>125</v>
      </c>
      <c r="R4467" t="s">
        <v>125</v>
      </c>
      <c r="S4467" t="s">
        <v>125</v>
      </c>
      <c r="T4467">
        <v>0</v>
      </c>
      <c r="V4467" t="s">
        <v>125</v>
      </c>
      <c r="AE4467" t="s">
        <v>125</v>
      </c>
      <c r="AF4467">
        <v>0</v>
      </c>
      <c r="AG4467" t="s">
        <v>125</v>
      </c>
      <c r="AH4467">
        <v>0</v>
      </c>
      <c r="AK4467">
        <v>0</v>
      </c>
    </row>
    <row r="4468" spans="1:37" x14ac:dyDescent="0.25">
      <c r="A4468" t="s">
        <v>79</v>
      </c>
      <c r="B4468">
        <v>17</v>
      </c>
      <c r="C4468">
        <v>3</v>
      </c>
      <c r="D4468">
        <v>2</v>
      </c>
      <c r="E4468">
        <v>6</v>
      </c>
      <c r="G4468">
        <v>1732</v>
      </c>
      <c r="H4468" t="s">
        <v>63</v>
      </c>
      <c r="I4468" t="s">
        <v>116</v>
      </c>
      <c r="J4468" t="s">
        <v>146</v>
      </c>
      <c r="L4468">
        <v>0</v>
      </c>
      <c r="M4468" t="s">
        <v>125</v>
      </c>
      <c r="O4468" t="s">
        <v>125</v>
      </c>
      <c r="P4468" t="s">
        <v>125</v>
      </c>
      <c r="Q4468" t="s">
        <v>125</v>
      </c>
      <c r="R4468" t="s">
        <v>125</v>
      </c>
      <c r="S4468" t="s">
        <v>125</v>
      </c>
      <c r="T4468">
        <v>0</v>
      </c>
      <c r="V4468" t="s">
        <v>125</v>
      </c>
      <c r="AE4468" t="s">
        <v>125</v>
      </c>
      <c r="AF4468">
        <v>0</v>
      </c>
      <c r="AG4468" t="s">
        <v>125</v>
      </c>
      <c r="AH4468">
        <v>0</v>
      </c>
      <c r="AK4468">
        <v>0</v>
      </c>
    </row>
    <row r="4469" spans="1:37" x14ac:dyDescent="0.25">
      <c r="A4469" t="s">
        <v>79</v>
      </c>
      <c r="B4469">
        <v>17</v>
      </c>
      <c r="C4469">
        <v>3</v>
      </c>
      <c r="D4469">
        <v>2</v>
      </c>
      <c r="E4469">
        <v>7</v>
      </c>
      <c r="G4469">
        <v>1732</v>
      </c>
      <c r="H4469" t="s">
        <v>63</v>
      </c>
      <c r="I4469" t="s">
        <v>123</v>
      </c>
      <c r="J4469" t="s">
        <v>147</v>
      </c>
      <c r="L4469">
        <v>0</v>
      </c>
      <c r="M4469" t="s">
        <v>125</v>
      </c>
      <c r="O4469" t="s">
        <v>125</v>
      </c>
      <c r="P4469" t="s">
        <v>125</v>
      </c>
      <c r="Q4469" t="s">
        <v>125</v>
      </c>
      <c r="R4469" t="s">
        <v>125</v>
      </c>
      <c r="S4469" t="s">
        <v>125</v>
      </c>
      <c r="T4469">
        <v>0</v>
      </c>
      <c r="V4469" t="s">
        <v>125</v>
      </c>
      <c r="AE4469" t="s">
        <v>125</v>
      </c>
      <c r="AF4469">
        <v>0</v>
      </c>
      <c r="AG4469" t="s">
        <v>125</v>
      </c>
      <c r="AH4469">
        <v>0</v>
      </c>
      <c r="AK4469">
        <v>0</v>
      </c>
    </row>
    <row r="4470" spans="1:37" x14ac:dyDescent="0.25">
      <c r="A4470" t="s">
        <v>79</v>
      </c>
      <c r="B4470">
        <v>17</v>
      </c>
      <c r="C4470">
        <v>3</v>
      </c>
      <c r="D4470">
        <v>2</v>
      </c>
      <c r="E4470">
        <v>8</v>
      </c>
      <c r="G4470">
        <v>1732</v>
      </c>
      <c r="H4470" t="s">
        <v>63</v>
      </c>
      <c r="I4470" t="s">
        <v>126</v>
      </c>
      <c r="J4470" t="s">
        <v>148</v>
      </c>
      <c r="L4470">
        <v>0</v>
      </c>
      <c r="M4470" t="s">
        <v>125</v>
      </c>
      <c r="O4470" t="s">
        <v>125</v>
      </c>
      <c r="P4470" t="s">
        <v>125</v>
      </c>
      <c r="Q4470" t="s">
        <v>125</v>
      </c>
      <c r="R4470" t="s">
        <v>125</v>
      </c>
      <c r="S4470" t="s">
        <v>125</v>
      </c>
      <c r="T4470">
        <v>0</v>
      </c>
      <c r="V4470" t="s">
        <v>125</v>
      </c>
      <c r="AE4470" t="s">
        <v>125</v>
      </c>
      <c r="AF4470">
        <v>0</v>
      </c>
      <c r="AG4470" t="s">
        <v>125</v>
      </c>
      <c r="AH4470">
        <v>0</v>
      </c>
      <c r="AK4470">
        <v>0</v>
      </c>
    </row>
    <row r="4471" spans="1:37" x14ac:dyDescent="0.25">
      <c r="A4471" t="s">
        <v>79</v>
      </c>
      <c r="B4471">
        <v>17</v>
      </c>
      <c r="C4471">
        <v>3</v>
      </c>
      <c r="D4471">
        <v>2</v>
      </c>
      <c r="E4471">
        <v>9</v>
      </c>
      <c r="G4471">
        <v>1732</v>
      </c>
      <c r="H4471" t="s">
        <v>63</v>
      </c>
      <c r="I4471" t="s">
        <v>74</v>
      </c>
      <c r="J4471" t="s">
        <v>149</v>
      </c>
      <c r="L4471">
        <v>0</v>
      </c>
      <c r="M4471" t="s">
        <v>125</v>
      </c>
      <c r="O4471" t="s">
        <v>125</v>
      </c>
      <c r="P4471" t="s">
        <v>125</v>
      </c>
      <c r="Q4471" t="s">
        <v>125</v>
      </c>
      <c r="R4471" t="s">
        <v>125</v>
      </c>
      <c r="S4471" t="s">
        <v>125</v>
      </c>
      <c r="T4471">
        <v>0</v>
      </c>
      <c r="V4471" t="s">
        <v>125</v>
      </c>
      <c r="AE4471" t="s">
        <v>125</v>
      </c>
      <c r="AF4471">
        <v>0</v>
      </c>
      <c r="AG4471" t="s">
        <v>125</v>
      </c>
      <c r="AH4471">
        <v>0</v>
      </c>
      <c r="AK4471">
        <v>0</v>
      </c>
    </row>
    <row r="4472" spans="1:37" x14ac:dyDescent="0.25">
      <c r="A4472" t="s">
        <v>79</v>
      </c>
      <c r="B4472">
        <v>17</v>
      </c>
      <c r="C4472">
        <v>3</v>
      </c>
      <c r="D4472">
        <v>2</v>
      </c>
      <c r="E4472">
        <v>10</v>
      </c>
      <c r="G4472">
        <v>1732</v>
      </c>
      <c r="H4472" t="s">
        <v>63</v>
      </c>
      <c r="I4472" t="s">
        <v>129</v>
      </c>
      <c r="J4472" t="s">
        <v>150</v>
      </c>
      <c r="L4472">
        <v>0</v>
      </c>
      <c r="M4472" t="s">
        <v>125</v>
      </c>
      <c r="O4472" t="s">
        <v>125</v>
      </c>
      <c r="P4472" t="s">
        <v>125</v>
      </c>
      <c r="Q4472" t="s">
        <v>125</v>
      </c>
      <c r="R4472" t="s">
        <v>125</v>
      </c>
      <c r="S4472" t="s">
        <v>125</v>
      </c>
      <c r="T4472">
        <v>0</v>
      </c>
      <c r="V4472" t="s">
        <v>125</v>
      </c>
      <c r="AE4472" t="s">
        <v>125</v>
      </c>
      <c r="AF4472">
        <v>0</v>
      </c>
      <c r="AG4472" t="s">
        <v>125</v>
      </c>
      <c r="AH4472">
        <v>0</v>
      </c>
      <c r="AK4472">
        <v>0</v>
      </c>
    </row>
    <row r="4473" spans="1:37" x14ac:dyDescent="0.25">
      <c r="A4473" t="s">
        <v>79</v>
      </c>
      <c r="B4473">
        <v>17</v>
      </c>
      <c r="C4473">
        <v>3</v>
      </c>
      <c r="D4473">
        <v>2</v>
      </c>
      <c r="E4473">
        <v>11</v>
      </c>
      <c r="G4473">
        <v>1732</v>
      </c>
      <c r="H4473" t="s">
        <v>63</v>
      </c>
      <c r="I4473" t="s">
        <v>131</v>
      </c>
      <c r="J4473" t="s">
        <v>151</v>
      </c>
      <c r="L4473">
        <v>0</v>
      </c>
      <c r="M4473" t="s">
        <v>125</v>
      </c>
      <c r="O4473" t="s">
        <v>125</v>
      </c>
      <c r="P4473" t="s">
        <v>125</v>
      </c>
      <c r="Q4473" t="s">
        <v>125</v>
      </c>
      <c r="R4473" t="s">
        <v>125</v>
      </c>
      <c r="S4473" t="s">
        <v>125</v>
      </c>
      <c r="T4473">
        <v>0</v>
      </c>
      <c r="V4473" t="s">
        <v>125</v>
      </c>
      <c r="AE4473" t="s">
        <v>125</v>
      </c>
      <c r="AF4473">
        <v>0</v>
      </c>
      <c r="AG4473" t="s">
        <v>125</v>
      </c>
      <c r="AH4473">
        <v>0</v>
      </c>
      <c r="AK4473">
        <v>0</v>
      </c>
    </row>
    <row r="4474" spans="1:37" x14ac:dyDescent="0.25">
      <c r="A4474" t="s">
        <v>79</v>
      </c>
      <c r="B4474">
        <v>17</v>
      </c>
      <c r="C4474">
        <v>3</v>
      </c>
      <c r="D4474">
        <v>2</v>
      </c>
      <c r="E4474">
        <v>12</v>
      </c>
      <c r="G4474">
        <v>1732</v>
      </c>
      <c r="H4474" t="s">
        <v>63</v>
      </c>
      <c r="I4474" t="s">
        <v>133</v>
      </c>
      <c r="J4474" t="s">
        <v>152</v>
      </c>
      <c r="L4474">
        <v>0</v>
      </c>
      <c r="M4474" t="s">
        <v>125</v>
      </c>
      <c r="O4474" t="s">
        <v>125</v>
      </c>
      <c r="P4474" t="s">
        <v>125</v>
      </c>
      <c r="Q4474" t="s">
        <v>125</v>
      </c>
      <c r="R4474" t="s">
        <v>125</v>
      </c>
      <c r="S4474" t="s">
        <v>125</v>
      </c>
      <c r="T4474">
        <v>0</v>
      </c>
      <c r="V4474" t="s">
        <v>125</v>
      </c>
      <c r="AE4474" t="s">
        <v>125</v>
      </c>
      <c r="AF4474">
        <v>0</v>
      </c>
      <c r="AG4474" t="s">
        <v>125</v>
      </c>
      <c r="AH4474">
        <v>0</v>
      </c>
      <c r="AK4474">
        <v>0</v>
      </c>
    </row>
    <row r="4475" spans="1:37" x14ac:dyDescent="0.25">
      <c r="A4475" t="s">
        <v>79</v>
      </c>
      <c r="B4475">
        <v>17</v>
      </c>
      <c r="C4475">
        <v>3</v>
      </c>
      <c r="D4475">
        <v>2</v>
      </c>
      <c r="E4475">
        <v>13</v>
      </c>
      <c r="G4475">
        <v>1732</v>
      </c>
      <c r="H4475" t="s">
        <v>63</v>
      </c>
      <c r="I4475" t="s">
        <v>135</v>
      </c>
      <c r="J4475" t="s">
        <v>153</v>
      </c>
      <c r="L4475">
        <v>0</v>
      </c>
      <c r="M4475" t="s">
        <v>125</v>
      </c>
      <c r="O4475" t="s">
        <v>125</v>
      </c>
      <c r="P4475" t="s">
        <v>125</v>
      </c>
      <c r="Q4475" t="s">
        <v>125</v>
      </c>
      <c r="R4475" t="s">
        <v>125</v>
      </c>
      <c r="S4475" t="s">
        <v>125</v>
      </c>
      <c r="T4475">
        <v>0</v>
      </c>
      <c r="V4475" t="s">
        <v>125</v>
      </c>
      <c r="AE4475" t="s">
        <v>125</v>
      </c>
      <c r="AF4475">
        <v>0</v>
      </c>
      <c r="AG4475" t="s">
        <v>125</v>
      </c>
      <c r="AH4475">
        <v>0</v>
      </c>
      <c r="AK4475">
        <v>0</v>
      </c>
    </row>
    <row r="4476" spans="1:37" x14ac:dyDescent="0.25">
      <c r="A4476" t="s">
        <v>79</v>
      </c>
      <c r="B4476">
        <v>17</v>
      </c>
      <c r="C4476">
        <v>3</v>
      </c>
      <c r="D4476">
        <v>2</v>
      </c>
      <c r="E4476">
        <v>14</v>
      </c>
      <c r="G4476">
        <v>1732</v>
      </c>
      <c r="H4476" t="s">
        <v>63</v>
      </c>
      <c r="I4476" t="s">
        <v>137</v>
      </c>
      <c r="J4476" t="s">
        <v>154</v>
      </c>
      <c r="L4476">
        <v>0</v>
      </c>
      <c r="M4476" t="s">
        <v>125</v>
      </c>
      <c r="O4476" t="s">
        <v>125</v>
      </c>
      <c r="P4476" t="s">
        <v>125</v>
      </c>
      <c r="Q4476" t="s">
        <v>125</v>
      </c>
      <c r="R4476" t="s">
        <v>125</v>
      </c>
      <c r="S4476" t="s">
        <v>125</v>
      </c>
      <c r="T4476">
        <v>0</v>
      </c>
      <c r="V4476" t="s">
        <v>125</v>
      </c>
      <c r="AE4476" t="s">
        <v>125</v>
      </c>
      <c r="AF4476">
        <v>0</v>
      </c>
      <c r="AG4476" t="s">
        <v>125</v>
      </c>
      <c r="AH4476">
        <v>0</v>
      </c>
      <c r="AK4476">
        <v>0</v>
      </c>
    </row>
    <row r="4477" spans="1:37" x14ac:dyDescent="0.25">
      <c r="A4477" t="s">
        <v>79</v>
      </c>
      <c r="B4477">
        <v>17</v>
      </c>
      <c r="C4477">
        <v>3</v>
      </c>
      <c r="D4477">
        <v>2</v>
      </c>
      <c r="E4477">
        <v>15</v>
      </c>
      <c r="G4477">
        <v>1732</v>
      </c>
      <c r="H4477" t="s">
        <v>63</v>
      </c>
      <c r="I4477" t="s">
        <v>139</v>
      </c>
      <c r="J4477" t="s">
        <v>155</v>
      </c>
      <c r="L4477">
        <v>0</v>
      </c>
      <c r="M4477" t="s">
        <v>125</v>
      </c>
      <c r="O4477" t="s">
        <v>125</v>
      </c>
      <c r="P4477" t="s">
        <v>125</v>
      </c>
      <c r="Q4477" t="s">
        <v>125</v>
      </c>
      <c r="R4477" t="s">
        <v>125</v>
      </c>
      <c r="S4477" t="s">
        <v>125</v>
      </c>
      <c r="T4477">
        <v>0</v>
      </c>
      <c r="V4477" t="s">
        <v>125</v>
      </c>
      <c r="AE4477" t="s">
        <v>125</v>
      </c>
      <c r="AF4477">
        <v>0</v>
      </c>
      <c r="AG4477" t="s">
        <v>125</v>
      </c>
      <c r="AH4477">
        <v>0</v>
      </c>
      <c r="AK4477">
        <v>0</v>
      </c>
    </row>
    <row r="4478" spans="1:37" x14ac:dyDescent="0.25">
      <c r="L4478">
        <v>0</v>
      </c>
    </row>
    <row r="4479" spans="1:37" x14ac:dyDescent="0.25">
      <c r="A4479" t="s">
        <v>70</v>
      </c>
      <c r="B4479">
        <v>17</v>
      </c>
      <c r="C4479">
        <v>3</v>
      </c>
      <c r="D4479">
        <v>3</v>
      </c>
      <c r="G4479">
        <v>173</v>
      </c>
      <c r="L4479">
        <v>0</v>
      </c>
      <c r="M4479" t="s">
        <v>125</v>
      </c>
      <c r="P4479" t="s">
        <v>125</v>
      </c>
      <c r="R4479" t="s">
        <v>125</v>
      </c>
      <c r="S4479" t="s">
        <v>63</v>
      </c>
      <c r="V4479" t="s">
        <v>125</v>
      </c>
      <c r="X4479" t="s">
        <v>125</v>
      </c>
      <c r="Y4479" t="s">
        <v>125</v>
      </c>
      <c r="Z4479" t="s">
        <v>125</v>
      </c>
      <c r="AA4479" t="s">
        <v>125</v>
      </c>
      <c r="AB4479" t="s">
        <v>125</v>
      </c>
      <c r="AC4479" t="s">
        <v>125</v>
      </c>
      <c r="AE4479" t="s">
        <v>125</v>
      </c>
      <c r="AF4479">
        <v>0</v>
      </c>
      <c r="AG4479" t="s">
        <v>125</v>
      </c>
      <c r="AH4479">
        <v>0</v>
      </c>
      <c r="AK4479">
        <v>0</v>
      </c>
    </row>
    <row r="4480" spans="1:37" x14ac:dyDescent="0.25">
      <c r="A4480" t="s">
        <v>79</v>
      </c>
      <c r="B4480">
        <v>17</v>
      </c>
      <c r="C4480">
        <v>3</v>
      </c>
      <c r="D4480">
        <v>3</v>
      </c>
      <c r="E4480">
        <v>1</v>
      </c>
      <c r="G4480">
        <v>1733</v>
      </c>
      <c r="H4480" t="s">
        <v>63</v>
      </c>
      <c r="I4480" t="s">
        <v>80</v>
      </c>
      <c r="J4480" t="s">
        <v>141</v>
      </c>
      <c r="L4480">
        <v>0</v>
      </c>
      <c r="M4480" t="s">
        <v>125</v>
      </c>
      <c r="O4480" t="s">
        <v>125</v>
      </c>
      <c r="P4480" t="s">
        <v>125</v>
      </c>
      <c r="Q4480" t="s">
        <v>125</v>
      </c>
      <c r="R4480" t="s">
        <v>125</v>
      </c>
      <c r="S4480" t="s">
        <v>125</v>
      </c>
      <c r="T4480">
        <v>0</v>
      </c>
      <c r="V4480" t="s">
        <v>125</v>
      </c>
      <c r="AE4480" t="s">
        <v>125</v>
      </c>
      <c r="AF4480">
        <v>0</v>
      </c>
      <c r="AG4480" t="s">
        <v>125</v>
      </c>
      <c r="AH4480">
        <v>0</v>
      </c>
      <c r="AK4480">
        <v>0</v>
      </c>
    </row>
    <row r="4481" spans="1:37" x14ac:dyDescent="0.25">
      <c r="A4481" t="s">
        <v>79</v>
      </c>
      <c r="B4481">
        <v>17</v>
      </c>
      <c r="C4481">
        <v>3</v>
      </c>
      <c r="D4481">
        <v>3</v>
      </c>
      <c r="E4481">
        <v>2</v>
      </c>
      <c r="G4481">
        <v>1733</v>
      </c>
      <c r="H4481" t="s">
        <v>63</v>
      </c>
      <c r="I4481" t="s">
        <v>88</v>
      </c>
      <c r="J4481" t="s">
        <v>142</v>
      </c>
      <c r="L4481">
        <v>0</v>
      </c>
      <c r="M4481" t="s">
        <v>125</v>
      </c>
      <c r="O4481" t="s">
        <v>125</v>
      </c>
      <c r="P4481" t="s">
        <v>125</v>
      </c>
      <c r="Q4481" t="s">
        <v>125</v>
      </c>
      <c r="R4481" t="s">
        <v>125</v>
      </c>
      <c r="S4481" t="s">
        <v>125</v>
      </c>
      <c r="T4481">
        <v>0</v>
      </c>
      <c r="V4481" t="s">
        <v>125</v>
      </c>
      <c r="AE4481" t="s">
        <v>125</v>
      </c>
      <c r="AF4481">
        <v>0</v>
      </c>
      <c r="AG4481" t="s">
        <v>125</v>
      </c>
      <c r="AH4481">
        <v>0</v>
      </c>
      <c r="AK4481">
        <v>0</v>
      </c>
    </row>
    <row r="4482" spans="1:37" x14ac:dyDescent="0.25">
      <c r="A4482" t="s">
        <v>79</v>
      </c>
      <c r="B4482">
        <v>17</v>
      </c>
      <c r="C4482">
        <v>3</v>
      </c>
      <c r="D4482">
        <v>3</v>
      </c>
      <c r="E4482">
        <v>3</v>
      </c>
      <c r="G4482">
        <v>1733</v>
      </c>
      <c r="H4482" t="s">
        <v>63</v>
      </c>
      <c r="I4482" t="s">
        <v>95</v>
      </c>
      <c r="J4482" t="s">
        <v>143</v>
      </c>
      <c r="L4482">
        <v>0</v>
      </c>
      <c r="M4482" t="s">
        <v>125</v>
      </c>
      <c r="O4482" t="s">
        <v>125</v>
      </c>
      <c r="P4482" t="s">
        <v>125</v>
      </c>
      <c r="Q4482" t="s">
        <v>125</v>
      </c>
      <c r="R4482" t="s">
        <v>125</v>
      </c>
      <c r="S4482" t="s">
        <v>125</v>
      </c>
      <c r="T4482">
        <v>0</v>
      </c>
      <c r="V4482" t="s">
        <v>125</v>
      </c>
      <c r="AE4482" t="s">
        <v>125</v>
      </c>
      <c r="AF4482">
        <v>0</v>
      </c>
      <c r="AG4482" t="s">
        <v>125</v>
      </c>
      <c r="AH4482">
        <v>0</v>
      </c>
      <c r="AK4482">
        <v>0</v>
      </c>
    </row>
    <row r="4483" spans="1:37" x14ac:dyDescent="0.25">
      <c r="A4483" t="s">
        <v>79</v>
      </c>
      <c r="B4483">
        <v>17</v>
      </c>
      <c r="C4483">
        <v>3</v>
      </c>
      <c r="D4483">
        <v>3</v>
      </c>
      <c r="E4483">
        <v>4</v>
      </c>
      <c r="G4483">
        <v>1733</v>
      </c>
      <c r="H4483" t="s">
        <v>63</v>
      </c>
      <c r="I4483" t="s">
        <v>102</v>
      </c>
      <c r="J4483" t="s">
        <v>144</v>
      </c>
      <c r="L4483">
        <v>0</v>
      </c>
      <c r="M4483" t="s">
        <v>125</v>
      </c>
      <c r="O4483" t="s">
        <v>125</v>
      </c>
      <c r="P4483" t="s">
        <v>125</v>
      </c>
      <c r="Q4483" t="s">
        <v>125</v>
      </c>
      <c r="R4483" t="s">
        <v>125</v>
      </c>
      <c r="S4483" t="s">
        <v>125</v>
      </c>
      <c r="T4483">
        <v>0</v>
      </c>
      <c r="V4483" t="s">
        <v>125</v>
      </c>
      <c r="AE4483" t="s">
        <v>125</v>
      </c>
      <c r="AF4483">
        <v>0</v>
      </c>
      <c r="AG4483" t="s">
        <v>125</v>
      </c>
      <c r="AH4483">
        <v>0</v>
      </c>
      <c r="AK4483">
        <v>0</v>
      </c>
    </row>
    <row r="4484" spans="1:37" x14ac:dyDescent="0.25">
      <c r="A4484" t="s">
        <v>79</v>
      </c>
      <c r="B4484">
        <v>17</v>
      </c>
      <c r="C4484">
        <v>3</v>
      </c>
      <c r="D4484">
        <v>3</v>
      </c>
      <c r="E4484">
        <v>5</v>
      </c>
      <c r="G4484">
        <v>1733</v>
      </c>
      <c r="H4484" t="s">
        <v>63</v>
      </c>
      <c r="I4484" t="s">
        <v>109</v>
      </c>
      <c r="J4484" t="s">
        <v>145</v>
      </c>
      <c r="L4484">
        <v>0</v>
      </c>
      <c r="M4484" t="s">
        <v>125</v>
      </c>
      <c r="O4484" t="s">
        <v>125</v>
      </c>
      <c r="P4484" t="s">
        <v>125</v>
      </c>
      <c r="Q4484" t="s">
        <v>125</v>
      </c>
      <c r="R4484" t="s">
        <v>125</v>
      </c>
      <c r="S4484" t="s">
        <v>125</v>
      </c>
      <c r="T4484">
        <v>0</v>
      </c>
      <c r="V4484" t="s">
        <v>125</v>
      </c>
      <c r="AE4484" t="s">
        <v>125</v>
      </c>
      <c r="AF4484">
        <v>0</v>
      </c>
      <c r="AG4484" t="s">
        <v>125</v>
      </c>
      <c r="AH4484">
        <v>0</v>
      </c>
      <c r="AK4484">
        <v>0</v>
      </c>
    </row>
    <row r="4485" spans="1:37" x14ac:dyDescent="0.25">
      <c r="A4485" t="s">
        <v>79</v>
      </c>
      <c r="B4485">
        <v>17</v>
      </c>
      <c r="C4485">
        <v>3</v>
      </c>
      <c r="D4485">
        <v>3</v>
      </c>
      <c r="E4485">
        <v>6</v>
      </c>
      <c r="G4485">
        <v>1733</v>
      </c>
      <c r="H4485" t="s">
        <v>63</v>
      </c>
      <c r="I4485" t="s">
        <v>116</v>
      </c>
      <c r="J4485" t="s">
        <v>146</v>
      </c>
      <c r="L4485">
        <v>0</v>
      </c>
      <c r="M4485" t="s">
        <v>125</v>
      </c>
      <c r="O4485" t="s">
        <v>125</v>
      </c>
      <c r="P4485" t="s">
        <v>125</v>
      </c>
      <c r="Q4485" t="s">
        <v>125</v>
      </c>
      <c r="R4485" t="s">
        <v>125</v>
      </c>
      <c r="S4485" t="s">
        <v>125</v>
      </c>
      <c r="T4485">
        <v>0</v>
      </c>
      <c r="V4485" t="s">
        <v>125</v>
      </c>
      <c r="AE4485" t="s">
        <v>125</v>
      </c>
      <c r="AF4485">
        <v>0</v>
      </c>
      <c r="AG4485" t="s">
        <v>125</v>
      </c>
      <c r="AH4485">
        <v>0</v>
      </c>
      <c r="AK4485">
        <v>0</v>
      </c>
    </row>
    <row r="4486" spans="1:37" x14ac:dyDescent="0.25">
      <c r="A4486" t="s">
        <v>79</v>
      </c>
      <c r="B4486">
        <v>17</v>
      </c>
      <c r="C4486">
        <v>3</v>
      </c>
      <c r="D4486">
        <v>3</v>
      </c>
      <c r="E4486">
        <v>7</v>
      </c>
      <c r="G4486">
        <v>1733</v>
      </c>
      <c r="H4486" t="s">
        <v>63</v>
      </c>
      <c r="I4486" t="s">
        <v>123</v>
      </c>
      <c r="J4486" t="s">
        <v>147</v>
      </c>
      <c r="L4486">
        <v>0</v>
      </c>
      <c r="M4486" t="s">
        <v>125</v>
      </c>
      <c r="O4486" t="s">
        <v>125</v>
      </c>
      <c r="P4486" t="s">
        <v>125</v>
      </c>
      <c r="Q4486" t="s">
        <v>125</v>
      </c>
      <c r="R4486" t="s">
        <v>125</v>
      </c>
      <c r="S4486" t="s">
        <v>125</v>
      </c>
      <c r="T4486">
        <v>0</v>
      </c>
      <c r="V4486" t="s">
        <v>125</v>
      </c>
      <c r="AE4486" t="s">
        <v>125</v>
      </c>
      <c r="AF4486">
        <v>0</v>
      </c>
      <c r="AG4486" t="s">
        <v>125</v>
      </c>
      <c r="AH4486">
        <v>0</v>
      </c>
      <c r="AK4486">
        <v>0</v>
      </c>
    </row>
    <row r="4487" spans="1:37" x14ac:dyDescent="0.25">
      <c r="A4487" t="s">
        <v>79</v>
      </c>
      <c r="B4487">
        <v>17</v>
      </c>
      <c r="C4487">
        <v>3</v>
      </c>
      <c r="D4487">
        <v>3</v>
      </c>
      <c r="E4487">
        <v>8</v>
      </c>
      <c r="G4487">
        <v>1733</v>
      </c>
      <c r="H4487" t="s">
        <v>63</v>
      </c>
      <c r="I4487" t="s">
        <v>126</v>
      </c>
      <c r="J4487" t="s">
        <v>148</v>
      </c>
      <c r="L4487">
        <v>0</v>
      </c>
      <c r="M4487" t="s">
        <v>125</v>
      </c>
      <c r="O4487" t="s">
        <v>125</v>
      </c>
      <c r="P4487" t="s">
        <v>125</v>
      </c>
      <c r="Q4487" t="s">
        <v>125</v>
      </c>
      <c r="R4487" t="s">
        <v>125</v>
      </c>
      <c r="S4487" t="s">
        <v>125</v>
      </c>
      <c r="T4487">
        <v>0</v>
      </c>
      <c r="V4487" t="s">
        <v>125</v>
      </c>
      <c r="AE4487" t="s">
        <v>125</v>
      </c>
      <c r="AF4487">
        <v>0</v>
      </c>
      <c r="AG4487" t="s">
        <v>125</v>
      </c>
      <c r="AH4487">
        <v>0</v>
      </c>
      <c r="AK4487">
        <v>0</v>
      </c>
    </row>
    <row r="4488" spans="1:37" x14ac:dyDescent="0.25">
      <c r="A4488" t="s">
        <v>79</v>
      </c>
      <c r="B4488">
        <v>17</v>
      </c>
      <c r="C4488">
        <v>3</v>
      </c>
      <c r="D4488">
        <v>3</v>
      </c>
      <c r="E4488">
        <v>9</v>
      </c>
      <c r="G4488">
        <v>1733</v>
      </c>
      <c r="H4488" t="s">
        <v>63</v>
      </c>
      <c r="I4488" t="s">
        <v>74</v>
      </c>
      <c r="J4488" t="s">
        <v>149</v>
      </c>
      <c r="L4488">
        <v>0</v>
      </c>
      <c r="M4488" t="s">
        <v>125</v>
      </c>
      <c r="O4488" t="s">
        <v>125</v>
      </c>
      <c r="P4488" t="s">
        <v>125</v>
      </c>
      <c r="Q4488" t="s">
        <v>125</v>
      </c>
      <c r="R4488" t="s">
        <v>125</v>
      </c>
      <c r="S4488" t="s">
        <v>125</v>
      </c>
      <c r="T4488">
        <v>0</v>
      </c>
      <c r="V4488" t="s">
        <v>125</v>
      </c>
      <c r="AE4488" t="s">
        <v>125</v>
      </c>
      <c r="AF4488">
        <v>0</v>
      </c>
      <c r="AG4488" t="s">
        <v>125</v>
      </c>
      <c r="AH4488">
        <v>0</v>
      </c>
      <c r="AK4488">
        <v>0</v>
      </c>
    </row>
    <row r="4489" spans="1:37" x14ac:dyDescent="0.25">
      <c r="A4489" t="s">
        <v>79</v>
      </c>
      <c r="B4489">
        <v>17</v>
      </c>
      <c r="C4489">
        <v>3</v>
      </c>
      <c r="D4489">
        <v>3</v>
      </c>
      <c r="E4489">
        <v>10</v>
      </c>
      <c r="G4489">
        <v>1733</v>
      </c>
      <c r="H4489" t="s">
        <v>63</v>
      </c>
      <c r="I4489" t="s">
        <v>129</v>
      </c>
      <c r="J4489" t="s">
        <v>150</v>
      </c>
      <c r="L4489">
        <v>0</v>
      </c>
      <c r="M4489" t="s">
        <v>125</v>
      </c>
      <c r="O4489" t="s">
        <v>125</v>
      </c>
      <c r="P4489" t="s">
        <v>125</v>
      </c>
      <c r="Q4489" t="s">
        <v>125</v>
      </c>
      <c r="R4489" t="s">
        <v>125</v>
      </c>
      <c r="S4489" t="s">
        <v>125</v>
      </c>
      <c r="T4489">
        <v>0</v>
      </c>
      <c r="V4489" t="s">
        <v>125</v>
      </c>
      <c r="AE4489" t="s">
        <v>125</v>
      </c>
      <c r="AF4489">
        <v>0</v>
      </c>
      <c r="AG4489" t="s">
        <v>125</v>
      </c>
      <c r="AH4489">
        <v>0</v>
      </c>
      <c r="AK4489">
        <v>0</v>
      </c>
    </row>
    <row r="4490" spans="1:37" x14ac:dyDescent="0.25">
      <c r="A4490" t="s">
        <v>79</v>
      </c>
      <c r="B4490">
        <v>17</v>
      </c>
      <c r="C4490">
        <v>3</v>
      </c>
      <c r="D4490">
        <v>3</v>
      </c>
      <c r="E4490">
        <v>11</v>
      </c>
      <c r="G4490">
        <v>1733</v>
      </c>
      <c r="H4490" t="s">
        <v>63</v>
      </c>
      <c r="I4490" t="s">
        <v>131</v>
      </c>
      <c r="J4490" t="s">
        <v>151</v>
      </c>
      <c r="L4490">
        <v>0</v>
      </c>
      <c r="M4490" t="s">
        <v>125</v>
      </c>
      <c r="O4490" t="s">
        <v>125</v>
      </c>
      <c r="P4490" t="s">
        <v>125</v>
      </c>
      <c r="Q4490" t="s">
        <v>125</v>
      </c>
      <c r="R4490" t="s">
        <v>125</v>
      </c>
      <c r="S4490" t="s">
        <v>125</v>
      </c>
      <c r="T4490">
        <v>0</v>
      </c>
      <c r="V4490" t="s">
        <v>125</v>
      </c>
      <c r="AE4490" t="s">
        <v>125</v>
      </c>
      <c r="AF4490">
        <v>0</v>
      </c>
      <c r="AG4490" t="s">
        <v>125</v>
      </c>
      <c r="AH4490">
        <v>0</v>
      </c>
      <c r="AK4490">
        <v>0</v>
      </c>
    </row>
    <row r="4491" spans="1:37" x14ac:dyDescent="0.25">
      <c r="A4491" t="s">
        <v>79</v>
      </c>
      <c r="B4491">
        <v>17</v>
      </c>
      <c r="C4491">
        <v>3</v>
      </c>
      <c r="D4491">
        <v>3</v>
      </c>
      <c r="E4491">
        <v>12</v>
      </c>
      <c r="G4491">
        <v>1733</v>
      </c>
      <c r="H4491" t="s">
        <v>63</v>
      </c>
      <c r="I4491" t="s">
        <v>133</v>
      </c>
      <c r="J4491" t="s">
        <v>152</v>
      </c>
      <c r="L4491">
        <v>0</v>
      </c>
      <c r="M4491" t="s">
        <v>125</v>
      </c>
      <c r="O4491" t="s">
        <v>125</v>
      </c>
      <c r="P4491" t="s">
        <v>125</v>
      </c>
      <c r="Q4491" t="s">
        <v>125</v>
      </c>
      <c r="R4491" t="s">
        <v>125</v>
      </c>
      <c r="S4491" t="s">
        <v>125</v>
      </c>
      <c r="T4491">
        <v>0</v>
      </c>
      <c r="V4491" t="s">
        <v>125</v>
      </c>
      <c r="AE4491" t="s">
        <v>125</v>
      </c>
      <c r="AF4491">
        <v>0</v>
      </c>
      <c r="AG4491" t="s">
        <v>125</v>
      </c>
      <c r="AH4491">
        <v>0</v>
      </c>
      <c r="AK4491">
        <v>0</v>
      </c>
    </row>
    <row r="4492" spans="1:37" x14ac:dyDescent="0.25">
      <c r="A4492" t="s">
        <v>79</v>
      </c>
      <c r="B4492">
        <v>17</v>
      </c>
      <c r="C4492">
        <v>3</v>
      </c>
      <c r="D4492">
        <v>3</v>
      </c>
      <c r="E4492">
        <v>13</v>
      </c>
      <c r="G4492">
        <v>1733</v>
      </c>
      <c r="H4492" t="s">
        <v>63</v>
      </c>
      <c r="I4492" t="s">
        <v>135</v>
      </c>
      <c r="J4492" t="s">
        <v>153</v>
      </c>
      <c r="L4492">
        <v>0</v>
      </c>
      <c r="M4492" t="s">
        <v>125</v>
      </c>
      <c r="O4492" t="s">
        <v>125</v>
      </c>
      <c r="P4492" t="s">
        <v>125</v>
      </c>
      <c r="Q4492" t="s">
        <v>125</v>
      </c>
      <c r="R4492" t="s">
        <v>125</v>
      </c>
      <c r="S4492" t="s">
        <v>125</v>
      </c>
      <c r="T4492">
        <v>0</v>
      </c>
      <c r="V4492" t="s">
        <v>125</v>
      </c>
      <c r="AE4492" t="s">
        <v>125</v>
      </c>
      <c r="AF4492">
        <v>0</v>
      </c>
      <c r="AG4492" t="s">
        <v>125</v>
      </c>
      <c r="AH4492">
        <v>0</v>
      </c>
      <c r="AK4492">
        <v>0</v>
      </c>
    </row>
    <row r="4493" spans="1:37" x14ac:dyDescent="0.25">
      <c r="A4493" t="s">
        <v>79</v>
      </c>
      <c r="B4493">
        <v>17</v>
      </c>
      <c r="C4493">
        <v>3</v>
      </c>
      <c r="D4493">
        <v>3</v>
      </c>
      <c r="E4493">
        <v>14</v>
      </c>
      <c r="G4493">
        <v>1733</v>
      </c>
      <c r="H4493" t="s">
        <v>63</v>
      </c>
      <c r="I4493" t="s">
        <v>137</v>
      </c>
      <c r="J4493" t="s">
        <v>154</v>
      </c>
      <c r="L4493">
        <v>0</v>
      </c>
      <c r="M4493" t="s">
        <v>125</v>
      </c>
      <c r="O4493" t="s">
        <v>125</v>
      </c>
      <c r="P4493" t="s">
        <v>125</v>
      </c>
      <c r="Q4493" t="s">
        <v>125</v>
      </c>
      <c r="R4493" t="s">
        <v>125</v>
      </c>
      <c r="S4493" t="s">
        <v>125</v>
      </c>
      <c r="T4493">
        <v>0</v>
      </c>
      <c r="V4493" t="s">
        <v>125</v>
      </c>
      <c r="AE4493" t="s">
        <v>125</v>
      </c>
      <c r="AF4493">
        <v>0</v>
      </c>
      <c r="AG4493" t="s">
        <v>125</v>
      </c>
      <c r="AH4493">
        <v>0</v>
      </c>
      <c r="AK4493">
        <v>0</v>
      </c>
    </row>
    <row r="4494" spans="1:37" x14ac:dyDescent="0.25">
      <c r="A4494" t="s">
        <v>79</v>
      </c>
      <c r="B4494">
        <v>17</v>
      </c>
      <c r="C4494">
        <v>3</v>
      </c>
      <c r="D4494">
        <v>3</v>
      </c>
      <c r="E4494">
        <v>15</v>
      </c>
      <c r="G4494">
        <v>1733</v>
      </c>
      <c r="H4494" t="s">
        <v>63</v>
      </c>
      <c r="I4494" t="s">
        <v>139</v>
      </c>
      <c r="J4494" t="s">
        <v>155</v>
      </c>
      <c r="L4494">
        <v>0</v>
      </c>
      <c r="M4494" t="s">
        <v>125</v>
      </c>
      <c r="O4494" t="s">
        <v>125</v>
      </c>
      <c r="P4494" t="s">
        <v>125</v>
      </c>
      <c r="Q4494" t="s">
        <v>125</v>
      </c>
      <c r="R4494" t="s">
        <v>125</v>
      </c>
      <c r="S4494" t="s">
        <v>125</v>
      </c>
      <c r="T4494">
        <v>0</v>
      </c>
      <c r="V4494" t="s">
        <v>125</v>
      </c>
      <c r="AE4494" t="s">
        <v>125</v>
      </c>
      <c r="AF4494">
        <v>0</v>
      </c>
      <c r="AG4494" t="s">
        <v>125</v>
      </c>
      <c r="AH4494">
        <v>0</v>
      </c>
      <c r="AK4494">
        <v>0</v>
      </c>
    </row>
    <row r="4495" spans="1:37" x14ac:dyDescent="0.25">
      <c r="L4495">
        <v>0</v>
      </c>
    </row>
    <row r="4496" spans="1:37" x14ac:dyDescent="0.25">
      <c r="A4496" t="s">
        <v>70</v>
      </c>
      <c r="B4496">
        <v>17</v>
      </c>
      <c r="C4496">
        <v>3</v>
      </c>
      <c r="D4496">
        <v>4</v>
      </c>
      <c r="G4496">
        <v>173</v>
      </c>
      <c r="L4496">
        <v>0</v>
      </c>
      <c r="M4496" t="s">
        <v>125</v>
      </c>
      <c r="P4496" t="s">
        <v>125</v>
      </c>
      <c r="R4496" t="s">
        <v>125</v>
      </c>
      <c r="S4496" t="s">
        <v>63</v>
      </c>
      <c r="V4496" t="s">
        <v>125</v>
      </c>
      <c r="X4496" t="s">
        <v>125</v>
      </c>
      <c r="Y4496" t="s">
        <v>125</v>
      </c>
      <c r="Z4496" t="s">
        <v>125</v>
      </c>
      <c r="AA4496" t="s">
        <v>125</v>
      </c>
      <c r="AB4496" t="s">
        <v>125</v>
      </c>
      <c r="AC4496" t="s">
        <v>125</v>
      </c>
      <c r="AE4496" t="s">
        <v>125</v>
      </c>
      <c r="AF4496">
        <v>0</v>
      </c>
      <c r="AG4496" t="s">
        <v>125</v>
      </c>
      <c r="AH4496">
        <v>0</v>
      </c>
      <c r="AK4496">
        <v>0</v>
      </c>
    </row>
    <row r="4497" spans="1:37" x14ac:dyDescent="0.25">
      <c r="A4497" t="s">
        <v>79</v>
      </c>
      <c r="B4497">
        <v>17</v>
      </c>
      <c r="C4497">
        <v>3</v>
      </c>
      <c r="D4497">
        <v>4</v>
      </c>
      <c r="E4497">
        <v>1</v>
      </c>
      <c r="G4497">
        <v>1734</v>
      </c>
      <c r="H4497" t="s">
        <v>63</v>
      </c>
      <c r="I4497" t="s">
        <v>80</v>
      </c>
      <c r="J4497" t="s">
        <v>141</v>
      </c>
      <c r="L4497">
        <v>0</v>
      </c>
      <c r="M4497" t="s">
        <v>125</v>
      </c>
      <c r="O4497" t="s">
        <v>125</v>
      </c>
      <c r="P4497" t="s">
        <v>125</v>
      </c>
      <c r="Q4497" t="s">
        <v>125</v>
      </c>
      <c r="R4497" t="s">
        <v>125</v>
      </c>
      <c r="S4497" t="s">
        <v>125</v>
      </c>
      <c r="T4497">
        <v>0</v>
      </c>
      <c r="V4497" t="s">
        <v>125</v>
      </c>
      <c r="AE4497" t="s">
        <v>125</v>
      </c>
      <c r="AF4497">
        <v>0</v>
      </c>
      <c r="AG4497" t="s">
        <v>125</v>
      </c>
      <c r="AH4497">
        <v>0</v>
      </c>
      <c r="AK4497">
        <v>0</v>
      </c>
    </row>
    <row r="4498" spans="1:37" x14ac:dyDescent="0.25">
      <c r="A4498" t="s">
        <v>79</v>
      </c>
      <c r="B4498">
        <v>17</v>
      </c>
      <c r="C4498">
        <v>3</v>
      </c>
      <c r="D4498">
        <v>4</v>
      </c>
      <c r="E4498">
        <v>2</v>
      </c>
      <c r="G4498">
        <v>1734</v>
      </c>
      <c r="H4498" t="s">
        <v>63</v>
      </c>
      <c r="I4498" t="s">
        <v>88</v>
      </c>
      <c r="J4498" t="s">
        <v>142</v>
      </c>
      <c r="L4498">
        <v>0</v>
      </c>
      <c r="M4498" t="s">
        <v>125</v>
      </c>
      <c r="O4498" t="s">
        <v>125</v>
      </c>
      <c r="P4498" t="s">
        <v>125</v>
      </c>
      <c r="Q4498" t="s">
        <v>125</v>
      </c>
      <c r="R4498" t="s">
        <v>125</v>
      </c>
      <c r="S4498" t="s">
        <v>125</v>
      </c>
      <c r="T4498">
        <v>0</v>
      </c>
      <c r="V4498" t="s">
        <v>125</v>
      </c>
      <c r="AE4498" t="s">
        <v>125</v>
      </c>
      <c r="AF4498">
        <v>0</v>
      </c>
      <c r="AG4498" t="s">
        <v>125</v>
      </c>
      <c r="AH4498">
        <v>0</v>
      </c>
      <c r="AK4498">
        <v>0</v>
      </c>
    </row>
    <row r="4499" spans="1:37" x14ac:dyDescent="0.25">
      <c r="A4499" t="s">
        <v>79</v>
      </c>
      <c r="B4499">
        <v>17</v>
      </c>
      <c r="C4499">
        <v>3</v>
      </c>
      <c r="D4499">
        <v>4</v>
      </c>
      <c r="E4499">
        <v>3</v>
      </c>
      <c r="G4499">
        <v>1734</v>
      </c>
      <c r="H4499" t="s">
        <v>63</v>
      </c>
      <c r="I4499" t="s">
        <v>95</v>
      </c>
      <c r="J4499" t="s">
        <v>143</v>
      </c>
      <c r="L4499">
        <v>0</v>
      </c>
      <c r="M4499" t="s">
        <v>125</v>
      </c>
      <c r="O4499" t="s">
        <v>125</v>
      </c>
      <c r="P4499" t="s">
        <v>125</v>
      </c>
      <c r="Q4499" t="s">
        <v>125</v>
      </c>
      <c r="R4499" t="s">
        <v>125</v>
      </c>
      <c r="S4499" t="s">
        <v>125</v>
      </c>
      <c r="T4499">
        <v>0</v>
      </c>
      <c r="V4499" t="s">
        <v>125</v>
      </c>
      <c r="AE4499" t="s">
        <v>125</v>
      </c>
      <c r="AF4499">
        <v>0</v>
      </c>
      <c r="AG4499" t="s">
        <v>125</v>
      </c>
      <c r="AH4499">
        <v>0</v>
      </c>
      <c r="AK4499">
        <v>0</v>
      </c>
    </row>
    <row r="4500" spans="1:37" x14ac:dyDescent="0.25">
      <c r="A4500" t="s">
        <v>79</v>
      </c>
      <c r="B4500">
        <v>17</v>
      </c>
      <c r="C4500">
        <v>3</v>
      </c>
      <c r="D4500">
        <v>4</v>
      </c>
      <c r="E4500">
        <v>4</v>
      </c>
      <c r="G4500">
        <v>1734</v>
      </c>
      <c r="H4500" t="s">
        <v>63</v>
      </c>
      <c r="I4500" t="s">
        <v>102</v>
      </c>
      <c r="J4500" t="s">
        <v>144</v>
      </c>
      <c r="L4500">
        <v>0</v>
      </c>
      <c r="M4500" t="s">
        <v>125</v>
      </c>
      <c r="O4500" t="s">
        <v>125</v>
      </c>
      <c r="P4500" t="s">
        <v>125</v>
      </c>
      <c r="Q4500" t="s">
        <v>125</v>
      </c>
      <c r="R4500" t="s">
        <v>125</v>
      </c>
      <c r="S4500" t="s">
        <v>125</v>
      </c>
      <c r="T4500">
        <v>0</v>
      </c>
      <c r="V4500" t="s">
        <v>125</v>
      </c>
      <c r="AE4500" t="s">
        <v>125</v>
      </c>
      <c r="AF4500">
        <v>0</v>
      </c>
      <c r="AG4500" t="s">
        <v>125</v>
      </c>
      <c r="AH4500">
        <v>0</v>
      </c>
      <c r="AK4500">
        <v>0</v>
      </c>
    </row>
    <row r="4501" spans="1:37" x14ac:dyDescent="0.25">
      <c r="A4501" t="s">
        <v>79</v>
      </c>
      <c r="B4501">
        <v>17</v>
      </c>
      <c r="C4501">
        <v>3</v>
      </c>
      <c r="D4501">
        <v>4</v>
      </c>
      <c r="E4501">
        <v>5</v>
      </c>
      <c r="G4501">
        <v>1734</v>
      </c>
      <c r="H4501" t="s">
        <v>63</v>
      </c>
      <c r="I4501" t="s">
        <v>109</v>
      </c>
      <c r="J4501" t="s">
        <v>145</v>
      </c>
      <c r="L4501">
        <v>0</v>
      </c>
      <c r="M4501" t="s">
        <v>125</v>
      </c>
      <c r="O4501" t="s">
        <v>125</v>
      </c>
      <c r="P4501" t="s">
        <v>125</v>
      </c>
      <c r="Q4501" t="s">
        <v>125</v>
      </c>
      <c r="R4501" t="s">
        <v>125</v>
      </c>
      <c r="S4501" t="s">
        <v>125</v>
      </c>
      <c r="T4501">
        <v>0</v>
      </c>
      <c r="V4501" t="s">
        <v>125</v>
      </c>
      <c r="AE4501" t="s">
        <v>125</v>
      </c>
      <c r="AF4501">
        <v>0</v>
      </c>
      <c r="AG4501" t="s">
        <v>125</v>
      </c>
      <c r="AH4501">
        <v>0</v>
      </c>
      <c r="AK4501">
        <v>0</v>
      </c>
    </row>
    <row r="4502" spans="1:37" x14ac:dyDescent="0.25">
      <c r="A4502" t="s">
        <v>79</v>
      </c>
      <c r="B4502">
        <v>17</v>
      </c>
      <c r="C4502">
        <v>3</v>
      </c>
      <c r="D4502">
        <v>4</v>
      </c>
      <c r="E4502">
        <v>6</v>
      </c>
      <c r="G4502">
        <v>1734</v>
      </c>
      <c r="H4502" t="s">
        <v>63</v>
      </c>
      <c r="I4502" t="s">
        <v>116</v>
      </c>
      <c r="J4502" t="s">
        <v>146</v>
      </c>
      <c r="L4502">
        <v>0</v>
      </c>
      <c r="M4502" t="s">
        <v>125</v>
      </c>
      <c r="O4502" t="s">
        <v>125</v>
      </c>
      <c r="P4502" t="s">
        <v>125</v>
      </c>
      <c r="Q4502" t="s">
        <v>125</v>
      </c>
      <c r="R4502" t="s">
        <v>125</v>
      </c>
      <c r="S4502" t="s">
        <v>125</v>
      </c>
      <c r="T4502">
        <v>0</v>
      </c>
      <c r="V4502" t="s">
        <v>125</v>
      </c>
      <c r="AE4502" t="s">
        <v>125</v>
      </c>
      <c r="AF4502">
        <v>0</v>
      </c>
      <c r="AG4502" t="s">
        <v>125</v>
      </c>
      <c r="AH4502">
        <v>0</v>
      </c>
      <c r="AK4502">
        <v>0</v>
      </c>
    </row>
    <row r="4503" spans="1:37" x14ac:dyDescent="0.25">
      <c r="A4503" t="s">
        <v>79</v>
      </c>
      <c r="B4503">
        <v>17</v>
      </c>
      <c r="C4503">
        <v>3</v>
      </c>
      <c r="D4503">
        <v>4</v>
      </c>
      <c r="E4503">
        <v>7</v>
      </c>
      <c r="G4503">
        <v>1734</v>
      </c>
      <c r="H4503" t="s">
        <v>63</v>
      </c>
      <c r="I4503" t="s">
        <v>123</v>
      </c>
      <c r="J4503" t="s">
        <v>147</v>
      </c>
      <c r="L4503">
        <v>0</v>
      </c>
      <c r="M4503" t="s">
        <v>125</v>
      </c>
      <c r="O4503" t="s">
        <v>125</v>
      </c>
      <c r="P4503" t="s">
        <v>125</v>
      </c>
      <c r="Q4503" t="s">
        <v>125</v>
      </c>
      <c r="R4503" t="s">
        <v>125</v>
      </c>
      <c r="S4503" t="s">
        <v>125</v>
      </c>
      <c r="T4503">
        <v>0</v>
      </c>
      <c r="V4503" t="s">
        <v>125</v>
      </c>
      <c r="AE4503" t="s">
        <v>125</v>
      </c>
      <c r="AF4503">
        <v>0</v>
      </c>
      <c r="AG4503" t="s">
        <v>125</v>
      </c>
      <c r="AH4503">
        <v>0</v>
      </c>
      <c r="AK4503">
        <v>0</v>
      </c>
    </row>
    <row r="4504" spans="1:37" x14ac:dyDescent="0.25">
      <c r="A4504" t="s">
        <v>79</v>
      </c>
      <c r="B4504">
        <v>17</v>
      </c>
      <c r="C4504">
        <v>3</v>
      </c>
      <c r="D4504">
        <v>4</v>
      </c>
      <c r="E4504">
        <v>8</v>
      </c>
      <c r="G4504">
        <v>1734</v>
      </c>
      <c r="H4504" t="s">
        <v>63</v>
      </c>
      <c r="I4504" t="s">
        <v>126</v>
      </c>
      <c r="J4504" t="s">
        <v>148</v>
      </c>
      <c r="L4504">
        <v>0</v>
      </c>
      <c r="M4504" t="s">
        <v>125</v>
      </c>
      <c r="O4504" t="s">
        <v>125</v>
      </c>
      <c r="P4504" t="s">
        <v>125</v>
      </c>
      <c r="Q4504" t="s">
        <v>125</v>
      </c>
      <c r="R4504" t="s">
        <v>125</v>
      </c>
      <c r="S4504" t="s">
        <v>125</v>
      </c>
      <c r="T4504">
        <v>0</v>
      </c>
      <c r="V4504" t="s">
        <v>125</v>
      </c>
      <c r="AE4504" t="s">
        <v>125</v>
      </c>
      <c r="AF4504">
        <v>0</v>
      </c>
      <c r="AG4504" t="s">
        <v>125</v>
      </c>
      <c r="AH4504">
        <v>0</v>
      </c>
      <c r="AK4504">
        <v>0</v>
      </c>
    </row>
    <row r="4505" spans="1:37" x14ac:dyDescent="0.25">
      <c r="A4505" t="s">
        <v>79</v>
      </c>
      <c r="B4505">
        <v>17</v>
      </c>
      <c r="C4505">
        <v>3</v>
      </c>
      <c r="D4505">
        <v>4</v>
      </c>
      <c r="E4505">
        <v>9</v>
      </c>
      <c r="G4505">
        <v>1734</v>
      </c>
      <c r="H4505" t="s">
        <v>63</v>
      </c>
      <c r="I4505" t="s">
        <v>74</v>
      </c>
      <c r="J4505" t="s">
        <v>149</v>
      </c>
      <c r="L4505">
        <v>0</v>
      </c>
      <c r="M4505" t="s">
        <v>125</v>
      </c>
      <c r="O4505" t="s">
        <v>125</v>
      </c>
      <c r="P4505" t="s">
        <v>125</v>
      </c>
      <c r="Q4505" t="s">
        <v>125</v>
      </c>
      <c r="R4505" t="s">
        <v>125</v>
      </c>
      <c r="S4505" t="s">
        <v>125</v>
      </c>
      <c r="T4505">
        <v>0</v>
      </c>
      <c r="V4505" t="s">
        <v>125</v>
      </c>
      <c r="AE4505" t="s">
        <v>125</v>
      </c>
      <c r="AF4505">
        <v>0</v>
      </c>
      <c r="AG4505" t="s">
        <v>125</v>
      </c>
      <c r="AH4505">
        <v>0</v>
      </c>
      <c r="AK4505">
        <v>0</v>
      </c>
    </row>
    <row r="4506" spans="1:37" x14ac:dyDescent="0.25">
      <c r="A4506" t="s">
        <v>79</v>
      </c>
      <c r="B4506">
        <v>17</v>
      </c>
      <c r="C4506">
        <v>3</v>
      </c>
      <c r="D4506">
        <v>4</v>
      </c>
      <c r="E4506">
        <v>10</v>
      </c>
      <c r="G4506">
        <v>1734</v>
      </c>
      <c r="H4506" t="s">
        <v>63</v>
      </c>
      <c r="I4506" t="s">
        <v>129</v>
      </c>
      <c r="J4506" t="s">
        <v>150</v>
      </c>
      <c r="L4506">
        <v>0</v>
      </c>
      <c r="M4506" t="s">
        <v>125</v>
      </c>
      <c r="O4506" t="s">
        <v>125</v>
      </c>
      <c r="P4506" t="s">
        <v>125</v>
      </c>
      <c r="Q4506" t="s">
        <v>125</v>
      </c>
      <c r="R4506" t="s">
        <v>125</v>
      </c>
      <c r="S4506" t="s">
        <v>125</v>
      </c>
      <c r="T4506">
        <v>0</v>
      </c>
      <c r="V4506" t="s">
        <v>125</v>
      </c>
      <c r="AE4506" t="s">
        <v>125</v>
      </c>
      <c r="AF4506">
        <v>0</v>
      </c>
      <c r="AG4506" t="s">
        <v>125</v>
      </c>
      <c r="AH4506">
        <v>0</v>
      </c>
      <c r="AK4506">
        <v>0</v>
      </c>
    </row>
    <row r="4507" spans="1:37" x14ac:dyDescent="0.25">
      <c r="A4507" t="s">
        <v>79</v>
      </c>
      <c r="B4507">
        <v>17</v>
      </c>
      <c r="C4507">
        <v>3</v>
      </c>
      <c r="D4507">
        <v>4</v>
      </c>
      <c r="E4507">
        <v>11</v>
      </c>
      <c r="G4507">
        <v>1734</v>
      </c>
      <c r="H4507" t="s">
        <v>63</v>
      </c>
      <c r="I4507" t="s">
        <v>131</v>
      </c>
      <c r="J4507" t="s">
        <v>151</v>
      </c>
      <c r="L4507">
        <v>0</v>
      </c>
      <c r="M4507" t="s">
        <v>125</v>
      </c>
      <c r="O4507" t="s">
        <v>125</v>
      </c>
      <c r="P4507" t="s">
        <v>125</v>
      </c>
      <c r="Q4507" t="s">
        <v>125</v>
      </c>
      <c r="R4507" t="s">
        <v>125</v>
      </c>
      <c r="S4507" t="s">
        <v>125</v>
      </c>
      <c r="T4507">
        <v>0</v>
      </c>
      <c r="V4507" t="s">
        <v>125</v>
      </c>
      <c r="AE4507" t="s">
        <v>125</v>
      </c>
      <c r="AF4507">
        <v>0</v>
      </c>
      <c r="AG4507" t="s">
        <v>125</v>
      </c>
      <c r="AH4507">
        <v>0</v>
      </c>
      <c r="AK4507">
        <v>0</v>
      </c>
    </row>
    <row r="4508" spans="1:37" x14ac:dyDescent="0.25">
      <c r="A4508" t="s">
        <v>79</v>
      </c>
      <c r="B4508">
        <v>17</v>
      </c>
      <c r="C4508">
        <v>3</v>
      </c>
      <c r="D4508">
        <v>4</v>
      </c>
      <c r="E4508">
        <v>12</v>
      </c>
      <c r="G4508">
        <v>1734</v>
      </c>
      <c r="H4508" t="s">
        <v>63</v>
      </c>
      <c r="I4508" t="s">
        <v>133</v>
      </c>
      <c r="J4508" t="s">
        <v>152</v>
      </c>
      <c r="L4508">
        <v>0</v>
      </c>
      <c r="M4508" t="s">
        <v>125</v>
      </c>
      <c r="O4508" t="s">
        <v>125</v>
      </c>
      <c r="P4508" t="s">
        <v>125</v>
      </c>
      <c r="Q4508" t="s">
        <v>125</v>
      </c>
      <c r="R4508" t="s">
        <v>125</v>
      </c>
      <c r="S4508" t="s">
        <v>125</v>
      </c>
      <c r="T4508">
        <v>0</v>
      </c>
      <c r="V4508" t="s">
        <v>125</v>
      </c>
      <c r="AE4508" t="s">
        <v>125</v>
      </c>
      <c r="AF4508">
        <v>0</v>
      </c>
      <c r="AG4508" t="s">
        <v>125</v>
      </c>
      <c r="AH4508">
        <v>0</v>
      </c>
      <c r="AK4508">
        <v>0</v>
      </c>
    </row>
    <row r="4509" spans="1:37" x14ac:dyDescent="0.25">
      <c r="A4509" t="s">
        <v>79</v>
      </c>
      <c r="B4509">
        <v>17</v>
      </c>
      <c r="C4509">
        <v>3</v>
      </c>
      <c r="D4509">
        <v>4</v>
      </c>
      <c r="E4509">
        <v>13</v>
      </c>
      <c r="G4509">
        <v>1734</v>
      </c>
      <c r="H4509" t="s">
        <v>63</v>
      </c>
      <c r="I4509" t="s">
        <v>135</v>
      </c>
      <c r="J4509" t="s">
        <v>153</v>
      </c>
      <c r="L4509">
        <v>0</v>
      </c>
      <c r="M4509" t="s">
        <v>125</v>
      </c>
      <c r="O4509" t="s">
        <v>125</v>
      </c>
      <c r="P4509" t="s">
        <v>125</v>
      </c>
      <c r="Q4509" t="s">
        <v>125</v>
      </c>
      <c r="R4509" t="s">
        <v>125</v>
      </c>
      <c r="S4509" t="s">
        <v>125</v>
      </c>
      <c r="T4509">
        <v>0</v>
      </c>
      <c r="V4509" t="s">
        <v>125</v>
      </c>
      <c r="AE4509" t="s">
        <v>125</v>
      </c>
      <c r="AF4509">
        <v>0</v>
      </c>
      <c r="AG4509" t="s">
        <v>125</v>
      </c>
      <c r="AH4509">
        <v>0</v>
      </c>
      <c r="AK4509">
        <v>0</v>
      </c>
    </row>
    <row r="4510" spans="1:37" x14ac:dyDescent="0.25">
      <c r="A4510" t="s">
        <v>79</v>
      </c>
      <c r="B4510">
        <v>17</v>
      </c>
      <c r="C4510">
        <v>3</v>
      </c>
      <c r="D4510">
        <v>4</v>
      </c>
      <c r="E4510">
        <v>14</v>
      </c>
      <c r="G4510">
        <v>1734</v>
      </c>
      <c r="H4510" t="s">
        <v>63</v>
      </c>
      <c r="I4510" t="s">
        <v>137</v>
      </c>
      <c r="J4510" t="s">
        <v>154</v>
      </c>
      <c r="L4510">
        <v>0</v>
      </c>
      <c r="M4510" t="s">
        <v>125</v>
      </c>
      <c r="O4510" t="s">
        <v>125</v>
      </c>
      <c r="P4510" t="s">
        <v>125</v>
      </c>
      <c r="Q4510" t="s">
        <v>125</v>
      </c>
      <c r="R4510" t="s">
        <v>125</v>
      </c>
      <c r="S4510" t="s">
        <v>125</v>
      </c>
      <c r="T4510">
        <v>0</v>
      </c>
      <c r="V4510" t="s">
        <v>125</v>
      </c>
      <c r="AE4510" t="s">
        <v>125</v>
      </c>
      <c r="AF4510">
        <v>0</v>
      </c>
      <c r="AG4510" t="s">
        <v>125</v>
      </c>
      <c r="AH4510">
        <v>0</v>
      </c>
      <c r="AK4510">
        <v>0</v>
      </c>
    </row>
    <row r="4511" spans="1:37" x14ac:dyDescent="0.25">
      <c r="A4511" t="s">
        <v>79</v>
      </c>
      <c r="B4511">
        <v>17</v>
      </c>
      <c r="C4511">
        <v>3</v>
      </c>
      <c r="D4511">
        <v>4</v>
      </c>
      <c r="E4511">
        <v>15</v>
      </c>
      <c r="G4511">
        <v>1734</v>
      </c>
      <c r="H4511" t="s">
        <v>63</v>
      </c>
      <c r="I4511" t="s">
        <v>139</v>
      </c>
      <c r="J4511" t="s">
        <v>155</v>
      </c>
      <c r="L4511">
        <v>0</v>
      </c>
      <c r="M4511" t="s">
        <v>125</v>
      </c>
      <c r="O4511" t="s">
        <v>125</v>
      </c>
      <c r="P4511" t="s">
        <v>125</v>
      </c>
      <c r="Q4511" t="s">
        <v>125</v>
      </c>
      <c r="R4511" t="s">
        <v>125</v>
      </c>
      <c r="S4511" t="s">
        <v>125</v>
      </c>
      <c r="T4511">
        <v>0</v>
      </c>
      <c r="V4511" t="s">
        <v>125</v>
      </c>
      <c r="AE4511" t="s">
        <v>125</v>
      </c>
      <c r="AF4511">
        <v>0</v>
      </c>
      <c r="AG4511" t="s">
        <v>125</v>
      </c>
      <c r="AH4511">
        <v>0</v>
      </c>
      <c r="AK4511">
        <v>0</v>
      </c>
    </row>
    <row r="4512" spans="1:37" x14ac:dyDescent="0.25">
      <c r="L4512">
        <v>0</v>
      </c>
    </row>
    <row r="4513" spans="1:37" x14ac:dyDescent="0.25">
      <c r="A4513" t="s">
        <v>70</v>
      </c>
      <c r="B4513">
        <v>17</v>
      </c>
      <c r="C4513">
        <v>3</v>
      </c>
      <c r="D4513">
        <v>5</v>
      </c>
      <c r="G4513">
        <v>173</v>
      </c>
      <c r="L4513">
        <v>0</v>
      </c>
      <c r="M4513" t="s">
        <v>125</v>
      </c>
      <c r="P4513" t="s">
        <v>125</v>
      </c>
      <c r="R4513" t="s">
        <v>125</v>
      </c>
      <c r="S4513" t="s">
        <v>63</v>
      </c>
      <c r="V4513" t="s">
        <v>125</v>
      </c>
      <c r="X4513" t="s">
        <v>125</v>
      </c>
      <c r="Y4513" t="s">
        <v>125</v>
      </c>
      <c r="Z4513" t="s">
        <v>125</v>
      </c>
      <c r="AA4513" t="s">
        <v>125</v>
      </c>
      <c r="AB4513" t="s">
        <v>125</v>
      </c>
      <c r="AC4513" t="s">
        <v>125</v>
      </c>
      <c r="AE4513" t="s">
        <v>125</v>
      </c>
      <c r="AF4513">
        <v>0</v>
      </c>
      <c r="AG4513" t="s">
        <v>125</v>
      </c>
      <c r="AH4513">
        <v>0</v>
      </c>
      <c r="AK4513">
        <v>0</v>
      </c>
    </row>
    <row r="4514" spans="1:37" x14ac:dyDescent="0.25">
      <c r="A4514" t="s">
        <v>79</v>
      </c>
      <c r="B4514">
        <v>17</v>
      </c>
      <c r="C4514">
        <v>3</v>
      </c>
      <c r="D4514">
        <v>5</v>
      </c>
      <c r="E4514">
        <v>1</v>
      </c>
      <c r="G4514">
        <v>1735</v>
      </c>
      <c r="H4514" t="s">
        <v>63</v>
      </c>
      <c r="I4514" t="s">
        <v>80</v>
      </c>
      <c r="J4514" t="s">
        <v>141</v>
      </c>
      <c r="L4514">
        <v>0</v>
      </c>
      <c r="M4514" t="s">
        <v>125</v>
      </c>
      <c r="O4514" t="s">
        <v>125</v>
      </c>
      <c r="P4514" t="s">
        <v>125</v>
      </c>
      <c r="Q4514" t="s">
        <v>125</v>
      </c>
      <c r="R4514" t="s">
        <v>125</v>
      </c>
      <c r="S4514" t="s">
        <v>125</v>
      </c>
      <c r="T4514">
        <v>0</v>
      </c>
      <c r="V4514" t="s">
        <v>125</v>
      </c>
      <c r="AE4514" t="s">
        <v>125</v>
      </c>
      <c r="AF4514">
        <v>0</v>
      </c>
      <c r="AG4514" t="s">
        <v>125</v>
      </c>
      <c r="AH4514">
        <v>0</v>
      </c>
      <c r="AK4514">
        <v>0</v>
      </c>
    </row>
    <row r="4515" spans="1:37" x14ac:dyDescent="0.25">
      <c r="A4515" t="s">
        <v>79</v>
      </c>
      <c r="B4515">
        <v>17</v>
      </c>
      <c r="C4515">
        <v>3</v>
      </c>
      <c r="D4515">
        <v>5</v>
      </c>
      <c r="E4515">
        <v>2</v>
      </c>
      <c r="G4515">
        <v>1735</v>
      </c>
      <c r="H4515" t="s">
        <v>63</v>
      </c>
      <c r="I4515" t="s">
        <v>88</v>
      </c>
      <c r="J4515" t="s">
        <v>142</v>
      </c>
      <c r="L4515">
        <v>0</v>
      </c>
      <c r="M4515" t="s">
        <v>125</v>
      </c>
      <c r="O4515" t="s">
        <v>125</v>
      </c>
      <c r="P4515" t="s">
        <v>125</v>
      </c>
      <c r="Q4515" t="s">
        <v>125</v>
      </c>
      <c r="R4515" t="s">
        <v>125</v>
      </c>
      <c r="S4515" t="s">
        <v>125</v>
      </c>
      <c r="T4515">
        <v>0</v>
      </c>
      <c r="V4515" t="s">
        <v>125</v>
      </c>
      <c r="AE4515" t="s">
        <v>125</v>
      </c>
      <c r="AF4515">
        <v>0</v>
      </c>
      <c r="AG4515" t="s">
        <v>125</v>
      </c>
      <c r="AH4515">
        <v>0</v>
      </c>
      <c r="AK4515">
        <v>0</v>
      </c>
    </row>
    <row r="4516" spans="1:37" x14ac:dyDescent="0.25">
      <c r="A4516" t="s">
        <v>79</v>
      </c>
      <c r="B4516">
        <v>17</v>
      </c>
      <c r="C4516">
        <v>3</v>
      </c>
      <c r="D4516">
        <v>5</v>
      </c>
      <c r="E4516">
        <v>3</v>
      </c>
      <c r="G4516">
        <v>1735</v>
      </c>
      <c r="H4516" t="s">
        <v>63</v>
      </c>
      <c r="I4516" t="s">
        <v>95</v>
      </c>
      <c r="J4516" t="s">
        <v>143</v>
      </c>
      <c r="L4516">
        <v>0</v>
      </c>
      <c r="M4516" t="s">
        <v>125</v>
      </c>
      <c r="O4516" t="s">
        <v>125</v>
      </c>
      <c r="P4516" t="s">
        <v>125</v>
      </c>
      <c r="Q4516" t="s">
        <v>125</v>
      </c>
      <c r="R4516" t="s">
        <v>125</v>
      </c>
      <c r="S4516" t="s">
        <v>125</v>
      </c>
      <c r="T4516">
        <v>0</v>
      </c>
      <c r="V4516" t="s">
        <v>125</v>
      </c>
      <c r="AE4516" t="s">
        <v>125</v>
      </c>
      <c r="AF4516">
        <v>0</v>
      </c>
      <c r="AG4516" t="s">
        <v>125</v>
      </c>
      <c r="AH4516">
        <v>0</v>
      </c>
      <c r="AK4516">
        <v>0</v>
      </c>
    </row>
    <row r="4517" spans="1:37" x14ac:dyDescent="0.25">
      <c r="A4517" t="s">
        <v>79</v>
      </c>
      <c r="B4517">
        <v>17</v>
      </c>
      <c r="C4517">
        <v>3</v>
      </c>
      <c r="D4517">
        <v>5</v>
      </c>
      <c r="E4517">
        <v>4</v>
      </c>
      <c r="G4517">
        <v>1735</v>
      </c>
      <c r="H4517" t="s">
        <v>63</v>
      </c>
      <c r="I4517" t="s">
        <v>102</v>
      </c>
      <c r="J4517" t="s">
        <v>144</v>
      </c>
      <c r="L4517">
        <v>0</v>
      </c>
      <c r="M4517" t="s">
        <v>125</v>
      </c>
      <c r="O4517" t="s">
        <v>125</v>
      </c>
      <c r="P4517" t="s">
        <v>125</v>
      </c>
      <c r="Q4517" t="s">
        <v>125</v>
      </c>
      <c r="R4517" t="s">
        <v>125</v>
      </c>
      <c r="S4517" t="s">
        <v>125</v>
      </c>
      <c r="T4517">
        <v>0</v>
      </c>
      <c r="V4517" t="s">
        <v>125</v>
      </c>
      <c r="AE4517" t="s">
        <v>125</v>
      </c>
      <c r="AF4517">
        <v>0</v>
      </c>
      <c r="AG4517" t="s">
        <v>125</v>
      </c>
      <c r="AH4517">
        <v>0</v>
      </c>
      <c r="AK4517">
        <v>0</v>
      </c>
    </row>
    <row r="4518" spans="1:37" x14ac:dyDescent="0.25">
      <c r="A4518" t="s">
        <v>79</v>
      </c>
      <c r="B4518">
        <v>17</v>
      </c>
      <c r="C4518">
        <v>3</v>
      </c>
      <c r="D4518">
        <v>5</v>
      </c>
      <c r="E4518">
        <v>5</v>
      </c>
      <c r="G4518">
        <v>1735</v>
      </c>
      <c r="H4518" t="s">
        <v>63</v>
      </c>
      <c r="I4518" t="s">
        <v>109</v>
      </c>
      <c r="J4518" t="s">
        <v>145</v>
      </c>
      <c r="L4518">
        <v>0</v>
      </c>
      <c r="M4518" t="s">
        <v>125</v>
      </c>
      <c r="O4518" t="s">
        <v>125</v>
      </c>
      <c r="P4518" t="s">
        <v>125</v>
      </c>
      <c r="Q4518" t="s">
        <v>125</v>
      </c>
      <c r="R4518" t="s">
        <v>125</v>
      </c>
      <c r="S4518" t="s">
        <v>125</v>
      </c>
      <c r="T4518">
        <v>0</v>
      </c>
      <c r="V4518" t="s">
        <v>125</v>
      </c>
      <c r="AE4518" t="s">
        <v>125</v>
      </c>
      <c r="AF4518">
        <v>0</v>
      </c>
      <c r="AG4518" t="s">
        <v>125</v>
      </c>
      <c r="AH4518">
        <v>0</v>
      </c>
      <c r="AK4518">
        <v>0</v>
      </c>
    </row>
    <row r="4519" spans="1:37" x14ac:dyDescent="0.25">
      <c r="A4519" t="s">
        <v>79</v>
      </c>
      <c r="B4519">
        <v>17</v>
      </c>
      <c r="C4519">
        <v>3</v>
      </c>
      <c r="D4519">
        <v>5</v>
      </c>
      <c r="E4519">
        <v>6</v>
      </c>
      <c r="G4519">
        <v>1735</v>
      </c>
      <c r="H4519" t="s">
        <v>63</v>
      </c>
      <c r="I4519" t="s">
        <v>116</v>
      </c>
      <c r="J4519" t="s">
        <v>146</v>
      </c>
      <c r="L4519">
        <v>0</v>
      </c>
      <c r="M4519" t="s">
        <v>125</v>
      </c>
      <c r="O4519" t="s">
        <v>125</v>
      </c>
      <c r="P4519" t="s">
        <v>125</v>
      </c>
      <c r="Q4519" t="s">
        <v>125</v>
      </c>
      <c r="R4519" t="s">
        <v>125</v>
      </c>
      <c r="S4519" t="s">
        <v>125</v>
      </c>
      <c r="T4519">
        <v>0</v>
      </c>
      <c r="V4519" t="s">
        <v>125</v>
      </c>
      <c r="AE4519" t="s">
        <v>125</v>
      </c>
      <c r="AF4519">
        <v>0</v>
      </c>
      <c r="AG4519" t="s">
        <v>125</v>
      </c>
      <c r="AH4519">
        <v>0</v>
      </c>
      <c r="AK4519">
        <v>0</v>
      </c>
    </row>
    <row r="4520" spans="1:37" x14ac:dyDescent="0.25">
      <c r="A4520" t="s">
        <v>79</v>
      </c>
      <c r="B4520">
        <v>17</v>
      </c>
      <c r="C4520">
        <v>3</v>
      </c>
      <c r="D4520">
        <v>5</v>
      </c>
      <c r="E4520">
        <v>7</v>
      </c>
      <c r="G4520">
        <v>1735</v>
      </c>
      <c r="H4520" t="s">
        <v>63</v>
      </c>
      <c r="I4520" t="s">
        <v>123</v>
      </c>
      <c r="J4520" t="s">
        <v>147</v>
      </c>
      <c r="L4520">
        <v>0</v>
      </c>
      <c r="M4520" t="s">
        <v>125</v>
      </c>
      <c r="O4520" t="s">
        <v>125</v>
      </c>
      <c r="P4520" t="s">
        <v>125</v>
      </c>
      <c r="Q4520" t="s">
        <v>125</v>
      </c>
      <c r="R4520" t="s">
        <v>125</v>
      </c>
      <c r="S4520" t="s">
        <v>125</v>
      </c>
      <c r="T4520">
        <v>0</v>
      </c>
      <c r="V4520" t="s">
        <v>125</v>
      </c>
      <c r="AE4520" t="s">
        <v>125</v>
      </c>
      <c r="AF4520">
        <v>0</v>
      </c>
      <c r="AG4520" t="s">
        <v>125</v>
      </c>
      <c r="AH4520">
        <v>0</v>
      </c>
      <c r="AK4520">
        <v>0</v>
      </c>
    </row>
    <row r="4521" spans="1:37" x14ac:dyDescent="0.25">
      <c r="A4521" t="s">
        <v>79</v>
      </c>
      <c r="B4521">
        <v>17</v>
      </c>
      <c r="C4521">
        <v>3</v>
      </c>
      <c r="D4521">
        <v>5</v>
      </c>
      <c r="E4521">
        <v>8</v>
      </c>
      <c r="G4521">
        <v>1735</v>
      </c>
      <c r="H4521" t="s">
        <v>63</v>
      </c>
      <c r="I4521" t="s">
        <v>126</v>
      </c>
      <c r="J4521" t="s">
        <v>148</v>
      </c>
      <c r="L4521">
        <v>0</v>
      </c>
      <c r="M4521" t="s">
        <v>125</v>
      </c>
      <c r="O4521" t="s">
        <v>125</v>
      </c>
      <c r="P4521" t="s">
        <v>125</v>
      </c>
      <c r="Q4521" t="s">
        <v>125</v>
      </c>
      <c r="R4521" t="s">
        <v>125</v>
      </c>
      <c r="S4521" t="s">
        <v>125</v>
      </c>
      <c r="T4521">
        <v>0</v>
      </c>
      <c r="V4521" t="s">
        <v>125</v>
      </c>
      <c r="AE4521" t="s">
        <v>125</v>
      </c>
      <c r="AF4521">
        <v>0</v>
      </c>
      <c r="AG4521" t="s">
        <v>125</v>
      </c>
      <c r="AH4521">
        <v>0</v>
      </c>
      <c r="AK4521">
        <v>0</v>
      </c>
    </row>
    <row r="4522" spans="1:37" x14ac:dyDescent="0.25">
      <c r="A4522" t="s">
        <v>79</v>
      </c>
      <c r="B4522">
        <v>17</v>
      </c>
      <c r="C4522">
        <v>3</v>
      </c>
      <c r="D4522">
        <v>5</v>
      </c>
      <c r="E4522">
        <v>9</v>
      </c>
      <c r="G4522">
        <v>1735</v>
      </c>
      <c r="H4522" t="s">
        <v>63</v>
      </c>
      <c r="I4522" t="s">
        <v>74</v>
      </c>
      <c r="J4522" t="s">
        <v>149</v>
      </c>
      <c r="L4522">
        <v>0</v>
      </c>
      <c r="M4522" t="s">
        <v>125</v>
      </c>
      <c r="O4522" t="s">
        <v>125</v>
      </c>
      <c r="P4522" t="s">
        <v>125</v>
      </c>
      <c r="Q4522" t="s">
        <v>125</v>
      </c>
      <c r="R4522" t="s">
        <v>125</v>
      </c>
      <c r="S4522" t="s">
        <v>125</v>
      </c>
      <c r="T4522">
        <v>0</v>
      </c>
      <c r="V4522" t="s">
        <v>125</v>
      </c>
      <c r="AE4522" t="s">
        <v>125</v>
      </c>
      <c r="AF4522">
        <v>0</v>
      </c>
      <c r="AG4522" t="s">
        <v>125</v>
      </c>
      <c r="AH4522">
        <v>0</v>
      </c>
      <c r="AK4522">
        <v>0</v>
      </c>
    </row>
    <row r="4523" spans="1:37" x14ac:dyDescent="0.25">
      <c r="A4523" t="s">
        <v>79</v>
      </c>
      <c r="B4523">
        <v>17</v>
      </c>
      <c r="C4523">
        <v>3</v>
      </c>
      <c r="D4523">
        <v>5</v>
      </c>
      <c r="E4523">
        <v>10</v>
      </c>
      <c r="G4523">
        <v>1735</v>
      </c>
      <c r="H4523" t="s">
        <v>63</v>
      </c>
      <c r="I4523" t="s">
        <v>129</v>
      </c>
      <c r="J4523" t="s">
        <v>150</v>
      </c>
      <c r="L4523">
        <v>0</v>
      </c>
      <c r="M4523" t="s">
        <v>125</v>
      </c>
      <c r="O4523" t="s">
        <v>125</v>
      </c>
      <c r="P4523" t="s">
        <v>125</v>
      </c>
      <c r="Q4523" t="s">
        <v>125</v>
      </c>
      <c r="R4523" t="s">
        <v>125</v>
      </c>
      <c r="S4523" t="s">
        <v>125</v>
      </c>
      <c r="T4523">
        <v>0</v>
      </c>
      <c r="V4523" t="s">
        <v>125</v>
      </c>
      <c r="AE4523" t="s">
        <v>125</v>
      </c>
      <c r="AF4523">
        <v>0</v>
      </c>
      <c r="AG4523" t="s">
        <v>125</v>
      </c>
      <c r="AH4523">
        <v>0</v>
      </c>
      <c r="AK4523">
        <v>0</v>
      </c>
    </row>
    <row r="4524" spans="1:37" x14ac:dyDescent="0.25">
      <c r="A4524" t="s">
        <v>79</v>
      </c>
      <c r="B4524">
        <v>17</v>
      </c>
      <c r="C4524">
        <v>3</v>
      </c>
      <c r="D4524">
        <v>5</v>
      </c>
      <c r="E4524">
        <v>11</v>
      </c>
      <c r="G4524">
        <v>1735</v>
      </c>
      <c r="H4524" t="s">
        <v>63</v>
      </c>
      <c r="I4524" t="s">
        <v>131</v>
      </c>
      <c r="J4524" t="s">
        <v>151</v>
      </c>
      <c r="L4524">
        <v>0</v>
      </c>
      <c r="M4524" t="s">
        <v>125</v>
      </c>
      <c r="O4524" t="s">
        <v>125</v>
      </c>
      <c r="P4524" t="s">
        <v>125</v>
      </c>
      <c r="Q4524" t="s">
        <v>125</v>
      </c>
      <c r="R4524" t="s">
        <v>125</v>
      </c>
      <c r="S4524" t="s">
        <v>125</v>
      </c>
      <c r="T4524">
        <v>0</v>
      </c>
      <c r="V4524" t="s">
        <v>125</v>
      </c>
      <c r="AE4524" t="s">
        <v>125</v>
      </c>
      <c r="AF4524">
        <v>0</v>
      </c>
      <c r="AG4524" t="s">
        <v>125</v>
      </c>
      <c r="AH4524">
        <v>0</v>
      </c>
      <c r="AK4524">
        <v>0</v>
      </c>
    </row>
    <row r="4525" spans="1:37" x14ac:dyDescent="0.25">
      <c r="A4525" t="s">
        <v>79</v>
      </c>
      <c r="B4525">
        <v>17</v>
      </c>
      <c r="C4525">
        <v>3</v>
      </c>
      <c r="D4525">
        <v>5</v>
      </c>
      <c r="E4525">
        <v>12</v>
      </c>
      <c r="G4525">
        <v>1735</v>
      </c>
      <c r="H4525" t="s">
        <v>63</v>
      </c>
      <c r="I4525" t="s">
        <v>133</v>
      </c>
      <c r="J4525" t="s">
        <v>152</v>
      </c>
      <c r="L4525">
        <v>0</v>
      </c>
      <c r="M4525" t="s">
        <v>125</v>
      </c>
      <c r="O4525" t="s">
        <v>125</v>
      </c>
      <c r="P4525" t="s">
        <v>125</v>
      </c>
      <c r="Q4525" t="s">
        <v>125</v>
      </c>
      <c r="R4525" t="s">
        <v>125</v>
      </c>
      <c r="S4525" t="s">
        <v>125</v>
      </c>
      <c r="T4525">
        <v>0</v>
      </c>
      <c r="V4525" t="s">
        <v>125</v>
      </c>
      <c r="AE4525" t="s">
        <v>125</v>
      </c>
      <c r="AF4525">
        <v>0</v>
      </c>
      <c r="AG4525" t="s">
        <v>125</v>
      </c>
      <c r="AH4525">
        <v>0</v>
      </c>
      <c r="AK4525">
        <v>0</v>
      </c>
    </row>
    <row r="4526" spans="1:37" x14ac:dyDescent="0.25">
      <c r="A4526" t="s">
        <v>79</v>
      </c>
      <c r="B4526">
        <v>17</v>
      </c>
      <c r="C4526">
        <v>3</v>
      </c>
      <c r="D4526">
        <v>5</v>
      </c>
      <c r="E4526">
        <v>13</v>
      </c>
      <c r="G4526">
        <v>1735</v>
      </c>
      <c r="H4526" t="s">
        <v>63</v>
      </c>
      <c r="I4526" t="s">
        <v>135</v>
      </c>
      <c r="J4526" t="s">
        <v>153</v>
      </c>
      <c r="L4526">
        <v>0</v>
      </c>
      <c r="M4526" t="s">
        <v>125</v>
      </c>
      <c r="O4526" t="s">
        <v>125</v>
      </c>
      <c r="P4526" t="s">
        <v>125</v>
      </c>
      <c r="Q4526" t="s">
        <v>125</v>
      </c>
      <c r="R4526" t="s">
        <v>125</v>
      </c>
      <c r="S4526" t="s">
        <v>125</v>
      </c>
      <c r="T4526">
        <v>0</v>
      </c>
      <c r="V4526" t="s">
        <v>125</v>
      </c>
      <c r="AE4526" t="s">
        <v>125</v>
      </c>
      <c r="AF4526">
        <v>0</v>
      </c>
      <c r="AG4526" t="s">
        <v>125</v>
      </c>
      <c r="AH4526">
        <v>0</v>
      </c>
      <c r="AK4526">
        <v>0</v>
      </c>
    </row>
    <row r="4527" spans="1:37" x14ac:dyDescent="0.25">
      <c r="A4527" t="s">
        <v>79</v>
      </c>
      <c r="B4527">
        <v>17</v>
      </c>
      <c r="C4527">
        <v>3</v>
      </c>
      <c r="D4527">
        <v>5</v>
      </c>
      <c r="E4527">
        <v>14</v>
      </c>
      <c r="G4527">
        <v>1735</v>
      </c>
      <c r="H4527" t="s">
        <v>63</v>
      </c>
      <c r="I4527" t="s">
        <v>137</v>
      </c>
      <c r="J4527" t="s">
        <v>154</v>
      </c>
      <c r="L4527">
        <v>0</v>
      </c>
      <c r="M4527" t="s">
        <v>125</v>
      </c>
      <c r="O4527" t="s">
        <v>125</v>
      </c>
      <c r="P4527" t="s">
        <v>125</v>
      </c>
      <c r="Q4527" t="s">
        <v>125</v>
      </c>
      <c r="R4527" t="s">
        <v>125</v>
      </c>
      <c r="S4527" t="s">
        <v>125</v>
      </c>
      <c r="T4527">
        <v>0</v>
      </c>
      <c r="V4527" t="s">
        <v>125</v>
      </c>
      <c r="AE4527" t="s">
        <v>125</v>
      </c>
      <c r="AF4527">
        <v>0</v>
      </c>
      <c r="AG4527" t="s">
        <v>125</v>
      </c>
      <c r="AH4527">
        <v>0</v>
      </c>
      <c r="AK4527">
        <v>0</v>
      </c>
    </row>
    <row r="4528" spans="1:37" x14ac:dyDescent="0.25">
      <c r="A4528" t="s">
        <v>79</v>
      </c>
      <c r="B4528">
        <v>17</v>
      </c>
      <c r="C4528">
        <v>3</v>
      </c>
      <c r="D4528">
        <v>5</v>
      </c>
      <c r="E4528">
        <v>15</v>
      </c>
      <c r="G4528">
        <v>1735</v>
      </c>
      <c r="H4528" t="s">
        <v>63</v>
      </c>
      <c r="I4528" t="s">
        <v>139</v>
      </c>
      <c r="J4528" t="s">
        <v>155</v>
      </c>
      <c r="L4528">
        <v>0</v>
      </c>
      <c r="M4528" t="s">
        <v>125</v>
      </c>
      <c r="O4528" t="s">
        <v>125</v>
      </c>
      <c r="P4528" t="s">
        <v>125</v>
      </c>
      <c r="Q4528" t="s">
        <v>125</v>
      </c>
      <c r="R4528" t="s">
        <v>125</v>
      </c>
      <c r="S4528" t="s">
        <v>125</v>
      </c>
      <c r="T4528">
        <v>0</v>
      </c>
      <c r="V4528" t="s">
        <v>125</v>
      </c>
      <c r="AE4528" t="s">
        <v>125</v>
      </c>
      <c r="AF4528">
        <v>0</v>
      </c>
      <c r="AG4528" t="s">
        <v>125</v>
      </c>
      <c r="AH4528">
        <v>0</v>
      </c>
      <c r="AK4528">
        <v>0</v>
      </c>
    </row>
    <row r="4529" spans="1:37" x14ac:dyDescent="0.25">
      <c r="L4529">
        <v>0</v>
      </c>
    </row>
    <row r="4530" spans="1:37" x14ac:dyDescent="0.25">
      <c r="L4530">
        <v>0</v>
      </c>
    </row>
    <row r="4531" spans="1:37" x14ac:dyDescent="0.25">
      <c r="A4531" t="s">
        <v>56</v>
      </c>
      <c r="F4531">
        <v>18</v>
      </c>
      <c r="L4531">
        <v>18</v>
      </c>
      <c r="M4531" t="s">
        <v>5869</v>
      </c>
      <c r="N4531" t="s">
        <v>5870</v>
      </c>
      <c r="P4531" t="s">
        <v>5871</v>
      </c>
      <c r="V4531" t="s">
        <v>5872</v>
      </c>
      <c r="Y4531" t="s">
        <v>5873</v>
      </c>
      <c r="AA4531" t="s">
        <v>5874</v>
      </c>
      <c r="AC4531" t="s">
        <v>63</v>
      </c>
      <c r="AE4531" t="s">
        <v>5875</v>
      </c>
      <c r="AF4531">
        <v>0</v>
      </c>
      <c r="AG4531" t="s">
        <v>5876</v>
      </c>
      <c r="AH4531">
        <v>0</v>
      </c>
      <c r="AK4531">
        <v>0</v>
      </c>
    </row>
    <row r="4532" spans="1:37" x14ac:dyDescent="0.25">
      <c r="L4532">
        <v>0</v>
      </c>
    </row>
    <row r="4533" spans="1:37" x14ac:dyDescent="0.25">
      <c r="A4533" t="s">
        <v>66</v>
      </c>
      <c r="B4533">
        <v>18</v>
      </c>
      <c r="C4533">
        <v>1</v>
      </c>
      <c r="G4533">
        <v>18</v>
      </c>
      <c r="H4533" t="s">
        <v>5870</v>
      </c>
      <c r="I4533" t="s">
        <v>5877</v>
      </c>
      <c r="M4533" t="s">
        <v>5878</v>
      </c>
      <c r="N4533" t="s">
        <v>5877</v>
      </c>
      <c r="P4533" t="s">
        <v>5879</v>
      </c>
      <c r="V4533" t="s">
        <v>5880</v>
      </c>
      <c r="Y4533" t="s">
        <v>5881</v>
      </c>
      <c r="AA4533" t="s">
        <v>5882</v>
      </c>
      <c r="AC4533" t="s">
        <v>63</v>
      </c>
      <c r="AE4533" t="s">
        <v>5883</v>
      </c>
      <c r="AF4533">
        <v>0</v>
      </c>
      <c r="AG4533" t="s">
        <v>5884</v>
      </c>
      <c r="AH4533">
        <v>0</v>
      </c>
      <c r="AK4533">
        <v>0</v>
      </c>
    </row>
    <row r="4534" spans="1:37" x14ac:dyDescent="0.25">
      <c r="L4534">
        <v>0</v>
      </c>
    </row>
    <row r="4535" spans="1:37" x14ac:dyDescent="0.25">
      <c r="A4535" t="s">
        <v>70</v>
      </c>
      <c r="B4535">
        <v>18</v>
      </c>
      <c r="C4535">
        <v>1</v>
      </c>
      <c r="D4535">
        <v>1</v>
      </c>
      <c r="G4535">
        <v>181</v>
      </c>
      <c r="M4535" t="s">
        <v>5885</v>
      </c>
      <c r="O4535" t="s">
        <v>5886</v>
      </c>
      <c r="P4535" t="s">
        <v>5887</v>
      </c>
      <c r="Q4535" t="s">
        <v>3418</v>
      </c>
      <c r="R4535" t="s">
        <v>179</v>
      </c>
      <c r="S4535" t="s">
        <v>5888</v>
      </c>
      <c r="V4535" t="s">
        <v>5889</v>
      </c>
      <c r="X4535" t="s">
        <v>5890</v>
      </c>
      <c r="Y4535" t="s">
        <v>5891</v>
      </c>
      <c r="Z4535" t="s">
        <v>5892</v>
      </c>
      <c r="AA4535" t="s">
        <v>5893</v>
      </c>
      <c r="AB4535" t="s">
        <v>63</v>
      </c>
      <c r="AC4535" t="s">
        <v>63</v>
      </c>
      <c r="AE4535" t="s">
        <v>5894</v>
      </c>
      <c r="AF4535">
        <v>0</v>
      </c>
      <c r="AG4535" t="s">
        <v>5895</v>
      </c>
      <c r="AH4535">
        <v>0</v>
      </c>
      <c r="AK4535">
        <v>0</v>
      </c>
    </row>
    <row r="4536" spans="1:37" x14ac:dyDescent="0.25">
      <c r="A4536" t="s">
        <v>79</v>
      </c>
      <c r="B4536">
        <v>18</v>
      </c>
      <c r="C4536">
        <v>1</v>
      </c>
      <c r="D4536">
        <v>1</v>
      </c>
      <c r="E4536">
        <v>1</v>
      </c>
      <c r="G4536">
        <v>1811</v>
      </c>
      <c r="H4536" t="s">
        <v>5886</v>
      </c>
      <c r="I4536" t="s">
        <v>80</v>
      </c>
      <c r="J4536" t="s">
        <v>5896</v>
      </c>
      <c r="L4536">
        <v>0</v>
      </c>
      <c r="M4536" t="s">
        <v>5897</v>
      </c>
      <c r="O4536" t="s">
        <v>88</v>
      </c>
      <c r="P4536" t="s">
        <v>5898</v>
      </c>
      <c r="Q4536" t="s">
        <v>1672</v>
      </c>
      <c r="R4536" t="s">
        <v>1221</v>
      </c>
      <c r="S4536" t="s">
        <v>2926</v>
      </c>
      <c r="T4536">
        <v>1746</v>
      </c>
      <c r="U4536">
        <v>77</v>
      </c>
      <c r="V4536" t="s">
        <v>2850</v>
      </c>
      <c r="AE4536" t="s">
        <v>5899</v>
      </c>
      <c r="AF4536">
        <v>0</v>
      </c>
      <c r="AG4536" t="s">
        <v>5900</v>
      </c>
      <c r="AH4536">
        <v>0</v>
      </c>
      <c r="AK4536">
        <v>0</v>
      </c>
    </row>
    <row r="4537" spans="1:37" x14ac:dyDescent="0.25">
      <c r="A4537" t="s">
        <v>79</v>
      </c>
      <c r="B4537">
        <v>18</v>
      </c>
      <c r="C4537">
        <v>1</v>
      </c>
      <c r="D4537">
        <v>1</v>
      </c>
      <c r="E4537">
        <v>2</v>
      </c>
      <c r="G4537">
        <v>1811</v>
      </c>
      <c r="H4537" t="s">
        <v>5886</v>
      </c>
      <c r="I4537" t="s">
        <v>88</v>
      </c>
      <c r="J4537" t="s">
        <v>5901</v>
      </c>
      <c r="L4537">
        <v>0</v>
      </c>
      <c r="M4537" t="s">
        <v>5902</v>
      </c>
      <c r="O4537" t="s">
        <v>294</v>
      </c>
      <c r="P4537" t="s">
        <v>295</v>
      </c>
      <c r="Q4537" t="s">
        <v>5903</v>
      </c>
      <c r="R4537" t="s">
        <v>229</v>
      </c>
      <c r="S4537" t="s">
        <v>297</v>
      </c>
      <c r="T4537">
        <v>1746</v>
      </c>
      <c r="U4537">
        <v>861</v>
      </c>
      <c r="V4537" t="s">
        <v>5904</v>
      </c>
      <c r="AE4537" t="s">
        <v>5905</v>
      </c>
      <c r="AF4537">
        <v>0</v>
      </c>
      <c r="AG4537" t="s">
        <v>5906</v>
      </c>
      <c r="AH4537">
        <v>0</v>
      </c>
      <c r="AK4537">
        <v>0</v>
      </c>
    </row>
    <row r="4538" spans="1:37" x14ac:dyDescent="0.25">
      <c r="A4538" t="s">
        <v>79</v>
      </c>
      <c r="B4538">
        <v>18</v>
      </c>
      <c r="C4538">
        <v>1</v>
      </c>
      <c r="D4538">
        <v>1</v>
      </c>
      <c r="E4538">
        <v>3</v>
      </c>
      <c r="G4538">
        <v>1811</v>
      </c>
      <c r="H4538" t="s">
        <v>5886</v>
      </c>
      <c r="I4538" t="s">
        <v>95</v>
      </c>
      <c r="J4538" t="s">
        <v>5907</v>
      </c>
      <c r="L4538">
        <v>0</v>
      </c>
      <c r="M4538" t="s">
        <v>125</v>
      </c>
      <c r="O4538" t="s">
        <v>125</v>
      </c>
      <c r="P4538" t="s">
        <v>125</v>
      </c>
      <c r="Q4538" t="s">
        <v>125</v>
      </c>
      <c r="R4538" t="s">
        <v>125</v>
      </c>
      <c r="S4538" t="s">
        <v>125</v>
      </c>
      <c r="T4538">
        <v>1746</v>
      </c>
      <c r="V4538" t="s">
        <v>125</v>
      </c>
      <c r="AE4538" t="s">
        <v>125</v>
      </c>
      <c r="AF4538">
        <v>0</v>
      </c>
      <c r="AG4538" t="s">
        <v>125</v>
      </c>
      <c r="AH4538">
        <v>0</v>
      </c>
      <c r="AK4538">
        <v>0</v>
      </c>
    </row>
    <row r="4539" spans="1:37" x14ac:dyDescent="0.25">
      <c r="A4539" t="s">
        <v>79</v>
      </c>
      <c r="B4539">
        <v>18</v>
      </c>
      <c r="C4539">
        <v>1</v>
      </c>
      <c r="D4539">
        <v>1</v>
      </c>
      <c r="E4539">
        <v>4</v>
      </c>
      <c r="G4539">
        <v>1811</v>
      </c>
      <c r="H4539" t="s">
        <v>5886</v>
      </c>
      <c r="I4539" t="s">
        <v>102</v>
      </c>
      <c r="J4539" t="s">
        <v>5908</v>
      </c>
      <c r="L4539">
        <v>0</v>
      </c>
      <c r="M4539" t="s">
        <v>125</v>
      </c>
      <c r="O4539" t="s">
        <v>125</v>
      </c>
      <c r="P4539" t="s">
        <v>125</v>
      </c>
      <c r="Q4539" t="s">
        <v>125</v>
      </c>
      <c r="R4539" t="s">
        <v>125</v>
      </c>
      <c r="S4539" t="s">
        <v>125</v>
      </c>
      <c r="T4539">
        <v>1746</v>
      </c>
      <c r="V4539" t="s">
        <v>125</v>
      </c>
      <c r="AE4539" t="s">
        <v>125</v>
      </c>
      <c r="AF4539">
        <v>0</v>
      </c>
      <c r="AG4539" t="s">
        <v>125</v>
      </c>
      <c r="AH4539">
        <v>0</v>
      </c>
      <c r="AK4539">
        <v>0</v>
      </c>
    </row>
    <row r="4540" spans="1:37" x14ac:dyDescent="0.25">
      <c r="A4540" t="s">
        <v>79</v>
      </c>
      <c r="B4540">
        <v>18</v>
      </c>
      <c r="C4540">
        <v>1</v>
      </c>
      <c r="D4540">
        <v>1</v>
      </c>
      <c r="E4540">
        <v>5</v>
      </c>
      <c r="G4540">
        <v>1811</v>
      </c>
      <c r="H4540" t="s">
        <v>5886</v>
      </c>
      <c r="I4540" t="s">
        <v>109</v>
      </c>
      <c r="J4540" t="s">
        <v>5909</v>
      </c>
      <c r="L4540">
        <v>0</v>
      </c>
      <c r="M4540" t="s">
        <v>125</v>
      </c>
      <c r="O4540" t="s">
        <v>125</v>
      </c>
      <c r="P4540" t="s">
        <v>125</v>
      </c>
      <c r="Q4540" t="s">
        <v>125</v>
      </c>
      <c r="R4540" t="s">
        <v>125</v>
      </c>
      <c r="S4540" t="s">
        <v>125</v>
      </c>
      <c r="T4540">
        <v>1746</v>
      </c>
      <c r="V4540" t="s">
        <v>125</v>
      </c>
      <c r="AE4540" t="s">
        <v>125</v>
      </c>
      <c r="AF4540">
        <v>0</v>
      </c>
      <c r="AG4540" t="s">
        <v>125</v>
      </c>
      <c r="AH4540">
        <v>0</v>
      </c>
      <c r="AK4540">
        <v>0</v>
      </c>
    </row>
    <row r="4541" spans="1:37" x14ac:dyDescent="0.25">
      <c r="A4541" t="s">
        <v>79</v>
      </c>
      <c r="B4541">
        <v>18</v>
      </c>
      <c r="C4541">
        <v>1</v>
      </c>
      <c r="D4541">
        <v>1</v>
      </c>
      <c r="E4541">
        <v>6</v>
      </c>
      <c r="G4541">
        <v>1811</v>
      </c>
      <c r="H4541" t="s">
        <v>5886</v>
      </c>
      <c r="I4541" t="s">
        <v>116</v>
      </c>
      <c r="J4541" t="s">
        <v>5910</v>
      </c>
      <c r="L4541">
        <v>0</v>
      </c>
      <c r="M4541" t="s">
        <v>125</v>
      </c>
      <c r="O4541" t="s">
        <v>125</v>
      </c>
      <c r="P4541" t="s">
        <v>125</v>
      </c>
      <c r="Q4541" t="s">
        <v>125</v>
      </c>
      <c r="R4541" t="s">
        <v>125</v>
      </c>
      <c r="S4541" t="s">
        <v>125</v>
      </c>
      <c r="T4541">
        <v>1746</v>
      </c>
      <c r="V4541" t="s">
        <v>125</v>
      </c>
      <c r="AE4541" t="s">
        <v>125</v>
      </c>
      <c r="AF4541">
        <v>0</v>
      </c>
      <c r="AG4541" t="s">
        <v>125</v>
      </c>
      <c r="AH4541">
        <v>0</v>
      </c>
      <c r="AK4541">
        <v>0</v>
      </c>
    </row>
    <row r="4542" spans="1:37" x14ac:dyDescent="0.25">
      <c r="A4542" t="s">
        <v>79</v>
      </c>
      <c r="B4542">
        <v>18</v>
      </c>
      <c r="C4542">
        <v>1</v>
      </c>
      <c r="D4542">
        <v>1</v>
      </c>
      <c r="E4542">
        <v>7</v>
      </c>
      <c r="G4542">
        <v>1811</v>
      </c>
      <c r="H4542" t="s">
        <v>5886</v>
      </c>
      <c r="I4542" t="s">
        <v>123</v>
      </c>
      <c r="J4542" t="s">
        <v>5911</v>
      </c>
      <c r="L4542">
        <v>0</v>
      </c>
      <c r="M4542" t="s">
        <v>125</v>
      </c>
      <c r="O4542" t="s">
        <v>125</v>
      </c>
      <c r="P4542" t="s">
        <v>125</v>
      </c>
      <c r="Q4542" t="s">
        <v>125</v>
      </c>
      <c r="R4542" t="s">
        <v>125</v>
      </c>
      <c r="S4542" t="s">
        <v>125</v>
      </c>
      <c r="T4542">
        <v>1746</v>
      </c>
      <c r="V4542" t="s">
        <v>125</v>
      </c>
      <c r="AE4542" t="s">
        <v>125</v>
      </c>
      <c r="AF4542">
        <v>0</v>
      </c>
      <c r="AG4542" t="s">
        <v>125</v>
      </c>
      <c r="AH4542">
        <v>0</v>
      </c>
      <c r="AK4542">
        <v>0</v>
      </c>
    </row>
    <row r="4543" spans="1:37" x14ac:dyDescent="0.25">
      <c r="A4543" t="s">
        <v>79</v>
      </c>
      <c r="B4543">
        <v>18</v>
      </c>
      <c r="C4543">
        <v>1</v>
      </c>
      <c r="D4543">
        <v>1</v>
      </c>
      <c r="E4543">
        <v>8</v>
      </c>
      <c r="G4543">
        <v>1811</v>
      </c>
      <c r="H4543" t="s">
        <v>5886</v>
      </c>
      <c r="I4543" t="s">
        <v>126</v>
      </c>
      <c r="J4543" t="s">
        <v>5912</v>
      </c>
      <c r="L4543">
        <v>0</v>
      </c>
      <c r="M4543" t="s">
        <v>125</v>
      </c>
      <c r="O4543" t="s">
        <v>125</v>
      </c>
      <c r="P4543" t="s">
        <v>125</v>
      </c>
      <c r="Q4543" t="s">
        <v>125</v>
      </c>
      <c r="R4543" t="s">
        <v>125</v>
      </c>
      <c r="S4543" t="s">
        <v>125</v>
      </c>
      <c r="T4543">
        <v>1746</v>
      </c>
      <c r="V4543" t="s">
        <v>125</v>
      </c>
      <c r="AE4543" t="s">
        <v>125</v>
      </c>
      <c r="AF4543">
        <v>0</v>
      </c>
      <c r="AG4543" t="s">
        <v>125</v>
      </c>
      <c r="AH4543">
        <v>0</v>
      </c>
      <c r="AK4543">
        <v>0</v>
      </c>
    </row>
    <row r="4544" spans="1:37" x14ac:dyDescent="0.25">
      <c r="A4544" t="s">
        <v>79</v>
      </c>
      <c r="B4544">
        <v>18</v>
      </c>
      <c r="C4544">
        <v>1</v>
      </c>
      <c r="D4544">
        <v>1</v>
      </c>
      <c r="E4544">
        <v>9</v>
      </c>
      <c r="G4544">
        <v>1811</v>
      </c>
      <c r="H4544" t="s">
        <v>5886</v>
      </c>
      <c r="I4544" t="s">
        <v>74</v>
      </c>
      <c r="J4544" t="s">
        <v>5913</v>
      </c>
      <c r="L4544">
        <v>0</v>
      </c>
      <c r="M4544" t="s">
        <v>125</v>
      </c>
      <c r="O4544" t="s">
        <v>125</v>
      </c>
      <c r="P4544" t="s">
        <v>125</v>
      </c>
      <c r="Q4544" t="s">
        <v>125</v>
      </c>
      <c r="R4544" t="s">
        <v>125</v>
      </c>
      <c r="S4544" t="s">
        <v>125</v>
      </c>
      <c r="T4544">
        <v>1746</v>
      </c>
      <c r="V4544" t="s">
        <v>125</v>
      </c>
      <c r="AE4544" t="s">
        <v>125</v>
      </c>
      <c r="AF4544">
        <v>0</v>
      </c>
      <c r="AG4544" t="s">
        <v>125</v>
      </c>
      <c r="AH4544">
        <v>0</v>
      </c>
      <c r="AK4544">
        <v>0</v>
      </c>
    </row>
    <row r="4545" spans="1:37" x14ac:dyDescent="0.25">
      <c r="A4545" t="s">
        <v>79</v>
      </c>
      <c r="B4545">
        <v>18</v>
      </c>
      <c r="C4545">
        <v>1</v>
      </c>
      <c r="D4545">
        <v>1</v>
      </c>
      <c r="E4545">
        <v>10</v>
      </c>
      <c r="G4545">
        <v>1811</v>
      </c>
      <c r="H4545" t="s">
        <v>5886</v>
      </c>
      <c r="I4545" t="s">
        <v>129</v>
      </c>
      <c r="J4545" t="s">
        <v>5914</v>
      </c>
      <c r="L4545">
        <v>0</v>
      </c>
      <c r="M4545" t="s">
        <v>125</v>
      </c>
      <c r="O4545" t="s">
        <v>125</v>
      </c>
      <c r="P4545" t="s">
        <v>125</v>
      </c>
      <c r="Q4545" t="s">
        <v>125</v>
      </c>
      <c r="R4545" t="s">
        <v>125</v>
      </c>
      <c r="S4545" t="s">
        <v>125</v>
      </c>
      <c r="T4545">
        <v>1746</v>
      </c>
      <c r="V4545" t="s">
        <v>125</v>
      </c>
      <c r="AE4545" t="s">
        <v>125</v>
      </c>
      <c r="AF4545">
        <v>0</v>
      </c>
      <c r="AG4545" t="s">
        <v>125</v>
      </c>
      <c r="AH4545">
        <v>0</v>
      </c>
      <c r="AK4545">
        <v>0</v>
      </c>
    </row>
    <row r="4546" spans="1:37" x14ac:dyDescent="0.25">
      <c r="A4546" t="s">
        <v>79</v>
      </c>
      <c r="B4546">
        <v>18</v>
      </c>
      <c r="C4546">
        <v>1</v>
      </c>
      <c r="D4546">
        <v>1</v>
      </c>
      <c r="E4546">
        <v>11</v>
      </c>
      <c r="G4546">
        <v>1811</v>
      </c>
      <c r="H4546" t="s">
        <v>5886</v>
      </c>
      <c r="I4546" t="s">
        <v>131</v>
      </c>
      <c r="J4546" t="s">
        <v>5915</v>
      </c>
      <c r="L4546">
        <v>0</v>
      </c>
      <c r="M4546" t="s">
        <v>125</v>
      </c>
      <c r="O4546" t="s">
        <v>125</v>
      </c>
      <c r="P4546" t="s">
        <v>125</v>
      </c>
      <c r="Q4546" t="s">
        <v>125</v>
      </c>
      <c r="R4546" t="s">
        <v>125</v>
      </c>
      <c r="S4546" t="s">
        <v>125</v>
      </c>
      <c r="T4546">
        <v>1746</v>
      </c>
      <c r="V4546" t="s">
        <v>125</v>
      </c>
      <c r="AE4546" t="s">
        <v>125</v>
      </c>
      <c r="AF4546">
        <v>0</v>
      </c>
      <c r="AG4546" t="s">
        <v>125</v>
      </c>
      <c r="AH4546">
        <v>0</v>
      </c>
      <c r="AK4546">
        <v>0</v>
      </c>
    </row>
    <row r="4547" spans="1:37" x14ac:dyDescent="0.25">
      <c r="A4547" t="s">
        <v>79</v>
      </c>
      <c r="B4547">
        <v>18</v>
      </c>
      <c r="C4547">
        <v>1</v>
      </c>
      <c r="D4547">
        <v>1</v>
      </c>
      <c r="E4547">
        <v>12</v>
      </c>
      <c r="G4547">
        <v>1811</v>
      </c>
      <c r="H4547" t="s">
        <v>5886</v>
      </c>
      <c r="I4547" t="s">
        <v>133</v>
      </c>
      <c r="J4547" t="s">
        <v>5916</v>
      </c>
      <c r="L4547">
        <v>0</v>
      </c>
      <c r="M4547" t="s">
        <v>125</v>
      </c>
      <c r="O4547" t="s">
        <v>125</v>
      </c>
      <c r="P4547" t="s">
        <v>125</v>
      </c>
      <c r="Q4547" t="s">
        <v>125</v>
      </c>
      <c r="R4547" t="s">
        <v>125</v>
      </c>
      <c r="S4547" t="s">
        <v>125</v>
      </c>
      <c r="T4547">
        <v>1746</v>
      </c>
      <c r="V4547" t="s">
        <v>125</v>
      </c>
      <c r="AE4547" t="s">
        <v>125</v>
      </c>
      <c r="AF4547">
        <v>0</v>
      </c>
      <c r="AG4547" t="s">
        <v>125</v>
      </c>
      <c r="AH4547">
        <v>0</v>
      </c>
      <c r="AK4547">
        <v>0</v>
      </c>
    </row>
    <row r="4548" spans="1:37" x14ac:dyDescent="0.25">
      <c r="A4548" t="s">
        <v>79</v>
      </c>
      <c r="B4548">
        <v>18</v>
      </c>
      <c r="C4548">
        <v>1</v>
      </c>
      <c r="D4548">
        <v>1</v>
      </c>
      <c r="E4548">
        <v>13</v>
      </c>
      <c r="G4548">
        <v>1811</v>
      </c>
      <c r="H4548" t="s">
        <v>5886</v>
      </c>
      <c r="I4548" t="s">
        <v>135</v>
      </c>
      <c r="J4548" t="s">
        <v>5917</v>
      </c>
      <c r="L4548">
        <v>0</v>
      </c>
      <c r="M4548" t="s">
        <v>125</v>
      </c>
      <c r="O4548" t="s">
        <v>125</v>
      </c>
      <c r="P4548" t="s">
        <v>125</v>
      </c>
      <c r="Q4548" t="s">
        <v>125</v>
      </c>
      <c r="R4548" t="s">
        <v>125</v>
      </c>
      <c r="S4548" t="s">
        <v>125</v>
      </c>
      <c r="T4548">
        <v>1746</v>
      </c>
      <c r="V4548" t="s">
        <v>125</v>
      </c>
      <c r="AE4548" t="s">
        <v>125</v>
      </c>
      <c r="AF4548">
        <v>0</v>
      </c>
      <c r="AG4548" t="s">
        <v>125</v>
      </c>
      <c r="AH4548">
        <v>0</v>
      </c>
      <c r="AK4548">
        <v>0</v>
      </c>
    </row>
    <row r="4549" spans="1:37" x14ac:dyDescent="0.25">
      <c r="A4549" t="s">
        <v>79</v>
      </c>
      <c r="B4549">
        <v>18</v>
      </c>
      <c r="C4549">
        <v>1</v>
      </c>
      <c r="D4549">
        <v>1</v>
      </c>
      <c r="E4549">
        <v>14</v>
      </c>
      <c r="G4549">
        <v>1811</v>
      </c>
      <c r="H4549" t="s">
        <v>5886</v>
      </c>
      <c r="I4549" t="s">
        <v>137</v>
      </c>
      <c r="J4549" t="s">
        <v>5918</v>
      </c>
      <c r="L4549">
        <v>0</v>
      </c>
      <c r="M4549" t="s">
        <v>125</v>
      </c>
      <c r="O4549" t="s">
        <v>125</v>
      </c>
      <c r="P4549" t="s">
        <v>125</v>
      </c>
      <c r="Q4549" t="s">
        <v>125</v>
      </c>
      <c r="R4549" t="s">
        <v>125</v>
      </c>
      <c r="S4549" t="s">
        <v>125</v>
      </c>
      <c r="T4549">
        <v>1746</v>
      </c>
      <c r="V4549" t="s">
        <v>125</v>
      </c>
      <c r="AE4549" t="s">
        <v>125</v>
      </c>
      <c r="AF4549">
        <v>0</v>
      </c>
      <c r="AG4549" t="s">
        <v>125</v>
      </c>
      <c r="AH4549">
        <v>0</v>
      </c>
      <c r="AK4549">
        <v>0</v>
      </c>
    </row>
    <row r="4550" spans="1:37" x14ac:dyDescent="0.25">
      <c r="A4550" t="s">
        <v>79</v>
      </c>
      <c r="B4550">
        <v>18</v>
      </c>
      <c r="C4550">
        <v>1</v>
      </c>
      <c r="D4550">
        <v>1</v>
      </c>
      <c r="E4550">
        <v>15</v>
      </c>
      <c r="G4550">
        <v>1811</v>
      </c>
      <c r="H4550" t="s">
        <v>5886</v>
      </c>
      <c r="I4550" t="s">
        <v>139</v>
      </c>
      <c r="J4550" t="s">
        <v>5919</v>
      </c>
      <c r="L4550">
        <v>0</v>
      </c>
      <c r="M4550" t="s">
        <v>125</v>
      </c>
      <c r="O4550" t="s">
        <v>125</v>
      </c>
      <c r="P4550" t="s">
        <v>125</v>
      </c>
      <c r="Q4550" t="s">
        <v>125</v>
      </c>
      <c r="R4550" t="s">
        <v>125</v>
      </c>
      <c r="S4550" t="s">
        <v>125</v>
      </c>
      <c r="T4550">
        <v>1746</v>
      </c>
      <c r="V4550" t="s">
        <v>125</v>
      </c>
      <c r="AE4550" t="s">
        <v>125</v>
      </c>
      <c r="AF4550">
        <v>0</v>
      </c>
      <c r="AG4550" t="s">
        <v>125</v>
      </c>
      <c r="AH4550">
        <v>0</v>
      </c>
      <c r="AK4550">
        <v>0</v>
      </c>
    </row>
    <row r="4551" spans="1:37" x14ac:dyDescent="0.25">
      <c r="L4551">
        <v>0</v>
      </c>
    </row>
    <row r="4552" spans="1:37" x14ac:dyDescent="0.25">
      <c r="A4552" t="s">
        <v>70</v>
      </c>
      <c r="B4552">
        <v>18</v>
      </c>
      <c r="C4552">
        <v>1</v>
      </c>
      <c r="D4552">
        <v>2</v>
      </c>
      <c r="G4552">
        <v>181</v>
      </c>
      <c r="M4552" t="s">
        <v>5920</v>
      </c>
      <c r="O4552" t="s">
        <v>5921</v>
      </c>
      <c r="P4552" t="s">
        <v>5922</v>
      </c>
      <c r="Q4552" t="s">
        <v>3301</v>
      </c>
      <c r="R4552" t="s">
        <v>179</v>
      </c>
      <c r="S4552" t="s">
        <v>5923</v>
      </c>
      <c r="V4552" t="s">
        <v>5924</v>
      </c>
      <c r="X4552" t="s">
        <v>5925</v>
      </c>
      <c r="Y4552" t="s">
        <v>5926</v>
      </c>
      <c r="Z4552" t="s">
        <v>5927</v>
      </c>
      <c r="AA4552" t="s">
        <v>5928</v>
      </c>
      <c r="AB4552" t="s">
        <v>63</v>
      </c>
      <c r="AC4552" t="s">
        <v>63</v>
      </c>
      <c r="AE4552" t="s">
        <v>5929</v>
      </c>
      <c r="AF4552">
        <v>0</v>
      </c>
      <c r="AG4552" t="s">
        <v>5930</v>
      </c>
      <c r="AH4552">
        <v>0</v>
      </c>
      <c r="AK4552">
        <v>0</v>
      </c>
    </row>
    <row r="4553" spans="1:37" x14ac:dyDescent="0.25">
      <c r="A4553" t="s">
        <v>79</v>
      </c>
      <c r="B4553">
        <v>18</v>
      </c>
      <c r="C4553">
        <v>1</v>
      </c>
      <c r="D4553">
        <v>2</v>
      </c>
      <c r="E4553">
        <v>1</v>
      </c>
      <c r="G4553">
        <v>1812</v>
      </c>
      <c r="H4553" t="s">
        <v>5921</v>
      </c>
      <c r="I4553" t="s">
        <v>80</v>
      </c>
      <c r="J4553" t="s">
        <v>5931</v>
      </c>
      <c r="L4553">
        <v>0</v>
      </c>
      <c r="M4553" t="s">
        <v>5932</v>
      </c>
      <c r="O4553" t="s">
        <v>5933</v>
      </c>
      <c r="P4553" t="s">
        <v>5934</v>
      </c>
      <c r="Q4553" t="s">
        <v>1093</v>
      </c>
      <c r="R4553" t="s">
        <v>1221</v>
      </c>
      <c r="S4553" t="s">
        <v>5935</v>
      </c>
      <c r="T4553">
        <v>1304</v>
      </c>
      <c r="U4553">
        <v>8</v>
      </c>
      <c r="V4553" t="s">
        <v>1238</v>
      </c>
      <c r="AE4553" t="s">
        <v>5936</v>
      </c>
      <c r="AF4553">
        <v>0</v>
      </c>
      <c r="AG4553" t="s">
        <v>5937</v>
      </c>
      <c r="AH4553">
        <v>0</v>
      </c>
      <c r="AK4553">
        <v>0</v>
      </c>
    </row>
    <row r="4554" spans="1:37" x14ac:dyDescent="0.25">
      <c r="A4554" t="s">
        <v>79</v>
      </c>
      <c r="B4554">
        <v>18</v>
      </c>
      <c r="C4554">
        <v>1</v>
      </c>
      <c r="D4554">
        <v>2</v>
      </c>
      <c r="E4554">
        <v>2</v>
      </c>
      <c r="G4554">
        <v>1812</v>
      </c>
      <c r="H4554" t="s">
        <v>5921</v>
      </c>
      <c r="I4554" t="s">
        <v>88</v>
      </c>
      <c r="J4554" t="s">
        <v>5938</v>
      </c>
      <c r="L4554">
        <v>0</v>
      </c>
      <c r="M4554" t="s">
        <v>5939</v>
      </c>
      <c r="O4554" t="s">
        <v>294</v>
      </c>
      <c r="P4554" t="s">
        <v>295</v>
      </c>
      <c r="Q4554" t="s">
        <v>1919</v>
      </c>
      <c r="R4554" t="s">
        <v>229</v>
      </c>
      <c r="S4554" t="s">
        <v>297</v>
      </c>
      <c r="T4554">
        <v>1304</v>
      </c>
      <c r="U4554">
        <v>95</v>
      </c>
      <c r="V4554" t="s">
        <v>5940</v>
      </c>
      <c r="AE4554" t="s">
        <v>5941</v>
      </c>
      <c r="AF4554">
        <v>0</v>
      </c>
      <c r="AG4554" t="s">
        <v>5942</v>
      </c>
      <c r="AH4554">
        <v>0</v>
      </c>
      <c r="AK4554">
        <v>0</v>
      </c>
    </row>
    <row r="4555" spans="1:37" x14ac:dyDescent="0.25">
      <c r="A4555" t="s">
        <v>79</v>
      </c>
      <c r="B4555">
        <v>18</v>
      </c>
      <c r="C4555">
        <v>1</v>
      </c>
      <c r="D4555">
        <v>2</v>
      </c>
      <c r="E4555">
        <v>3</v>
      </c>
      <c r="G4555">
        <v>1812</v>
      </c>
      <c r="H4555" t="s">
        <v>5921</v>
      </c>
      <c r="I4555" t="s">
        <v>95</v>
      </c>
      <c r="J4555" t="s">
        <v>5943</v>
      </c>
      <c r="L4555">
        <v>0</v>
      </c>
      <c r="M4555" t="s">
        <v>125</v>
      </c>
      <c r="O4555" t="s">
        <v>125</v>
      </c>
      <c r="P4555" t="s">
        <v>125</v>
      </c>
      <c r="Q4555" t="s">
        <v>125</v>
      </c>
      <c r="R4555" t="s">
        <v>125</v>
      </c>
      <c r="S4555" t="s">
        <v>125</v>
      </c>
      <c r="T4555">
        <v>1304</v>
      </c>
      <c r="V4555" t="s">
        <v>125</v>
      </c>
      <c r="AE4555" t="s">
        <v>125</v>
      </c>
      <c r="AF4555">
        <v>0</v>
      </c>
      <c r="AG4555" t="s">
        <v>125</v>
      </c>
      <c r="AH4555">
        <v>0</v>
      </c>
      <c r="AK4555">
        <v>0</v>
      </c>
    </row>
    <row r="4556" spans="1:37" x14ac:dyDescent="0.25">
      <c r="A4556" t="s">
        <v>79</v>
      </c>
      <c r="B4556">
        <v>18</v>
      </c>
      <c r="C4556">
        <v>1</v>
      </c>
      <c r="D4556">
        <v>2</v>
      </c>
      <c r="E4556">
        <v>4</v>
      </c>
      <c r="G4556">
        <v>1812</v>
      </c>
      <c r="H4556" t="s">
        <v>5921</v>
      </c>
      <c r="I4556" t="s">
        <v>102</v>
      </c>
      <c r="J4556" t="s">
        <v>5944</v>
      </c>
      <c r="L4556">
        <v>0</v>
      </c>
      <c r="M4556" t="s">
        <v>125</v>
      </c>
      <c r="O4556" t="s">
        <v>125</v>
      </c>
      <c r="P4556" t="s">
        <v>125</v>
      </c>
      <c r="Q4556" t="s">
        <v>125</v>
      </c>
      <c r="R4556" t="s">
        <v>125</v>
      </c>
      <c r="S4556" t="s">
        <v>125</v>
      </c>
      <c r="T4556">
        <v>1304</v>
      </c>
      <c r="V4556" t="s">
        <v>125</v>
      </c>
      <c r="AE4556" t="s">
        <v>125</v>
      </c>
      <c r="AF4556">
        <v>0</v>
      </c>
      <c r="AG4556" t="s">
        <v>125</v>
      </c>
      <c r="AH4556">
        <v>0</v>
      </c>
      <c r="AK4556">
        <v>0</v>
      </c>
    </row>
    <row r="4557" spans="1:37" x14ac:dyDescent="0.25">
      <c r="A4557" t="s">
        <v>79</v>
      </c>
      <c r="B4557">
        <v>18</v>
      </c>
      <c r="C4557">
        <v>1</v>
      </c>
      <c r="D4557">
        <v>2</v>
      </c>
      <c r="E4557">
        <v>5</v>
      </c>
      <c r="G4557">
        <v>1812</v>
      </c>
      <c r="H4557" t="s">
        <v>5921</v>
      </c>
      <c r="I4557" t="s">
        <v>109</v>
      </c>
      <c r="J4557" t="s">
        <v>5945</v>
      </c>
      <c r="L4557">
        <v>0</v>
      </c>
      <c r="M4557" t="s">
        <v>125</v>
      </c>
      <c r="O4557" t="s">
        <v>125</v>
      </c>
      <c r="P4557" t="s">
        <v>125</v>
      </c>
      <c r="Q4557" t="s">
        <v>125</v>
      </c>
      <c r="R4557" t="s">
        <v>125</v>
      </c>
      <c r="S4557" t="s">
        <v>125</v>
      </c>
      <c r="T4557">
        <v>1304</v>
      </c>
      <c r="V4557" t="s">
        <v>125</v>
      </c>
      <c r="AE4557" t="s">
        <v>125</v>
      </c>
      <c r="AF4557">
        <v>0</v>
      </c>
      <c r="AG4557" t="s">
        <v>125</v>
      </c>
      <c r="AH4557">
        <v>0</v>
      </c>
      <c r="AK4557">
        <v>0</v>
      </c>
    </row>
    <row r="4558" spans="1:37" x14ac:dyDescent="0.25">
      <c r="A4558" t="s">
        <v>79</v>
      </c>
      <c r="B4558">
        <v>18</v>
      </c>
      <c r="C4558">
        <v>1</v>
      </c>
      <c r="D4558">
        <v>2</v>
      </c>
      <c r="E4558">
        <v>6</v>
      </c>
      <c r="G4558">
        <v>1812</v>
      </c>
      <c r="H4558" t="s">
        <v>5921</v>
      </c>
      <c r="I4558" t="s">
        <v>116</v>
      </c>
      <c r="J4558" t="s">
        <v>5946</v>
      </c>
      <c r="L4558">
        <v>0</v>
      </c>
      <c r="M4558" t="s">
        <v>125</v>
      </c>
      <c r="O4558" t="s">
        <v>125</v>
      </c>
      <c r="P4558" t="s">
        <v>125</v>
      </c>
      <c r="Q4558" t="s">
        <v>125</v>
      </c>
      <c r="R4558" t="s">
        <v>125</v>
      </c>
      <c r="S4558" t="s">
        <v>125</v>
      </c>
      <c r="T4558">
        <v>1304</v>
      </c>
      <c r="V4558" t="s">
        <v>125</v>
      </c>
      <c r="AE4558" t="s">
        <v>125</v>
      </c>
      <c r="AF4558">
        <v>0</v>
      </c>
      <c r="AG4558" t="s">
        <v>125</v>
      </c>
      <c r="AH4558">
        <v>0</v>
      </c>
      <c r="AK4558">
        <v>0</v>
      </c>
    </row>
    <row r="4559" spans="1:37" x14ac:dyDescent="0.25">
      <c r="A4559" t="s">
        <v>79</v>
      </c>
      <c r="B4559">
        <v>18</v>
      </c>
      <c r="C4559">
        <v>1</v>
      </c>
      <c r="D4559">
        <v>2</v>
      </c>
      <c r="E4559">
        <v>7</v>
      </c>
      <c r="G4559">
        <v>1812</v>
      </c>
      <c r="H4559" t="s">
        <v>5921</v>
      </c>
      <c r="I4559" t="s">
        <v>123</v>
      </c>
      <c r="J4559" t="s">
        <v>5947</v>
      </c>
      <c r="L4559">
        <v>0</v>
      </c>
      <c r="M4559" t="s">
        <v>125</v>
      </c>
      <c r="O4559" t="s">
        <v>125</v>
      </c>
      <c r="P4559" t="s">
        <v>125</v>
      </c>
      <c r="Q4559" t="s">
        <v>125</v>
      </c>
      <c r="R4559" t="s">
        <v>125</v>
      </c>
      <c r="S4559" t="s">
        <v>125</v>
      </c>
      <c r="T4559">
        <v>1304</v>
      </c>
      <c r="V4559" t="s">
        <v>125</v>
      </c>
      <c r="AE4559" t="s">
        <v>125</v>
      </c>
      <c r="AF4559">
        <v>0</v>
      </c>
      <c r="AG4559" t="s">
        <v>125</v>
      </c>
      <c r="AH4559">
        <v>0</v>
      </c>
      <c r="AK4559">
        <v>0</v>
      </c>
    </row>
    <row r="4560" spans="1:37" x14ac:dyDescent="0.25">
      <c r="A4560" t="s">
        <v>79</v>
      </c>
      <c r="B4560">
        <v>18</v>
      </c>
      <c r="C4560">
        <v>1</v>
      </c>
      <c r="D4560">
        <v>2</v>
      </c>
      <c r="E4560">
        <v>8</v>
      </c>
      <c r="G4560">
        <v>1812</v>
      </c>
      <c r="H4560" t="s">
        <v>5921</v>
      </c>
      <c r="I4560" t="s">
        <v>126</v>
      </c>
      <c r="J4560" t="s">
        <v>5948</v>
      </c>
      <c r="L4560">
        <v>0</v>
      </c>
      <c r="M4560" t="s">
        <v>125</v>
      </c>
      <c r="O4560" t="s">
        <v>125</v>
      </c>
      <c r="P4560" t="s">
        <v>125</v>
      </c>
      <c r="Q4560" t="s">
        <v>125</v>
      </c>
      <c r="R4560" t="s">
        <v>125</v>
      </c>
      <c r="S4560" t="s">
        <v>125</v>
      </c>
      <c r="T4560">
        <v>1304</v>
      </c>
      <c r="V4560" t="s">
        <v>125</v>
      </c>
      <c r="AE4560" t="s">
        <v>125</v>
      </c>
      <c r="AF4560">
        <v>0</v>
      </c>
      <c r="AG4560" t="s">
        <v>125</v>
      </c>
      <c r="AH4560">
        <v>0</v>
      </c>
      <c r="AK4560">
        <v>0</v>
      </c>
    </row>
    <row r="4561" spans="1:37" x14ac:dyDescent="0.25">
      <c r="A4561" t="s">
        <v>79</v>
      </c>
      <c r="B4561">
        <v>18</v>
      </c>
      <c r="C4561">
        <v>1</v>
      </c>
      <c r="D4561">
        <v>2</v>
      </c>
      <c r="E4561">
        <v>9</v>
      </c>
      <c r="G4561">
        <v>1812</v>
      </c>
      <c r="H4561" t="s">
        <v>5921</v>
      </c>
      <c r="I4561" t="s">
        <v>74</v>
      </c>
      <c r="J4561" t="s">
        <v>5949</v>
      </c>
      <c r="L4561">
        <v>0</v>
      </c>
      <c r="M4561" t="s">
        <v>125</v>
      </c>
      <c r="O4561" t="s">
        <v>125</v>
      </c>
      <c r="P4561" t="s">
        <v>125</v>
      </c>
      <c r="Q4561" t="s">
        <v>125</v>
      </c>
      <c r="R4561" t="s">
        <v>125</v>
      </c>
      <c r="S4561" t="s">
        <v>125</v>
      </c>
      <c r="T4561">
        <v>1304</v>
      </c>
      <c r="V4561" t="s">
        <v>125</v>
      </c>
      <c r="AE4561" t="s">
        <v>125</v>
      </c>
      <c r="AF4561">
        <v>0</v>
      </c>
      <c r="AG4561" t="s">
        <v>125</v>
      </c>
      <c r="AH4561">
        <v>0</v>
      </c>
      <c r="AK4561">
        <v>0</v>
      </c>
    </row>
    <row r="4562" spans="1:37" x14ac:dyDescent="0.25">
      <c r="A4562" t="s">
        <v>79</v>
      </c>
      <c r="B4562">
        <v>18</v>
      </c>
      <c r="C4562">
        <v>1</v>
      </c>
      <c r="D4562">
        <v>2</v>
      </c>
      <c r="E4562">
        <v>10</v>
      </c>
      <c r="G4562">
        <v>1812</v>
      </c>
      <c r="H4562" t="s">
        <v>5921</v>
      </c>
      <c r="I4562" t="s">
        <v>129</v>
      </c>
      <c r="J4562" t="s">
        <v>5950</v>
      </c>
      <c r="L4562">
        <v>0</v>
      </c>
      <c r="M4562" t="s">
        <v>125</v>
      </c>
      <c r="O4562" t="s">
        <v>125</v>
      </c>
      <c r="P4562" t="s">
        <v>125</v>
      </c>
      <c r="Q4562" t="s">
        <v>125</v>
      </c>
      <c r="R4562" t="s">
        <v>125</v>
      </c>
      <c r="S4562" t="s">
        <v>125</v>
      </c>
      <c r="T4562">
        <v>1304</v>
      </c>
      <c r="V4562" t="s">
        <v>125</v>
      </c>
      <c r="AE4562" t="s">
        <v>125</v>
      </c>
      <c r="AF4562">
        <v>0</v>
      </c>
      <c r="AG4562" t="s">
        <v>125</v>
      </c>
      <c r="AH4562">
        <v>0</v>
      </c>
      <c r="AK4562">
        <v>0</v>
      </c>
    </row>
    <row r="4563" spans="1:37" x14ac:dyDescent="0.25">
      <c r="A4563" t="s">
        <v>79</v>
      </c>
      <c r="B4563">
        <v>18</v>
      </c>
      <c r="C4563">
        <v>1</v>
      </c>
      <c r="D4563">
        <v>2</v>
      </c>
      <c r="E4563">
        <v>11</v>
      </c>
      <c r="G4563">
        <v>1812</v>
      </c>
      <c r="H4563" t="s">
        <v>5921</v>
      </c>
      <c r="I4563" t="s">
        <v>131</v>
      </c>
      <c r="J4563" t="s">
        <v>5951</v>
      </c>
      <c r="L4563">
        <v>0</v>
      </c>
      <c r="M4563" t="s">
        <v>125</v>
      </c>
      <c r="O4563" t="s">
        <v>125</v>
      </c>
      <c r="P4563" t="s">
        <v>125</v>
      </c>
      <c r="Q4563" t="s">
        <v>125</v>
      </c>
      <c r="R4563" t="s">
        <v>125</v>
      </c>
      <c r="S4563" t="s">
        <v>125</v>
      </c>
      <c r="T4563">
        <v>1304</v>
      </c>
      <c r="V4563" t="s">
        <v>125</v>
      </c>
      <c r="AE4563" t="s">
        <v>125</v>
      </c>
      <c r="AF4563">
        <v>0</v>
      </c>
      <c r="AG4563" t="s">
        <v>125</v>
      </c>
      <c r="AH4563">
        <v>0</v>
      </c>
      <c r="AK4563">
        <v>0</v>
      </c>
    </row>
    <row r="4564" spans="1:37" x14ac:dyDescent="0.25">
      <c r="A4564" t="s">
        <v>79</v>
      </c>
      <c r="B4564">
        <v>18</v>
      </c>
      <c r="C4564">
        <v>1</v>
      </c>
      <c r="D4564">
        <v>2</v>
      </c>
      <c r="E4564">
        <v>12</v>
      </c>
      <c r="G4564">
        <v>1812</v>
      </c>
      <c r="H4564" t="s">
        <v>5921</v>
      </c>
      <c r="I4564" t="s">
        <v>133</v>
      </c>
      <c r="J4564" t="s">
        <v>5952</v>
      </c>
      <c r="L4564">
        <v>0</v>
      </c>
      <c r="M4564" t="s">
        <v>125</v>
      </c>
      <c r="O4564" t="s">
        <v>125</v>
      </c>
      <c r="P4564" t="s">
        <v>125</v>
      </c>
      <c r="Q4564" t="s">
        <v>125</v>
      </c>
      <c r="R4564" t="s">
        <v>125</v>
      </c>
      <c r="S4564" t="s">
        <v>125</v>
      </c>
      <c r="T4564">
        <v>1304</v>
      </c>
      <c r="V4564" t="s">
        <v>125</v>
      </c>
      <c r="AE4564" t="s">
        <v>125</v>
      </c>
      <c r="AF4564">
        <v>0</v>
      </c>
      <c r="AG4564" t="s">
        <v>125</v>
      </c>
      <c r="AH4564">
        <v>0</v>
      </c>
      <c r="AK4564">
        <v>0</v>
      </c>
    </row>
    <row r="4565" spans="1:37" x14ac:dyDescent="0.25">
      <c r="A4565" t="s">
        <v>79</v>
      </c>
      <c r="B4565">
        <v>18</v>
      </c>
      <c r="C4565">
        <v>1</v>
      </c>
      <c r="D4565">
        <v>2</v>
      </c>
      <c r="E4565">
        <v>13</v>
      </c>
      <c r="G4565">
        <v>1812</v>
      </c>
      <c r="H4565" t="s">
        <v>5921</v>
      </c>
      <c r="I4565" t="s">
        <v>135</v>
      </c>
      <c r="J4565" t="s">
        <v>5953</v>
      </c>
      <c r="L4565">
        <v>0</v>
      </c>
      <c r="M4565" t="s">
        <v>125</v>
      </c>
      <c r="O4565" t="s">
        <v>125</v>
      </c>
      <c r="P4565" t="s">
        <v>125</v>
      </c>
      <c r="Q4565" t="s">
        <v>125</v>
      </c>
      <c r="R4565" t="s">
        <v>125</v>
      </c>
      <c r="S4565" t="s">
        <v>125</v>
      </c>
      <c r="T4565">
        <v>1304</v>
      </c>
      <c r="V4565" t="s">
        <v>125</v>
      </c>
      <c r="AE4565" t="s">
        <v>125</v>
      </c>
      <c r="AF4565">
        <v>0</v>
      </c>
      <c r="AG4565" t="s">
        <v>125</v>
      </c>
      <c r="AH4565">
        <v>0</v>
      </c>
      <c r="AK4565">
        <v>0</v>
      </c>
    </row>
    <row r="4566" spans="1:37" x14ac:dyDescent="0.25">
      <c r="A4566" t="s">
        <v>79</v>
      </c>
      <c r="B4566">
        <v>18</v>
      </c>
      <c r="C4566">
        <v>1</v>
      </c>
      <c r="D4566">
        <v>2</v>
      </c>
      <c r="E4566">
        <v>14</v>
      </c>
      <c r="G4566">
        <v>1812</v>
      </c>
      <c r="H4566" t="s">
        <v>5921</v>
      </c>
      <c r="I4566" t="s">
        <v>137</v>
      </c>
      <c r="J4566" t="s">
        <v>5954</v>
      </c>
      <c r="L4566">
        <v>0</v>
      </c>
      <c r="M4566" t="s">
        <v>125</v>
      </c>
      <c r="O4566" t="s">
        <v>125</v>
      </c>
      <c r="P4566" t="s">
        <v>125</v>
      </c>
      <c r="Q4566" t="s">
        <v>125</v>
      </c>
      <c r="R4566" t="s">
        <v>125</v>
      </c>
      <c r="S4566" t="s">
        <v>125</v>
      </c>
      <c r="T4566">
        <v>1304</v>
      </c>
      <c r="V4566" t="s">
        <v>125</v>
      </c>
      <c r="AE4566" t="s">
        <v>125</v>
      </c>
      <c r="AF4566">
        <v>0</v>
      </c>
      <c r="AG4566" t="s">
        <v>125</v>
      </c>
      <c r="AH4566">
        <v>0</v>
      </c>
      <c r="AK4566">
        <v>0</v>
      </c>
    </row>
    <row r="4567" spans="1:37" x14ac:dyDescent="0.25">
      <c r="A4567" t="s">
        <v>79</v>
      </c>
      <c r="B4567">
        <v>18</v>
      </c>
      <c r="C4567">
        <v>1</v>
      </c>
      <c r="D4567">
        <v>2</v>
      </c>
      <c r="E4567">
        <v>15</v>
      </c>
      <c r="G4567">
        <v>1812</v>
      </c>
      <c r="H4567" t="s">
        <v>5921</v>
      </c>
      <c r="I4567" t="s">
        <v>139</v>
      </c>
      <c r="J4567" t="s">
        <v>5955</v>
      </c>
      <c r="L4567">
        <v>0</v>
      </c>
      <c r="M4567" t="s">
        <v>125</v>
      </c>
      <c r="O4567" t="s">
        <v>125</v>
      </c>
      <c r="P4567" t="s">
        <v>125</v>
      </c>
      <c r="Q4567" t="s">
        <v>125</v>
      </c>
      <c r="R4567" t="s">
        <v>125</v>
      </c>
      <c r="S4567" t="s">
        <v>125</v>
      </c>
      <c r="T4567">
        <v>1304</v>
      </c>
      <c r="V4567" t="s">
        <v>125</v>
      </c>
      <c r="AE4567" t="s">
        <v>125</v>
      </c>
      <c r="AF4567">
        <v>0</v>
      </c>
      <c r="AG4567" t="s">
        <v>125</v>
      </c>
      <c r="AH4567">
        <v>0</v>
      </c>
      <c r="AK4567">
        <v>0</v>
      </c>
    </row>
    <row r="4568" spans="1:37" x14ac:dyDescent="0.25">
      <c r="L4568">
        <v>0</v>
      </c>
    </row>
    <row r="4569" spans="1:37" x14ac:dyDescent="0.25">
      <c r="A4569" t="s">
        <v>70</v>
      </c>
      <c r="B4569">
        <v>18</v>
      </c>
      <c r="C4569">
        <v>1</v>
      </c>
      <c r="D4569">
        <v>3</v>
      </c>
      <c r="G4569">
        <v>181</v>
      </c>
      <c r="L4569">
        <v>0</v>
      </c>
      <c r="M4569" t="s">
        <v>125</v>
      </c>
      <c r="P4569" t="s">
        <v>125</v>
      </c>
      <c r="R4569" t="s">
        <v>125</v>
      </c>
      <c r="S4569" t="s">
        <v>63</v>
      </c>
      <c r="V4569" t="s">
        <v>125</v>
      </c>
      <c r="X4569" t="s">
        <v>125</v>
      </c>
      <c r="Y4569" t="s">
        <v>125</v>
      </c>
      <c r="Z4569" t="s">
        <v>125</v>
      </c>
      <c r="AA4569" t="s">
        <v>125</v>
      </c>
      <c r="AB4569" t="s">
        <v>125</v>
      </c>
      <c r="AC4569" t="s">
        <v>125</v>
      </c>
      <c r="AE4569" t="s">
        <v>125</v>
      </c>
      <c r="AF4569">
        <v>0</v>
      </c>
      <c r="AG4569" t="s">
        <v>125</v>
      </c>
      <c r="AH4569">
        <v>0</v>
      </c>
      <c r="AK4569">
        <v>0</v>
      </c>
    </row>
    <row r="4570" spans="1:37" x14ac:dyDescent="0.25">
      <c r="A4570" t="s">
        <v>79</v>
      </c>
      <c r="B4570">
        <v>18</v>
      </c>
      <c r="C4570">
        <v>1</v>
      </c>
      <c r="D4570">
        <v>3</v>
      </c>
      <c r="E4570">
        <v>1</v>
      </c>
      <c r="G4570">
        <v>1813</v>
      </c>
      <c r="H4570" t="s">
        <v>63</v>
      </c>
      <c r="I4570" t="s">
        <v>80</v>
      </c>
      <c r="J4570" t="s">
        <v>141</v>
      </c>
      <c r="L4570">
        <v>0</v>
      </c>
      <c r="M4570" t="s">
        <v>125</v>
      </c>
      <c r="O4570" t="s">
        <v>125</v>
      </c>
      <c r="P4570" t="s">
        <v>125</v>
      </c>
      <c r="Q4570" t="s">
        <v>125</v>
      </c>
      <c r="R4570" t="s">
        <v>125</v>
      </c>
      <c r="S4570" t="s">
        <v>125</v>
      </c>
      <c r="T4570">
        <v>0</v>
      </c>
      <c r="V4570" t="s">
        <v>125</v>
      </c>
      <c r="AE4570" t="s">
        <v>125</v>
      </c>
      <c r="AF4570">
        <v>0</v>
      </c>
      <c r="AG4570" t="s">
        <v>125</v>
      </c>
      <c r="AH4570">
        <v>0</v>
      </c>
      <c r="AK4570">
        <v>0</v>
      </c>
    </row>
    <row r="4571" spans="1:37" x14ac:dyDescent="0.25">
      <c r="A4571" t="s">
        <v>79</v>
      </c>
      <c r="B4571">
        <v>18</v>
      </c>
      <c r="C4571">
        <v>1</v>
      </c>
      <c r="D4571">
        <v>3</v>
      </c>
      <c r="E4571">
        <v>2</v>
      </c>
      <c r="G4571">
        <v>1813</v>
      </c>
      <c r="H4571" t="s">
        <v>63</v>
      </c>
      <c r="I4571" t="s">
        <v>88</v>
      </c>
      <c r="J4571" t="s">
        <v>142</v>
      </c>
      <c r="L4571">
        <v>0</v>
      </c>
      <c r="M4571" t="s">
        <v>125</v>
      </c>
      <c r="O4571" t="s">
        <v>125</v>
      </c>
      <c r="P4571" t="s">
        <v>125</v>
      </c>
      <c r="Q4571" t="s">
        <v>125</v>
      </c>
      <c r="R4571" t="s">
        <v>125</v>
      </c>
      <c r="S4571" t="s">
        <v>125</v>
      </c>
      <c r="T4571">
        <v>0</v>
      </c>
      <c r="V4571" t="s">
        <v>125</v>
      </c>
      <c r="AE4571" t="s">
        <v>125</v>
      </c>
      <c r="AF4571">
        <v>0</v>
      </c>
      <c r="AG4571" t="s">
        <v>125</v>
      </c>
      <c r="AH4571">
        <v>0</v>
      </c>
      <c r="AK4571">
        <v>0</v>
      </c>
    </row>
    <row r="4572" spans="1:37" x14ac:dyDescent="0.25">
      <c r="A4572" t="s">
        <v>79</v>
      </c>
      <c r="B4572">
        <v>18</v>
      </c>
      <c r="C4572">
        <v>1</v>
      </c>
      <c r="D4572">
        <v>3</v>
      </c>
      <c r="E4572">
        <v>3</v>
      </c>
      <c r="G4572">
        <v>1813</v>
      </c>
      <c r="H4572" t="s">
        <v>63</v>
      </c>
      <c r="I4572" t="s">
        <v>95</v>
      </c>
      <c r="J4572" t="s">
        <v>143</v>
      </c>
      <c r="L4572">
        <v>0</v>
      </c>
      <c r="M4572" t="s">
        <v>125</v>
      </c>
      <c r="O4572" t="s">
        <v>125</v>
      </c>
      <c r="P4572" t="s">
        <v>125</v>
      </c>
      <c r="Q4572" t="s">
        <v>125</v>
      </c>
      <c r="R4572" t="s">
        <v>125</v>
      </c>
      <c r="S4572" t="s">
        <v>125</v>
      </c>
      <c r="T4572">
        <v>0</v>
      </c>
      <c r="V4572" t="s">
        <v>125</v>
      </c>
      <c r="AE4572" t="s">
        <v>125</v>
      </c>
      <c r="AF4572">
        <v>0</v>
      </c>
      <c r="AG4572" t="s">
        <v>125</v>
      </c>
      <c r="AH4572">
        <v>0</v>
      </c>
      <c r="AK4572">
        <v>0</v>
      </c>
    </row>
    <row r="4573" spans="1:37" x14ac:dyDescent="0.25">
      <c r="A4573" t="s">
        <v>79</v>
      </c>
      <c r="B4573">
        <v>18</v>
      </c>
      <c r="C4573">
        <v>1</v>
      </c>
      <c r="D4573">
        <v>3</v>
      </c>
      <c r="E4573">
        <v>4</v>
      </c>
      <c r="G4573">
        <v>1813</v>
      </c>
      <c r="H4573" t="s">
        <v>63</v>
      </c>
      <c r="I4573" t="s">
        <v>102</v>
      </c>
      <c r="J4573" t="s">
        <v>144</v>
      </c>
      <c r="L4573">
        <v>0</v>
      </c>
      <c r="M4573" t="s">
        <v>125</v>
      </c>
      <c r="O4573" t="s">
        <v>125</v>
      </c>
      <c r="P4573" t="s">
        <v>125</v>
      </c>
      <c r="Q4573" t="s">
        <v>125</v>
      </c>
      <c r="R4573" t="s">
        <v>125</v>
      </c>
      <c r="S4573" t="s">
        <v>125</v>
      </c>
      <c r="T4573">
        <v>0</v>
      </c>
      <c r="V4573" t="s">
        <v>125</v>
      </c>
      <c r="AE4573" t="s">
        <v>125</v>
      </c>
      <c r="AF4573">
        <v>0</v>
      </c>
      <c r="AG4573" t="s">
        <v>125</v>
      </c>
      <c r="AH4573">
        <v>0</v>
      </c>
      <c r="AK4573">
        <v>0</v>
      </c>
    </row>
    <row r="4574" spans="1:37" x14ac:dyDescent="0.25">
      <c r="A4574" t="s">
        <v>79</v>
      </c>
      <c r="B4574">
        <v>18</v>
      </c>
      <c r="C4574">
        <v>1</v>
      </c>
      <c r="D4574">
        <v>3</v>
      </c>
      <c r="E4574">
        <v>5</v>
      </c>
      <c r="G4574">
        <v>1813</v>
      </c>
      <c r="H4574" t="s">
        <v>63</v>
      </c>
      <c r="I4574" t="s">
        <v>109</v>
      </c>
      <c r="J4574" t="s">
        <v>145</v>
      </c>
      <c r="L4574">
        <v>0</v>
      </c>
      <c r="M4574" t="s">
        <v>125</v>
      </c>
      <c r="O4574" t="s">
        <v>125</v>
      </c>
      <c r="P4574" t="s">
        <v>125</v>
      </c>
      <c r="Q4574" t="s">
        <v>125</v>
      </c>
      <c r="R4574" t="s">
        <v>125</v>
      </c>
      <c r="S4574" t="s">
        <v>125</v>
      </c>
      <c r="T4574">
        <v>0</v>
      </c>
      <c r="V4574" t="s">
        <v>125</v>
      </c>
      <c r="AE4574" t="s">
        <v>125</v>
      </c>
      <c r="AF4574">
        <v>0</v>
      </c>
      <c r="AG4574" t="s">
        <v>125</v>
      </c>
      <c r="AH4574">
        <v>0</v>
      </c>
      <c r="AK4574">
        <v>0</v>
      </c>
    </row>
    <row r="4575" spans="1:37" x14ac:dyDescent="0.25">
      <c r="A4575" t="s">
        <v>79</v>
      </c>
      <c r="B4575">
        <v>18</v>
      </c>
      <c r="C4575">
        <v>1</v>
      </c>
      <c r="D4575">
        <v>3</v>
      </c>
      <c r="E4575">
        <v>6</v>
      </c>
      <c r="G4575">
        <v>1813</v>
      </c>
      <c r="H4575" t="s">
        <v>63</v>
      </c>
      <c r="I4575" t="s">
        <v>116</v>
      </c>
      <c r="J4575" t="s">
        <v>146</v>
      </c>
      <c r="L4575">
        <v>0</v>
      </c>
      <c r="M4575" t="s">
        <v>125</v>
      </c>
      <c r="O4575" t="s">
        <v>125</v>
      </c>
      <c r="P4575" t="s">
        <v>125</v>
      </c>
      <c r="Q4575" t="s">
        <v>125</v>
      </c>
      <c r="R4575" t="s">
        <v>125</v>
      </c>
      <c r="S4575" t="s">
        <v>125</v>
      </c>
      <c r="T4575">
        <v>0</v>
      </c>
      <c r="V4575" t="s">
        <v>125</v>
      </c>
      <c r="AE4575" t="s">
        <v>125</v>
      </c>
      <c r="AF4575">
        <v>0</v>
      </c>
      <c r="AG4575" t="s">
        <v>125</v>
      </c>
      <c r="AH4575">
        <v>0</v>
      </c>
      <c r="AK4575">
        <v>0</v>
      </c>
    </row>
    <row r="4576" spans="1:37" x14ac:dyDescent="0.25">
      <c r="A4576" t="s">
        <v>79</v>
      </c>
      <c r="B4576">
        <v>18</v>
      </c>
      <c r="C4576">
        <v>1</v>
      </c>
      <c r="D4576">
        <v>3</v>
      </c>
      <c r="E4576">
        <v>7</v>
      </c>
      <c r="G4576">
        <v>1813</v>
      </c>
      <c r="H4576" t="s">
        <v>63</v>
      </c>
      <c r="I4576" t="s">
        <v>123</v>
      </c>
      <c r="J4576" t="s">
        <v>147</v>
      </c>
      <c r="L4576">
        <v>0</v>
      </c>
      <c r="M4576" t="s">
        <v>125</v>
      </c>
      <c r="O4576" t="s">
        <v>125</v>
      </c>
      <c r="P4576" t="s">
        <v>125</v>
      </c>
      <c r="Q4576" t="s">
        <v>125</v>
      </c>
      <c r="R4576" t="s">
        <v>125</v>
      </c>
      <c r="S4576" t="s">
        <v>125</v>
      </c>
      <c r="T4576">
        <v>0</v>
      </c>
      <c r="V4576" t="s">
        <v>125</v>
      </c>
      <c r="AE4576" t="s">
        <v>125</v>
      </c>
      <c r="AF4576">
        <v>0</v>
      </c>
      <c r="AG4576" t="s">
        <v>125</v>
      </c>
      <c r="AH4576">
        <v>0</v>
      </c>
      <c r="AK4576">
        <v>0</v>
      </c>
    </row>
    <row r="4577" spans="1:37" x14ac:dyDescent="0.25">
      <c r="A4577" t="s">
        <v>79</v>
      </c>
      <c r="B4577">
        <v>18</v>
      </c>
      <c r="C4577">
        <v>1</v>
      </c>
      <c r="D4577">
        <v>3</v>
      </c>
      <c r="E4577">
        <v>8</v>
      </c>
      <c r="G4577">
        <v>1813</v>
      </c>
      <c r="H4577" t="s">
        <v>63</v>
      </c>
      <c r="I4577" t="s">
        <v>126</v>
      </c>
      <c r="J4577" t="s">
        <v>148</v>
      </c>
      <c r="L4577">
        <v>0</v>
      </c>
      <c r="M4577" t="s">
        <v>125</v>
      </c>
      <c r="O4577" t="s">
        <v>125</v>
      </c>
      <c r="P4577" t="s">
        <v>125</v>
      </c>
      <c r="Q4577" t="s">
        <v>125</v>
      </c>
      <c r="R4577" t="s">
        <v>125</v>
      </c>
      <c r="S4577" t="s">
        <v>125</v>
      </c>
      <c r="T4577">
        <v>0</v>
      </c>
      <c r="V4577" t="s">
        <v>125</v>
      </c>
      <c r="AE4577" t="s">
        <v>125</v>
      </c>
      <c r="AF4577">
        <v>0</v>
      </c>
      <c r="AG4577" t="s">
        <v>125</v>
      </c>
      <c r="AH4577">
        <v>0</v>
      </c>
      <c r="AK4577">
        <v>0</v>
      </c>
    </row>
    <row r="4578" spans="1:37" x14ac:dyDescent="0.25">
      <c r="A4578" t="s">
        <v>79</v>
      </c>
      <c r="B4578">
        <v>18</v>
      </c>
      <c r="C4578">
        <v>1</v>
      </c>
      <c r="D4578">
        <v>3</v>
      </c>
      <c r="E4578">
        <v>9</v>
      </c>
      <c r="G4578">
        <v>1813</v>
      </c>
      <c r="H4578" t="s">
        <v>63</v>
      </c>
      <c r="I4578" t="s">
        <v>74</v>
      </c>
      <c r="J4578" t="s">
        <v>149</v>
      </c>
      <c r="L4578">
        <v>0</v>
      </c>
      <c r="M4578" t="s">
        <v>125</v>
      </c>
      <c r="O4578" t="s">
        <v>125</v>
      </c>
      <c r="P4578" t="s">
        <v>125</v>
      </c>
      <c r="Q4578" t="s">
        <v>125</v>
      </c>
      <c r="R4578" t="s">
        <v>125</v>
      </c>
      <c r="S4578" t="s">
        <v>125</v>
      </c>
      <c r="T4578">
        <v>0</v>
      </c>
      <c r="V4578" t="s">
        <v>125</v>
      </c>
      <c r="AE4578" t="s">
        <v>125</v>
      </c>
      <c r="AF4578">
        <v>0</v>
      </c>
      <c r="AG4578" t="s">
        <v>125</v>
      </c>
      <c r="AH4578">
        <v>0</v>
      </c>
      <c r="AK4578">
        <v>0</v>
      </c>
    </row>
    <row r="4579" spans="1:37" x14ac:dyDescent="0.25">
      <c r="A4579" t="s">
        <v>79</v>
      </c>
      <c r="B4579">
        <v>18</v>
      </c>
      <c r="C4579">
        <v>1</v>
      </c>
      <c r="D4579">
        <v>3</v>
      </c>
      <c r="E4579">
        <v>10</v>
      </c>
      <c r="G4579">
        <v>1813</v>
      </c>
      <c r="H4579" t="s">
        <v>63</v>
      </c>
      <c r="I4579" t="s">
        <v>129</v>
      </c>
      <c r="J4579" t="s">
        <v>150</v>
      </c>
      <c r="L4579">
        <v>0</v>
      </c>
      <c r="M4579" t="s">
        <v>125</v>
      </c>
      <c r="O4579" t="s">
        <v>125</v>
      </c>
      <c r="P4579" t="s">
        <v>125</v>
      </c>
      <c r="Q4579" t="s">
        <v>125</v>
      </c>
      <c r="R4579" t="s">
        <v>125</v>
      </c>
      <c r="S4579" t="s">
        <v>125</v>
      </c>
      <c r="T4579">
        <v>0</v>
      </c>
      <c r="V4579" t="s">
        <v>125</v>
      </c>
      <c r="AE4579" t="s">
        <v>125</v>
      </c>
      <c r="AF4579">
        <v>0</v>
      </c>
      <c r="AG4579" t="s">
        <v>125</v>
      </c>
      <c r="AH4579">
        <v>0</v>
      </c>
      <c r="AK4579">
        <v>0</v>
      </c>
    </row>
    <row r="4580" spans="1:37" x14ac:dyDescent="0.25">
      <c r="A4580" t="s">
        <v>79</v>
      </c>
      <c r="B4580">
        <v>18</v>
      </c>
      <c r="C4580">
        <v>1</v>
      </c>
      <c r="D4580">
        <v>3</v>
      </c>
      <c r="E4580">
        <v>11</v>
      </c>
      <c r="G4580">
        <v>1813</v>
      </c>
      <c r="H4580" t="s">
        <v>63</v>
      </c>
      <c r="I4580" t="s">
        <v>131</v>
      </c>
      <c r="J4580" t="s">
        <v>151</v>
      </c>
      <c r="L4580">
        <v>0</v>
      </c>
      <c r="M4580" t="s">
        <v>125</v>
      </c>
      <c r="O4580" t="s">
        <v>125</v>
      </c>
      <c r="P4580" t="s">
        <v>125</v>
      </c>
      <c r="Q4580" t="s">
        <v>125</v>
      </c>
      <c r="R4580" t="s">
        <v>125</v>
      </c>
      <c r="S4580" t="s">
        <v>125</v>
      </c>
      <c r="T4580">
        <v>0</v>
      </c>
      <c r="V4580" t="s">
        <v>125</v>
      </c>
      <c r="AE4580" t="s">
        <v>125</v>
      </c>
      <c r="AF4580">
        <v>0</v>
      </c>
      <c r="AG4580" t="s">
        <v>125</v>
      </c>
      <c r="AH4580">
        <v>0</v>
      </c>
      <c r="AK4580">
        <v>0</v>
      </c>
    </row>
    <row r="4581" spans="1:37" x14ac:dyDescent="0.25">
      <c r="A4581" t="s">
        <v>79</v>
      </c>
      <c r="B4581">
        <v>18</v>
      </c>
      <c r="C4581">
        <v>1</v>
      </c>
      <c r="D4581">
        <v>3</v>
      </c>
      <c r="E4581">
        <v>12</v>
      </c>
      <c r="G4581">
        <v>1813</v>
      </c>
      <c r="H4581" t="s">
        <v>63</v>
      </c>
      <c r="I4581" t="s">
        <v>133</v>
      </c>
      <c r="J4581" t="s">
        <v>152</v>
      </c>
      <c r="L4581">
        <v>0</v>
      </c>
      <c r="M4581" t="s">
        <v>125</v>
      </c>
      <c r="O4581" t="s">
        <v>125</v>
      </c>
      <c r="P4581" t="s">
        <v>125</v>
      </c>
      <c r="Q4581" t="s">
        <v>125</v>
      </c>
      <c r="R4581" t="s">
        <v>125</v>
      </c>
      <c r="S4581" t="s">
        <v>125</v>
      </c>
      <c r="T4581">
        <v>0</v>
      </c>
      <c r="V4581" t="s">
        <v>125</v>
      </c>
      <c r="AE4581" t="s">
        <v>125</v>
      </c>
      <c r="AF4581">
        <v>0</v>
      </c>
      <c r="AG4581" t="s">
        <v>125</v>
      </c>
      <c r="AH4581">
        <v>0</v>
      </c>
      <c r="AK4581">
        <v>0</v>
      </c>
    </row>
    <row r="4582" spans="1:37" x14ac:dyDescent="0.25">
      <c r="A4582" t="s">
        <v>79</v>
      </c>
      <c r="B4582">
        <v>18</v>
      </c>
      <c r="C4582">
        <v>1</v>
      </c>
      <c r="D4582">
        <v>3</v>
      </c>
      <c r="E4582">
        <v>13</v>
      </c>
      <c r="G4582">
        <v>1813</v>
      </c>
      <c r="H4582" t="s">
        <v>63</v>
      </c>
      <c r="I4582" t="s">
        <v>135</v>
      </c>
      <c r="J4582" t="s">
        <v>153</v>
      </c>
      <c r="L4582">
        <v>0</v>
      </c>
      <c r="M4582" t="s">
        <v>125</v>
      </c>
      <c r="O4582" t="s">
        <v>125</v>
      </c>
      <c r="P4582" t="s">
        <v>125</v>
      </c>
      <c r="Q4582" t="s">
        <v>125</v>
      </c>
      <c r="R4582" t="s">
        <v>125</v>
      </c>
      <c r="S4582" t="s">
        <v>125</v>
      </c>
      <c r="T4582">
        <v>0</v>
      </c>
      <c r="V4582" t="s">
        <v>125</v>
      </c>
      <c r="AE4582" t="s">
        <v>125</v>
      </c>
      <c r="AF4582">
        <v>0</v>
      </c>
      <c r="AG4582" t="s">
        <v>125</v>
      </c>
      <c r="AH4582">
        <v>0</v>
      </c>
      <c r="AK4582">
        <v>0</v>
      </c>
    </row>
    <row r="4583" spans="1:37" x14ac:dyDescent="0.25">
      <c r="A4583" t="s">
        <v>79</v>
      </c>
      <c r="B4583">
        <v>18</v>
      </c>
      <c r="C4583">
        <v>1</v>
      </c>
      <c r="D4583">
        <v>3</v>
      </c>
      <c r="E4583">
        <v>14</v>
      </c>
      <c r="G4583">
        <v>1813</v>
      </c>
      <c r="H4583" t="s">
        <v>63</v>
      </c>
      <c r="I4583" t="s">
        <v>137</v>
      </c>
      <c r="J4583" t="s">
        <v>154</v>
      </c>
      <c r="L4583">
        <v>0</v>
      </c>
      <c r="M4583" t="s">
        <v>125</v>
      </c>
      <c r="O4583" t="s">
        <v>125</v>
      </c>
      <c r="P4583" t="s">
        <v>125</v>
      </c>
      <c r="Q4583" t="s">
        <v>125</v>
      </c>
      <c r="R4583" t="s">
        <v>125</v>
      </c>
      <c r="S4583" t="s">
        <v>125</v>
      </c>
      <c r="T4583">
        <v>0</v>
      </c>
      <c r="V4583" t="s">
        <v>125</v>
      </c>
      <c r="AE4583" t="s">
        <v>125</v>
      </c>
      <c r="AF4583">
        <v>0</v>
      </c>
      <c r="AG4583" t="s">
        <v>125</v>
      </c>
      <c r="AH4583">
        <v>0</v>
      </c>
      <c r="AK4583">
        <v>0</v>
      </c>
    </row>
    <row r="4584" spans="1:37" x14ac:dyDescent="0.25">
      <c r="A4584" t="s">
        <v>79</v>
      </c>
      <c r="B4584">
        <v>18</v>
      </c>
      <c r="C4584">
        <v>1</v>
      </c>
      <c r="D4584">
        <v>3</v>
      </c>
      <c r="E4584">
        <v>15</v>
      </c>
      <c r="G4584">
        <v>1813</v>
      </c>
      <c r="H4584" t="s">
        <v>63</v>
      </c>
      <c r="I4584" t="s">
        <v>139</v>
      </c>
      <c r="J4584" t="s">
        <v>155</v>
      </c>
      <c r="L4584">
        <v>0</v>
      </c>
      <c r="M4584" t="s">
        <v>125</v>
      </c>
      <c r="O4584" t="s">
        <v>125</v>
      </c>
      <c r="P4584" t="s">
        <v>125</v>
      </c>
      <c r="Q4584" t="s">
        <v>125</v>
      </c>
      <c r="R4584" t="s">
        <v>125</v>
      </c>
      <c r="S4584" t="s">
        <v>125</v>
      </c>
      <c r="T4584">
        <v>0</v>
      </c>
      <c r="V4584" t="s">
        <v>125</v>
      </c>
      <c r="AE4584" t="s">
        <v>125</v>
      </c>
      <c r="AF4584">
        <v>0</v>
      </c>
      <c r="AG4584" t="s">
        <v>125</v>
      </c>
      <c r="AH4584">
        <v>0</v>
      </c>
      <c r="AK4584">
        <v>0</v>
      </c>
    </row>
    <row r="4585" spans="1:37" x14ac:dyDescent="0.25">
      <c r="L4585">
        <v>0</v>
      </c>
    </row>
    <row r="4586" spans="1:37" x14ac:dyDescent="0.25">
      <c r="A4586" t="s">
        <v>70</v>
      </c>
      <c r="B4586">
        <v>18</v>
      </c>
      <c r="C4586">
        <v>1</v>
      </c>
      <c r="D4586">
        <v>4</v>
      </c>
      <c r="G4586">
        <v>181</v>
      </c>
      <c r="L4586">
        <v>0</v>
      </c>
      <c r="M4586" t="s">
        <v>125</v>
      </c>
      <c r="P4586" t="s">
        <v>125</v>
      </c>
      <c r="R4586" t="s">
        <v>125</v>
      </c>
      <c r="S4586" t="s">
        <v>63</v>
      </c>
      <c r="V4586" t="s">
        <v>125</v>
      </c>
      <c r="X4586" t="s">
        <v>125</v>
      </c>
      <c r="Y4586" t="s">
        <v>125</v>
      </c>
      <c r="Z4586" t="s">
        <v>125</v>
      </c>
      <c r="AA4586" t="s">
        <v>125</v>
      </c>
      <c r="AB4586" t="s">
        <v>125</v>
      </c>
      <c r="AC4586" t="s">
        <v>125</v>
      </c>
      <c r="AE4586" t="s">
        <v>125</v>
      </c>
      <c r="AF4586">
        <v>0</v>
      </c>
      <c r="AG4586" t="s">
        <v>125</v>
      </c>
      <c r="AH4586">
        <v>0</v>
      </c>
      <c r="AK4586">
        <v>0</v>
      </c>
    </row>
    <row r="4587" spans="1:37" x14ac:dyDescent="0.25">
      <c r="A4587" t="s">
        <v>79</v>
      </c>
      <c r="B4587">
        <v>18</v>
      </c>
      <c r="C4587">
        <v>1</v>
      </c>
      <c r="D4587">
        <v>4</v>
      </c>
      <c r="E4587">
        <v>1</v>
      </c>
      <c r="G4587">
        <v>1814</v>
      </c>
      <c r="H4587" t="s">
        <v>63</v>
      </c>
      <c r="I4587" t="s">
        <v>80</v>
      </c>
      <c r="J4587" t="s">
        <v>141</v>
      </c>
      <c r="L4587">
        <v>0</v>
      </c>
      <c r="M4587" t="s">
        <v>125</v>
      </c>
      <c r="O4587" t="s">
        <v>125</v>
      </c>
      <c r="P4587" t="s">
        <v>125</v>
      </c>
      <c r="Q4587" t="s">
        <v>125</v>
      </c>
      <c r="R4587" t="s">
        <v>125</v>
      </c>
      <c r="S4587" t="s">
        <v>125</v>
      </c>
      <c r="T4587">
        <v>0</v>
      </c>
      <c r="V4587" t="s">
        <v>125</v>
      </c>
      <c r="AE4587" t="s">
        <v>125</v>
      </c>
      <c r="AF4587">
        <v>0</v>
      </c>
      <c r="AG4587" t="s">
        <v>125</v>
      </c>
      <c r="AH4587">
        <v>0</v>
      </c>
      <c r="AK4587">
        <v>0</v>
      </c>
    </row>
    <row r="4588" spans="1:37" x14ac:dyDescent="0.25">
      <c r="A4588" t="s">
        <v>79</v>
      </c>
      <c r="B4588">
        <v>18</v>
      </c>
      <c r="C4588">
        <v>1</v>
      </c>
      <c r="D4588">
        <v>4</v>
      </c>
      <c r="E4588">
        <v>2</v>
      </c>
      <c r="G4588">
        <v>1814</v>
      </c>
      <c r="H4588" t="s">
        <v>63</v>
      </c>
      <c r="I4588" t="s">
        <v>88</v>
      </c>
      <c r="J4588" t="s">
        <v>142</v>
      </c>
      <c r="L4588">
        <v>0</v>
      </c>
      <c r="M4588" t="s">
        <v>125</v>
      </c>
      <c r="O4588" t="s">
        <v>125</v>
      </c>
      <c r="P4588" t="s">
        <v>125</v>
      </c>
      <c r="Q4588" t="s">
        <v>125</v>
      </c>
      <c r="R4588" t="s">
        <v>125</v>
      </c>
      <c r="S4588" t="s">
        <v>125</v>
      </c>
      <c r="T4588">
        <v>0</v>
      </c>
      <c r="V4588" t="s">
        <v>125</v>
      </c>
      <c r="AE4588" t="s">
        <v>125</v>
      </c>
      <c r="AF4588">
        <v>0</v>
      </c>
      <c r="AG4588" t="s">
        <v>125</v>
      </c>
      <c r="AH4588">
        <v>0</v>
      </c>
      <c r="AK4588">
        <v>0</v>
      </c>
    </row>
    <row r="4589" spans="1:37" x14ac:dyDescent="0.25">
      <c r="A4589" t="s">
        <v>79</v>
      </c>
      <c r="B4589">
        <v>18</v>
      </c>
      <c r="C4589">
        <v>1</v>
      </c>
      <c r="D4589">
        <v>4</v>
      </c>
      <c r="E4589">
        <v>3</v>
      </c>
      <c r="G4589">
        <v>1814</v>
      </c>
      <c r="H4589" t="s">
        <v>63</v>
      </c>
      <c r="I4589" t="s">
        <v>95</v>
      </c>
      <c r="J4589" t="s">
        <v>143</v>
      </c>
      <c r="L4589">
        <v>0</v>
      </c>
      <c r="M4589" t="s">
        <v>125</v>
      </c>
      <c r="O4589" t="s">
        <v>125</v>
      </c>
      <c r="P4589" t="s">
        <v>125</v>
      </c>
      <c r="Q4589" t="s">
        <v>125</v>
      </c>
      <c r="R4589" t="s">
        <v>125</v>
      </c>
      <c r="S4589" t="s">
        <v>125</v>
      </c>
      <c r="T4589">
        <v>0</v>
      </c>
      <c r="V4589" t="s">
        <v>125</v>
      </c>
      <c r="AE4589" t="s">
        <v>125</v>
      </c>
      <c r="AF4589">
        <v>0</v>
      </c>
      <c r="AG4589" t="s">
        <v>125</v>
      </c>
      <c r="AH4589">
        <v>0</v>
      </c>
      <c r="AK4589">
        <v>0</v>
      </c>
    </row>
    <row r="4590" spans="1:37" x14ac:dyDescent="0.25">
      <c r="A4590" t="s">
        <v>79</v>
      </c>
      <c r="B4590">
        <v>18</v>
      </c>
      <c r="C4590">
        <v>1</v>
      </c>
      <c r="D4590">
        <v>4</v>
      </c>
      <c r="E4590">
        <v>4</v>
      </c>
      <c r="G4590">
        <v>1814</v>
      </c>
      <c r="H4590" t="s">
        <v>63</v>
      </c>
      <c r="I4590" t="s">
        <v>102</v>
      </c>
      <c r="J4590" t="s">
        <v>144</v>
      </c>
      <c r="L4590">
        <v>0</v>
      </c>
      <c r="M4590" t="s">
        <v>125</v>
      </c>
      <c r="O4590" t="s">
        <v>125</v>
      </c>
      <c r="P4590" t="s">
        <v>125</v>
      </c>
      <c r="Q4590" t="s">
        <v>125</v>
      </c>
      <c r="R4590" t="s">
        <v>125</v>
      </c>
      <c r="S4590" t="s">
        <v>125</v>
      </c>
      <c r="T4590">
        <v>0</v>
      </c>
      <c r="V4590" t="s">
        <v>125</v>
      </c>
      <c r="AE4590" t="s">
        <v>125</v>
      </c>
      <c r="AF4590">
        <v>0</v>
      </c>
      <c r="AG4590" t="s">
        <v>125</v>
      </c>
      <c r="AH4590">
        <v>0</v>
      </c>
      <c r="AK4590">
        <v>0</v>
      </c>
    </row>
    <row r="4591" spans="1:37" x14ac:dyDescent="0.25">
      <c r="A4591" t="s">
        <v>79</v>
      </c>
      <c r="B4591">
        <v>18</v>
      </c>
      <c r="C4591">
        <v>1</v>
      </c>
      <c r="D4591">
        <v>4</v>
      </c>
      <c r="E4591">
        <v>5</v>
      </c>
      <c r="G4591">
        <v>1814</v>
      </c>
      <c r="H4591" t="s">
        <v>63</v>
      </c>
      <c r="I4591" t="s">
        <v>109</v>
      </c>
      <c r="J4591" t="s">
        <v>145</v>
      </c>
      <c r="L4591">
        <v>0</v>
      </c>
      <c r="M4591" t="s">
        <v>125</v>
      </c>
      <c r="O4591" t="s">
        <v>125</v>
      </c>
      <c r="P4591" t="s">
        <v>125</v>
      </c>
      <c r="Q4591" t="s">
        <v>125</v>
      </c>
      <c r="R4591" t="s">
        <v>125</v>
      </c>
      <c r="S4591" t="s">
        <v>125</v>
      </c>
      <c r="T4591">
        <v>0</v>
      </c>
      <c r="V4591" t="s">
        <v>125</v>
      </c>
      <c r="AE4591" t="s">
        <v>125</v>
      </c>
      <c r="AF4591">
        <v>0</v>
      </c>
      <c r="AG4591" t="s">
        <v>125</v>
      </c>
      <c r="AH4591">
        <v>0</v>
      </c>
      <c r="AK4591">
        <v>0</v>
      </c>
    </row>
    <row r="4592" spans="1:37" x14ac:dyDescent="0.25">
      <c r="A4592" t="s">
        <v>79</v>
      </c>
      <c r="B4592">
        <v>18</v>
      </c>
      <c r="C4592">
        <v>1</v>
      </c>
      <c r="D4592">
        <v>4</v>
      </c>
      <c r="E4592">
        <v>6</v>
      </c>
      <c r="G4592">
        <v>1814</v>
      </c>
      <c r="H4592" t="s">
        <v>63</v>
      </c>
      <c r="I4592" t="s">
        <v>116</v>
      </c>
      <c r="J4592" t="s">
        <v>146</v>
      </c>
      <c r="L4592">
        <v>0</v>
      </c>
      <c r="M4592" t="s">
        <v>125</v>
      </c>
      <c r="O4592" t="s">
        <v>125</v>
      </c>
      <c r="P4592" t="s">
        <v>125</v>
      </c>
      <c r="Q4592" t="s">
        <v>125</v>
      </c>
      <c r="R4592" t="s">
        <v>125</v>
      </c>
      <c r="S4592" t="s">
        <v>125</v>
      </c>
      <c r="T4592">
        <v>0</v>
      </c>
      <c r="V4592" t="s">
        <v>125</v>
      </c>
      <c r="AE4592" t="s">
        <v>125</v>
      </c>
      <c r="AF4592">
        <v>0</v>
      </c>
      <c r="AG4592" t="s">
        <v>125</v>
      </c>
      <c r="AH4592">
        <v>0</v>
      </c>
      <c r="AK4592">
        <v>0</v>
      </c>
    </row>
    <row r="4593" spans="1:37" x14ac:dyDescent="0.25">
      <c r="A4593" t="s">
        <v>79</v>
      </c>
      <c r="B4593">
        <v>18</v>
      </c>
      <c r="C4593">
        <v>1</v>
      </c>
      <c r="D4593">
        <v>4</v>
      </c>
      <c r="E4593">
        <v>7</v>
      </c>
      <c r="G4593">
        <v>1814</v>
      </c>
      <c r="H4593" t="s">
        <v>63</v>
      </c>
      <c r="I4593" t="s">
        <v>123</v>
      </c>
      <c r="J4593" t="s">
        <v>147</v>
      </c>
      <c r="L4593">
        <v>0</v>
      </c>
      <c r="M4593" t="s">
        <v>125</v>
      </c>
      <c r="O4593" t="s">
        <v>125</v>
      </c>
      <c r="P4593" t="s">
        <v>125</v>
      </c>
      <c r="Q4593" t="s">
        <v>125</v>
      </c>
      <c r="R4593" t="s">
        <v>125</v>
      </c>
      <c r="S4593" t="s">
        <v>125</v>
      </c>
      <c r="T4593">
        <v>0</v>
      </c>
      <c r="V4593" t="s">
        <v>125</v>
      </c>
      <c r="AE4593" t="s">
        <v>125</v>
      </c>
      <c r="AF4593">
        <v>0</v>
      </c>
      <c r="AG4593" t="s">
        <v>125</v>
      </c>
      <c r="AH4593">
        <v>0</v>
      </c>
      <c r="AK4593">
        <v>0</v>
      </c>
    </row>
    <row r="4594" spans="1:37" x14ac:dyDescent="0.25">
      <c r="A4594" t="s">
        <v>79</v>
      </c>
      <c r="B4594">
        <v>18</v>
      </c>
      <c r="C4594">
        <v>1</v>
      </c>
      <c r="D4594">
        <v>4</v>
      </c>
      <c r="E4594">
        <v>8</v>
      </c>
      <c r="G4594">
        <v>1814</v>
      </c>
      <c r="H4594" t="s">
        <v>63</v>
      </c>
      <c r="I4594" t="s">
        <v>126</v>
      </c>
      <c r="J4594" t="s">
        <v>148</v>
      </c>
      <c r="L4594">
        <v>0</v>
      </c>
      <c r="M4594" t="s">
        <v>125</v>
      </c>
      <c r="O4594" t="s">
        <v>125</v>
      </c>
      <c r="P4594" t="s">
        <v>125</v>
      </c>
      <c r="Q4594" t="s">
        <v>125</v>
      </c>
      <c r="R4594" t="s">
        <v>125</v>
      </c>
      <c r="S4594" t="s">
        <v>125</v>
      </c>
      <c r="T4594">
        <v>0</v>
      </c>
      <c r="V4594" t="s">
        <v>125</v>
      </c>
      <c r="AE4594" t="s">
        <v>125</v>
      </c>
      <c r="AF4594">
        <v>0</v>
      </c>
      <c r="AG4594" t="s">
        <v>125</v>
      </c>
      <c r="AH4594">
        <v>0</v>
      </c>
      <c r="AK4594">
        <v>0</v>
      </c>
    </row>
    <row r="4595" spans="1:37" x14ac:dyDescent="0.25">
      <c r="A4595" t="s">
        <v>79</v>
      </c>
      <c r="B4595">
        <v>18</v>
      </c>
      <c r="C4595">
        <v>1</v>
      </c>
      <c r="D4595">
        <v>4</v>
      </c>
      <c r="E4595">
        <v>9</v>
      </c>
      <c r="G4595">
        <v>1814</v>
      </c>
      <c r="H4595" t="s">
        <v>63</v>
      </c>
      <c r="I4595" t="s">
        <v>74</v>
      </c>
      <c r="J4595" t="s">
        <v>149</v>
      </c>
      <c r="L4595">
        <v>0</v>
      </c>
      <c r="M4595" t="s">
        <v>125</v>
      </c>
      <c r="O4595" t="s">
        <v>125</v>
      </c>
      <c r="P4595" t="s">
        <v>125</v>
      </c>
      <c r="Q4595" t="s">
        <v>125</v>
      </c>
      <c r="R4595" t="s">
        <v>125</v>
      </c>
      <c r="S4595" t="s">
        <v>125</v>
      </c>
      <c r="T4595">
        <v>0</v>
      </c>
      <c r="V4595" t="s">
        <v>125</v>
      </c>
      <c r="AE4595" t="s">
        <v>125</v>
      </c>
      <c r="AF4595">
        <v>0</v>
      </c>
      <c r="AG4595" t="s">
        <v>125</v>
      </c>
      <c r="AH4595">
        <v>0</v>
      </c>
      <c r="AK4595">
        <v>0</v>
      </c>
    </row>
    <row r="4596" spans="1:37" x14ac:dyDescent="0.25">
      <c r="A4596" t="s">
        <v>79</v>
      </c>
      <c r="B4596">
        <v>18</v>
      </c>
      <c r="C4596">
        <v>1</v>
      </c>
      <c r="D4596">
        <v>4</v>
      </c>
      <c r="E4596">
        <v>10</v>
      </c>
      <c r="G4596">
        <v>1814</v>
      </c>
      <c r="H4596" t="s">
        <v>63</v>
      </c>
      <c r="I4596" t="s">
        <v>129</v>
      </c>
      <c r="J4596" t="s">
        <v>150</v>
      </c>
      <c r="L4596">
        <v>0</v>
      </c>
      <c r="M4596" t="s">
        <v>125</v>
      </c>
      <c r="O4596" t="s">
        <v>125</v>
      </c>
      <c r="P4596" t="s">
        <v>125</v>
      </c>
      <c r="Q4596" t="s">
        <v>125</v>
      </c>
      <c r="R4596" t="s">
        <v>125</v>
      </c>
      <c r="S4596" t="s">
        <v>125</v>
      </c>
      <c r="T4596">
        <v>0</v>
      </c>
      <c r="V4596" t="s">
        <v>125</v>
      </c>
      <c r="AE4596" t="s">
        <v>125</v>
      </c>
      <c r="AF4596">
        <v>0</v>
      </c>
      <c r="AG4596" t="s">
        <v>125</v>
      </c>
      <c r="AH4596">
        <v>0</v>
      </c>
      <c r="AK4596">
        <v>0</v>
      </c>
    </row>
    <row r="4597" spans="1:37" x14ac:dyDescent="0.25">
      <c r="A4597" t="s">
        <v>79</v>
      </c>
      <c r="B4597">
        <v>18</v>
      </c>
      <c r="C4597">
        <v>1</v>
      </c>
      <c r="D4597">
        <v>4</v>
      </c>
      <c r="E4597">
        <v>11</v>
      </c>
      <c r="G4597">
        <v>1814</v>
      </c>
      <c r="H4597" t="s">
        <v>63</v>
      </c>
      <c r="I4597" t="s">
        <v>131</v>
      </c>
      <c r="J4597" t="s">
        <v>151</v>
      </c>
      <c r="L4597">
        <v>0</v>
      </c>
      <c r="M4597" t="s">
        <v>125</v>
      </c>
      <c r="O4597" t="s">
        <v>125</v>
      </c>
      <c r="P4597" t="s">
        <v>125</v>
      </c>
      <c r="Q4597" t="s">
        <v>125</v>
      </c>
      <c r="R4597" t="s">
        <v>125</v>
      </c>
      <c r="S4597" t="s">
        <v>125</v>
      </c>
      <c r="T4597">
        <v>0</v>
      </c>
      <c r="V4597" t="s">
        <v>125</v>
      </c>
      <c r="AE4597" t="s">
        <v>125</v>
      </c>
      <c r="AF4597">
        <v>0</v>
      </c>
      <c r="AG4597" t="s">
        <v>125</v>
      </c>
      <c r="AH4597">
        <v>0</v>
      </c>
      <c r="AK4597">
        <v>0</v>
      </c>
    </row>
    <row r="4598" spans="1:37" x14ac:dyDescent="0.25">
      <c r="A4598" t="s">
        <v>79</v>
      </c>
      <c r="B4598">
        <v>18</v>
      </c>
      <c r="C4598">
        <v>1</v>
      </c>
      <c r="D4598">
        <v>4</v>
      </c>
      <c r="E4598">
        <v>12</v>
      </c>
      <c r="G4598">
        <v>1814</v>
      </c>
      <c r="H4598" t="s">
        <v>63</v>
      </c>
      <c r="I4598" t="s">
        <v>133</v>
      </c>
      <c r="J4598" t="s">
        <v>152</v>
      </c>
      <c r="L4598">
        <v>0</v>
      </c>
      <c r="M4598" t="s">
        <v>125</v>
      </c>
      <c r="O4598" t="s">
        <v>125</v>
      </c>
      <c r="P4598" t="s">
        <v>125</v>
      </c>
      <c r="Q4598" t="s">
        <v>125</v>
      </c>
      <c r="R4598" t="s">
        <v>125</v>
      </c>
      <c r="S4598" t="s">
        <v>125</v>
      </c>
      <c r="T4598">
        <v>0</v>
      </c>
      <c r="V4598" t="s">
        <v>125</v>
      </c>
      <c r="AE4598" t="s">
        <v>125</v>
      </c>
      <c r="AF4598">
        <v>0</v>
      </c>
      <c r="AG4598" t="s">
        <v>125</v>
      </c>
      <c r="AH4598">
        <v>0</v>
      </c>
      <c r="AK4598">
        <v>0</v>
      </c>
    </row>
    <row r="4599" spans="1:37" x14ac:dyDescent="0.25">
      <c r="A4599" t="s">
        <v>79</v>
      </c>
      <c r="B4599">
        <v>18</v>
      </c>
      <c r="C4599">
        <v>1</v>
      </c>
      <c r="D4599">
        <v>4</v>
      </c>
      <c r="E4599">
        <v>13</v>
      </c>
      <c r="G4599">
        <v>1814</v>
      </c>
      <c r="H4599" t="s">
        <v>63</v>
      </c>
      <c r="I4599" t="s">
        <v>135</v>
      </c>
      <c r="J4599" t="s">
        <v>153</v>
      </c>
      <c r="L4599">
        <v>0</v>
      </c>
      <c r="M4599" t="s">
        <v>125</v>
      </c>
      <c r="O4599" t="s">
        <v>125</v>
      </c>
      <c r="P4599" t="s">
        <v>125</v>
      </c>
      <c r="Q4599" t="s">
        <v>125</v>
      </c>
      <c r="R4599" t="s">
        <v>125</v>
      </c>
      <c r="S4599" t="s">
        <v>125</v>
      </c>
      <c r="T4599">
        <v>0</v>
      </c>
      <c r="V4599" t="s">
        <v>125</v>
      </c>
      <c r="AE4599" t="s">
        <v>125</v>
      </c>
      <c r="AF4599">
        <v>0</v>
      </c>
      <c r="AG4599" t="s">
        <v>125</v>
      </c>
      <c r="AH4599">
        <v>0</v>
      </c>
      <c r="AK4599">
        <v>0</v>
      </c>
    </row>
    <row r="4600" spans="1:37" x14ac:dyDescent="0.25">
      <c r="A4600" t="s">
        <v>79</v>
      </c>
      <c r="B4600">
        <v>18</v>
      </c>
      <c r="C4600">
        <v>1</v>
      </c>
      <c r="D4600">
        <v>4</v>
      </c>
      <c r="E4600">
        <v>14</v>
      </c>
      <c r="G4600">
        <v>1814</v>
      </c>
      <c r="H4600" t="s">
        <v>63</v>
      </c>
      <c r="I4600" t="s">
        <v>137</v>
      </c>
      <c r="J4600" t="s">
        <v>154</v>
      </c>
      <c r="L4600">
        <v>0</v>
      </c>
      <c r="M4600" t="s">
        <v>125</v>
      </c>
      <c r="O4600" t="s">
        <v>125</v>
      </c>
      <c r="P4600" t="s">
        <v>125</v>
      </c>
      <c r="Q4600" t="s">
        <v>125</v>
      </c>
      <c r="R4600" t="s">
        <v>125</v>
      </c>
      <c r="S4600" t="s">
        <v>125</v>
      </c>
      <c r="T4600">
        <v>0</v>
      </c>
      <c r="V4600" t="s">
        <v>125</v>
      </c>
      <c r="AE4600" t="s">
        <v>125</v>
      </c>
      <c r="AF4600">
        <v>0</v>
      </c>
      <c r="AG4600" t="s">
        <v>125</v>
      </c>
      <c r="AH4600">
        <v>0</v>
      </c>
      <c r="AK4600">
        <v>0</v>
      </c>
    </row>
    <row r="4601" spans="1:37" x14ac:dyDescent="0.25">
      <c r="A4601" t="s">
        <v>79</v>
      </c>
      <c r="B4601">
        <v>18</v>
      </c>
      <c r="C4601">
        <v>1</v>
      </c>
      <c r="D4601">
        <v>4</v>
      </c>
      <c r="E4601">
        <v>15</v>
      </c>
      <c r="G4601">
        <v>1814</v>
      </c>
      <c r="H4601" t="s">
        <v>63</v>
      </c>
      <c r="I4601" t="s">
        <v>139</v>
      </c>
      <c r="J4601" t="s">
        <v>155</v>
      </c>
      <c r="L4601">
        <v>0</v>
      </c>
      <c r="M4601" t="s">
        <v>125</v>
      </c>
      <c r="O4601" t="s">
        <v>125</v>
      </c>
      <c r="P4601" t="s">
        <v>125</v>
      </c>
      <c r="Q4601" t="s">
        <v>125</v>
      </c>
      <c r="R4601" t="s">
        <v>125</v>
      </c>
      <c r="S4601" t="s">
        <v>125</v>
      </c>
      <c r="T4601">
        <v>0</v>
      </c>
      <c r="V4601" t="s">
        <v>125</v>
      </c>
      <c r="AE4601" t="s">
        <v>125</v>
      </c>
      <c r="AF4601">
        <v>0</v>
      </c>
      <c r="AG4601" t="s">
        <v>125</v>
      </c>
      <c r="AH4601">
        <v>0</v>
      </c>
      <c r="AK4601">
        <v>0</v>
      </c>
    </row>
    <row r="4602" spans="1:37" x14ac:dyDescent="0.25">
      <c r="L4602">
        <v>0</v>
      </c>
    </row>
    <row r="4603" spans="1:37" x14ac:dyDescent="0.25">
      <c r="A4603" t="s">
        <v>70</v>
      </c>
      <c r="B4603">
        <v>18</v>
      </c>
      <c r="C4603">
        <v>1</v>
      </c>
      <c r="D4603">
        <v>5</v>
      </c>
      <c r="G4603">
        <v>181</v>
      </c>
      <c r="L4603">
        <v>0</v>
      </c>
      <c r="M4603" t="s">
        <v>125</v>
      </c>
      <c r="P4603" t="s">
        <v>125</v>
      </c>
      <c r="R4603" t="s">
        <v>125</v>
      </c>
      <c r="S4603" t="s">
        <v>63</v>
      </c>
      <c r="V4603" t="s">
        <v>125</v>
      </c>
      <c r="X4603" t="s">
        <v>125</v>
      </c>
      <c r="Y4603" t="s">
        <v>125</v>
      </c>
      <c r="Z4603" t="s">
        <v>125</v>
      </c>
      <c r="AA4603" t="s">
        <v>125</v>
      </c>
      <c r="AB4603" t="s">
        <v>125</v>
      </c>
      <c r="AC4603" t="s">
        <v>125</v>
      </c>
      <c r="AE4603" t="s">
        <v>125</v>
      </c>
      <c r="AF4603">
        <v>0</v>
      </c>
      <c r="AG4603" t="s">
        <v>125</v>
      </c>
      <c r="AH4603">
        <v>0</v>
      </c>
      <c r="AK4603">
        <v>0</v>
      </c>
    </row>
    <row r="4604" spans="1:37" x14ac:dyDescent="0.25">
      <c r="A4604" t="s">
        <v>79</v>
      </c>
      <c r="B4604">
        <v>18</v>
      </c>
      <c r="C4604">
        <v>1</v>
      </c>
      <c r="D4604">
        <v>5</v>
      </c>
      <c r="E4604">
        <v>1</v>
      </c>
      <c r="G4604">
        <v>1815</v>
      </c>
      <c r="H4604" t="s">
        <v>63</v>
      </c>
      <c r="I4604" t="s">
        <v>80</v>
      </c>
      <c r="J4604" t="s">
        <v>141</v>
      </c>
      <c r="L4604">
        <v>0</v>
      </c>
      <c r="M4604" t="s">
        <v>125</v>
      </c>
      <c r="O4604" t="s">
        <v>125</v>
      </c>
      <c r="P4604" t="s">
        <v>125</v>
      </c>
      <c r="Q4604" t="s">
        <v>125</v>
      </c>
      <c r="R4604" t="s">
        <v>125</v>
      </c>
      <c r="S4604" t="s">
        <v>125</v>
      </c>
      <c r="T4604">
        <v>0</v>
      </c>
      <c r="V4604" t="s">
        <v>125</v>
      </c>
      <c r="AE4604" t="s">
        <v>125</v>
      </c>
      <c r="AF4604">
        <v>0</v>
      </c>
      <c r="AG4604" t="s">
        <v>125</v>
      </c>
      <c r="AH4604">
        <v>0</v>
      </c>
      <c r="AK4604">
        <v>0</v>
      </c>
    </row>
    <row r="4605" spans="1:37" x14ac:dyDescent="0.25">
      <c r="A4605" t="s">
        <v>79</v>
      </c>
      <c r="B4605">
        <v>18</v>
      </c>
      <c r="C4605">
        <v>1</v>
      </c>
      <c r="D4605">
        <v>5</v>
      </c>
      <c r="E4605">
        <v>2</v>
      </c>
      <c r="G4605">
        <v>1815</v>
      </c>
      <c r="H4605" t="s">
        <v>63</v>
      </c>
      <c r="I4605" t="s">
        <v>88</v>
      </c>
      <c r="J4605" t="s">
        <v>142</v>
      </c>
      <c r="L4605">
        <v>0</v>
      </c>
      <c r="M4605" t="s">
        <v>125</v>
      </c>
      <c r="O4605" t="s">
        <v>125</v>
      </c>
      <c r="P4605" t="s">
        <v>125</v>
      </c>
      <c r="Q4605" t="s">
        <v>125</v>
      </c>
      <c r="R4605" t="s">
        <v>125</v>
      </c>
      <c r="S4605" t="s">
        <v>125</v>
      </c>
      <c r="T4605">
        <v>0</v>
      </c>
      <c r="V4605" t="s">
        <v>125</v>
      </c>
      <c r="AE4605" t="s">
        <v>125</v>
      </c>
      <c r="AF4605">
        <v>0</v>
      </c>
      <c r="AG4605" t="s">
        <v>125</v>
      </c>
      <c r="AH4605">
        <v>0</v>
      </c>
      <c r="AK4605">
        <v>0</v>
      </c>
    </row>
    <row r="4606" spans="1:37" x14ac:dyDescent="0.25">
      <c r="A4606" t="s">
        <v>79</v>
      </c>
      <c r="B4606">
        <v>18</v>
      </c>
      <c r="C4606">
        <v>1</v>
      </c>
      <c r="D4606">
        <v>5</v>
      </c>
      <c r="E4606">
        <v>3</v>
      </c>
      <c r="G4606">
        <v>1815</v>
      </c>
      <c r="H4606" t="s">
        <v>63</v>
      </c>
      <c r="I4606" t="s">
        <v>95</v>
      </c>
      <c r="J4606" t="s">
        <v>143</v>
      </c>
      <c r="L4606">
        <v>0</v>
      </c>
      <c r="M4606" t="s">
        <v>125</v>
      </c>
      <c r="O4606" t="s">
        <v>125</v>
      </c>
      <c r="P4606" t="s">
        <v>125</v>
      </c>
      <c r="Q4606" t="s">
        <v>125</v>
      </c>
      <c r="R4606" t="s">
        <v>125</v>
      </c>
      <c r="S4606" t="s">
        <v>125</v>
      </c>
      <c r="T4606">
        <v>0</v>
      </c>
      <c r="V4606" t="s">
        <v>125</v>
      </c>
      <c r="AE4606" t="s">
        <v>125</v>
      </c>
      <c r="AF4606">
        <v>0</v>
      </c>
      <c r="AG4606" t="s">
        <v>125</v>
      </c>
      <c r="AH4606">
        <v>0</v>
      </c>
      <c r="AK4606">
        <v>0</v>
      </c>
    </row>
    <row r="4607" spans="1:37" x14ac:dyDescent="0.25">
      <c r="A4607" t="s">
        <v>79</v>
      </c>
      <c r="B4607">
        <v>18</v>
      </c>
      <c r="C4607">
        <v>1</v>
      </c>
      <c r="D4607">
        <v>5</v>
      </c>
      <c r="E4607">
        <v>4</v>
      </c>
      <c r="G4607">
        <v>1815</v>
      </c>
      <c r="H4607" t="s">
        <v>63</v>
      </c>
      <c r="I4607" t="s">
        <v>102</v>
      </c>
      <c r="J4607" t="s">
        <v>144</v>
      </c>
      <c r="L4607">
        <v>0</v>
      </c>
      <c r="M4607" t="s">
        <v>125</v>
      </c>
      <c r="O4607" t="s">
        <v>125</v>
      </c>
      <c r="P4607" t="s">
        <v>125</v>
      </c>
      <c r="Q4607" t="s">
        <v>125</v>
      </c>
      <c r="R4607" t="s">
        <v>125</v>
      </c>
      <c r="S4607" t="s">
        <v>125</v>
      </c>
      <c r="T4607">
        <v>0</v>
      </c>
      <c r="V4607" t="s">
        <v>125</v>
      </c>
      <c r="AE4607" t="s">
        <v>125</v>
      </c>
      <c r="AF4607">
        <v>0</v>
      </c>
      <c r="AG4607" t="s">
        <v>125</v>
      </c>
      <c r="AH4607">
        <v>0</v>
      </c>
      <c r="AK4607">
        <v>0</v>
      </c>
    </row>
    <row r="4608" spans="1:37" x14ac:dyDescent="0.25">
      <c r="A4608" t="s">
        <v>79</v>
      </c>
      <c r="B4608">
        <v>18</v>
      </c>
      <c r="C4608">
        <v>1</v>
      </c>
      <c r="D4608">
        <v>5</v>
      </c>
      <c r="E4608">
        <v>5</v>
      </c>
      <c r="G4608">
        <v>1815</v>
      </c>
      <c r="H4608" t="s">
        <v>63</v>
      </c>
      <c r="I4608" t="s">
        <v>109</v>
      </c>
      <c r="J4608" t="s">
        <v>145</v>
      </c>
      <c r="L4608">
        <v>0</v>
      </c>
      <c r="M4608" t="s">
        <v>125</v>
      </c>
      <c r="O4608" t="s">
        <v>125</v>
      </c>
      <c r="P4608" t="s">
        <v>125</v>
      </c>
      <c r="Q4608" t="s">
        <v>125</v>
      </c>
      <c r="R4608" t="s">
        <v>125</v>
      </c>
      <c r="S4608" t="s">
        <v>125</v>
      </c>
      <c r="T4608">
        <v>0</v>
      </c>
      <c r="V4608" t="s">
        <v>125</v>
      </c>
      <c r="AE4608" t="s">
        <v>125</v>
      </c>
      <c r="AF4608">
        <v>0</v>
      </c>
      <c r="AG4608" t="s">
        <v>125</v>
      </c>
      <c r="AH4608">
        <v>0</v>
      </c>
      <c r="AK4608">
        <v>0</v>
      </c>
    </row>
    <row r="4609" spans="1:37" x14ac:dyDescent="0.25">
      <c r="A4609" t="s">
        <v>79</v>
      </c>
      <c r="B4609">
        <v>18</v>
      </c>
      <c r="C4609">
        <v>1</v>
      </c>
      <c r="D4609">
        <v>5</v>
      </c>
      <c r="E4609">
        <v>6</v>
      </c>
      <c r="G4609">
        <v>1815</v>
      </c>
      <c r="H4609" t="s">
        <v>63</v>
      </c>
      <c r="I4609" t="s">
        <v>116</v>
      </c>
      <c r="J4609" t="s">
        <v>146</v>
      </c>
      <c r="L4609">
        <v>0</v>
      </c>
      <c r="M4609" t="s">
        <v>125</v>
      </c>
      <c r="O4609" t="s">
        <v>125</v>
      </c>
      <c r="P4609" t="s">
        <v>125</v>
      </c>
      <c r="Q4609" t="s">
        <v>125</v>
      </c>
      <c r="R4609" t="s">
        <v>125</v>
      </c>
      <c r="S4609" t="s">
        <v>125</v>
      </c>
      <c r="T4609">
        <v>0</v>
      </c>
      <c r="V4609" t="s">
        <v>125</v>
      </c>
      <c r="AE4609" t="s">
        <v>125</v>
      </c>
      <c r="AF4609">
        <v>0</v>
      </c>
      <c r="AG4609" t="s">
        <v>125</v>
      </c>
      <c r="AH4609">
        <v>0</v>
      </c>
      <c r="AK4609">
        <v>0</v>
      </c>
    </row>
    <row r="4610" spans="1:37" x14ac:dyDescent="0.25">
      <c r="A4610" t="s">
        <v>79</v>
      </c>
      <c r="B4610">
        <v>18</v>
      </c>
      <c r="C4610">
        <v>1</v>
      </c>
      <c r="D4610">
        <v>5</v>
      </c>
      <c r="E4610">
        <v>7</v>
      </c>
      <c r="G4610">
        <v>1815</v>
      </c>
      <c r="H4610" t="s">
        <v>63</v>
      </c>
      <c r="I4610" t="s">
        <v>123</v>
      </c>
      <c r="J4610" t="s">
        <v>147</v>
      </c>
      <c r="L4610">
        <v>0</v>
      </c>
      <c r="M4610" t="s">
        <v>125</v>
      </c>
      <c r="O4610" t="s">
        <v>125</v>
      </c>
      <c r="P4610" t="s">
        <v>125</v>
      </c>
      <c r="Q4610" t="s">
        <v>125</v>
      </c>
      <c r="R4610" t="s">
        <v>125</v>
      </c>
      <c r="S4610" t="s">
        <v>125</v>
      </c>
      <c r="T4610">
        <v>0</v>
      </c>
      <c r="V4610" t="s">
        <v>125</v>
      </c>
      <c r="AE4610" t="s">
        <v>125</v>
      </c>
      <c r="AF4610">
        <v>0</v>
      </c>
      <c r="AG4610" t="s">
        <v>125</v>
      </c>
      <c r="AH4610">
        <v>0</v>
      </c>
      <c r="AK4610">
        <v>0</v>
      </c>
    </row>
    <row r="4611" spans="1:37" x14ac:dyDescent="0.25">
      <c r="A4611" t="s">
        <v>79</v>
      </c>
      <c r="B4611">
        <v>18</v>
      </c>
      <c r="C4611">
        <v>1</v>
      </c>
      <c r="D4611">
        <v>5</v>
      </c>
      <c r="E4611">
        <v>8</v>
      </c>
      <c r="G4611">
        <v>1815</v>
      </c>
      <c r="H4611" t="s">
        <v>63</v>
      </c>
      <c r="I4611" t="s">
        <v>126</v>
      </c>
      <c r="J4611" t="s">
        <v>148</v>
      </c>
      <c r="L4611">
        <v>0</v>
      </c>
      <c r="M4611" t="s">
        <v>125</v>
      </c>
      <c r="O4611" t="s">
        <v>125</v>
      </c>
      <c r="P4611" t="s">
        <v>125</v>
      </c>
      <c r="Q4611" t="s">
        <v>125</v>
      </c>
      <c r="R4611" t="s">
        <v>125</v>
      </c>
      <c r="S4611" t="s">
        <v>125</v>
      </c>
      <c r="T4611">
        <v>0</v>
      </c>
      <c r="V4611" t="s">
        <v>125</v>
      </c>
      <c r="AE4611" t="s">
        <v>125</v>
      </c>
      <c r="AF4611">
        <v>0</v>
      </c>
      <c r="AG4611" t="s">
        <v>125</v>
      </c>
      <c r="AH4611">
        <v>0</v>
      </c>
      <c r="AK4611">
        <v>0</v>
      </c>
    </row>
    <row r="4612" spans="1:37" x14ac:dyDescent="0.25">
      <c r="A4612" t="s">
        <v>79</v>
      </c>
      <c r="B4612">
        <v>18</v>
      </c>
      <c r="C4612">
        <v>1</v>
      </c>
      <c r="D4612">
        <v>5</v>
      </c>
      <c r="E4612">
        <v>9</v>
      </c>
      <c r="G4612">
        <v>1815</v>
      </c>
      <c r="H4612" t="s">
        <v>63</v>
      </c>
      <c r="I4612" t="s">
        <v>74</v>
      </c>
      <c r="J4612" t="s">
        <v>149</v>
      </c>
      <c r="L4612">
        <v>0</v>
      </c>
      <c r="M4612" t="s">
        <v>125</v>
      </c>
      <c r="O4612" t="s">
        <v>125</v>
      </c>
      <c r="P4612" t="s">
        <v>125</v>
      </c>
      <c r="Q4612" t="s">
        <v>125</v>
      </c>
      <c r="R4612" t="s">
        <v>125</v>
      </c>
      <c r="S4612" t="s">
        <v>125</v>
      </c>
      <c r="T4612">
        <v>0</v>
      </c>
      <c r="V4612" t="s">
        <v>125</v>
      </c>
      <c r="AE4612" t="s">
        <v>125</v>
      </c>
      <c r="AF4612">
        <v>0</v>
      </c>
      <c r="AG4612" t="s">
        <v>125</v>
      </c>
      <c r="AH4612">
        <v>0</v>
      </c>
      <c r="AK4612">
        <v>0</v>
      </c>
    </row>
    <row r="4613" spans="1:37" x14ac:dyDescent="0.25">
      <c r="A4613" t="s">
        <v>79</v>
      </c>
      <c r="B4613">
        <v>18</v>
      </c>
      <c r="C4613">
        <v>1</v>
      </c>
      <c r="D4613">
        <v>5</v>
      </c>
      <c r="E4613">
        <v>10</v>
      </c>
      <c r="G4613">
        <v>1815</v>
      </c>
      <c r="H4613" t="s">
        <v>63</v>
      </c>
      <c r="I4613" t="s">
        <v>129</v>
      </c>
      <c r="J4613" t="s">
        <v>150</v>
      </c>
      <c r="L4613">
        <v>0</v>
      </c>
      <c r="M4613" t="s">
        <v>125</v>
      </c>
      <c r="O4613" t="s">
        <v>125</v>
      </c>
      <c r="P4613" t="s">
        <v>125</v>
      </c>
      <c r="Q4613" t="s">
        <v>125</v>
      </c>
      <c r="R4613" t="s">
        <v>125</v>
      </c>
      <c r="S4613" t="s">
        <v>125</v>
      </c>
      <c r="T4613">
        <v>0</v>
      </c>
      <c r="V4613" t="s">
        <v>125</v>
      </c>
      <c r="AE4613" t="s">
        <v>125</v>
      </c>
      <c r="AF4613">
        <v>0</v>
      </c>
      <c r="AG4613" t="s">
        <v>125</v>
      </c>
      <c r="AH4613">
        <v>0</v>
      </c>
      <c r="AK4613">
        <v>0</v>
      </c>
    </row>
    <row r="4614" spans="1:37" x14ac:dyDescent="0.25">
      <c r="A4614" t="s">
        <v>79</v>
      </c>
      <c r="B4614">
        <v>18</v>
      </c>
      <c r="C4614">
        <v>1</v>
      </c>
      <c r="D4614">
        <v>5</v>
      </c>
      <c r="E4614">
        <v>11</v>
      </c>
      <c r="G4614">
        <v>1815</v>
      </c>
      <c r="H4614" t="s">
        <v>63</v>
      </c>
      <c r="I4614" t="s">
        <v>131</v>
      </c>
      <c r="J4614" t="s">
        <v>151</v>
      </c>
      <c r="L4614">
        <v>0</v>
      </c>
      <c r="M4614" t="s">
        <v>125</v>
      </c>
      <c r="O4614" t="s">
        <v>125</v>
      </c>
      <c r="P4614" t="s">
        <v>125</v>
      </c>
      <c r="Q4614" t="s">
        <v>125</v>
      </c>
      <c r="R4614" t="s">
        <v>125</v>
      </c>
      <c r="S4614" t="s">
        <v>125</v>
      </c>
      <c r="T4614">
        <v>0</v>
      </c>
      <c r="V4614" t="s">
        <v>125</v>
      </c>
      <c r="AE4614" t="s">
        <v>125</v>
      </c>
      <c r="AF4614">
        <v>0</v>
      </c>
      <c r="AG4614" t="s">
        <v>125</v>
      </c>
      <c r="AH4614">
        <v>0</v>
      </c>
      <c r="AK4614">
        <v>0</v>
      </c>
    </row>
    <row r="4615" spans="1:37" x14ac:dyDescent="0.25">
      <c r="A4615" t="s">
        <v>79</v>
      </c>
      <c r="B4615">
        <v>18</v>
      </c>
      <c r="C4615">
        <v>1</v>
      </c>
      <c r="D4615">
        <v>5</v>
      </c>
      <c r="E4615">
        <v>12</v>
      </c>
      <c r="G4615">
        <v>1815</v>
      </c>
      <c r="H4615" t="s">
        <v>63</v>
      </c>
      <c r="I4615" t="s">
        <v>133</v>
      </c>
      <c r="J4615" t="s">
        <v>152</v>
      </c>
      <c r="L4615">
        <v>0</v>
      </c>
      <c r="M4615" t="s">
        <v>125</v>
      </c>
      <c r="O4615" t="s">
        <v>125</v>
      </c>
      <c r="P4615" t="s">
        <v>125</v>
      </c>
      <c r="Q4615" t="s">
        <v>125</v>
      </c>
      <c r="R4615" t="s">
        <v>125</v>
      </c>
      <c r="S4615" t="s">
        <v>125</v>
      </c>
      <c r="T4615">
        <v>0</v>
      </c>
      <c r="V4615" t="s">
        <v>125</v>
      </c>
      <c r="AE4615" t="s">
        <v>125</v>
      </c>
      <c r="AF4615">
        <v>0</v>
      </c>
      <c r="AG4615" t="s">
        <v>125</v>
      </c>
      <c r="AH4615">
        <v>0</v>
      </c>
      <c r="AK4615">
        <v>0</v>
      </c>
    </row>
    <row r="4616" spans="1:37" x14ac:dyDescent="0.25">
      <c r="A4616" t="s">
        <v>79</v>
      </c>
      <c r="B4616">
        <v>18</v>
      </c>
      <c r="C4616">
        <v>1</v>
      </c>
      <c r="D4616">
        <v>5</v>
      </c>
      <c r="E4616">
        <v>13</v>
      </c>
      <c r="G4616">
        <v>1815</v>
      </c>
      <c r="H4616" t="s">
        <v>63</v>
      </c>
      <c r="I4616" t="s">
        <v>135</v>
      </c>
      <c r="J4616" t="s">
        <v>153</v>
      </c>
      <c r="L4616">
        <v>0</v>
      </c>
      <c r="M4616" t="s">
        <v>125</v>
      </c>
      <c r="O4616" t="s">
        <v>125</v>
      </c>
      <c r="P4616" t="s">
        <v>125</v>
      </c>
      <c r="Q4616" t="s">
        <v>125</v>
      </c>
      <c r="R4616" t="s">
        <v>125</v>
      </c>
      <c r="S4616" t="s">
        <v>125</v>
      </c>
      <c r="T4616">
        <v>0</v>
      </c>
      <c r="V4616" t="s">
        <v>125</v>
      </c>
      <c r="AE4616" t="s">
        <v>125</v>
      </c>
      <c r="AF4616">
        <v>0</v>
      </c>
      <c r="AG4616" t="s">
        <v>125</v>
      </c>
      <c r="AH4616">
        <v>0</v>
      </c>
      <c r="AK4616">
        <v>0</v>
      </c>
    </row>
    <row r="4617" spans="1:37" x14ac:dyDescent="0.25">
      <c r="A4617" t="s">
        <v>79</v>
      </c>
      <c r="B4617">
        <v>18</v>
      </c>
      <c r="C4617">
        <v>1</v>
      </c>
      <c r="D4617">
        <v>5</v>
      </c>
      <c r="E4617">
        <v>14</v>
      </c>
      <c r="G4617">
        <v>1815</v>
      </c>
      <c r="H4617" t="s">
        <v>63</v>
      </c>
      <c r="I4617" t="s">
        <v>137</v>
      </c>
      <c r="J4617" t="s">
        <v>154</v>
      </c>
      <c r="L4617">
        <v>0</v>
      </c>
      <c r="M4617" t="s">
        <v>125</v>
      </c>
      <c r="O4617" t="s">
        <v>125</v>
      </c>
      <c r="P4617" t="s">
        <v>125</v>
      </c>
      <c r="Q4617" t="s">
        <v>125</v>
      </c>
      <c r="R4617" t="s">
        <v>125</v>
      </c>
      <c r="S4617" t="s">
        <v>125</v>
      </c>
      <c r="T4617">
        <v>0</v>
      </c>
      <c r="V4617" t="s">
        <v>125</v>
      </c>
      <c r="AE4617" t="s">
        <v>125</v>
      </c>
      <c r="AF4617">
        <v>0</v>
      </c>
      <c r="AG4617" t="s">
        <v>125</v>
      </c>
      <c r="AH4617">
        <v>0</v>
      </c>
      <c r="AK4617">
        <v>0</v>
      </c>
    </row>
    <row r="4618" spans="1:37" x14ac:dyDescent="0.25">
      <c r="A4618" t="s">
        <v>79</v>
      </c>
      <c r="B4618">
        <v>18</v>
      </c>
      <c r="C4618">
        <v>1</v>
      </c>
      <c r="D4618">
        <v>5</v>
      </c>
      <c r="E4618">
        <v>15</v>
      </c>
      <c r="G4618">
        <v>1815</v>
      </c>
      <c r="H4618" t="s">
        <v>63</v>
      </c>
      <c r="I4618" t="s">
        <v>139</v>
      </c>
      <c r="J4618" t="s">
        <v>155</v>
      </c>
      <c r="L4618">
        <v>0</v>
      </c>
      <c r="M4618" t="s">
        <v>125</v>
      </c>
      <c r="O4618" t="s">
        <v>125</v>
      </c>
      <c r="P4618" t="s">
        <v>125</v>
      </c>
      <c r="Q4618" t="s">
        <v>125</v>
      </c>
      <c r="R4618" t="s">
        <v>125</v>
      </c>
      <c r="S4618" t="s">
        <v>125</v>
      </c>
      <c r="T4618">
        <v>0</v>
      </c>
      <c r="V4618" t="s">
        <v>125</v>
      </c>
      <c r="AE4618" t="s">
        <v>125</v>
      </c>
      <c r="AF4618">
        <v>0</v>
      </c>
      <c r="AG4618" t="s">
        <v>125</v>
      </c>
      <c r="AH4618">
        <v>0</v>
      </c>
      <c r="AK4618">
        <v>0</v>
      </c>
    </row>
    <row r="4619" spans="1:37" x14ac:dyDescent="0.25">
      <c r="L4619">
        <v>0</v>
      </c>
    </row>
    <row r="4620" spans="1:37" x14ac:dyDescent="0.25">
      <c r="L4620">
        <v>0</v>
      </c>
    </row>
    <row r="4621" spans="1:37" x14ac:dyDescent="0.25">
      <c r="A4621" t="s">
        <v>66</v>
      </c>
      <c r="B4621">
        <v>18</v>
      </c>
      <c r="C4621">
        <v>2</v>
      </c>
      <c r="G4621">
        <v>18</v>
      </c>
      <c r="H4621" t="s">
        <v>5870</v>
      </c>
      <c r="I4621" t="s">
        <v>5956</v>
      </c>
      <c r="M4621" t="s">
        <v>5957</v>
      </c>
      <c r="N4621" t="s">
        <v>5956</v>
      </c>
      <c r="P4621" t="s">
        <v>5958</v>
      </c>
      <c r="V4621" t="s">
        <v>5959</v>
      </c>
      <c r="Y4621" t="s">
        <v>5960</v>
      </c>
      <c r="AA4621" t="s">
        <v>5961</v>
      </c>
      <c r="AC4621" t="s">
        <v>63</v>
      </c>
      <c r="AE4621" t="s">
        <v>5962</v>
      </c>
      <c r="AF4621">
        <v>0</v>
      </c>
      <c r="AG4621" t="s">
        <v>5963</v>
      </c>
      <c r="AH4621">
        <v>0</v>
      </c>
      <c r="AK4621">
        <v>0</v>
      </c>
    </row>
    <row r="4622" spans="1:37" x14ac:dyDescent="0.25">
      <c r="L4622">
        <v>0</v>
      </c>
    </row>
    <row r="4623" spans="1:37" x14ac:dyDescent="0.25">
      <c r="A4623" t="s">
        <v>70</v>
      </c>
      <c r="B4623">
        <v>18</v>
      </c>
      <c r="C4623">
        <v>2</v>
      </c>
      <c r="D4623">
        <v>1</v>
      </c>
      <c r="G4623">
        <v>182</v>
      </c>
      <c r="M4623" t="s">
        <v>5964</v>
      </c>
      <c r="O4623" t="s">
        <v>5965</v>
      </c>
      <c r="P4623" t="s">
        <v>5966</v>
      </c>
      <c r="Q4623" t="s">
        <v>5967</v>
      </c>
      <c r="R4623" t="s">
        <v>179</v>
      </c>
      <c r="S4623" t="s">
        <v>5968</v>
      </c>
      <c r="V4623" t="s">
        <v>5959</v>
      </c>
      <c r="X4623" t="s">
        <v>5969</v>
      </c>
      <c r="Y4623" t="s">
        <v>5960</v>
      </c>
      <c r="Z4623" t="s">
        <v>5970</v>
      </c>
      <c r="AA4623" t="s">
        <v>5961</v>
      </c>
      <c r="AB4623" t="s">
        <v>63</v>
      </c>
      <c r="AC4623" t="s">
        <v>63</v>
      </c>
      <c r="AE4623" t="s">
        <v>5962</v>
      </c>
      <c r="AF4623">
        <v>0</v>
      </c>
      <c r="AG4623" t="s">
        <v>5963</v>
      </c>
      <c r="AH4623">
        <v>0</v>
      </c>
      <c r="AK4623">
        <v>0</v>
      </c>
    </row>
    <row r="4624" spans="1:37" x14ac:dyDescent="0.25">
      <c r="A4624" t="s">
        <v>79</v>
      </c>
      <c r="B4624">
        <v>18</v>
      </c>
      <c r="C4624">
        <v>2</v>
      </c>
      <c r="D4624">
        <v>1</v>
      </c>
      <c r="E4624">
        <v>1</v>
      </c>
      <c r="G4624">
        <v>1821</v>
      </c>
      <c r="H4624" t="s">
        <v>5965</v>
      </c>
      <c r="I4624" t="s">
        <v>80</v>
      </c>
      <c r="J4624" t="s">
        <v>5971</v>
      </c>
      <c r="L4624">
        <v>0</v>
      </c>
      <c r="M4624" t="s">
        <v>5972</v>
      </c>
      <c r="O4624" t="s">
        <v>294</v>
      </c>
      <c r="P4624" t="s">
        <v>295</v>
      </c>
      <c r="Q4624" t="s">
        <v>5973</v>
      </c>
      <c r="R4624" t="s">
        <v>229</v>
      </c>
      <c r="S4624" t="s">
        <v>297</v>
      </c>
      <c r="T4624">
        <v>116</v>
      </c>
      <c r="U4624">
        <v>19</v>
      </c>
      <c r="V4624" t="s">
        <v>5968</v>
      </c>
      <c r="AE4624" t="s">
        <v>5974</v>
      </c>
      <c r="AF4624">
        <v>0</v>
      </c>
      <c r="AG4624" t="s">
        <v>5975</v>
      </c>
      <c r="AH4624">
        <v>0</v>
      </c>
      <c r="AK4624">
        <v>0</v>
      </c>
    </row>
    <row r="4625" spans="1:37" x14ac:dyDescent="0.25">
      <c r="A4625" t="s">
        <v>79</v>
      </c>
      <c r="B4625">
        <v>18</v>
      </c>
      <c r="C4625">
        <v>2</v>
      </c>
      <c r="D4625">
        <v>1</v>
      </c>
      <c r="E4625">
        <v>2</v>
      </c>
      <c r="G4625">
        <v>1821</v>
      </c>
      <c r="H4625" t="s">
        <v>5965</v>
      </c>
      <c r="I4625" t="s">
        <v>88</v>
      </c>
      <c r="J4625" t="s">
        <v>5976</v>
      </c>
      <c r="L4625">
        <v>0</v>
      </c>
      <c r="M4625" t="s">
        <v>125</v>
      </c>
      <c r="O4625" t="s">
        <v>125</v>
      </c>
      <c r="P4625" t="s">
        <v>125</v>
      </c>
      <c r="Q4625" t="s">
        <v>125</v>
      </c>
      <c r="R4625" t="s">
        <v>125</v>
      </c>
      <c r="S4625" t="s">
        <v>125</v>
      </c>
      <c r="T4625">
        <v>116</v>
      </c>
      <c r="V4625" t="s">
        <v>125</v>
      </c>
      <c r="AE4625" t="s">
        <v>125</v>
      </c>
      <c r="AF4625">
        <v>0</v>
      </c>
      <c r="AG4625" t="s">
        <v>125</v>
      </c>
      <c r="AH4625">
        <v>0</v>
      </c>
      <c r="AK4625">
        <v>0</v>
      </c>
    </row>
    <row r="4626" spans="1:37" x14ac:dyDescent="0.25">
      <c r="A4626" t="s">
        <v>79</v>
      </c>
      <c r="B4626">
        <v>18</v>
      </c>
      <c r="C4626">
        <v>2</v>
      </c>
      <c r="D4626">
        <v>1</v>
      </c>
      <c r="E4626">
        <v>3</v>
      </c>
      <c r="G4626">
        <v>1821</v>
      </c>
      <c r="H4626" t="s">
        <v>5965</v>
      </c>
      <c r="I4626" t="s">
        <v>95</v>
      </c>
      <c r="J4626" t="s">
        <v>5977</v>
      </c>
      <c r="L4626">
        <v>0</v>
      </c>
      <c r="M4626" t="s">
        <v>125</v>
      </c>
      <c r="O4626" t="s">
        <v>125</v>
      </c>
      <c r="P4626" t="s">
        <v>125</v>
      </c>
      <c r="Q4626" t="s">
        <v>125</v>
      </c>
      <c r="R4626" t="s">
        <v>125</v>
      </c>
      <c r="S4626" t="s">
        <v>125</v>
      </c>
      <c r="T4626">
        <v>116</v>
      </c>
      <c r="V4626" t="s">
        <v>125</v>
      </c>
      <c r="AE4626" t="s">
        <v>125</v>
      </c>
      <c r="AF4626">
        <v>0</v>
      </c>
      <c r="AG4626" t="s">
        <v>125</v>
      </c>
      <c r="AH4626">
        <v>0</v>
      </c>
      <c r="AK4626">
        <v>0</v>
      </c>
    </row>
    <row r="4627" spans="1:37" x14ac:dyDescent="0.25">
      <c r="A4627" t="s">
        <v>79</v>
      </c>
      <c r="B4627">
        <v>18</v>
      </c>
      <c r="C4627">
        <v>2</v>
      </c>
      <c r="D4627">
        <v>1</v>
      </c>
      <c r="E4627">
        <v>4</v>
      </c>
      <c r="G4627">
        <v>1821</v>
      </c>
      <c r="H4627" t="s">
        <v>5965</v>
      </c>
      <c r="I4627" t="s">
        <v>102</v>
      </c>
      <c r="J4627" t="s">
        <v>5978</v>
      </c>
      <c r="L4627">
        <v>0</v>
      </c>
      <c r="M4627" t="s">
        <v>125</v>
      </c>
      <c r="O4627" t="s">
        <v>125</v>
      </c>
      <c r="P4627" t="s">
        <v>125</v>
      </c>
      <c r="Q4627" t="s">
        <v>125</v>
      </c>
      <c r="R4627" t="s">
        <v>125</v>
      </c>
      <c r="S4627" t="s">
        <v>125</v>
      </c>
      <c r="T4627">
        <v>116</v>
      </c>
      <c r="V4627" t="s">
        <v>125</v>
      </c>
      <c r="AE4627" t="s">
        <v>125</v>
      </c>
      <c r="AF4627">
        <v>0</v>
      </c>
      <c r="AG4627" t="s">
        <v>125</v>
      </c>
      <c r="AH4627">
        <v>0</v>
      </c>
      <c r="AK4627">
        <v>0</v>
      </c>
    </row>
    <row r="4628" spans="1:37" x14ac:dyDescent="0.25">
      <c r="A4628" t="s">
        <v>79</v>
      </c>
      <c r="B4628">
        <v>18</v>
      </c>
      <c r="C4628">
        <v>2</v>
      </c>
      <c r="D4628">
        <v>1</v>
      </c>
      <c r="E4628">
        <v>5</v>
      </c>
      <c r="G4628">
        <v>1821</v>
      </c>
      <c r="H4628" t="s">
        <v>5965</v>
      </c>
      <c r="I4628" t="s">
        <v>109</v>
      </c>
      <c r="J4628" t="s">
        <v>5979</v>
      </c>
      <c r="L4628">
        <v>0</v>
      </c>
      <c r="M4628" t="s">
        <v>125</v>
      </c>
      <c r="O4628" t="s">
        <v>125</v>
      </c>
      <c r="P4628" t="s">
        <v>125</v>
      </c>
      <c r="Q4628" t="s">
        <v>125</v>
      </c>
      <c r="R4628" t="s">
        <v>125</v>
      </c>
      <c r="S4628" t="s">
        <v>125</v>
      </c>
      <c r="T4628">
        <v>116</v>
      </c>
      <c r="V4628" t="s">
        <v>125</v>
      </c>
      <c r="AE4628" t="s">
        <v>125</v>
      </c>
      <c r="AF4628">
        <v>0</v>
      </c>
      <c r="AG4628" t="s">
        <v>125</v>
      </c>
      <c r="AH4628">
        <v>0</v>
      </c>
      <c r="AK4628">
        <v>0</v>
      </c>
    </row>
    <row r="4629" spans="1:37" x14ac:dyDescent="0.25">
      <c r="A4629" t="s">
        <v>79</v>
      </c>
      <c r="B4629">
        <v>18</v>
      </c>
      <c r="C4629">
        <v>2</v>
      </c>
      <c r="D4629">
        <v>1</v>
      </c>
      <c r="E4629">
        <v>6</v>
      </c>
      <c r="G4629">
        <v>1821</v>
      </c>
      <c r="H4629" t="s">
        <v>5965</v>
      </c>
      <c r="I4629" t="s">
        <v>116</v>
      </c>
      <c r="J4629" t="s">
        <v>5980</v>
      </c>
      <c r="L4629">
        <v>0</v>
      </c>
      <c r="M4629" t="s">
        <v>125</v>
      </c>
      <c r="O4629" t="s">
        <v>125</v>
      </c>
      <c r="P4629" t="s">
        <v>125</v>
      </c>
      <c r="Q4629" t="s">
        <v>125</v>
      </c>
      <c r="R4629" t="s">
        <v>125</v>
      </c>
      <c r="S4629" t="s">
        <v>125</v>
      </c>
      <c r="T4629">
        <v>116</v>
      </c>
      <c r="V4629" t="s">
        <v>125</v>
      </c>
      <c r="AE4629" t="s">
        <v>125</v>
      </c>
      <c r="AF4629">
        <v>0</v>
      </c>
      <c r="AG4629" t="s">
        <v>125</v>
      </c>
      <c r="AH4629">
        <v>0</v>
      </c>
      <c r="AK4629">
        <v>0</v>
      </c>
    </row>
    <row r="4630" spans="1:37" x14ac:dyDescent="0.25">
      <c r="A4630" t="s">
        <v>79</v>
      </c>
      <c r="B4630">
        <v>18</v>
      </c>
      <c r="C4630">
        <v>2</v>
      </c>
      <c r="D4630">
        <v>1</v>
      </c>
      <c r="E4630">
        <v>7</v>
      </c>
      <c r="G4630">
        <v>1821</v>
      </c>
      <c r="H4630" t="s">
        <v>5965</v>
      </c>
      <c r="I4630" t="s">
        <v>123</v>
      </c>
      <c r="J4630" t="s">
        <v>5981</v>
      </c>
      <c r="L4630">
        <v>0</v>
      </c>
      <c r="M4630" t="s">
        <v>125</v>
      </c>
      <c r="O4630" t="s">
        <v>125</v>
      </c>
      <c r="P4630" t="s">
        <v>125</v>
      </c>
      <c r="Q4630" t="s">
        <v>125</v>
      </c>
      <c r="R4630" t="s">
        <v>125</v>
      </c>
      <c r="S4630" t="s">
        <v>125</v>
      </c>
      <c r="T4630">
        <v>116</v>
      </c>
      <c r="V4630" t="s">
        <v>125</v>
      </c>
      <c r="AE4630" t="s">
        <v>125</v>
      </c>
      <c r="AF4630">
        <v>0</v>
      </c>
      <c r="AG4630" t="s">
        <v>125</v>
      </c>
      <c r="AH4630">
        <v>0</v>
      </c>
      <c r="AK4630">
        <v>0</v>
      </c>
    </row>
    <row r="4631" spans="1:37" x14ac:dyDescent="0.25">
      <c r="A4631" t="s">
        <v>79</v>
      </c>
      <c r="B4631">
        <v>18</v>
      </c>
      <c r="C4631">
        <v>2</v>
      </c>
      <c r="D4631">
        <v>1</v>
      </c>
      <c r="E4631">
        <v>8</v>
      </c>
      <c r="G4631">
        <v>1821</v>
      </c>
      <c r="H4631" t="s">
        <v>5965</v>
      </c>
      <c r="I4631" t="s">
        <v>126</v>
      </c>
      <c r="J4631" t="s">
        <v>5982</v>
      </c>
      <c r="L4631">
        <v>0</v>
      </c>
      <c r="M4631" t="s">
        <v>125</v>
      </c>
      <c r="O4631" t="s">
        <v>125</v>
      </c>
      <c r="P4631" t="s">
        <v>125</v>
      </c>
      <c r="Q4631" t="s">
        <v>125</v>
      </c>
      <c r="R4631" t="s">
        <v>125</v>
      </c>
      <c r="S4631" t="s">
        <v>125</v>
      </c>
      <c r="T4631">
        <v>116</v>
      </c>
      <c r="V4631" t="s">
        <v>125</v>
      </c>
      <c r="AE4631" t="s">
        <v>125</v>
      </c>
      <c r="AF4631">
        <v>0</v>
      </c>
      <c r="AG4631" t="s">
        <v>125</v>
      </c>
      <c r="AH4631">
        <v>0</v>
      </c>
      <c r="AK4631">
        <v>0</v>
      </c>
    </row>
    <row r="4632" spans="1:37" x14ac:dyDescent="0.25">
      <c r="A4632" t="s">
        <v>79</v>
      </c>
      <c r="B4632">
        <v>18</v>
      </c>
      <c r="C4632">
        <v>2</v>
      </c>
      <c r="D4632">
        <v>1</v>
      </c>
      <c r="E4632">
        <v>9</v>
      </c>
      <c r="G4632">
        <v>1821</v>
      </c>
      <c r="H4632" t="s">
        <v>5965</v>
      </c>
      <c r="I4632" t="s">
        <v>74</v>
      </c>
      <c r="J4632" t="s">
        <v>5983</v>
      </c>
      <c r="L4632">
        <v>0</v>
      </c>
      <c r="M4632" t="s">
        <v>125</v>
      </c>
      <c r="O4632" t="s">
        <v>125</v>
      </c>
      <c r="P4632" t="s">
        <v>125</v>
      </c>
      <c r="Q4632" t="s">
        <v>125</v>
      </c>
      <c r="R4632" t="s">
        <v>125</v>
      </c>
      <c r="S4632" t="s">
        <v>125</v>
      </c>
      <c r="T4632">
        <v>116</v>
      </c>
      <c r="V4632" t="s">
        <v>125</v>
      </c>
      <c r="AE4632" t="s">
        <v>125</v>
      </c>
      <c r="AF4632">
        <v>0</v>
      </c>
      <c r="AG4632" t="s">
        <v>125</v>
      </c>
      <c r="AH4632">
        <v>0</v>
      </c>
      <c r="AK4632">
        <v>0</v>
      </c>
    </row>
    <row r="4633" spans="1:37" x14ac:dyDescent="0.25">
      <c r="A4633" t="s">
        <v>79</v>
      </c>
      <c r="B4633">
        <v>18</v>
      </c>
      <c r="C4633">
        <v>2</v>
      </c>
      <c r="D4633">
        <v>1</v>
      </c>
      <c r="E4633">
        <v>10</v>
      </c>
      <c r="G4633">
        <v>1821</v>
      </c>
      <c r="H4633" t="s">
        <v>5965</v>
      </c>
      <c r="I4633" t="s">
        <v>129</v>
      </c>
      <c r="J4633" t="s">
        <v>5984</v>
      </c>
      <c r="L4633">
        <v>0</v>
      </c>
      <c r="M4633" t="s">
        <v>125</v>
      </c>
      <c r="O4633" t="s">
        <v>125</v>
      </c>
      <c r="P4633" t="s">
        <v>125</v>
      </c>
      <c r="Q4633" t="s">
        <v>125</v>
      </c>
      <c r="R4633" t="s">
        <v>125</v>
      </c>
      <c r="S4633" t="s">
        <v>125</v>
      </c>
      <c r="T4633">
        <v>116</v>
      </c>
      <c r="V4633" t="s">
        <v>125</v>
      </c>
      <c r="AE4633" t="s">
        <v>125</v>
      </c>
      <c r="AF4633">
        <v>0</v>
      </c>
      <c r="AG4633" t="s">
        <v>125</v>
      </c>
      <c r="AH4633">
        <v>0</v>
      </c>
      <c r="AK4633">
        <v>0</v>
      </c>
    </row>
    <row r="4634" spans="1:37" x14ac:dyDescent="0.25">
      <c r="A4634" t="s">
        <v>79</v>
      </c>
      <c r="B4634">
        <v>18</v>
      </c>
      <c r="C4634">
        <v>2</v>
      </c>
      <c r="D4634">
        <v>1</v>
      </c>
      <c r="E4634">
        <v>11</v>
      </c>
      <c r="G4634">
        <v>1821</v>
      </c>
      <c r="H4634" t="s">
        <v>5965</v>
      </c>
      <c r="I4634" t="s">
        <v>131</v>
      </c>
      <c r="J4634" t="s">
        <v>5985</v>
      </c>
      <c r="L4634">
        <v>0</v>
      </c>
      <c r="M4634" t="s">
        <v>125</v>
      </c>
      <c r="O4634" t="s">
        <v>125</v>
      </c>
      <c r="P4634" t="s">
        <v>125</v>
      </c>
      <c r="Q4634" t="s">
        <v>125</v>
      </c>
      <c r="R4634" t="s">
        <v>125</v>
      </c>
      <c r="S4634" t="s">
        <v>125</v>
      </c>
      <c r="T4634">
        <v>116</v>
      </c>
      <c r="V4634" t="s">
        <v>125</v>
      </c>
      <c r="AE4634" t="s">
        <v>125</v>
      </c>
      <c r="AF4634">
        <v>0</v>
      </c>
      <c r="AG4634" t="s">
        <v>125</v>
      </c>
      <c r="AH4634">
        <v>0</v>
      </c>
      <c r="AK4634">
        <v>0</v>
      </c>
    </row>
    <row r="4635" spans="1:37" x14ac:dyDescent="0.25">
      <c r="A4635" t="s">
        <v>79</v>
      </c>
      <c r="B4635">
        <v>18</v>
      </c>
      <c r="C4635">
        <v>2</v>
      </c>
      <c r="D4635">
        <v>1</v>
      </c>
      <c r="E4635">
        <v>12</v>
      </c>
      <c r="G4635">
        <v>1821</v>
      </c>
      <c r="H4635" t="s">
        <v>5965</v>
      </c>
      <c r="I4635" t="s">
        <v>133</v>
      </c>
      <c r="J4635" t="s">
        <v>5986</v>
      </c>
      <c r="L4635">
        <v>0</v>
      </c>
      <c r="M4635" t="s">
        <v>125</v>
      </c>
      <c r="O4635" t="s">
        <v>125</v>
      </c>
      <c r="P4635" t="s">
        <v>125</v>
      </c>
      <c r="Q4635" t="s">
        <v>125</v>
      </c>
      <c r="R4635" t="s">
        <v>125</v>
      </c>
      <c r="S4635" t="s">
        <v>125</v>
      </c>
      <c r="T4635">
        <v>116</v>
      </c>
      <c r="V4635" t="s">
        <v>125</v>
      </c>
      <c r="AE4635" t="s">
        <v>125</v>
      </c>
      <c r="AF4635">
        <v>0</v>
      </c>
      <c r="AG4635" t="s">
        <v>125</v>
      </c>
      <c r="AH4635">
        <v>0</v>
      </c>
      <c r="AK4635">
        <v>0</v>
      </c>
    </row>
    <row r="4636" spans="1:37" x14ac:dyDescent="0.25">
      <c r="A4636" t="s">
        <v>79</v>
      </c>
      <c r="B4636">
        <v>18</v>
      </c>
      <c r="C4636">
        <v>2</v>
      </c>
      <c r="D4636">
        <v>1</v>
      </c>
      <c r="E4636">
        <v>13</v>
      </c>
      <c r="G4636">
        <v>1821</v>
      </c>
      <c r="H4636" t="s">
        <v>5965</v>
      </c>
      <c r="I4636" t="s">
        <v>135</v>
      </c>
      <c r="J4636" t="s">
        <v>5987</v>
      </c>
      <c r="L4636">
        <v>0</v>
      </c>
      <c r="M4636" t="s">
        <v>125</v>
      </c>
      <c r="O4636" t="s">
        <v>125</v>
      </c>
      <c r="P4636" t="s">
        <v>125</v>
      </c>
      <c r="Q4636" t="s">
        <v>125</v>
      </c>
      <c r="R4636" t="s">
        <v>125</v>
      </c>
      <c r="S4636" t="s">
        <v>125</v>
      </c>
      <c r="T4636">
        <v>116</v>
      </c>
      <c r="V4636" t="s">
        <v>125</v>
      </c>
      <c r="AE4636" t="s">
        <v>125</v>
      </c>
      <c r="AF4636">
        <v>0</v>
      </c>
      <c r="AG4636" t="s">
        <v>125</v>
      </c>
      <c r="AH4636">
        <v>0</v>
      </c>
      <c r="AK4636">
        <v>0</v>
      </c>
    </row>
    <row r="4637" spans="1:37" x14ac:dyDescent="0.25">
      <c r="A4637" t="s">
        <v>79</v>
      </c>
      <c r="B4637">
        <v>18</v>
      </c>
      <c r="C4637">
        <v>2</v>
      </c>
      <c r="D4637">
        <v>1</v>
      </c>
      <c r="E4637">
        <v>14</v>
      </c>
      <c r="G4637">
        <v>1821</v>
      </c>
      <c r="H4637" t="s">
        <v>5965</v>
      </c>
      <c r="I4637" t="s">
        <v>137</v>
      </c>
      <c r="J4637" t="s">
        <v>5988</v>
      </c>
      <c r="L4637">
        <v>0</v>
      </c>
      <c r="M4637" t="s">
        <v>125</v>
      </c>
      <c r="O4637" t="s">
        <v>125</v>
      </c>
      <c r="P4637" t="s">
        <v>125</v>
      </c>
      <c r="Q4637" t="s">
        <v>125</v>
      </c>
      <c r="R4637" t="s">
        <v>125</v>
      </c>
      <c r="S4637" t="s">
        <v>125</v>
      </c>
      <c r="T4637">
        <v>116</v>
      </c>
      <c r="V4637" t="s">
        <v>125</v>
      </c>
      <c r="AE4637" t="s">
        <v>125</v>
      </c>
      <c r="AF4637">
        <v>0</v>
      </c>
      <c r="AG4637" t="s">
        <v>125</v>
      </c>
      <c r="AH4637">
        <v>0</v>
      </c>
      <c r="AK4637">
        <v>0</v>
      </c>
    </row>
    <row r="4638" spans="1:37" x14ac:dyDescent="0.25">
      <c r="A4638" t="s">
        <v>79</v>
      </c>
      <c r="B4638">
        <v>18</v>
      </c>
      <c r="C4638">
        <v>2</v>
      </c>
      <c r="D4638">
        <v>1</v>
      </c>
      <c r="E4638">
        <v>15</v>
      </c>
      <c r="G4638">
        <v>1821</v>
      </c>
      <c r="H4638" t="s">
        <v>5965</v>
      </c>
      <c r="I4638" t="s">
        <v>139</v>
      </c>
      <c r="J4638" t="s">
        <v>5989</v>
      </c>
      <c r="L4638">
        <v>0</v>
      </c>
      <c r="M4638" t="s">
        <v>125</v>
      </c>
      <c r="O4638" t="s">
        <v>125</v>
      </c>
      <c r="P4638" t="s">
        <v>125</v>
      </c>
      <c r="Q4638" t="s">
        <v>125</v>
      </c>
      <c r="R4638" t="s">
        <v>125</v>
      </c>
      <c r="S4638" t="s">
        <v>125</v>
      </c>
      <c r="T4638">
        <v>116</v>
      </c>
      <c r="V4638" t="s">
        <v>125</v>
      </c>
      <c r="AE4638" t="s">
        <v>125</v>
      </c>
      <c r="AF4638">
        <v>0</v>
      </c>
      <c r="AG4638" t="s">
        <v>125</v>
      </c>
      <c r="AH4638">
        <v>0</v>
      </c>
      <c r="AK4638">
        <v>0</v>
      </c>
    </row>
    <row r="4639" spans="1:37" x14ac:dyDescent="0.25">
      <c r="L4639">
        <v>0</v>
      </c>
    </row>
    <row r="4640" spans="1:37" x14ac:dyDescent="0.25">
      <c r="A4640" t="s">
        <v>70</v>
      </c>
      <c r="B4640">
        <v>18</v>
      </c>
      <c r="C4640">
        <v>2</v>
      </c>
      <c r="D4640">
        <v>2</v>
      </c>
      <c r="G4640">
        <v>182</v>
      </c>
      <c r="L4640">
        <v>0</v>
      </c>
      <c r="M4640" t="s">
        <v>125</v>
      </c>
      <c r="P4640" t="s">
        <v>125</v>
      </c>
      <c r="R4640" t="s">
        <v>125</v>
      </c>
      <c r="S4640" t="s">
        <v>63</v>
      </c>
      <c r="V4640" t="s">
        <v>125</v>
      </c>
      <c r="X4640" t="s">
        <v>125</v>
      </c>
      <c r="Y4640" t="s">
        <v>125</v>
      </c>
      <c r="Z4640" t="s">
        <v>125</v>
      </c>
      <c r="AA4640" t="s">
        <v>125</v>
      </c>
      <c r="AB4640" t="s">
        <v>125</v>
      </c>
      <c r="AC4640" t="s">
        <v>125</v>
      </c>
      <c r="AE4640" t="s">
        <v>125</v>
      </c>
      <c r="AF4640">
        <v>0</v>
      </c>
      <c r="AG4640" t="s">
        <v>125</v>
      </c>
      <c r="AH4640">
        <v>0</v>
      </c>
      <c r="AK4640">
        <v>0</v>
      </c>
    </row>
    <row r="4641" spans="1:37" x14ac:dyDescent="0.25">
      <c r="A4641" t="s">
        <v>79</v>
      </c>
      <c r="B4641">
        <v>18</v>
      </c>
      <c r="C4641">
        <v>2</v>
      </c>
      <c r="D4641">
        <v>2</v>
      </c>
      <c r="E4641">
        <v>1</v>
      </c>
      <c r="G4641">
        <v>1822</v>
      </c>
      <c r="H4641" t="s">
        <v>63</v>
      </c>
      <c r="I4641" t="s">
        <v>80</v>
      </c>
      <c r="J4641" t="s">
        <v>141</v>
      </c>
      <c r="L4641">
        <v>0</v>
      </c>
      <c r="M4641" t="s">
        <v>125</v>
      </c>
      <c r="O4641" t="s">
        <v>125</v>
      </c>
      <c r="P4641" t="s">
        <v>125</v>
      </c>
      <c r="Q4641" t="s">
        <v>125</v>
      </c>
      <c r="R4641" t="s">
        <v>125</v>
      </c>
      <c r="S4641" t="s">
        <v>125</v>
      </c>
      <c r="T4641">
        <v>0</v>
      </c>
      <c r="V4641" t="s">
        <v>125</v>
      </c>
      <c r="AE4641" t="s">
        <v>125</v>
      </c>
      <c r="AF4641">
        <v>0</v>
      </c>
      <c r="AG4641" t="s">
        <v>125</v>
      </c>
      <c r="AH4641">
        <v>0</v>
      </c>
      <c r="AK4641">
        <v>0</v>
      </c>
    </row>
    <row r="4642" spans="1:37" x14ac:dyDescent="0.25">
      <c r="A4642" t="s">
        <v>79</v>
      </c>
      <c r="B4642">
        <v>18</v>
      </c>
      <c r="C4642">
        <v>2</v>
      </c>
      <c r="D4642">
        <v>2</v>
      </c>
      <c r="E4642">
        <v>2</v>
      </c>
      <c r="G4642">
        <v>1822</v>
      </c>
      <c r="H4642" t="s">
        <v>63</v>
      </c>
      <c r="I4642" t="s">
        <v>88</v>
      </c>
      <c r="J4642" t="s">
        <v>142</v>
      </c>
      <c r="L4642">
        <v>0</v>
      </c>
      <c r="M4642" t="s">
        <v>125</v>
      </c>
      <c r="O4642" t="s">
        <v>125</v>
      </c>
      <c r="P4642" t="s">
        <v>125</v>
      </c>
      <c r="Q4642" t="s">
        <v>125</v>
      </c>
      <c r="R4642" t="s">
        <v>125</v>
      </c>
      <c r="S4642" t="s">
        <v>125</v>
      </c>
      <c r="T4642">
        <v>0</v>
      </c>
      <c r="V4642" t="s">
        <v>125</v>
      </c>
      <c r="AE4642" t="s">
        <v>125</v>
      </c>
      <c r="AF4642">
        <v>0</v>
      </c>
      <c r="AG4642" t="s">
        <v>125</v>
      </c>
      <c r="AH4642">
        <v>0</v>
      </c>
      <c r="AK4642">
        <v>0</v>
      </c>
    </row>
    <row r="4643" spans="1:37" x14ac:dyDescent="0.25">
      <c r="A4643" t="s">
        <v>79</v>
      </c>
      <c r="B4643">
        <v>18</v>
      </c>
      <c r="C4643">
        <v>2</v>
      </c>
      <c r="D4643">
        <v>2</v>
      </c>
      <c r="E4643">
        <v>3</v>
      </c>
      <c r="G4643">
        <v>1822</v>
      </c>
      <c r="H4643" t="s">
        <v>63</v>
      </c>
      <c r="I4643" t="s">
        <v>95</v>
      </c>
      <c r="J4643" t="s">
        <v>143</v>
      </c>
      <c r="L4643">
        <v>0</v>
      </c>
      <c r="M4643" t="s">
        <v>125</v>
      </c>
      <c r="O4643" t="s">
        <v>125</v>
      </c>
      <c r="P4643" t="s">
        <v>125</v>
      </c>
      <c r="Q4643" t="s">
        <v>125</v>
      </c>
      <c r="R4643" t="s">
        <v>125</v>
      </c>
      <c r="S4643" t="s">
        <v>125</v>
      </c>
      <c r="T4643">
        <v>0</v>
      </c>
      <c r="V4643" t="s">
        <v>125</v>
      </c>
      <c r="AE4643" t="s">
        <v>125</v>
      </c>
      <c r="AF4643">
        <v>0</v>
      </c>
      <c r="AG4643" t="s">
        <v>125</v>
      </c>
      <c r="AH4643">
        <v>0</v>
      </c>
      <c r="AK4643">
        <v>0</v>
      </c>
    </row>
    <row r="4644" spans="1:37" x14ac:dyDescent="0.25">
      <c r="A4644" t="s">
        <v>79</v>
      </c>
      <c r="B4644">
        <v>18</v>
      </c>
      <c r="C4644">
        <v>2</v>
      </c>
      <c r="D4644">
        <v>2</v>
      </c>
      <c r="E4644">
        <v>4</v>
      </c>
      <c r="G4644">
        <v>1822</v>
      </c>
      <c r="H4644" t="s">
        <v>63</v>
      </c>
      <c r="I4644" t="s">
        <v>102</v>
      </c>
      <c r="J4644" t="s">
        <v>144</v>
      </c>
      <c r="L4644">
        <v>0</v>
      </c>
      <c r="M4644" t="s">
        <v>125</v>
      </c>
      <c r="O4644" t="s">
        <v>125</v>
      </c>
      <c r="P4644" t="s">
        <v>125</v>
      </c>
      <c r="Q4644" t="s">
        <v>125</v>
      </c>
      <c r="R4644" t="s">
        <v>125</v>
      </c>
      <c r="S4644" t="s">
        <v>125</v>
      </c>
      <c r="T4644">
        <v>0</v>
      </c>
      <c r="V4644" t="s">
        <v>125</v>
      </c>
      <c r="AE4644" t="s">
        <v>125</v>
      </c>
      <c r="AF4644">
        <v>0</v>
      </c>
      <c r="AG4644" t="s">
        <v>125</v>
      </c>
      <c r="AH4644">
        <v>0</v>
      </c>
      <c r="AK4644">
        <v>0</v>
      </c>
    </row>
    <row r="4645" spans="1:37" x14ac:dyDescent="0.25">
      <c r="A4645" t="s">
        <v>79</v>
      </c>
      <c r="B4645">
        <v>18</v>
      </c>
      <c r="C4645">
        <v>2</v>
      </c>
      <c r="D4645">
        <v>2</v>
      </c>
      <c r="E4645">
        <v>5</v>
      </c>
      <c r="G4645">
        <v>1822</v>
      </c>
      <c r="H4645" t="s">
        <v>63</v>
      </c>
      <c r="I4645" t="s">
        <v>109</v>
      </c>
      <c r="J4645" t="s">
        <v>145</v>
      </c>
      <c r="L4645">
        <v>0</v>
      </c>
      <c r="M4645" t="s">
        <v>125</v>
      </c>
      <c r="O4645" t="s">
        <v>125</v>
      </c>
      <c r="P4645" t="s">
        <v>125</v>
      </c>
      <c r="Q4645" t="s">
        <v>125</v>
      </c>
      <c r="R4645" t="s">
        <v>125</v>
      </c>
      <c r="S4645" t="s">
        <v>125</v>
      </c>
      <c r="T4645">
        <v>0</v>
      </c>
      <c r="V4645" t="s">
        <v>125</v>
      </c>
      <c r="AE4645" t="s">
        <v>125</v>
      </c>
      <c r="AF4645">
        <v>0</v>
      </c>
      <c r="AG4645" t="s">
        <v>125</v>
      </c>
      <c r="AH4645">
        <v>0</v>
      </c>
      <c r="AK4645">
        <v>0</v>
      </c>
    </row>
    <row r="4646" spans="1:37" x14ac:dyDescent="0.25">
      <c r="A4646" t="s">
        <v>79</v>
      </c>
      <c r="B4646">
        <v>18</v>
      </c>
      <c r="C4646">
        <v>2</v>
      </c>
      <c r="D4646">
        <v>2</v>
      </c>
      <c r="E4646">
        <v>6</v>
      </c>
      <c r="G4646">
        <v>1822</v>
      </c>
      <c r="H4646" t="s">
        <v>63</v>
      </c>
      <c r="I4646" t="s">
        <v>116</v>
      </c>
      <c r="J4646" t="s">
        <v>146</v>
      </c>
      <c r="L4646">
        <v>0</v>
      </c>
      <c r="M4646" t="s">
        <v>125</v>
      </c>
      <c r="O4646" t="s">
        <v>125</v>
      </c>
      <c r="P4646" t="s">
        <v>125</v>
      </c>
      <c r="Q4646" t="s">
        <v>125</v>
      </c>
      <c r="R4646" t="s">
        <v>125</v>
      </c>
      <c r="S4646" t="s">
        <v>125</v>
      </c>
      <c r="T4646">
        <v>0</v>
      </c>
      <c r="V4646" t="s">
        <v>125</v>
      </c>
      <c r="AE4646" t="s">
        <v>125</v>
      </c>
      <c r="AF4646">
        <v>0</v>
      </c>
      <c r="AG4646" t="s">
        <v>125</v>
      </c>
      <c r="AH4646">
        <v>0</v>
      </c>
      <c r="AK4646">
        <v>0</v>
      </c>
    </row>
    <row r="4647" spans="1:37" x14ac:dyDescent="0.25">
      <c r="A4647" t="s">
        <v>79</v>
      </c>
      <c r="B4647">
        <v>18</v>
      </c>
      <c r="C4647">
        <v>2</v>
      </c>
      <c r="D4647">
        <v>2</v>
      </c>
      <c r="E4647">
        <v>7</v>
      </c>
      <c r="G4647">
        <v>1822</v>
      </c>
      <c r="H4647" t="s">
        <v>63</v>
      </c>
      <c r="I4647" t="s">
        <v>123</v>
      </c>
      <c r="J4647" t="s">
        <v>147</v>
      </c>
      <c r="L4647">
        <v>0</v>
      </c>
      <c r="M4647" t="s">
        <v>125</v>
      </c>
      <c r="O4647" t="s">
        <v>125</v>
      </c>
      <c r="P4647" t="s">
        <v>125</v>
      </c>
      <c r="Q4647" t="s">
        <v>125</v>
      </c>
      <c r="R4647" t="s">
        <v>125</v>
      </c>
      <c r="S4647" t="s">
        <v>125</v>
      </c>
      <c r="T4647">
        <v>0</v>
      </c>
      <c r="V4647" t="s">
        <v>125</v>
      </c>
      <c r="AE4647" t="s">
        <v>125</v>
      </c>
      <c r="AF4647">
        <v>0</v>
      </c>
      <c r="AG4647" t="s">
        <v>125</v>
      </c>
      <c r="AH4647">
        <v>0</v>
      </c>
      <c r="AK4647">
        <v>0</v>
      </c>
    </row>
    <row r="4648" spans="1:37" x14ac:dyDescent="0.25">
      <c r="A4648" t="s">
        <v>79</v>
      </c>
      <c r="B4648">
        <v>18</v>
      </c>
      <c r="C4648">
        <v>2</v>
      </c>
      <c r="D4648">
        <v>2</v>
      </c>
      <c r="E4648">
        <v>8</v>
      </c>
      <c r="G4648">
        <v>1822</v>
      </c>
      <c r="H4648" t="s">
        <v>63</v>
      </c>
      <c r="I4648" t="s">
        <v>126</v>
      </c>
      <c r="J4648" t="s">
        <v>148</v>
      </c>
      <c r="L4648">
        <v>0</v>
      </c>
      <c r="M4648" t="s">
        <v>125</v>
      </c>
      <c r="O4648" t="s">
        <v>125</v>
      </c>
      <c r="P4648" t="s">
        <v>125</v>
      </c>
      <c r="Q4648" t="s">
        <v>125</v>
      </c>
      <c r="R4648" t="s">
        <v>125</v>
      </c>
      <c r="S4648" t="s">
        <v>125</v>
      </c>
      <c r="T4648">
        <v>0</v>
      </c>
      <c r="V4648" t="s">
        <v>125</v>
      </c>
      <c r="AE4648" t="s">
        <v>125</v>
      </c>
      <c r="AF4648">
        <v>0</v>
      </c>
      <c r="AG4648" t="s">
        <v>125</v>
      </c>
      <c r="AH4648">
        <v>0</v>
      </c>
      <c r="AK4648">
        <v>0</v>
      </c>
    </row>
    <row r="4649" spans="1:37" x14ac:dyDescent="0.25">
      <c r="A4649" t="s">
        <v>79</v>
      </c>
      <c r="B4649">
        <v>18</v>
      </c>
      <c r="C4649">
        <v>2</v>
      </c>
      <c r="D4649">
        <v>2</v>
      </c>
      <c r="E4649">
        <v>9</v>
      </c>
      <c r="G4649">
        <v>1822</v>
      </c>
      <c r="H4649" t="s">
        <v>63</v>
      </c>
      <c r="I4649" t="s">
        <v>74</v>
      </c>
      <c r="J4649" t="s">
        <v>149</v>
      </c>
      <c r="L4649">
        <v>0</v>
      </c>
      <c r="M4649" t="s">
        <v>125</v>
      </c>
      <c r="O4649" t="s">
        <v>125</v>
      </c>
      <c r="P4649" t="s">
        <v>125</v>
      </c>
      <c r="Q4649" t="s">
        <v>125</v>
      </c>
      <c r="R4649" t="s">
        <v>125</v>
      </c>
      <c r="S4649" t="s">
        <v>125</v>
      </c>
      <c r="T4649">
        <v>0</v>
      </c>
      <c r="V4649" t="s">
        <v>125</v>
      </c>
      <c r="AE4649" t="s">
        <v>125</v>
      </c>
      <c r="AF4649">
        <v>0</v>
      </c>
      <c r="AG4649" t="s">
        <v>125</v>
      </c>
      <c r="AH4649">
        <v>0</v>
      </c>
      <c r="AK4649">
        <v>0</v>
      </c>
    </row>
    <row r="4650" spans="1:37" x14ac:dyDescent="0.25">
      <c r="A4650" t="s">
        <v>79</v>
      </c>
      <c r="B4650">
        <v>18</v>
      </c>
      <c r="C4650">
        <v>2</v>
      </c>
      <c r="D4650">
        <v>2</v>
      </c>
      <c r="E4650">
        <v>10</v>
      </c>
      <c r="G4650">
        <v>1822</v>
      </c>
      <c r="H4650" t="s">
        <v>63</v>
      </c>
      <c r="I4650" t="s">
        <v>129</v>
      </c>
      <c r="J4650" t="s">
        <v>150</v>
      </c>
      <c r="L4650">
        <v>0</v>
      </c>
      <c r="M4650" t="s">
        <v>125</v>
      </c>
      <c r="O4650" t="s">
        <v>125</v>
      </c>
      <c r="P4650" t="s">
        <v>125</v>
      </c>
      <c r="Q4650" t="s">
        <v>125</v>
      </c>
      <c r="R4650" t="s">
        <v>125</v>
      </c>
      <c r="S4650" t="s">
        <v>125</v>
      </c>
      <c r="T4650">
        <v>0</v>
      </c>
      <c r="V4650" t="s">
        <v>125</v>
      </c>
      <c r="AE4650" t="s">
        <v>125</v>
      </c>
      <c r="AF4650">
        <v>0</v>
      </c>
      <c r="AG4650" t="s">
        <v>125</v>
      </c>
      <c r="AH4650">
        <v>0</v>
      </c>
      <c r="AK4650">
        <v>0</v>
      </c>
    </row>
    <row r="4651" spans="1:37" x14ac:dyDescent="0.25">
      <c r="A4651" t="s">
        <v>79</v>
      </c>
      <c r="B4651">
        <v>18</v>
      </c>
      <c r="C4651">
        <v>2</v>
      </c>
      <c r="D4651">
        <v>2</v>
      </c>
      <c r="E4651">
        <v>11</v>
      </c>
      <c r="G4651">
        <v>1822</v>
      </c>
      <c r="H4651" t="s">
        <v>63</v>
      </c>
      <c r="I4651" t="s">
        <v>131</v>
      </c>
      <c r="J4651" t="s">
        <v>151</v>
      </c>
      <c r="L4651">
        <v>0</v>
      </c>
      <c r="M4651" t="s">
        <v>125</v>
      </c>
      <c r="O4651" t="s">
        <v>125</v>
      </c>
      <c r="P4651" t="s">
        <v>125</v>
      </c>
      <c r="Q4651" t="s">
        <v>125</v>
      </c>
      <c r="R4651" t="s">
        <v>125</v>
      </c>
      <c r="S4651" t="s">
        <v>125</v>
      </c>
      <c r="T4651">
        <v>0</v>
      </c>
      <c r="V4651" t="s">
        <v>125</v>
      </c>
      <c r="AE4651" t="s">
        <v>125</v>
      </c>
      <c r="AF4651">
        <v>0</v>
      </c>
      <c r="AG4651" t="s">
        <v>125</v>
      </c>
      <c r="AH4651">
        <v>0</v>
      </c>
      <c r="AK4651">
        <v>0</v>
      </c>
    </row>
    <row r="4652" spans="1:37" x14ac:dyDescent="0.25">
      <c r="A4652" t="s">
        <v>79</v>
      </c>
      <c r="B4652">
        <v>18</v>
      </c>
      <c r="C4652">
        <v>2</v>
      </c>
      <c r="D4652">
        <v>2</v>
      </c>
      <c r="E4652">
        <v>12</v>
      </c>
      <c r="G4652">
        <v>1822</v>
      </c>
      <c r="H4652" t="s">
        <v>63</v>
      </c>
      <c r="I4652" t="s">
        <v>133</v>
      </c>
      <c r="J4652" t="s">
        <v>152</v>
      </c>
      <c r="L4652">
        <v>0</v>
      </c>
      <c r="M4652" t="s">
        <v>125</v>
      </c>
      <c r="O4652" t="s">
        <v>125</v>
      </c>
      <c r="P4652" t="s">
        <v>125</v>
      </c>
      <c r="Q4652" t="s">
        <v>125</v>
      </c>
      <c r="R4652" t="s">
        <v>125</v>
      </c>
      <c r="S4652" t="s">
        <v>125</v>
      </c>
      <c r="T4652">
        <v>0</v>
      </c>
      <c r="V4652" t="s">
        <v>125</v>
      </c>
      <c r="AE4652" t="s">
        <v>125</v>
      </c>
      <c r="AF4652">
        <v>0</v>
      </c>
      <c r="AG4652" t="s">
        <v>125</v>
      </c>
      <c r="AH4652">
        <v>0</v>
      </c>
      <c r="AK4652">
        <v>0</v>
      </c>
    </row>
    <row r="4653" spans="1:37" x14ac:dyDescent="0.25">
      <c r="A4653" t="s">
        <v>79</v>
      </c>
      <c r="B4653">
        <v>18</v>
      </c>
      <c r="C4653">
        <v>2</v>
      </c>
      <c r="D4653">
        <v>2</v>
      </c>
      <c r="E4653">
        <v>13</v>
      </c>
      <c r="G4653">
        <v>1822</v>
      </c>
      <c r="H4653" t="s">
        <v>63</v>
      </c>
      <c r="I4653" t="s">
        <v>135</v>
      </c>
      <c r="J4653" t="s">
        <v>153</v>
      </c>
      <c r="L4653">
        <v>0</v>
      </c>
      <c r="M4653" t="s">
        <v>125</v>
      </c>
      <c r="O4653" t="s">
        <v>125</v>
      </c>
      <c r="P4653" t="s">
        <v>125</v>
      </c>
      <c r="Q4653" t="s">
        <v>125</v>
      </c>
      <c r="R4653" t="s">
        <v>125</v>
      </c>
      <c r="S4653" t="s">
        <v>125</v>
      </c>
      <c r="T4653">
        <v>0</v>
      </c>
      <c r="V4653" t="s">
        <v>125</v>
      </c>
      <c r="AE4653" t="s">
        <v>125</v>
      </c>
      <c r="AF4653">
        <v>0</v>
      </c>
      <c r="AG4653" t="s">
        <v>125</v>
      </c>
      <c r="AH4653">
        <v>0</v>
      </c>
      <c r="AK4653">
        <v>0</v>
      </c>
    </row>
    <row r="4654" spans="1:37" x14ac:dyDescent="0.25">
      <c r="A4654" t="s">
        <v>79</v>
      </c>
      <c r="B4654">
        <v>18</v>
      </c>
      <c r="C4654">
        <v>2</v>
      </c>
      <c r="D4654">
        <v>2</v>
      </c>
      <c r="E4654">
        <v>14</v>
      </c>
      <c r="G4654">
        <v>1822</v>
      </c>
      <c r="H4654" t="s">
        <v>63</v>
      </c>
      <c r="I4654" t="s">
        <v>137</v>
      </c>
      <c r="J4654" t="s">
        <v>154</v>
      </c>
      <c r="L4654">
        <v>0</v>
      </c>
      <c r="M4654" t="s">
        <v>125</v>
      </c>
      <c r="O4654" t="s">
        <v>125</v>
      </c>
      <c r="P4654" t="s">
        <v>125</v>
      </c>
      <c r="Q4654" t="s">
        <v>125</v>
      </c>
      <c r="R4654" t="s">
        <v>125</v>
      </c>
      <c r="S4654" t="s">
        <v>125</v>
      </c>
      <c r="T4654">
        <v>0</v>
      </c>
      <c r="V4654" t="s">
        <v>125</v>
      </c>
      <c r="AE4654" t="s">
        <v>125</v>
      </c>
      <c r="AF4654">
        <v>0</v>
      </c>
      <c r="AG4654" t="s">
        <v>125</v>
      </c>
      <c r="AH4654">
        <v>0</v>
      </c>
      <c r="AK4654">
        <v>0</v>
      </c>
    </row>
    <row r="4655" spans="1:37" x14ac:dyDescent="0.25">
      <c r="A4655" t="s">
        <v>79</v>
      </c>
      <c r="B4655">
        <v>18</v>
      </c>
      <c r="C4655">
        <v>2</v>
      </c>
      <c r="D4655">
        <v>2</v>
      </c>
      <c r="E4655">
        <v>15</v>
      </c>
      <c r="G4655">
        <v>1822</v>
      </c>
      <c r="H4655" t="s">
        <v>63</v>
      </c>
      <c r="I4655" t="s">
        <v>139</v>
      </c>
      <c r="J4655" t="s">
        <v>155</v>
      </c>
      <c r="L4655">
        <v>0</v>
      </c>
      <c r="M4655" t="s">
        <v>125</v>
      </c>
      <c r="O4655" t="s">
        <v>125</v>
      </c>
      <c r="P4655" t="s">
        <v>125</v>
      </c>
      <c r="Q4655" t="s">
        <v>125</v>
      </c>
      <c r="R4655" t="s">
        <v>125</v>
      </c>
      <c r="S4655" t="s">
        <v>125</v>
      </c>
      <c r="T4655">
        <v>0</v>
      </c>
      <c r="V4655" t="s">
        <v>125</v>
      </c>
      <c r="AE4655" t="s">
        <v>125</v>
      </c>
      <c r="AF4655">
        <v>0</v>
      </c>
      <c r="AG4655" t="s">
        <v>125</v>
      </c>
      <c r="AH4655">
        <v>0</v>
      </c>
      <c r="AK4655">
        <v>0</v>
      </c>
    </row>
    <row r="4656" spans="1:37" x14ac:dyDescent="0.25">
      <c r="L4656">
        <v>0</v>
      </c>
    </row>
    <row r="4657" spans="1:37" x14ac:dyDescent="0.25">
      <c r="A4657" t="s">
        <v>70</v>
      </c>
      <c r="B4657">
        <v>18</v>
      </c>
      <c r="C4657">
        <v>2</v>
      </c>
      <c r="D4657">
        <v>3</v>
      </c>
      <c r="G4657">
        <v>182</v>
      </c>
      <c r="L4657">
        <v>0</v>
      </c>
      <c r="M4657" t="s">
        <v>125</v>
      </c>
      <c r="P4657" t="s">
        <v>125</v>
      </c>
      <c r="R4657" t="s">
        <v>125</v>
      </c>
      <c r="S4657" t="s">
        <v>63</v>
      </c>
      <c r="V4657" t="s">
        <v>125</v>
      </c>
      <c r="X4657" t="s">
        <v>125</v>
      </c>
      <c r="Y4657" t="s">
        <v>125</v>
      </c>
      <c r="Z4657" t="s">
        <v>125</v>
      </c>
      <c r="AA4657" t="s">
        <v>125</v>
      </c>
      <c r="AB4657" t="s">
        <v>125</v>
      </c>
      <c r="AC4657" t="s">
        <v>125</v>
      </c>
      <c r="AE4657" t="s">
        <v>125</v>
      </c>
      <c r="AF4657">
        <v>0</v>
      </c>
      <c r="AG4657" t="s">
        <v>125</v>
      </c>
      <c r="AH4657">
        <v>0</v>
      </c>
      <c r="AK4657">
        <v>0</v>
      </c>
    </row>
    <row r="4658" spans="1:37" x14ac:dyDescent="0.25">
      <c r="A4658" t="s">
        <v>79</v>
      </c>
      <c r="B4658">
        <v>18</v>
      </c>
      <c r="C4658">
        <v>2</v>
      </c>
      <c r="D4658">
        <v>3</v>
      </c>
      <c r="E4658">
        <v>1</v>
      </c>
      <c r="G4658">
        <v>1823</v>
      </c>
      <c r="H4658" t="s">
        <v>63</v>
      </c>
      <c r="I4658" t="s">
        <v>80</v>
      </c>
      <c r="J4658" t="s">
        <v>141</v>
      </c>
      <c r="L4658">
        <v>0</v>
      </c>
      <c r="M4658" t="s">
        <v>125</v>
      </c>
      <c r="O4658" t="s">
        <v>125</v>
      </c>
      <c r="P4658" t="s">
        <v>125</v>
      </c>
      <c r="Q4658" t="s">
        <v>125</v>
      </c>
      <c r="R4658" t="s">
        <v>125</v>
      </c>
      <c r="S4658" t="s">
        <v>125</v>
      </c>
      <c r="T4658">
        <v>0</v>
      </c>
      <c r="V4658" t="s">
        <v>125</v>
      </c>
      <c r="AE4658" t="s">
        <v>125</v>
      </c>
      <c r="AF4658">
        <v>0</v>
      </c>
      <c r="AG4658" t="s">
        <v>125</v>
      </c>
      <c r="AH4658">
        <v>0</v>
      </c>
      <c r="AK4658">
        <v>0</v>
      </c>
    </row>
    <row r="4659" spans="1:37" x14ac:dyDescent="0.25">
      <c r="A4659" t="s">
        <v>79</v>
      </c>
      <c r="B4659">
        <v>18</v>
      </c>
      <c r="C4659">
        <v>2</v>
      </c>
      <c r="D4659">
        <v>3</v>
      </c>
      <c r="E4659">
        <v>2</v>
      </c>
      <c r="G4659">
        <v>1823</v>
      </c>
      <c r="H4659" t="s">
        <v>63</v>
      </c>
      <c r="I4659" t="s">
        <v>88</v>
      </c>
      <c r="J4659" t="s">
        <v>142</v>
      </c>
      <c r="L4659">
        <v>0</v>
      </c>
      <c r="M4659" t="s">
        <v>125</v>
      </c>
      <c r="O4659" t="s">
        <v>125</v>
      </c>
      <c r="P4659" t="s">
        <v>125</v>
      </c>
      <c r="Q4659" t="s">
        <v>125</v>
      </c>
      <c r="R4659" t="s">
        <v>125</v>
      </c>
      <c r="S4659" t="s">
        <v>125</v>
      </c>
      <c r="T4659">
        <v>0</v>
      </c>
      <c r="V4659" t="s">
        <v>125</v>
      </c>
      <c r="AE4659" t="s">
        <v>125</v>
      </c>
      <c r="AF4659">
        <v>0</v>
      </c>
      <c r="AG4659" t="s">
        <v>125</v>
      </c>
      <c r="AH4659">
        <v>0</v>
      </c>
      <c r="AK4659">
        <v>0</v>
      </c>
    </row>
    <row r="4660" spans="1:37" x14ac:dyDescent="0.25">
      <c r="A4660" t="s">
        <v>79</v>
      </c>
      <c r="B4660">
        <v>18</v>
      </c>
      <c r="C4660">
        <v>2</v>
      </c>
      <c r="D4660">
        <v>3</v>
      </c>
      <c r="E4660">
        <v>3</v>
      </c>
      <c r="G4660">
        <v>1823</v>
      </c>
      <c r="H4660" t="s">
        <v>63</v>
      </c>
      <c r="I4660" t="s">
        <v>95</v>
      </c>
      <c r="J4660" t="s">
        <v>143</v>
      </c>
      <c r="L4660">
        <v>0</v>
      </c>
      <c r="M4660" t="s">
        <v>125</v>
      </c>
      <c r="O4660" t="s">
        <v>125</v>
      </c>
      <c r="P4660" t="s">
        <v>125</v>
      </c>
      <c r="Q4660" t="s">
        <v>125</v>
      </c>
      <c r="R4660" t="s">
        <v>125</v>
      </c>
      <c r="S4660" t="s">
        <v>125</v>
      </c>
      <c r="T4660">
        <v>0</v>
      </c>
      <c r="V4660" t="s">
        <v>125</v>
      </c>
      <c r="AE4660" t="s">
        <v>125</v>
      </c>
      <c r="AF4660">
        <v>0</v>
      </c>
      <c r="AG4660" t="s">
        <v>125</v>
      </c>
      <c r="AH4660">
        <v>0</v>
      </c>
      <c r="AK4660">
        <v>0</v>
      </c>
    </row>
    <row r="4661" spans="1:37" x14ac:dyDescent="0.25">
      <c r="A4661" t="s">
        <v>79</v>
      </c>
      <c r="B4661">
        <v>18</v>
      </c>
      <c r="C4661">
        <v>2</v>
      </c>
      <c r="D4661">
        <v>3</v>
      </c>
      <c r="E4661">
        <v>4</v>
      </c>
      <c r="G4661">
        <v>1823</v>
      </c>
      <c r="H4661" t="s">
        <v>63</v>
      </c>
      <c r="I4661" t="s">
        <v>102</v>
      </c>
      <c r="J4661" t="s">
        <v>144</v>
      </c>
      <c r="L4661">
        <v>0</v>
      </c>
      <c r="M4661" t="s">
        <v>125</v>
      </c>
      <c r="O4661" t="s">
        <v>125</v>
      </c>
      <c r="P4661" t="s">
        <v>125</v>
      </c>
      <c r="Q4661" t="s">
        <v>125</v>
      </c>
      <c r="R4661" t="s">
        <v>125</v>
      </c>
      <c r="S4661" t="s">
        <v>125</v>
      </c>
      <c r="T4661">
        <v>0</v>
      </c>
      <c r="V4661" t="s">
        <v>125</v>
      </c>
      <c r="AE4661" t="s">
        <v>125</v>
      </c>
      <c r="AF4661">
        <v>0</v>
      </c>
      <c r="AG4661" t="s">
        <v>125</v>
      </c>
      <c r="AH4661">
        <v>0</v>
      </c>
      <c r="AK4661">
        <v>0</v>
      </c>
    </row>
    <row r="4662" spans="1:37" x14ac:dyDescent="0.25">
      <c r="A4662" t="s">
        <v>79</v>
      </c>
      <c r="B4662">
        <v>18</v>
      </c>
      <c r="C4662">
        <v>2</v>
      </c>
      <c r="D4662">
        <v>3</v>
      </c>
      <c r="E4662">
        <v>5</v>
      </c>
      <c r="G4662">
        <v>1823</v>
      </c>
      <c r="H4662" t="s">
        <v>63</v>
      </c>
      <c r="I4662" t="s">
        <v>109</v>
      </c>
      <c r="J4662" t="s">
        <v>145</v>
      </c>
      <c r="L4662">
        <v>0</v>
      </c>
      <c r="M4662" t="s">
        <v>125</v>
      </c>
      <c r="O4662" t="s">
        <v>125</v>
      </c>
      <c r="P4662" t="s">
        <v>125</v>
      </c>
      <c r="Q4662" t="s">
        <v>125</v>
      </c>
      <c r="R4662" t="s">
        <v>125</v>
      </c>
      <c r="S4662" t="s">
        <v>125</v>
      </c>
      <c r="T4662">
        <v>0</v>
      </c>
      <c r="V4662" t="s">
        <v>125</v>
      </c>
      <c r="AE4662" t="s">
        <v>125</v>
      </c>
      <c r="AF4662">
        <v>0</v>
      </c>
      <c r="AG4662" t="s">
        <v>125</v>
      </c>
      <c r="AH4662">
        <v>0</v>
      </c>
      <c r="AK4662">
        <v>0</v>
      </c>
    </row>
    <row r="4663" spans="1:37" x14ac:dyDescent="0.25">
      <c r="A4663" t="s">
        <v>79</v>
      </c>
      <c r="B4663">
        <v>18</v>
      </c>
      <c r="C4663">
        <v>2</v>
      </c>
      <c r="D4663">
        <v>3</v>
      </c>
      <c r="E4663">
        <v>6</v>
      </c>
      <c r="G4663">
        <v>1823</v>
      </c>
      <c r="H4663" t="s">
        <v>63</v>
      </c>
      <c r="I4663" t="s">
        <v>116</v>
      </c>
      <c r="J4663" t="s">
        <v>146</v>
      </c>
      <c r="L4663">
        <v>0</v>
      </c>
      <c r="M4663" t="s">
        <v>125</v>
      </c>
      <c r="O4663" t="s">
        <v>125</v>
      </c>
      <c r="P4663" t="s">
        <v>125</v>
      </c>
      <c r="Q4663" t="s">
        <v>125</v>
      </c>
      <c r="R4663" t="s">
        <v>125</v>
      </c>
      <c r="S4663" t="s">
        <v>125</v>
      </c>
      <c r="T4663">
        <v>0</v>
      </c>
      <c r="V4663" t="s">
        <v>125</v>
      </c>
      <c r="AE4663" t="s">
        <v>125</v>
      </c>
      <c r="AF4663">
        <v>0</v>
      </c>
      <c r="AG4663" t="s">
        <v>125</v>
      </c>
      <c r="AH4663">
        <v>0</v>
      </c>
      <c r="AK4663">
        <v>0</v>
      </c>
    </row>
    <row r="4664" spans="1:37" x14ac:dyDescent="0.25">
      <c r="A4664" t="s">
        <v>79</v>
      </c>
      <c r="B4664">
        <v>18</v>
      </c>
      <c r="C4664">
        <v>2</v>
      </c>
      <c r="D4664">
        <v>3</v>
      </c>
      <c r="E4664">
        <v>7</v>
      </c>
      <c r="G4664">
        <v>1823</v>
      </c>
      <c r="H4664" t="s">
        <v>63</v>
      </c>
      <c r="I4664" t="s">
        <v>123</v>
      </c>
      <c r="J4664" t="s">
        <v>147</v>
      </c>
      <c r="L4664">
        <v>0</v>
      </c>
      <c r="M4664" t="s">
        <v>125</v>
      </c>
      <c r="O4664" t="s">
        <v>125</v>
      </c>
      <c r="P4664" t="s">
        <v>125</v>
      </c>
      <c r="Q4664" t="s">
        <v>125</v>
      </c>
      <c r="R4664" t="s">
        <v>125</v>
      </c>
      <c r="S4664" t="s">
        <v>125</v>
      </c>
      <c r="T4664">
        <v>0</v>
      </c>
      <c r="V4664" t="s">
        <v>125</v>
      </c>
      <c r="AE4664" t="s">
        <v>125</v>
      </c>
      <c r="AF4664">
        <v>0</v>
      </c>
      <c r="AG4664" t="s">
        <v>125</v>
      </c>
      <c r="AH4664">
        <v>0</v>
      </c>
      <c r="AK4664">
        <v>0</v>
      </c>
    </row>
    <row r="4665" spans="1:37" x14ac:dyDescent="0.25">
      <c r="A4665" t="s">
        <v>79</v>
      </c>
      <c r="B4665">
        <v>18</v>
      </c>
      <c r="C4665">
        <v>2</v>
      </c>
      <c r="D4665">
        <v>3</v>
      </c>
      <c r="E4665">
        <v>8</v>
      </c>
      <c r="G4665">
        <v>1823</v>
      </c>
      <c r="H4665" t="s">
        <v>63</v>
      </c>
      <c r="I4665" t="s">
        <v>126</v>
      </c>
      <c r="J4665" t="s">
        <v>148</v>
      </c>
      <c r="L4665">
        <v>0</v>
      </c>
      <c r="M4665" t="s">
        <v>125</v>
      </c>
      <c r="O4665" t="s">
        <v>125</v>
      </c>
      <c r="P4665" t="s">
        <v>125</v>
      </c>
      <c r="Q4665" t="s">
        <v>125</v>
      </c>
      <c r="R4665" t="s">
        <v>125</v>
      </c>
      <c r="S4665" t="s">
        <v>125</v>
      </c>
      <c r="T4665">
        <v>0</v>
      </c>
      <c r="V4665" t="s">
        <v>125</v>
      </c>
      <c r="AE4665" t="s">
        <v>125</v>
      </c>
      <c r="AF4665">
        <v>0</v>
      </c>
      <c r="AG4665" t="s">
        <v>125</v>
      </c>
      <c r="AH4665">
        <v>0</v>
      </c>
      <c r="AK4665">
        <v>0</v>
      </c>
    </row>
    <row r="4666" spans="1:37" x14ac:dyDescent="0.25">
      <c r="A4666" t="s">
        <v>79</v>
      </c>
      <c r="B4666">
        <v>18</v>
      </c>
      <c r="C4666">
        <v>2</v>
      </c>
      <c r="D4666">
        <v>3</v>
      </c>
      <c r="E4666">
        <v>9</v>
      </c>
      <c r="G4666">
        <v>1823</v>
      </c>
      <c r="H4666" t="s">
        <v>63</v>
      </c>
      <c r="I4666" t="s">
        <v>74</v>
      </c>
      <c r="J4666" t="s">
        <v>149</v>
      </c>
      <c r="L4666">
        <v>0</v>
      </c>
      <c r="M4666" t="s">
        <v>125</v>
      </c>
      <c r="O4666" t="s">
        <v>125</v>
      </c>
      <c r="P4666" t="s">
        <v>125</v>
      </c>
      <c r="Q4666" t="s">
        <v>125</v>
      </c>
      <c r="R4666" t="s">
        <v>125</v>
      </c>
      <c r="S4666" t="s">
        <v>125</v>
      </c>
      <c r="T4666">
        <v>0</v>
      </c>
      <c r="V4666" t="s">
        <v>125</v>
      </c>
      <c r="AE4666" t="s">
        <v>125</v>
      </c>
      <c r="AF4666">
        <v>0</v>
      </c>
      <c r="AG4666" t="s">
        <v>125</v>
      </c>
      <c r="AH4666">
        <v>0</v>
      </c>
      <c r="AK4666">
        <v>0</v>
      </c>
    </row>
    <row r="4667" spans="1:37" x14ac:dyDescent="0.25">
      <c r="A4667" t="s">
        <v>79</v>
      </c>
      <c r="B4667">
        <v>18</v>
      </c>
      <c r="C4667">
        <v>2</v>
      </c>
      <c r="D4667">
        <v>3</v>
      </c>
      <c r="E4667">
        <v>10</v>
      </c>
      <c r="G4667">
        <v>1823</v>
      </c>
      <c r="H4667" t="s">
        <v>63</v>
      </c>
      <c r="I4667" t="s">
        <v>129</v>
      </c>
      <c r="J4667" t="s">
        <v>150</v>
      </c>
      <c r="L4667">
        <v>0</v>
      </c>
      <c r="M4667" t="s">
        <v>125</v>
      </c>
      <c r="O4667" t="s">
        <v>125</v>
      </c>
      <c r="P4667" t="s">
        <v>125</v>
      </c>
      <c r="Q4667" t="s">
        <v>125</v>
      </c>
      <c r="R4667" t="s">
        <v>125</v>
      </c>
      <c r="S4667" t="s">
        <v>125</v>
      </c>
      <c r="T4667">
        <v>0</v>
      </c>
      <c r="V4667" t="s">
        <v>125</v>
      </c>
      <c r="AE4667" t="s">
        <v>125</v>
      </c>
      <c r="AF4667">
        <v>0</v>
      </c>
      <c r="AG4667" t="s">
        <v>125</v>
      </c>
      <c r="AH4667">
        <v>0</v>
      </c>
      <c r="AK4667">
        <v>0</v>
      </c>
    </row>
    <row r="4668" spans="1:37" x14ac:dyDescent="0.25">
      <c r="A4668" t="s">
        <v>79</v>
      </c>
      <c r="B4668">
        <v>18</v>
      </c>
      <c r="C4668">
        <v>2</v>
      </c>
      <c r="D4668">
        <v>3</v>
      </c>
      <c r="E4668">
        <v>11</v>
      </c>
      <c r="G4668">
        <v>1823</v>
      </c>
      <c r="H4668" t="s">
        <v>63</v>
      </c>
      <c r="I4668" t="s">
        <v>131</v>
      </c>
      <c r="J4668" t="s">
        <v>151</v>
      </c>
      <c r="L4668">
        <v>0</v>
      </c>
      <c r="M4668" t="s">
        <v>125</v>
      </c>
      <c r="O4668" t="s">
        <v>125</v>
      </c>
      <c r="P4668" t="s">
        <v>125</v>
      </c>
      <c r="Q4668" t="s">
        <v>125</v>
      </c>
      <c r="R4668" t="s">
        <v>125</v>
      </c>
      <c r="S4668" t="s">
        <v>125</v>
      </c>
      <c r="T4668">
        <v>0</v>
      </c>
      <c r="V4668" t="s">
        <v>125</v>
      </c>
      <c r="AE4668" t="s">
        <v>125</v>
      </c>
      <c r="AF4668">
        <v>0</v>
      </c>
      <c r="AG4668" t="s">
        <v>125</v>
      </c>
      <c r="AH4668">
        <v>0</v>
      </c>
      <c r="AK4668">
        <v>0</v>
      </c>
    </row>
    <row r="4669" spans="1:37" x14ac:dyDescent="0.25">
      <c r="A4669" t="s">
        <v>79</v>
      </c>
      <c r="B4669">
        <v>18</v>
      </c>
      <c r="C4669">
        <v>2</v>
      </c>
      <c r="D4669">
        <v>3</v>
      </c>
      <c r="E4669">
        <v>12</v>
      </c>
      <c r="G4669">
        <v>1823</v>
      </c>
      <c r="H4669" t="s">
        <v>63</v>
      </c>
      <c r="I4669" t="s">
        <v>133</v>
      </c>
      <c r="J4669" t="s">
        <v>152</v>
      </c>
      <c r="L4669">
        <v>0</v>
      </c>
      <c r="M4669" t="s">
        <v>125</v>
      </c>
      <c r="O4669" t="s">
        <v>125</v>
      </c>
      <c r="P4669" t="s">
        <v>125</v>
      </c>
      <c r="Q4669" t="s">
        <v>125</v>
      </c>
      <c r="R4669" t="s">
        <v>125</v>
      </c>
      <c r="S4669" t="s">
        <v>125</v>
      </c>
      <c r="T4669">
        <v>0</v>
      </c>
      <c r="V4669" t="s">
        <v>125</v>
      </c>
      <c r="AE4669" t="s">
        <v>125</v>
      </c>
      <c r="AF4669">
        <v>0</v>
      </c>
      <c r="AG4669" t="s">
        <v>125</v>
      </c>
      <c r="AH4669">
        <v>0</v>
      </c>
      <c r="AK4669">
        <v>0</v>
      </c>
    </row>
    <row r="4670" spans="1:37" x14ac:dyDescent="0.25">
      <c r="A4670" t="s">
        <v>79</v>
      </c>
      <c r="B4670">
        <v>18</v>
      </c>
      <c r="C4670">
        <v>2</v>
      </c>
      <c r="D4670">
        <v>3</v>
      </c>
      <c r="E4670">
        <v>13</v>
      </c>
      <c r="G4670">
        <v>1823</v>
      </c>
      <c r="H4670" t="s">
        <v>63</v>
      </c>
      <c r="I4670" t="s">
        <v>135</v>
      </c>
      <c r="J4670" t="s">
        <v>153</v>
      </c>
      <c r="L4670">
        <v>0</v>
      </c>
      <c r="M4670" t="s">
        <v>125</v>
      </c>
      <c r="O4670" t="s">
        <v>125</v>
      </c>
      <c r="P4670" t="s">
        <v>125</v>
      </c>
      <c r="Q4670" t="s">
        <v>125</v>
      </c>
      <c r="R4670" t="s">
        <v>125</v>
      </c>
      <c r="S4670" t="s">
        <v>125</v>
      </c>
      <c r="T4670">
        <v>0</v>
      </c>
      <c r="V4670" t="s">
        <v>125</v>
      </c>
      <c r="AE4670" t="s">
        <v>125</v>
      </c>
      <c r="AF4670">
        <v>0</v>
      </c>
      <c r="AG4670" t="s">
        <v>125</v>
      </c>
      <c r="AH4670">
        <v>0</v>
      </c>
      <c r="AK4670">
        <v>0</v>
      </c>
    </row>
    <row r="4671" spans="1:37" x14ac:dyDescent="0.25">
      <c r="A4671" t="s">
        <v>79</v>
      </c>
      <c r="B4671">
        <v>18</v>
      </c>
      <c r="C4671">
        <v>2</v>
      </c>
      <c r="D4671">
        <v>3</v>
      </c>
      <c r="E4671">
        <v>14</v>
      </c>
      <c r="G4671">
        <v>1823</v>
      </c>
      <c r="H4671" t="s">
        <v>63</v>
      </c>
      <c r="I4671" t="s">
        <v>137</v>
      </c>
      <c r="J4671" t="s">
        <v>154</v>
      </c>
      <c r="L4671">
        <v>0</v>
      </c>
      <c r="M4671" t="s">
        <v>125</v>
      </c>
      <c r="O4671" t="s">
        <v>125</v>
      </c>
      <c r="P4671" t="s">
        <v>125</v>
      </c>
      <c r="Q4671" t="s">
        <v>125</v>
      </c>
      <c r="R4671" t="s">
        <v>125</v>
      </c>
      <c r="S4671" t="s">
        <v>125</v>
      </c>
      <c r="T4671">
        <v>0</v>
      </c>
      <c r="V4671" t="s">
        <v>125</v>
      </c>
      <c r="AE4671" t="s">
        <v>125</v>
      </c>
      <c r="AF4671">
        <v>0</v>
      </c>
      <c r="AG4671" t="s">
        <v>125</v>
      </c>
      <c r="AH4671">
        <v>0</v>
      </c>
      <c r="AK4671">
        <v>0</v>
      </c>
    </row>
    <row r="4672" spans="1:37" x14ac:dyDescent="0.25">
      <c r="A4672" t="s">
        <v>79</v>
      </c>
      <c r="B4672">
        <v>18</v>
      </c>
      <c r="C4672">
        <v>2</v>
      </c>
      <c r="D4672">
        <v>3</v>
      </c>
      <c r="E4672">
        <v>15</v>
      </c>
      <c r="G4672">
        <v>1823</v>
      </c>
      <c r="H4672" t="s">
        <v>63</v>
      </c>
      <c r="I4672" t="s">
        <v>139</v>
      </c>
      <c r="J4672" t="s">
        <v>155</v>
      </c>
      <c r="L4672">
        <v>0</v>
      </c>
      <c r="M4672" t="s">
        <v>125</v>
      </c>
      <c r="O4672" t="s">
        <v>125</v>
      </c>
      <c r="P4672" t="s">
        <v>125</v>
      </c>
      <c r="Q4672" t="s">
        <v>125</v>
      </c>
      <c r="R4672" t="s">
        <v>125</v>
      </c>
      <c r="S4672" t="s">
        <v>125</v>
      </c>
      <c r="T4672">
        <v>0</v>
      </c>
      <c r="V4672" t="s">
        <v>125</v>
      </c>
      <c r="AE4672" t="s">
        <v>125</v>
      </c>
      <c r="AF4672">
        <v>0</v>
      </c>
      <c r="AG4672" t="s">
        <v>125</v>
      </c>
      <c r="AH4672">
        <v>0</v>
      </c>
      <c r="AK4672">
        <v>0</v>
      </c>
    </row>
    <row r="4673" spans="1:37" x14ac:dyDescent="0.25">
      <c r="L4673">
        <v>0</v>
      </c>
    </row>
    <row r="4674" spans="1:37" x14ac:dyDescent="0.25">
      <c r="A4674" t="s">
        <v>70</v>
      </c>
      <c r="B4674">
        <v>18</v>
      </c>
      <c r="C4674">
        <v>2</v>
      </c>
      <c r="D4674">
        <v>4</v>
      </c>
      <c r="G4674">
        <v>182</v>
      </c>
      <c r="L4674">
        <v>0</v>
      </c>
      <c r="M4674" t="s">
        <v>125</v>
      </c>
      <c r="P4674" t="s">
        <v>125</v>
      </c>
      <c r="R4674" t="s">
        <v>125</v>
      </c>
      <c r="S4674" t="s">
        <v>63</v>
      </c>
      <c r="V4674" t="s">
        <v>125</v>
      </c>
      <c r="X4674" t="s">
        <v>125</v>
      </c>
      <c r="Y4674" t="s">
        <v>125</v>
      </c>
      <c r="Z4674" t="s">
        <v>125</v>
      </c>
      <c r="AA4674" t="s">
        <v>125</v>
      </c>
      <c r="AB4674" t="s">
        <v>125</v>
      </c>
      <c r="AC4674" t="s">
        <v>125</v>
      </c>
      <c r="AE4674" t="s">
        <v>125</v>
      </c>
      <c r="AF4674">
        <v>0</v>
      </c>
      <c r="AG4674" t="s">
        <v>125</v>
      </c>
      <c r="AH4674">
        <v>0</v>
      </c>
      <c r="AK4674">
        <v>0</v>
      </c>
    </row>
    <row r="4675" spans="1:37" x14ac:dyDescent="0.25">
      <c r="A4675" t="s">
        <v>79</v>
      </c>
      <c r="B4675">
        <v>18</v>
      </c>
      <c r="C4675">
        <v>2</v>
      </c>
      <c r="D4675">
        <v>4</v>
      </c>
      <c r="E4675">
        <v>1</v>
      </c>
      <c r="G4675">
        <v>1824</v>
      </c>
      <c r="H4675" t="s">
        <v>63</v>
      </c>
      <c r="I4675" t="s">
        <v>80</v>
      </c>
      <c r="J4675" t="s">
        <v>141</v>
      </c>
      <c r="L4675">
        <v>0</v>
      </c>
      <c r="M4675" t="s">
        <v>125</v>
      </c>
      <c r="O4675" t="s">
        <v>125</v>
      </c>
      <c r="P4675" t="s">
        <v>125</v>
      </c>
      <c r="Q4675" t="s">
        <v>125</v>
      </c>
      <c r="R4675" t="s">
        <v>125</v>
      </c>
      <c r="S4675" t="s">
        <v>125</v>
      </c>
      <c r="T4675">
        <v>0</v>
      </c>
      <c r="V4675" t="s">
        <v>125</v>
      </c>
      <c r="AE4675" t="s">
        <v>125</v>
      </c>
      <c r="AF4675">
        <v>0</v>
      </c>
      <c r="AG4675" t="s">
        <v>125</v>
      </c>
      <c r="AH4675">
        <v>0</v>
      </c>
      <c r="AK4675">
        <v>0</v>
      </c>
    </row>
    <row r="4676" spans="1:37" x14ac:dyDescent="0.25">
      <c r="A4676" t="s">
        <v>79</v>
      </c>
      <c r="B4676">
        <v>18</v>
      </c>
      <c r="C4676">
        <v>2</v>
      </c>
      <c r="D4676">
        <v>4</v>
      </c>
      <c r="E4676">
        <v>2</v>
      </c>
      <c r="G4676">
        <v>1824</v>
      </c>
      <c r="H4676" t="s">
        <v>63</v>
      </c>
      <c r="I4676" t="s">
        <v>88</v>
      </c>
      <c r="J4676" t="s">
        <v>142</v>
      </c>
      <c r="L4676">
        <v>0</v>
      </c>
      <c r="M4676" t="s">
        <v>125</v>
      </c>
      <c r="O4676" t="s">
        <v>125</v>
      </c>
      <c r="P4676" t="s">
        <v>125</v>
      </c>
      <c r="Q4676" t="s">
        <v>125</v>
      </c>
      <c r="R4676" t="s">
        <v>125</v>
      </c>
      <c r="S4676" t="s">
        <v>125</v>
      </c>
      <c r="T4676">
        <v>0</v>
      </c>
      <c r="V4676" t="s">
        <v>125</v>
      </c>
      <c r="AE4676" t="s">
        <v>125</v>
      </c>
      <c r="AF4676">
        <v>0</v>
      </c>
      <c r="AG4676" t="s">
        <v>125</v>
      </c>
      <c r="AH4676">
        <v>0</v>
      </c>
      <c r="AK4676">
        <v>0</v>
      </c>
    </row>
    <row r="4677" spans="1:37" x14ac:dyDescent="0.25">
      <c r="A4677" t="s">
        <v>79</v>
      </c>
      <c r="B4677">
        <v>18</v>
      </c>
      <c r="C4677">
        <v>2</v>
      </c>
      <c r="D4677">
        <v>4</v>
      </c>
      <c r="E4677">
        <v>3</v>
      </c>
      <c r="G4677">
        <v>1824</v>
      </c>
      <c r="H4677" t="s">
        <v>63</v>
      </c>
      <c r="I4677" t="s">
        <v>95</v>
      </c>
      <c r="J4677" t="s">
        <v>143</v>
      </c>
      <c r="L4677">
        <v>0</v>
      </c>
      <c r="M4677" t="s">
        <v>125</v>
      </c>
      <c r="O4677" t="s">
        <v>125</v>
      </c>
      <c r="P4677" t="s">
        <v>125</v>
      </c>
      <c r="Q4677" t="s">
        <v>125</v>
      </c>
      <c r="R4677" t="s">
        <v>125</v>
      </c>
      <c r="S4677" t="s">
        <v>125</v>
      </c>
      <c r="T4677">
        <v>0</v>
      </c>
      <c r="V4677" t="s">
        <v>125</v>
      </c>
      <c r="AE4677" t="s">
        <v>125</v>
      </c>
      <c r="AF4677">
        <v>0</v>
      </c>
      <c r="AG4677" t="s">
        <v>125</v>
      </c>
      <c r="AH4677">
        <v>0</v>
      </c>
      <c r="AK4677">
        <v>0</v>
      </c>
    </row>
    <row r="4678" spans="1:37" x14ac:dyDescent="0.25">
      <c r="A4678" t="s">
        <v>79</v>
      </c>
      <c r="B4678">
        <v>18</v>
      </c>
      <c r="C4678">
        <v>2</v>
      </c>
      <c r="D4678">
        <v>4</v>
      </c>
      <c r="E4678">
        <v>4</v>
      </c>
      <c r="G4678">
        <v>1824</v>
      </c>
      <c r="H4678" t="s">
        <v>63</v>
      </c>
      <c r="I4678" t="s">
        <v>102</v>
      </c>
      <c r="J4678" t="s">
        <v>144</v>
      </c>
      <c r="L4678">
        <v>0</v>
      </c>
      <c r="M4678" t="s">
        <v>125</v>
      </c>
      <c r="O4678" t="s">
        <v>125</v>
      </c>
      <c r="P4678" t="s">
        <v>125</v>
      </c>
      <c r="Q4678" t="s">
        <v>125</v>
      </c>
      <c r="R4678" t="s">
        <v>125</v>
      </c>
      <c r="S4678" t="s">
        <v>125</v>
      </c>
      <c r="T4678">
        <v>0</v>
      </c>
      <c r="V4678" t="s">
        <v>125</v>
      </c>
      <c r="AE4678" t="s">
        <v>125</v>
      </c>
      <c r="AF4678">
        <v>0</v>
      </c>
      <c r="AG4678" t="s">
        <v>125</v>
      </c>
      <c r="AH4678">
        <v>0</v>
      </c>
      <c r="AK4678">
        <v>0</v>
      </c>
    </row>
    <row r="4679" spans="1:37" x14ac:dyDescent="0.25">
      <c r="A4679" t="s">
        <v>79</v>
      </c>
      <c r="B4679">
        <v>18</v>
      </c>
      <c r="C4679">
        <v>2</v>
      </c>
      <c r="D4679">
        <v>4</v>
      </c>
      <c r="E4679">
        <v>5</v>
      </c>
      <c r="G4679">
        <v>1824</v>
      </c>
      <c r="H4679" t="s">
        <v>63</v>
      </c>
      <c r="I4679" t="s">
        <v>109</v>
      </c>
      <c r="J4679" t="s">
        <v>145</v>
      </c>
      <c r="L4679">
        <v>0</v>
      </c>
      <c r="M4679" t="s">
        <v>125</v>
      </c>
      <c r="O4679" t="s">
        <v>125</v>
      </c>
      <c r="P4679" t="s">
        <v>125</v>
      </c>
      <c r="Q4679" t="s">
        <v>125</v>
      </c>
      <c r="R4679" t="s">
        <v>125</v>
      </c>
      <c r="S4679" t="s">
        <v>125</v>
      </c>
      <c r="T4679">
        <v>0</v>
      </c>
      <c r="V4679" t="s">
        <v>125</v>
      </c>
      <c r="AE4679" t="s">
        <v>125</v>
      </c>
      <c r="AF4679">
        <v>0</v>
      </c>
      <c r="AG4679" t="s">
        <v>125</v>
      </c>
      <c r="AH4679">
        <v>0</v>
      </c>
      <c r="AK4679">
        <v>0</v>
      </c>
    </row>
    <row r="4680" spans="1:37" x14ac:dyDescent="0.25">
      <c r="A4680" t="s">
        <v>79</v>
      </c>
      <c r="B4680">
        <v>18</v>
      </c>
      <c r="C4680">
        <v>2</v>
      </c>
      <c r="D4680">
        <v>4</v>
      </c>
      <c r="E4680">
        <v>6</v>
      </c>
      <c r="G4680">
        <v>1824</v>
      </c>
      <c r="H4680" t="s">
        <v>63</v>
      </c>
      <c r="I4680" t="s">
        <v>116</v>
      </c>
      <c r="J4680" t="s">
        <v>146</v>
      </c>
      <c r="L4680">
        <v>0</v>
      </c>
      <c r="M4680" t="s">
        <v>125</v>
      </c>
      <c r="O4680" t="s">
        <v>125</v>
      </c>
      <c r="P4680" t="s">
        <v>125</v>
      </c>
      <c r="Q4680" t="s">
        <v>125</v>
      </c>
      <c r="R4680" t="s">
        <v>125</v>
      </c>
      <c r="S4680" t="s">
        <v>125</v>
      </c>
      <c r="T4680">
        <v>0</v>
      </c>
      <c r="V4680" t="s">
        <v>125</v>
      </c>
      <c r="AE4680" t="s">
        <v>125</v>
      </c>
      <c r="AF4680">
        <v>0</v>
      </c>
      <c r="AG4680" t="s">
        <v>125</v>
      </c>
      <c r="AH4680">
        <v>0</v>
      </c>
      <c r="AK4680">
        <v>0</v>
      </c>
    </row>
    <row r="4681" spans="1:37" x14ac:dyDescent="0.25">
      <c r="A4681" t="s">
        <v>79</v>
      </c>
      <c r="B4681">
        <v>18</v>
      </c>
      <c r="C4681">
        <v>2</v>
      </c>
      <c r="D4681">
        <v>4</v>
      </c>
      <c r="E4681">
        <v>7</v>
      </c>
      <c r="G4681">
        <v>1824</v>
      </c>
      <c r="H4681" t="s">
        <v>63</v>
      </c>
      <c r="I4681" t="s">
        <v>123</v>
      </c>
      <c r="J4681" t="s">
        <v>147</v>
      </c>
      <c r="L4681">
        <v>0</v>
      </c>
      <c r="M4681" t="s">
        <v>125</v>
      </c>
      <c r="O4681" t="s">
        <v>125</v>
      </c>
      <c r="P4681" t="s">
        <v>125</v>
      </c>
      <c r="Q4681" t="s">
        <v>125</v>
      </c>
      <c r="R4681" t="s">
        <v>125</v>
      </c>
      <c r="S4681" t="s">
        <v>125</v>
      </c>
      <c r="T4681">
        <v>0</v>
      </c>
      <c r="V4681" t="s">
        <v>125</v>
      </c>
      <c r="AE4681" t="s">
        <v>125</v>
      </c>
      <c r="AF4681">
        <v>0</v>
      </c>
      <c r="AG4681" t="s">
        <v>125</v>
      </c>
      <c r="AH4681">
        <v>0</v>
      </c>
      <c r="AK4681">
        <v>0</v>
      </c>
    </row>
    <row r="4682" spans="1:37" x14ac:dyDescent="0.25">
      <c r="A4682" t="s">
        <v>79</v>
      </c>
      <c r="B4682">
        <v>18</v>
      </c>
      <c r="C4682">
        <v>2</v>
      </c>
      <c r="D4682">
        <v>4</v>
      </c>
      <c r="E4682">
        <v>8</v>
      </c>
      <c r="G4682">
        <v>1824</v>
      </c>
      <c r="H4682" t="s">
        <v>63</v>
      </c>
      <c r="I4682" t="s">
        <v>126</v>
      </c>
      <c r="J4682" t="s">
        <v>148</v>
      </c>
      <c r="L4682">
        <v>0</v>
      </c>
      <c r="M4682" t="s">
        <v>125</v>
      </c>
      <c r="O4682" t="s">
        <v>125</v>
      </c>
      <c r="P4682" t="s">
        <v>125</v>
      </c>
      <c r="Q4682" t="s">
        <v>125</v>
      </c>
      <c r="R4682" t="s">
        <v>125</v>
      </c>
      <c r="S4682" t="s">
        <v>125</v>
      </c>
      <c r="T4682">
        <v>0</v>
      </c>
      <c r="V4682" t="s">
        <v>125</v>
      </c>
      <c r="AE4682" t="s">
        <v>125</v>
      </c>
      <c r="AF4682">
        <v>0</v>
      </c>
      <c r="AG4682" t="s">
        <v>125</v>
      </c>
      <c r="AH4682">
        <v>0</v>
      </c>
      <c r="AK4682">
        <v>0</v>
      </c>
    </row>
    <row r="4683" spans="1:37" x14ac:dyDescent="0.25">
      <c r="A4683" t="s">
        <v>79</v>
      </c>
      <c r="B4683">
        <v>18</v>
      </c>
      <c r="C4683">
        <v>2</v>
      </c>
      <c r="D4683">
        <v>4</v>
      </c>
      <c r="E4683">
        <v>9</v>
      </c>
      <c r="G4683">
        <v>1824</v>
      </c>
      <c r="H4683" t="s">
        <v>63</v>
      </c>
      <c r="I4683" t="s">
        <v>74</v>
      </c>
      <c r="J4683" t="s">
        <v>149</v>
      </c>
      <c r="L4683">
        <v>0</v>
      </c>
      <c r="M4683" t="s">
        <v>125</v>
      </c>
      <c r="O4683" t="s">
        <v>125</v>
      </c>
      <c r="P4683" t="s">
        <v>125</v>
      </c>
      <c r="Q4683" t="s">
        <v>125</v>
      </c>
      <c r="R4683" t="s">
        <v>125</v>
      </c>
      <c r="S4683" t="s">
        <v>125</v>
      </c>
      <c r="T4683">
        <v>0</v>
      </c>
      <c r="V4683" t="s">
        <v>125</v>
      </c>
      <c r="AE4683" t="s">
        <v>125</v>
      </c>
      <c r="AF4683">
        <v>0</v>
      </c>
      <c r="AG4683" t="s">
        <v>125</v>
      </c>
      <c r="AH4683">
        <v>0</v>
      </c>
      <c r="AK4683">
        <v>0</v>
      </c>
    </row>
    <row r="4684" spans="1:37" x14ac:dyDescent="0.25">
      <c r="A4684" t="s">
        <v>79</v>
      </c>
      <c r="B4684">
        <v>18</v>
      </c>
      <c r="C4684">
        <v>2</v>
      </c>
      <c r="D4684">
        <v>4</v>
      </c>
      <c r="E4684">
        <v>10</v>
      </c>
      <c r="G4684">
        <v>1824</v>
      </c>
      <c r="H4684" t="s">
        <v>63</v>
      </c>
      <c r="I4684" t="s">
        <v>129</v>
      </c>
      <c r="J4684" t="s">
        <v>150</v>
      </c>
      <c r="L4684">
        <v>0</v>
      </c>
      <c r="M4684" t="s">
        <v>125</v>
      </c>
      <c r="O4684" t="s">
        <v>125</v>
      </c>
      <c r="P4684" t="s">
        <v>125</v>
      </c>
      <c r="Q4684" t="s">
        <v>125</v>
      </c>
      <c r="R4684" t="s">
        <v>125</v>
      </c>
      <c r="S4684" t="s">
        <v>125</v>
      </c>
      <c r="T4684">
        <v>0</v>
      </c>
      <c r="V4684" t="s">
        <v>125</v>
      </c>
      <c r="AE4684" t="s">
        <v>125</v>
      </c>
      <c r="AF4684">
        <v>0</v>
      </c>
      <c r="AG4684" t="s">
        <v>125</v>
      </c>
      <c r="AH4684">
        <v>0</v>
      </c>
      <c r="AK4684">
        <v>0</v>
      </c>
    </row>
    <row r="4685" spans="1:37" x14ac:dyDescent="0.25">
      <c r="A4685" t="s">
        <v>79</v>
      </c>
      <c r="B4685">
        <v>18</v>
      </c>
      <c r="C4685">
        <v>2</v>
      </c>
      <c r="D4685">
        <v>4</v>
      </c>
      <c r="E4685">
        <v>11</v>
      </c>
      <c r="G4685">
        <v>1824</v>
      </c>
      <c r="H4685" t="s">
        <v>63</v>
      </c>
      <c r="I4685" t="s">
        <v>131</v>
      </c>
      <c r="J4685" t="s">
        <v>151</v>
      </c>
      <c r="L4685">
        <v>0</v>
      </c>
      <c r="M4685" t="s">
        <v>125</v>
      </c>
      <c r="O4685" t="s">
        <v>125</v>
      </c>
      <c r="P4685" t="s">
        <v>125</v>
      </c>
      <c r="Q4685" t="s">
        <v>125</v>
      </c>
      <c r="R4685" t="s">
        <v>125</v>
      </c>
      <c r="S4685" t="s">
        <v>125</v>
      </c>
      <c r="T4685">
        <v>0</v>
      </c>
      <c r="V4685" t="s">
        <v>125</v>
      </c>
      <c r="AE4685" t="s">
        <v>125</v>
      </c>
      <c r="AF4685">
        <v>0</v>
      </c>
      <c r="AG4685" t="s">
        <v>125</v>
      </c>
      <c r="AH4685">
        <v>0</v>
      </c>
      <c r="AK4685">
        <v>0</v>
      </c>
    </row>
    <row r="4686" spans="1:37" x14ac:dyDescent="0.25">
      <c r="A4686" t="s">
        <v>79</v>
      </c>
      <c r="B4686">
        <v>18</v>
      </c>
      <c r="C4686">
        <v>2</v>
      </c>
      <c r="D4686">
        <v>4</v>
      </c>
      <c r="E4686">
        <v>12</v>
      </c>
      <c r="G4686">
        <v>1824</v>
      </c>
      <c r="H4686" t="s">
        <v>63</v>
      </c>
      <c r="I4686" t="s">
        <v>133</v>
      </c>
      <c r="J4686" t="s">
        <v>152</v>
      </c>
      <c r="L4686">
        <v>0</v>
      </c>
      <c r="M4686" t="s">
        <v>125</v>
      </c>
      <c r="O4686" t="s">
        <v>125</v>
      </c>
      <c r="P4686" t="s">
        <v>125</v>
      </c>
      <c r="Q4686" t="s">
        <v>125</v>
      </c>
      <c r="R4686" t="s">
        <v>125</v>
      </c>
      <c r="S4686" t="s">
        <v>125</v>
      </c>
      <c r="T4686">
        <v>0</v>
      </c>
      <c r="V4686" t="s">
        <v>125</v>
      </c>
      <c r="AE4686" t="s">
        <v>125</v>
      </c>
      <c r="AF4686">
        <v>0</v>
      </c>
      <c r="AG4686" t="s">
        <v>125</v>
      </c>
      <c r="AH4686">
        <v>0</v>
      </c>
      <c r="AK4686">
        <v>0</v>
      </c>
    </row>
    <row r="4687" spans="1:37" x14ac:dyDescent="0.25">
      <c r="A4687" t="s">
        <v>79</v>
      </c>
      <c r="B4687">
        <v>18</v>
      </c>
      <c r="C4687">
        <v>2</v>
      </c>
      <c r="D4687">
        <v>4</v>
      </c>
      <c r="E4687">
        <v>13</v>
      </c>
      <c r="G4687">
        <v>1824</v>
      </c>
      <c r="H4687" t="s">
        <v>63</v>
      </c>
      <c r="I4687" t="s">
        <v>135</v>
      </c>
      <c r="J4687" t="s">
        <v>153</v>
      </c>
      <c r="L4687">
        <v>0</v>
      </c>
      <c r="M4687" t="s">
        <v>125</v>
      </c>
      <c r="O4687" t="s">
        <v>125</v>
      </c>
      <c r="P4687" t="s">
        <v>125</v>
      </c>
      <c r="Q4687" t="s">
        <v>125</v>
      </c>
      <c r="R4687" t="s">
        <v>125</v>
      </c>
      <c r="S4687" t="s">
        <v>125</v>
      </c>
      <c r="T4687">
        <v>0</v>
      </c>
      <c r="V4687" t="s">
        <v>125</v>
      </c>
      <c r="AE4687" t="s">
        <v>125</v>
      </c>
      <c r="AF4687">
        <v>0</v>
      </c>
      <c r="AG4687" t="s">
        <v>125</v>
      </c>
      <c r="AH4687">
        <v>0</v>
      </c>
      <c r="AK4687">
        <v>0</v>
      </c>
    </row>
    <row r="4688" spans="1:37" x14ac:dyDescent="0.25">
      <c r="A4688" t="s">
        <v>79</v>
      </c>
      <c r="B4688">
        <v>18</v>
      </c>
      <c r="C4688">
        <v>2</v>
      </c>
      <c r="D4688">
        <v>4</v>
      </c>
      <c r="E4688">
        <v>14</v>
      </c>
      <c r="G4688">
        <v>1824</v>
      </c>
      <c r="H4688" t="s">
        <v>63</v>
      </c>
      <c r="I4688" t="s">
        <v>137</v>
      </c>
      <c r="J4688" t="s">
        <v>154</v>
      </c>
      <c r="L4688">
        <v>0</v>
      </c>
      <c r="M4688" t="s">
        <v>125</v>
      </c>
      <c r="O4688" t="s">
        <v>125</v>
      </c>
      <c r="P4688" t="s">
        <v>125</v>
      </c>
      <c r="Q4688" t="s">
        <v>125</v>
      </c>
      <c r="R4688" t="s">
        <v>125</v>
      </c>
      <c r="S4688" t="s">
        <v>125</v>
      </c>
      <c r="T4688">
        <v>0</v>
      </c>
      <c r="V4688" t="s">
        <v>125</v>
      </c>
      <c r="AE4688" t="s">
        <v>125</v>
      </c>
      <c r="AF4688">
        <v>0</v>
      </c>
      <c r="AG4688" t="s">
        <v>125</v>
      </c>
      <c r="AH4688">
        <v>0</v>
      </c>
      <c r="AK4688">
        <v>0</v>
      </c>
    </row>
    <row r="4689" spans="1:37" x14ac:dyDescent="0.25">
      <c r="A4689" t="s">
        <v>79</v>
      </c>
      <c r="B4689">
        <v>18</v>
      </c>
      <c r="C4689">
        <v>2</v>
      </c>
      <c r="D4689">
        <v>4</v>
      </c>
      <c r="E4689">
        <v>15</v>
      </c>
      <c r="G4689">
        <v>1824</v>
      </c>
      <c r="H4689" t="s">
        <v>63</v>
      </c>
      <c r="I4689" t="s">
        <v>139</v>
      </c>
      <c r="J4689" t="s">
        <v>155</v>
      </c>
      <c r="L4689">
        <v>0</v>
      </c>
      <c r="M4689" t="s">
        <v>125</v>
      </c>
      <c r="O4689" t="s">
        <v>125</v>
      </c>
      <c r="P4689" t="s">
        <v>125</v>
      </c>
      <c r="Q4689" t="s">
        <v>125</v>
      </c>
      <c r="R4689" t="s">
        <v>125</v>
      </c>
      <c r="S4689" t="s">
        <v>125</v>
      </c>
      <c r="T4689">
        <v>0</v>
      </c>
      <c r="V4689" t="s">
        <v>125</v>
      </c>
      <c r="AE4689" t="s">
        <v>125</v>
      </c>
      <c r="AF4689">
        <v>0</v>
      </c>
      <c r="AG4689" t="s">
        <v>125</v>
      </c>
      <c r="AH4689">
        <v>0</v>
      </c>
      <c r="AK4689">
        <v>0</v>
      </c>
    </row>
    <row r="4690" spans="1:37" x14ac:dyDescent="0.25">
      <c r="L4690">
        <v>0</v>
      </c>
    </row>
    <row r="4691" spans="1:37" x14ac:dyDescent="0.25">
      <c r="A4691" t="s">
        <v>70</v>
      </c>
      <c r="B4691">
        <v>18</v>
      </c>
      <c r="C4691">
        <v>2</v>
      </c>
      <c r="D4691">
        <v>5</v>
      </c>
      <c r="G4691">
        <v>182</v>
      </c>
      <c r="L4691">
        <v>0</v>
      </c>
      <c r="M4691" t="s">
        <v>125</v>
      </c>
      <c r="P4691" t="s">
        <v>125</v>
      </c>
      <c r="R4691" t="s">
        <v>125</v>
      </c>
      <c r="S4691" t="s">
        <v>63</v>
      </c>
      <c r="V4691" t="s">
        <v>125</v>
      </c>
      <c r="X4691" t="s">
        <v>125</v>
      </c>
      <c r="Y4691" t="s">
        <v>125</v>
      </c>
      <c r="Z4691" t="s">
        <v>125</v>
      </c>
      <c r="AA4691" t="s">
        <v>125</v>
      </c>
      <c r="AB4691" t="s">
        <v>125</v>
      </c>
      <c r="AC4691" t="s">
        <v>125</v>
      </c>
      <c r="AE4691" t="s">
        <v>125</v>
      </c>
      <c r="AF4691">
        <v>0</v>
      </c>
      <c r="AG4691" t="s">
        <v>125</v>
      </c>
      <c r="AH4691">
        <v>0</v>
      </c>
      <c r="AK4691">
        <v>0</v>
      </c>
    </row>
    <row r="4692" spans="1:37" x14ac:dyDescent="0.25">
      <c r="A4692" t="s">
        <v>79</v>
      </c>
      <c r="B4692">
        <v>18</v>
      </c>
      <c r="C4692">
        <v>2</v>
      </c>
      <c r="D4692">
        <v>5</v>
      </c>
      <c r="E4692">
        <v>1</v>
      </c>
      <c r="G4692">
        <v>1825</v>
      </c>
      <c r="H4692" t="s">
        <v>63</v>
      </c>
      <c r="I4692" t="s">
        <v>80</v>
      </c>
      <c r="J4692" t="s">
        <v>141</v>
      </c>
      <c r="L4692">
        <v>0</v>
      </c>
      <c r="M4692" t="s">
        <v>125</v>
      </c>
      <c r="O4692" t="s">
        <v>125</v>
      </c>
      <c r="P4692" t="s">
        <v>125</v>
      </c>
      <c r="Q4692" t="s">
        <v>125</v>
      </c>
      <c r="R4692" t="s">
        <v>125</v>
      </c>
      <c r="S4692" t="s">
        <v>125</v>
      </c>
      <c r="T4692">
        <v>0</v>
      </c>
      <c r="V4692" t="s">
        <v>125</v>
      </c>
      <c r="AE4692" t="s">
        <v>125</v>
      </c>
      <c r="AF4692">
        <v>0</v>
      </c>
      <c r="AG4692" t="s">
        <v>125</v>
      </c>
      <c r="AH4692">
        <v>0</v>
      </c>
      <c r="AK4692">
        <v>0</v>
      </c>
    </row>
    <row r="4693" spans="1:37" x14ac:dyDescent="0.25">
      <c r="A4693" t="s">
        <v>79</v>
      </c>
      <c r="B4693">
        <v>18</v>
      </c>
      <c r="C4693">
        <v>2</v>
      </c>
      <c r="D4693">
        <v>5</v>
      </c>
      <c r="E4693">
        <v>2</v>
      </c>
      <c r="G4693">
        <v>1825</v>
      </c>
      <c r="H4693" t="s">
        <v>63</v>
      </c>
      <c r="I4693" t="s">
        <v>88</v>
      </c>
      <c r="J4693" t="s">
        <v>142</v>
      </c>
      <c r="L4693">
        <v>0</v>
      </c>
      <c r="M4693" t="s">
        <v>125</v>
      </c>
      <c r="O4693" t="s">
        <v>125</v>
      </c>
      <c r="P4693" t="s">
        <v>125</v>
      </c>
      <c r="Q4693" t="s">
        <v>125</v>
      </c>
      <c r="R4693" t="s">
        <v>125</v>
      </c>
      <c r="S4693" t="s">
        <v>125</v>
      </c>
      <c r="T4693">
        <v>0</v>
      </c>
      <c r="V4693" t="s">
        <v>125</v>
      </c>
      <c r="AE4693" t="s">
        <v>125</v>
      </c>
      <c r="AF4693">
        <v>0</v>
      </c>
      <c r="AG4693" t="s">
        <v>125</v>
      </c>
      <c r="AH4693">
        <v>0</v>
      </c>
      <c r="AK4693">
        <v>0</v>
      </c>
    </row>
    <row r="4694" spans="1:37" x14ac:dyDescent="0.25">
      <c r="A4694" t="s">
        <v>79</v>
      </c>
      <c r="B4694">
        <v>18</v>
      </c>
      <c r="C4694">
        <v>2</v>
      </c>
      <c r="D4694">
        <v>5</v>
      </c>
      <c r="E4694">
        <v>3</v>
      </c>
      <c r="G4694">
        <v>1825</v>
      </c>
      <c r="H4694" t="s">
        <v>63</v>
      </c>
      <c r="I4694" t="s">
        <v>95</v>
      </c>
      <c r="J4694" t="s">
        <v>143</v>
      </c>
      <c r="L4694">
        <v>0</v>
      </c>
      <c r="M4694" t="s">
        <v>125</v>
      </c>
      <c r="O4694" t="s">
        <v>125</v>
      </c>
      <c r="P4694" t="s">
        <v>125</v>
      </c>
      <c r="Q4694" t="s">
        <v>125</v>
      </c>
      <c r="R4694" t="s">
        <v>125</v>
      </c>
      <c r="S4694" t="s">
        <v>125</v>
      </c>
      <c r="T4694">
        <v>0</v>
      </c>
      <c r="V4694" t="s">
        <v>125</v>
      </c>
      <c r="AE4694" t="s">
        <v>125</v>
      </c>
      <c r="AF4694">
        <v>0</v>
      </c>
      <c r="AG4694" t="s">
        <v>125</v>
      </c>
      <c r="AH4694">
        <v>0</v>
      </c>
      <c r="AK4694">
        <v>0</v>
      </c>
    </row>
    <row r="4695" spans="1:37" x14ac:dyDescent="0.25">
      <c r="A4695" t="s">
        <v>79</v>
      </c>
      <c r="B4695">
        <v>18</v>
      </c>
      <c r="C4695">
        <v>2</v>
      </c>
      <c r="D4695">
        <v>5</v>
      </c>
      <c r="E4695">
        <v>4</v>
      </c>
      <c r="G4695">
        <v>1825</v>
      </c>
      <c r="H4695" t="s">
        <v>63</v>
      </c>
      <c r="I4695" t="s">
        <v>102</v>
      </c>
      <c r="J4695" t="s">
        <v>144</v>
      </c>
      <c r="L4695">
        <v>0</v>
      </c>
      <c r="M4695" t="s">
        <v>125</v>
      </c>
      <c r="O4695" t="s">
        <v>125</v>
      </c>
      <c r="P4695" t="s">
        <v>125</v>
      </c>
      <c r="Q4695" t="s">
        <v>125</v>
      </c>
      <c r="R4695" t="s">
        <v>125</v>
      </c>
      <c r="S4695" t="s">
        <v>125</v>
      </c>
      <c r="T4695">
        <v>0</v>
      </c>
      <c r="V4695" t="s">
        <v>125</v>
      </c>
      <c r="AE4695" t="s">
        <v>125</v>
      </c>
      <c r="AF4695">
        <v>0</v>
      </c>
      <c r="AG4695" t="s">
        <v>125</v>
      </c>
      <c r="AH4695">
        <v>0</v>
      </c>
      <c r="AK4695">
        <v>0</v>
      </c>
    </row>
    <row r="4696" spans="1:37" x14ac:dyDescent="0.25">
      <c r="A4696" t="s">
        <v>79</v>
      </c>
      <c r="B4696">
        <v>18</v>
      </c>
      <c r="C4696">
        <v>2</v>
      </c>
      <c r="D4696">
        <v>5</v>
      </c>
      <c r="E4696">
        <v>5</v>
      </c>
      <c r="G4696">
        <v>1825</v>
      </c>
      <c r="H4696" t="s">
        <v>63</v>
      </c>
      <c r="I4696" t="s">
        <v>109</v>
      </c>
      <c r="J4696" t="s">
        <v>145</v>
      </c>
      <c r="L4696">
        <v>0</v>
      </c>
      <c r="M4696" t="s">
        <v>125</v>
      </c>
      <c r="O4696" t="s">
        <v>125</v>
      </c>
      <c r="P4696" t="s">
        <v>125</v>
      </c>
      <c r="Q4696" t="s">
        <v>125</v>
      </c>
      <c r="R4696" t="s">
        <v>125</v>
      </c>
      <c r="S4696" t="s">
        <v>125</v>
      </c>
      <c r="T4696">
        <v>0</v>
      </c>
      <c r="V4696" t="s">
        <v>125</v>
      </c>
      <c r="AE4696" t="s">
        <v>125</v>
      </c>
      <c r="AF4696">
        <v>0</v>
      </c>
      <c r="AG4696" t="s">
        <v>125</v>
      </c>
      <c r="AH4696">
        <v>0</v>
      </c>
      <c r="AK4696">
        <v>0</v>
      </c>
    </row>
    <row r="4697" spans="1:37" x14ac:dyDescent="0.25">
      <c r="A4697" t="s">
        <v>79</v>
      </c>
      <c r="B4697">
        <v>18</v>
      </c>
      <c r="C4697">
        <v>2</v>
      </c>
      <c r="D4697">
        <v>5</v>
      </c>
      <c r="E4697">
        <v>6</v>
      </c>
      <c r="G4697">
        <v>1825</v>
      </c>
      <c r="H4697" t="s">
        <v>63</v>
      </c>
      <c r="I4697" t="s">
        <v>116</v>
      </c>
      <c r="J4697" t="s">
        <v>146</v>
      </c>
      <c r="L4697">
        <v>0</v>
      </c>
      <c r="M4697" t="s">
        <v>125</v>
      </c>
      <c r="O4697" t="s">
        <v>125</v>
      </c>
      <c r="P4697" t="s">
        <v>125</v>
      </c>
      <c r="Q4697" t="s">
        <v>125</v>
      </c>
      <c r="R4697" t="s">
        <v>125</v>
      </c>
      <c r="S4697" t="s">
        <v>125</v>
      </c>
      <c r="T4697">
        <v>0</v>
      </c>
      <c r="V4697" t="s">
        <v>125</v>
      </c>
      <c r="AE4697" t="s">
        <v>125</v>
      </c>
      <c r="AF4697">
        <v>0</v>
      </c>
      <c r="AG4697" t="s">
        <v>125</v>
      </c>
      <c r="AH4697">
        <v>0</v>
      </c>
      <c r="AK4697">
        <v>0</v>
      </c>
    </row>
    <row r="4698" spans="1:37" x14ac:dyDescent="0.25">
      <c r="A4698" t="s">
        <v>79</v>
      </c>
      <c r="B4698">
        <v>18</v>
      </c>
      <c r="C4698">
        <v>2</v>
      </c>
      <c r="D4698">
        <v>5</v>
      </c>
      <c r="E4698">
        <v>7</v>
      </c>
      <c r="G4698">
        <v>1825</v>
      </c>
      <c r="H4698" t="s">
        <v>63</v>
      </c>
      <c r="I4698" t="s">
        <v>123</v>
      </c>
      <c r="J4698" t="s">
        <v>147</v>
      </c>
      <c r="L4698">
        <v>0</v>
      </c>
      <c r="M4698" t="s">
        <v>125</v>
      </c>
      <c r="O4698" t="s">
        <v>125</v>
      </c>
      <c r="P4698" t="s">
        <v>125</v>
      </c>
      <c r="Q4698" t="s">
        <v>125</v>
      </c>
      <c r="R4698" t="s">
        <v>125</v>
      </c>
      <c r="S4698" t="s">
        <v>125</v>
      </c>
      <c r="T4698">
        <v>0</v>
      </c>
      <c r="V4698" t="s">
        <v>125</v>
      </c>
      <c r="AE4698" t="s">
        <v>125</v>
      </c>
      <c r="AF4698">
        <v>0</v>
      </c>
      <c r="AG4698" t="s">
        <v>125</v>
      </c>
      <c r="AH4698">
        <v>0</v>
      </c>
      <c r="AK4698">
        <v>0</v>
      </c>
    </row>
    <row r="4699" spans="1:37" x14ac:dyDescent="0.25">
      <c r="A4699" t="s">
        <v>79</v>
      </c>
      <c r="B4699">
        <v>18</v>
      </c>
      <c r="C4699">
        <v>2</v>
      </c>
      <c r="D4699">
        <v>5</v>
      </c>
      <c r="E4699">
        <v>8</v>
      </c>
      <c r="G4699">
        <v>1825</v>
      </c>
      <c r="H4699" t="s">
        <v>63</v>
      </c>
      <c r="I4699" t="s">
        <v>126</v>
      </c>
      <c r="J4699" t="s">
        <v>148</v>
      </c>
      <c r="L4699">
        <v>0</v>
      </c>
      <c r="M4699" t="s">
        <v>125</v>
      </c>
      <c r="O4699" t="s">
        <v>125</v>
      </c>
      <c r="P4699" t="s">
        <v>125</v>
      </c>
      <c r="Q4699" t="s">
        <v>125</v>
      </c>
      <c r="R4699" t="s">
        <v>125</v>
      </c>
      <c r="S4699" t="s">
        <v>125</v>
      </c>
      <c r="T4699">
        <v>0</v>
      </c>
      <c r="V4699" t="s">
        <v>125</v>
      </c>
      <c r="AE4699" t="s">
        <v>125</v>
      </c>
      <c r="AF4699">
        <v>0</v>
      </c>
      <c r="AG4699" t="s">
        <v>125</v>
      </c>
      <c r="AH4699">
        <v>0</v>
      </c>
      <c r="AK4699">
        <v>0</v>
      </c>
    </row>
    <row r="4700" spans="1:37" x14ac:dyDescent="0.25">
      <c r="A4700" t="s">
        <v>79</v>
      </c>
      <c r="B4700">
        <v>18</v>
      </c>
      <c r="C4700">
        <v>2</v>
      </c>
      <c r="D4700">
        <v>5</v>
      </c>
      <c r="E4700">
        <v>9</v>
      </c>
      <c r="G4700">
        <v>1825</v>
      </c>
      <c r="H4700" t="s">
        <v>63</v>
      </c>
      <c r="I4700" t="s">
        <v>74</v>
      </c>
      <c r="J4700" t="s">
        <v>149</v>
      </c>
      <c r="L4700">
        <v>0</v>
      </c>
      <c r="M4700" t="s">
        <v>125</v>
      </c>
      <c r="O4700" t="s">
        <v>125</v>
      </c>
      <c r="P4700" t="s">
        <v>125</v>
      </c>
      <c r="Q4700" t="s">
        <v>125</v>
      </c>
      <c r="R4700" t="s">
        <v>125</v>
      </c>
      <c r="S4700" t="s">
        <v>125</v>
      </c>
      <c r="T4700">
        <v>0</v>
      </c>
      <c r="V4700" t="s">
        <v>125</v>
      </c>
      <c r="AE4700" t="s">
        <v>125</v>
      </c>
      <c r="AF4700">
        <v>0</v>
      </c>
      <c r="AG4700" t="s">
        <v>125</v>
      </c>
      <c r="AH4700">
        <v>0</v>
      </c>
      <c r="AK4700">
        <v>0</v>
      </c>
    </row>
    <row r="4701" spans="1:37" x14ac:dyDescent="0.25">
      <c r="A4701" t="s">
        <v>79</v>
      </c>
      <c r="B4701">
        <v>18</v>
      </c>
      <c r="C4701">
        <v>2</v>
      </c>
      <c r="D4701">
        <v>5</v>
      </c>
      <c r="E4701">
        <v>10</v>
      </c>
      <c r="G4701">
        <v>1825</v>
      </c>
      <c r="H4701" t="s">
        <v>63</v>
      </c>
      <c r="I4701" t="s">
        <v>129</v>
      </c>
      <c r="J4701" t="s">
        <v>150</v>
      </c>
      <c r="L4701">
        <v>0</v>
      </c>
      <c r="M4701" t="s">
        <v>125</v>
      </c>
      <c r="O4701" t="s">
        <v>125</v>
      </c>
      <c r="P4701" t="s">
        <v>125</v>
      </c>
      <c r="Q4701" t="s">
        <v>125</v>
      </c>
      <c r="R4701" t="s">
        <v>125</v>
      </c>
      <c r="S4701" t="s">
        <v>125</v>
      </c>
      <c r="T4701">
        <v>0</v>
      </c>
      <c r="V4701" t="s">
        <v>125</v>
      </c>
      <c r="AE4701" t="s">
        <v>125</v>
      </c>
      <c r="AF4701">
        <v>0</v>
      </c>
      <c r="AG4701" t="s">
        <v>125</v>
      </c>
      <c r="AH4701">
        <v>0</v>
      </c>
      <c r="AK4701">
        <v>0</v>
      </c>
    </row>
    <row r="4702" spans="1:37" x14ac:dyDescent="0.25">
      <c r="A4702" t="s">
        <v>79</v>
      </c>
      <c r="B4702">
        <v>18</v>
      </c>
      <c r="C4702">
        <v>2</v>
      </c>
      <c r="D4702">
        <v>5</v>
      </c>
      <c r="E4702">
        <v>11</v>
      </c>
      <c r="G4702">
        <v>1825</v>
      </c>
      <c r="H4702" t="s">
        <v>63</v>
      </c>
      <c r="I4702" t="s">
        <v>131</v>
      </c>
      <c r="J4702" t="s">
        <v>151</v>
      </c>
      <c r="L4702">
        <v>0</v>
      </c>
      <c r="M4702" t="s">
        <v>125</v>
      </c>
      <c r="O4702" t="s">
        <v>125</v>
      </c>
      <c r="P4702" t="s">
        <v>125</v>
      </c>
      <c r="Q4702" t="s">
        <v>125</v>
      </c>
      <c r="R4702" t="s">
        <v>125</v>
      </c>
      <c r="S4702" t="s">
        <v>125</v>
      </c>
      <c r="T4702">
        <v>0</v>
      </c>
      <c r="V4702" t="s">
        <v>125</v>
      </c>
      <c r="AE4702" t="s">
        <v>125</v>
      </c>
      <c r="AF4702">
        <v>0</v>
      </c>
      <c r="AG4702" t="s">
        <v>125</v>
      </c>
      <c r="AH4702">
        <v>0</v>
      </c>
      <c r="AK4702">
        <v>0</v>
      </c>
    </row>
    <row r="4703" spans="1:37" x14ac:dyDescent="0.25">
      <c r="A4703" t="s">
        <v>79</v>
      </c>
      <c r="B4703">
        <v>18</v>
      </c>
      <c r="C4703">
        <v>2</v>
      </c>
      <c r="D4703">
        <v>5</v>
      </c>
      <c r="E4703">
        <v>12</v>
      </c>
      <c r="G4703">
        <v>1825</v>
      </c>
      <c r="H4703" t="s">
        <v>63</v>
      </c>
      <c r="I4703" t="s">
        <v>133</v>
      </c>
      <c r="J4703" t="s">
        <v>152</v>
      </c>
      <c r="L4703">
        <v>0</v>
      </c>
      <c r="M4703" t="s">
        <v>125</v>
      </c>
      <c r="O4703" t="s">
        <v>125</v>
      </c>
      <c r="P4703" t="s">
        <v>125</v>
      </c>
      <c r="Q4703" t="s">
        <v>125</v>
      </c>
      <c r="R4703" t="s">
        <v>125</v>
      </c>
      <c r="S4703" t="s">
        <v>125</v>
      </c>
      <c r="T4703">
        <v>0</v>
      </c>
      <c r="V4703" t="s">
        <v>125</v>
      </c>
      <c r="AE4703" t="s">
        <v>125</v>
      </c>
      <c r="AF4703">
        <v>0</v>
      </c>
      <c r="AG4703" t="s">
        <v>125</v>
      </c>
      <c r="AH4703">
        <v>0</v>
      </c>
      <c r="AK4703">
        <v>0</v>
      </c>
    </row>
    <row r="4704" spans="1:37" x14ac:dyDescent="0.25">
      <c r="A4704" t="s">
        <v>79</v>
      </c>
      <c r="B4704">
        <v>18</v>
      </c>
      <c r="C4704">
        <v>2</v>
      </c>
      <c r="D4704">
        <v>5</v>
      </c>
      <c r="E4704">
        <v>13</v>
      </c>
      <c r="G4704">
        <v>1825</v>
      </c>
      <c r="H4704" t="s">
        <v>63</v>
      </c>
      <c r="I4704" t="s">
        <v>135</v>
      </c>
      <c r="J4704" t="s">
        <v>153</v>
      </c>
      <c r="L4704">
        <v>0</v>
      </c>
      <c r="M4704" t="s">
        <v>125</v>
      </c>
      <c r="O4704" t="s">
        <v>125</v>
      </c>
      <c r="P4704" t="s">
        <v>125</v>
      </c>
      <c r="Q4704" t="s">
        <v>125</v>
      </c>
      <c r="R4704" t="s">
        <v>125</v>
      </c>
      <c r="S4704" t="s">
        <v>125</v>
      </c>
      <c r="T4704">
        <v>0</v>
      </c>
      <c r="V4704" t="s">
        <v>125</v>
      </c>
      <c r="AE4704" t="s">
        <v>125</v>
      </c>
      <c r="AF4704">
        <v>0</v>
      </c>
      <c r="AG4704" t="s">
        <v>125</v>
      </c>
      <c r="AH4704">
        <v>0</v>
      </c>
      <c r="AK4704">
        <v>0</v>
      </c>
    </row>
    <row r="4705" spans="1:37" x14ac:dyDescent="0.25">
      <c r="A4705" t="s">
        <v>79</v>
      </c>
      <c r="B4705">
        <v>18</v>
      </c>
      <c r="C4705">
        <v>2</v>
      </c>
      <c r="D4705">
        <v>5</v>
      </c>
      <c r="E4705">
        <v>14</v>
      </c>
      <c r="G4705">
        <v>1825</v>
      </c>
      <c r="H4705" t="s">
        <v>63</v>
      </c>
      <c r="I4705" t="s">
        <v>137</v>
      </c>
      <c r="J4705" t="s">
        <v>154</v>
      </c>
      <c r="L4705">
        <v>0</v>
      </c>
      <c r="M4705" t="s">
        <v>125</v>
      </c>
      <c r="O4705" t="s">
        <v>125</v>
      </c>
      <c r="P4705" t="s">
        <v>125</v>
      </c>
      <c r="Q4705" t="s">
        <v>125</v>
      </c>
      <c r="R4705" t="s">
        <v>125</v>
      </c>
      <c r="S4705" t="s">
        <v>125</v>
      </c>
      <c r="T4705">
        <v>0</v>
      </c>
      <c r="V4705" t="s">
        <v>125</v>
      </c>
      <c r="AE4705" t="s">
        <v>125</v>
      </c>
      <c r="AF4705">
        <v>0</v>
      </c>
      <c r="AG4705" t="s">
        <v>125</v>
      </c>
      <c r="AH4705">
        <v>0</v>
      </c>
      <c r="AK4705">
        <v>0</v>
      </c>
    </row>
    <row r="4706" spans="1:37" x14ac:dyDescent="0.25">
      <c r="A4706" t="s">
        <v>79</v>
      </c>
      <c r="B4706">
        <v>18</v>
      </c>
      <c r="C4706">
        <v>2</v>
      </c>
      <c r="D4706">
        <v>5</v>
      </c>
      <c r="E4706">
        <v>15</v>
      </c>
      <c r="G4706">
        <v>1825</v>
      </c>
      <c r="H4706" t="s">
        <v>63</v>
      </c>
      <c r="I4706" t="s">
        <v>139</v>
      </c>
      <c r="J4706" t="s">
        <v>155</v>
      </c>
      <c r="L4706">
        <v>0</v>
      </c>
      <c r="M4706" t="s">
        <v>125</v>
      </c>
      <c r="O4706" t="s">
        <v>125</v>
      </c>
      <c r="P4706" t="s">
        <v>125</v>
      </c>
      <c r="Q4706" t="s">
        <v>125</v>
      </c>
      <c r="R4706" t="s">
        <v>125</v>
      </c>
      <c r="S4706" t="s">
        <v>125</v>
      </c>
      <c r="T4706">
        <v>0</v>
      </c>
      <c r="V4706" t="s">
        <v>125</v>
      </c>
      <c r="AE4706" t="s">
        <v>125</v>
      </c>
      <c r="AF4706">
        <v>0</v>
      </c>
      <c r="AG4706" t="s">
        <v>125</v>
      </c>
      <c r="AH4706">
        <v>0</v>
      </c>
      <c r="AK4706">
        <v>0</v>
      </c>
    </row>
    <row r="4707" spans="1:37" x14ac:dyDescent="0.25">
      <c r="L4707">
        <v>0</v>
      </c>
    </row>
    <row r="4708" spans="1:37" x14ac:dyDescent="0.25">
      <c r="L4708">
        <v>0</v>
      </c>
    </row>
    <row r="4709" spans="1:37" x14ac:dyDescent="0.25">
      <c r="A4709" t="s">
        <v>66</v>
      </c>
      <c r="B4709">
        <v>18</v>
      </c>
      <c r="C4709">
        <v>3</v>
      </c>
      <c r="G4709">
        <v>18</v>
      </c>
      <c r="H4709" t="s">
        <v>5870</v>
      </c>
      <c r="I4709" t="s">
        <v>5990</v>
      </c>
      <c r="L4709">
        <v>0</v>
      </c>
      <c r="M4709" t="s">
        <v>125</v>
      </c>
      <c r="N4709" t="s">
        <v>125</v>
      </c>
      <c r="V4709" t="s">
        <v>63</v>
      </c>
      <c r="Y4709" t="s">
        <v>63</v>
      </c>
      <c r="AA4709" t="s">
        <v>63</v>
      </c>
      <c r="AC4709" t="s">
        <v>63</v>
      </c>
      <c r="AE4709" t="s">
        <v>63</v>
      </c>
      <c r="AF4709">
        <v>0</v>
      </c>
      <c r="AG4709" t="s">
        <v>63</v>
      </c>
      <c r="AH4709">
        <v>0</v>
      </c>
      <c r="AK4709">
        <v>0</v>
      </c>
    </row>
    <row r="4710" spans="1:37" x14ac:dyDescent="0.25">
      <c r="L4710">
        <v>0</v>
      </c>
    </row>
    <row r="4711" spans="1:37" x14ac:dyDescent="0.25">
      <c r="A4711" t="s">
        <v>70</v>
      </c>
      <c r="B4711">
        <v>18</v>
      </c>
      <c r="C4711">
        <v>3</v>
      </c>
      <c r="D4711">
        <v>1</v>
      </c>
      <c r="G4711">
        <v>183</v>
      </c>
      <c r="L4711">
        <v>0</v>
      </c>
      <c r="M4711" t="s">
        <v>125</v>
      </c>
      <c r="P4711" t="s">
        <v>125</v>
      </c>
      <c r="R4711" t="s">
        <v>125</v>
      </c>
      <c r="S4711" t="s">
        <v>63</v>
      </c>
      <c r="V4711" t="s">
        <v>125</v>
      </c>
      <c r="X4711" t="s">
        <v>125</v>
      </c>
      <c r="Y4711" t="s">
        <v>125</v>
      </c>
      <c r="Z4711" t="s">
        <v>125</v>
      </c>
      <c r="AA4711" t="s">
        <v>125</v>
      </c>
      <c r="AB4711" t="s">
        <v>125</v>
      </c>
      <c r="AC4711" t="s">
        <v>125</v>
      </c>
      <c r="AE4711" t="s">
        <v>125</v>
      </c>
      <c r="AF4711">
        <v>0</v>
      </c>
      <c r="AG4711" t="s">
        <v>125</v>
      </c>
      <c r="AH4711">
        <v>0</v>
      </c>
      <c r="AK4711">
        <v>0</v>
      </c>
    </row>
    <row r="4712" spans="1:37" x14ac:dyDescent="0.25">
      <c r="A4712" t="s">
        <v>79</v>
      </c>
      <c r="B4712">
        <v>18</v>
      </c>
      <c r="C4712">
        <v>3</v>
      </c>
      <c r="D4712">
        <v>1</v>
      </c>
      <c r="E4712">
        <v>1</v>
      </c>
      <c r="G4712">
        <v>1831</v>
      </c>
      <c r="H4712" t="s">
        <v>63</v>
      </c>
      <c r="I4712" t="s">
        <v>80</v>
      </c>
      <c r="J4712" t="s">
        <v>141</v>
      </c>
      <c r="L4712">
        <v>0</v>
      </c>
      <c r="M4712" t="s">
        <v>125</v>
      </c>
      <c r="O4712" t="s">
        <v>125</v>
      </c>
      <c r="P4712" t="s">
        <v>125</v>
      </c>
      <c r="Q4712" t="s">
        <v>125</v>
      </c>
      <c r="R4712" t="s">
        <v>125</v>
      </c>
      <c r="S4712" t="s">
        <v>125</v>
      </c>
      <c r="T4712">
        <v>0</v>
      </c>
      <c r="V4712" t="s">
        <v>125</v>
      </c>
      <c r="AE4712" t="s">
        <v>125</v>
      </c>
      <c r="AF4712">
        <v>0</v>
      </c>
      <c r="AG4712" t="s">
        <v>125</v>
      </c>
      <c r="AH4712">
        <v>0</v>
      </c>
      <c r="AK4712">
        <v>0</v>
      </c>
    </row>
    <row r="4713" spans="1:37" x14ac:dyDescent="0.25">
      <c r="A4713" t="s">
        <v>79</v>
      </c>
      <c r="B4713">
        <v>18</v>
      </c>
      <c r="C4713">
        <v>3</v>
      </c>
      <c r="D4713">
        <v>1</v>
      </c>
      <c r="E4713">
        <v>2</v>
      </c>
      <c r="G4713">
        <v>1831</v>
      </c>
      <c r="H4713" t="s">
        <v>63</v>
      </c>
      <c r="I4713" t="s">
        <v>88</v>
      </c>
      <c r="J4713" t="s">
        <v>142</v>
      </c>
      <c r="L4713">
        <v>0</v>
      </c>
      <c r="M4713" t="s">
        <v>125</v>
      </c>
      <c r="O4713" t="s">
        <v>125</v>
      </c>
      <c r="P4713" t="s">
        <v>125</v>
      </c>
      <c r="Q4713" t="s">
        <v>125</v>
      </c>
      <c r="R4713" t="s">
        <v>125</v>
      </c>
      <c r="S4713" t="s">
        <v>125</v>
      </c>
      <c r="T4713">
        <v>0</v>
      </c>
      <c r="V4713" t="s">
        <v>125</v>
      </c>
      <c r="AE4713" t="s">
        <v>125</v>
      </c>
      <c r="AF4713">
        <v>0</v>
      </c>
      <c r="AG4713" t="s">
        <v>125</v>
      </c>
      <c r="AH4713">
        <v>0</v>
      </c>
      <c r="AK4713">
        <v>0</v>
      </c>
    </row>
    <row r="4714" spans="1:37" x14ac:dyDescent="0.25">
      <c r="A4714" t="s">
        <v>79</v>
      </c>
      <c r="B4714">
        <v>18</v>
      </c>
      <c r="C4714">
        <v>3</v>
      </c>
      <c r="D4714">
        <v>1</v>
      </c>
      <c r="E4714">
        <v>3</v>
      </c>
      <c r="G4714">
        <v>1831</v>
      </c>
      <c r="H4714" t="s">
        <v>63</v>
      </c>
      <c r="I4714" t="s">
        <v>95</v>
      </c>
      <c r="J4714" t="s">
        <v>143</v>
      </c>
      <c r="L4714">
        <v>0</v>
      </c>
      <c r="M4714" t="s">
        <v>125</v>
      </c>
      <c r="O4714" t="s">
        <v>125</v>
      </c>
      <c r="P4714" t="s">
        <v>125</v>
      </c>
      <c r="Q4714" t="s">
        <v>125</v>
      </c>
      <c r="R4714" t="s">
        <v>125</v>
      </c>
      <c r="S4714" t="s">
        <v>125</v>
      </c>
      <c r="T4714">
        <v>0</v>
      </c>
      <c r="V4714" t="s">
        <v>125</v>
      </c>
      <c r="AE4714" t="s">
        <v>125</v>
      </c>
      <c r="AF4714">
        <v>0</v>
      </c>
      <c r="AG4714" t="s">
        <v>125</v>
      </c>
      <c r="AH4714">
        <v>0</v>
      </c>
      <c r="AK4714">
        <v>0</v>
      </c>
    </row>
    <row r="4715" spans="1:37" x14ac:dyDescent="0.25">
      <c r="A4715" t="s">
        <v>79</v>
      </c>
      <c r="B4715">
        <v>18</v>
      </c>
      <c r="C4715">
        <v>3</v>
      </c>
      <c r="D4715">
        <v>1</v>
      </c>
      <c r="E4715">
        <v>4</v>
      </c>
      <c r="G4715">
        <v>1831</v>
      </c>
      <c r="H4715" t="s">
        <v>63</v>
      </c>
      <c r="I4715" t="s">
        <v>102</v>
      </c>
      <c r="J4715" t="s">
        <v>144</v>
      </c>
      <c r="L4715">
        <v>0</v>
      </c>
      <c r="M4715" t="s">
        <v>125</v>
      </c>
      <c r="O4715" t="s">
        <v>125</v>
      </c>
      <c r="P4715" t="s">
        <v>125</v>
      </c>
      <c r="Q4715" t="s">
        <v>125</v>
      </c>
      <c r="R4715" t="s">
        <v>125</v>
      </c>
      <c r="S4715" t="s">
        <v>125</v>
      </c>
      <c r="T4715">
        <v>0</v>
      </c>
      <c r="V4715" t="s">
        <v>125</v>
      </c>
      <c r="AE4715" t="s">
        <v>125</v>
      </c>
      <c r="AF4715">
        <v>0</v>
      </c>
      <c r="AG4715" t="s">
        <v>125</v>
      </c>
      <c r="AH4715">
        <v>0</v>
      </c>
      <c r="AK4715">
        <v>0</v>
      </c>
    </row>
    <row r="4716" spans="1:37" x14ac:dyDescent="0.25">
      <c r="A4716" t="s">
        <v>79</v>
      </c>
      <c r="B4716">
        <v>18</v>
      </c>
      <c r="C4716">
        <v>3</v>
      </c>
      <c r="D4716">
        <v>1</v>
      </c>
      <c r="E4716">
        <v>5</v>
      </c>
      <c r="G4716">
        <v>1831</v>
      </c>
      <c r="H4716" t="s">
        <v>63</v>
      </c>
      <c r="I4716" t="s">
        <v>109</v>
      </c>
      <c r="J4716" t="s">
        <v>145</v>
      </c>
      <c r="L4716">
        <v>0</v>
      </c>
      <c r="M4716" t="s">
        <v>125</v>
      </c>
      <c r="O4716" t="s">
        <v>125</v>
      </c>
      <c r="P4716" t="s">
        <v>125</v>
      </c>
      <c r="Q4716" t="s">
        <v>125</v>
      </c>
      <c r="R4716" t="s">
        <v>125</v>
      </c>
      <c r="S4716" t="s">
        <v>125</v>
      </c>
      <c r="T4716">
        <v>0</v>
      </c>
      <c r="V4716" t="s">
        <v>125</v>
      </c>
      <c r="AE4716" t="s">
        <v>125</v>
      </c>
      <c r="AF4716">
        <v>0</v>
      </c>
      <c r="AG4716" t="s">
        <v>125</v>
      </c>
      <c r="AH4716">
        <v>0</v>
      </c>
      <c r="AK4716">
        <v>0</v>
      </c>
    </row>
    <row r="4717" spans="1:37" x14ac:dyDescent="0.25">
      <c r="A4717" t="s">
        <v>79</v>
      </c>
      <c r="B4717">
        <v>18</v>
      </c>
      <c r="C4717">
        <v>3</v>
      </c>
      <c r="D4717">
        <v>1</v>
      </c>
      <c r="E4717">
        <v>6</v>
      </c>
      <c r="G4717">
        <v>1831</v>
      </c>
      <c r="H4717" t="s">
        <v>63</v>
      </c>
      <c r="I4717" t="s">
        <v>116</v>
      </c>
      <c r="J4717" t="s">
        <v>146</v>
      </c>
      <c r="L4717">
        <v>0</v>
      </c>
      <c r="M4717" t="s">
        <v>125</v>
      </c>
      <c r="O4717" t="s">
        <v>125</v>
      </c>
      <c r="P4717" t="s">
        <v>125</v>
      </c>
      <c r="Q4717" t="s">
        <v>125</v>
      </c>
      <c r="R4717" t="s">
        <v>125</v>
      </c>
      <c r="S4717" t="s">
        <v>125</v>
      </c>
      <c r="T4717">
        <v>0</v>
      </c>
      <c r="V4717" t="s">
        <v>125</v>
      </c>
      <c r="AE4717" t="s">
        <v>125</v>
      </c>
      <c r="AF4717">
        <v>0</v>
      </c>
      <c r="AG4717" t="s">
        <v>125</v>
      </c>
      <c r="AH4717">
        <v>0</v>
      </c>
      <c r="AK4717">
        <v>0</v>
      </c>
    </row>
    <row r="4718" spans="1:37" x14ac:dyDescent="0.25">
      <c r="A4718" t="s">
        <v>79</v>
      </c>
      <c r="B4718">
        <v>18</v>
      </c>
      <c r="C4718">
        <v>3</v>
      </c>
      <c r="D4718">
        <v>1</v>
      </c>
      <c r="E4718">
        <v>7</v>
      </c>
      <c r="G4718">
        <v>1831</v>
      </c>
      <c r="H4718" t="s">
        <v>63</v>
      </c>
      <c r="I4718" t="s">
        <v>123</v>
      </c>
      <c r="J4718" t="s">
        <v>147</v>
      </c>
      <c r="L4718">
        <v>0</v>
      </c>
      <c r="M4718" t="s">
        <v>125</v>
      </c>
      <c r="O4718" t="s">
        <v>125</v>
      </c>
      <c r="P4718" t="s">
        <v>125</v>
      </c>
      <c r="Q4718" t="s">
        <v>125</v>
      </c>
      <c r="R4718" t="s">
        <v>125</v>
      </c>
      <c r="S4718" t="s">
        <v>125</v>
      </c>
      <c r="T4718">
        <v>0</v>
      </c>
      <c r="V4718" t="s">
        <v>125</v>
      </c>
      <c r="AE4718" t="s">
        <v>125</v>
      </c>
      <c r="AF4718">
        <v>0</v>
      </c>
      <c r="AG4718" t="s">
        <v>125</v>
      </c>
      <c r="AH4718">
        <v>0</v>
      </c>
      <c r="AK4718">
        <v>0</v>
      </c>
    </row>
    <row r="4719" spans="1:37" x14ac:dyDescent="0.25">
      <c r="A4719" t="s">
        <v>79</v>
      </c>
      <c r="B4719">
        <v>18</v>
      </c>
      <c r="C4719">
        <v>3</v>
      </c>
      <c r="D4719">
        <v>1</v>
      </c>
      <c r="E4719">
        <v>8</v>
      </c>
      <c r="G4719">
        <v>1831</v>
      </c>
      <c r="H4719" t="s">
        <v>63</v>
      </c>
      <c r="I4719" t="s">
        <v>126</v>
      </c>
      <c r="J4719" t="s">
        <v>148</v>
      </c>
      <c r="L4719">
        <v>0</v>
      </c>
      <c r="M4719" t="s">
        <v>125</v>
      </c>
      <c r="O4719" t="s">
        <v>125</v>
      </c>
      <c r="P4719" t="s">
        <v>125</v>
      </c>
      <c r="Q4719" t="s">
        <v>125</v>
      </c>
      <c r="R4719" t="s">
        <v>125</v>
      </c>
      <c r="S4719" t="s">
        <v>125</v>
      </c>
      <c r="T4719">
        <v>0</v>
      </c>
      <c r="V4719" t="s">
        <v>125</v>
      </c>
      <c r="AE4719" t="s">
        <v>125</v>
      </c>
      <c r="AF4719">
        <v>0</v>
      </c>
      <c r="AG4719" t="s">
        <v>125</v>
      </c>
      <c r="AH4719">
        <v>0</v>
      </c>
      <c r="AK4719">
        <v>0</v>
      </c>
    </row>
    <row r="4720" spans="1:37" x14ac:dyDescent="0.25">
      <c r="A4720" t="s">
        <v>79</v>
      </c>
      <c r="B4720">
        <v>18</v>
      </c>
      <c r="C4720">
        <v>3</v>
      </c>
      <c r="D4720">
        <v>1</v>
      </c>
      <c r="E4720">
        <v>9</v>
      </c>
      <c r="G4720">
        <v>1831</v>
      </c>
      <c r="H4720" t="s">
        <v>63</v>
      </c>
      <c r="I4720" t="s">
        <v>74</v>
      </c>
      <c r="J4720" t="s">
        <v>149</v>
      </c>
      <c r="L4720">
        <v>0</v>
      </c>
      <c r="M4720" t="s">
        <v>125</v>
      </c>
      <c r="O4720" t="s">
        <v>125</v>
      </c>
      <c r="P4720" t="s">
        <v>125</v>
      </c>
      <c r="Q4720" t="s">
        <v>125</v>
      </c>
      <c r="R4720" t="s">
        <v>125</v>
      </c>
      <c r="S4720" t="s">
        <v>125</v>
      </c>
      <c r="T4720">
        <v>0</v>
      </c>
      <c r="V4720" t="s">
        <v>125</v>
      </c>
      <c r="AE4720" t="s">
        <v>125</v>
      </c>
      <c r="AF4720">
        <v>0</v>
      </c>
      <c r="AG4720" t="s">
        <v>125</v>
      </c>
      <c r="AH4720">
        <v>0</v>
      </c>
      <c r="AK4720">
        <v>0</v>
      </c>
    </row>
    <row r="4721" spans="1:37" x14ac:dyDescent="0.25">
      <c r="A4721" t="s">
        <v>79</v>
      </c>
      <c r="B4721">
        <v>18</v>
      </c>
      <c r="C4721">
        <v>3</v>
      </c>
      <c r="D4721">
        <v>1</v>
      </c>
      <c r="E4721">
        <v>10</v>
      </c>
      <c r="G4721">
        <v>1831</v>
      </c>
      <c r="H4721" t="s">
        <v>63</v>
      </c>
      <c r="I4721" t="s">
        <v>129</v>
      </c>
      <c r="J4721" t="s">
        <v>150</v>
      </c>
      <c r="L4721">
        <v>0</v>
      </c>
      <c r="M4721" t="s">
        <v>125</v>
      </c>
      <c r="O4721" t="s">
        <v>125</v>
      </c>
      <c r="P4721" t="s">
        <v>125</v>
      </c>
      <c r="Q4721" t="s">
        <v>125</v>
      </c>
      <c r="R4721" t="s">
        <v>125</v>
      </c>
      <c r="S4721" t="s">
        <v>125</v>
      </c>
      <c r="T4721">
        <v>0</v>
      </c>
      <c r="V4721" t="s">
        <v>125</v>
      </c>
      <c r="AE4721" t="s">
        <v>125</v>
      </c>
      <c r="AF4721">
        <v>0</v>
      </c>
      <c r="AG4721" t="s">
        <v>125</v>
      </c>
      <c r="AH4721">
        <v>0</v>
      </c>
      <c r="AK4721">
        <v>0</v>
      </c>
    </row>
    <row r="4722" spans="1:37" x14ac:dyDescent="0.25">
      <c r="A4722" t="s">
        <v>79</v>
      </c>
      <c r="B4722">
        <v>18</v>
      </c>
      <c r="C4722">
        <v>3</v>
      </c>
      <c r="D4722">
        <v>1</v>
      </c>
      <c r="E4722">
        <v>11</v>
      </c>
      <c r="G4722">
        <v>1831</v>
      </c>
      <c r="H4722" t="s">
        <v>63</v>
      </c>
      <c r="I4722" t="s">
        <v>131</v>
      </c>
      <c r="J4722" t="s">
        <v>151</v>
      </c>
      <c r="L4722">
        <v>0</v>
      </c>
      <c r="M4722" t="s">
        <v>125</v>
      </c>
      <c r="O4722" t="s">
        <v>125</v>
      </c>
      <c r="P4722" t="s">
        <v>125</v>
      </c>
      <c r="Q4722" t="s">
        <v>125</v>
      </c>
      <c r="R4722" t="s">
        <v>125</v>
      </c>
      <c r="S4722" t="s">
        <v>125</v>
      </c>
      <c r="T4722">
        <v>0</v>
      </c>
      <c r="V4722" t="s">
        <v>125</v>
      </c>
      <c r="AE4722" t="s">
        <v>125</v>
      </c>
      <c r="AF4722">
        <v>0</v>
      </c>
      <c r="AG4722" t="s">
        <v>125</v>
      </c>
      <c r="AH4722">
        <v>0</v>
      </c>
      <c r="AK4722">
        <v>0</v>
      </c>
    </row>
    <row r="4723" spans="1:37" x14ac:dyDescent="0.25">
      <c r="A4723" t="s">
        <v>79</v>
      </c>
      <c r="B4723">
        <v>18</v>
      </c>
      <c r="C4723">
        <v>3</v>
      </c>
      <c r="D4723">
        <v>1</v>
      </c>
      <c r="E4723">
        <v>12</v>
      </c>
      <c r="G4723">
        <v>1831</v>
      </c>
      <c r="H4723" t="s">
        <v>63</v>
      </c>
      <c r="I4723" t="s">
        <v>133</v>
      </c>
      <c r="J4723" t="s">
        <v>152</v>
      </c>
      <c r="L4723">
        <v>0</v>
      </c>
      <c r="M4723" t="s">
        <v>125</v>
      </c>
      <c r="O4723" t="s">
        <v>125</v>
      </c>
      <c r="P4723" t="s">
        <v>125</v>
      </c>
      <c r="Q4723" t="s">
        <v>125</v>
      </c>
      <c r="R4723" t="s">
        <v>125</v>
      </c>
      <c r="S4723" t="s">
        <v>125</v>
      </c>
      <c r="T4723">
        <v>0</v>
      </c>
      <c r="V4723" t="s">
        <v>125</v>
      </c>
      <c r="AE4723" t="s">
        <v>125</v>
      </c>
      <c r="AF4723">
        <v>0</v>
      </c>
      <c r="AG4723" t="s">
        <v>125</v>
      </c>
      <c r="AH4723">
        <v>0</v>
      </c>
      <c r="AK4723">
        <v>0</v>
      </c>
    </row>
    <row r="4724" spans="1:37" x14ac:dyDescent="0.25">
      <c r="A4724" t="s">
        <v>79</v>
      </c>
      <c r="B4724">
        <v>18</v>
      </c>
      <c r="C4724">
        <v>3</v>
      </c>
      <c r="D4724">
        <v>1</v>
      </c>
      <c r="E4724">
        <v>13</v>
      </c>
      <c r="G4724">
        <v>1831</v>
      </c>
      <c r="H4724" t="s">
        <v>63</v>
      </c>
      <c r="I4724" t="s">
        <v>135</v>
      </c>
      <c r="J4724" t="s">
        <v>153</v>
      </c>
      <c r="L4724">
        <v>0</v>
      </c>
      <c r="M4724" t="s">
        <v>125</v>
      </c>
      <c r="O4724" t="s">
        <v>125</v>
      </c>
      <c r="P4724" t="s">
        <v>125</v>
      </c>
      <c r="Q4724" t="s">
        <v>125</v>
      </c>
      <c r="R4724" t="s">
        <v>125</v>
      </c>
      <c r="S4724" t="s">
        <v>125</v>
      </c>
      <c r="T4724">
        <v>0</v>
      </c>
      <c r="V4724" t="s">
        <v>125</v>
      </c>
      <c r="AE4724" t="s">
        <v>125</v>
      </c>
      <c r="AF4724">
        <v>0</v>
      </c>
      <c r="AG4724" t="s">
        <v>125</v>
      </c>
      <c r="AH4724">
        <v>0</v>
      </c>
      <c r="AK4724">
        <v>0</v>
      </c>
    </row>
    <row r="4725" spans="1:37" x14ac:dyDescent="0.25">
      <c r="A4725" t="s">
        <v>79</v>
      </c>
      <c r="B4725">
        <v>18</v>
      </c>
      <c r="C4725">
        <v>3</v>
      </c>
      <c r="D4725">
        <v>1</v>
      </c>
      <c r="E4725">
        <v>14</v>
      </c>
      <c r="G4725">
        <v>1831</v>
      </c>
      <c r="H4725" t="s">
        <v>63</v>
      </c>
      <c r="I4725" t="s">
        <v>137</v>
      </c>
      <c r="J4725" t="s">
        <v>154</v>
      </c>
      <c r="L4725">
        <v>0</v>
      </c>
      <c r="M4725" t="s">
        <v>125</v>
      </c>
      <c r="O4725" t="s">
        <v>125</v>
      </c>
      <c r="P4725" t="s">
        <v>125</v>
      </c>
      <c r="Q4725" t="s">
        <v>125</v>
      </c>
      <c r="R4725" t="s">
        <v>125</v>
      </c>
      <c r="S4725" t="s">
        <v>125</v>
      </c>
      <c r="T4725">
        <v>0</v>
      </c>
      <c r="V4725" t="s">
        <v>125</v>
      </c>
      <c r="AE4725" t="s">
        <v>125</v>
      </c>
      <c r="AF4725">
        <v>0</v>
      </c>
      <c r="AG4725" t="s">
        <v>125</v>
      </c>
      <c r="AH4725">
        <v>0</v>
      </c>
      <c r="AK4725">
        <v>0</v>
      </c>
    </row>
    <row r="4726" spans="1:37" x14ac:dyDescent="0.25">
      <c r="A4726" t="s">
        <v>79</v>
      </c>
      <c r="B4726">
        <v>18</v>
      </c>
      <c r="C4726">
        <v>3</v>
      </c>
      <c r="D4726">
        <v>1</v>
      </c>
      <c r="E4726">
        <v>15</v>
      </c>
      <c r="G4726">
        <v>1831</v>
      </c>
      <c r="H4726" t="s">
        <v>63</v>
      </c>
      <c r="I4726" t="s">
        <v>139</v>
      </c>
      <c r="J4726" t="s">
        <v>155</v>
      </c>
      <c r="L4726">
        <v>0</v>
      </c>
      <c r="M4726" t="s">
        <v>125</v>
      </c>
      <c r="O4726" t="s">
        <v>125</v>
      </c>
      <c r="P4726" t="s">
        <v>125</v>
      </c>
      <c r="Q4726" t="s">
        <v>125</v>
      </c>
      <c r="R4726" t="s">
        <v>125</v>
      </c>
      <c r="S4726" t="s">
        <v>125</v>
      </c>
      <c r="T4726">
        <v>0</v>
      </c>
      <c r="V4726" t="s">
        <v>125</v>
      </c>
      <c r="AE4726" t="s">
        <v>125</v>
      </c>
      <c r="AF4726">
        <v>0</v>
      </c>
      <c r="AG4726" t="s">
        <v>125</v>
      </c>
      <c r="AH4726">
        <v>0</v>
      </c>
      <c r="AK4726">
        <v>0</v>
      </c>
    </row>
    <row r="4727" spans="1:37" x14ac:dyDescent="0.25">
      <c r="L4727">
        <v>0</v>
      </c>
    </row>
    <row r="4728" spans="1:37" x14ac:dyDescent="0.25">
      <c r="A4728" t="s">
        <v>70</v>
      </c>
      <c r="B4728">
        <v>18</v>
      </c>
      <c r="C4728">
        <v>3</v>
      </c>
      <c r="D4728">
        <v>2</v>
      </c>
      <c r="G4728">
        <v>183</v>
      </c>
      <c r="L4728">
        <v>0</v>
      </c>
      <c r="M4728" t="s">
        <v>125</v>
      </c>
      <c r="P4728" t="s">
        <v>125</v>
      </c>
      <c r="R4728" t="s">
        <v>125</v>
      </c>
      <c r="S4728" t="s">
        <v>63</v>
      </c>
      <c r="V4728" t="s">
        <v>125</v>
      </c>
      <c r="X4728" t="s">
        <v>125</v>
      </c>
      <c r="Y4728" t="s">
        <v>125</v>
      </c>
      <c r="Z4728" t="s">
        <v>125</v>
      </c>
      <c r="AA4728" t="s">
        <v>125</v>
      </c>
      <c r="AB4728" t="s">
        <v>125</v>
      </c>
      <c r="AC4728" t="s">
        <v>125</v>
      </c>
      <c r="AE4728" t="s">
        <v>125</v>
      </c>
      <c r="AF4728">
        <v>0</v>
      </c>
      <c r="AG4728" t="s">
        <v>125</v>
      </c>
      <c r="AH4728">
        <v>0</v>
      </c>
      <c r="AK4728">
        <v>0</v>
      </c>
    </row>
    <row r="4729" spans="1:37" x14ac:dyDescent="0.25">
      <c r="A4729" t="s">
        <v>79</v>
      </c>
      <c r="B4729">
        <v>18</v>
      </c>
      <c r="C4729">
        <v>3</v>
      </c>
      <c r="D4729">
        <v>2</v>
      </c>
      <c r="E4729">
        <v>1</v>
      </c>
      <c r="G4729">
        <v>1832</v>
      </c>
      <c r="H4729" t="s">
        <v>63</v>
      </c>
      <c r="I4729" t="s">
        <v>80</v>
      </c>
      <c r="J4729" t="s">
        <v>141</v>
      </c>
      <c r="L4729">
        <v>0</v>
      </c>
      <c r="M4729" t="s">
        <v>125</v>
      </c>
      <c r="O4729" t="s">
        <v>125</v>
      </c>
      <c r="P4729" t="s">
        <v>125</v>
      </c>
      <c r="Q4729" t="s">
        <v>125</v>
      </c>
      <c r="R4729" t="s">
        <v>125</v>
      </c>
      <c r="S4729" t="s">
        <v>125</v>
      </c>
      <c r="T4729">
        <v>0</v>
      </c>
      <c r="V4729" t="s">
        <v>125</v>
      </c>
      <c r="AE4729" t="s">
        <v>125</v>
      </c>
      <c r="AF4729">
        <v>0</v>
      </c>
      <c r="AG4729" t="s">
        <v>125</v>
      </c>
      <c r="AH4729">
        <v>0</v>
      </c>
      <c r="AK4729">
        <v>0</v>
      </c>
    </row>
    <row r="4730" spans="1:37" x14ac:dyDescent="0.25">
      <c r="A4730" t="s">
        <v>79</v>
      </c>
      <c r="B4730">
        <v>18</v>
      </c>
      <c r="C4730">
        <v>3</v>
      </c>
      <c r="D4730">
        <v>2</v>
      </c>
      <c r="E4730">
        <v>2</v>
      </c>
      <c r="G4730">
        <v>1832</v>
      </c>
      <c r="H4730" t="s">
        <v>63</v>
      </c>
      <c r="I4730" t="s">
        <v>88</v>
      </c>
      <c r="J4730" t="s">
        <v>142</v>
      </c>
      <c r="L4730">
        <v>0</v>
      </c>
      <c r="M4730" t="s">
        <v>125</v>
      </c>
      <c r="O4730" t="s">
        <v>125</v>
      </c>
      <c r="P4730" t="s">
        <v>125</v>
      </c>
      <c r="Q4730" t="s">
        <v>125</v>
      </c>
      <c r="R4730" t="s">
        <v>125</v>
      </c>
      <c r="S4730" t="s">
        <v>125</v>
      </c>
      <c r="T4730">
        <v>0</v>
      </c>
      <c r="V4730" t="s">
        <v>125</v>
      </c>
      <c r="AE4730" t="s">
        <v>125</v>
      </c>
      <c r="AF4730">
        <v>0</v>
      </c>
      <c r="AG4730" t="s">
        <v>125</v>
      </c>
      <c r="AH4730">
        <v>0</v>
      </c>
      <c r="AK4730">
        <v>0</v>
      </c>
    </row>
    <row r="4731" spans="1:37" x14ac:dyDescent="0.25">
      <c r="A4731" t="s">
        <v>79</v>
      </c>
      <c r="B4731">
        <v>18</v>
      </c>
      <c r="C4731">
        <v>3</v>
      </c>
      <c r="D4731">
        <v>2</v>
      </c>
      <c r="E4731">
        <v>3</v>
      </c>
      <c r="G4731">
        <v>1832</v>
      </c>
      <c r="H4731" t="s">
        <v>63</v>
      </c>
      <c r="I4731" t="s">
        <v>95</v>
      </c>
      <c r="J4731" t="s">
        <v>143</v>
      </c>
      <c r="L4731">
        <v>0</v>
      </c>
      <c r="M4731" t="s">
        <v>125</v>
      </c>
      <c r="O4731" t="s">
        <v>125</v>
      </c>
      <c r="P4731" t="s">
        <v>125</v>
      </c>
      <c r="Q4731" t="s">
        <v>125</v>
      </c>
      <c r="R4731" t="s">
        <v>125</v>
      </c>
      <c r="S4731" t="s">
        <v>125</v>
      </c>
      <c r="T4731">
        <v>0</v>
      </c>
      <c r="V4731" t="s">
        <v>125</v>
      </c>
      <c r="AE4731" t="s">
        <v>125</v>
      </c>
      <c r="AF4731">
        <v>0</v>
      </c>
      <c r="AG4731" t="s">
        <v>125</v>
      </c>
      <c r="AH4731">
        <v>0</v>
      </c>
      <c r="AK4731">
        <v>0</v>
      </c>
    </row>
    <row r="4732" spans="1:37" x14ac:dyDescent="0.25">
      <c r="A4732" t="s">
        <v>79</v>
      </c>
      <c r="B4732">
        <v>18</v>
      </c>
      <c r="C4732">
        <v>3</v>
      </c>
      <c r="D4732">
        <v>2</v>
      </c>
      <c r="E4732">
        <v>4</v>
      </c>
      <c r="G4732">
        <v>1832</v>
      </c>
      <c r="H4732" t="s">
        <v>63</v>
      </c>
      <c r="I4732" t="s">
        <v>102</v>
      </c>
      <c r="J4732" t="s">
        <v>144</v>
      </c>
      <c r="L4732">
        <v>0</v>
      </c>
      <c r="M4732" t="s">
        <v>125</v>
      </c>
      <c r="O4732" t="s">
        <v>125</v>
      </c>
      <c r="P4732" t="s">
        <v>125</v>
      </c>
      <c r="Q4732" t="s">
        <v>125</v>
      </c>
      <c r="R4732" t="s">
        <v>125</v>
      </c>
      <c r="S4732" t="s">
        <v>125</v>
      </c>
      <c r="T4732">
        <v>0</v>
      </c>
      <c r="V4732" t="s">
        <v>125</v>
      </c>
      <c r="AE4732" t="s">
        <v>125</v>
      </c>
      <c r="AF4732">
        <v>0</v>
      </c>
      <c r="AG4732" t="s">
        <v>125</v>
      </c>
      <c r="AH4732">
        <v>0</v>
      </c>
      <c r="AK4732">
        <v>0</v>
      </c>
    </row>
    <row r="4733" spans="1:37" x14ac:dyDescent="0.25">
      <c r="A4733" t="s">
        <v>79</v>
      </c>
      <c r="B4733">
        <v>18</v>
      </c>
      <c r="C4733">
        <v>3</v>
      </c>
      <c r="D4733">
        <v>2</v>
      </c>
      <c r="E4733">
        <v>5</v>
      </c>
      <c r="G4733">
        <v>1832</v>
      </c>
      <c r="H4733" t="s">
        <v>63</v>
      </c>
      <c r="I4733" t="s">
        <v>109</v>
      </c>
      <c r="J4733" t="s">
        <v>145</v>
      </c>
      <c r="L4733">
        <v>0</v>
      </c>
      <c r="M4733" t="s">
        <v>125</v>
      </c>
      <c r="O4733" t="s">
        <v>125</v>
      </c>
      <c r="P4733" t="s">
        <v>125</v>
      </c>
      <c r="Q4733" t="s">
        <v>125</v>
      </c>
      <c r="R4733" t="s">
        <v>125</v>
      </c>
      <c r="S4733" t="s">
        <v>125</v>
      </c>
      <c r="T4733">
        <v>0</v>
      </c>
      <c r="V4733" t="s">
        <v>125</v>
      </c>
      <c r="AE4733" t="s">
        <v>125</v>
      </c>
      <c r="AF4733">
        <v>0</v>
      </c>
      <c r="AG4733" t="s">
        <v>125</v>
      </c>
      <c r="AH4733">
        <v>0</v>
      </c>
      <c r="AK4733">
        <v>0</v>
      </c>
    </row>
    <row r="4734" spans="1:37" x14ac:dyDescent="0.25">
      <c r="A4734" t="s">
        <v>79</v>
      </c>
      <c r="B4734">
        <v>18</v>
      </c>
      <c r="C4734">
        <v>3</v>
      </c>
      <c r="D4734">
        <v>2</v>
      </c>
      <c r="E4734">
        <v>6</v>
      </c>
      <c r="G4734">
        <v>1832</v>
      </c>
      <c r="H4734" t="s">
        <v>63</v>
      </c>
      <c r="I4734" t="s">
        <v>116</v>
      </c>
      <c r="J4734" t="s">
        <v>146</v>
      </c>
      <c r="L4734">
        <v>0</v>
      </c>
      <c r="M4734" t="s">
        <v>125</v>
      </c>
      <c r="O4734" t="s">
        <v>125</v>
      </c>
      <c r="P4734" t="s">
        <v>125</v>
      </c>
      <c r="Q4734" t="s">
        <v>125</v>
      </c>
      <c r="R4734" t="s">
        <v>125</v>
      </c>
      <c r="S4734" t="s">
        <v>125</v>
      </c>
      <c r="T4734">
        <v>0</v>
      </c>
      <c r="V4734" t="s">
        <v>125</v>
      </c>
      <c r="AE4734" t="s">
        <v>125</v>
      </c>
      <c r="AF4734">
        <v>0</v>
      </c>
      <c r="AG4734" t="s">
        <v>125</v>
      </c>
      <c r="AH4734">
        <v>0</v>
      </c>
      <c r="AK4734">
        <v>0</v>
      </c>
    </row>
    <row r="4735" spans="1:37" x14ac:dyDescent="0.25">
      <c r="A4735" t="s">
        <v>79</v>
      </c>
      <c r="B4735">
        <v>18</v>
      </c>
      <c r="C4735">
        <v>3</v>
      </c>
      <c r="D4735">
        <v>2</v>
      </c>
      <c r="E4735">
        <v>7</v>
      </c>
      <c r="G4735">
        <v>1832</v>
      </c>
      <c r="H4735" t="s">
        <v>63</v>
      </c>
      <c r="I4735" t="s">
        <v>123</v>
      </c>
      <c r="J4735" t="s">
        <v>147</v>
      </c>
      <c r="L4735">
        <v>0</v>
      </c>
      <c r="M4735" t="s">
        <v>125</v>
      </c>
      <c r="O4735" t="s">
        <v>125</v>
      </c>
      <c r="P4735" t="s">
        <v>125</v>
      </c>
      <c r="Q4735" t="s">
        <v>125</v>
      </c>
      <c r="R4735" t="s">
        <v>125</v>
      </c>
      <c r="S4735" t="s">
        <v>125</v>
      </c>
      <c r="T4735">
        <v>0</v>
      </c>
      <c r="V4735" t="s">
        <v>125</v>
      </c>
      <c r="AE4735" t="s">
        <v>125</v>
      </c>
      <c r="AF4735">
        <v>0</v>
      </c>
      <c r="AG4735" t="s">
        <v>125</v>
      </c>
      <c r="AH4735">
        <v>0</v>
      </c>
      <c r="AK4735">
        <v>0</v>
      </c>
    </row>
    <row r="4736" spans="1:37" x14ac:dyDescent="0.25">
      <c r="A4736" t="s">
        <v>79</v>
      </c>
      <c r="B4736">
        <v>18</v>
      </c>
      <c r="C4736">
        <v>3</v>
      </c>
      <c r="D4736">
        <v>2</v>
      </c>
      <c r="E4736">
        <v>8</v>
      </c>
      <c r="G4736">
        <v>1832</v>
      </c>
      <c r="H4736" t="s">
        <v>63</v>
      </c>
      <c r="I4736" t="s">
        <v>126</v>
      </c>
      <c r="J4736" t="s">
        <v>148</v>
      </c>
      <c r="L4736">
        <v>0</v>
      </c>
      <c r="M4736" t="s">
        <v>125</v>
      </c>
      <c r="O4736" t="s">
        <v>125</v>
      </c>
      <c r="P4736" t="s">
        <v>125</v>
      </c>
      <c r="Q4736" t="s">
        <v>125</v>
      </c>
      <c r="R4736" t="s">
        <v>125</v>
      </c>
      <c r="S4736" t="s">
        <v>125</v>
      </c>
      <c r="T4736">
        <v>0</v>
      </c>
      <c r="V4736" t="s">
        <v>125</v>
      </c>
      <c r="AE4736" t="s">
        <v>125</v>
      </c>
      <c r="AF4736">
        <v>0</v>
      </c>
      <c r="AG4736" t="s">
        <v>125</v>
      </c>
      <c r="AH4736">
        <v>0</v>
      </c>
      <c r="AK4736">
        <v>0</v>
      </c>
    </row>
    <row r="4737" spans="1:37" x14ac:dyDescent="0.25">
      <c r="A4737" t="s">
        <v>79</v>
      </c>
      <c r="B4737">
        <v>18</v>
      </c>
      <c r="C4737">
        <v>3</v>
      </c>
      <c r="D4737">
        <v>2</v>
      </c>
      <c r="E4737">
        <v>9</v>
      </c>
      <c r="G4737">
        <v>1832</v>
      </c>
      <c r="H4737" t="s">
        <v>63</v>
      </c>
      <c r="I4737" t="s">
        <v>74</v>
      </c>
      <c r="J4737" t="s">
        <v>149</v>
      </c>
      <c r="L4737">
        <v>0</v>
      </c>
      <c r="M4737" t="s">
        <v>125</v>
      </c>
      <c r="O4737" t="s">
        <v>125</v>
      </c>
      <c r="P4737" t="s">
        <v>125</v>
      </c>
      <c r="Q4737" t="s">
        <v>125</v>
      </c>
      <c r="R4737" t="s">
        <v>125</v>
      </c>
      <c r="S4737" t="s">
        <v>125</v>
      </c>
      <c r="T4737">
        <v>0</v>
      </c>
      <c r="V4737" t="s">
        <v>125</v>
      </c>
      <c r="AE4737" t="s">
        <v>125</v>
      </c>
      <c r="AF4737">
        <v>0</v>
      </c>
      <c r="AG4737" t="s">
        <v>125</v>
      </c>
      <c r="AH4737">
        <v>0</v>
      </c>
      <c r="AK4737">
        <v>0</v>
      </c>
    </row>
    <row r="4738" spans="1:37" x14ac:dyDescent="0.25">
      <c r="A4738" t="s">
        <v>79</v>
      </c>
      <c r="B4738">
        <v>18</v>
      </c>
      <c r="C4738">
        <v>3</v>
      </c>
      <c r="D4738">
        <v>2</v>
      </c>
      <c r="E4738">
        <v>10</v>
      </c>
      <c r="G4738">
        <v>1832</v>
      </c>
      <c r="H4738" t="s">
        <v>63</v>
      </c>
      <c r="I4738" t="s">
        <v>129</v>
      </c>
      <c r="J4738" t="s">
        <v>150</v>
      </c>
      <c r="L4738">
        <v>0</v>
      </c>
      <c r="M4738" t="s">
        <v>125</v>
      </c>
      <c r="O4738" t="s">
        <v>125</v>
      </c>
      <c r="P4738" t="s">
        <v>125</v>
      </c>
      <c r="Q4738" t="s">
        <v>125</v>
      </c>
      <c r="R4738" t="s">
        <v>125</v>
      </c>
      <c r="S4738" t="s">
        <v>125</v>
      </c>
      <c r="T4738">
        <v>0</v>
      </c>
      <c r="V4738" t="s">
        <v>125</v>
      </c>
      <c r="AE4738" t="s">
        <v>125</v>
      </c>
      <c r="AF4738">
        <v>0</v>
      </c>
      <c r="AG4738" t="s">
        <v>125</v>
      </c>
      <c r="AH4738">
        <v>0</v>
      </c>
      <c r="AK4738">
        <v>0</v>
      </c>
    </row>
    <row r="4739" spans="1:37" x14ac:dyDescent="0.25">
      <c r="A4739" t="s">
        <v>79</v>
      </c>
      <c r="B4739">
        <v>18</v>
      </c>
      <c r="C4739">
        <v>3</v>
      </c>
      <c r="D4739">
        <v>2</v>
      </c>
      <c r="E4739">
        <v>11</v>
      </c>
      <c r="G4739">
        <v>1832</v>
      </c>
      <c r="H4739" t="s">
        <v>63</v>
      </c>
      <c r="I4739" t="s">
        <v>131</v>
      </c>
      <c r="J4739" t="s">
        <v>151</v>
      </c>
      <c r="L4739">
        <v>0</v>
      </c>
      <c r="M4739" t="s">
        <v>125</v>
      </c>
      <c r="O4739" t="s">
        <v>125</v>
      </c>
      <c r="P4739" t="s">
        <v>125</v>
      </c>
      <c r="Q4739" t="s">
        <v>125</v>
      </c>
      <c r="R4739" t="s">
        <v>125</v>
      </c>
      <c r="S4739" t="s">
        <v>125</v>
      </c>
      <c r="T4739">
        <v>0</v>
      </c>
      <c r="V4739" t="s">
        <v>125</v>
      </c>
      <c r="AE4739" t="s">
        <v>125</v>
      </c>
      <c r="AF4739">
        <v>0</v>
      </c>
      <c r="AG4739" t="s">
        <v>125</v>
      </c>
      <c r="AH4739">
        <v>0</v>
      </c>
      <c r="AK4739">
        <v>0</v>
      </c>
    </row>
    <row r="4740" spans="1:37" x14ac:dyDescent="0.25">
      <c r="A4740" t="s">
        <v>79</v>
      </c>
      <c r="B4740">
        <v>18</v>
      </c>
      <c r="C4740">
        <v>3</v>
      </c>
      <c r="D4740">
        <v>2</v>
      </c>
      <c r="E4740">
        <v>12</v>
      </c>
      <c r="G4740">
        <v>1832</v>
      </c>
      <c r="H4740" t="s">
        <v>63</v>
      </c>
      <c r="I4740" t="s">
        <v>133</v>
      </c>
      <c r="J4740" t="s">
        <v>152</v>
      </c>
      <c r="L4740">
        <v>0</v>
      </c>
      <c r="M4740" t="s">
        <v>125</v>
      </c>
      <c r="O4740" t="s">
        <v>125</v>
      </c>
      <c r="P4740" t="s">
        <v>125</v>
      </c>
      <c r="Q4740" t="s">
        <v>125</v>
      </c>
      <c r="R4740" t="s">
        <v>125</v>
      </c>
      <c r="S4740" t="s">
        <v>125</v>
      </c>
      <c r="T4740">
        <v>0</v>
      </c>
      <c r="V4740" t="s">
        <v>125</v>
      </c>
      <c r="AE4740" t="s">
        <v>125</v>
      </c>
      <c r="AF4740">
        <v>0</v>
      </c>
      <c r="AG4740" t="s">
        <v>125</v>
      </c>
      <c r="AH4740">
        <v>0</v>
      </c>
      <c r="AK4740">
        <v>0</v>
      </c>
    </row>
    <row r="4741" spans="1:37" x14ac:dyDescent="0.25">
      <c r="A4741" t="s">
        <v>79</v>
      </c>
      <c r="B4741">
        <v>18</v>
      </c>
      <c r="C4741">
        <v>3</v>
      </c>
      <c r="D4741">
        <v>2</v>
      </c>
      <c r="E4741">
        <v>13</v>
      </c>
      <c r="G4741">
        <v>1832</v>
      </c>
      <c r="H4741" t="s">
        <v>63</v>
      </c>
      <c r="I4741" t="s">
        <v>135</v>
      </c>
      <c r="J4741" t="s">
        <v>153</v>
      </c>
      <c r="L4741">
        <v>0</v>
      </c>
      <c r="M4741" t="s">
        <v>125</v>
      </c>
      <c r="O4741" t="s">
        <v>125</v>
      </c>
      <c r="P4741" t="s">
        <v>125</v>
      </c>
      <c r="Q4741" t="s">
        <v>125</v>
      </c>
      <c r="R4741" t="s">
        <v>125</v>
      </c>
      <c r="S4741" t="s">
        <v>125</v>
      </c>
      <c r="T4741">
        <v>0</v>
      </c>
      <c r="V4741" t="s">
        <v>125</v>
      </c>
      <c r="AE4741" t="s">
        <v>125</v>
      </c>
      <c r="AF4741">
        <v>0</v>
      </c>
      <c r="AG4741" t="s">
        <v>125</v>
      </c>
      <c r="AH4741">
        <v>0</v>
      </c>
      <c r="AK4741">
        <v>0</v>
      </c>
    </row>
    <row r="4742" spans="1:37" x14ac:dyDescent="0.25">
      <c r="A4742" t="s">
        <v>79</v>
      </c>
      <c r="B4742">
        <v>18</v>
      </c>
      <c r="C4742">
        <v>3</v>
      </c>
      <c r="D4742">
        <v>2</v>
      </c>
      <c r="E4742">
        <v>14</v>
      </c>
      <c r="G4742">
        <v>1832</v>
      </c>
      <c r="H4742" t="s">
        <v>63</v>
      </c>
      <c r="I4742" t="s">
        <v>137</v>
      </c>
      <c r="J4742" t="s">
        <v>154</v>
      </c>
      <c r="L4742">
        <v>0</v>
      </c>
      <c r="M4742" t="s">
        <v>125</v>
      </c>
      <c r="O4742" t="s">
        <v>125</v>
      </c>
      <c r="P4742" t="s">
        <v>125</v>
      </c>
      <c r="Q4742" t="s">
        <v>125</v>
      </c>
      <c r="R4742" t="s">
        <v>125</v>
      </c>
      <c r="S4742" t="s">
        <v>125</v>
      </c>
      <c r="T4742">
        <v>0</v>
      </c>
      <c r="V4742" t="s">
        <v>125</v>
      </c>
      <c r="AE4742" t="s">
        <v>125</v>
      </c>
      <c r="AF4742">
        <v>0</v>
      </c>
      <c r="AG4742" t="s">
        <v>125</v>
      </c>
      <c r="AH4742">
        <v>0</v>
      </c>
      <c r="AK4742">
        <v>0</v>
      </c>
    </row>
    <row r="4743" spans="1:37" x14ac:dyDescent="0.25">
      <c r="A4743" t="s">
        <v>79</v>
      </c>
      <c r="B4743">
        <v>18</v>
      </c>
      <c r="C4743">
        <v>3</v>
      </c>
      <c r="D4743">
        <v>2</v>
      </c>
      <c r="E4743">
        <v>15</v>
      </c>
      <c r="G4743">
        <v>1832</v>
      </c>
      <c r="H4743" t="s">
        <v>63</v>
      </c>
      <c r="I4743" t="s">
        <v>139</v>
      </c>
      <c r="J4743" t="s">
        <v>155</v>
      </c>
      <c r="L4743">
        <v>0</v>
      </c>
      <c r="M4743" t="s">
        <v>125</v>
      </c>
      <c r="O4743" t="s">
        <v>125</v>
      </c>
      <c r="P4743" t="s">
        <v>125</v>
      </c>
      <c r="Q4743" t="s">
        <v>125</v>
      </c>
      <c r="R4743" t="s">
        <v>125</v>
      </c>
      <c r="S4743" t="s">
        <v>125</v>
      </c>
      <c r="T4743">
        <v>0</v>
      </c>
      <c r="V4743" t="s">
        <v>125</v>
      </c>
      <c r="AE4743" t="s">
        <v>125</v>
      </c>
      <c r="AF4743">
        <v>0</v>
      </c>
      <c r="AG4743" t="s">
        <v>125</v>
      </c>
      <c r="AH4743">
        <v>0</v>
      </c>
      <c r="AK4743">
        <v>0</v>
      </c>
    </row>
    <row r="4744" spans="1:37" x14ac:dyDescent="0.25">
      <c r="L4744">
        <v>0</v>
      </c>
    </row>
    <row r="4745" spans="1:37" x14ac:dyDescent="0.25">
      <c r="A4745" t="s">
        <v>70</v>
      </c>
      <c r="B4745">
        <v>18</v>
      </c>
      <c r="C4745">
        <v>3</v>
      </c>
      <c r="D4745">
        <v>3</v>
      </c>
      <c r="G4745">
        <v>183</v>
      </c>
      <c r="L4745">
        <v>0</v>
      </c>
      <c r="M4745" t="s">
        <v>125</v>
      </c>
      <c r="P4745" t="s">
        <v>125</v>
      </c>
      <c r="R4745" t="s">
        <v>125</v>
      </c>
      <c r="S4745" t="s">
        <v>63</v>
      </c>
      <c r="V4745" t="s">
        <v>125</v>
      </c>
      <c r="X4745" t="s">
        <v>125</v>
      </c>
      <c r="Y4745" t="s">
        <v>125</v>
      </c>
      <c r="Z4745" t="s">
        <v>125</v>
      </c>
      <c r="AA4745" t="s">
        <v>125</v>
      </c>
      <c r="AB4745" t="s">
        <v>125</v>
      </c>
      <c r="AC4745" t="s">
        <v>125</v>
      </c>
      <c r="AE4745" t="s">
        <v>125</v>
      </c>
      <c r="AF4745">
        <v>0</v>
      </c>
      <c r="AG4745" t="s">
        <v>125</v>
      </c>
      <c r="AH4745">
        <v>0</v>
      </c>
      <c r="AK4745">
        <v>0</v>
      </c>
    </row>
    <row r="4746" spans="1:37" x14ac:dyDescent="0.25">
      <c r="A4746" t="s">
        <v>79</v>
      </c>
      <c r="B4746">
        <v>18</v>
      </c>
      <c r="C4746">
        <v>3</v>
      </c>
      <c r="D4746">
        <v>3</v>
      </c>
      <c r="E4746">
        <v>1</v>
      </c>
      <c r="G4746">
        <v>1833</v>
      </c>
      <c r="H4746" t="s">
        <v>63</v>
      </c>
      <c r="I4746" t="s">
        <v>80</v>
      </c>
      <c r="J4746" t="s">
        <v>141</v>
      </c>
      <c r="L4746">
        <v>0</v>
      </c>
      <c r="M4746" t="s">
        <v>125</v>
      </c>
      <c r="O4746" t="s">
        <v>125</v>
      </c>
      <c r="P4746" t="s">
        <v>125</v>
      </c>
      <c r="Q4746" t="s">
        <v>125</v>
      </c>
      <c r="R4746" t="s">
        <v>125</v>
      </c>
      <c r="S4746" t="s">
        <v>125</v>
      </c>
      <c r="T4746">
        <v>0</v>
      </c>
      <c r="V4746" t="s">
        <v>125</v>
      </c>
      <c r="AE4746" t="s">
        <v>125</v>
      </c>
      <c r="AF4746">
        <v>0</v>
      </c>
      <c r="AG4746" t="s">
        <v>125</v>
      </c>
      <c r="AH4746">
        <v>0</v>
      </c>
      <c r="AK4746">
        <v>0</v>
      </c>
    </row>
    <row r="4747" spans="1:37" x14ac:dyDescent="0.25">
      <c r="A4747" t="s">
        <v>79</v>
      </c>
      <c r="B4747">
        <v>18</v>
      </c>
      <c r="C4747">
        <v>3</v>
      </c>
      <c r="D4747">
        <v>3</v>
      </c>
      <c r="E4747">
        <v>2</v>
      </c>
      <c r="G4747">
        <v>1833</v>
      </c>
      <c r="H4747" t="s">
        <v>63</v>
      </c>
      <c r="I4747" t="s">
        <v>88</v>
      </c>
      <c r="J4747" t="s">
        <v>142</v>
      </c>
      <c r="L4747">
        <v>0</v>
      </c>
      <c r="M4747" t="s">
        <v>125</v>
      </c>
      <c r="O4747" t="s">
        <v>125</v>
      </c>
      <c r="P4747" t="s">
        <v>125</v>
      </c>
      <c r="Q4747" t="s">
        <v>125</v>
      </c>
      <c r="R4747" t="s">
        <v>125</v>
      </c>
      <c r="S4747" t="s">
        <v>125</v>
      </c>
      <c r="T4747">
        <v>0</v>
      </c>
      <c r="V4747" t="s">
        <v>125</v>
      </c>
      <c r="AE4747" t="s">
        <v>125</v>
      </c>
      <c r="AF4747">
        <v>0</v>
      </c>
      <c r="AG4747" t="s">
        <v>125</v>
      </c>
      <c r="AH4747">
        <v>0</v>
      </c>
      <c r="AK4747">
        <v>0</v>
      </c>
    </row>
    <row r="4748" spans="1:37" x14ac:dyDescent="0.25">
      <c r="A4748" t="s">
        <v>79</v>
      </c>
      <c r="B4748">
        <v>18</v>
      </c>
      <c r="C4748">
        <v>3</v>
      </c>
      <c r="D4748">
        <v>3</v>
      </c>
      <c r="E4748">
        <v>3</v>
      </c>
      <c r="G4748">
        <v>1833</v>
      </c>
      <c r="H4748" t="s">
        <v>63</v>
      </c>
      <c r="I4748" t="s">
        <v>95</v>
      </c>
      <c r="J4748" t="s">
        <v>143</v>
      </c>
      <c r="L4748">
        <v>0</v>
      </c>
      <c r="M4748" t="s">
        <v>125</v>
      </c>
      <c r="O4748" t="s">
        <v>125</v>
      </c>
      <c r="P4748" t="s">
        <v>125</v>
      </c>
      <c r="Q4748" t="s">
        <v>125</v>
      </c>
      <c r="R4748" t="s">
        <v>125</v>
      </c>
      <c r="S4748" t="s">
        <v>125</v>
      </c>
      <c r="T4748">
        <v>0</v>
      </c>
      <c r="V4748" t="s">
        <v>125</v>
      </c>
      <c r="AE4748" t="s">
        <v>125</v>
      </c>
      <c r="AF4748">
        <v>0</v>
      </c>
      <c r="AG4748" t="s">
        <v>125</v>
      </c>
      <c r="AH4748">
        <v>0</v>
      </c>
      <c r="AK4748">
        <v>0</v>
      </c>
    </row>
    <row r="4749" spans="1:37" x14ac:dyDescent="0.25">
      <c r="A4749" t="s">
        <v>79</v>
      </c>
      <c r="B4749">
        <v>18</v>
      </c>
      <c r="C4749">
        <v>3</v>
      </c>
      <c r="D4749">
        <v>3</v>
      </c>
      <c r="E4749">
        <v>4</v>
      </c>
      <c r="G4749">
        <v>1833</v>
      </c>
      <c r="H4749" t="s">
        <v>63</v>
      </c>
      <c r="I4749" t="s">
        <v>102</v>
      </c>
      <c r="J4749" t="s">
        <v>144</v>
      </c>
      <c r="L4749">
        <v>0</v>
      </c>
      <c r="M4749" t="s">
        <v>125</v>
      </c>
      <c r="O4749" t="s">
        <v>125</v>
      </c>
      <c r="P4749" t="s">
        <v>125</v>
      </c>
      <c r="Q4749" t="s">
        <v>125</v>
      </c>
      <c r="R4749" t="s">
        <v>125</v>
      </c>
      <c r="S4749" t="s">
        <v>125</v>
      </c>
      <c r="T4749">
        <v>0</v>
      </c>
      <c r="V4749" t="s">
        <v>125</v>
      </c>
      <c r="AE4749" t="s">
        <v>125</v>
      </c>
      <c r="AF4749">
        <v>0</v>
      </c>
      <c r="AG4749" t="s">
        <v>125</v>
      </c>
      <c r="AH4749">
        <v>0</v>
      </c>
      <c r="AK4749">
        <v>0</v>
      </c>
    </row>
    <row r="4750" spans="1:37" x14ac:dyDescent="0.25">
      <c r="A4750" t="s">
        <v>79</v>
      </c>
      <c r="B4750">
        <v>18</v>
      </c>
      <c r="C4750">
        <v>3</v>
      </c>
      <c r="D4750">
        <v>3</v>
      </c>
      <c r="E4750">
        <v>5</v>
      </c>
      <c r="G4750">
        <v>1833</v>
      </c>
      <c r="H4750" t="s">
        <v>63</v>
      </c>
      <c r="I4750" t="s">
        <v>109</v>
      </c>
      <c r="J4750" t="s">
        <v>145</v>
      </c>
      <c r="L4750">
        <v>0</v>
      </c>
      <c r="M4750" t="s">
        <v>125</v>
      </c>
      <c r="O4750" t="s">
        <v>125</v>
      </c>
      <c r="P4750" t="s">
        <v>125</v>
      </c>
      <c r="Q4750" t="s">
        <v>125</v>
      </c>
      <c r="R4750" t="s">
        <v>125</v>
      </c>
      <c r="S4750" t="s">
        <v>125</v>
      </c>
      <c r="T4750">
        <v>0</v>
      </c>
      <c r="V4750" t="s">
        <v>125</v>
      </c>
      <c r="AE4750" t="s">
        <v>125</v>
      </c>
      <c r="AF4750">
        <v>0</v>
      </c>
      <c r="AG4750" t="s">
        <v>125</v>
      </c>
      <c r="AH4750">
        <v>0</v>
      </c>
      <c r="AK4750">
        <v>0</v>
      </c>
    </row>
    <row r="4751" spans="1:37" x14ac:dyDescent="0.25">
      <c r="A4751" t="s">
        <v>79</v>
      </c>
      <c r="B4751">
        <v>18</v>
      </c>
      <c r="C4751">
        <v>3</v>
      </c>
      <c r="D4751">
        <v>3</v>
      </c>
      <c r="E4751">
        <v>6</v>
      </c>
      <c r="G4751">
        <v>1833</v>
      </c>
      <c r="H4751" t="s">
        <v>63</v>
      </c>
      <c r="I4751" t="s">
        <v>116</v>
      </c>
      <c r="J4751" t="s">
        <v>146</v>
      </c>
      <c r="L4751">
        <v>0</v>
      </c>
      <c r="M4751" t="s">
        <v>125</v>
      </c>
      <c r="O4751" t="s">
        <v>125</v>
      </c>
      <c r="P4751" t="s">
        <v>125</v>
      </c>
      <c r="Q4751" t="s">
        <v>125</v>
      </c>
      <c r="R4751" t="s">
        <v>125</v>
      </c>
      <c r="S4751" t="s">
        <v>125</v>
      </c>
      <c r="T4751">
        <v>0</v>
      </c>
      <c r="V4751" t="s">
        <v>125</v>
      </c>
      <c r="AE4751" t="s">
        <v>125</v>
      </c>
      <c r="AF4751">
        <v>0</v>
      </c>
      <c r="AG4751" t="s">
        <v>125</v>
      </c>
      <c r="AH4751">
        <v>0</v>
      </c>
      <c r="AK4751">
        <v>0</v>
      </c>
    </row>
    <row r="4752" spans="1:37" x14ac:dyDescent="0.25">
      <c r="A4752" t="s">
        <v>79</v>
      </c>
      <c r="B4752">
        <v>18</v>
      </c>
      <c r="C4752">
        <v>3</v>
      </c>
      <c r="D4752">
        <v>3</v>
      </c>
      <c r="E4752">
        <v>7</v>
      </c>
      <c r="G4752">
        <v>1833</v>
      </c>
      <c r="H4752" t="s">
        <v>63</v>
      </c>
      <c r="I4752" t="s">
        <v>123</v>
      </c>
      <c r="J4752" t="s">
        <v>147</v>
      </c>
      <c r="L4752">
        <v>0</v>
      </c>
      <c r="M4752" t="s">
        <v>125</v>
      </c>
      <c r="O4752" t="s">
        <v>125</v>
      </c>
      <c r="P4752" t="s">
        <v>125</v>
      </c>
      <c r="Q4752" t="s">
        <v>125</v>
      </c>
      <c r="R4752" t="s">
        <v>125</v>
      </c>
      <c r="S4752" t="s">
        <v>125</v>
      </c>
      <c r="T4752">
        <v>0</v>
      </c>
      <c r="V4752" t="s">
        <v>125</v>
      </c>
      <c r="AE4752" t="s">
        <v>125</v>
      </c>
      <c r="AF4752">
        <v>0</v>
      </c>
      <c r="AG4752" t="s">
        <v>125</v>
      </c>
      <c r="AH4752">
        <v>0</v>
      </c>
      <c r="AK4752">
        <v>0</v>
      </c>
    </row>
    <row r="4753" spans="1:37" x14ac:dyDescent="0.25">
      <c r="A4753" t="s">
        <v>79</v>
      </c>
      <c r="B4753">
        <v>18</v>
      </c>
      <c r="C4753">
        <v>3</v>
      </c>
      <c r="D4753">
        <v>3</v>
      </c>
      <c r="E4753">
        <v>8</v>
      </c>
      <c r="G4753">
        <v>1833</v>
      </c>
      <c r="H4753" t="s">
        <v>63</v>
      </c>
      <c r="I4753" t="s">
        <v>126</v>
      </c>
      <c r="J4753" t="s">
        <v>148</v>
      </c>
      <c r="L4753">
        <v>0</v>
      </c>
      <c r="M4753" t="s">
        <v>125</v>
      </c>
      <c r="O4753" t="s">
        <v>125</v>
      </c>
      <c r="P4753" t="s">
        <v>125</v>
      </c>
      <c r="Q4753" t="s">
        <v>125</v>
      </c>
      <c r="R4753" t="s">
        <v>125</v>
      </c>
      <c r="S4753" t="s">
        <v>125</v>
      </c>
      <c r="T4753">
        <v>0</v>
      </c>
      <c r="V4753" t="s">
        <v>125</v>
      </c>
      <c r="AE4753" t="s">
        <v>125</v>
      </c>
      <c r="AF4753">
        <v>0</v>
      </c>
      <c r="AG4753" t="s">
        <v>125</v>
      </c>
      <c r="AH4753">
        <v>0</v>
      </c>
      <c r="AK4753">
        <v>0</v>
      </c>
    </row>
    <row r="4754" spans="1:37" x14ac:dyDescent="0.25">
      <c r="A4754" t="s">
        <v>79</v>
      </c>
      <c r="B4754">
        <v>18</v>
      </c>
      <c r="C4754">
        <v>3</v>
      </c>
      <c r="D4754">
        <v>3</v>
      </c>
      <c r="E4754">
        <v>9</v>
      </c>
      <c r="G4754">
        <v>1833</v>
      </c>
      <c r="H4754" t="s">
        <v>63</v>
      </c>
      <c r="I4754" t="s">
        <v>74</v>
      </c>
      <c r="J4754" t="s">
        <v>149</v>
      </c>
      <c r="L4754">
        <v>0</v>
      </c>
      <c r="M4754" t="s">
        <v>125</v>
      </c>
      <c r="O4754" t="s">
        <v>125</v>
      </c>
      <c r="P4754" t="s">
        <v>125</v>
      </c>
      <c r="Q4754" t="s">
        <v>125</v>
      </c>
      <c r="R4754" t="s">
        <v>125</v>
      </c>
      <c r="S4754" t="s">
        <v>125</v>
      </c>
      <c r="T4754">
        <v>0</v>
      </c>
      <c r="V4754" t="s">
        <v>125</v>
      </c>
      <c r="AE4754" t="s">
        <v>125</v>
      </c>
      <c r="AF4754">
        <v>0</v>
      </c>
      <c r="AG4754" t="s">
        <v>125</v>
      </c>
      <c r="AH4754">
        <v>0</v>
      </c>
      <c r="AK4754">
        <v>0</v>
      </c>
    </row>
    <row r="4755" spans="1:37" x14ac:dyDescent="0.25">
      <c r="A4755" t="s">
        <v>79</v>
      </c>
      <c r="B4755">
        <v>18</v>
      </c>
      <c r="C4755">
        <v>3</v>
      </c>
      <c r="D4755">
        <v>3</v>
      </c>
      <c r="E4755">
        <v>10</v>
      </c>
      <c r="G4755">
        <v>1833</v>
      </c>
      <c r="H4755" t="s">
        <v>63</v>
      </c>
      <c r="I4755" t="s">
        <v>129</v>
      </c>
      <c r="J4755" t="s">
        <v>150</v>
      </c>
      <c r="L4755">
        <v>0</v>
      </c>
      <c r="M4755" t="s">
        <v>125</v>
      </c>
      <c r="O4755" t="s">
        <v>125</v>
      </c>
      <c r="P4755" t="s">
        <v>125</v>
      </c>
      <c r="Q4755" t="s">
        <v>125</v>
      </c>
      <c r="R4755" t="s">
        <v>125</v>
      </c>
      <c r="S4755" t="s">
        <v>125</v>
      </c>
      <c r="T4755">
        <v>0</v>
      </c>
      <c r="V4755" t="s">
        <v>125</v>
      </c>
      <c r="AE4755" t="s">
        <v>125</v>
      </c>
      <c r="AF4755">
        <v>0</v>
      </c>
      <c r="AG4755" t="s">
        <v>125</v>
      </c>
      <c r="AH4755">
        <v>0</v>
      </c>
      <c r="AK4755">
        <v>0</v>
      </c>
    </row>
    <row r="4756" spans="1:37" x14ac:dyDescent="0.25">
      <c r="A4756" t="s">
        <v>79</v>
      </c>
      <c r="B4756">
        <v>18</v>
      </c>
      <c r="C4756">
        <v>3</v>
      </c>
      <c r="D4756">
        <v>3</v>
      </c>
      <c r="E4756">
        <v>11</v>
      </c>
      <c r="G4756">
        <v>1833</v>
      </c>
      <c r="H4756" t="s">
        <v>63</v>
      </c>
      <c r="I4756" t="s">
        <v>131</v>
      </c>
      <c r="J4756" t="s">
        <v>151</v>
      </c>
      <c r="L4756">
        <v>0</v>
      </c>
      <c r="M4756" t="s">
        <v>125</v>
      </c>
      <c r="O4756" t="s">
        <v>125</v>
      </c>
      <c r="P4756" t="s">
        <v>125</v>
      </c>
      <c r="Q4756" t="s">
        <v>125</v>
      </c>
      <c r="R4756" t="s">
        <v>125</v>
      </c>
      <c r="S4756" t="s">
        <v>125</v>
      </c>
      <c r="T4756">
        <v>0</v>
      </c>
      <c r="V4756" t="s">
        <v>125</v>
      </c>
      <c r="AE4756" t="s">
        <v>125</v>
      </c>
      <c r="AF4756">
        <v>0</v>
      </c>
      <c r="AG4756" t="s">
        <v>125</v>
      </c>
      <c r="AH4756">
        <v>0</v>
      </c>
      <c r="AK4756">
        <v>0</v>
      </c>
    </row>
    <row r="4757" spans="1:37" x14ac:dyDescent="0.25">
      <c r="A4757" t="s">
        <v>79</v>
      </c>
      <c r="B4757">
        <v>18</v>
      </c>
      <c r="C4757">
        <v>3</v>
      </c>
      <c r="D4757">
        <v>3</v>
      </c>
      <c r="E4757">
        <v>12</v>
      </c>
      <c r="G4757">
        <v>1833</v>
      </c>
      <c r="H4757" t="s">
        <v>63</v>
      </c>
      <c r="I4757" t="s">
        <v>133</v>
      </c>
      <c r="J4757" t="s">
        <v>152</v>
      </c>
      <c r="L4757">
        <v>0</v>
      </c>
      <c r="M4757" t="s">
        <v>125</v>
      </c>
      <c r="O4757" t="s">
        <v>125</v>
      </c>
      <c r="P4757" t="s">
        <v>125</v>
      </c>
      <c r="Q4757" t="s">
        <v>125</v>
      </c>
      <c r="R4757" t="s">
        <v>125</v>
      </c>
      <c r="S4757" t="s">
        <v>125</v>
      </c>
      <c r="T4757">
        <v>0</v>
      </c>
      <c r="V4757" t="s">
        <v>125</v>
      </c>
      <c r="AE4757" t="s">
        <v>125</v>
      </c>
      <c r="AF4757">
        <v>0</v>
      </c>
      <c r="AG4757" t="s">
        <v>125</v>
      </c>
      <c r="AH4757">
        <v>0</v>
      </c>
      <c r="AK4757">
        <v>0</v>
      </c>
    </row>
    <row r="4758" spans="1:37" x14ac:dyDescent="0.25">
      <c r="A4758" t="s">
        <v>79</v>
      </c>
      <c r="B4758">
        <v>18</v>
      </c>
      <c r="C4758">
        <v>3</v>
      </c>
      <c r="D4758">
        <v>3</v>
      </c>
      <c r="E4758">
        <v>13</v>
      </c>
      <c r="G4758">
        <v>1833</v>
      </c>
      <c r="H4758" t="s">
        <v>63</v>
      </c>
      <c r="I4758" t="s">
        <v>135</v>
      </c>
      <c r="J4758" t="s">
        <v>153</v>
      </c>
      <c r="L4758">
        <v>0</v>
      </c>
      <c r="M4758" t="s">
        <v>125</v>
      </c>
      <c r="O4758" t="s">
        <v>125</v>
      </c>
      <c r="P4758" t="s">
        <v>125</v>
      </c>
      <c r="Q4758" t="s">
        <v>125</v>
      </c>
      <c r="R4758" t="s">
        <v>125</v>
      </c>
      <c r="S4758" t="s">
        <v>125</v>
      </c>
      <c r="T4758">
        <v>0</v>
      </c>
      <c r="V4758" t="s">
        <v>125</v>
      </c>
      <c r="AE4758" t="s">
        <v>125</v>
      </c>
      <c r="AF4758">
        <v>0</v>
      </c>
      <c r="AG4758" t="s">
        <v>125</v>
      </c>
      <c r="AH4758">
        <v>0</v>
      </c>
      <c r="AK4758">
        <v>0</v>
      </c>
    </row>
    <row r="4759" spans="1:37" x14ac:dyDescent="0.25">
      <c r="A4759" t="s">
        <v>79</v>
      </c>
      <c r="B4759">
        <v>18</v>
      </c>
      <c r="C4759">
        <v>3</v>
      </c>
      <c r="D4759">
        <v>3</v>
      </c>
      <c r="E4759">
        <v>14</v>
      </c>
      <c r="G4759">
        <v>1833</v>
      </c>
      <c r="H4759" t="s">
        <v>63</v>
      </c>
      <c r="I4759" t="s">
        <v>137</v>
      </c>
      <c r="J4759" t="s">
        <v>154</v>
      </c>
      <c r="L4759">
        <v>0</v>
      </c>
      <c r="M4759" t="s">
        <v>125</v>
      </c>
      <c r="O4759" t="s">
        <v>125</v>
      </c>
      <c r="P4759" t="s">
        <v>125</v>
      </c>
      <c r="Q4759" t="s">
        <v>125</v>
      </c>
      <c r="R4759" t="s">
        <v>125</v>
      </c>
      <c r="S4759" t="s">
        <v>125</v>
      </c>
      <c r="T4759">
        <v>0</v>
      </c>
      <c r="V4759" t="s">
        <v>125</v>
      </c>
      <c r="AE4759" t="s">
        <v>125</v>
      </c>
      <c r="AF4759">
        <v>0</v>
      </c>
      <c r="AG4759" t="s">
        <v>125</v>
      </c>
      <c r="AH4759">
        <v>0</v>
      </c>
      <c r="AK4759">
        <v>0</v>
      </c>
    </row>
    <row r="4760" spans="1:37" x14ac:dyDescent="0.25">
      <c r="A4760" t="s">
        <v>79</v>
      </c>
      <c r="B4760">
        <v>18</v>
      </c>
      <c r="C4760">
        <v>3</v>
      </c>
      <c r="D4760">
        <v>3</v>
      </c>
      <c r="E4760">
        <v>15</v>
      </c>
      <c r="G4760">
        <v>1833</v>
      </c>
      <c r="H4760" t="s">
        <v>63</v>
      </c>
      <c r="I4760" t="s">
        <v>139</v>
      </c>
      <c r="J4760" t="s">
        <v>155</v>
      </c>
      <c r="L4760">
        <v>0</v>
      </c>
      <c r="M4760" t="s">
        <v>125</v>
      </c>
      <c r="O4760" t="s">
        <v>125</v>
      </c>
      <c r="P4760" t="s">
        <v>125</v>
      </c>
      <c r="Q4760" t="s">
        <v>125</v>
      </c>
      <c r="R4760" t="s">
        <v>125</v>
      </c>
      <c r="S4760" t="s">
        <v>125</v>
      </c>
      <c r="T4760">
        <v>0</v>
      </c>
      <c r="V4760" t="s">
        <v>125</v>
      </c>
      <c r="AE4760" t="s">
        <v>125</v>
      </c>
      <c r="AF4760">
        <v>0</v>
      </c>
      <c r="AG4760" t="s">
        <v>125</v>
      </c>
      <c r="AH4760">
        <v>0</v>
      </c>
      <c r="AK4760">
        <v>0</v>
      </c>
    </row>
    <row r="4761" spans="1:37" x14ac:dyDescent="0.25">
      <c r="L4761">
        <v>0</v>
      </c>
    </row>
    <row r="4762" spans="1:37" x14ac:dyDescent="0.25">
      <c r="A4762" t="s">
        <v>70</v>
      </c>
      <c r="B4762">
        <v>18</v>
      </c>
      <c r="C4762">
        <v>3</v>
      </c>
      <c r="D4762">
        <v>4</v>
      </c>
      <c r="G4762">
        <v>183</v>
      </c>
      <c r="L4762">
        <v>0</v>
      </c>
      <c r="M4762" t="s">
        <v>125</v>
      </c>
      <c r="P4762" t="s">
        <v>125</v>
      </c>
      <c r="R4762" t="s">
        <v>125</v>
      </c>
      <c r="S4762" t="s">
        <v>63</v>
      </c>
      <c r="V4762" t="s">
        <v>125</v>
      </c>
      <c r="X4762" t="s">
        <v>125</v>
      </c>
      <c r="Y4762" t="s">
        <v>125</v>
      </c>
      <c r="Z4762" t="s">
        <v>125</v>
      </c>
      <c r="AA4762" t="s">
        <v>125</v>
      </c>
      <c r="AB4762" t="s">
        <v>125</v>
      </c>
      <c r="AC4762" t="s">
        <v>125</v>
      </c>
      <c r="AE4762" t="s">
        <v>125</v>
      </c>
      <c r="AF4762">
        <v>0</v>
      </c>
      <c r="AG4762" t="s">
        <v>125</v>
      </c>
      <c r="AH4762">
        <v>0</v>
      </c>
      <c r="AK4762">
        <v>0</v>
      </c>
    </row>
    <row r="4763" spans="1:37" x14ac:dyDescent="0.25">
      <c r="A4763" t="s">
        <v>79</v>
      </c>
      <c r="B4763">
        <v>18</v>
      </c>
      <c r="C4763">
        <v>3</v>
      </c>
      <c r="D4763">
        <v>4</v>
      </c>
      <c r="E4763">
        <v>1</v>
      </c>
      <c r="G4763">
        <v>1834</v>
      </c>
      <c r="H4763" t="s">
        <v>63</v>
      </c>
      <c r="I4763" t="s">
        <v>80</v>
      </c>
      <c r="J4763" t="s">
        <v>141</v>
      </c>
      <c r="L4763">
        <v>0</v>
      </c>
      <c r="M4763" t="s">
        <v>125</v>
      </c>
      <c r="O4763" t="s">
        <v>125</v>
      </c>
      <c r="P4763" t="s">
        <v>125</v>
      </c>
      <c r="Q4763" t="s">
        <v>125</v>
      </c>
      <c r="R4763" t="s">
        <v>125</v>
      </c>
      <c r="S4763" t="s">
        <v>125</v>
      </c>
      <c r="T4763">
        <v>0</v>
      </c>
      <c r="V4763" t="s">
        <v>125</v>
      </c>
      <c r="AE4763" t="s">
        <v>125</v>
      </c>
      <c r="AF4763">
        <v>0</v>
      </c>
      <c r="AG4763" t="s">
        <v>125</v>
      </c>
      <c r="AH4763">
        <v>0</v>
      </c>
      <c r="AK4763">
        <v>0</v>
      </c>
    </row>
    <row r="4764" spans="1:37" x14ac:dyDescent="0.25">
      <c r="A4764" t="s">
        <v>79</v>
      </c>
      <c r="B4764">
        <v>18</v>
      </c>
      <c r="C4764">
        <v>3</v>
      </c>
      <c r="D4764">
        <v>4</v>
      </c>
      <c r="E4764">
        <v>2</v>
      </c>
      <c r="G4764">
        <v>1834</v>
      </c>
      <c r="H4764" t="s">
        <v>63</v>
      </c>
      <c r="I4764" t="s">
        <v>88</v>
      </c>
      <c r="J4764" t="s">
        <v>142</v>
      </c>
      <c r="L4764">
        <v>0</v>
      </c>
      <c r="M4764" t="s">
        <v>125</v>
      </c>
      <c r="O4764" t="s">
        <v>125</v>
      </c>
      <c r="P4764" t="s">
        <v>125</v>
      </c>
      <c r="Q4764" t="s">
        <v>125</v>
      </c>
      <c r="R4764" t="s">
        <v>125</v>
      </c>
      <c r="S4764" t="s">
        <v>125</v>
      </c>
      <c r="T4764">
        <v>0</v>
      </c>
      <c r="V4764" t="s">
        <v>125</v>
      </c>
      <c r="AE4764" t="s">
        <v>125</v>
      </c>
      <c r="AF4764">
        <v>0</v>
      </c>
      <c r="AG4764" t="s">
        <v>125</v>
      </c>
      <c r="AH4764">
        <v>0</v>
      </c>
      <c r="AK4764">
        <v>0</v>
      </c>
    </row>
    <row r="4765" spans="1:37" x14ac:dyDescent="0.25">
      <c r="A4765" t="s">
        <v>79</v>
      </c>
      <c r="B4765">
        <v>18</v>
      </c>
      <c r="C4765">
        <v>3</v>
      </c>
      <c r="D4765">
        <v>4</v>
      </c>
      <c r="E4765">
        <v>3</v>
      </c>
      <c r="G4765">
        <v>1834</v>
      </c>
      <c r="H4765" t="s">
        <v>63</v>
      </c>
      <c r="I4765" t="s">
        <v>95</v>
      </c>
      <c r="J4765" t="s">
        <v>143</v>
      </c>
      <c r="L4765">
        <v>0</v>
      </c>
      <c r="M4765" t="s">
        <v>125</v>
      </c>
      <c r="O4765" t="s">
        <v>125</v>
      </c>
      <c r="P4765" t="s">
        <v>125</v>
      </c>
      <c r="Q4765" t="s">
        <v>125</v>
      </c>
      <c r="R4765" t="s">
        <v>125</v>
      </c>
      <c r="S4765" t="s">
        <v>125</v>
      </c>
      <c r="T4765">
        <v>0</v>
      </c>
      <c r="V4765" t="s">
        <v>125</v>
      </c>
      <c r="AE4765" t="s">
        <v>125</v>
      </c>
      <c r="AF4765">
        <v>0</v>
      </c>
      <c r="AG4765" t="s">
        <v>125</v>
      </c>
      <c r="AH4765">
        <v>0</v>
      </c>
      <c r="AK4765">
        <v>0</v>
      </c>
    </row>
    <row r="4766" spans="1:37" x14ac:dyDescent="0.25">
      <c r="A4766" t="s">
        <v>79</v>
      </c>
      <c r="B4766">
        <v>18</v>
      </c>
      <c r="C4766">
        <v>3</v>
      </c>
      <c r="D4766">
        <v>4</v>
      </c>
      <c r="E4766">
        <v>4</v>
      </c>
      <c r="G4766">
        <v>1834</v>
      </c>
      <c r="H4766" t="s">
        <v>63</v>
      </c>
      <c r="I4766" t="s">
        <v>102</v>
      </c>
      <c r="J4766" t="s">
        <v>144</v>
      </c>
      <c r="L4766">
        <v>0</v>
      </c>
      <c r="M4766" t="s">
        <v>125</v>
      </c>
      <c r="O4766" t="s">
        <v>125</v>
      </c>
      <c r="P4766" t="s">
        <v>125</v>
      </c>
      <c r="Q4766" t="s">
        <v>125</v>
      </c>
      <c r="R4766" t="s">
        <v>125</v>
      </c>
      <c r="S4766" t="s">
        <v>125</v>
      </c>
      <c r="T4766">
        <v>0</v>
      </c>
      <c r="V4766" t="s">
        <v>125</v>
      </c>
      <c r="AE4766" t="s">
        <v>125</v>
      </c>
      <c r="AF4766">
        <v>0</v>
      </c>
      <c r="AG4766" t="s">
        <v>125</v>
      </c>
      <c r="AH4766">
        <v>0</v>
      </c>
      <c r="AK4766">
        <v>0</v>
      </c>
    </row>
    <row r="4767" spans="1:37" x14ac:dyDescent="0.25">
      <c r="A4767" t="s">
        <v>79</v>
      </c>
      <c r="B4767">
        <v>18</v>
      </c>
      <c r="C4767">
        <v>3</v>
      </c>
      <c r="D4767">
        <v>4</v>
      </c>
      <c r="E4767">
        <v>5</v>
      </c>
      <c r="G4767">
        <v>1834</v>
      </c>
      <c r="H4767" t="s">
        <v>63</v>
      </c>
      <c r="I4767" t="s">
        <v>109</v>
      </c>
      <c r="J4767" t="s">
        <v>145</v>
      </c>
      <c r="L4767">
        <v>0</v>
      </c>
      <c r="M4767" t="s">
        <v>125</v>
      </c>
      <c r="O4767" t="s">
        <v>125</v>
      </c>
      <c r="P4767" t="s">
        <v>125</v>
      </c>
      <c r="Q4767" t="s">
        <v>125</v>
      </c>
      <c r="R4767" t="s">
        <v>125</v>
      </c>
      <c r="S4767" t="s">
        <v>125</v>
      </c>
      <c r="T4767">
        <v>0</v>
      </c>
      <c r="V4767" t="s">
        <v>125</v>
      </c>
      <c r="AE4767" t="s">
        <v>125</v>
      </c>
      <c r="AF4767">
        <v>0</v>
      </c>
      <c r="AG4767" t="s">
        <v>125</v>
      </c>
      <c r="AH4767">
        <v>0</v>
      </c>
      <c r="AK4767">
        <v>0</v>
      </c>
    </row>
    <row r="4768" spans="1:37" x14ac:dyDescent="0.25">
      <c r="A4768" t="s">
        <v>79</v>
      </c>
      <c r="B4768">
        <v>18</v>
      </c>
      <c r="C4768">
        <v>3</v>
      </c>
      <c r="D4768">
        <v>4</v>
      </c>
      <c r="E4768">
        <v>6</v>
      </c>
      <c r="G4768">
        <v>1834</v>
      </c>
      <c r="H4768" t="s">
        <v>63</v>
      </c>
      <c r="I4768" t="s">
        <v>116</v>
      </c>
      <c r="J4768" t="s">
        <v>146</v>
      </c>
      <c r="L4768">
        <v>0</v>
      </c>
      <c r="M4768" t="s">
        <v>125</v>
      </c>
      <c r="O4768" t="s">
        <v>125</v>
      </c>
      <c r="P4768" t="s">
        <v>125</v>
      </c>
      <c r="Q4768" t="s">
        <v>125</v>
      </c>
      <c r="R4768" t="s">
        <v>125</v>
      </c>
      <c r="S4768" t="s">
        <v>125</v>
      </c>
      <c r="T4768">
        <v>0</v>
      </c>
      <c r="V4768" t="s">
        <v>125</v>
      </c>
      <c r="AE4768" t="s">
        <v>125</v>
      </c>
      <c r="AF4768">
        <v>0</v>
      </c>
      <c r="AG4768" t="s">
        <v>125</v>
      </c>
      <c r="AH4768">
        <v>0</v>
      </c>
      <c r="AK4768">
        <v>0</v>
      </c>
    </row>
    <row r="4769" spans="1:37" x14ac:dyDescent="0.25">
      <c r="A4769" t="s">
        <v>79</v>
      </c>
      <c r="B4769">
        <v>18</v>
      </c>
      <c r="C4769">
        <v>3</v>
      </c>
      <c r="D4769">
        <v>4</v>
      </c>
      <c r="E4769">
        <v>7</v>
      </c>
      <c r="G4769">
        <v>1834</v>
      </c>
      <c r="H4769" t="s">
        <v>63</v>
      </c>
      <c r="I4769" t="s">
        <v>123</v>
      </c>
      <c r="J4769" t="s">
        <v>147</v>
      </c>
      <c r="L4769">
        <v>0</v>
      </c>
      <c r="M4769" t="s">
        <v>125</v>
      </c>
      <c r="O4769" t="s">
        <v>125</v>
      </c>
      <c r="P4769" t="s">
        <v>125</v>
      </c>
      <c r="Q4769" t="s">
        <v>125</v>
      </c>
      <c r="R4769" t="s">
        <v>125</v>
      </c>
      <c r="S4769" t="s">
        <v>125</v>
      </c>
      <c r="T4769">
        <v>0</v>
      </c>
      <c r="V4769" t="s">
        <v>125</v>
      </c>
      <c r="AE4769" t="s">
        <v>125</v>
      </c>
      <c r="AF4769">
        <v>0</v>
      </c>
      <c r="AG4769" t="s">
        <v>125</v>
      </c>
      <c r="AH4769">
        <v>0</v>
      </c>
      <c r="AK4769">
        <v>0</v>
      </c>
    </row>
    <row r="4770" spans="1:37" x14ac:dyDescent="0.25">
      <c r="A4770" t="s">
        <v>79</v>
      </c>
      <c r="B4770">
        <v>18</v>
      </c>
      <c r="C4770">
        <v>3</v>
      </c>
      <c r="D4770">
        <v>4</v>
      </c>
      <c r="E4770">
        <v>8</v>
      </c>
      <c r="G4770">
        <v>1834</v>
      </c>
      <c r="H4770" t="s">
        <v>63</v>
      </c>
      <c r="I4770" t="s">
        <v>126</v>
      </c>
      <c r="J4770" t="s">
        <v>148</v>
      </c>
      <c r="L4770">
        <v>0</v>
      </c>
      <c r="M4770" t="s">
        <v>125</v>
      </c>
      <c r="O4770" t="s">
        <v>125</v>
      </c>
      <c r="P4770" t="s">
        <v>125</v>
      </c>
      <c r="Q4770" t="s">
        <v>125</v>
      </c>
      <c r="R4770" t="s">
        <v>125</v>
      </c>
      <c r="S4770" t="s">
        <v>125</v>
      </c>
      <c r="T4770">
        <v>0</v>
      </c>
      <c r="V4770" t="s">
        <v>125</v>
      </c>
      <c r="AE4770" t="s">
        <v>125</v>
      </c>
      <c r="AF4770">
        <v>0</v>
      </c>
      <c r="AG4770" t="s">
        <v>125</v>
      </c>
      <c r="AH4770">
        <v>0</v>
      </c>
      <c r="AK4770">
        <v>0</v>
      </c>
    </row>
    <row r="4771" spans="1:37" x14ac:dyDescent="0.25">
      <c r="A4771" t="s">
        <v>79</v>
      </c>
      <c r="B4771">
        <v>18</v>
      </c>
      <c r="C4771">
        <v>3</v>
      </c>
      <c r="D4771">
        <v>4</v>
      </c>
      <c r="E4771">
        <v>9</v>
      </c>
      <c r="G4771">
        <v>1834</v>
      </c>
      <c r="H4771" t="s">
        <v>63</v>
      </c>
      <c r="I4771" t="s">
        <v>74</v>
      </c>
      <c r="J4771" t="s">
        <v>149</v>
      </c>
      <c r="L4771">
        <v>0</v>
      </c>
      <c r="M4771" t="s">
        <v>125</v>
      </c>
      <c r="O4771" t="s">
        <v>125</v>
      </c>
      <c r="P4771" t="s">
        <v>125</v>
      </c>
      <c r="Q4771" t="s">
        <v>125</v>
      </c>
      <c r="R4771" t="s">
        <v>125</v>
      </c>
      <c r="S4771" t="s">
        <v>125</v>
      </c>
      <c r="T4771">
        <v>0</v>
      </c>
      <c r="V4771" t="s">
        <v>125</v>
      </c>
      <c r="AE4771" t="s">
        <v>125</v>
      </c>
      <c r="AF4771">
        <v>0</v>
      </c>
      <c r="AG4771" t="s">
        <v>125</v>
      </c>
      <c r="AH4771">
        <v>0</v>
      </c>
      <c r="AK4771">
        <v>0</v>
      </c>
    </row>
    <row r="4772" spans="1:37" x14ac:dyDescent="0.25">
      <c r="A4772" t="s">
        <v>79</v>
      </c>
      <c r="B4772">
        <v>18</v>
      </c>
      <c r="C4772">
        <v>3</v>
      </c>
      <c r="D4772">
        <v>4</v>
      </c>
      <c r="E4772">
        <v>10</v>
      </c>
      <c r="G4772">
        <v>1834</v>
      </c>
      <c r="H4772" t="s">
        <v>63</v>
      </c>
      <c r="I4772" t="s">
        <v>129</v>
      </c>
      <c r="J4772" t="s">
        <v>150</v>
      </c>
      <c r="L4772">
        <v>0</v>
      </c>
      <c r="M4772" t="s">
        <v>125</v>
      </c>
      <c r="O4772" t="s">
        <v>125</v>
      </c>
      <c r="P4772" t="s">
        <v>125</v>
      </c>
      <c r="Q4772" t="s">
        <v>125</v>
      </c>
      <c r="R4772" t="s">
        <v>125</v>
      </c>
      <c r="S4772" t="s">
        <v>125</v>
      </c>
      <c r="T4772">
        <v>0</v>
      </c>
      <c r="V4772" t="s">
        <v>125</v>
      </c>
      <c r="AE4772" t="s">
        <v>125</v>
      </c>
      <c r="AF4772">
        <v>0</v>
      </c>
      <c r="AG4772" t="s">
        <v>125</v>
      </c>
      <c r="AH4772">
        <v>0</v>
      </c>
      <c r="AK4772">
        <v>0</v>
      </c>
    </row>
    <row r="4773" spans="1:37" x14ac:dyDescent="0.25">
      <c r="A4773" t="s">
        <v>79</v>
      </c>
      <c r="B4773">
        <v>18</v>
      </c>
      <c r="C4773">
        <v>3</v>
      </c>
      <c r="D4773">
        <v>4</v>
      </c>
      <c r="E4773">
        <v>11</v>
      </c>
      <c r="G4773">
        <v>1834</v>
      </c>
      <c r="H4773" t="s">
        <v>63</v>
      </c>
      <c r="I4773" t="s">
        <v>131</v>
      </c>
      <c r="J4773" t="s">
        <v>151</v>
      </c>
      <c r="L4773">
        <v>0</v>
      </c>
      <c r="M4773" t="s">
        <v>125</v>
      </c>
      <c r="O4773" t="s">
        <v>125</v>
      </c>
      <c r="P4773" t="s">
        <v>125</v>
      </c>
      <c r="Q4773" t="s">
        <v>125</v>
      </c>
      <c r="R4773" t="s">
        <v>125</v>
      </c>
      <c r="S4773" t="s">
        <v>125</v>
      </c>
      <c r="T4773">
        <v>0</v>
      </c>
      <c r="V4773" t="s">
        <v>125</v>
      </c>
      <c r="AE4773" t="s">
        <v>125</v>
      </c>
      <c r="AF4773">
        <v>0</v>
      </c>
      <c r="AG4773" t="s">
        <v>125</v>
      </c>
      <c r="AH4773">
        <v>0</v>
      </c>
      <c r="AK4773">
        <v>0</v>
      </c>
    </row>
    <row r="4774" spans="1:37" x14ac:dyDescent="0.25">
      <c r="A4774" t="s">
        <v>79</v>
      </c>
      <c r="B4774">
        <v>18</v>
      </c>
      <c r="C4774">
        <v>3</v>
      </c>
      <c r="D4774">
        <v>4</v>
      </c>
      <c r="E4774">
        <v>12</v>
      </c>
      <c r="G4774">
        <v>1834</v>
      </c>
      <c r="H4774" t="s">
        <v>63</v>
      </c>
      <c r="I4774" t="s">
        <v>133</v>
      </c>
      <c r="J4774" t="s">
        <v>152</v>
      </c>
      <c r="L4774">
        <v>0</v>
      </c>
      <c r="M4774" t="s">
        <v>125</v>
      </c>
      <c r="O4774" t="s">
        <v>125</v>
      </c>
      <c r="P4774" t="s">
        <v>125</v>
      </c>
      <c r="Q4774" t="s">
        <v>125</v>
      </c>
      <c r="R4774" t="s">
        <v>125</v>
      </c>
      <c r="S4774" t="s">
        <v>125</v>
      </c>
      <c r="T4774">
        <v>0</v>
      </c>
      <c r="V4774" t="s">
        <v>125</v>
      </c>
      <c r="AE4774" t="s">
        <v>125</v>
      </c>
      <c r="AF4774">
        <v>0</v>
      </c>
      <c r="AG4774" t="s">
        <v>125</v>
      </c>
      <c r="AH4774">
        <v>0</v>
      </c>
      <c r="AK4774">
        <v>0</v>
      </c>
    </row>
    <row r="4775" spans="1:37" x14ac:dyDescent="0.25">
      <c r="A4775" t="s">
        <v>79</v>
      </c>
      <c r="B4775">
        <v>18</v>
      </c>
      <c r="C4775">
        <v>3</v>
      </c>
      <c r="D4775">
        <v>4</v>
      </c>
      <c r="E4775">
        <v>13</v>
      </c>
      <c r="G4775">
        <v>1834</v>
      </c>
      <c r="H4775" t="s">
        <v>63</v>
      </c>
      <c r="I4775" t="s">
        <v>135</v>
      </c>
      <c r="J4775" t="s">
        <v>153</v>
      </c>
      <c r="L4775">
        <v>0</v>
      </c>
      <c r="M4775" t="s">
        <v>125</v>
      </c>
      <c r="O4775" t="s">
        <v>125</v>
      </c>
      <c r="P4775" t="s">
        <v>125</v>
      </c>
      <c r="Q4775" t="s">
        <v>125</v>
      </c>
      <c r="R4775" t="s">
        <v>125</v>
      </c>
      <c r="S4775" t="s">
        <v>125</v>
      </c>
      <c r="T4775">
        <v>0</v>
      </c>
      <c r="V4775" t="s">
        <v>125</v>
      </c>
      <c r="AE4775" t="s">
        <v>125</v>
      </c>
      <c r="AF4775">
        <v>0</v>
      </c>
      <c r="AG4775" t="s">
        <v>125</v>
      </c>
      <c r="AH4775">
        <v>0</v>
      </c>
      <c r="AK4775">
        <v>0</v>
      </c>
    </row>
    <row r="4776" spans="1:37" x14ac:dyDescent="0.25">
      <c r="A4776" t="s">
        <v>79</v>
      </c>
      <c r="B4776">
        <v>18</v>
      </c>
      <c r="C4776">
        <v>3</v>
      </c>
      <c r="D4776">
        <v>4</v>
      </c>
      <c r="E4776">
        <v>14</v>
      </c>
      <c r="G4776">
        <v>1834</v>
      </c>
      <c r="H4776" t="s">
        <v>63</v>
      </c>
      <c r="I4776" t="s">
        <v>137</v>
      </c>
      <c r="J4776" t="s">
        <v>154</v>
      </c>
      <c r="L4776">
        <v>0</v>
      </c>
      <c r="M4776" t="s">
        <v>125</v>
      </c>
      <c r="O4776" t="s">
        <v>125</v>
      </c>
      <c r="P4776" t="s">
        <v>125</v>
      </c>
      <c r="Q4776" t="s">
        <v>125</v>
      </c>
      <c r="R4776" t="s">
        <v>125</v>
      </c>
      <c r="S4776" t="s">
        <v>125</v>
      </c>
      <c r="T4776">
        <v>0</v>
      </c>
      <c r="V4776" t="s">
        <v>125</v>
      </c>
      <c r="AE4776" t="s">
        <v>125</v>
      </c>
      <c r="AF4776">
        <v>0</v>
      </c>
      <c r="AG4776" t="s">
        <v>125</v>
      </c>
      <c r="AH4776">
        <v>0</v>
      </c>
      <c r="AK4776">
        <v>0</v>
      </c>
    </row>
    <row r="4777" spans="1:37" x14ac:dyDescent="0.25">
      <c r="A4777" t="s">
        <v>79</v>
      </c>
      <c r="B4777">
        <v>18</v>
      </c>
      <c r="C4777">
        <v>3</v>
      </c>
      <c r="D4777">
        <v>4</v>
      </c>
      <c r="E4777">
        <v>15</v>
      </c>
      <c r="G4777">
        <v>1834</v>
      </c>
      <c r="H4777" t="s">
        <v>63</v>
      </c>
      <c r="I4777" t="s">
        <v>139</v>
      </c>
      <c r="J4777" t="s">
        <v>155</v>
      </c>
      <c r="L4777">
        <v>0</v>
      </c>
      <c r="M4777" t="s">
        <v>125</v>
      </c>
      <c r="O4777" t="s">
        <v>125</v>
      </c>
      <c r="P4777" t="s">
        <v>125</v>
      </c>
      <c r="Q4777" t="s">
        <v>125</v>
      </c>
      <c r="R4777" t="s">
        <v>125</v>
      </c>
      <c r="S4777" t="s">
        <v>125</v>
      </c>
      <c r="T4777">
        <v>0</v>
      </c>
      <c r="V4777" t="s">
        <v>125</v>
      </c>
      <c r="AE4777" t="s">
        <v>125</v>
      </c>
      <c r="AF4777">
        <v>0</v>
      </c>
      <c r="AG4777" t="s">
        <v>125</v>
      </c>
      <c r="AH4777">
        <v>0</v>
      </c>
      <c r="AK4777">
        <v>0</v>
      </c>
    </row>
    <row r="4778" spans="1:37" x14ac:dyDescent="0.25">
      <c r="L4778">
        <v>0</v>
      </c>
    </row>
    <row r="4779" spans="1:37" x14ac:dyDescent="0.25">
      <c r="A4779" t="s">
        <v>70</v>
      </c>
      <c r="B4779">
        <v>18</v>
      </c>
      <c r="C4779">
        <v>3</v>
      </c>
      <c r="D4779">
        <v>5</v>
      </c>
      <c r="G4779">
        <v>183</v>
      </c>
      <c r="L4779">
        <v>0</v>
      </c>
      <c r="M4779" t="s">
        <v>125</v>
      </c>
      <c r="P4779" t="s">
        <v>125</v>
      </c>
      <c r="R4779" t="s">
        <v>125</v>
      </c>
      <c r="S4779" t="s">
        <v>63</v>
      </c>
      <c r="V4779" t="s">
        <v>125</v>
      </c>
      <c r="X4779" t="s">
        <v>125</v>
      </c>
      <c r="Y4779" t="s">
        <v>125</v>
      </c>
      <c r="Z4779" t="s">
        <v>125</v>
      </c>
      <c r="AA4779" t="s">
        <v>125</v>
      </c>
      <c r="AB4779" t="s">
        <v>125</v>
      </c>
      <c r="AC4779" t="s">
        <v>125</v>
      </c>
      <c r="AE4779" t="s">
        <v>125</v>
      </c>
      <c r="AF4779">
        <v>0</v>
      </c>
      <c r="AG4779" t="s">
        <v>125</v>
      </c>
      <c r="AH4779">
        <v>0</v>
      </c>
      <c r="AK4779">
        <v>0</v>
      </c>
    </row>
    <row r="4780" spans="1:37" x14ac:dyDescent="0.25">
      <c r="A4780" t="s">
        <v>79</v>
      </c>
      <c r="B4780">
        <v>18</v>
      </c>
      <c r="C4780">
        <v>3</v>
      </c>
      <c r="D4780">
        <v>5</v>
      </c>
      <c r="E4780">
        <v>1</v>
      </c>
      <c r="G4780">
        <v>1835</v>
      </c>
      <c r="H4780" t="s">
        <v>63</v>
      </c>
      <c r="I4780" t="s">
        <v>80</v>
      </c>
      <c r="J4780" t="s">
        <v>141</v>
      </c>
      <c r="L4780">
        <v>0</v>
      </c>
      <c r="M4780" t="s">
        <v>125</v>
      </c>
      <c r="O4780" t="s">
        <v>125</v>
      </c>
      <c r="P4780" t="s">
        <v>125</v>
      </c>
      <c r="Q4780" t="s">
        <v>125</v>
      </c>
      <c r="R4780" t="s">
        <v>125</v>
      </c>
      <c r="S4780" t="s">
        <v>125</v>
      </c>
      <c r="T4780">
        <v>0</v>
      </c>
      <c r="V4780" t="s">
        <v>125</v>
      </c>
      <c r="AE4780" t="s">
        <v>125</v>
      </c>
      <c r="AF4780">
        <v>0</v>
      </c>
      <c r="AG4780" t="s">
        <v>125</v>
      </c>
      <c r="AH4780">
        <v>0</v>
      </c>
      <c r="AK4780">
        <v>0</v>
      </c>
    </row>
    <row r="4781" spans="1:37" x14ac:dyDescent="0.25">
      <c r="A4781" t="s">
        <v>79</v>
      </c>
      <c r="B4781">
        <v>18</v>
      </c>
      <c r="C4781">
        <v>3</v>
      </c>
      <c r="D4781">
        <v>5</v>
      </c>
      <c r="E4781">
        <v>2</v>
      </c>
      <c r="G4781">
        <v>1835</v>
      </c>
      <c r="H4781" t="s">
        <v>63</v>
      </c>
      <c r="I4781" t="s">
        <v>88</v>
      </c>
      <c r="J4781" t="s">
        <v>142</v>
      </c>
      <c r="L4781">
        <v>0</v>
      </c>
      <c r="M4781" t="s">
        <v>125</v>
      </c>
      <c r="O4781" t="s">
        <v>125</v>
      </c>
      <c r="P4781" t="s">
        <v>125</v>
      </c>
      <c r="Q4781" t="s">
        <v>125</v>
      </c>
      <c r="R4781" t="s">
        <v>125</v>
      </c>
      <c r="S4781" t="s">
        <v>125</v>
      </c>
      <c r="T4781">
        <v>0</v>
      </c>
      <c r="V4781" t="s">
        <v>125</v>
      </c>
      <c r="AE4781" t="s">
        <v>125</v>
      </c>
      <c r="AF4781">
        <v>0</v>
      </c>
      <c r="AG4781" t="s">
        <v>125</v>
      </c>
      <c r="AH4781">
        <v>0</v>
      </c>
      <c r="AK4781">
        <v>0</v>
      </c>
    </row>
    <row r="4782" spans="1:37" x14ac:dyDescent="0.25">
      <c r="A4782" t="s">
        <v>79</v>
      </c>
      <c r="B4782">
        <v>18</v>
      </c>
      <c r="C4782">
        <v>3</v>
      </c>
      <c r="D4782">
        <v>5</v>
      </c>
      <c r="E4782">
        <v>3</v>
      </c>
      <c r="G4782">
        <v>1835</v>
      </c>
      <c r="H4782" t="s">
        <v>63</v>
      </c>
      <c r="I4782" t="s">
        <v>95</v>
      </c>
      <c r="J4782" t="s">
        <v>143</v>
      </c>
      <c r="L4782">
        <v>0</v>
      </c>
      <c r="M4782" t="s">
        <v>125</v>
      </c>
      <c r="O4782" t="s">
        <v>125</v>
      </c>
      <c r="P4782" t="s">
        <v>125</v>
      </c>
      <c r="Q4782" t="s">
        <v>125</v>
      </c>
      <c r="R4782" t="s">
        <v>125</v>
      </c>
      <c r="S4782" t="s">
        <v>125</v>
      </c>
      <c r="T4782">
        <v>0</v>
      </c>
      <c r="V4782" t="s">
        <v>125</v>
      </c>
      <c r="AE4782" t="s">
        <v>125</v>
      </c>
      <c r="AF4782">
        <v>0</v>
      </c>
      <c r="AG4782" t="s">
        <v>125</v>
      </c>
      <c r="AH4782">
        <v>0</v>
      </c>
      <c r="AK4782">
        <v>0</v>
      </c>
    </row>
    <row r="4783" spans="1:37" x14ac:dyDescent="0.25">
      <c r="A4783" t="s">
        <v>79</v>
      </c>
      <c r="B4783">
        <v>18</v>
      </c>
      <c r="C4783">
        <v>3</v>
      </c>
      <c r="D4783">
        <v>5</v>
      </c>
      <c r="E4783">
        <v>4</v>
      </c>
      <c r="G4783">
        <v>1835</v>
      </c>
      <c r="H4783" t="s">
        <v>63</v>
      </c>
      <c r="I4783" t="s">
        <v>102</v>
      </c>
      <c r="J4783" t="s">
        <v>144</v>
      </c>
      <c r="L4783">
        <v>0</v>
      </c>
      <c r="M4783" t="s">
        <v>125</v>
      </c>
      <c r="O4783" t="s">
        <v>125</v>
      </c>
      <c r="P4783" t="s">
        <v>125</v>
      </c>
      <c r="Q4783" t="s">
        <v>125</v>
      </c>
      <c r="R4783" t="s">
        <v>125</v>
      </c>
      <c r="S4783" t="s">
        <v>125</v>
      </c>
      <c r="T4783">
        <v>0</v>
      </c>
      <c r="V4783" t="s">
        <v>125</v>
      </c>
      <c r="AE4783" t="s">
        <v>125</v>
      </c>
      <c r="AF4783">
        <v>0</v>
      </c>
      <c r="AG4783" t="s">
        <v>125</v>
      </c>
      <c r="AH4783">
        <v>0</v>
      </c>
      <c r="AK4783">
        <v>0</v>
      </c>
    </row>
    <row r="4784" spans="1:37" x14ac:dyDescent="0.25">
      <c r="A4784" t="s">
        <v>79</v>
      </c>
      <c r="B4784">
        <v>18</v>
      </c>
      <c r="C4784">
        <v>3</v>
      </c>
      <c r="D4784">
        <v>5</v>
      </c>
      <c r="E4784">
        <v>5</v>
      </c>
      <c r="G4784">
        <v>1835</v>
      </c>
      <c r="H4784" t="s">
        <v>63</v>
      </c>
      <c r="I4784" t="s">
        <v>109</v>
      </c>
      <c r="J4784" t="s">
        <v>145</v>
      </c>
      <c r="L4784">
        <v>0</v>
      </c>
      <c r="M4784" t="s">
        <v>125</v>
      </c>
      <c r="O4784" t="s">
        <v>125</v>
      </c>
      <c r="P4784" t="s">
        <v>125</v>
      </c>
      <c r="Q4784" t="s">
        <v>125</v>
      </c>
      <c r="R4784" t="s">
        <v>125</v>
      </c>
      <c r="S4784" t="s">
        <v>125</v>
      </c>
      <c r="T4784">
        <v>0</v>
      </c>
      <c r="V4784" t="s">
        <v>125</v>
      </c>
      <c r="AE4784" t="s">
        <v>125</v>
      </c>
      <c r="AF4784">
        <v>0</v>
      </c>
      <c r="AG4784" t="s">
        <v>125</v>
      </c>
      <c r="AH4784">
        <v>0</v>
      </c>
      <c r="AK4784">
        <v>0</v>
      </c>
    </row>
    <row r="4785" spans="1:37" x14ac:dyDescent="0.25">
      <c r="A4785" t="s">
        <v>79</v>
      </c>
      <c r="B4785">
        <v>18</v>
      </c>
      <c r="C4785">
        <v>3</v>
      </c>
      <c r="D4785">
        <v>5</v>
      </c>
      <c r="E4785">
        <v>6</v>
      </c>
      <c r="G4785">
        <v>1835</v>
      </c>
      <c r="H4785" t="s">
        <v>63</v>
      </c>
      <c r="I4785" t="s">
        <v>116</v>
      </c>
      <c r="J4785" t="s">
        <v>146</v>
      </c>
      <c r="L4785">
        <v>0</v>
      </c>
      <c r="M4785" t="s">
        <v>125</v>
      </c>
      <c r="O4785" t="s">
        <v>125</v>
      </c>
      <c r="P4785" t="s">
        <v>125</v>
      </c>
      <c r="Q4785" t="s">
        <v>125</v>
      </c>
      <c r="R4785" t="s">
        <v>125</v>
      </c>
      <c r="S4785" t="s">
        <v>125</v>
      </c>
      <c r="T4785">
        <v>0</v>
      </c>
      <c r="V4785" t="s">
        <v>125</v>
      </c>
      <c r="AE4785" t="s">
        <v>125</v>
      </c>
      <c r="AF4785">
        <v>0</v>
      </c>
      <c r="AG4785" t="s">
        <v>125</v>
      </c>
      <c r="AH4785">
        <v>0</v>
      </c>
      <c r="AK4785">
        <v>0</v>
      </c>
    </row>
    <row r="4786" spans="1:37" x14ac:dyDescent="0.25">
      <c r="A4786" t="s">
        <v>79</v>
      </c>
      <c r="B4786">
        <v>18</v>
      </c>
      <c r="C4786">
        <v>3</v>
      </c>
      <c r="D4786">
        <v>5</v>
      </c>
      <c r="E4786">
        <v>7</v>
      </c>
      <c r="G4786">
        <v>1835</v>
      </c>
      <c r="H4786" t="s">
        <v>63</v>
      </c>
      <c r="I4786" t="s">
        <v>123</v>
      </c>
      <c r="J4786" t="s">
        <v>147</v>
      </c>
      <c r="L4786">
        <v>0</v>
      </c>
      <c r="M4786" t="s">
        <v>125</v>
      </c>
      <c r="O4786" t="s">
        <v>125</v>
      </c>
      <c r="P4786" t="s">
        <v>125</v>
      </c>
      <c r="Q4786" t="s">
        <v>125</v>
      </c>
      <c r="R4786" t="s">
        <v>125</v>
      </c>
      <c r="S4786" t="s">
        <v>125</v>
      </c>
      <c r="T4786">
        <v>0</v>
      </c>
      <c r="V4786" t="s">
        <v>125</v>
      </c>
      <c r="AE4786" t="s">
        <v>125</v>
      </c>
      <c r="AF4786">
        <v>0</v>
      </c>
      <c r="AG4786" t="s">
        <v>125</v>
      </c>
      <c r="AH4786">
        <v>0</v>
      </c>
      <c r="AK4786">
        <v>0</v>
      </c>
    </row>
    <row r="4787" spans="1:37" x14ac:dyDescent="0.25">
      <c r="A4787" t="s">
        <v>79</v>
      </c>
      <c r="B4787">
        <v>18</v>
      </c>
      <c r="C4787">
        <v>3</v>
      </c>
      <c r="D4787">
        <v>5</v>
      </c>
      <c r="E4787">
        <v>8</v>
      </c>
      <c r="G4787">
        <v>1835</v>
      </c>
      <c r="H4787" t="s">
        <v>63</v>
      </c>
      <c r="I4787" t="s">
        <v>126</v>
      </c>
      <c r="J4787" t="s">
        <v>148</v>
      </c>
      <c r="L4787">
        <v>0</v>
      </c>
      <c r="M4787" t="s">
        <v>125</v>
      </c>
      <c r="O4787" t="s">
        <v>125</v>
      </c>
      <c r="P4787" t="s">
        <v>125</v>
      </c>
      <c r="Q4787" t="s">
        <v>125</v>
      </c>
      <c r="R4787" t="s">
        <v>125</v>
      </c>
      <c r="S4787" t="s">
        <v>125</v>
      </c>
      <c r="T4787">
        <v>0</v>
      </c>
      <c r="V4787" t="s">
        <v>125</v>
      </c>
      <c r="AE4787" t="s">
        <v>125</v>
      </c>
      <c r="AF4787">
        <v>0</v>
      </c>
      <c r="AG4787" t="s">
        <v>125</v>
      </c>
      <c r="AH4787">
        <v>0</v>
      </c>
      <c r="AK4787">
        <v>0</v>
      </c>
    </row>
    <row r="4788" spans="1:37" x14ac:dyDescent="0.25">
      <c r="A4788" t="s">
        <v>79</v>
      </c>
      <c r="B4788">
        <v>18</v>
      </c>
      <c r="C4788">
        <v>3</v>
      </c>
      <c r="D4788">
        <v>5</v>
      </c>
      <c r="E4788">
        <v>9</v>
      </c>
      <c r="G4788">
        <v>1835</v>
      </c>
      <c r="H4788" t="s">
        <v>63</v>
      </c>
      <c r="I4788" t="s">
        <v>74</v>
      </c>
      <c r="J4788" t="s">
        <v>149</v>
      </c>
      <c r="L4788">
        <v>0</v>
      </c>
      <c r="M4788" t="s">
        <v>125</v>
      </c>
      <c r="O4788" t="s">
        <v>125</v>
      </c>
      <c r="P4788" t="s">
        <v>125</v>
      </c>
      <c r="Q4788" t="s">
        <v>125</v>
      </c>
      <c r="R4788" t="s">
        <v>125</v>
      </c>
      <c r="S4788" t="s">
        <v>125</v>
      </c>
      <c r="T4788">
        <v>0</v>
      </c>
      <c r="V4788" t="s">
        <v>125</v>
      </c>
      <c r="AE4788" t="s">
        <v>125</v>
      </c>
      <c r="AF4788">
        <v>0</v>
      </c>
      <c r="AG4788" t="s">
        <v>125</v>
      </c>
      <c r="AH4788">
        <v>0</v>
      </c>
      <c r="AK4788">
        <v>0</v>
      </c>
    </row>
    <row r="4789" spans="1:37" x14ac:dyDescent="0.25">
      <c r="A4789" t="s">
        <v>79</v>
      </c>
      <c r="B4789">
        <v>18</v>
      </c>
      <c r="C4789">
        <v>3</v>
      </c>
      <c r="D4789">
        <v>5</v>
      </c>
      <c r="E4789">
        <v>10</v>
      </c>
      <c r="G4789">
        <v>1835</v>
      </c>
      <c r="H4789" t="s">
        <v>63</v>
      </c>
      <c r="I4789" t="s">
        <v>129</v>
      </c>
      <c r="J4789" t="s">
        <v>150</v>
      </c>
      <c r="L4789">
        <v>0</v>
      </c>
      <c r="M4789" t="s">
        <v>125</v>
      </c>
      <c r="O4789" t="s">
        <v>125</v>
      </c>
      <c r="P4789" t="s">
        <v>125</v>
      </c>
      <c r="Q4789" t="s">
        <v>125</v>
      </c>
      <c r="R4789" t="s">
        <v>125</v>
      </c>
      <c r="S4789" t="s">
        <v>125</v>
      </c>
      <c r="T4789">
        <v>0</v>
      </c>
      <c r="V4789" t="s">
        <v>125</v>
      </c>
      <c r="AE4789" t="s">
        <v>125</v>
      </c>
      <c r="AF4789">
        <v>0</v>
      </c>
      <c r="AG4789" t="s">
        <v>125</v>
      </c>
      <c r="AH4789">
        <v>0</v>
      </c>
      <c r="AK4789">
        <v>0</v>
      </c>
    </row>
    <row r="4790" spans="1:37" x14ac:dyDescent="0.25">
      <c r="A4790" t="s">
        <v>79</v>
      </c>
      <c r="B4790">
        <v>18</v>
      </c>
      <c r="C4790">
        <v>3</v>
      </c>
      <c r="D4790">
        <v>5</v>
      </c>
      <c r="E4790">
        <v>11</v>
      </c>
      <c r="G4790">
        <v>1835</v>
      </c>
      <c r="H4790" t="s">
        <v>63</v>
      </c>
      <c r="I4790" t="s">
        <v>131</v>
      </c>
      <c r="J4790" t="s">
        <v>151</v>
      </c>
      <c r="L4790">
        <v>0</v>
      </c>
      <c r="M4790" t="s">
        <v>125</v>
      </c>
      <c r="O4790" t="s">
        <v>125</v>
      </c>
      <c r="P4790" t="s">
        <v>125</v>
      </c>
      <c r="Q4790" t="s">
        <v>125</v>
      </c>
      <c r="R4790" t="s">
        <v>125</v>
      </c>
      <c r="S4790" t="s">
        <v>125</v>
      </c>
      <c r="T4790">
        <v>0</v>
      </c>
      <c r="V4790" t="s">
        <v>125</v>
      </c>
      <c r="AE4790" t="s">
        <v>125</v>
      </c>
      <c r="AF4790">
        <v>0</v>
      </c>
      <c r="AG4790" t="s">
        <v>125</v>
      </c>
      <c r="AH4790">
        <v>0</v>
      </c>
      <c r="AK4790">
        <v>0</v>
      </c>
    </row>
    <row r="4791" spans="1:37" x14ac:dyDescent="0.25">
      <c r="A4791" t="s">
        <v>79</v>
      </c>
      <c r="B4791">
        <v>18</v>
      </c>
      <c r="C4791">
        <v>3</v>
      </c>
      <c r="D4791">
        <v>5</v>
      </c>
      <c r="E4791">
        <v>12</v>
      </c>
      <c r="G4791">
        <v>1835</v>
      </c>
      <c r="H4791" t="s">
        <v>63</v>
      </c>
      <c r="I4791" t="s">
        <v>133</v>
      </c>
      <c r="J4791" t="s">
        <v>152</v>
      </c>
      <c r="L4791">
        <v>0</v>
      </c>
      <c r="M4791" t="s">
        <v>125</v>
      </c>
      <c r="O4791" t="s">
        <v>125</v>
      </c>
      <c r="P4791" t="s">
        <v>125</v>
      </c>
      <c r="Q4791" t="s">
        <v>125</v>
      </c>
      <c r="R4791" t="s">
        <v>125</v>
      </c>
      <c r="S4791" t="s">
        <v>125</v>
      </c>
      <c r="T4791">
        <v>0</v>
      </c>
      <c r="V4791" t="s">
        <v>125</v>
      </c>
      <c r="AE4791" t="s">
        <v>125</v>
      </c>
      <c r="AF4791">
        <v>0</v>
      </c>
      <c r="AG4791" t="s">
        <v>125</v>
      </c>
      <c r="AH4791">
        <v>0</v>
      </c>
      <c r="AK4791">
        <v>0</v>
      </c>
    </row>
    <row r="4792" spans="1:37" x14ac:dyDescent="0.25">
      <c r="A4792" t="s">
        <v>79</v>
      </c>
      <c r="B4792">
        <v>18</v>
      </c>
      <c r="C4792">
        <v>3</v>
      </c>
      <c r="D4792">
        <v>5</v>
      </c>
      <c r="E4792">
        <v>13</v>
      </c>
      <c r="G4792">
        <v>1835</v>
      </c>
      <c r="H4792" t="s">
        <v>63</v>
      </c>
      <c r="I4792" t="s">
        <v>135</v>
      </c>
      <c r="J4792" t="s">
        <v>153</v>
      </c>
      <c r="L4792">
        <v>0</v>
      </c>
      <c r="M4792" t="s">
        <v>125</v>
      </c>
      <c r="O4792" t="s">
        <v>125</v>
      </c>
      <c r="P4792" t="s">
        <v>125</v>
      </c>
      <c r="Q4792" t="s">
        <v>125</v>
      </c>
      <c r="R4792" t="s">
        <v>125</v>
      </c>
      <c r="S4792" t="s">
        <v>125</v>
      </c>
      <c r="T4792">
        <v>0</v>
      </c>
      <c r="V4792" t="s">
        <v>125</v>
      </c>
      <c r="AE4792" t="s">
        <v>125</v>
      </c>
      <c r="AF4792">
        <v>0</v>
      </c>
      <c r="AG4792" t="s">
        <v>125</v>
      </c>
      <c r="AH4792">
        <v>0</v>
      </c>
      <c r="AK4792">
        <v>0</v>
      </c>
    </row>
    <row r="4793" spans="1:37" x14ac:dyDescent="0.25">
      <c r="A4793" t="s">
        <v>79</v>
      </c>
      <c r="B4793">
        <v>18</v>
      </c>
      <c r="C4793">
        <v>3</v>
      </c>
      <c r="D4793">
        <v>5</v>
      </c>
      <c r="E4793">
        <v>14</v>
      </c>
      <c r="G4793">
        <v>1835</v>
      </c>
      <c r="H4793" t="s">
        <v>63</v>
      </c>
      <c r="I4793" t="s">
        <v>137</v>
      </c>
      <c r="J4793" t="s">
        <v>154</v>
      </c>
      <c r="L4793">
        <v>0</v>
      </c>
      <c r="M4793" t="s">
        <v>125</v>
      </c>
      <c r="O4793" t="s">
        <v>125</v>
      </c>
      <c r="P4793" t="s">
        <v>125</v>
      </c>
      <c r="Q4793" t="s">
        <v>125</v>
      </c>
      <c r="R4793" t="s">
        <v>125</v>
      </c>
      <c r="S4793" t="s">
        <v>125</v>
      </c>
      <c r="T4793">
        <v>0</v>
      </c>
      <c r="V4793" t="s">
        <v>125</v>
      </c>
      <c r="AE4793" t="s">
        <v>125</v>
      </c>
      <c r="AF4793">
        <v>0</v>
      </c>
      <c r="AG4793" t="s">
        <v>125</v>
      </c>
      <c r="AH4793">
        <v>0</v>
      </c>
      <c r="AK4793">
        <v>0</v>
      </c>
    </row>
    <row r="4794" spans="1:37" x14ac:dyDescent="0.25">
      <c r="A4794" t="s">
        <v>79</v>
      </c>
      <c r="B4794">
        <v>18</v>
      </c>
      <c r="C4794">
        <v>3</v>
      </c>
      <c r="D4794">
        <v>5</v>
      </c>
      <c r="E4794">
        <v>15</v>
      </c>
      <c r="G4794">
        <v>1835</v>
      </c>
      <c r="H4794" t="s">
        <v>63</v>
      </c>
      <c r="I4794" t="s">
        <v>139</v>
      </c>
      <c r="J4794" t="s">
        <v>155</v>
      </c>
      <c r="L4794">
        <v>0</v>
      </c>
      <c r="M4794" t="s">
        <v>125</v>
      </c>
      <c r="O4794" t="s">
        <v>125</v>
      </c>
      <c r="P4794" t="s">
        <v>125</v>
      </c>
      <c r="Q4794" t="s">
        <v>125</v>
      </c>
      <c r="R4794" t="s">
        <v>125</v>
      </c>
      <c r="S4794" t="s">
        <v>125</v>
      </c>
      <c r="T4794">
        <v>0</v>
      </c>
      <c r="V4794" t="s">
        <v>125</v>
      </c>
      <c r="AE4794" t="s">
        <v>125</v>
      </c>
      <c r="AF4794">
        <v>0</v>
      </c>
      <c r="AG4794" t="s">
        <v>125</v>
      </c>
      <c r="AH4794">
        <v>0</v>
      </c>
      <c r="AK4794">
        <v>0</v>
      </c>
    </row>
    <row r="4795" spans="1:37" x14ac:dyDescent="0.25">
      <c r="L4795">
        <v>0</v>
      </c>
    </row>
    <row r="4796" spans="1:37" x14ac:dyDescent="0.25">
      <c r="L4796">
        <v>0</v>
      </c>
    </row>
    <row r="4797" spans="1:37" x14ac:dyDescent="0.25">
      <c r="A4797" t="s">
        <v>56</v>
      </c>
      <c r="F4797">
        <v>19</v>
      </c>
      <c r="L4797">
        <v>19</v>
      </c>
      <c r="M4797" t="s">
        <v>2926</v>
      </c>
      <c r="V4797" t="s">
        <v>63</v>
      </c>
      <c r="Y4797" t="s">
        <v>63</v>
      </c>
      <c r="AA4797" t="s">
        <v>63</v>
      </c>
      <c r="AC4797" t="s">
        <v>63</v>
      </c>
      <c r="AE4797" t="s">
        <v>63</v>
      </c>
      <c r="AF4797">
        <v>0</v>
      </c>
      <c r="AG4797" t="s">
        <v>63</v>
      </c>
      <c r="AH4797">
        <v>0</v>
      </c>
      <c r="AK4797">
        <v>0</v>
      </c>
    </row>
    <row r="4798" spans="1:37" x14ac:dyDescent="0.25">
      <c r="L4798">
        <v>0</v>
      </c>
    </row>
    <row r="4799" spans="1:37" x14ac:dyDescent="0.25">
      <c r="A4799" t="s">
        <v>66</v>
      </c>
      <c r="B4799">
        <v>19</v>
      </c>
      <c r="C4799">
        <v>1</v>
      </c>
      <c r="G4799">
        <v>19</v>
      </c>
      <c r="H4799" t="s">
        <v>63</v>
      </c>
      <c r="I4799" t="s">
        <v>5991</v>
      </c>
      <c r="L4799">
        <v>0</v>
      </c>
      <c r="M4799" t="s">
        <v>125</v>
      </c>
      <c r="N4799" t="s">
        <v>125</v>
      </c>
      <c r="V4799" t="s">
        <v>63</v>
      </c>
      <c r="Y4799" t="s">
        <v>63</v>
      </c>
      <c r="AA4799" t="s">
        <v>63</v>
      </c>
      <c r="AC4799" t="s">
        <v>63</v>
      </c>
      <c r="AE4799" t="s">
        <v>63</v>
      </c>
      <c r="AF4799">
        <v>0</v>
      </c>
      <c r="AG4799" t="s">
        <v>63</v>
      </c>
      <c r="AH4799">
        <v>0</v>
      </c>
      <c r="AK4799">
        <v>0</v>
      </c>
    </row>
    <row r="4800" spans="1:37" x14ac:dyDescent="0.25">
      <c r="L4800">
        <v>0</v>
      </c>
    </row>
    <row r="4801" spans="1:37" x14ac:dyDescent="0.25">
      <c r="A4801" t="s">
        <v>70</v>
      </c>
      <c r="B4801">
        <v>19</v>
      </c>
      <c r="C4801">
        <v>1</v>
      </c>
      <c r="D4801">
        <v>1</v>
      </c>
      <c r="G4801">
        <v>191</v>
      </c>
      <c r="L4801">
        <v>0</v>
      </c>
      <c r="M4801" t="s">
        <v>125</v>
      </c>
      <c r="P4801" t="s">
        <v>125</v>
      </c>
      <c r="R4801" t="s">
        <v>125</v>
      </c>
      <c r="S4801" t="s">
        <v>63</v>
      </c>
      <c r="V4801" t="s">
        <v>125</v>
      </c>
      <c r="X4801" t="s">
        <v>125</v>
      </c>
      <c r="Y4801" t="s">
        <v>125</v>
      </c>
      <c r="Z4801" t="s">
        <v>125</v>
      </c>
      <c r="AA4801" t="s">
        <v>125</v>
      </c>
      <c r="AB4801" t="s">
        <v>125</v>
      </c>
      <c r="AC4801" t="s">
        <v>125</v>
      </c>
      <c r="AE4801" t="s">
        <v>125</v>
      </c>
      <c r="AF4801">
        <v>0</v>
      </c>
      <c r="AG4801" t="s">
        <v>125</v>
      </c>
      <c r="AH4801">
        <v>0</v>
      </c>
      <c r="AK4801">
        <v>0</v>
      </c>
    </row>
    <row r="4802" spans="1:37" x14ac:dyDescent="0.25">
      <c r="A4802" t="s">
        <v>79</v>
      </c>
      <c r="B4802">
        <v>19</v>
      </c>
      <c r="C4802">
        <v>1</v>
      </c>
      <c r="D4802">
        <v>1</v>
      </c>
      <c r="E4802">
        <v>1</v>
      </c>
      <c r="G4802">
        <v>1911</v>
      </c>
      <c r="H4802" t="s">
        <v>63</v>
      </c>
      <c r="I4802" t="s">
        <v>80</v>
      </c>
      <c r="J4802" t="s">
        <v>141</v>
      </c>
      <c r="L4802">
        <v>0</v>
      </c>
      <c r="M4802" t="s">
        <v>125</v>
      </c>
      <c r="O4802" t="s">
        <v>125</v>
      </c>
      <c r="P4802" t="s">
        <v>125</v>
      </c>
      <c r="Q4802" t="s">
        <v>125</v>
      </c>
      <c r="R4802" t="s">
        <v>125</v>
      </c>
      <c r="S4802" t="s">
        <v>125</v>
      </c>
      <c r="T4802">
        <v>0</v>
      </c>
      <c r="V4802" t="s">
        <v>125</v>
      </c>
      <c r="AE4802" t="s">
        <v>125</v>
      </c>
      <c r="AF4802">
        <v>0</v>
      </c>
      <c r="AG4802" t="s">
        <v>125</v>
      </c>
      <c r="AH4802">
        <v>0</v>
      </c>
      <c r="AK4802">
        <v>0</v>
      </c>
    </row>
    <row r="4803" spans="1:37" x14ac:dyDescent="0.25">
      <c r="A4803" t="s">
        <v>79</v>
      </c>
      <c r="B4803">
        <v>19</v>
      </c>
      <c r="C4803">
        <v>1</v>
      </c>
      <c r="D4803">
        <v>1</v>
      </c>
      <c r="E4803">
        <v>2</v>
      </c>
      <c r="G4803">
        <v>1911</v>
      </c>
      <c r="H4803" t="s">
        <v>63</v>
      </c>
      <c r="I4803" t="s">
        <v>88</v>
      </c>
      <c r="J4803" t="s">
        <v>142</v>
      </c>
      <c r="L4803">
        <v>0</v>
      </c>
      <c r="M4803" t="s">
        <v>125</v>
      </c>
      <c r="O4803" t="s">
        <v>125</v>
      </c>
      <c r="P4803" t="s">
        <v>125</v>
      </c>
      <c r="Q4803" t="s">
        <v>125</v>
      </c>
      <c r="R4803" t="s">
        <v>125</v>
      </c>
      <c r="S4803" t="s">
        <v>125</v>
      </c>
      <c r="T4803">
        <v>0</v>
      </c>
      <c r="V4803" t="s">
        <v>125</v>
      </c>
      <c r="AE4803" t="s">
        <v>125</v>
      </c>
      <c r="AF4803">
        <v>0</v>
      </c>
      <c r="AG4803" t="s">
        <v>125</v>
      </c>
      <c r="AH4803">
        <v>0</v>
      </c>
      <c r="AK4803">
        <v>0</v>
      </c>
    </row>
    <row r="4804" spans="1:37" x14ac:dyDescent="0.25">
      <c r="A4804" t="s">
        <v>79</v>
      </c>
      <c r="B4804">
        <v>19</v>
      </c>
      <c r="C4804">
        <v>1</v>
      </c>
      <c r="D4804">
        <v>1</v>
      </c>
      <c r="E4804">
        <v>3</v>
      </c>
      <c r="G4804">
        <v>1911</v>
      </c>
      <c r="H4804" t="s">
        <v>63</v>
      </c>
      <c r="I4804" t="s">
        <v>95</v>
      </c>
      <c r="J4804" t="s">
        <v>143</v>
      </c>
      <c r="L4804">
        <v>0</v>
      </c>
      <c r="M4804" t="s">
        <v>125</v>
      </c>
      <c r="O4804" t="s">
        <v>125</v>
      </c>
      <c r="P4804" t="s">
        <v>125</v>
      </c>
      <c r="Q4804" t="s">
        <v>125</v>
      </c>
      <c r="R4804" t="s">
        <v>125</v>
      </c>
      <c r="S4804" t="s">
        <v>125</v>
      </c>
      <c r="T4804">
        <v>0</v>
      </c>
      <c r="V4804" t="s">
        <v>125</v>
      </c>
      <c r="AE4804" t="s">
        <v>125</v>
      </c>
      <c r="AF4804">
        <v>0</v>
      </c>
      <c r="AG4804" t="s">
        <v>125</v>
      </c>
      <c r="AH4804">
        <v>0</v>
      </c>
      <c r="AK4804">
        <v>0</v>
      </c>
    </row>
    <row r="4805" spans="1:37" x14ac:dyDescent="0.25">
      <c r="A4805" t="s">
        <v>79</v>
      </c>
      <c r="B4805">
        <v>19</v>
      </c>
      <c r="C4805">
        <v>1</v>
      </c>
      <c r="D4805">
        <v>1</v>
      </c>
      <c r="E4805">
        <v>4</v>
      </c>
      <c r="G4805">
        <v>1911</v>
      </c>
      <c r="H4805" t="s">
        <v>63</v>
      </c>
      <c r="I4805" t="s">
        <v>102</v>
      </c>
      <c r="J4805" t="s">
        <v>144</v>
      </c>
      <c r="L4805">
        <v>0</v>
      </c>
      <c r="M4805" t="s">
        <v>125</v>
      </c>
      <c r="O4805" t="s">
        <v>125</v>
      </c>
      <c r="P4805" t="s">
        <v>125</v>
      </c>
      <c r="Q4805" t="s">
        <v>125</v>
      </c>
      <c r="R4805" t="s">
        <v>125</v>
      </c>
      <c r="S4805" t="s">
        <v>125</v>
      </c>
      <c r="T4805">
        <v>0</v>
      </c>
      <c r="V4805" t="s">
        <v>125</v>
      </c>
      <c r="AE4805" t="s">
        <v>125</v>
      </c>
      <c r="AF4805">
        <v>0</v>
      </c>
      <c r="AG4805" t="s">
        <v>125</v>
      </c>
      <c r="AH4805">
        <v>0</v>
      </c>
      <c r="AK4805">
        <v>0</v>
      </c>
    </row>
    <row r="4806" spans="1:37" x14ac:dyDescent="0.25">
      <c r="A4806" t="s">
        <v>79</v>
      </c>
      <c r="B4806">
        <v>19</v>
      </c>
      <c r="C4806">
        <v>1</v>
      </c>
      <c r="D4806">
        <v>1</v>
      </c>
      <c r="E4806">
        <v>5</v>
      </c>
      <c r="G4806">
        <v>1911</v>
      </c>
      <c r="H4806" t="s">
        <v>63</v>
      </c>
      <c r="I4806" t="s">
        <v>109</v>
      </c>
      <c r="J4806" t="s">
        <v>145</v>
      </c>
      <c r="L4806">
        <v>0</v>
      </c>
      <c r="M4806" t="s">
        <v>125</v>
      </c>
      <c r="O4806" t="s">
        <v>125</v>
      </c>
      <c r="P4806" t="s">
        <v>125</v>
      </c>
      <c r="Q4806" t="s">
        <v>125</v>
      </c>
      <c r="R4806" t="s">
        <v>125</v>
      </c>
      <c r="S4806" t="s">
        <v>125</v>
      </c>
      <c r="T4806">
        <v>0</v>
      </c>
      <c r="V4806" t="s">
        <v>125</v>
      </c>
      <c r="AE4806" t="s">
        <v>125</v>
      </c>
      <c r="AF4806">
        <v>0</v>
      </c>
      <c r="AG4806" t="s">
        <v>125</v>
      </c>
      <c r="AH4806">
        <v>0</v>
      </c>
      <c r="AK4806">
        <v>0</v>
      </c>
    </row>
    <row r="4807" spans="1:37" x14ac:dyDescent="0.25">
      <c r="A4807" t="s">
        <v>79</v>
      </c>
      <c r="B4807">
        <v>19</v>
      </c>
      <c r="C4807">
        <v>1</v>
      </c>
      <c r="D4807">
        <v>1</v>
      </c>
      <c r="E4807">
        <v>6</v>
      </c>
      <c r="G4807">
        <v>1911</v>
      </c>
      <c r="H4807" t="s">
        <v>63</v>
      </c>
      <c r="I4807" t="s">
        <v>116</v>
      </c>
      <c r="J4807" t="s">
        <v>146</v>
      </c>
      <c r="L4807">
        <v>0</v>
      </c>
      <c r="M4807" t="s">
        <v>125</v>
      </c>
      <c r="O4807" t="s">
        <v>125</v>
      </c>
      <c r="P4807" t="s">
        <v>125</v>
      </c>
      <c r="Q4807" t="s">
        <v>125</v>
      </c>
      <c r="R4807" t="s">
        <v>125</v>
      </c>
      <c r="S4807" t="s">
        <v>125</v>
      </c>
      <c r="T4807">
        <v>0</v>
      </c>
      <c r="V4807" t="s">
        <v>125</v>
      </c>
      <c r="AE4807" t="s">
        <v>125</v>
      </c>
      <c r="AF4807">
        <v>0</v>
      </c>
      <c r="AG4807" t="s">
        <v>125</v>
      </c>
      <c r="AH4807">
        <v>0</v>
      </c>
      <c r="AK4807">
        <v>0</v>
      </c>
    </row>
    <row r="4808" spans="1:37" x14ac:dyDescent="0.25">
      <c r="A4808" t="s">
        <v>79</v>
      </c>
      <c r="B4808">
        <v>19</v>
      </c>
      <c r="C4808">
        <v>1</v>
      </c>
      <c r="D4808">
        <v>1</v>
      </c>
      <c r="E4808">
        <v>7</v>
      </c>
      <c r="G4808">
        <v>1911</v>
      </c>
      <c r="H4808" t="s">
        <v>63</v>
      </c>
      <c r="I4808" t="s">
        <v>123</v>
      </c>
      <c r="J4808" t="s">
        <v>147</v>
      </c>
      <c r="L4808">
        <v>0</v>
      </c>
      <c r="M4808" t="s">
        <v>125</v>
      </c>
      <c r="O4808" t="s">
        <v>125</v>
      </c>
      <c r="P4808" t="s">
        <v>125</v>
      </c>
      <c r="Q4808" t="s">
        <v>125</v>
      </c>
      <c r="R4808" t="s">
        <v>125</v>
      </c>
      <c r="S4808" t="s">
        <v>125</v>
      </c>
      <c r="T4808">
        <v>0</v>
      </c>
      <c r="V4808" t="s">
        <v>125</v>
      </c>
      <c r="AE4808" t="s">
        <v>125</v>
      </c>
      <c r="AF4808">
        <v>0</v>
      </c>
      <c r="AG4808" t="s">
        <v>125</v>
      </c>
      <c r="AH4808">
        <v>0</v>
      </c>
      <c r="AK4808">
        <v>0</v>
      </c>
    </row>
    <row r="4809" spans="1:37" x14ac:dyDescent="0.25">
      <c r="A4809" t="s">
        <v>79</v>
      </c>
      <c r="B4809">
        <v>19</v>
      </c>
      <c r="C4809">
        <v>1</v>
      </c>
      <c r="D4809">
        <v>1</v>
      </c>
      <c r="E4809">
        <v>8</v>
      </c>
      <c r="G4809">
        <v>1911</v>
      </c>
      <c r="H4809" t="s">
        <v>63</v>
      </c>
      <c r="I4809" t="s">
        <v>126</v>
      </c>
      <c r="J4809" t="s">
        <v>148</v>
      </c>
      <c r="L4809">
        <v>0</v>
      </c>
      <c r="M4809" t="s">
        <v>125</v>
      </c>
      <c r="O4809" t="s">
        <v>125</v>
      </c>
      <c r="P4809" t="s">
        <v>125</v>
      </c>
      <c r="Q4809" t="s">
        <v>125</v>
      </c>
      <c r="R4809" t="s">
        <v>125</v>
      </c>
      <c r="S4809" t="s">
        <v>125</v>
      </c>
      <c r="T4809">
        <v>0</v>
      </c>
      <c r="V4809" t="s">
        <v>125</v>
      </c>
      <c r="AE4809" t="s">
        <v>125</v>
      </c>
      <c r="AF4809">
        <v>0</v>
      </c>
      <c r="AG4809" t="s">
        <v>125</v>
      </c>
      <c r="AH4809">
        <v>0</v>
      </c>
      <c r="AK4809">
        <v>0</v>
      </c>
    </row>
    <row r="4810" spans="1:37" x14ac:dyDescent="0.25">
      <c r="A4810" t="s">
        <v>79</v>
      </c>
      <c r="B4810">
        <v>19</v>
      </c>
      <c r="C4810">
        <v>1</v>
      </c>
      <c r="D4810">
        <v>1</v>
      </c>
      <c r="E4810">
        <v>9</v>
      </c>
      <c r="G4810">
        <v>1911</v>
      </c>
      <c r="H4810" t="s">
        <v>63</v>
      </c>
      <c r="I4810" t="s">
        <v>74</v>
      </c>
      <c r="J4810" t="s">
        <v>149</v>
      </c>
      <c r="L4810">
        <v>0</v>
      </c>
      <c r="M4810" t="s">
        <v>125</v>
      </c>
      <c r="O4810" t="s">
        <v>125</v>
      </c>
      <c r="P4810" t="s">
        <v>125</v>
      </c>
      <c r="Q4810" t="s">
        <v>125</v>
      </c>
      <c r="R4810" t="s">
        <v>125</v>
      </c>
      <c r="S4810" t="s">
        <v>125</v>
      </c>
      <c r="T4810">
        <v>0</v>
      </c>
      <c r="V4810" t="s">
        <v>125</v>
      </c>
      <c r="AE4810" t="s">
        <v>125</v>
      </c>
      <c r="AF4810">
        <v>0</v>
      </c>
      <c r="AG4810" t="s">
        <v>125</v>
      </c>
      <c r="AH4810">
        <v>0</v>
      </c>
      <c r="AK4810">
        <v>0</v>
      </c>
    </row>
    <row r="4811" spans="1:37" x14ac:dyDescent="0.25">
      <c r="A4811" t="s">
        <v>79</v>
      </c>
      <c r="B4811">
        <v>19</v>
      </c>
      <c r="C4811">
        <v>1</v>
      </c>
      <c r="D4811">
        <v>1</v>
      </c>
      <c r="E4811">
        <v>10</v>
      </c>
      <c r="G4811">
        <v>1911</v>
      </c>
      <c r="H4811" t="s">
        <v>63</v>
      </c>
      <c r="I4811" t="s">
        <v>129</v>
      </c>
      <c r="J4811" t="s">
        <v>150</v>
      </c>
      <c r="L4811">
        <v>0</v>
      </c>
      <c r="M4811" t="s">
        <v>125</v>
      </c>
      <c r="O4811" t="s">
        <v>125</v>
      </c>
      <c r="P4811" t="s">
        <v>125</v>
      </c>
      <c r="Q4811" t="s">
        <v>125</v>
      </c>
      <c r="R4811" t="s">
        <v>125</v>
      </c>
      <c r="S4811" t="s">
        <v>125</v>
      </c>
      <c r="T4811">
        <v>0</v>
      </c>
      <c r="V4811" t="s">
        <v>125</v>
      </c>
      <c r="AE4811" t="s">
        <v>125</v>
      </c>
      <c r="AF4811">
        <v>0</v>
      </c>
      <c r="AG4811" t="s">
        <v>125</v>
      </c>
      <c r="AH4811">
        <v>0</v>
      </c>
      <c r="AK4811">
        <v>0</v>
      </c>
    </row>
    <row r="4812" spans="1:37" x14ac:dyDescent="0.25">
      <c r="A4812" t="s">
        <v>79</v>
      </c>
      <c r="B4812">
        <v>19</v>
      </c>
      <c r="C4812">
        <v>1</v>
      </c>
      <c r="D4812">
        <v>1</v>
      </c>
      <c r="E4812">
        <v>11</v>
      </c>
      <c r="G4812">
        <v>1911</v>
      </c>
      <c r="H4812" t="s">
        <v>63</v>
      </c>
      <c r="I4812" t="s">
        <v>131</v>
      </c>
      <c r="J4812" t="s">
        <v>151</v>
      </c>
      <c r="L4812">
        <v>0</v>
      </c>
      <c r="M4812" t="s">
        <v>125</v>
      </c>
      <c r="O4812" t="s">
        <v>125</v>
      </c>
      <c r="P4812" t="s">
        <v>125</v>
      </c>
      <c r="Q4812" t="s">
        <v>125</v>
      </c>
      <c r="R4812" t="s">
        <v>125</v>
      </c>
      <c r="S4812" t="s">
        <v>125</v>
      </c>
      <c r="T4812">
        <v>0</v>
      </c>
      <c r="V4812" t="s">
        <v>125</v>
      </c>
      <c r="AE4812" t="s">
        <v>125</v>
      </c>
      <c r="AF4812">
        <v>0</v>
      </c>
      <c r="AG4812" t="s">
        <v>125</v>
      </c>
      <c r="AH4812">
        <v>0</v>
      </c>
      <c r="AK4812">
        <v>0</v>
      </c>
    </row>
    <row r="4813" spans="1:37" x14ac:dyDescent="0.25">
      <c r="A4813" t="s">
        <v>79</v>
      </c>
      <c r="B4813">
        <v>19</v>
      </c>
      <c r="C4813">
        <v>1</v>
      </c>
      <c r="D4813">
        <v>1</v>
      </c>
      <c r="E4813">
        <v>12</v>
      </c>
      <c r="G4813">
        <v>1911</v>
      </c>
      <c r="H4813" t="s">
        <v>63</v>
      </c>
      <c r="I4813" t="s">
        <v>133</v>
      </c>
      <c r="J4813" t="s">
        <v>152</v>
      </c>
      <c r="L4813">
        <v>0</v>
      </c>
      <c r="M4813" t="s">
        <v>125</v>
      </c>
      <c r="O4813" t="s">
        <v>125</v>
      </c>
      <c r="P4813" t="s">
        <v>125</v>
      </c>
      <c r="Q4813" t="s">
        <v>125</v>
      </c>
      <c r="R4813" t="s">
        <v>125</v>
      </c>
      <c r="S4813" t="s">
        <v>125</v>
      </c>
      <c r="T4813">
        <v>0</v>
      </c>
      <c r="V4813" t="s">
        <v>125</v>
      </c>
      <c r="AE4813" t="s">
        <v>125</v>
      </c>
      <c r="AF4813">
        <v>0</v>
      </c>
      <c r="AG4813" t="s">
        <v>125</v>
      </c>
      <c r="AH4813">
        <v>0</v>
      </c>
      <c r="AK4813">
        <v>0</v>
      </c>
    </row>
    <row r="4814" spans="1:37" x14ac:dyDescent="0.25">
      <c r="A4814" t="s">
        <v>79</v>
      </c>
      <c r="B4814">
        <v>19</v>
      </c>
      <c r="C4814">
        <v>1</v>
      </c>
      <c r="D4814">
        <v>1</v>
      </c>
      <c r="E4814">
        <v>13</v>
      </c>
      <c r="G4814">
        <v>1911</v>
      </c>
      <c r="H4814" t="s">
        <v>63</v>
      </c>
      <c r="I4814" t="s">
        <v>135</v>
      </c>
      <c r="J4814" t="s">
        <v>153</v>
      </c>
      <c r="L4814">
        <v>0</v>
      </c>
      <c r="M4814" t="s">
        <v>125</v>
      </c>
      <c r="O4814" t="s">
        <v>125</v>
      </c>
      <c r="P4814" t="s">
        <v>125</v>
      </c>
      <c r="Q4814" t="s">
        <v>125</v>
      </c>
      <c r="R4814" t="s">
        <v>125</v>
      </c>
      <c r="S4814" t="s">
        <v>125</v>
      </c>
      <c r="T4814">
        <v>0</v>
      </c>
      <c r="V4814" t="s">
        <v>125</v>
      </c>
      <c r="AE4814" t="s">
        <v>125</v>
      </c>
      <c r="AF4814">
        <v>0</v>
      </c>
      <c r="AG4814" t="s">
        <v>125</v>
      </c>
      <c r="AH4814">
        <v>0</v>
      </c>
      <c r="AK4814">
        <v>0</v>
      </c>
    </row>
    <row r="4815" spans="1:37" x14ac:dyDescent="0.25">
      <c r="A4815" t="s">
        <v>79</v>
      </c>
      <c r="B4815">
        <v>19</v>
      </c>
      <c r="C4815">
        <v>1</v>
      </c>
      <c r="D4815">
        <v>1</v>
      </c>
      <c r="E4815">
        <v>14</v>
      </c>
      <c r="G4815">
        <v>1911</v>
      </c>
      <c r="H4815" t="s">
        <v>63</v>
      </c>
      <c r="I4815" t="s">
        <v>137</v>
      </c>
      <c r="J4815" t="s">
        <v>154</v>
      </c>
      <c r="L4815">
        <v>0</v>
      </c>
      <c r="M4815" t="s">
        <v>125</v>
      </c>
      <c r="O4815" t="s">
        <v>125</v>
      </c>
      <c r="P4815" t="s">
        <v>125</v>
      </c>
      <c r="Q4815" t="s">
        <v>125</v>
      </c>
      <c r="R4815" t="s">
        <v>125</v>
      </c>
      <c r="S4815" t="s">
        <v>125</v>
      </c>
      <c r="T4815">
        <v>0</v>
      </c>
      <c r="V4815" t="s">
        <v>125</v>
      </c>
      <c r="AE4815" t="s">
        <v>125</v>
      </c>
      <c r="AF4815">
        <v>0</v>
      </c>
      <c r="AG4815" t="s">
        <v>125</v>
      </c>
      <c r="AH4815">
        <v>0</v>
      </c>
      <c r="AK4815">
        <v>0</v>
      </c>
    </row>
    <row r="4816" spans="1:37" x14ac:dyDescent="0.25">
      <c r="A4816" t="s">
        <v>79</v>
      </c>
      <c r="B4816">
        <v>19</v>
      </c>
      <c r="C4816">
        <v>1</v>
      </c>
      <c r="D4816">
        <v>1</v>
      </c>
      <c r="E4816">
        <v>15</v>
      </c>
      <c r="G4816">
        <v>1911</v>
      </c>
      <c r="H4816" t="s">
        <v>63</v>
      </c>
      <c r="I4816" t="s">
        <v>139</v>
      </c>
      <c r="J4816" t="s">
        <v>155</v>
      </c>
      <c r="L4816">
        <v>0</v>
      </c>
      <c r="M4816" t="s">
        <v>125</v>
      </c>
      <c r="O4816" t="s">
        <v>125</v>
      </c>
      <c r="P4816" t="s">
        <v>125</v>
      </c>
      <c r="Q4816" t="s">
        <v>125</v>
      </c>
      <c r="R4816" t="s">
        <v>125</v>
      </c>
      <c r="S4816" t="s">
        <v>125</v>
      </c>
      <c r="T4816">
        <v>0</v>
      </c>
      <c r="V4816" t="s">
        <v>125</v>
      </c>
      <c r="AE4816" t="s">
        <v>125</v>
      </c>
      <c r="AF4816">
        <v>0</v>
      </c>
      <c r="AG4816" t="s">
        <v>125</v>
      </c>
      <c r="AH4816">
        <v>0</v>
      </c>
      <c r="AK4816">
        <v>0</v>
      </c>
    </row>
    <row r="4817" spans="1:37" x14ac:dyDescent="0.25">
      <c r="L4817">
        <v>0</v>
      </c>
    </row>
    <row r="4818" spans="1:37" x14ac:dyDescent="0.25">
      <c r="A4818" t="s">
        <v>70</v>
      </c>
      <c r="B4818">
        <v>19</v>
      </c>
      <c r="C4818">
        <v>1</v>
      </c>
      <c r="D4818">
        <v>2</v>
      </c>
      <c r="G4818">
        <v>191</v>
      </c>
      <c r="L4818">
        <v>0</v>
      </c>
      <c r="M4818" t="s">
        <v>125</v>
      </c>
      <c r="P4818" t="s">
        <v>125</v>
      </c>
      <c r="R4818" t="s">
        <v>125</v>
      </c>
      <c r="S4818" t="s">
        <v>63</v>
      </c>
      <c r="V4818" t="s">
        <v>125</v>
      </c>
      <c r="X4818" t="s">
        <v>125</v>
      </c>
      <c r="Y4818" t="s">
        <v>125</v>
      </c>
      <c r="Z4818" t="s">
        <v>125</v>
      </c>
      <c r="AA4818" t="s">
        <v>125</v>
      </c>
      <c r="AB4818" t="s">
        <v>125</v>
      </c>
      <c r="AC4818" t="s">
        <v>125</v>
      </c>
      <c r="AE4818" t="s">
        <v>125</v>
      </c>
      <c r="AF4818">
        <v>0</v>
      </c>
      <c r="AG4818" t="s">
        <v>125</v>
      </c>
      <c r="AH4818">
        <v>0</v>
      </c>
      <c r="AK4818">
        <v>0</v>
      </c>
    </row>
    <row r="4819" spans="1:37" x14ac:dyDescent="0.25">
      <c r="A4819" t="s">
        <v>79</v>
      </c>
      <c r="B4819">
        <v>19</v>
      </c>
      <c r="C4819">
        <v>1</v>
      </c>
      <c r="D4819">
        <v>2</v>
      </c>
      <c r="E4819">
        <v>1</v>
      </c>
      <c r="G4819">
        <v>1912</v>
      </c>
      <c r="H4819" t="s">
        <v>63</v>
      </c>
      <c r="I4819" t="s">
        <v>80</v>
      </c>
      <c r="J4819" t="s">
        <v>141</v>
      </c>
      <c r="L4819">
        <v>0</v>
      </c>
      <c r="M4819" t="s">
        <v>125</v>
      </c>
      <c r="O4819" t="s">
        <v>125</v>
      </c>
      <c r="P4819" t="s">
        <v>125</v>
      </c>
      <c r="Q4819" t="s">
        <v>125</v>
      </c>
      <c r="R4819" t="s">
        <v>125</v>
      </c>
      <c r="S4819" t="s">
        <v>125</v>
      </c>
      <c r="T4819">
        <v>0</v>
      </c>
      <c r="V4819" t="s">
        <v>125</v>
      </c>
      <c r="AE4819" t="s">
        <v>125</v>
      </c>
      <c r="AF4819">
        <v>0</v>
      </c>
      <c r="AG4819" t="s">
        <v>125</v>
      </c>
      <c r="AH4819">
        <v>0</v>
      </c>
      <c r="AK4819">
        <v>0</v>
      </c>
    </row>
    <row r="4820" spans="1:37" x14ac:dyDescent="0.25">
      <c r="A4820" t="s">
        <v>79</v>
      </c>
      <c r="B4820">
        <v>19</v>
      </c>
      <c r="C4820">
        <v>1</v>
      </c>
      <c r="D4820">
        <v>2</v>
      </c>
      <c r="E4820">
        <v>2</v>
      </c>
      <c r="G4820">
        <v>1912</v>
      </c>
      <c r="H4820" t="s">
        <v>63</v>
      </c>
      <c r="I4820" t="s">
        <v>88</v>
      </c>
      <c r="J4820" t="s">
        <v>142</v>
      </c>
      <c r="L4820">
        <v>0</v>
      </c>
      <c r="M4820" t="s">
        <v>125</v>
      </c>
      <c r="O4820" t="s">
        <v>125</v>
      </c>
      <c r="P4820" t="s">
        <v>125</v>
      </c>
      <c r="Q4820" t="s">
        <v>125</v>
      </c>
      <c r="R4820" t="s">
        <v>125</v>
      </c>
      <c r="S4820" t="s">
        <v>125</v>
      </c>
      <c r="T4820">
        <v>0</v>
      </c>
      <c r="V4820" t="s">
        <v>125</v>
      </c>
      <c r="AE4820" t="s">
        <v>125</v>
      </c>
      <c r="AF4820">
        <v>0</v>
      </c>
      <c r="AG4820" t="s">
        <v>125</v>
      </c>
      <c r="AH4820">
        <v>0</v>
      </c>
      <c r="AK4820">
        <v>0</v>
      </c>
    </row>
    <row r="4821" spans="1:37" x14ac:dyDescent="0.25">
      <c r="A4821" t="s">
        <v>79</v>
      </c>
      <c r="B4821">
        <v>19</v>
      </c>
      <c r="C4821">
        <v>1</v>
      </c>
      <c r="D4821">
        <v>2</v>
      </c>
      <c r="E4821">
        <v>3</v>
      </c>
      <c r="G4821">
        <v>1912</v>
      </c>
      <c r="H4821" t="s">
        <v>63</v>
      </c>
      <c r="I4821" t="s">
        <v>95</v>
      </c>
      <c r="J4821" t="s">
        <v>143</v>
      </c>
      <c r="L4821">
        <v>0</v>
      </c>
      <c r="M4821" t="s">
        <v>125</v>
      </c>
      <c r="O4821" t="s">
        <v>125</v>
      </c>
      <c r="P4821" t="s">
        <v>125</v>
      </c>
      <c r="Q4821" t="s">
        <v>125</v>
      </c>
      <c r="R4821" t="s">
        <v>125</v>
      </c>
      <c r="S4821" t="s">
        <v>125</v>
      </c>
      <c r="T4821">
        <v>0</v>
      </c>
      <c r="V4821" t="s">
        <v>125</v>
      </c>
      <c r="AE4821" t="s">
        <v>125</v>
      </c>
      <c r="AF4821">
        <v>0</v>
      </c>
      <c r="AG4821" t="s">
        <v>125</v>
      </c>
      <c r="AH4821">
        <v>0</v>
      </c>
      <c r="AK4821">
        <v>0</v>
      </c>
    </row>
    <row r="4822" spans="1:37" x14ac:dyDescent="0.25">
      <c r="A4822" t="s">
        <v>79</v>
      </c>
      <c r="B4822">
        <v>19</v>
      </c>
      <c r="C4822">
        <v>1</v>
      </c>
      <c r="D4822">
        <v>2</v>
      </c>
      <c r="E4822">
        <v>4</v>
      </c>
      <c r="G4822">
        <v>1912</v>
      </c>
      <c r="H4822" t="s">
        <v>63</v>
      </c>
      <c r="I4822" t="s">
        <v>102</v>
      </c>
      <c r="J4822" t="s">
        <v>144</v>
      </c>
      <c r="L4822">
        <v>0</v>
      </c>
      <c r="M4822" t="s">
        <v>125</v>
      </c>
      <c r="O4822" t="s">
        <v>125</v>
      </c>
      <c r="P4822" t="s">
        <v>125</v>
      </c>
      <c r="Q4822" t="s">
        <v>125</v>
      </c>
      <c r="R4822" t="s">
        <v>125</v>
      </c>
      <c r="S4822" t="s">
        <v>125</v>
      </c>
      <c r="T4822">
        <v>0</v>
      </c>
      <c r="V4822" t="s">
        <v>125</v>
      </c>
      <c r="AE4822" t="s">
        <v>125</v>
      </c>
      <c r="AF4822">
        <v>0</v>
      </c>
      <c r="AG4822" t="s">
        <v>125</v>
      </c>
      <c r="AH4822">
        <v>0</v>
      </c>
      <c r="AK4822">
        <v>0</v>
      </c>
    </row>
    <row r="4823" spans="1:37" x14ac:dyDescent="0.25">
      <c r="A4823" t="s">
        <v>79</v>
      </c>
      <c r="B4823">
        <v>19</v>
      </c>
      <c r="C4823">
        <v>1</v>
      </c>
      <c r="D4823">
        <v>2</v>
      </c>
      <c r="E4823">
        <v>5</v>
      </c>
      <c r="G4823">
        <v>1912</v>
      </c>
      <c r="H4823" t="s">
        <v>63</v>
      </c>
      <c r="I4823" t="s">
        <v>109</v>
      </c>
      <c r="J4823" t="s">
        <v>145</v>
      </c>
      <c r="L4823">
        <v>0</v>
      </c>
      <c r="M4823" t="s">
        <v>125</v>
      </c>
      <c r="O4823" t="s">
        <v>125</v>
      </c>
      <c r="P4823" t="s">
        <v>125</v>
      </c>
      <c r="Q4823" t="s">
        <v>125</v>
      </c>
      <c r="R4823" t="s">
        <v>125</v>
      </c>
      <c r="S4823" t="s">
        <v>125</v>
      </c>
      <c r="T4823">
        <v>0</v>
      </c>
      <c r="V4823" t="s">
        <v>125</v>
      </c>
      <c r="AE4823" t="s">
        <v>125</v>
      </c>
      <c r="AF4823">
        <v>0</v>
      </c>
      <c r="AG4823" t="s">
        <v>125</v>
      </c>
      <c r="AH4823">
        <v>0</v>
      </c>
      <c r="AK4823">
        <v>0</v>
      </c>
    </row>
    <row r="4824" spans="1:37" x14ac:dyDescent="0.25">
      <c r="A4824" t="s">
        <v>79</v>
      </c>
      <c r="B4824">
        <v>19</v>
      </c>
      <c r="C4824">
        <v>1</v>
      </c>
      <c r="D4824">
        <v>2</v>
      </c>
      <c r="E4824">
        <v>6</v>
      </c>
      <c r="G4824">
        <v>1912</v>
      </c>
      <c r="H4824" t="s">
        <v>63</v>
      </c>
      <c r="I4824" t="s">
        <v>116</v>
      </c>
      <c r="J4824" t="s">
        <v>146</v>
      </c>
      <c r="L4824">
        <v>0</v>
      </c>
      <c r="M4824" t="s">
        <v>125</v>
      </c>
      <c r="O4824" t="s">
        <v>125</v>
      </c>
      <c r="P4824" t="s">
        <v>125</v>
      </c>
      <c r="Q4824" t="s">
        <v>125</v>
      </c>
      <c r="R4824" t="s">
        <v>125</v>
      </c>
      <c r="S4824" t="s">
        <v>125</v>
      </c>
      <c r="T4824">
        <v>0</v>
      </c>
      <c r="V4824" t="s">
        <v>125</v>
      </c>
      <c r="AE4824" t="s">
        <v>125</v>
      </c>
      <c r="AF4824">
        <v>0</v>
      </c>
      <c r="AG4824" t="s">
        <v>125</v>
      </c>
      <c r="AH4824">
        <v>0</v>
      </c>
      <c r="AK4824">
        <v>0</v>
      </c>
    </row>
    <row r="4825" spans="1:37" x14ac:dyDescent="0.25">
      <c r="A4825" t="s">
        <v>79</v>
      </c>
      <c r="B4825">
        <v>19</v>
      </c>
      <c r="C4825">
        <v>1</v>
      </c>
      <c r="D4825">
        <v>2</v>
      </c>
      <c r="E4825">
        <v>7</v>
      </c>
      <c r="G4825">
        <v>1912</v>
      </c>
      <c r="H4825" t="s">
        <v>63</v>
      </c>
      <c r="I4825" t="s">
        <v>123</v>
      </c>
      <c r="J4825" t="s">
        <v>147</v>
      </c>
      <c r="L4825">
        <v>0</v>
      </c>
      <c r="M4825" t="s">
        <v>125</v>
      </c>
      <c r="O4825" t="s">
        <v>125</v>
      </c>
      <c r="P4825" t="s">
        <v>125</v>
      </c>
      <c r="Q4825" t="s">
        <v>125</v>
      </c>
      <c r="R4825" t="s">
        <v>125</v>
      </c>
      <c r="S4825" t="s">
        <v>125</v>
      </c>
      <c r="T4825">
        <v>0</v>
      </c>
      <c r="V4825" t="s">
        <v>125</v>
      </c>
      <c r="AE4825" t="s">
        <v>125</v>
      </c>
      <c r="AF4825">
        <v>0</v>
      </c>
      <c r="AG4825" t="s">
        <v>125</v>
      </c>
      <c r="AH4825">
        <v>0</v>
      </c>
      <c r="AK4825">
        <v>0</v>
      </c>
    </row>
    <row r="4826" spans="1:37" x14ac:dyDescent="0.25">
      <c r="A4826" t="s">
        <v>79</v>
      </c>
      <c r="B4826">
        <v>19</v>
      </c>
      <c r="C4826">
        <v>1</v>
      </c>
      <c r="D4826">
        <v>2</v>
      </c>
      <c r="E4826">
        <v>8</v>
      </c>
      <c r="G4826">
        <v>1912</v>
      </c>
      <c r="H4826" t="s">
        <v>63</v>
      </c>
      <c r="I4826" t="s">
        <v>126</v>
      </c>
      <c r="J4826" t="s">
        <v>148</v>
      </c>
      <c r="L4826">
        <v>0</v>
      </c>
      <c r="M4826" t="s">
        <v>125</v>
      </c>
      <c r="O4826" t="s">
        <v>125</v>
      </c>
      <c r="P4826" t="s">
        <v>125</v>
      </c>
      <c r="Q4826" t="s">
        <v>125</v>
      </c>
      <c r="R4826" t="s">
        <v>125</v>
      </c>
      <c r="S4826" t="s">
        <v>125</v>
      </c>
      <c r="T4826">
        <v>0</v>
      </c>
      <c r="V4826" t="s">
        <v>125</v>
      </c>
      <c r="AE4826" t="s">
        <v>125</v>
      </c>
      <c r="AF4826">
        <v>0</v>
      </c>
      <c r="AG4826" t="s">
        <v>125</v>
      </c>
      <c r="AH4826">
        <v>0</v>
      </c>
      <c r="AK4826">
        <v>0</v>
      </c>
    </row>
    <row r="4827" spans="1:37" x14ac:dyDescent="0.25">
      <c r="A4827" t="s">
        <v>79</v>
      </c>
      <c r="B4827">
        <v>19</v>
      </c>
      <c r="C4827">
        <v>1</v>
      </c>
      <c r="D4827">
        <v>2</v>
      </c>
      <c r="E4827">
        <v>9</v>
      </c>
      <c r="G4827">
        <v>1912</v>
      </c>
      <c r="H4827" t="s">
        <v>63</v>
      </c>
      <c r="I4827" t="s">
        <v>74</v>
      </c>
      <c r="J4827" t="s">
        <v>149</v>
      </c>
      <c r="L4827">
        <v>0</v>
      </c>
      <c r="M4827" t="s">
        <v>125</v>
      </c>
      <c r="O4827" t="s">
        <v>125</v>
      </c>
      <c r="P4827" t="s">
        <v>125</v>
      </c>
      <c r="Q4827" t="s">
        <v>125</v>
      </c>
      <c r="R4827" t="s">
        <v>125</v>
      </c>
      <c r="S4827" t="s">
        <v>125</v>
      </c>
      <c r="T4827">
        <v>0</v>
      </c>
      <c r="V4827" t="s">
        <v>125</v>
      </c>
      <c r="AE4827" t="s">
        <v>125</v>
      </c>
      <c r="AF4827">
        <v>0</v>
      </c>
      <c r="AG4827" t="s">
        <v>125</v>
      </c>
      <c r="AH4827">
        <v>0</v>
      </c>
      <c r="AK4827">
        <v>0</v>
      </c>
    </row>
    <row r="4828" spans="1:37" x14ac:dyDescent="0.25">
      <c r="A4828" t="s">
        <v>79</v>
      </c>
      <c r="B4828">
        <v>19</v>
      </c>
      <c r="C4828">
        <v>1</v>
      </c>
      <c r="D4828">
        <v>2</v>
      </c>
      <c r="E4828">
        <v>10</v>
      </c>
      <c r="G4828">
        <v>1912</v>
      </c>
      <c r="H4828" t="s">
        <v>63</v>
      </c>
      <c r="I4828" t="s">
        <v>129</v>
      </c>
      <c r="J4828" t="s">
        <v>150</v>
      </c>
      <c r="L4828">
        <v>0</v>
      </c>
      <c r="M4828" t="s">
        <v>125</v>
      </c>
      <c r="O4828" t="s">
        <v>125</v>
      </c>
      <c r="P4828" t="s">
        <v>125</v>
      </c>
      <c r="Q4828" t="s">
        <v>125</v>
      </c>
      <c r="R4828" t="s">
        <v>125</v>
      </c>
      <c r="S4828" t="s">
        <v>125</v>
      </c>
      <c r="T4828">
        <v>0</v>
      </c>
      <c r="V4828" t="s">
        <v>125</v>
      </c>
      <c r="AE4828" t="s">
        <v>125</v>
      </c>
      <c r="AF4828">
        <v>0</v>
      </c>
      <c r="AG4828" t="s">
        <v>125</v>
      </c>
      <c r="AH4828">
        <v>0</v>
      </c>
      <c r="AK4828">
        <v>0</v>
      </c>
    </row>
    <row r="4829" spans="1:37" x14ac:dyDescent="0.25">
      <c r="A4829" t="s">
        <v>79</v>
      </c>
      <c r="B4829">
        <v>19</v>
      </c>
      <c r="C4829">
        <v>1</v>
      </c>
      <c r="D4829">
        <v>2</v>
      </c>
      <c r="E4829">
        <v>11</v>
      </c>
      <c r="G4829">
        <v>1912</v>
      </c>
      <c r="H4829" t="s">
        <v>63</v>
      </c>
      <c r="I4829" t="s">
        <v>131</v>
      </c>
      <c r="J4829" t="s">
        <v>151</v>
      </c>
      <c r="L4829">
        <v>0</v>
      </c>
      <c r="M4829" t="s">
        <v>125</v>
      </c>
      <c r="O4829" t="s">
        <v>125</v>
      </c>
      <c r="P4829" t="s">
        <v>125</v>
      </c>
      <c r="Q4829" t="s">
        <v>125</v>
      </c>
      <c r="R4829" t="s">
        <v>125</v>
      </c>
      <c r="S4829" t="s">
        <v>125</v>
      </c>
      <c r="T4829">
        <v>0</v>
      </c>
      <c r="V4829" t="s">
        <v>125</v>
      </c>
      <c r="AE4829" t="s">
        <v>125</v>
      </c>
      <c r="AF4829">
        <v>0</v>
      </c>
      <c r="AG4829" t="s">
        <v>125</v>
      </c>
      <c r="AH4829">
        <v>0</v>
      </c>
      <c r="AK4829">
        <v>0</v>
      </c>
    </row>
    <row r="4830" spans="1:37" x14ac:dyDescent="0.25">
      <c r="A4830" t="s">
        <v>79</v>
      </c>
      <c r="B4830">
        <v>19</v>
      </c>
      <c r="C4830">
        <v>1</v>
      </c>
      <c r="D4830">
        <v>2</v>
      </c>
      <c r="E4830">
        <v>12</v>
      </c>
      <c r="G4830">
        <v>1912</v>
      </c>
      <c r="H4830" t="s">
        <v>63</v>
      </c>
      <c r="I4830" t="s">
        <v>133</v>
      </c>
      <c r="J4830" t="s">
        <v>152</v>
      </c>
      <c r="L4830">
        <v>0</v>
      </c>
      <c r="M4830" t="s">
        <v>125</v>
      </c>
      <c r="O4830" t="s">
        <v>125</v>
      </c>
      <c r="P4830" t="s">
        <v>125</v>
      </c>
      <c r="Q4830" t="s">
        <v>125</v>
      </c>
      <c r="R4830" t="s">
        <v>125</v>
      </c>
      <c r="S4830" t="s">
        <v>125</v>
      </c>
      <c r="T4830">
        <v>0</v>
      </c>
      <c r="V4830" t="s">
        <v>125</v>
      </c>
      <c r="AE4830" t="s">
        <v>125</v>
      </c>
      <c r="AF4830">
        <v>0</v>
      </c>
      <c r="AG4830" t="s">
        <v>125</v>
      </c>
      <c r="AH4830">
        <v>0</v>
      </c>
      <c r="AK4830">
        <v>0</v>
      </c>
    </row>
    <row r="4831" spans="1:37" x14ac:dyDescent="0.25">
      <c r="A4831" t="s">
        <v>79</v>
      </c>
      <c r="B4831">
        <v>19</v>
      </c>
      <c r="C4831">
        <v>1</v>
      </c>
      <c r="D4831">
        <v>2</v>
      </c>
      <c r="E4831">
        <v>13</v>
      </c>
      <c r="G4831">
        <v>1912</v>
      </c>
      <c r="H4831" t="s">
        <v>63</v>
      </c>
      <c r="I4831" t="s">
        <v>135</v>
      </c>
      <c r="J4831" t="s">
        <v>153</v>
      </c>
      <c r="L4831">
        <v>0</v>
      </c>
      <c r="M4831" t="s">
        <v>125</v>
      </c>
      <c r="O4831" t="s">
        <v>125</v>
      </c>
      <c r="P4831" t="s">
        <v>125</v>
      </c>
      <c r="Q4831" t="s">
        <v>125</v>
      </c>
      <c r="R4831" t="s">
        <v>125</v>
      </c>
      <c r="S4831" t="s">
        <v>125</v>
      </c>
      <c r="T4831">
        <v>0</v>
      </c>
      <c r="V4831" t="s">
        <v>125</v>
      </c>
      <c r="AE4831" t="s">
        <v>125</v>
      </c>
      <c r="AF4831">
        <v>0</v>
      </c>
      <c r="AG4831" t="s">
        <v>125</v>
      </c>
      <c r="AH4831">
        <v>0</v>
      </c>
      <c r="AK4831">
        <v>0</v>
      </c>
    </row>
    <row r="4832" spans="1:37" x14ac:dyDescent="0.25">
      <c r="A4832" t="s">
        <v>79</v>
      </c>
      <c r="B4832">
        <v>19</v>
      </c>
      <c r="C4832">
        <v>1</v>
      </c>
      <c r="D4832">
        <v>2</v>
      </c>
      <c r="E4832">
        <v>14</v>
      </c>
      <c r="G4832">
        <v>1912</v>
      </c>
      <c r="H4832" t="s">
        <v>63</v>
      </c>
      <c r="I4832" t="s">
        <v>137</v>
      </c>
      <c r="J4832" t="s">
        <v>154</v>
      </c>
      <c r="L4832">
        <v>0</v>
      </c>
      <c r="M4832" t="s">
        <v>125</v>
      </c>
      <c r="O4832" t="s">
        <v>125</v>
      </c>
      <c r="P4832" t="s">
        <v>125</v>
      </c>
      <c r="Q4832" t="s">
        <v>125</v>
      </c>
      <c r="R4832" t="s">
        <v>125</v>
      </c>
      <c r="S4832" t="s">
        <v>125</v>
      </c>
      <c r="T4832">
        <v>0</v>
      </c>
      <c r="V4832" t="s">
        <v>125</v>
      </c>
      <c r="AE4832" t="s">
        <v>125</v>
      </c>
      <c r="AF4832">
        <v>0</v>
      </c>
      <c r="AG4832" t="s">
        <v>125</v>
      </c>
      <c r="AH4832">
        <v>0</v>
      </c>
      <c r="AK4832">
        <v>0</v>
      </c>
    </row>
    <row r="4833" spans="1:37" x14ac:dyDescent="0.25">
      <c r="A4833" t="s">
        <v>79</v>
      </c>
      <c r="B4833">
        <v>19</v>
      </c>
      <c r="C4833">
        <v>1</v>
      </c>
      <c r="D4833">
        <v>2</v>
      </c>
      <c r="E4833">
        <v>15</v>
      </c>
      <c r="G4833">
        <v>1912</v>
      </c>
      <c r="H4833" t="s">
        <v>63</v>
      </c>
      <c r="I4833" t="s">
        <v>139</v>
      </c>
      <c r="J4833" t="s">
        <v>155</v>
      </c>
      <c r="L4833">
        <v>0</v>
      </c>
      <c r="M4833" t="s">
        <v>125</v>
      </c>
      <c r="O4833" t="s">
        <v>125</v>
      </c>
      <c r="P4833" t="s">
        <v>125</v>
      </c>
      <c r="Q4833" t="s">
        <v>125</v>
      </c>
      <c r="R4833" t="s">
        <v>125</v>
      </c>
      <c r="S4833" t="s">
        <v>125</v>
      </c>
      <c r="T4833">
        <v>0</v>
      </c>
      <c r="V4833" t="s">
        <v>125</v>
      </c>
      <c r="AE4833" t="s">
        <v>125</v>
      </c>
      <c r="AF4833">
        <v>0</v>
      </c>
      <c r="AG4833" t="s">
        <v>125</v>
      </c>
      <c r="AH4833">
        <v>0</v>
      </c>
      <c r="AK4833">
        <v>0</v>
      </c>
    </row>
    <row r="4834" spans="1:37" x14ac:dyDescent="0.25">
      <c r="L4834">
        <v>0</v>
      </c>
    </row>
    <row r="4835" spans="1:37" x14ac:dyDescent="0.25">
      <c r="A4835" t="s">
        <v>70</v>
      </c>
      <c r="B4835">
        <v>19</v>
      </c>
      <c r="C4835">
        <v>1</v>
      </c>
      <c r="D4835">
        <v>3</v>
      </c>
      <c r="G4835">
        <v>191</v>
      </c>
      <c r="L4835">
        <v>0</v>
      </c>
      <c r="M4835" t="s">
        <v>125</v>
      </c>
      <c r="P4835" t="s">
        <v>125</v>
      </c>
      <c r="R4835" t="s">
        <v>125</v>
      </c>
      <c r="S4835" t="s">
        <v>63</v>
      </c>
      <c r="V4835" t="s">
        <v>125</v>
      </c>
      <c r="X4835" t="s">
        <v>125</v>
      </c>
      <c r="Y4835" t="s">
        <v>125</v>
      </c>
      <c r="Z4835" t="s">
        <v>125</v>
      </c>
      <c r="AA4835" t="s">
        <v>125</v>
      </c>
      <c r="AB4835" t="s">
        <v>125</v>
      </c>
      <c r="AC4835" t="s">
        <v>125</v>
      </c>
      <c r="AE4835" t="s">
        <v>125</v>
      </c>
      <c r="AF4835">
        <v>0</v>
      </c>
      <c r="AG4835" t="s">
        <v>125</v>
      </c>
      <c r="AH4835">
        <v>0</v>
      </c>
      <c r="AK4835">
        <v>0</v>
      </c>
    </row>
    <row r="4836" spans="1:37" x14ac:dyDescent="0.25">
      <c r="A4836" t="s">
        <v>79</v>
      </c>
      <c r="B4836">
        <v>19</v>
      </c>
      <c r="C4836">
        <v>1</v>
      </c>
      <c r="D4836">
        <v>3</v>
      </c>
      <c r="E4836">
        <v>1</v>
      </c>
      <c r="G4836">
        <v>1913</v>
      </c>
      <c r="H4836" t="s">
        <v>63</v>
      </c>
      <c r="I4836" t="s">
        <v>80</v>
      </c>
      <c r="J4836" t="s">
        <v>141</v>
      </c>
      <c r="L4836">
        <v>0</v>
      </c>
      <c r="M4836" t="s">
        <v>125</v>
      </c>
      <c r="O4836" t="s">
        <v>125</v>
      </c>
      <c r="P4836" t="s">
        <v>125</v>
      </c>
      <c r="Q4836" t="s">
        <v>125</v>
      </c>
      <c r="R4836" t="s">
        <v>125</v>
      </c>
      <c r="S4836" t="s">
        <v>125</v>
      </c>
      <c r="T4836">
        <v>0</v>
      </c>
      <c r="V4836" t="s">
        <v>125</v>
      </c>
      <c r="AE4836" t="s">
        <v>125</v>
      </c>
      <c r="AF4836">
        <v>0</v>
      </c>
      <c r="AG4836" t="s">
        <v>125</v>
      </c>
      <c r="AH4836">
        <v>0</v>
      </c>
      <c r="AK4836">
        <v>0</v>
      </c>
    </row>
    <row r="4837" spans="1:37" x14ac:dyDescent="0.25">
      <c r="A4837" t="s">
        <v>79</v>
      </c>
      <c r="B4837">
        <v>19</v>
      </c>
      <c r="C4837">
        <v>1</v>
      </c>
      <c r="D4837">
        <v>3</v>
      </c>
      <c r="E4837">
        <v>2</v>
      </c>
      <c r="G4837">
        <v>1913</v>
      </c>
      <c r="H4837" t="s">
        <v>63</v>
      </c>
      <c r="I4837" t="s">
        <v>88</v>
      </c>
      <c r="J4837" t="s">
        <v>142</v>
      </c>
      <c r="L4837">
        <v>0</v>
      </c>
      <c r="M4837" t="s">
        <v>125</v>
      </c>
      <c r="O4837" t="s">
        <v>125</v>
      </c>
      <c r="P4837" t="s">
        <v>125</v>
      </c>
      <c r="Q4837" t="s">
        <v>125</v>
      </c>
      <c r="R4837" t="s">
        <v>125</v>
      </c>
      <c r="S4837" t="s">
        <v>125</v>
      </c>
      <c r="T4837">
        <v>0</v>
      </c>
      <c r="V4837" t="s">
        <v>125</v>
      </c>
      <c r="AE4837" t="s">
        <v>125</v>
      </c>
      <c r="AF4837">
        <v>0</v>
      </c>
      <c r="AG4837" t="s">
        <v>125</v>
      </c>
      <c r="AH4837">
        <v>0</v>
      </c>
      <c r="AK4837">
        <v>0</v>
      </c>
    </row>
    <row r="4838" spans="1:37" x14ac:dyDescent="0.25">
      <c r="A4838" t="s">
        <v>79</v>
      </c>
      <c r="B4838">
        <v>19</v>
      </c>
      <c r="C4838">
        <v>1</v>
      </c>
      <c r="D4838">
        <v>3</v>
      </c>
      <c r="E4838">
        <v>3</v>
      </c>
      <c r="G4838">
        <v>1913</v>
      </c>
      <c r="H4838" t="s">
        <v>63</v>
      </c>
      <c r="I4838" t="s">
        <v>95</v>
      </c>
      <c r="J4838" t="s">
        <v>143</v>
      </c>
      <c r="L4838">
        <v>0</v>
      </c>
      <c r="M4838" t="s">
        <v>125</v>
      </c>
      <c r="O4838" t="s">
        <v>125</v>
      </c>
      <c r="P4838" t="s">
        <v>125</v>
      </c>
      <c r="Q4838" t="s">
        <v>125</v>
      </c>
      <c r="R4838" t="s">
        <v>125</v>
      </c>
      <c r="S4838" t="s">
        <v>125</v>
      </c>
      <c r="T4838">
        <v>0</v>
      </c>
      <c r="V4838" t="s">
        <v>125</v>
      </c>
      <c r="AE4838" t="s">
        <v>125</v>
      </c>
      <c r="AF4838">
        <v>0</v>
      </c>
      <c r="AG4838" t="s">
        <v>125</v>
      </c>
      <c r="AH4838">
        <v>0</v>
      </c>
      <c r="AK4838">
        <v>0</v>
      </c>
    </row>
    <row r="4839" spans="1:37" x14ac:dyDescent="0.25">
      <c r="A4839" t="s">
        <v>79</v>
      </c>
      <c r="B4839">
        <v>19</v>
      </c>
      <c r="C4839">
        <v>1</v>
      </c>
      <c r="D4839">
        <v>3</v>
      </c>
      <c r="E4839">
        <v>4</v>
      </c>
      <c r="G4839">
        <v>1913</v>
      </c>
      <c r="H4839" t="s">
        <v>63</v>
      </c>
      <c r="I4839" t="s">
        <v>102</v>
      </c>
      <c r="J4839" t="s">
        <v>144</v>
      </c>
      <c r="L4839">
        <v>0</v>
      </c>
      <c r="M4839" t="s">
        <v>125</v>
      </c>
      <c r="O4839" t="s">
        <v>125</v>
      </c>
      <c r="P4839" t="s">
        <v>125</v>
      </c>
      <c r="Q4839" t="s">
        <v>125</v>
      </c>
      <c r="R4839" t="s">
        <v>125</v>
      </c>
      <c r="S4839" t="s">
        <v>125</v>
      </c>
      <c r="T4839">
        <v>0</v>
      </c>
      <c r="V4839" t="s">
        <v>125</v>
      </c>
      <c r="AE4839" t="s">
        <v>125</v>
      </c>
      <c r="AF4839">
        <v>0</v>
      </c>
      <c r="AG4839" t="s">
        <v>125</v>
      </c>
      <c r="AH4839">
        <v>0</v>
      </c>
      <c r="AK4839">
        <v>0</v>
      </c>
    </row>
    <row r="4840" spans="1:37" x14ac:dyDescent="0.25">
      <c r="A4840" t="s">
        <v>79</v>
      </c>
      <c r="B4840">
        <v>19</v>
      </c>
      <c r="C4840">
        <v>1</v>
      </c>
      <c r="D4840">
        <v>3</v>
      </c>
      <c r="E4840">
        <v>5</v>
      </c>
      <c r="G4840">
        <v>1913</v>
      </c>
      <c r="H4840" t="s">
        <v>63</v>
      </c>
      <c r="I4840" t="s">
        <v>109</v>
      </c>
      <c r="J4840" t="s">
        <v>145</v>
      </c>
      <c r="L4840">
        <v>0</v>
      </c>
      <c r="M4840" t="s">
        <v>125</v>
      </c>
      <c r="O4840" t="s">
        <v>125</v>
      </c>
      <c r="P4840" t="s">
        <v>125</v>
      </c>
      <c r="Q4840" t="s">
        <v>125</v>
      </c>
      <c r="R4840" t="s">
        <v>125</v>
      </c>
      <c r="S4840" t="s">
        <v>125</v>
      </c>
      <c r="T4840">
        <v>0</v>
      </c>
      <c r="V4840" t="s">
        <v>125</v>
      </c>
      <c r="AE4840" t="s">
        <v>125</v>
      </c>
      <c r="AF4840">
        <v>0</v>
      </c>
      <c r="AG4840" t="s">
        <v>125</v>
      </c>
      <c r="AH4840">
        <v>0</v>
      </c>
      <c r="AK4840">
        <v>0</v>
      </c>
    </row>
    <row r="4841" spans="1:37" x14ac:dyDescent="0.25">
      <c r="A4841" t="s">
        <v>79</v>
      </c>
      <c r="B4841">
        <v>19</v>
      </c>
      <c r="C4841">
        <v>1</v>
      </c>
      <c r="D4841">
        <v>3</v>
      </c>
      <c r="E4841">
        <v>6</v>
      </c>
      <c r="G4841">
        <v>1913</v>
      </c>
      <c r="H4841" t="s">
        <v>63</v>
      </c>
      <c r="I4841" t="s">
        <v>116</v>
      </c>
      <c r="J4841" t="s">
        <v>146</v>
      </c>
      <c r="L4841">
        <v>0</v>
      </c>
      <c r="M4841" t="s">
        <v>125</v>
      </c>
      <c r="O4841" t="s">
        <v>125</v>
      </c>
      <c r="P4841" t="s">
        <v>125</v>
      </c>
      <c r="Q4841" t="s">
        <v>125</v>
      </c>
      <c r="R4841" t="s">
        <v>125</v>
      </c>
      <c r="S4841" t="s">
        <v>125</v>
      </c>
      <c r="T4841">
        <v>0</v>
      </c>
      <c r="V4841" t="s">
        <v>125</v>
      </c>
      <c r="AE4841" t="s">
        <v>125</v>
      </c>
      <c r="AF4841">
        <v>0</v>
      </c>
      <c r="AG4841" t="s">
        <v>125</v>
      </c>
      <c r="AH4841">
        <v>0</v>
      </c>
      <c r="AK4841">
        <v>0</v>
      </c>
    </row>
    <row r="4842" spans="1:37" x14ac:dyDescent="0.25">
      <c r="A4842" t="s">
        <v>79</v>
      </c>
      <c r="B4842">
        <v>19</v>
      </c>
      <c r="C4842">
        <v>1</v>
      </c>
      <c r="D4842">
        <v>3</v>
      </c>
      <c r="E4842">
        <v>7</v>
      </c>
      <c r="G4842">
        <v>1913</v>
      </c>
      <c r="H4842" t="s">
        <v>63</v>
      </c>
      <c r="I4842" t="s">
        <v>123</v>
      </c>
      <c r="J4842" t="s">
        <v>147</v>
      </c>
      <c r="L4842">
        <v>0</v>
      </c>
      <c r="M4842" t="s">
        <v>125</v>
      </c>
      <c r="O4842" t="s">
        <v>125</v>
      </c>
      <c r="P4842" t="s">
        <v>125</v>
      </c>
      <c r="Q4842" t="s">
        <v>125</v>
      </c>
      <c r="R4842" t="s">
        <v>125</v>
      </c>
      <c r="S4842" t="s">
        <v>125</v>
      </c>
      <c r="T4842">
        <v>0</v>
      </c>
      <c r="V4842" t="s">
        <v>125</v>
      </c>
      <c r="AE4842" t="s">
        <v>125</v>
      </c>
      <c r="AF4842">
        <v>0</v>
      </c>
      <c r="AG4842" t="s">
        <v>125</v>
      </c>
      <c r="AH4842">
        <v>0</v>
      </c>
      <c r="AK4842">
        <v>0</v>
      </c>
    </row>
    <row r="4843" spans="1:37" x14ac:dyDescent="0.25">
      <c r="A4843" t="s">
        <v>79</v>
      </c>
      <c r="B4843">
        <v>19</v>
      </c>
      <c r="C4843">
        <v>1</v>
      </c>
      <c r="D4843">
        <v>3</v>
      </c>
      <c r="E4843">
        <v>8</v>
      </c>
      <c r="G4843">
        <v>1913</v>
      </c>
      <c r="H4843" t="s">
        <v>63</v>
      </c>
      <c r="I4843" t="s">
        <v>126</v>
      </c>
      <c r="J4843" t="s">
        <v>148</v>
      </c>
      <c r="L4843">
        <v>0</v>
      </c>
      <c r="M4843" t="s">
        <v>125</v>
      </c>
      <c r="O4843" t="s">
        <v>125</v>
      </c>
      <c r="P4843" t="s">
        <v>125</v>
      </c>
      <c r="Q4843" t="s">
        <v>125</v>
      </c>
      <c r="R4843" t="s">
        <v>125</v>
      </c>
      <c r="S4843" t="s">
        <v>125</v>
      </c>
      <c r="T4843">
        <v>0</v>
      </c>
      <c r="V4843" t="s">
        <v>125</v>
      </c>
      <c r="AE4843" t="s">
        <v>125</v>
      </c>
      <c r="AF4843">
        <v>0</v>
      </c>
      <c r="AG4843" t="s">
        <v>125</v>
      </c>
      <c r="AH4843">
        <v>0</v>
      </c>
      <c r="AK4843">
        <v>0</v>
      </c>
    </row>
    <row r="4844" spans="1:37" x14ac:dyDescent="0.25">
      <c r="A4844" t="s">
        <v>79</v>
      </c>
      <c r="B4844">
        <v>19</v>
      </c>
      <c r="C4844">
        <v>1</v>
      </c>
      <c r="D4844">
        <v>3</v>
      </c>
      <c r="E4844">
        <v>9</v>
      </c>
      <c r="G4844">
        <v>1913</v>
      </c>
      <c r="H4844" t="s">
        <v>63</v>
      </c>
      <c r="I4844" t="s">
        <v>74</v>
      </c>
      <c r="J4844" t="s">
        <v>149</v>
      </c>
      <c r="L4844">
        <v>0</v>
      </c>
      <c r="M4844" t="s">
        <v>125</v>
      </c>
      <c r="O4844" t="s">
        <v>125</v>
      </c>
      <c r="P4844" t="s">
        <v>125</v>
      </c>
      <c r="Q4844" t="s">
        <v>125</v>
      </c>
      <c r="R4844" t="s">
        <v>125</v>
      </c>
      <c r="S4844" t="s">
        <v>125</v>
      </c>
      <c r="T4844">
        <v>0</v>
      </c>
      <c r="V4844" t="s">
        <v>125</v>
      </c>
      <c r="AE4844" t="s">
        <v>125</v>
      </c>
      <c r="AF4844">
        <v>0</v>
      </c>
      <c r="AG4844" t="s">
        <v>125</v>
      </c>
      <c r="AH4844">
        <v>0</v>
      </c>
      <c r="AK4844">
        <v>0</v>
      </c>
    </row>
    <row r="4845" spans="1:37" x14ac:dyDescent="0.25">
      <c r="A4845" t="s">
        <v>79</v>
      </c>
      <c r="B4845">
        <v>19</v>
      </c>
      <c r="C4845">
        <v>1</v>
      </c>
      <c r="D4845">
        <v>3</v>
      </c>
      <c r="E4845">
        <v>10</v>
      </c>
      <c r="G4845">
        <v>1913</v>
      </c>
      <c r="H4845" t="s">
        <v>63</v>
      </c>
      <c r="I4845" t="s">
        <v>129</v>
      </c>
      <c r="J4845" t="s">
        <v>150</v>
      </c>
      <c r="L4845">
        <v>0</v>
      </c>
      <c r="M4845" t="s">
        <v>125</v>
      </c>
      <c r="O4845" t="s">
        <v>125</v>
      </c>
      <c r="P4845" t="s">
        <v>125</v>
      </c>
      <c r="Q4845" t="s">
        <v>125</v>
      </c>
      <c r="R4845" t="s">
        <v>125</v>
      </c>
      <c r="S4845" t="s">
        <v>125</v>
      </c>
      <c r="T4845">
        <v>0</v>
      </c>
      <c r="V4845" t="s">
        <v>125</v>
      </c>
      <c r="AE4845" t="s">
        <v>125</v>
      </c>
      <c r="AF4845">
        <v>0</v>
      </c>
      <c r="AG4845" t="s">
        <v>125</v>
      </c>
      <c r="AH4845">
        <v>0</v>
      </c>
      <c r="AK4845">
        <v>0</v>
      </c>
    </row>
    <row r="4846" spans="1:37" x14ac:dyDescent="0.25">
      <c r="A4846" t="s">
        <v>79</v>
      </c>
      <c r="B4846">
        <v>19</v>
      </c>
      <c r="C4846">
        <v>1</v>
      </c>
      <c r="D4846">
        <v>3</v>
      </c>
      <c r="E4846">
        <v>11</v>
      </c>
      <c r="G4846">
        <v>1913</v>
      </c>
      <c r="H4846" t="s">
        <v>63</v>
      </c>
      <c r="I4846" t="s">
        <v>131</v>
      </c>
      <c r="J4846" t="s">
        <v>151</v>
      </c>
      <c r="L4846">
        <v>0</v>
      </c>
      <c r="M4846" t="s">
        <v>125</v>
      </c>
      <c r="O4846" t="s">
        <v>125</v>
      </c>
      <c r="P4846" t="s">
        <v>125</v>
      </c>
      <c r="Q4846" t="s">
        <v>125</v>
      </c>
      <c r="R4846" t="s">
        <v>125</v>
      </c>
      <c r="S4846" t="s">
        <v>125</v>
      </c>
      <c r="T4846">
        <v>0</v>
      </c>
      <c r="V4846" t="s">
        <v>125</v>
      </c>
      <c r="AE4846" t="s">
        <v>125</v>
      </c>
      <c r="AF4846">
        <v>0</v>
      </c>
      <c r="AG4846" t="s">
        <v>125</v>
      </c>
      <c r="AH4846">
        <v>0</v>
      </c>
      <c r="AK4846">
        <v>0</v>
      </c>
    </row>
    <row r="4847" spans="1:37" x14ac:dyDescent="0.25">
      <c r="A4847" t="s">
        <v>79</v>
      </c>
      <c r="B4847">
        <v>19</v>
      </c>
      <c r="C4847">
        <v>1</v>
      </c>
      <c r="D4847">
        <v>3</v>
      </c>
      <c r="E4847">
        <v>12</v>
      </c>
      <c r="G4847">
        <v>1913</v>
      </c>
      <c r="H4847" t="s">
        <v>63</v>
      </c>
      <c r="I4847" t="s">
        <v>133</v>
      </c>
      <c r="J4847" t="s">
        <v>152</v>
      </c>
      <c r="L4847">
        <v>0</v>
      </c>
      <c r="M4847" t="s">
        <v>125</v>
      </c>
      <c r="O4847" t="s">
        <v>125</v>
      </c>
      <c r="P4847" t="s">
        <v>125</v>
      </c>
      <c r="Q4847" t="s">
        <v>125</v>
      </c>
      <c r="R4847" t="s">
        <v>125</v>
      </c>
      <c r="S4847" t="s">
        <v>125</v>
      </c>
      <c r="T4847">
        <v>0</v>
      </c>
      <c r="V4847" t="s">
        <v>125</v>
      </c>
      <c r="AE4847" t="s">
        <v>125</v>
      </c>
      <c r="AF4847">
        <v>0</v>
      </c>
      <c r="AG4847" t="s">
        <v>125</v>
      </c>
      <c r="AH4847">
        <v>0</v>
      </c>
      <c r="AK4847">
        <v>0</v>
      </c>
    </row>
    <row r="4848" spans="1:37" x14ac:dyDescent="0.25">
      <c r="A4848" t="s">
        <v>79</v>
      </c>
      <c r="B4848">
        <v>19</v>
      </c>
      <c r="C4848">
        <v>1</v>
      </c>
      <c r="D4848">
        <v>3</v>
      </c>
      <c r="E4848">
        <v>13</v>
      </c>
      <c r="G4848">
        <v>1913</v>
      </c>
      <c r="H4848" t="s">
        <v>63</v>
      </c>
      <c r="I4848" t="s">
        <v>135</v>
      </c>
      <c r="J4848" t="s">
        <v>153</v>
      </c>
      <c r="L4848">
        <v>0</v>
      </c>
      <c r="M4848" t="s">
        <v>125</v>
      </c>
      <c r="O4848" t="s">
        <v>125</v>
      </c>
      <c r="P4848" t="s">
        <v>125</v>
      </c>
      <c r="Q4848" t="s">
        <v>125</v>
      </c>
      <c r="R4848" t="s">
        <v>125</v>
      </c>
      <c r="S4848" t="s">
        <v>125</v>
      </c>
      <c r="T4848">
        <v>0</v>
      </c>
      <c r="V4848" t="s">
        <v>125</v>
      </c>
      <c r="AE4848" t="s">
        <v>125</v>
      </c>
      <c r="AF4848">
        <v>0</v>
      </c>
      <c r="AG4848" t="s">
        <v>125</v>
      </c>
      <c r="AH4848">
        <v>0</v>
      </c>
      <c r="AK4848">
        <v>0</v>
      </c>
    </row>
    <row r="4849" spans="1:37" x14ac:dyDescent="0.25">
      <c r="A4849" t="s">
        <v>79</v>
      </c>
      <c r="B4849">
        <v>19</v>
      </c>
      <c r="C4849">
        <v>1</v>
      </c>
      <c r="D4849">
        <v>3</v>
      </c>
      <c r="E4849">
        <v>14</v>
      </c>
      <c r="G4849">
        <v>1913</v>
      </c>
      <c r="H4849" t="s">
        <v>63</v>
      </c>
      <c r="I4849" t="s">
        <v>137</v>
      </c>
      <c r="J4849" t="s">
        <v>154</v>
      </c>
      <c r="L4849">
        <v>0</v>
      </c>
      <c r="M4849" t="s">
        <v>125</v>
      </c>
      <c r="O4849" t="s">
        <v>125</v>
      </c>
      <c r="P4849" t="s">
        <v>125</v>
      </c>
      <c r="Q4849" t="s">
        <v>125</v>
      </c>
      <c r="R4849" t="s">
        <v>125</v>
      </c>
      <c r="S4849" t="s">
        <v>125</v>
      </c>
      <c r="T4849">
        <v>0</v>
      </c>
      <c r="V4849" t="s">
        <v>125</v>
      </c>
      <c r="AE4849" t="s">
        <v>125</v>
      </c>
      <c r="AF4849">
        <v>0</v>
      </c>
      <c r="AG4849" t="s">
        <v>125</v>
      </c>
      <c r="AH4849">
        <v>0</v>
      </c>
      <c r="AK4849">
        <v>0</v>
      </c>
    </row>
    <row r="4850" spans="1:37" x14ac:dyDescent="0.25">
      <c r="A4850" t="s">
        <v>79</v>
      </c>
      <c r="B4850">
        <v>19</v>
      </c>
      <c r="C4850">
        <v>1</v>
      </c>
      <c r="D4850">
        <v>3</v>
      </c>
      <c r="E4850">
        <v>15</v>
      </c>
      <c r="G4850">
        <v>1913</v>
      </c>
      <c r="H4850" t="s">
        <v>63</v>
      </c>
      <c r="I4850" t="s">
        <v>139</v>
      </c>
      <c r="J4850" t="s">
        <v>155</v>
      </c>
      <c r="L4850">
        <v>0</v>
      </c>
      <c r="M4850" t="s">
        <v>125</v>
      </c>
      <c r="O4850" t="s">
        <v>125</v>
      </c>
      <c r="P4850" t="s">
        <v>125</v>
      </c>
      <c r="Q4850" t="s">
        <v>125</v>
      </c>
      <c r="R4850" t="s">
        <v>125</v>
      </c>
      <c r="S4850" t="s">
        <v>125</v>
      </c>
      <c r="T4850">
        <v>0</v>
      </c>
      <c r="V4850" t="s">
        <v>125</v>
      </c>
      <c r="AE4850" t="s">
        <v>125</v>
      </c>
      <c r="AF4850">
        <v>0</v>
      </c>
      <c r="AG4850" t="s">
        <v>125</v>
      </c>
      <c r="AH4850">
        <v>0</v>
      </c>
      <c r="AK4850">
        <v>0</v>
      </c>
    </row>
    <row r="4851" spans="1:37" x14ac:dyDescent="0.25">
      <c r="L4851">
        <v>0</v>
      </c>
    </row>
    <row r="4852" spans="1:37" x14ac:dyDescent="0.25">
      <c r="A4852" t="s">
        <v>70</v>
      </c>
      <c r="B4852">
        <v>19</v>
      </c>
      <c r="C4852">
        <v>1</v>
      </c>
      <c r="D4852">
        <v>4</v>
      </c>
      <c r="G4852">
        <v>191</v>
      </c>
      <c r="L4852">
        <v>0</v>
      </c>
      <c r="M4852" t="s">
        <v>125</v>
      </c>
      <c r="P4852" t="s">
        <v>125</v>
      </c>
      <c r="R4852" t="s">
        <v>125</v>
      </c>
      <c r="S4852" t="s">
        <v>63</v>
      </c>
      <c r="V4852" t="s">
        <v>125</v>
      </c>
      <c r="X4852" t="s">
        <v>125</v>
      </c>
      <c r="Y4852" t="s">
        <v>125</v>
      </c>
      <c r="Z4852" t="s">
        <v>125</v>
      </c>
      <c r="AA4852" t="s">
        <v>125</v>
      </c>
      <c r="AB4852" t="s">
        <v>125</v>
      </c>
      <c r="AC4852" t="s">
        <v>125</v>
      </c>
      <c r="AE4852" t="s">
        <v>125</v>
      </c>
      <c r="AF4852">
        <v>0</v>
      </c>
      <c r="AG4852" t="s">
        <v>125</v>
      </c>
      <c r="AH4852">
        <v>0</v>
      </c>
      <c r="AK4852">
        <v>0</v>
      </c>
    </row>
    <row r="4853" spans="1:37" x14ac:dyDescent="0.25">
      <c r="A4853" t="s">
        <v>79</v>
      </c>
      <c r="B4853">
        <v>19</v>
      </c>
      <c r="C4853">
        <v>1</v>
      </c>
      <c r="D4853">
        <v>4</v>
      </c>
      <c r="E4853">
        <v>1</v>
      </c>
      <c r="G4853">
        <v>1914</v>
      </c>
      <c r="H4853" t="s">
        <v>63</v>
      </c>
      <c r="I4853" t="s">
        <v>80</v>
      </c>
      <c r="J4853" t="s">
        <v>141</v>
      </c>
      <c r="L4853">
        <v>0</v>
      </c>
      <c r="M4853" t="s">
        <v>125</v>
      </c>
      <c r="O4853" t="s">
        <v>125</v>
      </c>
      <c r="P4853" t="s">
        <v>125</v>
      </c>
      <c r="Q4853" t="s">
        <v>125</v>
      </c>
      <c r="R4853" t="s">
        <v>125</v>
      </c>
      <c r="S4853" t="s">
        <v>125</v>
      </c>
      <c r="T4853">
        <v>0</v>
      </c>
      <c r="V4853" t="s">
        <v>125</v>
      </c>
      <c r="AE4853" t="s">
        <v>125</v>
      </c>
      <c r="AF4853">
        <v>0</v>
      </c>
      <c r="AG4853" t="s">
        <v>125</v>
      </c>
      <c r="AH4853">
        <v>0</v>
      </c>
      <c r="AK4853">
        <v>0</v>
      </c>
    </row>
    <row r="4854" spans="1:37" x14ac:dyDescent="0.25">
      <c r="A4854" t="s">
        <v>79</v>
      </c>
      <c r="B4854">
        <v>19</v>
      </c>
      <c r="C4854">
        <v>1</v>
      </c>
      <c r="D4854">
        <v>4</v>
      </c>
      <c r="E4854">
        <v>2</v>
      </c>
      <c r="G4854">
        <v>1914</v>
      </c>
      <c r="H4854" t="s">
        <v>63</v>
      </c>
      <c r="I4854" t="s">
        <v>88</v>
      </c>
      <c r="J4854" t="s">
        <v>142</v>
      </c>
      <c r="L4854">
        <v>0</v>
      </c>
      <c r="M4854" t="s">
        <v>125</v>
      </c>
      <c r="O4854" t="s">
        <v>125</v>
      </c>
      <c r="P4854" t="s">
        <v>125</v>
      </c>
      <c r="Q4854" t="s">
        <v>125</v>
      </c>
      <c r="R4854" t="s">
        <v>125</v>
      </c>
      <c r="S4854" t="s">
        <v>125</v>
      </c>
      <c r="T4854">
        <v>0</v>
      </c>
      <c r="V4854" t="s">
        <v>125</v>
      </c>
      <c r="AE4854" t="s">
        <v>125</v>
      </c>
      <c r="AF4854">
        <v>0</v>
      </c>
      <c r="AG4854" t="s">
        <v>125</v>
      </c>
      <c r="AH4854">
        <v>0</v>
      </c>
      <c r="AK4854">
        <v>0</v>
      </c>
    </row>
    <row r="4855" spans="1:37" x14ac:dyDescent="0.25">
      <c r="A4855" t="s">
        <v>79</v>
      </c>
      <c r="B4855">
        <v>19</v>
      </c>
      <c r="C4855">
        <v>1</v>
      </c>
      <c r="D4855">
        <v>4</v>
      </c>
      <c r="E4855">
        <v>3</v>
      </c>
      <c r="G4855">
        <v>1914</v>
      </c>
      <c r="H4855" t="s">
        <v>63</v>
      </c>
      <c r="I4855" t="s">
        <v>95</v>
      </c>
      <c r="J4855" t="s">
        <v>143</v>
      </c>
      <c r="L4855">
        <v>0</v>
      </c>
      <c r="M4855" t="s">
        <v>125</v>
      </c>
      <c r="O4855" t="s">
        <v>125</v>
      </c>
      <c r="P4855" t="s">
        <v>125</v>
      </c>
      <c r="Q4855" t="s">
        <v>125</v>
      </c>
      <c r="R4855" t="s">
        <v>125</v>
      </c>
      <c r="S4855" t="s">
        <v>125</v>
      </c>
      <c r="T4855">
        <v>0</v>
      </c>
      <c r="V4855" t="s">
        <v>125</v>
      </c>
      <c r="AE4855" t="s">
        <v>125</v>
      </c>
      <c r="AF4855">
        <v>0</v>
      </c>
      <c r="AG4855" t="s">
        <v>125</v>
      </c>
      <c r="AH4855">
        <v>0</v>
      </c>
      <c r="AK4855">
        <v>0</v>
      </c>
    </row>
    <row r="4856" spans="1:37" x14ac:dyDescent="0.25">
      <c r="A4856" t="s">
        <v>79</v>
      </c>
      <c r="B4856">
        <v>19</v>
      </c>
      <c r="C4856">
        <v>1</v>
      </c>
      <c r="D4856">
        <v>4</v>
      </c>
      <c r="E4856">
        <v>4</v>
      </c>
      <c r="G4856">
        <v>1914</v>
      </c>
      <c r="H4856" t="s">
        <v>63</v>
      </c>
      <c r="I4856" t="s">
        <v>102</v>
      </c>
      <c r="J4856" t="s">
        <v>144</v>
      </c>
      <c r="L4856">
        <v>0</v>
      </c>
      <c r="M4856" t="s">
        <v>125</v>
      </c>
      <c r="O4856" t="s">
        <v>125</v>
      </c>
      <c r="P4856" t="s">
        <v>125</v>
      </c>
      <c r="Q4856" t="s">
        <v>125</v>
      </c>
      <c r="R4856" t="s">
        <v>125</v>
      </c>
      <c r="S4856" t="s">
        <v>125</v>
      </c>
      <c r="T4856">
        <v>0</v>
      </c>
      <c r="V4856" t="s">
        <v>125</v>
      </c>
      <c r="AE4856" t="s">
        <v>125</v>
      </c>
      <c r="AF4856">
        <v>0</v>
      </c>
      <c r="AG4856" t="s">
        <v>125</v>
      </c>
      <c r="AH4856">
        <v>0</v>
      </c>
      <c r="AK4856">
        <v>0</v>
      </c>
    </row>
    <row r="4857" spans="1:37" x14ac:dyDescent="0.25">
      <c r="A4857" t="s">
        <v>79</v>
      </c>
      <c r="B4857">
        <v>19</v>
      </c>
      <c r="C4857">
        <v>1</v>
      </c>
      <c r="D4857">
        <v>4</v>
      </c>
      <c r="E4857">
        <v>5</v>
      </c>
      <c r="G4857">
        <v>1914</v>
      </c>
      <c r="H4857" t="s">
        <v>63</v>
      </c>
      <c r="I4857" t="s">
        <v>109</v>
      </c>
      <c r="J4857" t="s">
        <v>145</v>
      </c>
      <c r="L4857">
        <v>0</v>
      </c>
      <c r="M4857" t="s">
        <v>125</v>
      </c>
      <c r="O4857" t="s">
        <v>125</v>
      </c>
      <c r="P4857" t="s">
        <v>125</v>
      </c>
      <c r="Q4857" t="s">
        <v>125</v>
      </c>
      <c r="R4857" t="s">
        <v>125</v>
      </c>
      <c r="S4857" t="s">
        <v>125</v>
      </c>
      <c r="T4857">
        <v>0</v>
      </c>
      <c r="V4857" t="s">
        <v>125</v>
      </c>
      <c r="AE4857" t="s">
        <v>125</v>
      </c>
      <c r="AF4857">
        <v>0</v>
      </c>
      <c r="AG4857" t="s">
        <v>125</v>
      </c>
      <c r="AH4857">
        <v>0</v>
      </c>
      <c r="AK4857">
        <v>0</v>
      </c>
    </row>
    <row r="4858" spans="1:37" x14ac:dyDescent="0.25">
      <c r="A4858" t="s">
        <v>79</v>
      </c>
      <c r="B4858">
        <v>19</v>
      </c>
      <c r="C4858">
        <v>1</v>
      </c>
      <c r="D4858">
        <v>4</v>
      </c>
      <c r="E4858">
        <v>6</v>
      </c>
      <c r="G4858">
        <v>1914</v>
      </c>
      <c r="H4858" t="s">
        <v>63</v>
      </c>
      <c r="I4858" t="s">
        <v>116</v>
      </c>
      <c r="J4858" t="s">
        <v>146</v>
      </c>
      <c r="L4858">
        <v>0</v>
      </c>
      <c r="M4858" t="s">
        <v>125</v>
      </c>
      <c r="O4858" t="s">
        <v>125</v>
      </c>
      <c r="P4858" t="s">
        <v>125</v>
      </c>
      <c r="Q4858" t="s">
        <v>125</v>
      </c>
      <c r="R4858" t="s">
        <v>125</v>
      </c>
      <c r="S4858" t="s">
        <v>125</v>
      </c>
      <c r="T4858">
        <v>0</v>
      </c>
      <c r="V4858" t="s">
        <v>125</v>
      </c>
      <c r="AE4858" t="s">
        <v>125</v>
      </c>
      <c r="AF4858">
        <v>0</v>
      </c>
      <c r="AG4858" t="s">
        <v>125</v>
      </c>
      <c r="AH4858">
        <v>0</v>
      </c>
      <c r="AK4858">
        <v>0</v>
      </c>
    </row>
    <row r="4859" spans="1:37" x14ac:dyDescent="0.25">
      <c r="A4859" t="s">
        <v>79</v>
      </c>
      <c r="B4859">
        <v>19</v>
      </c>
      <c r="C4859">
        <v>1</v>
      </c>
      <c r="D4859">
        <v>4</v>
      </c>
      <c r="E4859">
        <v>7</v>
      </c>
      <c r="G4859">
        <v>1914</v>
      </c>
      <c r="H4859" t="s">
        <v>63</v>
      </c>
      <c r="I4859" t="s">
        <v>123</v>
      </c>
      <c r="J4859" t="s">
        <v>147</v>
      </c>
      <c r="L4859">
        <v>0</v>
      </c>
      <c r="M4859" t="s">
        <v>125</v>
      </c>
      <c r="O4859" t="s">
        <v>125</v>
      </c>
      <c r="P4859" t="s">
        <v>125</v>
      </c>
      <c r="Q4859" t="s">
        <v>125</v>
      </c>
      <c r="R4859" t="s">
        <v>125</v>
      </c>
      <c r="S4859" t="s">
        <v>125</v>
      </c>
      <c r="T4859">
        <v>0</v>
      </c>
      <c r="V4859" t="s">
        <v>125</v>
      </c>
      <c r="AE4859" t="s">
        <v>125</v>
      </c>
      <c r="AF4859">
        <v>0</v>
      </c>
      <c r="AG4859" t="s">
        <v>125</v>
      </c>
      <c r="AH4859">
        <v>0</v>
      </c>
      <c r="AK4859">
        <v>0</v>
      </c>
    </row>
    <row r="4860" spans="1:37" x14ac:dyDescent="0.25">
      <c r="A4860" t="s">
        <v>79</v>
      </c>
      <c r="B4860">
        <v>19</v>
      </c>
      <c r="C4860">
        <v>1</v>
      </c>
      <c r="D4860">
        <v>4</v>
      </c>
      <c r="E4860">
        <v>8</v>
      </c>
      <c r="G4860">
        <v>1914</v>
      </c>
      <c r="H4860" t="s">
        <v>63</v>
      </c>
      <c r="I4860" t="s">
        <v>126</v>
      </c>
      <c r="J4860" t="s">
        <v>148</v>
      </c>
      <c r="L4860">
        <v>0</v>
      </c>
      <c r="M4860" t="s">
        <v>125</v>
      </c>
      <c r="O4860" t="s">
        <v>125</v>
      </c>
      <c r="P4860" t="s">
        <v>125</v>
      </c>
      <c r="Q4860" t="s">
        <v>125</v>
      </c>
      <c r="R4860" t="s">
        <v>125</v>
      </c>
      <c r="S4860" t="s">
        <v>125</v>
      </c>
      <c r="T4860">
        <v>0</v>
      </c>
      <c r="V4860" t="s">
        <v>125</v>
      </c>
      <c r="AE4860" t="s">
        <v>125</v>
      </c>
      <c r="AF4860">
        <v>0</v>
      </c>
      <c r="AG4860" t="s">
        <v>125</v>
      </c>
      <c r="AH4860">
        <v>0</v>
      </c>
      <c r="AK4860">
        <v>0</v>
      </c>
    </row>
    <row r="4861" spans="1:37" x14ac:dyDescent="0.25">
      <c r="A4861" t="s">
        <v>79</v>
      </c>
      <c r="B4861">
        <v>19</v>
      </c>
      <c r="C4861">
        <v>1</v>
      </c>
      <c r="D4861">
        <v>4</v>
      </c>
      <c r="E4861">
        <v>9</v>
      </c>
      <c r="G4861">
        <v>1914</v>
      </c>
      <c r="H4861" t="s">
        <v>63</v>
      </c>
      <c r="I4861" t="s">
        <v>74</v>
      </c>
      <c r="J4861" t="s">
        <v>149</v>
      </c>
      <c r="L4861">
        <v>0</v>
      </c>
      <c r="M4861" t="s">
        <v>125</v>
      </c>
      <c r="O4861" t="s">
        <v>125</v>
      </c>
      <c r="P4861" t="s">
        <v>125</v>
      </c>
      <c r="Q4861" t="s">
        <v>125</v>
      </c>
      <c r="R4861" t="s">
        <v>125</v>
      </c>
      <c r="S4861" t="s">
        <v>125</v>
      </c>
      <c r="T4861">
        <v>0</v>
      </c>
      <c r="V4861" t="s">
        <v>125</v>
      </c>
      <c r="AE4861" t="s">
        <v>125</v>
      </c>
      <c r="AF4861">
        <v>0</v>
      </c>
      <c r="AG4861" t="s">
        <v>125</v>
      </c>
      <c r="AH4861">
        <v>0</v>
      </c>
      <c r="AK4861">
        <v>0</v>
      </c>
    </row>
    <row r="4862" spans="1:37" x14ac:dyDescent="0.25">
      <c r="A4862" t="s">
        <v>79</v>
      </c>
      <c r="B4862">
        <v>19</v>
      </c>
      <c r="C4862">
        <v>1</v>
      </c>
      <c r="D4862">
        <v>4</v>
      </c>
      <c r="E4862">
        <v>10</v>
      </c>
      <c r="G4862">
        <v>1914</v>
      </c>
      <c r="H4862" t="s">
        <v>63</v>
      </c>
      <c r="I4862" t="s">
        <v>129</v>
      </c>
      <c r="J4862" t="s">
        <v>150</v>
      </c>
      <c r="L4862">
        <v>0</v>
      </c>
      <c r="M4862" t="s">
        <v>125</v>
      </c>
      <c r="O4862" t="s">
        <v>125</v>
      </c>
      <c r="P4862" t="s">
        <v>125</v>
      </c>
      <c r="Q4862" t="s">
        <v>125</v>
      </c>
      <c r="R4862" t="s">
        <v>125</v>
      </c>
      <c r="S4862" t="s">
        <v>125</v>
      </c>
      <c r="T4862">
        <v>0</v>
      </c>
      <c r="V4862" t="s">
        <v>125</v>
      </c>
      <c r="AE4862" t="s">
        <v>125</v>
      </c>
      <c r="AF4862">
        <v>0</v>
      </c>
      <c r="AG4862" t="s">
        <v>125</v>
      </c>
      <c r="AH4862">
        <v>0</v>
      </c>
      <c r="AK4862">
        <v>0</v>
      </c>
    </row>
    <row r="4863" spans="1:37" x14ac:dyDescent="0.25">
      <c r="A4863" t="s">
        <v>79</v>
      </c>
      <c r="B4863">
        <v>19</v>
      </c>
      <c r="C4863">
        <v>1</v>
      </c>
      <c r="D4863">
        <v>4</v>
      </c>
      <c r="E4863">
        <v>11</v>
      </c>
      <c r="G4863">
        <v>1914</v>
      </c>
      <c r="H4863" t="s">
        <v>63</v>
      </c>
      <c r="I4863" t="s">
        <v>131</v>
      </c>
      <c r="J4863" t="s">
        <v>151</v>
      </c>
      <c r="L4863">
        <v>0</v>
      </c>
      <c r="M4863" t="s">
        <v>125</v>
      </c>
      <c r="O4863" t="s">
        <v>125</v>
      </c>
      <c r="P4863" t="s">
        <v>125</v>
      </c>
      <c r="Q4863" t="s">
        <v>125</v>
      </c>
      <c r="R4863" t="s">
        <v>125</v>
      </c>
      <c r="S4863" t="s">
        <v>125</v>
      </c>
      <c r="T4863">
        <v>0</v>
      </c>
      <c r="V4863" t="s">
        <v>125</v>
      </c>
      <c r="AE4863" t="s">
        <v>125</v>
      </c>
      <c r="AF4863">
        <v>0</v>
      </c>
      <c r="AG4863" t="s">
        <v>125</v>
      </c>
      <c r="AH4863">
        <v>0</v>
      </c>
      <c r="AK4863">
        <v>0</v>
      </c>
    </row>
    <row r="4864" spans="1:37" x14ac:dyDescent="0.25">
      <c r="A4864" t="s">
        <v>79</v>
      </c>
      <c r="B4864">
        <v>19</v>
      </c>
      <c r="C4864">
        <v>1</v>
      </c>
      <c r="D4864">
        <v>4</v>
      </c>
      <c r="E4864">
        <v>12</v>
      </c>
      <c r="G4864">
        <v>1914</v>
      </c>
      <c r="H4864" t="s">
        <v>63</v>
      </c>
      <c r="I4864" t="s">
        <v>133</v>
      </c>
      <c r="J4864" t="s">
        <v>152</v>
      </c>
      <c r="L4864">
        <v>0</v>
      </c>
      <c r="M4864" t="s">
        <v>125</v>
      </c>
      <c r="O4864" t="s">
        <v>125</v>
      </c>
      <c r="P4864" t="s">
        <v>125</v>
      </c>
      <c r="Q4864" t="s">
        <v>125</v>
      </c>
      <c r="R4864" t="s">
        <v>125</v>
      </c>
      <c r="S4864" t="s">
        <v>125</v>
      </c>
      <c r="T4864">
        <v>0</v>
      </c>
      <c r="V4864" t="s">
        <v>125</v>
      </c>
      <c r="AE4864" t="s">
        <v>125</v>
      </c>
      <c r="AF4864">
        <v>0</v>
      </c>
      <c r="AG4864" t="s">
        <v>125</v>
      </c>
      <c r="AH4864">
        <v>0</v>
      </c>
      <c r="AK4864">
        <v>0</v>
      </c>
    </row>
    <row r="4865" spans="1:37" x14ac:dyDescent="0.25">
      <c r="A4865" t="s">
        <v>79</v>
      </c>
      <c r="B4865">
        <v>19</v>
      </c>
      <c r="C4865">
        <v>1</v>
      </c>
      <c r="D4865">
        <v>4</v>
      </c>
      <c r="E4865">
        <v>13</v>
      </c>
      <c r="G4865">
        <v>1914</v>
      </c>
      <c r="H4865" t="s">
        <v>63</v>
      </c>
      <c r="I4865" t="s">
        <v>135</v>
      </c>
      <c r="J4865" t="s">
        <v>153</v>
      </c>
      <c r="L4865">
        <v>0</v>
      </c>
      <c r="M4865" t="s">
        <v>125</v>
      </c>
      <c r="O4865" t="s">
        <v>125</v>
      </c>
      <c r="P4865" t="s">
        <v>125</v>
      </c>
      <c r="Q4865" t="s">
        <v>125</v>
      </c>
      <c r="R4865" t="s">
        <v>125</v>
      </c>
      <c r="S4865" t="s">
        <v>125</v>
      </c>
      <c r="T4865">
        <v>0</v>
      </c>
      <c r="V4865" t="s">
        <v>125</v>
      </c>
      <c r="AE4865" t="s">
        <v>125</v>
      </c>
      <c r="AF4865">
        <v>0</v>
      </c>
      <c r="AG4865" t="s">
        <v>125</v>
      </c>
      <c r="AH4865">
        <v>0</v>
      </c>
      <c r="AK4865">
        <v>0</v>
      </c>
    </row>
    <row r="4866" spans="1:37" x14ac:dyDescent="0.25">
      <c r="A4866" t="s">
        <v>79</v>
      </c>
      <c r="B4866">
        <v>19</v>
      </c>
      <c r="C4866">
        <v>1</v>
      </c>
      <c r="D4866">
        <v>4</v>
      </c>
      <c r="E4866">
        <v>14</v>
      </c>
      <c r="G4866">
        <v>1914</v>
      </c>
      <c r="H4866" t="s">
        <v>63</v>
      </c>
      <c r="I4866" t="s">
        <v>137</v>
      </c>
      <c r="J4866" t="s">
        <v>154</v>
      </c>
      <c r="L4866">
        <v>0</v>
      </c>
      <c r="M4866" t="s">
        <v>125</v>
      </c>
      <c r="O4866" t="s">
        <v>125</v>
      </c>
      <c r="P4866" t="s">
        <v>125</v>
      </c>
      <c r="Q4866" t="s">
        <v>125</v>
      </c>
      <c r="R4866" t="s">
        <v>125</v>
      </c>
      <c r="S4866" t="s">
        <v>125</v>
      </c>
      <c r="T4866">
        <v>0</v>
      </c>
      <c r="V4866" t="s">
        <v>125</v>
      </c>
      <c r="AE4866" t="s">
        <v>125</v>
      </c>
      <c r="AF4866">
        <v>0</v>
      </c>
      <c r="AG4866" t="s">
        <v>125</v>
      </c>
      <c r="AH4866">
        <v>0</v>
      </c>
      <c r="AK4866">
        <v>0</v>
      </c>
    </row>
    <row r="4867" spans="1:37" x14ac:dyDescent="0.25">
      <c r="A4867" t="s">
        <v>79</v>
      </c>
      <c r="B4867">
        <v>19</v>
      </c>
      <c r="C4867">
        <v>1</v>
      </c>
      <c r="D4867">
        <v>4</v>
      </c>
      <c r="E4867">
        <v>15</v>
      </c>
      <c r="G4867">
        <v>1914</v>
      </c>
      <c r="H4867" t="s">
        <v>63</v>
      </c>
      <c r="I4867" t="s">
        <v>139</v>
      </c>
      <c r="J4867" t="s">
        <v>155</v>
      </c>
      <c r="L4867">
        <v>0</v>
      </c>
      <c r="M4867" t="s">
        <v>125</v>
      </c>
      <c r="O4867" t="s">
        <v>125</v>
      </c>
      <c r="P4867" t="s">
        <v>125</v>
      </c>
      <c r="Q4867" t="s">
        <v>125</v>
      </c>
      <c r="R4867" t="s">
        <v>125</v>
      </c>
      <c r="S4867" t="s">
        <v>125</v>
      </c>
      <c r="T4867">
        <v>0</v>
      </c>
      <c r="V4867" t="s">
        <v>125</v>
      </c>
      <c r="AE4867" t="s">
        <v>125</v>
      </c>
      <c r="AF4867">
        <v>0</v>
      </c>
      <c r="AG4867" t="s">
        <v>125</v>
      </c>
      <c r="AH4867">
        <v>0</v>
      </c>
      <c r="AK4867">
        <v>0</v>
      </c>
    </row>
    <row r="4868" spans="1:37" x14ac:dyDescent="0.25">
      <c r="L4868">
        <v>0</v>
      </c>
    </row>
    <row r="4869" spans="1:37" x14ac:dyDescent="0.25">
      <c r="A4869" t="s">
        <v>70</v>
      </c>
      <c r="B4869">
        <v>19</v>
      </c>
      <c r="C4869">
        <v>1</v>
      </c>
      <c r="D4869">
        <v>5</v>
      </c>
      <c r="G4869">
        <v>191</v>
      </c>
      <c r="L4869">
        <v>0</v>
      </c>
      <c r="M4869" t="s">
        <v>125</v>
      </c>
      <c r="P4869" t="s">
        <v>125</v>
      </c>
      <c r="R4869" t="s">
        <v>125</v>
      </c>
      <c r="S4869" t="s">
        <v>63</v>
      </c>
      <c r="V4869" t="s">
        <v>125</v>
      </c>
      <c r="X4869" t="s">
        <v>125</v>
      </c>
      <c r="Y4869" t="s">
        <v>125</v>
      </c>
      <c r="Z4869" t="s">
        <v>125</v>
      </c>
      <c r="AA4869" t="s">
        <v>125</v>
      </c>
      <c r="AB4869" t="s">
        <v>125</v>
      </c>
      <c r="AC4869" t="s">
        <v>125</v>
      </c>
      <c r="AE4869" t="s">
        <v>125</v>
      </c>
      <c r="AF4869">
        <v>0</v>
      </c>
      <c r="AG4869" t="s">
        <v>125</v>
      </c>
      <c r="AH4869">
        <v>0</v>
      </c>
      <c r="AK4869">
        <v>0</v>
      </c>
    </row>
    <row r="4870" spans="1:37" x14ac:dyDescent="0.25">
      <c r="A4870" t="s">
        <v>79</v>
      </c>
      <c r="B4870">
        <v>19</v>
      </c>
      <c r="C4870">
        <v>1</v>
      </c>
      <c r="D4870">
        <v>5</v>
      </c>
      <c r="E4870">
        <v>1</v>
      </c>
      <c r="G4870">
        <v>1915</v>
      </c>
      <c r="H4870" t="s">
        <v>63</v>
      </c>
      <c r="I4870" t="s">
        <v>80</v>
      </c>
      <c r="J4870" t="s">
        <v>141</v>
      </c>
      <c r="L4870">
        <v>0</v>
      </c>
      <c r="M4870" t="s">
        <v>125</v>
      </c>
      <c r="O4870" t="s">
        <v>125</v>
      </c>
      <c r="P4870" t="s">
        <v>125</v>
      </c>
      <c r="Q4870" t="s">
        <v>125</v>
      </c>
      <c r="R4870" t="s">
        <v>125</v>
      </c>
      <c r="S4870" t="s">
        <v>125</v>
      </c>
      <c r="T4870">
        <v>0</v>
      </c>
      <c r="V4870" t="s">
        <v>125</v>
      </c>
      <c r="AE4870" t="s">
        <v>125</v>
      </c>
      <c r="AF4870">
        <v>0</v>
      </c>
      <c r="AG4870" t="s">
        <v>125</v>
      </c>
      <c r="AH4870">
        <v>0</v>
      </c>
      <c r="AK4870">
        <v>0</v>
      </c>
    </row>
    <row r="4871" spans="1:37" x14ac:dyDescent="0.25">
      <c r="A4871" t="s">
        <v>79</v>
      </c>
      <c r="B4871">
        <v>19</v>
      </c>
      <c r="C4871">
        <v>1</v>
      </c>
      <c r="D4871">
        <v>5</v>
      </c>
      <c r="E4871">
        <v>2</v>
      </c>
      <c r="G4871">
        <v>1915</v>
      </c>
      <c r="H4871" t="s">
        <v>63</v>
      </c>
      <c r="I4871" t="s">
        <v>88</v>
      </c>
      <c r="J4871" t="s">
        <v>142</v>
      </c>
      <c r="L4871">
        <v>0</v>
      </c>
      <c r="M4871" t="s">
        <v>125</v>
      </c>
      <c r="O4871" t="s">
        <v>125</v>
      </c>
      <c r="P4871" t="s">
        <v>125</v>
      </c>
      <c r="Q4871" t="s">
        <v>125</v>
      </c>
      <c r="R4871" t="s">
        <v>125</v>
      </c>
      <c r="S4871" t="s">
        <v>125</v>
      </c>
      <c r="T4871">
        <v>0</v>
      </c>
      <c r="V4871" t="s">
        <v>125</v>
      </c>
      <c r="AE4871" t="s">
        <v>125</v>
      </c>
      <c r="AF4871">
        <v>0</v>
      </c>
      <c r="AG4871" t="s">
        <v>125</v>
      </c>
      <c r="AH4871">
        <v>0</v>
      </c>
      <c r="AK4871">
        <v>0</v>
      </c>
    </row>
    <row r="4872" spans="1:37" x14ac:dyDescent="0.25">
      <c r="A4872" t="s">
        <v>79</v>
      </c>
      <c r="B4872">
        <v>19</v>
      </c>
      <c r="C4872">
        <v>1</v>
      </c>
      <c r="D4872">
        <v>5</v>
      </c>
      <c r="E4872">
        <v>3</v>
      </c>
      <c r="G4872">
        <v>1915</v>
      </c>
      <c r="H4872" t="s">
        <v>63</v>
      </c>
      <c r="I4872" t="s">
        <v>95</v>
      </c>
      <c r="J4872" t="s">
        <v>143</v>
      </c>
      <c r="L4872">
        <v>0</v>
      </c>
      <c r="M4872" t="s">
        <v>125</v>
      </c>
      <c r="O4872" t="s">
        <v>125</v>
      </c>
      <c r="P4872" t="s">
        <v>125</v>
      </c>
      <c r="Q4872" t="s">
        <v>125</v>
      </c>
      <c r="R4872" t="s">
        <v>125</v>
      </c>
      <c r="S4872" t="s">
        <v>125</v>
      </c>
      <c r="T4872">
        <v>0</v>
      </c>
      <c r="V4872" t="s">
        <v>125</v>
      </c>
      <c r="AE4872" t="s">
        <v>125</v>
      </c>
      <c r="AF4872">
        <v>0</v>
      </c>
      <c r="AG4872" t="s">
        <v>125</v>
      </c>
      <c r="AH4872">
        <v>0</v>
      </c>
      <c r="AK4872">
        <v>0</v>
      </c>
    </row>
    <row r="4873" spans="1:37" x14ac:dyDescent="0.25">
      <c r="A4873" t="s">
        <v>79</v>
      </c>
      <c r="B4873">
        <v>19</v>
      </c>
      <c r="C4873">
        <v>1</v>
      </c>
      <c r="D4873">
        <v>5</v>
      </c>
      <c r="E4873">
        <v>4</v>
      </c>
      <c r="G4873">
        <v>1915</v>
      </c>
      <c r="H4873" t="s">
        <v>63</v>
      </c>
      <c r="I4873" t="s">
        <v>102</v>
      </c>
      <c r="J4873" t="s">
        <v>144</v>
      </c>
      <c r="L4873">
        <v>0</v>
      </c>
      <c r="M4873" t="s">
        <v>125</v>
      </c>
      <c r="O4873" t="s">
        <v>125</v>
      </c>
      <c r="P4873" t="s">
        <v>125</v>
      </c>
      <c r="Q4873" t="s">
        <v>125</v>
      </c>
      <c r="R4873" t="s">
        <v>125</v>
      </c>
      <c r="S4873" t="s">
        <v>125</v>
      </c>
      <c r="T4873">
        <v>0</v>
      </c>
      <c r="V4873" t="s">
        <v>125</v>
      </c>
      <c r="AE4873" t="s">
        <v>125</v>
      </c>
      <c r="AF4873">
        <v>0</v>
      </c>
      <c r="AG4873" t="s">
        <v>125</v>
      </c>
      <c r="AH4873">
        <v>0</v>
      </c>
      <c r="AK4873">
        <v>0</v>
      </c>
    </row>
    <row r="4874" spans="1:37" x14ac:dyDescent="0.25">
      <c r="A4874" t="s">
        <v>79</v>
      </c>
      <c r="B4874">
        <v>19</v>
      </c>
      <c r="C4874">
        <v>1</v>
      </c>
      <c r="D4874">
        <v>5</v>
      </c>
      <c r="E4874">
        <v>5</v>
      </c>
      <c r="G4874">
        <v>1915</v>
      </c>
      <c r="H4874" t="s">
        <v>63</v>
      </c>
      <c r="I4874" t="s">
        <v>109</v>
      </c>
      <c r="J4874" t="s">
        <v>145</v>
      </c>
      <c r="L4874">
        <v>0</v>
      </c>
      <c r="M4874" t="s">
        <v>125</v>
      </c>
      <c r="O4874" t="s">
        <v>125</v>
      </c>
      <c r="P4874" t="s">
        <v>125</v>
      </c>
      <c r="Q4874" t="s">
        <v>125</v>
      </c>
      <c r="R4874" t="s">
        <v>125</v>
      </c>
      <c r="S4874" t="s">
        <v>125</v>
      </c>
      <c r="T4874">
        <v>0</v>
      </c>
      <c r="V4874" t="s">
        <v>125</v>
      </c>
      <c r="AE4874" t="s">
        <v>125</v>
      </c>
      <c r="AF4874">
        <v>0</v>
      </c>
      <c r="AG4874" t="s">
        <v>125</v>
      </c>
      <c r="AH4874">
        <v>0</v>
      </c>
      <c r="AK4874">
        <v>0</v>
      </c>
    </row>
    <row r="4875" spans="1:37" x14ac:dyDescent="0.25">
      <c r="A4875" t="s">
        <v>79</v>
      </c>
      <c r="B4875">
        <v>19</v>
      </c>
      <c r="C4875">
        <v>1</v>
      </c>
      <c r="D4875">
        <v>5</v>
      </c>
      <c r="E4875">
        <v>6</v>
      </c>
      <c r="G4875">
        <v>1915</v>
      </c>
      <c r="H4875" t="s">
        <v>63</v>
      </c>
      <c r="I4875" t="s">
        <v>116</v>
      </c>
      <c r="J4875" t="s">
        <v>146</v>
      </c>
      <c r="L4875">
        <v>0</v>
      </c>
      <c r="M4875" t="s">
        <v>125</v>
      </c>
      <c r="O4875" t="s">
        <v>125</v>
      </c>
      <c r="P4875" t="s">
        <v>125</v>
      </c>
      <c r="Q4875" t="s">
        <v>125</v>
      </c>
      <c r="R4875" t="s">
        <v>125</v>
      </c>
      <c r="S4875" t="s">
        <v>125</v>
      </c>
      <c r="T4875">
        <v>0</v>
      </c>
      <c r="V4875" t="s">
        <v>125</v>
      </c>
      <c r="AE4875" t="s">
        <v>125</v>
      </c>
      <c r="AF4875">
        <v>0</v>
      </c>
      <c r="AG4875" t="s">
        <v>125</v>
      </c>
      <c r="AH4875">
        <v>0</v>
      </c>
      <c r="AK4875">
        <v>0</v>
      </c>
    </row>
    <row r="4876" spans="1:37" x14ac:dyDescent="0.25">
      <c r="A4876" t="s">
        <v>79</v>
      </c>
      <c r="B4876">
        <v>19</v>
      </c>
      <c r="C4876">
        <v>1</v>
      </c>
      <c r="D4876">
        <v>5</v>
      </c>
      <c r="E4876">
        <v>7</v>
      </c>
      <c r="G4876">
        <v>1915</v>
      </c>
      <c r="H4876" t="s">
        <v>63</v>
      </c>
      <c r="I4876" t="s">
        <v>123</v>
      </c>
      <c r="J4876" t="s">
        <v>147</v>
      </c>
      <c r="L4876">
        <v>0</v>
      </c>
      <c r="M4876" t="s">
        <v>125</v>
      </c>
      <c r="O4876" t="s">
        <v>125</v>
      </c>
      <c r="P4876" t="s">
        <v>125</v>
      </c>
      <c r="Q4876" t="s">
        <v>125</v>
      </c>
      <c r="R4876" t="s">
        <v>125</v>
      </c>
      <c r="S4876" t="s">
        <v>125</v>
      </c>
      <c r="T4876">
        <v>0</v>
      </c>
      <c r="V4876" t="s">
        <v>125</v>
      </c>
      <c r="AE4876" t="s">
        <v>125</v>
      </c>
      <c r="AF4876">
        <v>0</v>
      </c>
      <c r="AG4876" t="s">
        <v>125</v>
      </c>
      <c r="AH4876">
        <v>0</v>
      </c>
      <c r="AK4876">
        <v>0</v>
      </c>
    </row>
    <row r="4877" spans="1:37" x14ac:dyDescent="0.25">
      <c r="A4877" t="s">
        <v>79</v>
      </c>
      <c r="B4877">
        <v>19</v>
      </c>
      <c r="C4877">
        <v>1</v>
      </c>
      <c r="D4877">
        <v>5</v>
      </c>
      <c r="E4877">
        <v>8</v>
      </c>
      <c r="G4877">
        <v>1915</v>
      </c>
      <c r="H4877" t="s">
        <v>63</v>
      </c>
      <c r="I4877" t="s">
        <v>126</v>
      </c>
      <c r="J4877" t="s">
        <v>148</v>
      </c>
      <c r="L4877">
        <v>0</v>
      </c>
      <c r="M4877" t="s">
        <v>125</v>
      </c>
      <c r="O4877" t="s">
        <v>125</v>
      </c>
      <c r="P4877" t="s">
        <v>125</v>
      </c>
      <c r="Q4877" t="s">
        <v>125</v>
      </c>
      <c r="R4877" t="s">
        <v>125</v>
      </c>
      <c r="S4877" t="s">
        <v>125</v>
      </c>
      <c r="T4877">
        <v>0</v>
      </c>
      <c r="V4877" t="s">
        <v>125</v>
      </c>
      <c r="AE4877" t="s">
        <v>125</v>
      </c>
      <c r="AF4877">
        <v>0</v>
      </c>
      <c r="AG4877" t="s">
        <v>125</v>
      </c>
      <c r="AH4877">
        <v>0</v>
      </c>
      <c r="AK4877">
        <v>0</v>
      </c>
    </row>
    <row r="4878" spans="1:37" x14ac:dyDescent="0.25">
      <c r="A4878" t="s">
        <v>79</v>
      </c>
      <c r="B4878">
        <v>19</v>
      </c>
      <c r="C4878">
        <v>1</v>
      </c>
      <c r="D4878">
        <v>5</v>
      </c>
      <c r="E4878">
        <v>9</v>
      </c>
      <c r="G4878">
        <v>1915</v>
      </c>
      <c r="H4878" t="s">
        <v>63</v>
      </c>
      <c r="I4878" t="s">
        <v>74</v>
      </c>
      <c r="J4878" t="s">
        <v>149</v>
      </c>
      <c r="L4878">
        <v>0</v>
      </c>
      <c r="M4878" t="s">
        <v>125</v>
      </c>
      <c r="O4878" t="s">
        <v>125</v>
      </c>
      <c r="P4878" t="s">
        <v>125</v>
      </c>
      <c r="Q4878" t="s">
        <v>125</v>
      </c>
      <c r="R4878" t="s">
        <v>125</v>
      </c>
      <c r="S4878" t="s">
        <v>125</v>
      </c>
      <c r="T4878">
        <v>0</v>
      </c>
      <c r="V4878" t="s">
        <v>125</v>
      </c>
      <c r="AE4878" t="s">
        <v>125</v>
      </c>
      <c r="AF4878">
        <v>0</v>
      </c>
      <c r="AG4878" t="s">
        <v>125</v>
      </c>
      <c r="AH4878">
        <v>0</v>
      </c>
      <c r="AK4878">
        <v>0</v>
      </c>
    </row>
    <row r="4879" spans="1:37" x14ac:dyDescent="0.25">
      <c r="A4879" t="s">
        <v>79</v>
      </c>
      <c r="B4879">
        <v>19</v>
      </c>
      <c r="C4879">
        <v>1</v>
      </c>
      <c r="D4879">
        <v>5</v>
      </c>
      <c r="E4879">
        <v>10</v>
      </c>
      <c r="G4879">
        <v>1915</v>
      </c>
      <c r="H4879" t="s">
        <v>63</v>
      </c>
      <c r="I4879" t="s">
        <v>129</v>
      </c>
      <c r="J4879" t="s">
        <v>150</v>
      </c>
      <c r="L4879">
        <v>0</v>
      </c>
      <c r="M4879" t="s">
        <v>125</v>
      </c>
      <c r="O4879" t="s">
        <v>125</v>
      </c>
      <c r="P4879" t="s">
        <v>125</v>
      </c>
      <c r="Q4879" t="s">
        <v>125</v>
      </c>
      <c r="R4879" t="s">
        <v>125</v>
      </c>
      <c r="S4879" t="s">
        <v>125</v>
      </c>
      <c r="T4879">
        <v>0</v>
      </c>
      <c r="V4879" t="s">
        <v>125</v>
      </c>
      <c r="AE4879" t="s">
        <v>125</v>
      </c>
      <c r="AF4879">
        <v>0</v>
      </c>
      <c r="AG4879" t="s">
        <v>125</v>
      </c>
      <c r="AH4879">
        <v>0</v>
      </c>
      <c r="AK4879">
        <v>0</v>
      </c>
    </row>
    <row r="4880" spans="1:37" x14ac:dyDescent="0.25">
      <c r="A4880" t="s">
        <v>79</v>
      </c>
      <c r="B4880">
        <v>19</v>
      </c>
      <c r="C4880">
        <v>1</v>
      </c>
      <c r="D4880">
        <v>5</v>
      </c>
      <c r="E4880">
        <v>11</v>
      </c>
      <c r="G4880">
        <v>1915</v>
      </c>
      <c r="H4880" t="s">
        <v>63</v>
      </c>
      <c r="I4880" t="s">
        <v>131</v>
      </c>
      <c r="J4880" t="s">
        <v>151</v>
      </c>
      <c r="L4880">
        <v>0</v>
      </c>
      <c r="M4880" t="s">
        <v>125</v>
      </c>
      <c r="O4880" t="s">
        <v>125</v>
      </c>
      <c r="P4880" t="s">
        <v>125</v>
      </c>
      <c r="Q4880" t="s">
        <v>125</v>
      </c>
      <c r="R4880" t="s">
        <v>125</v>
      </c>
      <c r="S4880" t="s">
        <v>125</v>
      </c>
      <c r="T4880">
        <v>0</v>
      </c>
      <c r="V4880" t="s">
        <v>125</v>
      </c>
      <c r="AE4880" t="s">
        <v>125</v>
      </c>
      <c r="AF4880">
        <v>0</v>
      </c>
      <c r="AG4880" t="s">
        <v>125</v>
      </c>
      <c r="AH4880">
        <v>0</v>
      </c>
      <c r="AK4880">
        <v>0</v>
      </c>
    </row>
    <row r="4881" spans="1:37" x14ac:dyDescent="0.25">
      <c r="A4881" t="s">
        <v>79</v>
      </c>
      <c r="B4881">
        <v>19</v>
      </c>
      <c r="C4881">
        <v>1</v>
      </c>
      <c r="D4881">
        <v>5</v>
      </c>
      <c r="E4881">
        <v>12</v>
      </c>
      <c r="G4881">
        <v>1915</v>
      </c>
      <c r="H4881" t="s">
        <v>63</v>
      </c>
      <c r="I4881" t="s">
        <v>133</v>
      </c>
      <c r="J4881" t="s">
        <v>152</v>
      </c>
      <c r="L4881">
        <v>0</v>
      </c>
      <c r="M4881" t="s">
        <v>125</v>
      </c>
      <c r="O4881" t="s">
        <v>125</v>
      </c>
      <c r="P4881" t="s">
        <v>125</v>
      </c>
      <c r="Q4881" t="s">
        <v>125</v>
      </c>
      <c r="R4881" t="s">
        <v>125</v>
      </c>
      <c r="S4881" t="s">
        <v>125</v>
      </c>
      <c r="T4881">
        <v>0</v>
      </c>
      <c r="V4881" t="s">
        <v>125</v>
      </c>
      <c r="AE4881" t="s">
        <v>125</v>
      </c>
      <c r="AF4881">
        <v>0</v>
      </c>
      <c r="AG4881" t="s">
        <v>125</v>
      </c>
      <c r="AH4881">
        <v>0</v>
      </c>
      <c r="AK4881">
        <v>0</v>
      </c>
    </row>
    <row r="4882" spans="1:37" x14ac:dyDescent="0.25">
      <c r="A4882" t="s">
        <v>79</v>
      </c>
      <c r="B4882">
        <v>19</v>
      </c>
      <c r="C4882">
        <v>1</v>
      </c>
      <c r="D4882">
        <v>5</v>
      </c>
      <c r="E4882">
        <v>13</v>
      </c>
      <c r="G4882">
        <v>1915</v>
      </c>
      <c r="H4882" t="s">
        <v>63</v>
      </c>
      <c r="I4882" t="s">
        <v>135</v>
      </c>
      <c r="J4882" t="s">
        <v>153</v>
      </c>
      <c r="L4882">
        <v>0</v>
      </c>
      <c r="M4882" t="s">
        <v>125</v>
      </c>
      <c r="O4882" t="s">
        <v>125</v>
      </c>
      <c r="P4882" t="s">
        <v>125</v>
      </c>
      <c r="Q4882" t="s">
        <v>125</v>
      </c>
      <c r="R4882" t="s">
        <v>125</v>
      </c>
      <c r="S4882" t="s">
        <v>125</v>
      </c>
      <c r="T4882">
        <v>0</v>
      </c>
      <c r="V4882" t="s">
        <v>125</v>
      </c>
      <c r="AE4882" t="s">
        <v>125</v>
      </c>
      <c r="AF4882">
        <v>0</v>
      </c>
      <c r="AG4882" t="s">
        <v>125</v>
      </c>
      <c r="AH4882">
        <v>0</v>
      </c>
      <c r="AK4882">
        <v>0</v>
      </c>
    </row>
    <row r="4883" spans="1:37" x14ac:dyDescent="0.25">
      <c r="A4883" t="s">
        <v>79</v>
      </c>
      <c r="B4883">
        <v>19</v>
      </c>
      <c r="C4883">
        <v>1</v>
      </c>
      <c r="D4883">
        <v>5</v>
      </c>
      <c r="E4883">
        <v>14</v>
      </c>
      <c r="G4883">
        <v>1915</v>
      </c>
      <c r="H4883" t="s">
        <v>63</v>
      </c>
      <c r="I4883" t="s">
        <v>137</v>
      </c>
      <c r="J4883" t="s">
        <v>154</v>
      </c>
      <c r="L4883">
        <v>0</v>
      </c>
      <c r="M4883" t="s">
        <v>125</v>
      </c>
      <c r="O4883" t="s">
        <v>125</v>
      </c>
      <c r="P4883" t="s">
        <v>125</v>
      </c>
      <c r="Q4883" t="s">
        <v>125</v>
      </c>
      <c r="R4883" t="s">
        <v>125</v>
      </c>
      <c r="S4883" t="s">
        <v>125</v>
      </c>
      <c r="T4883">
        <v>0</v>
      </c>
      <c r="V4883" t="s">
        <v>125</v>
      </c>
      <c r="AE4883" t="s">
        <v>125</v>
      </c>
      <c r="AF4883">
        <v>0</v>
      </c>
      <c r="AG4883" t="s">
        <v>125</v>
      </c>
      <c r="AH4883">
        <v>0</v>
      </c>
      <c r="AK4883">
        <v>0</v>
      </c>
    </row>
    <row r="4884" spans="1:37" x14ac:dyDescent="0.25">
      <c r="A4884" t="s">
        <v>79</v>
      </c>
      <c r="B4884">
        <v>19</v>
      </c>
      <c r="C4884">
        <v>1</v>
      </c>
      <c r="D4884">
        <v>5</v>
      </c>
      <c r="E4884">
        <v>15</v>
      </c>
      <c r="G4884">
        <v>1915</v>
      </c>
      <c r="H4884" t="s">
        <v>63</v>
      </c>
      <c r="I4884" t="s">
        <v>139</v>
      </c>
      <c r="J4884" t="s">
        <v>155</v>
      </c>
      <c r="L4884">
        <v>0</v>
      </c>
      <c r="M4884" t="s">
        <v>125</v>
      </c>
      <c r="O4884" t="s">
        <v>125</v>
      </c>
      <c r="P4884" t="s">
        <v>125</v>
      </c>
      <c r="Q4884" t="s">
        <v>125</v>
      </c>
      <c r="R4884" t="s">
        <v>125</v>
      </c>
      <c r="S4884" t="s">
        <v>125</v>
      </c>
      <c r="T4884">
        <v>0</v>
      </c>
      <c r="V4884" t="s">
        <v>125</v>
      </c>
      <c r="AE4884" t="s">
        <v>125</v>
      </c>
      <c r="AF4884">
        <v>0</v>
      </c>
      <c r="AG4884" t="s">
        <v>125</v>
      </c>
      <c r="AH4884">
        <v>0</v>
      </c>
      <c r="AK4884">
        <v>0</v>
      </c>
    </row>
    <row r="4885" spans="1:37" x14ac:dyDescent="0.25">
      <c r="L4885">
        <v>0</v>
      </c>
    </row>
    <row r="4886" spans="1:37" x14ac:dyDescent="0.25">
      <c r="L4886">
        <v>0</v>
      </c>
    </row>
    <row r="4887" spans="1:37" x14ac:dyDescent="0.25">
      <c r="A4887" t="s">
        <v>66</v>
      </c>
      <c r="B4887">
        <v>19</v>
      </c>
      <c r="C4887">
        <v>2</v>
      </c>
      <c r="G4887">
        <v>19</v>
      </c>
      <c r="H4887" t="s">
        <v>63</v>
      </c>
      <c r="I4887" t="s">
        <v>5992</v>
      </c>
      <c r="L4887">
        <v>0</v>
      </c>
      <c r="M4887" t="s">
        <v>125</v>
      </c>
      <c r="N4887" t="s">
        <v>125</v>
      </c>
      <c r="V4887" t="s">
        <v>63</v>
      </c>
      <c r="Y4887" t="s">
        <v>63</v>
      </c>
      <c r="AA4887" t="s">
        <v>63</v>
      </c>
      <c r="AC4887" t="s">
        <v>63</v>
      </c>
      <c r="AE4887" t="s">
        <v>63</v>
      </c>
      <c r="AF4887">
        <v>0</v>
      </c>
      <c r="AG4887" t="s">
        <v>63</v>
      </c>
      <c r="AH4887">
        <v>0</v>
      </c>
      <c r="AK4887">
        <v>0</v>
      </c>
    </row>
    <row r="4888" spans="1:37" x14ac:dyDescent="0.25">
      <c r="L4888">
        <v>0</v>
      </c>
    </row>
    <row r="4889" spans="1:37" x14ac:dyDescent="0.25">
      <c r="A4889" t="s">
        <v>70</v>
      </c>
      <c r="B4889">
        <v>19</v>
      </c>
      <c r="C4889">
        <v>2</v>
      </c>
      <c r="D4889">
        <v>1</v>
      </c>
      <c r="G4889">
        <v>192</v>
      </c>
      <c r="L4889">
        <v>0</v>
      </c>
      <c r="M4889" t="s">
        <v>125</v>
      </c>
      <c r="P4889" t="s">
        <v>125</v>
      </c>
      <c r="R4889" t="s">
        <v>125</v>
      </c>
      <c r="S4889" t="s">
        <v>63</v>
      </c>
      <c r="V4889" t="s">
        <v>125</v>
      </c>
      <c r="X4889" t="s">
        <v>125</v>
      </c>
      <c r="Y4889" t="s">
        <v>125</v>
      </c>
      <c r="Z4889" t="s">
        <v>125</v>
      </c>
      <c r="AA4889" t="s">
        <v>125</v>
      </c>
      <c r="AB4889" t="s">
        <v>125</v>
      </c>
      <c r="AC4889" t="s">
        <v>125</v>
      </c>
      <c r="AE4889" t="s">
        <v>125</v>
      </c>
      <c r="AF4889">
        <v>0</v>
      </c>
      <c r="AG4889" t="s">
        <v>125</v>
      </c>
      <c r="AH4889">
        <v>0</v>
      </c>
      <c r="AK4889">
        <v>0</v>
      </c>
    </row>
    <row r="4890" spans="1:37" x14ac:dyDescent="0.25">
      <c r="A4890" t="s">
        <v>79</v>
      </c>
      <c r="B4890">
        <v>19</v>
      </c>
      <c r="C4890">
        <v>2</v>
      </c>
      <c r="D4890">
        <v>1</v>
      </c>
      <c r="E4890">
        <v>1</v>
      </c>
      <c r="G4890">
        <v>1921</v>
      </c>
      <c r="H4890" t="s">
        <v>63</v>
      </c>
      <c r="I4890" t="s">
        <v>80</v>
      </c>
      <c r="J4890" t="s">
        <v>141</v>
      </c>
      <c r="L4890">
        <v>0</v>
      </c>
      <c r="M4890" t="s">
        <v>125</v>
      </c>
      <c r="O4890" t="s">
        <v>125</v>
      </c>
      <c r="P4890" t="s">
        <v>125</v>
      </c>
      <c r="Q4890" t="s">
        <v>125</v>
      </c>
      <c r="R4890" t="s">
        <v>125</v>
      </c>
      <c r="S4890" t="s">
        <v>125</v>
      </c>
      <c r="T4890">
        <v>0</v>
      </c>
      <c r="V4890" t="s">
        <v>125</v>
      </c>
      <c r="AE4890" t="s">
        <v>125</v>
      </c>
      <c r="AF4890">
        <v>0</v>
      </c>
      <c r="AG4890" t="s">
        <v>125</v>
      </c>
      <c r="AH4890">
        <v>0</v>
      </c>
      <c r="AK4890">
        <v>0</v>
      </c>
    </row>
    <row r="4891" spans="1:37" x14ac:dyDescent="0.25">
      <c r="A4891" t="s">
        <v>79</v>
      </c>
      <c r="B4891">
        <v>19</v>
      </c>
      <c r="C4891">
        <v>2</v>
      </c>
      <c r="D4891">
        <v>1</v>
      </c>
      <c r="E4891">
        <v>2</v>
      </c>
      <c r="G4891">
        <v>1921</v>
      </c>
      <c r="H4891" t="s">
        <v>63</v>
      </c>
      <c r="I4891" t="s">
        <v>88</v>
      </c>
      <c r="J4891" t="s">
        <v>142</v>
      </c>
      <c r="L4891">
        <v>0</v>
      </c>
      <c r="M4891" t="s">
        <v>125</v>
      </c>
      <c r="O4891" t="s">
        <v>125</v>
      </c>
      <c r="P4891" t="s">
        <v>125</v>
      </c>
      <c r="Q4891" t="s">
        <v>125</v>
      </c>
      <c r="R4891" t="s">
        <v>125</v>
      </c>
      <c r="S4891" t="s">
        <v>125</v>
      </c>
      <c r="T4891">
        <v>0</v>
      </c>
      <c r="V4891" t="s">
        <v>125</v>
      </c>
      <c r="AE4891" t="s">
        <v>125</v>
      </c>
      <c r="AF4891">
        <v>0</v>
      </c>
      <c r="AG4891" t="s">
        <v>125</v>
      </c>
      <c r="AH4891">
        <v>0</v>
      </c>
      <c r="AK4891">
        <v>0</v>
      </c>
    </row>
    <row r="4892" spans="1:37" x14ac:dyDescent="0.25">
      <c r="A4892" t="s">
        <v>79</v>
      </c>
      <c r="B4892">
        <v>19</v>
      </c>
      <c r="C4892">
        <v>2</v>
      </c>
      <c r="D4892">
        <v>1</v>
      </c>
      <c r="E4892">
        <v>3</v>
      </c>
      <c r="G4892">
        <v>1921</v>
      </c>
      <c r="H4892" t="s">
        <v>63</v>
      </c>
      <c r="I4892" t="s">
        <v>95</v>
      </c>
      <c r="J4892" t="s">
        <v>143</v>
      </c>
      <c r="L4892">
        <v>0</v>
      </c>
      <c r="M4892" t="s">
        <v>125</v>
      </c>
      <c r="O4892" t="s">
        <v>125</v>
      </c>
      <c r="P4892" t="s">
        <v>125</v>
      </c>
      <c r="Q4892" t="s">
        <v>125</v>
      </c>
      <c r="R4892" t="s">
        <v>125</v>
      </c>
      <c r="S4892" t="s">
        <v>125</v>
      </c>
      <c r="T4892">
        <v>0</v>
      </c>
      <c r="V4892" t="s">
        <v>125</v>
      </c>
      <c r="AE4892" t="s">
        <v>125</v>
      </c>
      <c r="AF4892">
        <v>0</v>
      </c>
      <c r="AG4892" t="s">
        <v>125</v>
      </c>
      <c r="AH4892">
        <v>0</v>
      </c>
      <c r="AK4892">
        <v>0</v>
      </c>
    </row>
    <row r="4893" spans="1:37" x14ac:dyDescent="0.25">
      <c r="A4893" t="s">
        <v>79</v>
      </c>
      <c r="B4893">
        <v>19</v>
      </c>
      <c r="C4893">
        <v>2</v>
      </c>
      <c r="D4893">
        <v>1</v>
      </c>
      <c r="E4893">
        <v>4</v>
      </c>
      <c r="G4893">
        <v>1921</v>
      </c>
      <c r="H4893" t="s">
        <v>63</v>
      </c>
      <c r="I4893" t="s">
        <v>102</v>
      </c>
      <c r="J4893" t="s">
        <v>144</v>
      </c>
      <c r="L4893">
        <v>0</v>
      </c>
      <c r="M4893" t="s">
        <v>125</v>
      </c>
      <c r="O4893" t="s">
        <v>125</v>
      </c>
      <c r="P4893" t="s">
        <v>125</v>
      </c>
      <c r="Q4893" t="s">
        <v>125</v>
      </c>
      <c r="R4893" t="s">
        <v>125</v>
      </c>
      <c r="S4893" t="s">
        <v>125</v>
      </c>
      <c r="T4893">
        <v>0</v>
      </c>
      <c r="V4893" t="s">
        <v>125</v>
      </c>
      <c r="AE4893" t="s">
        <v>125</v>
      </c>
      <c r="AF4893">
        <v>0</v>
      </c>
      <c r="AG4893" t="s">
        <v>125</v>
      </c>
      <c r="AH4893">
        <v>0</v>
      </c>
      <c r="AK4893">
        <v>0</v>
      </c>
    </row>
    <row r="4894" spans="1:37" x14ac:dyDescent="0.25">
      <c r="A4894" t="s">
        <v>79</v>
      </c>
      <c r="B4894">
        <v>19</v>
      </c>
      <c r="C4894">
        <v>2</v>
      </c>
      <c r="D4894">
        <v>1</v>
      </c>
      <c r="E4894">
        <v>5</v>
      </c>
      <c r="G4894">
        <v>1921</v>
      </c>
      <c r="H4894" t="s">
        <v>63</v>
      </c>
      <c r="I4894" t="s">
        <v>109</v>
      </c>
      <c r="J4894" t="s">
        <v>145</v>
      </c>
      <c r="L4894">
        <v>0</v>
      </c>
      <c r="M4894" t="s">
        <v>125</v>
      </c>
      <c r="O4894" t="s">
        <v>125</v>
      </c>
      <c r="P4894" t="s">
        <v>125</v>
      </c>
      <c r="Q4894" t="s">
        <v>125</v>
      </c>
      <c r="R4894" t="s">
        <v>125</v>
      </c>
      <c r="S4894" t="s">
        <v>125</v>
      </c>
      <c r="T4894">
        <v>0</v>
      </c>
      <c r="V4894" t="s">
        <v>125</v>
      </c>
      <c r="AE4894" t="s">
        <v>125</v>
      </c>
      <c r="AF4894">
        <v>0</v>
      </c>
      <c r="AG4894" t="s">
        <v>125</v>
      </c>
      <c r="AH4894">
        <v>0</v>
      </c>
      <c r="AK4894">
        <v>0</v>
      </c>
    </row>
    <row r="4895" spans="1:37" x14ac:dyDescent="0.25">
      <c r="A4895" t="s">
        <v>79</v>
      </c>
      <c r="B4895">
        <v>19</v>
      </c>
      <c r="C4895">
        <v>2</v>
      </c>
      <c r="D4895">
        <v>1</v>
      </c>
      <c r="E4895">
        <v>6</v>
      </c>
      <c r="G4895">
        <v>1921</v>
      </c>
      <c r="H4895" t="s">
        <v>63</v>
      </c>
      <c r="I4895" t="s">
        <v>116</v>
      </c>
      <c r="J4895" t="s">
        <v>146</v>
      </c>
      <c r="L4895">
        <v>0</v>
      </c>
      <c r="M4895" t="s">
        <v>125</v>
      </c>
      <c r="O4895" t="s">
        <v>125</v>
      </c>
      <c r="P4895" t="s">
        <v>125</v>
      </c>
      <c r="Q4895" t="s">
        <v>125</v>
      </c>
      <c r="R4895" t="s">
        <v>125</v>
      </c>
      <c r="S4895" t="s">
        <v>125</v>
      </c>
      <c r="T4895">
        <v>0</v>
      </c>
      <c r="V4895" t="s">
        <v>125</v>
      </c>
      <c r="AE4895" t="s">
        <v>125</v>
      </c>
      <c r="AF4895">
        <v>0</v>
      </c>
      <c r="AG4895" t="s">
        <v>125</v>
      </c>
      <c r="AH4895">
        <v>0</v>
      </c>
      <c r="AK4895">
        <v>0</v>
      </c>
    </row>
    <row r="4896" spans="1:37" x14ac:dyDescent="0.25">
      <c r="A4896" t="s">
        <v>79</v>
      </c>
      <c r="B4896">
        <v>19</v>
      </c>
      <c r="C4896">
        <v>2</v>
      </c>
      <c r="D4896">
        <v>1</v>
      </c>
      <c r="E4896">
        <v>7</v>
      </c>
      <c r="G4896">
        <v>1921</v>
      </c>
      <c r="H4896" t="s">
        <v>63</v>
      </c>
      <c r="I4896" t="s">
        <v>123</v>
      </c>
      <c r="J4896" t="s">
        <v>147</v>
      </c>
      <c r="L4896">
        <v>0</v>
      </c>
      <c r="M4896" t="s">
        <v>125</v>
      </c>
      <c r="O4896" t="s">
        <v>125</v>
      </c>
      <c r="P4896" t="s">
        <v>125</v>
      </c>
      <c r="Q4896" t="s">
        <v>125</v>
      </c>
      <c r="R4896" t="s">
        <v>125</v>
      </c>
      <c r="S4896" t="s">
        <v>125</v>
      </c>
      <c r="T4896">
        <v>0</v>
      </c>
      <c r="V4896" t="s">
        <v>125</v>
      </c>
      <c r="AE4896" t="s">
        <v>125</v>
      </c>
      <c r="AF4896">
        <v>0</v>
      </c>
      <c r="AG4896" t="s">
        <v>125</v>
      </c>
      <c r="AH4896">
        <v>0</v>
      </c>
      <c r="AK4896">
        <v>0</v>
      </c>
    </row>
    <row r="4897" spans="1:37" x14ac:dyDescent="0.25">
      <c r="A4897" t="s">
        <v>79</v>
      </c>
      <c r="B4897">
        <v>19</v>
      </c>
      <c r="C4897">
        <v>2</v>
      </c>
      <c r="D4897">
        <v>1</v>
      </c>
      <c r="E4897">
        <v>8</v>
      </c>
      <c r="G4897">
        <v>1921</v>
      </c>
      <c r="H4897" t="s">
        <v>63</v>
      </c>
      <c r="I4897" t="s">
        <v>126</v>
      </c>
      <c r="J4897" t="s">
        <v>148</v>
      </c>
      <c r="L4897">
        <v>0</v>
      </c>
      <c r="M4897" t="s">
        <v>125</v>
      </c>
      <c r="O4897" t="s">
        <v>125</v>
      </c>
      <c r="P4897" t="s">
        <v>125</v>
      </c>
      <c r="Q4897" t="s">
        <v>125</v>
      </c>
      <c r="R4897" t="s">
        <v>125</v>
      </c>
      <c r="S4897" t="s">
        <v>125</v>
      </c>
      <c r="T4897">
        <v>0</v>
      </c>
      <c r="V4897" t="s">
        <v>125</v>
      </c>
      <c r="AE4897" t="s">
        <v>125</v>
      </c>
      <c r="AF4897">
        <v>0</v>
      </c>
      <c r="AG4897" t="s">
        <v>125</v>
      </c>
      <c r="AH4897">
        <v>0</v>
      </c>
      <c r="AK4897">
        <v>0</v>
      </c>
    </row>
    <row r="4898" spans="1:37" x14ac:dyDescent="0.25">
      <c r="A4898" t="s">
        <v>79</v>
      </c>
      <c r="B4898">
        <v>19</v>
      </c>
      <c r="C4898">
        <v>2</v>
      </c>
      <c r="D4898">
        <v>1</v>
      </c>
      <c r="E4898">
        <v>9</v>
      </c>
      <c r="G4898">
        <v>1921</v>
      </c>
      <c r="H4898" t="s">
        <v>63</v>
      </c>
      <c r="I4898" t="s">
        <v>74</v>
      </c>
      <c r="J4898" t="s">
        <v>149</v>
      </c>
      <c r="L4898">
        <v>0</v>
      </c>
      <c r="M4898" t="s">
        <v>125</v>
      </c>
      <c r="O4898" t="s">
        <v>125</v>
      </c>
      <c r="P4898" t="s">
        <v>125</v>
      </c>
      <c r="Q4898" t="s">
        <v>125</v>
      </c>
      <c r="R4898" t="s">
        <v>125</v>
      </c>
      <c r="S4898" t="s">
        <v>125</v>
      </c>
      <c r="T4898">
        <v>0</v>
      </c>
      <c r="V4898" t="s">
        <v>125</v>
      </c>
      <c r="AE4898" t="s">
        <v>125</v>
      </c>
      <c r="AF4898">
        <v>0</v>
      </c>
      <c r="AG4898" t="s">
        <v>125</v>
      </c>
      <c r="AH4898">
        <v>0</v>
      </c>
      <c r="AK4898">
        <v>0</v>
      </c>
    </row>
    <row r="4899" spans="1:37" x14ac:dyDescent="0.25">
      <c r="A4899" t="s">
        <v>79</v>
      </c>
      <c r="B4899">
        <v>19</v>
      </c>
      <c r="C4899">
        <v>2</v>
      </c>
      <c r="D4899">
        <v>1</v>
      </c>
      <c r="E4899">
        <v>10</v>
      </c>
      <c r="G4899">
        <v>1921</v>
      </c>
      <c r="H4899" t="s">
        <v>63</v>
      </c>
      <c r="I4899" t="s">
        <v>129</v>
      </c>
      <c r="J4899" t="s">
        <v>150</v>
      </c>
      <c r="L4899">
        <v>0</v>
      </c>
      <c r="M4899" t="s">
        <v>125</v>
      </c>
      <c r="O4899" t="s">
        <v>125</v>
      </c>
      <c r="P4899" t="s">
        <v>125</v>
      </c>
      <c r="Q4899" t="s">
        <v>125</v>
      </c>
      <c r="R4899" t="s">
        <v>125</v>
      </c>
      <c r="S4899" t="s">
        <v>125</v>
      </c>
      <c r="T4899">
        <v>0</v>
      </c>
      <c r="V4899" t="s">
        <v>125</v>
      </c>
      <c r="AE4899" t="s">
        <v>125</v>
      </c>
      <c r="AF4899">
        <v>0</v>
      </c>
      <c r="AG4899" t="s">
        <v>125</v>
      </c>
      <c r="AH4899">
        <v>0</v>
      </c>
      <c r="AK4899">
        <v>0</v>
      </c>
    </row>
    <row r="4900" spans="1:37" x14ac:dyDescent="0.25">
      <c r="A4900" t="s">
        <v>79</v>
      </c>
      <c r="B4900">
        <v>19</v>
      </c>
      <c r="C4900">
        <v>2</v>
      </c>
      <c r="D4900">
        <v>1</v>
      </c>
      <c r="E4900">
        <v>11</v>
      </c>
      <c r="G4900">
        <v>1921</v>
      </c>
      <c r="H4900" t="s">
        <v>63</v>
      </c>
      <c r="I4900" t="s">
        <v>131</v>
      </c>
      <c r="J4900" t="s">
        <v>151</v>
      </c>
      <c r="L4900">
        <v>0</v>
      </c>
      <c r="M4900" t="s">
        <v>125</v>
      </c>
      <c r="O4900" t="s">
        <v>125</v>
      </c>
      <c r="P4900" t="s">
        <v>125</v>
      </c>
      <c r="Q4900" t="s">
        <v>125</v>
      </c>
      <c r="R4900" t="s">
        <v>125</v>
      </c>
      <c r="S4900" t="s">
        <v>125</v>
      </c>
      <c r="T4900">
        <v>0</v>
      </c>
      <c r="V4900" t="s">
        <v>125</v>
      </c>
      <c r="AE4900" t="s">
        <v>125</v>
      </c>
      <c r="AF4900">
        <v>0</v>
      </c>
      <c r="AG4900" t="s">
        <v>125</v>
      </c>
      <c r="AH4900">
        <v>0</v>
      </c>
      <c r="AK4900">
        <v>0</v>
      </c>
    </row>
    <row r="4901" spans="1:37" x14ac:dyDescent="0.25">
      <c r="A4901" t="s">
        <v>79</v>
      </c>
      <c r="B4901">
        <v>19</v>
      </c>
      <c r="C4901">
        <v>2</v>
      </c>
      <c r="D4901">
        <v>1</v>
      </c>
      <c r="E4901">
        <v>12</v>
      </c>
      <c r="G4901">
        <v>1921</v>
      </c>
      <c r="H4901" t="s">
        <v>63</v>
      </c>
      <c r="I4901" t="s">
        <v>133</v>
      </c>
      <c r="J4901" t="s">
        <v>152</v>
      </c>
      <c r="L4901">
        <v>0</v>
      </c>
      <c r="M4901" t="s">
        <v>125</v>
      </c>
      <c r="O4901" t="s">
        <v>125</v>
      </c>
      <c r="P4901" t="s">
        <v>125</v>
      </c>
      <c r="Q4901" t="s">
        <v>125</v>
      </c>
      <c r="R4901" t="s">
        <v>125</v>
      </c>
      <c r="S4901" t="s">
        <v>125</v>
      </c>
      <c r="T4901">
        <v>0</v>
      </c>
      <c r="V4901" t="s">
        <v>125</v>
      </c>
      <c r="AE4901" t="s">
        <v>125</v>
      </c>
      <c r="AF4901">
        <v>0</v>
      </c>
      <c r="AG4901" t="s">
        <v>125</v>
      </c>
      <c r="AH4901">
        <v>0</v>
      </c>
      <c r="AK4901">
        <v>0</v>
      </c>
    </row>
    <row r="4902" spans="1:37" x14ac:dyDescent="0.25">
      <c r="A4902" t="s">
        <v>79</v>
      </c>
      <c r="B4902">
        <v>19</v>
      </c>
      <c r="C4902">
        <v>2</v>
      </c>
      <c r="D4902">
        <v>1</v>
      </c>
      <c r="E4902">
        <v>13</v>
      </c>
      <c r="G4902">
        <v>1921</v>
      </c>
      <c r="H4902" t="s">
        <v>63</v>
      </c>
      <c r="I4902" t="s">
        <v>135</v>
      </c>
      <c r="J4902" t="s">
        <v>153</v>
      </c>
      <c r="L4902">
        <v>0</v>
      </c>
      <c r="M4902" t="s">
        <v>125</v>
      </c>
      <c r="O4902" t="s">
        <v>125</v>
      </c>
      <c r="P4902" t="s">
        <v>125</v>
      </c>
      <c r="Q4902" t="s">
        <v>125</v>
      </c>
      <c r="R4902" t="s">
        <v>125</v>
      </c>
      <c r="S4902" t="s">
        <v>125</v>
      </c>
      <c r="T4902">
        <v>0</v>
      </c>
      <c r="V4902" t="s">
        <v>125</v>
      </c>
      <c r="AE4902" t="s">
        <v>125</v>
      </c>
      <c r="AF4902">
        <v>0</v>
      </c>
      <c r="AG4902" t="s">
        <v>125</v>
      </c>
      <c r="AH4902">
        <v>0</v>
      </c>
      <c r="AK4902">
        <v>0</v>
      </c>
    </row>
    <row r="4903" spans="1:37" x14ac:dyDescent="0.25">
      <c r="A4903" t="s">
        <v>79</v>
      </c>
      <c r="B4903">
        <v>19</v>
      </c>
      <c r="C4903">
        <v>2</v>
      </c>
      <c r="D4903">
        <v>1</v>
      </c>
      <c r="E4903">
        <v>14</v>
      </c>
      <c r="G4903">
        <v>1921</v>
      </c>
      <c r="H4903" t="s">
        <v>63</v>
      </c>
      <c r="I4903" t="s">
        <v>137</v>
      </c>
      <c r="J4903" t="s">
        <v>154</v>
      </c>
      <c r="L4903">
        <v>0</v>
      </c>
      <c r="M4903" t="s">
        <v>125</v>
      </c>
      <c r="O4903" t="s">
        <v>125</v>
      </c>
      <c r="P4903" t="s">
        <v>125</v>
      </c>
      <c r="Q4903" t="s">
        <v>125</v>
      </c>
      <c r="R4903" t="s">
        <v>125</v>
      </c>
      <c r="S4903" t="s">
        <v>125</v>
      </c>
      <c r="T4903">
        <v>0</v>
      </c>
      <c r="V4903" t="s">
        <v>125</v>
      </c>
      <c r="AE4903" t="s">
        <v>125</v>
      </c>
      <c r="AF4903">
        <v>0</v>
      </c>
      <c r="AG4903" t="s">
        <v>125</v>
      </c>
      <c r="AH4903">
        <v>0</v>
      </c>
      <c r="AK4903">
        <v>0</v>
      </c>
    </row>
    <row r="4904" spans="1:37" x14ac:dyDescent="0.25">
      <c r="A4904" t="s">
        <v>79</v>
      </c>
      <c r="B4904">
        <v>19</v>
      </c>
      <c r="C4904">
        <v>2</v>
      </c>
      <c r="D4904">
        <v>1</v>
      </c>
      <c r="E4904">
        <v>15</v>
      </c>
      <c r="G4904">
        <v>1921</v>
      </c>
      <c r="H4904" t="s">
        <v>63</v>
      </c>
      <c r="I4904" t="s">
        <v>139</v>
      </c>
      <c r="J4904" t="s">
        <v>155</v>
      </c>
      <c r="L4904">
        <v>0</v>
      </c>
      <c r="M4904" t="s">
        <v>125</v>
      </c>
      <c r="O4904" t="s">
        <v>125</v>
      </c>
      <c r="P4904" t="s">
        <v>125</v>
      </c>
      <c r="Q4904" t="s">
        <v>125</v>
      </c>
      <c r="R4904" t="s">
        <v>125</v>
      </c>
      <c r="S4904" t="s">
        <v>125</v>
      </c>
      <c r="T4904">
        <v>0</v>
      </c>
      <c r="V4904" t="s">
        <v>125</v>
      </c>
      <c r="AE4904" t="s">
        <v>125</v>
      </c>
      <c r="AF4904">
        <v>0</v>
      </c>
      <c r="AG4904" t="s">
        <v>125</v>
      </c>
      <c r="AH4904">
        <v>0</v>
      </c>
      <c r="AK4904">
        <v>0</v>
      </c>
    </row>
    <row r="4905" spans="1:37" x14ac:dyDescent="0.25">
      <c r="L4905">
        <v>0</v>
      </c>
    </row>
    <row r="4906" spans="1:37" x14ac:dyDescent="0.25">
      <c r="A4906" t="s">
        <v>70</v>
      </c>
      <c r="B4906">
        <v>19</v>
      </c>
      <c r="C4906">
        <v>2</v>
      </c>
      <c r="D4906">
        <v>2</v>
      </c>
      <c r="G4906">
        <v>192</v>
      </c>
      <c r="L4906">
        <v>0</v>
      </c>
      <c r="M4906" t="s">
        <v>125</v>
      </c>
      <c r="P4906" t="s">
        <v>125</v>
      </c>
      <c r="R4906" t="s">
        <v>125</v>
      </c>
      <c r="S4906" t="s">
        <v>63</v>
      </c>
      <c r="V4906" t="s">
        <v>125</v>
      </c>
      <c r="X4906" t="s">
        <v>125</v>
      </c>
      <c r="Y4906" t="s">
        <v>125</v>
      </c>
      <c r="Z4906" t="s">
        <v>125</v>
      </c>
      <c r="AA4906" t="s">
        <v>125</v>
      </c>
      <c r="AB4906" t="s">
        <v>125</v>
      </c>
      <c r="AC4906" t="s">
        <v>125</v>
      </c>
      <c r="AE4906" t="s">
        <v>125</v>
      </c>
      <c r="AF4906">
        <v>0</v>
      </c>
      <c r="AG4906" t="s">
        <v>125</v>
      </c>
      <c r="AH4906">
        <v>0</v>
      </c>
      <c r="AK4906">
        <v>0</v>
      </c>
    </row>
    <row r="4907" spans="1:37" x14ac:dyDescent="0.25">
      <c r="A4907" t="s">
        <v>79</v>
      </c>
      <c r="B4907">
        <v>19</v>
      </c>
      <c r="C4907">
        <v>2</v>
      </c>
      <c r="D4907">
        <v>2</v>
      </c>
      <c r="E4907">
        <v>1</v>
      </c>
      <c r="G4907">
        <v>1922</v>
      </c>
      <c r="H4907" t="s">
        <v>63</v>
      </c>
      <c r="I4907" t="s">
        <v>80</v>
      </c>
      <c r="J4907" t="s">
        <v>141</v>
      </c>
      <c r="L4907">
        <v>0</v>
      </c>
      <c r="M4907" t="s">
        <v>125</v>
      </c>
      <c r="O4907" t="s">
        <v>125</v>
      </c>
      <c r="P4907" t="s">
        <v>125</v>
      </c>
      <c r="Q4907" t="s">
        <v>125</v>
      </c>
      <c r="R4907" t="s">
        <v>125</v>
      </c>
      <c r="S4907" t="s">
        <v>125</v>
      </c>
      <c r="T4907">
        <v>0</v>
      </c>
      <c r="V4907" t="s">
        <v>125</v>
      </c>
      <c r="AE4907" t="s">
        <v>125</v>
      </c>
      <c r="AF4907">
        <v>0</v>
      </c>
      <c r="AG4907" t="s">
        <v>125</v>
      </c>
      <c r="AH4907">
        <v>0</v>
      </c>
      <c r="AK4907">
        <v>0</v>
      </c>
    </row>
    <row r="4908" spans="1:37" x14ac:dyDescent="0.25">
      <c r="A4908" t="s">
        <v>79</v>
      </c>
      <c r="B4908">
        <v>19</v>
      </c>
      <c r="C4908">
        <v>2</v>
      </c>
      <c r="D4908">
        <v>2</v>
      </c>
      <c r="E4908">
        <v>2</v>
      </c>
      <c r="G4908">
        <v>1922</v>
      </c>
      <c r="H4908" t="s">
        <v>63</v>
      </c>
      <c r="I4908" t="s">
        <v>88</v>
      </c>
      <c r="J4908" t="s">
        <v>142</v>
      </c>
      <c r="L4908">
        <v>0</v>
      </c>
      <c r="M4908" t="s">
        <v>125</v>
      </c>
      <c r="O4908" t="s">
        <v>125</v>
      </c>
      <c r="P4908" t="s">
        <v>125</v>
      </c>
      <c r="Q4908" t="s">
        <v>125</v>
      </c>
      <c r="R4908" t="s">
        <v>125</v>
      </c>
      <c r="S4908" t="s">
        <v>125</v>
      </c>
      <c r="T4908">
        <v>0</v>
      </c>
      <c r="V4908" t="s">
        <v>125</v>
      </c>
      <c r="AE4908" t="s">
        <v>125</v>
      </c>
      <c r="AF4908">
        <v>0</v>
      </c>
      <c r="AG4908" t="s">
        <v>125</v>
      </c>
      <c r="AH4908">
        <v>0</v>
      </c>
      <c r="AK4908">
        <v>0</v>
      </c>
    </row>
    <row r="4909" spans="1:37" x14ac:dyDescent="0.25">
      <c r="A4909" t="s">
        <v>79</v>
      </c>
      <c r="B4909">
        <v>19</v>
      </c>
      <c r="C4909">
        <v>2</v>
      </c>
      <c r="D4909">
        <v>2</v>
      </c>
      <c r="E4909">
        <v>3</v>
      </c>
      <c r="G4909">
        <v>1922</v>
      </c>
      <c r="H4909" t="s">
        <v>63</v>
      </c>
      <c r="I4909" t="s">
        <v>95</v>
      </c>
      <c r="J4909" t="s">
        <v>143</v>
      </c>
      <c r="L4909">
        <v>0</v>
      </c>
      <c r="M4909" t="s">
        <v>125</v>
      </c>
      <c r="O4909" t="s">
        <v>125</v>
      </c>
      <c r="P4909" t="s">
        <v>125</v>
      </c>
      <c r="Q4909" t="s">
        <v>125</v>
      </c>
      <c r="R4909" t="s">
        <v>125</v>
      </c>
      <c r="S4909" t="s">
        <v>125</v>
      </c>
      <c r="T4909">
        <v>0</v>
      </c>
      <c r="V4909" t="s">
        <v>125</v>
      </c>
      <c r="AE4909" t="s">
        <v>125</v>
      </c>
      <c r="AF4909">
        <v>0</v>
      </c>
      <c r="AG4909" t="s">
        <v>125</v>
      </c>
      <c r="AH4909">
        <v>0</v>
      </c>
      <c r="AK4909">
        <v>0</v>
      </c>
    </row>
    <row r="4910" spans="1:37" x14ac:dyDescent="0.25">
      <c r="A4910" t="s">
        <v>79</v>
      </c>
      <c r="B4910">
        <v>19</v>
      </c>
      <c r="C4910">
        <v>2</v>
      </c>
      <c r="D4910">
        <v>2</v>
      </c>
      <c r="E4910">
        <v>4</v>
      </c>
      <c r="G4910">
        <v>1922</v>
      </c>
      <c r="H4910" t="s">
        <v>63</v>
      </c>
      <c r="I4910" t="s">
        <v>102</v>
      </c>
      <c r="J4910" t="s">
        <v>144</v>
      </c>
      <c r="L4910">
        <v>0</v>
      </c>
      <c r="M4910" t="s">
        <v>125</v>
      </c>
      <c r="O4910" t="s">
        <v>125</v>
      </c>
      <c r="P4910" t="s">
        <v>125</v>
      </c>
      <c r="Q4910" t="s">
        <v>125</v>
      </c>
      <c r="R4910" t="s">
        <v>125</v>
      </c>
      <c r="S4910" t="s">
        <v>125</v>
      </c>
      <c r="T4910">
        <v>0</v>
      </c>
      <c r="V4910" t="s">
        <v>125</v>
      </c>
      <c r="AE4910" t="s">
        <v>125</v>
      </c>
      <c r="AF4910">
        <v>0</v>
      </c>
      <c r="AG4910" t="s">
        <v>125</v>
      </c>
      <c r="AH4910">
        <v>0</v>
      </c>
      <c r="AK4910">
        <v>0</v>
      </c>
    </row>
    <row r="4911" spans="1:37" x14ac:dyDescent="0.25">
      <c r="A4911" t="s">
        <v>79</v>
      </c>
      <c r="B4911">
        <v>19</v>
      </c>
      <c r="C4911">
        <v>2</v>
      </c>
      <c r="D4911">
        <v>2</v>
      </c>
      <c r="E4911">
        <v>5</v>
      </c>
      <c r="G4911">
        <v>1922</v>
      </c>
      <c r="H4911" t="s">
        <v>63</v>
      </c>
      <c r="I4911" t="s">
        <v>109</v>
      </c>
      <c r="J4911" t="s">
        <v>145</v>
      </c>
      <c r="L4911">
        <v>0</v>
      </c>
      <c r="M4911" t="s">
        <v>125</v>
      </c>
      <c r="O4911" t="s">
        <v>125</v>
      </c>
      <c r="P4911" t="s">
        <v>125</v>
      </c>
      <c r="Q4911" t="s">
        <v>125</v>
      </c>
      <c r="R4911" t="s">
        <v>125</v>
      </c>
      <c r="S4911" t="s">
        <v>125</v>
      </c>
      <c r="T4911">
        <v>0</v>
      </c>
      <c r="V4911" t="s">
        <v>125</v>
      </c>
      <c r="AE4911" t="s">
        <v>125</v>
      </c>
      <c r="AF4911">
        <v>0</v>
      </c>
      <c r="AG4911" t="s">
        <v>125</v>
      </c>
      <c r="AH4911">
        <v>0</v>
      </c>
      <c r="AK4911">
        <v>0</v>
      </c>
    </row>
    <row r="4912" spans="1:37" x14ac:dyDescent="0.25">
      <c r="A4912" t="s">
        <v>79</v>
      </c>
      <c r="B4912">
        <v>19</v>
      </c>
      <c r="C4912">
        <v>2</v>
      </c>
      <c r="D4912">
        <v>2</v>
      </c>
      <c r="E4912">
        <v>6</v>
      </c>
      <c r="G4912">
        <v>1922</v>
      </c>
      <c r="H4912" t="s">
        <v>63</v>
      </c>
      <c r="I4912" t="s">
        <v>116</v>
      </c>
      <c r="J4912" t="s">
        <v>146</v>
      </c>
      <c r="L4912">
        <v>0</v>
      </c>
      <c r="M4912" t="s">
        <v>125</v>
      </c>
      <c r="O4912" t="s">
        <v>125</v>
      </c>
      <c r="P4912" t="s">
        <v>125</v>
      </c>
      <c r="Q4912" t="s">
        <v>125</v>
      </c>
      <c r="R4912" t="s">
        <v>125</v>
      </c>
      <c r="S4912" t="s">
        <v>125</v>
      </c>
      <c r="T4912">
        <v>0</v>
      </c>
      <c r="V4912" t="s">
        <v>125</v>
      </c>
      <c r="AE4912" t="s">
        <v>125</v>
      </c>
      <c r="AF4912">
        <v>0</v>
      </c>
      <c r="AG4912" t="s">
        <v>125</v>
      </c>
      <c r="AH4912">
        <v>0</v>
      </c>
      <c r="AK4912">
        <v>0</v>
      </c>
    </row>
    <row r="4913" spans="1:37" x14ac:dyDescent="0.25">
      <c r="A4913" t="s">
        <v>79</v>
      </c>
      <c r="B4913">
        <v>19</v>
      </c>
      <c r="C4913">
        <v>2</v>
      </c>
      <c r="D4913">
        <v>2</v>
      </c>
      <c r="E4913">
        <v>7</v>
      </c>
      <c r="G4913">
        <v>1922</v>
      </c>
      <c r="H4913" t="s">
        <v>63</v>
      </c>
      <c r="I4913" t="s">
        <v>123</v>
      </c>
      <c r="J4913" t="s">
        <v>147</v>
      </c>
      <c r="L4913">
        <v>0</v>
      </c>
      <c r="M4913" t="s">
        <v>125</v>
      </c>
      <c r="O4913" t="s">
        <v>125</v>
      </c>
      <c r="P4913" t="s">
        <v>125</v>
      </c>
      <c r="Q4913" t="s">
        <v>125</v>
      </c>
      <c r="R4913" t="s">
        <v>125</v>
      </c>
      <c r="S4913" t="s">
        <v>125</v>
      </c>
      <c r="T4913">
        <v>0</v>
      </c>
      <c r="V4913" t="s">
        <v>125</v>
      </c>
      <c r="AE4913" t="s">
        <v>125</v>
      </c>
      <c r="AF4913">
        <v>0</v>
      </c>
      <c r="AG4913" t="s">
        <v>125</v>
      </c>
      <c r="AH4913">
        <v>0</v>
      </c>
      <c r="AK4913">
        <v>0</v>
      </c>
    </row>
    <row r="4914" spans="1:37" x14ac:dyDescent="0.25">
      <c r="A4914" t="s">
        <v>79</v>
      </c>
      <c r="B4914">
        <v>19</v>
      </c>
      <c r="C4914">
        <v>2</v>
      </c>
      <c r="D4914">
        <v>2</v>
      </c>
      <c r="E4914">
        <v>8</v>
      </c>
      <c r="G4914">
        <v>1922</v>
      </c>
      <c r="H4914" t="s">
        <v>63</v>
      </c>
      <c r="I4914" t="s">
        <v>126</v>
      </c>
      <c r="J4914" t="s">
        <v>148</v>
      </c>
      <c r="L4914">
        <v>0</v>
      </c>
      <c r="M4914" t="s">
        <v>125</v>
      </c>
      <c r="O4914" t="s">
        <v>125</v>
      </c>
      <c r="P4914" t="s">
        <v>125</v>
      </c>
      <c r="Q4914" t="s">
        <v>125</v>
      </c>
      <c r="R4914" t="s">
        <v>125</v>
      </c>
      <c r="S4914" t="s">
        <v>125</v>
      </c>
      <c r="T4914">
        <v>0</v>
      </c>
      <c r="V4914" t="s">
        <v>125</v>
      </c>
      <c r="AE4914" t="s">
        <v>125</v>
      </c>
      <c r="AF4914">
        <v>0</v>
      </c>
      <c r="AG4914" t="s">
        <v>125</v>
      </c>
      <c r="AH4914">
        <v>0</v>
      </c>
      <c r="AK4914">
        <v>0</v>
      </c>
    </row>
    <row r="4915" spans="1:37" x14ac:dyDescent="0.25">
      <c r="A4915" t="s">
        <v>79</v>
      </c>
      <c r="B4915">
        <v>19</v>
      </c>
      <c r="C4915">
        <v>2</v>
      </c>
      <c r="D4915">
        <v>2</v>
      </c>
      <c r="E4915">
        <v>9</v>
      </c>
      <c r="G4915">
        <v>1922</v>
      </c>
      <c r="H4915" t="s">
        <v>63</v>
      </c>
      <c r="I4915" t="s">
        <v>74</v>
      </c>
      <c r="J4915" t="s">
        <v>149</v>
      </c>
      <c r="L4915">
        <v>0</v>
      </c>
      <c r="M4915" t="s">
        <v>125</v>
      </c>
      <c r="O4915" t="s">
        <v>125</v>
      </c>
      <c r="P4915" t="s">
        <v>125</v>
      </c>
      <c r="Q4915" t="s">
        <v>125</v>
      </c>
      <c r="R4915" t="s">
        <v>125</v>
      </c>
      <c r="S4915" t="s">
        <v>125</v>
      </c>
      <c r="T4915">
        <v>0</v>
      </c>
      <c r="V4915" t="s">
        <v>125</v>
      </c>
      <c r="AE4915" t="s">
        <v>125</v>
      </c>
      <c r="AF4915">
        <v>0</v>
      </c>
      <c r="AG4915" t="s">
        <v>125</v>
      </c>
      <c r="AH4915">
        <v>0</v>
      </c>
      <c r="AK4915">
        <v>0</v>
      </c>
    </row>
    <row r="4916" spans="1:37" x14ac:dyDescent="0.25">
      <c r="A4916" t="s">
        <v>79</v>
      </c>
      <c r="B4916">
        <v>19</v>
      </c>
      <c r="C4916">
        <v>2</v>
      </c>
      <c r="D4916">
        <v>2</v>
      </c>
      <c r="E4916">
        <v>10</v>
      </c>
      <c r="G4916">
        <v>1922</v>
      </c>
      <c r="H4916" t="s">
        <v>63</v>
      </c>
      <c r="I4916" t="s">
        <v>129</v>
      </c>
      <c r="J4916" t="s">
        <v>150</v>
      </c>
      <c r="L4916">
        <v>0</v>
      </c>
      <c r="M4916" t="s">
        <v>125</v>
      </c>
      <c r="O4916" t="s">
        <v>125</v>
      </c>
      <c r="P4916" t="s">
        <v>125</v>
      </c>
      <c r="Q4916" t="s">
        <v>125</v>
      </c>
      <c r="R4916" t="s">
        <v>125</v>
      </c>
      <c r="S4916" t="s">
        <v>125</v>
      </c>
      <c r="T4916">
        <v>0</v>
      </c>
      <c r="V4916" t="s">
        <v>125</v>
      </c>
      <c r="AE4916" t="s">
        <v>125</v>
      </c>
      <c r="AF4916">
        <v>0</v>
      </c>
      <c r="AG4916" t="s">
        <v>125</v>
      </c>
      <c r="AH4916">
        <v>0</v>
      </c>
      <c r="AK4916">
        <v>0</v>
      </c>
    </row>
    <row r="4917" spans="1:37" x14ac:dyDescent="0.25">
      <c r="A4917" t="s">
        <v>79</v>
      </c>
      <c r="B4917">
        <v>19</v>
      </c>
      <c r="C4917">
        <v>2</v>
      </c>
      <c r="D4917">
        <v>2</v>
      </c>
      <c r="E4917">
        <v>11</v>
      </c>
      <c r="G4917">
        <v>1922</v>
      </c>
      <c r="H4917" t="s">
        <v>63</v>
      </c>
      <c r="I4917" t="s">
        <v>131</v>
      </c>
      <c r="J4917" t="s">
        <v>151</v>
      </c>
      <c r="L4917">
        <v>0</v>
      </c>
      <c r="M4917" t="s">
        <v>125</v>
      </c>
      <c r="O4917" t="s">
        <v>125</v>
      </c>
      <c r="P4917" t="s">
        <v>125</v>
      </c>
      <c r="Q4917" t="s">
        <v>125</v>
      </c>
      <c r="R4917" t="s">
        <v>125</v>
      </c>
      <c r="S4917" t="s">
        <v>125</v>
      </c>
      <c r="T4917">
        <v>0</v>
      </c>
      <c r="V4917" t="s">
        <v>125</v>
      </c>
      <c r="AE4917" t="s">
        <v>125</v>
      </c>
      <c r="AF4917">
        <v>0</v>
      </c>
      <c r="AG4917" t="s">
        <v>125</v>
      </c>
      <c r="AH4917">
        <v>0</v>
      </c>
      <c r="AK4917">
        <v>0</v>
      </c>
    </row>
    <row r="4918" spans="1:37" x14ac:dyDescent="0.25">
      <c r="A4918" t="s">
        <v>79</v>
      </c>
      <c r="B4918">
        <v>19</v>
      </c>
      <c r="C4918">
        <v>2</v>
      </c>
      <c r="D4918">
        <v>2</v>
      </c>
      <c r="E4918">
        <v>12</v>
      </c>
      <c r="G4918">
        <v>1922</v>
      </c>
      <c r="H4918" t="s">
        <v>63</v>
      </c>
      <c r="I4918" t="s">
        <v>133</v>
      </c>
      <c r="J4918" t="s">
        <v>152</v>
      </c>
      <c r="L4918">
        <v>0</v>
      </c>
      <c r="M4918" t="s">
        <v>125</v>
      </c>
      <c r="O4918" t="s">
        <v>125</v>
      </c>
      <c r="P4918" t="s">
        <v>125</v>
      </c>
      <c r="Q4918" t="s">
        <v>125</v>
      </c>
      <c r="R4918" t="s">
        <v>125</v>
      </c>
      <c r="S4918" t="s">
        <v>125</v>
      </c>
      <c r="T4918">
        <v>0</v>
      </c>
      <c r="V4918" t="s">
        <v>125</v>
      </c>
      <c r="AE4918" t="s">
        <v>125</v>
      </c>
      <c r="AF4918">
        <v>0</v>
      </c>
      <c r="AG4918" t="s">
        <v>125</v>
      </c>
      <c r="AH4918">
        <v>0</v>
      </c>
      <c r="AK4918">
        <v>0</v>
      </c>
    </row>
    <row r="4919" spans="1:37" x14ac:dyDescent="0.25">
      <c r="A4919" t="s">
        <v>79</v>
      </c>
      <c r="B4919">
        <v>19</v>
      </c>
      <c r="C4919">
        <v>2</v>
      </c>
      <c r="D4919">
        <v>2</v>
      </c>
      <c r="E4919">
        <v>13</v>
      </c>
      <c r="G4919">
        <v>1922</v>
      </c>
      <c r="H4919" t="s">
        <v>63</v>
      </c>
      <c r="I4919" t="s">
        <v>135</v>
      </c>
      <c r="J4919" t="s">
        <v>153</v>
      </c>
      <c r="L4919">
        <v>0</v>
      </c>
      <c r="M4919" t="s">
        <v>125</v>
      </c>
      <c r="O4919" t="s">
        <v>125</v>
      </c>
      <c r="P4919" t="s">
        <v>125</v>
      </c>
      <c r="Q4919" t="s">
        <v>125</v>
      </c>
      <c r="R4919" t="s">
        <v>125</v>
      </c>
      <c r="S4919" t="s">
        <v>125</v>
      </c>
      <c r="T4919">
        <v>0</v>
      </c>
      <c r="V4919" t="s">
        <v>125</v>
      </c>
      <c r="AE4919" t="s">
        <v>125</v>
      </c>
      <c r="AF4919">
        <v>0</v>
      </c>
      <c r="AG4919" t="s">
        <v>125</v>
      </c>
      <c r="AH4919">
        <v>0</v>
      </c>
      <c r="AK4919">
        <v>0</v>
      </c>
    </row>
    <row r="4920" spans="1:37" x14ac:dyDescent="0.25">
      <c r="A4920" t="s">
        <v>79</v>
      </c>
      <c r="B4920">
        <v>19</v>
      </c>
      <c r="C4920">
        <v>2</v>
      </c>
      <c r="D4920">
        <v>2</v>
      </c>
      <c r="E4920">
        <v>14</v>
      </c>
      <c r="G4920">
        <v>1922</v>
      </c>
      <c r="H4920" t="s">
        <v>63</v>
      </c>
      <c r="I4920" t="s">
        <v>137</v>
      </c>
      <c r="J4920" t="s">
        <v>154</v>
      </c>
      <c r="L4920">
        <v>0</v>
      </c>
      <c r="M4920" t="s">
        <v>125</v>
      </c>
      <c r="O4920" t="s">
        <v>125</v>
      </c>
      <c r="P4920" t="s">
        <v>125</v>
      </c>
      <c r="Q4920" t="s">
        <v>125</v>
      </c>
      <c r="R4920" t="s">
        <v>125</v>
      </c>
      <c r="S4920" t="s">
        <v>125</v>
      </c>
      <c r="T4920">
        <v>0</v>
      </c>
      <c r="V4920" t="s">
        <v>125</v>
      </c>
      <c r="AE4920" t="s">
        <v>125</v>
      </c>
      <c r="AF4920">
        <v>0</v>
      </c>
      <c r="AG4920" t="s">
        <v>125</v>
      </c>
      <c r="AH4920">
        <v>0</v>
      </c>
      <c r="AK4920">
        <v>0</v>
      </c>
    </row>
    <row r="4921" spans="1:37" x14ac:dyDescent="0.25">
      <c r="A4921" t="s">
        <v>79</v>
      </c>
      <c r="B4921">
        <v>19</v>
      </c>
      <c r="C4921">
        <v>2</v>
      </c>
      <c r="D4921">
        <v>2</v>
      </c>
      <c r="E4921">
        <v>15</v>
      </c>
      <c r="G4921">
        <v>1922</v>
      </c>
      <c r="H4921" t="s">
        <v>63</v>
      </c>
      <c r="I4921" t="s">
        <v>139</v>
      </c>
      <c r="J4921" t="s">
        <v>155</v>
      </c>
      <c r="L4921">
        <v>0</v>
      </c>
      <c r="M4921" t="s">
        <v>125</v>
      </c>
      <c r="O4921" t="s">
        <v>125</v>
      </c>
      <c r="P4921" t="s">
        <v>125</v>
      </c>
      <c r="Q4921" t="s">
        <v>125</v>
      </c>
      <c r="R4921" t="s">
        <v>125</v>
      </c>
      <c r="S4921" t="s">
        <v>125</v>
      </c>
      <c r="T4921">
        <v>0</v>
      </c>
      <c r="V4921" t="s">
        <v>125</v>
      </c>
      <c r="AE4921" t="s">
        <v>125</v>
      </c>
      <c r="AF4921">
        <v>0</v>
      </c>
      <c r="AG4921" t="s">
        <v>125</v>
      </c>
      <c r="AH4921">
        <v>0</v>
      </c>
      <c r="AK4921">
        <v>0</v>
      </c>
    </row>
    <row r="4922" spans="1:37" x14ac:dyDescent="0.25">
      <c r="L4922">
        <v>0</v>
      </c>
    </row>
    <row r="4923" spans="1:37" x14ac:dyDescent="0.25">
      <c r="A4923" t="s">
        <v>70</v>
      </c>
      <c r="B4923">
        <v>19</v>
      </c>
      <c r="C4923">
        <v>2</v>
      </c>
      <c r="D4923">
        <v>3</v>
      </c>
      <c r="G4923">
        <v>192</v>
      </c>
      <c r="L4923">
        <v>0</v>
      </c>
      <c r="M4923" t="s">
        <v>125</v>
      </c>
      <c r="P4923" t="s">
        <v>125</v>
      </c>
      <c r="R4923" t="s">
        <v>125</v>
      </c>
      <c r="S4923" t="s">
        <v>63</v>
      </c>
      <c r="V4923" t="s">
        <v>125</v>
      </c>
      <c r="X4923" t="s">
        <v>125</v>
      </c>
      <c r="Y4923" t="s">
        <v>125</v>
      </c>
      <c r="Z4923" t="s">
        <v>125</v>
      </c>
      <c r="AA4923" t="s">
        <v>125</v>
      </c>
      <c r="AB4923" t="s">
        <v>125</v>
      </c>
      <c r="AC4923" t="s">
        <v>125</v>
      </c>
      <c r="AE4923" t="s">
        <v>125</v>
      </c>
      <c r="AF4923">
        <v>0</v>
      </c>
      <c r="AG4923" t="s">
        <v>125</v>
      </c>
      <c r="AH4923">
        <v>0</v>
      </c>
      <c r="AK4923">
        <v>0</v>
      </c>
    </row>
    <row r="4924" spans="1:37" x14ac:dyDescent="0.25">
      <c r="A4924" t="s">
        <v>79</v>
      </c>
      <c r="B4924">
        <v>19</v>
      </c>
      <c r="C4924">
        <v>2</v>
      </c>
      <c r="D4924">
        <v>3</v>
      </c>
      <c r="E4924">
        <v>1</v>
      </c>
      <c r="G4924">
        <v>1923</v>
      </c>
      <c r="H4924" t="s">
        <v>63</v>
      </c>
      <c r="I4924" t="s">
        <v>80</v>
      </c>
      <c r="J4924" t="s">
        <v>141</v>
      </c>
      <c r="L4924">
        <v>0</v>
      </c>
      <c r="M4924" t="s">
        <v>125</v>
      </c>
      <c r="O4924" t="s">
        <v>125</v>
      </c>
      <c r="P4924" t="s">
        <v>125</v>
      </c>
      <c r="Q4924" t="s">
        <v>125</v>
      </c>
      <c r="R4924" t="s">
        <v>125</v>
      </c>
      <c r="S4924" t="s">
        <v>125</v>
      </c>
      <c r="T4924">
        <v>0</v>
      </c>
      <c r="V4924" t="s">
        <v>125</v>
      </c>
      <c r="AE4924" t="s">
        <v>125</v>
      </c>
      <c r="AF4924">
        <v>0</v>
      </c>
      <c r="AG4924" t="s">
        <v>125</v>
      </c>
      <c r="AH4924">
        <v>0</v>
      </c>
      <c r="AK4924">
        <v>0</v>
      </c>
    </row>
    <row r="4925" spans="1:37" x14ac:dyDescent="0.25">
      <c r="A4925" t="s">
        <v>79</v>
      </c>
      <c r="B4925">
        <v>19</v>
      </c>
      <c r="C4925">
        <v>2</v>
      </c>
      <c r="D4925">
        <v>3</v>
      </c>
      <c r="E4925">
        <v>2</v>
      </c>
      <c r="G4925">
        <v>1923</v>
      </c>
      <c r="H4925" t="s">
        <v>63</v>
      </c>
      <c r="I4925" t="s">
        <v>88</v>
      </c>
      <c r="J4925" t="s">
        <v>142</v>
      </c>
      <c r="L4925">
        <v>0</v>
      </c>
      <c r="M4925" t="s">
        <v>125</v>
      </c>
      <c r="O4925" t="s">
        <v>125</v>
      </c>
      <c r="P4925" t="s">
        <v>125</v>
      </c>
      <c r="Q4925" t="s">
        <v>125</v>
      </c>
      <c r="R4925" t="s">
        <v>125</v>
      </c>
      <c r="S4925" t="s">
        <v>125</v>
      </c>
      <c r="T4925">
        <v>0</v>
      </c>
      <c r="V4925" t="s">
        <v>125</v>
      </c>
      <c r="AE4925" t="s">
        <v>125</v>
      </c>
      <c r="AF4925">
        <v>0</v>
      </c>
      <c r="AG4925" t="s">
        <v>125</v>
      </c>
      <c r="AH4925">
        <v>0</v>
      </c>
      <c r="AK4925">
        <v>0</v>
      </c>
    </row>
    <row r="4926" spans="1:37" x14ac:dyDescent="0.25">
      <c r="A4926" t="s">
        <v>79</v>
      </c>
      <c r="B4926">
        <v>19</v>
      </c>
      <c r="C4926">
        <v>2</v>
      </c>
      <c r="D4926">
        <v>3</v>
      </c>
      <c r="E4926">
        <v>3</v>
      </c>
      <c r="G4926">
        <v>1923</v>
      </c>
      <c r="H4926" t="s">
        <v>63</v>
      </c>
      <c r="I4926" t="s">
        <v>95</v>
      </c>
      <c r="J4926" t="s">
        <v>143</v>
      </c>
      <c r="L4926">
        <v>0</v>
      </c>
      <c r="M4926" t="s">
        <v>125</v>
      </c>
      <c r="O4926" t="s">
        <v>125</v>
      </c>
      <c r="P4926" t="s">
        <v>125</v>
      </c>
      <c r="Q4926" t="s">
        <v>125</v>
      </c>
      <c r="R4926" t="s">
        <v>125</v>
      </c>
      <c r="S4926" t="s">
        <v>125</v>
      </c>
      <c r="T4926">
        <v>0</v>
      </c>
      <c r="V4926" t="s">
        <v>125</v>
      </c>
      <c r="AE4926" t="s">
        <v>125</v>
      </c>
      <c r="AF4926">
        <v>0</v>
      </c>
      <c r="AG4926" t="s">
        <v>125</v>
      </c>
      <c r="AH4926">
        <v>0</v>
      </c>
      <c r="AK4926">
        <v>0</v>
      </c>
    </row>
    <row r="4927" spans="1:37" x14ac:dyDescent="0.25">
      <c r="A4927" t="s">
        <v>79</v>
      </c>
      <c r="B4927">
        <v>19</v>
      </c>
      <c r="C4927">
        <v>2</v>
      </c>
      <c r="D4927">
        <v>3</v>
      </c>
      <c r="E4927">
        <v>4</v>
      </c>
      <c r="G4927">
        <v>1923</v>
      </c>
      <c r="H4927" t="s">
        <v>63</v>
      </c>
      <c r="I4927" t="s">
        <v>102</v>
      </c>
      <c r="J4927" t="s">
        <v>144</v>
      </c>
      <c r="L4927">
        <v>0</v>
      </c>
      <c r="M4927" t="s">
        <v>125</v>
      </c>
      <c r="O4927" t="s">
        <v>125</v>
      </c>
      <c r="P4927" t="s">
        <v>125</v>
      </c>
      <c r="Q4927" t="s">
        <v>125</v>
      </c>
      <c r="R4927" t="s">
        <v>125</v>
      </c>
      <c r="S4927" t="s">
        <v>125</v>
      </c>
      <c r="T4927">
        <v>0</v>
      </c>
      <c r="V4927" t="s">
        <v>125</v>
      </c>
      <c r="AE4927" t="s">
        <v>125</v>
      </c>
      <c r="AF4927">
        <v>0</v>
      </c>
      <c r="AG4927" t="s">
        <v>125</v>
      </c>
      <c r="AH4927">
        <v>0</v>
      </c>
      <c r="AK4927">
        <v>0</v>
      </c>
    </row>
    <row r="4928" spans="1:37" x14ac:dyDescent="0.25">
      <c r="A4928" t="s">
        <v>79</v>
      </c>
      <c r="B4928">
        <v>19</v>
      </c>
      <c r="C4928">
        <v>2</v>
      </c>
      <c r="D4928">
        <v>3</v>
      </c>
      <c r="E4928">
        <v>5</v>
      </c>
      <c r="G4928">
        <v>1923</v>
      </c>
      <c r="H4928" t="s">
        <v>63</v>
      </c>
      <c r="I4928" t="s">
        <v>109</v>
      </c>
      <c r="J4928" t="s">
        <v>145</v>
      </c>
      <c r="L4928">
        <v>0</v>
      </c>
      <c r="M4928" t="s">
        <v>125</v>
      </c>
      <c r="O4928" t="s">
        <v>125</v>
      </c>
      <c r="P4928" t="s">
        <v>125</v>
      </c>
      <c r="Q4928" t="s">
        <v>125</v>
      </c>
      <c r="R4928" t="s">
        <v>125</v>
      </c>
      <c r="S4928" t="s">
        <v>125</v>
      </c>
      <c r="T4928">
        <v>0</v>
      </c>
      <c r="V4928" t="s">
        <v>125</v>
      </c>
      <c r="AE4928" t="s">
        <v>125</v>
      </c>
      <c r="AF4928">
        <v>0</v>
      </c>
      <c r="AG4928" t="s">
        <v>125</v>
      </c>
      <c r="AH4928">
        <v>0</v>
      </c>
      <c r="AK4928">
        <v>0</v>
      </c>
    </row>
    <row r="4929" spans="1:37" x14ac:dyDescent="0.25">
      <c r="A4929" t="s">
        <v>79</v>
      </c>
      <c r="B4929">
        <v>19</v>
      </c>
      <c r="C4929">
        <v>2</v>
      </c>
      <c r="D4929">
        <v>3</v>
      </c>
      <c r="E4929">
        <v>6</v>
      </c>
      <c r="G4929">
        <v>1923</v>
      </c>
      <c r="H4929" t="s">
        <v>63</v>
      </c>
      <c r="I4929" t="s">
        <v>116</v>
      </c>
      <c r="J4929" t="s">
        <v>146</v>
      </c>
      <c r="L4929">
        <v>0</v>
      </c>
      <c r="M4929" t="s">
        <v>125</v>
      </c>
      <c r="O4929" t="s">
        <v>125</v>
      </c>
      <c r="P4929" t="s">
        <v>125</v>
      </c>
      <c r="Q4929" t="s">
        <v>125</v>
      </c>
      <c r="R4929" t="s">
        <v>125</v>
      </c>
      <c r="S4929" t="s">
        <v>125</v>
      </c>
      <c r="T4929">
        <v>0</v>
      </c>
      <c r="V4929" t="s">
        <v>125</v>
      </c>
      <c r="AE4929" t="s">
        <v>125</v>
      </c>
      <c r="AF4929">
        <v>0</v>
      </c>
      <c r="AG4929" t="s">
        <v>125</v>
      </c>
      <c r="AH4929">
        <v>0</v>
      </c>
      <c r="AK4929">
        <v>0</v>
      </c>
    </row>
    <row r="4930" spans="1:37" x14ac:dyDescent="0.25">
      <c r="A4930" t="s">
        <v>79</v>
      </c>
      <c r="B4930">
        <v>19</v>
      </c>
      <c r="C4930">
        <v>2</v>
      </c>
      <c r="D4930">
        <v>3</v>
      </c>
      <c r="E4930">
        <v>7</v>
      </c>
      <c r="G4930">
        <v>1923</v>
      </c>
      <c r="H4930" t="s">
        <v>63</v>
      </c>
      <c r="I4930" t="s">
        <v>123</v>
      </c>
      <c r="J4930" t="s">
        <v>147</v>
      </c>
      <c r="L4930">
        <v>0</v>
      </c>
      <c r="M4930" t="s">
        <v>125</v>
      </c>
      <c r="O4930" t="s">
        <v>125</v>
      </c>
      <c r="P4930" t="s">
        <v>125</v>
      </c>
      <c r="Q4930" t="s">
        <v>125</v>
      </c>
      <c r="R4930" t="s">
        <v>125</v>
      </c>
      <c r="S4930" t="s">
        <v>125</v>
      </c>
      <c r="T4930">
        <v>0</v>
      </c>
      <c r="V4930" t="s">
        <v>125</v>
      </c>
      <c r="AE4930" t="s">
        <v>125</v>
      </c>
      <c r="AF4930">
        <v>0</v>
      </c>
      <c r="AG4930" t="s">
        <v>125</v>
      </c>
      <c r="AH4930">
        <v>0</v>
      </c>
      <c r="AK4930">
        <v>0</v>
      </c>
    </row>
    <row r="4931" spans="1:37" x14ac:dyDescent="0.25">
      <c r="A4931" t="s">
        <v>79</v>
      </c>
      <c r="B4931">
        <v>19</v>
      </c>
      <c r="C4931">
        <v>2</v>
      </c>
      <c r="D4931">
        <v>3</v>
      </c>
      <c r="E4931">
        <v>8</v>
      </c>
      <c r="G4931">
        <v>1923</v>
      </c>
      <c r="H4931" t="s">
        <v>63</v>
      </c>
      <c r="I4931" t="s">
        <v>126</v>
      </c>
      <c r="J4931" t="s">
        <v>148</v>
      </c>
      <c r="L4931">
        <v>0</v>
      </c>
      <c r="M4931" t="s">
        <v>125</v>
      </c>
      <c r="O4931" t="s">
        <v>125</v>
      </c>
      <c r="P4931" t="s">
        <v>125</v>
      </c>
      <c r="Q4931" t="s">
        <v>125</v>
      </c>
      <c r="R4931" t="s">
        <v>125</v>
      </c>
      <c r="S4931" t="s">
        <v>125</v>
      </c>
      <c r="T4931">
        <v>0</v>
      </c>
      <c r="V4931" t="s">
        <v>125</v>
      </c>
      <c r="AE4931" t="s">
        <v>125</v>
      </c>
      <c r="AF4931">
        <v>0</v>
      </c>
      <c r="AG4931" t="s">
        <v>125</v>
      </c>
      <c r="AH4931">
        <v>0</v>
      </c>
      <c r="AK4931">
        <v>0</v>
      </c>
    </row>
    <row r="4932" spans="1:37" x14ac:dyDescent="0.25">
      <c r="A4932" t="s">
        <v>79</v>
      </c>
      <c r="B4932">
        <v>19</v>
      </c>
      <c r="C4932">
        <v>2</v>
      </c>
      <c r="D4932">
        <v>3</v>
      </c>
      <c r="E4932">
        <v>9</v>
      </c>
      <c r="G4932">
        <v>1923</v>
      </c>
      <c r="H4932" t="s">
        <v>63</v>
      </c>
      <c r="I4932" t="s">
        <v>74</v>
      </c>
      <c r="J4932" t="s">
        <v>149</v>
      </c>
      <c r="L4932">
        <v>0</v>
      </c>
      <c r="M4932" t="s">
        <v>125</v>
      </c>
      <c r="O4932" t="s">
        <v>125</v>
      </c>
      <c r="P4932" t="s">
        <v>125</v>
      </c>
      <c r="Q4932" t="s">
        <v>125</v>
      </c>
      <c r="R4932" t="s">
        <v>125</v>
      </c>
      <c r="S4932" t="s">
        <v>125</v>
      </c>
      <c r="T4932">
        <v>0</v>
      </c>
      <c r="V4932" t="s">
        <v>125</v>
      </c>
      <c r="AE4932" t="s">
        <v>125</v>
      </c>
      <c r="AF4932">
        <v>0</v>
      </c>
      <c r="AG4932" t="s">
        <v>125</v>
      </c>
      <c r="AH4932">
        <v>0</v>
      </c>
      <c r="AK4932">
        <v>0</v>
      </c>
    </row>
    <row r="4933" spans="1:37" x14ac:dyDescent="0.25">
      <c r="A4933" t="s">
        <v>79</v>
      </c>
      <c r="B4933">
        <v>19</v>
      </c>
      <c r="C4933">
        <v>2</v>
      </c>
      <c r="D4933">
        <v>3</v>
      </c>
      <c r="E4933">
        <v>10</v>
      </c>
      <c r="G4933">
        <v>1923</v>
      </c>
      <c r="H4933" t="s">
        <v>63</v>
      </c>
      <c r="I4933" t="s">
        <v>129</v>
      </c>
      <c r="J4933" t="s">
        <v>150</v>
      </c>
      <c r="L4933">
        <v>0</v>
      </c>
      <c r="M4933" t="s">
        <v>125</v>
      </c>
      <c r="O4933" t="s">
        <v>125</v>
      </c>
      <c r="P4933" t="s">
        <v>125</v>
      </c>
      <c r="Q4933" t="s">
        <v>125</v>
      </c>
      <c r="R4933" t="s">
        <v>125</v>
      </c>
      <c r="S4933" t="s">
        <v>125</v>
      </c>
      <c r="T4933">
        <v>0</v>
      </c>
      <c r="V4933" t="s">
        <v>125</v>
      </c>
      <c r="AE4933" t="s">
        <v>125</v>
      </c>
      <c r="AF4933">
        <v>0</v>
      </c>
      <c r="AG4933" t="s">
        <v>125</v>
      </c>
      <c r="AH4933">
        <v>0</v>
      </c>
      <c r="AK4933">
        <v>0</v>
      </c>
    </row>
    <row r="4934" spans="1:37" x14ac:dyDescent="0.25">
      <c r="A4934" t="s">
        <v>79</v>
      </c>
      <c r="B4934">
        <v>19</v>
      </c>
      <c r="C4934">
        <v>2</v>
      </c>
      <c r="D4934">
        <v>3</v>
      </c>
      <c r="E4934">
        <v>11</v>
      </c>
      <c r="G4934">
        <v>1923</v>
      </c>
      <c r="H4934" t="s">
        <v>63</v>
      </c>
      <c r="I4934" t="s">
        <v>131</v>
      </c>
      <c r="J4934" t="s">
        <v>151</v>
      </c>
      <c r="L4934">
        <v>0</v>
      </c>
      <c r="M4934" t="s">
        <v>125</v>
      </c>
      <c r="O4934" t="s">
        <v>125</v>
      </c>
      <c r="P4934" t="s">
        <v>125</v>
      </c>
      <c r="Q4934" t="s">
        <v>125</v>
      </c>
      <c r="R4934" t="s">
        <v>125</v>
      </c>
      <c r="S4934" t="s">
        <v>125</v>
      </c>
      <c r="T4934">
        <v>0</v>
      </c>
      <c r="V4934" t="s">
        <v>125</v>
      </c>
      <c r="AE4934" t="s">
        <v>125</v>
      </c>
      <c r="AF4934">
        <v>0</v>
      </c>
      <c r="AG4934" t="s">
        <v>125</v>
      </c>
      <c r="AH4934">
        <v>0</v>
      </c>
      <c r="AK4934">
        <v>0</v>
      </c>
    </row>
    <row r="4935" spans="1:37" x14ac:dyDescent="0.25">
      <c r="A4935" t="s">
        <v>79</v>
      </c>
      <c r="B4935">
        <v>19</v>
      </c>
      <c r="C4935">
        <v>2</v>
      </c>
      <c r="D4935">
        <v>3</v>
      </c>
      <c r="E4935">
        <v>12</v>
      </c>
      <c r="G4935">
        <v>1923</v>
      </c>
      <c r="H4935" t="s">
        <v>63</v>
      </c>
      <c r="I4935" t="s">
        <v>133</v>
      </c>
      <c r="J4935" t="s">
        <v>152</v>
      </c>
      <c r="L4935">
        <v>0</v>
      </c>
      <c r="M4935" t="s">
        <v>125</v>
      </c>
      <c r="O4935" t="s">
        <v>125</v>
      </c>
      <c r="P4935" t="s">
        <v>125</v>
      </c>
      <c r="Q4935" t="s">
        <v>125</v>
      </c>
      <c r="R4935" t="s">
        <v>125</v>
      </c>
      <c r="S4935" t="s">
        <v>125</v>
      </c>
      <c r="T4935">
        <v>0</v>
      </c>
      <c r="V4935" t="s">
        <v>125</v>
      </c>
      <c r="AE4935" t="s">
        <v>125</v>
      </c>
      <c r="AF4935">
        <v>0</v>
      </c>
      <c r="AG4935" t="s">
        <v>125</v>
      </c>
      <c r="AH4935">
        <v>0</v>
      </c>
      <c r="AK4935">
        <v>0</v>
      </c>
    </row>
    <row r="4936" spans="1:37" x14ac:dyDescent="0.25">
      <c r="A4936" t="s">
        <v>79</v>
      </c>
      <c r="B4936">
        <v>19</v>
      </c>
      <c r="C4936">
        <v>2</v>
      </c>
      <c r="D4936">
        <v>3</v>
      </c>
      <c r="E4936">
        <v>13</v>
      </c>
      <c r="G4936">
        <v>1923</v>
      </c>
      <c r="H4936" t="s">
        <v>63</v>
      </c>
      <c r="I4936" t="s">
        <v>135</v>
      </c>
      <c r="J4936" t="s">
        <v>153</v>
      </c>
      <c r="L4936">
        <v>0</v>
      </c>
      <c r="M4936" t="s">
        <v>125</v>
      </c>
      <c r="O4936" t="s">
        <v>125</v>
      </c>
      <c r="P4936" t="s">
        <v>125</v>
      </c>
      <c r="Q4936" t="s">
        <v>125</v>
      </c>
      <c r="R4936" t="s">
        <v>125</v>
      </c>
      <c r="S4936" t="s">
        <v>125</v>
      </c>
      <c r="T4936">
        <v>0</v>
      </c>
      <c r="V4936" t="s">
        <v>125</v>
      </c>
      <c r="AE4936" t="s">
        <v>125</v>
      </c>
      <c r="AF4936">
        <v>0</v>
      </c>
      <c r="AG4936" t="s">
        <v>125</v>
      </c>
      <c r="AH4936">
        <v>0</v>
      </c>
      <c r="AK4936">
        <v>0</v>
      </c>
    </row>
    <row r="4937" spans="1:37" x14ac:dyDescent="0.25">
      <c r="A4937" t="s">
        <v>79</v>
      </c>
      <c r="B4937">
        <v>19</v>
      </c>
      <c r="C4937">
        <v>2</v>
      </c>
      <c r="D4937">
        <v>3</v>
      </c>
      <c r="E4937">
        <v>14</v>
      </c>
      <c r="G4937">
        <v>1923</v>
      </c>
      <c r="H4937" t="s">
        <v>63</v>
      </c>
      <c r="I4937" t="s">
        <v>137</v>
      </c>
      <c r="J4937" t="s">
        <v>154</v>
      </c>
      <c r="L4937">
        <v>0</v>
      </c>
      <c r="M4937" t="s">
        <v>125</v>
      </c>
      <c r="O4937" t="s">
        <v>125</v>
      </c>
      <c r="P4937" t="s">
        <v>125</v>
      </c>
      <c r="Q4937" t="s">
        <v>125</v>
      </c>
      <c r="R4937" t="s">
        <v>125</v>
      </c>
      <c r="S4937" t="s">
        <v>125</v>
      </c>
      <c r="T4937">
        <v>0</v>
      </c>
      <c r="V4937" t="s">
        <v>125</v>
      </c>
      <c r="AE4937" t="s">
        <v>125</v>
      </c>
      <c r="AF4937">
        <v>0</v>
      </c>
      <c r="AG4937" t="s">
        <v>125</v>
      </c>
      <c r="AH4937">
        <v>0</v>
      </c>
      <c r="AK4937">
        <v>0</v>
      </c>
    </row>
    <row r="4938" spans="1:37" x14ac:dyDescent="0.25">
      <c r="A4938" t="s">
        <v>79</v>
      </c>
      <c r="B4938">
        <v>19</v>
      </c>
      <c r="C4938">
        <v>2</v>
      </c>
      <c r="D4938">
        <v>3</v>
      </c>
      <c r="E4938">
        <v>15</v>
      </c>
      <c r="G4938">
        <v>1923</v>
      </c>
      <c r="H4938" t="s">
        <v>63</v>
      </c>
      <c r="I4938" t="s">
        <v>139</v>
      </c>
      <c r="J4938" t="s">
        <v>155</v>
      </c>
      <c r="L4938">
        <v>0</v>
      </c>
      <c r="M4938" t="s">
        <v>125</v>
      </c>
      <c r="O4938" t="s">
        <v>125</v>
      </c>
      <c r="P4938" t="s">
        <v>125</v>
      </c>
      <c r="Q4938" t="s">
        <v>125</v>
      </c>
      <c r="R4938" t="s">
        <v>125</v>
      </c>
      <c r="S4938" t="s">
        <v>125</v>
      </c>
      <c r="T4938">
        <v>0</v>
      </c>
      <c r="V4938" t="s">
        <v>125</v>
      </c>
      <c r="AE4938" t="s">
        <v>125</v>
      </c>
      <c r="AF4938">
        <v>0</v>
      </c>
      <c r="AG4938" t="s">
        <v>125</v>
      </c>
      <c r="AH4938">
        <v>0</v>
      </c>
      <c r="AK4938">
        <v>0</v>
      </c>
    </row>
    <row r="4939" spans="1:37" x14ac:dyDescent="0.25">
      <c r="L4939">
        <v>0</v>
      </c>
    </row>
    <row r="4940" spans="1:37" x14ac:dyDescent="0.25">
      <c r="A4940" t="s">
        <v>70</v>
      </c>
      <c r="B4940">
        <v>19</v>
      </c>
      <c r="C4940">
        <v>2</v>
      </c>
      <c r="D4940">
        <v>4</v>
      </c>
      <c r="G4940">
        <v>192</v>
      </c>
      <c r="L4940">
        <v>0</v>
      </c>
      <c r="M4940" t="s">
        <v>125</v>
      </c>
      <c r="P4940" t="s">
        <v>125</v>
      </c>
      <c r="R4940" t="s">
        <v>125</v>
      </c>
      <c r="S4940" t="s">
        <v>63</v>
      </c>
      <c r="V4940" t="s">
        <v>125</v>
      </c>
      <c r="X4940" t="s">
        <v>125</v>
      </c>
      <c r="Y4940" t="s">
        <v>125</v>
      </c>
      <c r="Z4940" t="s">
        <v>125</v>
      </c>
      <c r="AA4940" t="s">
        <v>125</v>
      </c>
      <c r="AB4940" t="s">
        <v>125</v>
      </c>
      <c r="AC4940" t="s">
        <v>125</v>
      </c>
      <c r="AE4940" t="s">
        <v>125</v>
      </c>
      <c r="AF4940">
        <v>0</v>
      </c>
      <c r="AG4940" t="s">
        <v>125</v>
      </c>
      <c r="AH4940">
        <v>0</v>
      </c>
      <c r="AK4940">
        <v>0</v>
      </c>
    </row>
    <row r="4941" spans="1:37" x14ac:dyDescent="0.25">
      <c r="A4941" t="s">
        <v>79</v>
      </c>
      <c r="B4941">
        <v>19</v>
      </c>
      <c r="C4941">
        <v>2</v>
      </c>
      <c r="D4941">
        <v>4</v>
      </c>
      <c r="E4941">
        <v>1</v>
      </c>
      <c r="G4941">
        <v>1924</v>
      </c>
      <c r="H4941" t="s">
        <v>63</v>
      </c>
      <c r="I4941" t="s">
        <v>80</v>
      </c>
      <c r="J4941" t="s">
        <v>141</v>
      </c>
      <c r="L4941">
        <v>0</v>
      </c>
      <c r="M4941" t="s">
        <v>125</v>
      </c>
      <c r="O4941" t="s">
        <v>125</v>
      </c>
      <c r="P4941" t="s">
        <v>125</v>
      </c>
      <c r="Q4941" t="s">
        <v>125</v>
      </c>
      <c r="R4941" t="s">
        <v>125</v>
      </c>
      <c r="S4941" t="s">
        <v>125</v>
      </c>
      <c r="T4941">
        <v>0</v>
      </c>
      <c r="V4941" t="s">
        <v>125</v>
      </c>
      <c r="AE4941" t="s">
        <v>125</v>
      </c>
      <c r="AF4941">
        <v>0</v>
      </c>
      <c r="AG4941" t="s">
        <v>125</v>
      </c>
      <c r="AH4941">
        <v>0</v>
      </c>
      <c r="AK4941">
        <v>0</v>
      </c>
    </row>
    <row r="4942" spans="1:37" x14ac:dyDescent="0.25">
      <c r="A4942" t="s">
        <v>79</v>
      </c>
      <c r="B4942">
        <v>19</v>
      </c>
      <c r="C4942">
        <v>2</v>
      </c>
      <c r="D4942">
        <v>4</v>
      </c>
      <c r="E4942">
        <v>2</v>
      </c>
      <c r="G4942">
        <v>1924</v>
      </c>
      <c r="H4942" t="s">
        <v>63</v>
      </c>
      <c r="I4942" t="s">
        <v>88</v>
      </c>
      <c r="J4942" t="s">
        <v>142</v>
      </c>
      <c r="L4942">
        <v>0</v>
      </c>
      <c r="M4942" t="s">
        <v>125</v>
      </c>
      <c r="O4942" t="s">
        <v>125</v>
      </c>
      <c r="P4942" t="s">
        <v>125</v>
      </c>
      <c r="Q4942" t="s">
        <v>125</v>
      </c>
      <c r="R4942" t="s">
        <v>125</v>
      </c>
      <c r="S4942" t="s">
        <v>125</v>
      </c>
      <c r="T4942">
        <v>0</v>
      </c>
      <c r="V4942" t="s">
        <v>125</v>
      </c>
      <c r="AE4942" t="s">
        <v>125</v>
      </c>
      <c r="AF4942">
        <v>0</v>
      </c>
      <c r="AG4942" t="s">
        <v>125</v>
      </c>
      <c r="AH4942">
        <v>0</v>
      </c>
      <c r="AK4942">
        <v>0</v>
      </c>
    </row>
    <row r="4943" spans="1:37" x14ac:dyDescent="0.25">
      <c r="A4943" t="s">
        <v>79</v>
      </c>
      <c r="B4943">
        <v>19</v>
      </c>
      <c r="C4943">
        <v>2</v>
      </c>
      <c r="D4943">
        <v>4</v>
      </c>
      <c r="E4943">
        <v>3</v>
      </c>
      <c r="G4943">
        <v>1924</v>
      </c>
      <c r="H4943" t="s">
        <v>63</v>
      </c>
      <c r="I4943" t="s">
        <v>95</v>
      </c>
      <c r="J4943" t="s">
        <v>143</v>
      </c>
      <c r="L4943">
        <v>0</v>
      </c>
      <c r="M4943" t="s">
        <v>125</v>
      </c>
      <c r="O4943" t="s">
        <v>125</v>
      </c>
      <c r="P4943" t="s">
        <v>125</v>
      </c>
      <c r="Q4943" t="s">
        <v>125</v>
      </c>
      <c r="R4943" t="s">
        <v>125</v>
      </c>
      <c r="S4943" t="s">
        <v>125</v>
      </c>
      <c r="T4943">
        <v>0</v>
      </c>
      <c r="V4943" t="s">
        <v>125</v>
      </c>
      <c r="AE4943" t="s">
        <v>125</v>
      </c>
      <c r="AF4943">
        <v>0</v>
      </c>
      <c r="AG4943" t="s">
        <v>125</v>
      </c>
      <c r="AH4943">
        <v>0</v>
      </c>
      <c r="AK4943">
        <v>0</v>
      </c>
    </row>
    <row r="4944" spans="1:37" x14ac:dyDescent="0.25">
      <c r="A4944" t="s">
        <v>79</v>
      </c>
      <c r="B4944">
        <v>19</v>
      </c>
      <c r="C4944">
        <v>2</v>
      </c>
      <c r="D4944">
        <v>4</v>
      </c>
      <c r="E4944">
        <v>4</v>
      </c>
      <c r="G4944">
        <v>1924</v>
      </c>
      <c r="H4944" t="s">
        <v>63</v>
      </c>
      <c r="I4944" t="s">
        <v>102</v>
      </c>
      <c r="J4944" t="s">
        <v>144</v>
      </c>
      <c r="L4944">
        <v>0</v>
      </c>
      <c r="M4944" t="s">
        <v>125</v>
      </c>
      <c r="O4944" t="s">
        <v>125</v>
      </c>
      <c r="P4944" t="s">
        <v>125</v>
      </c>
      <c r="Q4944" t="s">
        <v>125</v>
      </c>
      <c r="R4944" t="s">
        <v>125</v>
      </c>
      <c r="S4944" t="s">
        <v>125</v>
      </c>
      <c r="T4944">
        <v>0</v>
      </c>
      <c r="V4944" t="s">
        <v>125</v>
      </c>
      <c r="AE4944" t="s">
        <v>125</v>
      </c>
      <c r="AF4944">
        <v>0</v>
      </c>
      <c r="AG4944" t="s">
        <v>125</v>
      </c>
      <c r="AH4944">
        <v>0</v>
      </c>
      <c r="AK4944">
        <v>0</v>
      </c>
    </row>
    <row r="4945" spans="1:37" x14ac:dyDescent="0.25">
      <c r="A4945" t="s">
        <v>79</v>
      </c>
      <c r="B4945">
        <v>19</v>
      </c>
      <c r="C4945">
        <v>2</v>
      </c>
      <c r="D4945">
        <v>4</v>
      </c>
      <c r="E4945">
        <v>5</v>
      </c>
      <c r="G4945">
        <v>1924</v>
      </c>
      <c r="H4945" t="s">
        <v>63</v>
      </c>
      <c r="I4945" t="s">
        <v>109</v>
      </c>
      <c r="J4945" t="s">
        <v>145</v>
      </c>
      <c r="L4945">
        <v>0</v>
      </c>
      <c r="M4945" t="s">
        <v>125</v>
      </c>
      <c r="O4945" t="s">
        <v>125</v>
      </c>
      <c r="P4945" t="s">
        <v>125</v>
      </c>
      <c r="Q4945" t="s">
        <v>125</v>
      </c>
      <c r="R4945" t="s">
        <v>125</v>
      </c>
      <c r="S4945" t="s">
        <v>125</v>
      </c>
      <c r="T4945">
        <v>0</v>
      </c>
      <c r="V4945" t="s">
        <v>125</v>
      </c>
      <c r="AE4945" t="s">
        <v>125</v>
      </c>
      <c r="AF4945">
        <v>0</v>
      </c>
      <c r="AG4945" t="s">
        <v>125</v>
      </c>
      <c r="AH4945">
        <v>0</v>
      </c>
      <c r="AK4945">
        <v>0</v>
      </c>
    </row>
    <row r="4946" spans="1:37" x14ac:dyDescent="0.25">
      <c r="A4946" t="s">
        <v>79</v>
      </c>
      <c r="B4946">
        <v>19</v>
      </c>
      <c r="C4946">
        <v>2</v>
      </c>
      <c r="D4946">
        <v>4</v>
      </c>
      <c r="E4946">
        <v>6</v>
      </c>
      <c r="G4946">
        <v>1924</v>
      </c>
      <c r="H4946" t="s">
        <v>63</v>
      </c>
      <c r="I4946" t="s">
        <v>116</v>
      </c>
      <c r="J4946" t="s">
        <v>146</v>
      </c>
      <c r="L4946">
        <v>0</v>
      </c>
      <c r="M4946" t="s">
        <v>125</v>
      </c>
      <c r="O4946" t="s">
        <v>125</v>
      </c>
      <c r="P4946" t="s">
        <v>125</v>
      </c>
      <c r="Q4946" t="s">
        <v>125</v>
      </c>
      <c r="R4946" t="s">
        <v>125</v>
      </c>
      <c r="S4946" t="s">
        <v>125</v>
      </c>
      <c r="T4946">
        <v>0</v>
      </c>
      <c r="V4946" t="s">
        <v>125</v>
      </c>
      <c r="AE4946" t="s">
        <v>125</v>
      </c>
      <c r="AF4946">
        <v>0</v>
      </c>
      <c r="AG4946" t="s">
        <v>125</v>
      </c>
      <c r="AH4946">
        <v>0</v>
      </c>
      <c r="AK4946">
        <v>0</v>
      </c>
    </row>
    <row r="4947" spans="1:37" x14ac:dyDescent="0.25">
      <c r="A4947" t="s">
        <v>79</v>
      </c>
      <c r="B4947">
        <v>19</v>
      </c>
      <c r="C4947">
        <v>2</v>
      </c>
      <c r="D4947">
        <v>4</v>
      </c>
      <c r="E4947">
        <v>7</v>
      </c>
      <c r="G4947">
        <v>1924</v>
      </c>
      <c r="H4947" t="s">
        <v>63</v>
      </c>
      <c r="I4947" t="s">
        <v>123</v>
      </c>
      <c r="J4947" t="s">
        <v>147</v>
      </c>
      <c r="L4947">
        <v>0</v>
      </c>
      <c r="M4947" t="s">
        <v>125</v>
      </c>
      <c r="O4947" t="s">
        <v>125</v>
      </c>
      <c r="P4947" t="s">
        <v>125</v>
      </c>
      <c r="Q4947" t="s">
        <v>125</v>
      </c>
      <c r="R4947" t="s">
        <v>125</v>
      </c>
      <c r="S4947" t="s">
        <v>125</v>
      </c>
      <c r="T4947">
        <v>0</v>
      </c>
      <c r="V4947" t="s">
        <v>125</v>
      </c>
      <c r="AE4947" t="s">
        <v>125</v>
      </c>
      <c r="AF4947">
        <v>0</v>
      </c>
      <c r="AG4947" t="s">
        <v>125</v>
      </c>
      <c r="AH4947">
        <v>0</v>
      </c>
      <c r="AK4947">
        <v>0</v>
      </c>
    </row>
    <row r="4948" spans="1:37" x14ac:dyDescent="0.25">
      <c r="A4948" t="s">
        <v>79</v>
      </c>
      <c r="B4948">
        <v>19</v>
      </c>
      <c r="C4948">
        <v>2</v>
      </c>
      <c r="D4948">
        <v>4</v>
      </c>
      <c r="E4948">
        <v>8</v>
      </c>
      <c r="G4948">
        <v>1924</v>
      </c>
      <c r="H4948" t="s">
        <v>63</v>
      </c>
      <c r="I4948" t="s">
        <v>126</v>
      </c>
      <c r="J4948" t="s">
        <v>148</v>
      </c>
      <c r="L4948">
        <v>0</v>
      </c>
      <c r="M4948" t="s">
        <v>125</v>
      </c>
      <c r="O4948" t="s">
        <v>125</v>
      </c>
      <c r="P4948" t="s">
        <v>125</v>
      </c>
      <c r="Q4948" t="s">
        <v>125</v>
      </c>
      <c r="R4948" t="s">
        <v>125</v>
      </c>
      <c r="S4948" t="s">
        <v>125</v>
      </c>
      <c r="T4948">
        <v>0</v>
      </c>
      <c r="V4948" t="s">
        <v>125</v>
      </c>
      <c r="AE4948" t="s">
        <v>125</v>
      </c>
      <c r="AF4948">
        <v>0</v>
      </c>
      <c r="AG4948" t="s">
        <v>125</v>
      </c>
      <c r="AH4948">
        <v>0</v>
      </c>
      <c r="AK4948">
        <v>0</v>
      </c>
    </row>
    <row r="4949" spans="1:37" x14ac:dyDescent="0.25">
      <c r="A4949" t="s">
        <v>79</v>
      </c>
      <c r="B4949">
        <v>19</v>
      </c>
      <c r="C4949">
        <v>2</v>
      </c>
      <c r="D4949">
        <v>4</v>
      </c>
      <c r="E4949">
        <v>9</v>
      </c>
      <c r="G4949">
        <v>1924</v>
      </c>
      <c r="H4949" t="s">
        <v>63</v>
      </c>
      <c r="I4949" t="s">
        <v>74</v>
      </c>
      <c r="J4949" t="s">
        <v>149</v>
      </c>
      <c r="L4949">
        <v>0</v>
      </c>
      <c r="M4949" t="s">
        <v>125</v>
      </c>
      <c r="O4949" t="s">
        <v>125</v>
      </c>
      <c r="P4949" t="s">
        <v>125</v>
      </c>
      <c r="Q4949" t="s">
        <v>125</v>
      </c>
      <c r="R4949" t="s">
        <v>125</v>
      </c>
      <c r="S4949" t="s">
        <v>125</v>
      </c>
      <c r="T4949">
        <v>0</v>
      </c>
      <c r="V4949" t="s">
        <v>125</v>
      </c>
      <c r="AE4949" t="s">
        <v>125</v>
      </c>
      <c r="AF4949">
        <v>0</v>
      </c>
      <c r="AG4949" t="s">
        <v>125</v>
      </c>
      <c r="AH4949">
        <v>0</v>
      </c>
      <c r="AK4949">
        <v>0</v>
      </c>
    </row>
    <row r="4950" spans="1:37" x14ac:dyDescent="0.25">
      <c r="A4950" t="s">
        <v>79</v>
      </c>
      <c r="B4950">
        <v>19</v>
      </c>
      <c r="C4950">
        <v>2</v>
      </c>
      <c r="D4950">
        <v>4</v>
      </c>
      <c r="E4950">
        <v>10</v>
      </c>
      <c r="G4950">
        <v>1924</v>
      </c>
      <c r="H4950" t="s">
        <v>63</v>
      </c>
      <c r="I4950" t="s">
        <v>129</v>
      </c>
      <c r="J4950" t="s">
        <v>150</v>
      </c>
      <c r="L4950">
        <v>0</v>
      </c>
      <c r="M4950" t="s">
        <v>125</v>
      </c>
      <c r="O4950" t="s">
        <v>125</v>
      </c>
      <c r="P4950" t="s">
        <v>125</v>
      </c>
      <c r="Q4950" t="s">
        <v>125</v>
      </c>
      <c r="R4950" t="s">
        <v>125</v>
      </c>
      <c r="S4950" t="s">
        <v>125</v>
      </c>
      <c r="T4950">
        <v>0</v>
      </c>
      <c r="V4950" t="s">
        <v>125</v>
      </c>
      <c r="AE4950" t="s">
        <v>125</v>
      </c>
      <c r="AF4950">
        <v>0</v>
      </c>
      <c r="AG4950" t="s">
        <v>125</v>
      </c>
      <c r="AH4950">
        <v>0</v>
      </c>
      <c r="AK4950">
        <v>0</v>
      </c>
    </row>
    <row r="4951" spans="1:37" x14ac:dyDescent="0.25">
      <c r="A4951" t="s">
        <v>79</v>
      </c>
      <c r="B4951">
        <v>19</v>
      </c>
      <c r="C4951">
        <v>2</v>
      </c>
      <c r="D4951">
        <v>4</v>
      </c>
      <c r="E4951">
        <v>11</v>
      </c>
      <c r="G4951">
        <v>1924</v>
      </c>
      <c r="H4951" t="s">
        <v>63</v>
      </c>
      <c r="I4951" t="s">
        <v>131</v>
      </c>
      <c r="J4951" t="s">
        <v>151</v>
      </c>
      <c r="L4951">
        <v>0</v>
      </c>
      <c r="M4951" t="s">
        <v>125</v>
      </c>
      <c r="O4951" t="s">
        <v>125</v>
      </c>
      <c r="P4951" t="s">
        <v>125</v>
      </c>
      <c r="Q4951" t="s">
        <v>125</v>
      </c>
      <c r="R4951" t="s">
        <v>125</v>
      </c>
      <c r="S4951" t="s">
        <v>125</v>
      </c>
      <c r="T4951">
        <v>0</v>
      </c>
      <c r="V4951" t="s">
        <v>125</v>
      </c>
      <c r="AE4951" t="s">
        <v>125</v>
      </c>
      <c r="AF4951">
        <v>0</v>
      </c>
      <c r="AG4951" t="s">
        <v>125</v>
      </c>
      <c r="AH4951">
        <v>0</v>
      </c>
      <c r="AK4951">
        <v>0</v>
      </c>
    </row>
    <row r="4952" spans="1:37" x14ac:dyDescent="0.25">
      <c r="A4952" t="s">
        <v>79</v>
      </c>
      <c r="B4952">
        <v>19</v>
      </c>
      <c r="C4952">
        <v>2</v>
      </c>
      <c r="D4952">
        <v>4</v>
      </c>
      <c r="E4952">
        <v>12</v>
      </c>
      <c r="G4952">
        <v>1924</v>
      </c>
      <c r="H4952" t="s">
        <v>63</v>
      </c>
      <c r="I4952" t="s">
        <v>133</v>
      </c>
      <c r="J4952" t="s">
        <v>152</v>
      </c>
      <c r="L4952">
        <v>0</v>
      </c>
      <c r="M4952" t="s">
        <v>125</v>
      </c>
      <c r="O4952" t="s">
        <v>125</v>
      </c>
      <c r="P4952" t="s">
        <v>125</v>
      </c>
      <c r="Q4952" t="s">
        <v>125</v>
      </c>
      <c r="R4952" t="s">
        <v>125</v>
      </c>
      <c r="S4952" t="s">
        <v>125</v>
      </c>
      <c r="T4952">
        <v>0</v>
      </c>
      <c r="V4952" t="s">
        <v>125</v>
      </c>
      <c r="AE4952" t="s">
        <v>125</v>
      </c>
      <c r="AF4952">
        <v>0</v>
      </c>
      <c r="AG4952" t="s">
        <v>125</v>
      </c>
      <c r="AH4952">
        <v>0</v>
      </c>
      <c r="AK4952">
        <v>0</v>
      </c>
    </row>
    <row r="4953" spans="1:37" x14ac:dyDescent="0.25">
      <c r="A4953" t="s">
        <v>79</v>
      </c>
      <c r="B4953">
        <v>19</v>
      </c>
      <c r="C4953">
        <v>2</v>
      </c>
      <c r="D4953">
        <v>4</v>
      </c>
      <c r="E4953">
        <v>13</v>
      </c>
      <c r="G4953">
        <v>1924</v>
      </c>
      <c r="H4953" t="s">
        <v>63</v>
      </c>
      <c r="I4953" t="s">
        <v>135</v>
      </c>
      <c r="J4953" t="s">
        <v>153</v>
      </c>
      <c r="L4953">
        <v>0</v>
      </c>
      <c r="M4953" t="s">
        <v>125</v>
      </c>
      <c r="O4953" t="s">
        <v>125</v>
      </c>
      <c r="P4953" t="s">
        <v>125</v>
      </c>
      <c r="Q4953" t="s">
        <v>125</v>
      </c>
      <c r="R4953" t="s">
        <v>125</v>
      </c>
      <c r="S4953" t="s">
        <v>125</v>
      </c>
      <c r="T4953">
        <v>0</v>
      </c>
      <c r="V4953" t="s">
        <v>125</v>
      </c>
      <c r="AE4953" t="s">
        <v>125</v>
      </c>
      <c r="AF4953">
        <v>0</v>
      </c>
      <c r="AG4953" t="s">
        <v>125</v>
      </c>
      <c r="AH4953">
        <v>0</v>
      </c>
      <c r="AK4953">
        <v>0</v>
      </c>
    </row>
    <row r="4954" spans="1:37" x14ac:dyDescent="0.25">
      <c r="A4954" t="s">
        <v>79</v>
      </c>
      <c r="B4954">
        <v>19</v>
      </c>
      <c r="C4954">
        <v>2</v>
      </c>
      <c r="D4954">
        <v>4</v>
      </c>
      <c r="E4954">
        <v>14</v>
      </c>
      <c r="G4954">
        <v>1924</v>
      </c>
      <c r="H4954" t="s">
        <v>63</v>
      </c>
      <c r="I4954" t="s">
        <v>137</v>
      </c>
      <c r="J4954" t="s">
        <v>154</v>
      </c>
      <c r="L4954">
        <v>0</v>
      </c>
      <c r="M4954" t="s">
        <v>125</v>
      </c>
      <c r="O4954" t="s">
        <v>125</v>
      </c>
      <c r="P4954" t="s">
        <v>125</v>
      </c>
      <c r="Q4954" t="s">
        <v>125</v>
      </c>
      <c r="R4954" t="s">
        <v>125</v>
      </c>
      <c r="S4954" t="s">
        <v>125</v>
      </c>
      <c r="T4954">
        <v>0</v>
      </c>
      <c r="V4954" t="s">
        <v>125</v>
      </c>
      <c r="AE4954" t="s">
        <v>125</v>
      </c>
      <c r="AF4954">
        <v>0</v>
      </c>
      <c r="AG4954" t="s">
        <v>125</v>
      </c>
      <c r="AH4954">
        <v>0</v>
      </c>
      <c r="AK4954">
        <v>0</v>
      </c>
    </row>
    <row r="4955" spans="1:37" x14ac:dyDescent="0.25">
      <c r="A4955" t="s">
        <v>79</v>
      </c>
      <c r="B4955">
        <v>19</v>
      </c>
      <c r="C4955">
        <v>2</v>
      </c>
      <c r="D4955">
        <v>4</v>
      </c>
      <c r="E4955">
        <v>15</v>
      </c>
      <c r="G4955">
        <v>1924</v>
      </c>
      <c r="H4955" t="s">
        <v>63</v>
      </c>
      <c r="I4955" t="s">
        <v>139</v>
      </c>
      <c r="J4955" t="s">
        <v>155</v>
      </c>
      <c r="L4955">
        <v>0</v>
      </c>
      <c r="M4955" t="s">
        <v>125</v>
      </c>
      <c r="O4955" t="s">
        <v>125</v>
      </c>
      <c r="P4955" t="s">
        <v>125</v>
      </c>
      <c r="Q4955" t="s">
        <v>125</v>
      </c>
      <c r="R4955" t="s">
        <v>125</v>
      </c>
      <c r="S4955" t="s">
        <v>125</v>
      </c>
      <c r="T4955">
        <v>0</v>
      </c>
      <c r="V4955" t="s">
        <v>125</v>
      </c>
      <c r="AE4955" t="s">
        <v>125</v>
      </c>
      <c r="AF4955">
        <v>0</v>
      </c>
      <c r="AG4955" t="s">
        <v>125</v>
      </c>
      <c r="AH4955">
        <v>0</v>
      </c>
      <c r="AK4955">
        <v>0</v>
      </c>
    </row>
    <row r="4956" spans="1:37" x14ac:dyDescent="0.25">
      <c r="L4956">
        <v>0</v>
      </c>
    </row>
    <row r="4957" spans="1:37" x14ac:dyDescent="0.25">
      <c r="A4957" t="s">
        <v>70</v>
      </c>
      <c r="B4957">
        <v>19</v>
      </c>
      <c r="C4957">
        <v>2</v>
      </c>
      <c r="D4957">
        <v>5</v>
      </c>
      <c r="G4957">
        <v>192</v>
      </c>
      <c r="L4957">
        <v>0</v>
      </c>
      <c r="M4957" t="s">
        <v>125</v>
      </c>
      <c r="P4957" t="s">
        <v>125</v>
      </c>
      <c r="R4957" t="s">
        <v>125</v>
      </c>
      <c r="S4957" t="s">
        <v>63</v>
      </c>
      <c r="V4957" t="s">
        <v>125</v>
      </c>
      <c r="X4957" t="s">
        <v>125</v>
      </c>
      <c r="Y4957" t="s">
        <v>125</v>
      </c>
      <c r="Z4957" t="s">
        <v>125</v>
      </c>
      <c r="AA4957" t="s">
        <v>125</v>
      </c>
      <c r="AB4957" t="s">
        <v>125</v>
      </c>
      <c r="AC4957" t="s">
        <v>125</v>
      </c>
      <c r="AE4957" t="s">
        <v>125</v>
      </c>
      <c r="AF4957">
        <v>0</v>
      </c>
      <c r="AG4957" t="s">
        <v>125</v>
      </c>
      <c r="AH4957">
        <v>0</v>
      </c>
      <c r="AK4957">
        <v>0</v>
      </c>
    </row>
    <row r="4958" spans="1:37" x14ac:dyDescent="0.25">
      <c r="A4958" t="s">
        <v>79</v>
      </c>
      <c r="B4958">
        <v>19</v>
      </c>
      <c r="C4958">
        <v>2</v>
      </c>
      <c r="D4958">
        <v>5</v>
      </c>
      <c r="E4958">
        <v>1</v>
      </c>
      <c r="G4958">
        <v>1925</v>
      </c>
      <c r="H4958" t="s">
        <v>63</v>
      </c>
      <c r="I4958" t="s">
        <v>80</v>
      </c>
      <c r="J4958" t="s">
        <v>141</v>
      </c>
      <c r="L4958">
        <v>0</v>
      </c>
      <c r="M4958" t="s">
        <v>125</v>
      </c>
      <c r="O4958" t="s">
        <v>125</v>
      </c>
      <c r="P4958" t="s">
        <v>125</v>
      </c>
      <c r="Q4958" t="s">
        <v>125</v>
      </c>
      <c r="R4958" t="s">
        <v>125</v>
      </c>
      <c r="S4958" t="s">
        <v>125</v>
      </c>
      <c r="T4958">
        <v>0</v>
      </c>
      <c r="V4958" t="s">
        <v>125</v>
      </c>
      <c r="AE4958" t="s">
        <v>125</v>
      </c>
      <c r="AF4958">
        <v>0</v>
      </c>
      <c r="AG4958" t="s">
        <v>125</v>
      </c>
      <c r="AH4958">
        <v>0</v>
      </c>
      <c r="AK4958">
        <v>0</v>
      </c>
    </row>
    <row r="4959" spans="1:37" x14ac:dyDescent="0.25">
      <c r="A4959" t="s">
        <v>79</v>
      </c>
      <c r="B4959">
        <v>19</v>
      </c>
      <c r="C4959">
        <v>2</v>
      </c>
      <c r="D4959">
        <v>5</v>
      </c>
      <c r="E4959">
        <v>2</v>
      </c>
      <c r="G4959">
        <v>1925</v>
      </c>
      <c r="H4959" t="s">
        <v>63</v>
      </c>
      <c r="I4959" t="s">
        <v>88</v>
      </c>
      <c r="J4959" t="s">
        <v>142</v>
      </c>
      <c r="L4959">
        <v>0</v>
      </c>
      <c r="M4959" t="s">
        <v>125</v>
      </c>
      <c r="O4959" t="s">
        <v>125</v>
      </c>
      <c r="P4959" t="s">
        <v>125</v>
      </c>
      <c r="Q4959" t="s">
        <v>125</v>
      </c>
      <c r="R4959" t="s">
        <v>125</v>
      </c>
      <c r="S4959" t="s">
        <v>125</v>
      </c>
      <c r="T4959">
        <v>0</v>
      </c>
      <c r="V4959" t="s">
        <v>125</v>
      </c>
      <c r="AE4959" t="s">
        <v>125</v>
      </c>
      <c r="AF4959">
        <v>0</v>
      </c>
      <c r="AG4959" t="s">
        <v>125</v>
      </c>
      <c r="AH4959">
        <v>0</v>
      </c>
      <c r="AK4959">
        <v>0</v>
      </c>
    </row>
    <row r="4960" spans="1:37" x14ac:dyDescent="0.25">
      <c r="A4960" t="s">
        <v>79</v>
      </c>
      <c r="B4960">
        <v>19</v>
      </c>
      <c r="C4960">
        <v>2</v>
      </c>
      <c r="D4960">
        <v>5</v>
      </c>
      <c r="E4960">
        <v>3</v>
      </c>
      <c r="G4960">
        <v>1925</v>
      </c>
      <c r="H4960" t="s">
        <v>63</v>
      </c>
      <c r="I4960" t="s">
        <v>95</v>
      </c>
      <c r="J4960" t="s">
        <v>143</v>
      </c>
      <c r="L4960">
        <v>0</v>
      </c>
      <c r="M4960" t="s">
        <v>125</v>
      </c>
      <c r="O4960" t="s">
        <v>125</v>
      </c>
      <c r="P4960" t="s">
        <v>125</v>
      </c>
      <c r="Q4960" t="s">
        <v>125</v>
      </c>
      <c r="R4960" t="s">
        <v>125</v>
      </c>
      <c r="S4960" t="s">
        <v>125</v>
      </c>
      <c r="T4960">
        <v>0</v>
      </c>
      <c r="V4960" t="s">
        <v>125</v>
      </c>
      <c r="AE4960" t="s">
        <v>125</v>
      </c>
      <c r="AF4960">
        <v>0</v>
      </c>
      <c r="AG4960" t="s">
        <v>125</v>
      </c>
      <c r="AH4960">
        <v>0</v>
      </c>
      <c r="AK4960">
        <v>0</v>
      </c>
    </row>
    <row r="4961" spans="1:37" x14ac:dyDescent="0.25">
      <c r="A4961" t="s">
        <v>79</v>
      </c>
      <c r="B4961">
        <v>19</v>
      </c>
      <c r="C4961">
        <v>2</v>
      </c>
      <c r="D4961">
        <v>5</v>
      </c>
      <c r="E4961">
        <v>4</v>
      </c>
      <c r="G4961">
        <v>1925</v>
      </c>
      <c r="H4961" t="s">
        <v>63</v>
      </c>
      <c r="I4961" t="s">
        <v>102</v>
      </c>
      <c r="J4961" t="s">
        <v>144</v>
      </c>
      <c r="L4961">
        <v>0</v>
      </c>
      <c r="M4961" t="s">
        <v>125</v>
      </c>
      <c r="O4961" t="s">
        <v>125</v>
      </c>
      <c r="P4961" t="s">
        <v>125</v>
      </c>
      <c r="Q4961" t="s">
        <v>125</v>
      </c>
      <c r="R4961" t="s">
        <v>125</v>
      </c>
      <c r="S4961" t="s">
        <v>125</v>
      </c>
      <c r="T4961">
        <v>0</v>
      </c>
      <c r="V4961" t="s">
        <v>125</v>
      </c>
      <c r="AE4961" t="s">
        <v>125</v>
      </c>
      <c r="AF4961">
        <v>0</v>
      </c>
      <c r="AG4961" t="s">
        <v>125</v>
      </c>
      <c r="AH4961">
        <v>0</v>
      </c>
      <c r="AK4961">
        <v>0</v>
      </c>
    </row>
    <row r="4962" spans="1:37" x14ac:dyDescent="0.25">
      <c r="A4962" t="s">
        <v>79</v>
      </c>
      <c r="B4962">
        <v>19</v>
      </c>
      <c r="C4962">
        <v>2</v>
      </c>
      <c r="D4962">
        <v>5</v>
      </c>
      <c r="E4962">
        <v>5</v>
      </c>
      <c r="G4962">
        <v>1925</v>
      </c>
      <c r="H4962" t="s">
        <v>63</v>
      </c>
      <c r="I4962" t="s">
        <v>109</v>
      </c>
      <c r="J4962" t="s">
        <v>145</v>
      </c>
      <c r="L4962">
        <v>0</v>
      </c>
      <c r="M4962" t="s">
        <v>125</v>
      </c>
      <c r="O4962" t="s">
        <v>125</v>
      </c>
      <c r="P4962" t="s">
        <v>125</v>
      </c>
      <c r="Q4962" t="s">
        <v>125</v>
      </c>
      <c r="R4962" t="s">
        <v>125</v>
      </c>
      <c r="S4962" t="s">
        <v>125</v>
      </c>
      <c r="T4962">
        <v>0</v>
      </c>
      <c r="V4962" t="s">
        <v>125</v>
      </c>
      <c r="AE4962" t="s">
        <v>125</v>
      </c>
      <c r="AF4962">
        <v>0</v>
      </c>
      <c r="AG4962" t="s">
        <v>125</v>
      </c>
      <c r="AH4962">
        <v>0</v>
      </c>
      <c r="AK4962">
        <v>0</v>
      </c>
    </row>
    <row r="4963" spans="1:37" x14ac:dyDescent="0.25">
      <c r="A4963" t="s">
        <v>79</v>
      </c>
      <c r="B4963">
        <v>19</v>
      </c>
      <c r="C4963">
        <v>2</v>
      </c>
      <c r="D4963">
        <v>5</v>
      </c>
      <c r="E4963">
        <v>6</v>
      </c>
      <c r="G4963">
        <v>1925</v>
      </c>
      <c r="H4963" t="s">
        <v>63</v>
      </c>
      <c r="I4963" t="s">
        <v>116</v>
      </c>
      <c r="J4963" t="s">
        <v>146</v>
      </c>
      <c r="L4963">
        <v>0</v>
      </c>
      <c r="M4963" t="s">
        <v>125</v>
      </c>
      <c r="O4963" t="s">
        <v>125</v>
      </c>
      <c r="P4963" t="s">
        <v>125</v>
      </c>
      <c r="Q4963" t="s">
        <v>125</v>
      </c>
      <c r="R4963" t="s">
        <v>125</v>
      </c>
      <c r="S4963" t="s">
        <v>125</v>
      </c>
      <c r="T4963">
        <v>0</v>
      </c>
      <c r="V4963" t="s">
        <v>125</v>
      </c>
      <c r="AE4963" t="s">
        <v>125</v>
      </c>
      <c r="AF4963">
        <v>0</v>
      </c>
      <c r="AG4963" t="s">
        <v>125</v>
      </c>
      <c r="AH4963">
        <v>0</v>
      </c>
      <c r="AK4963">
        <v>0</v>
      </c>
    </row>
    <row r="4964" spans="1:37" x14ac:dyDescent="0.25">
      <c r="A4964" t="s">
        <v>79</v>
      </c>
      <c r="B4964">
        <v>19</v>
      </c>
      <c r="C4964">
        <v>2</v>
      </c>
      <c r="D4964">
        <v>5</v>
      </c>
      <c r="E4964">
        <v>7</v>
      </c>
      <c r="G4964">
        <v>1925</v>
      </c>
      <c r="H4964" t="s">
        <v>63</v>
      </c>
      <c r="I4964" t="s">
        <v>123</v>
      </c>
      <c r="J4964" t="s">
        <v>147</v>
      </c>
      <c r="L4964">
        <v>0</v>
      </c>
      <c r="M4964" t="s">
        <v>125</v>
      </c>
      <c r="O4964" t="s">
        <v>125</v>
      </c>
      <c r="P4964" t="s">
        <v>125</v>
      </c>
      <c r="Q4964" t="s">
        <v>125</v>
      </c>
      <c r="R4964" t="s">
        <v>125</v>
      </c>
      <c r="S4964" t="s">
        <v>125</v>
      </c>
      <c r="T4964">
        <v>0</v>
      </c>
      <c r="V4964" t="s">
        <v>125</v>
      </c>
      <c r="AE4964" t="s">
        <v>125</v>
      </c>
      <c r="AF4964">
        <v>0</v>
      </c>
      <c r="AG4964" t="s">
        <v>125</v>
      </c>
      <c r="AH4964">
        <v>0</v>
      </c>
      <c r="AK4964">
        <v>0</v>
      </c>
    </row>
    <row r="4965" spans="1:37" x14ac:dyDescent="0.25">
      <c r="A4965" t="s">
        <v>79</v>
      </c>
      <c r="B4965">
        <v>19</v>
      </c>
      <c r="C4965">
        <v>2</v>
      </c>
      <c r="D4965">
        <v>5</v>
      </c>
      <c r="E4965">
        <v>8</v>
      </c>
      <c r="G4965">
        <v>1925</v>
      </c>
      <c r="H4965" t="s">
        <v>63</v>
      </c>
      <c r="I4965" t="s">
        <v>126</v>
      </c>
      <c r="J4965" t="s">
        <v>148</v>
      </c>
      <c r="L4965">
        <v>0</v>
      </c>
      <c r="M4965" t="s">
        <v>125</v>
      </c>
      <c r="O4965" t="s">
        <v>125</v>
      </c>
      <c r="P4965" t="s">
        <v>125</v>
      </c>
      <c r="Q4965" t="s">
        <v>125</v>
      </c>
      <c r="R4965" t="s">
        <v>125</v>
      </c>
      <c r="S4965" t="s">
        <v>125</v>
      </c>
      <c r="T4965">
        <v>0</v>
      </c>
      <c r="V4965" t="s">
        <v>125</v>
      </c>
      <c r="AE4965" t="s">
        <v>125</v>
      </c>
      <c r="AF4965">
        <v>0</v>
      </c>
      <c r="AG4965" t="s">
        <v>125</v>
      </c>
      <c r="AH4965">
        <v>0</v>
      </c>
      <c r="AK4965">
        <v>0</v>
      </c>
    </row>
    <row r="4966" spans="1:37" x14ac:dyDescent="0.25">
      <c r="A4966" t="s">
        <v>79</v>
      </c>
      <c r="B4966">
        <v>19</v>
      </c>
      <c r="C4966">
        <v>2</v>
      </c>
      <c r="D4966">
        <v>5</v>
      </c>
      <c r="E4966">
        <v>9</v>
      </c>
      <c r="G4966">
        <v>1925</v>
      </c>
      <c r="H4966" t="s">
        <v>63</v>
      </c>
      <c r="I4966" t="s">
        <v>74</v>
      </c>
      <c r="J4966" t="s">
        <v>149</v>
      </c>
      <c r="L4966">
        <v>0</v>
      </c>
      <c r="M4966" t="s">
        <v>125</v>
      </c>
      <c r="O4966" t="s">
        <v>125</v>
      </c>
      <c r="P4966" t="s">
        <v>125</v>
      </c>
      <c r="Q4966" t="s">
        <v>125</v>
      </c>
      <c r="R4966" t="s">
        <v>125</v>
      </c>
      <c r="S4966" t="s">
        <v>125</v>
      </c>
      <c r="T4966">
        <v>0</v>
      </c>
      <c r="V4966" t="s">
        <v>125</v>
      </c>
      <c r="AE4966" t="s">
        <v>125</v>
      </c>
      <c r="AF4966">
        <v>0</v>
      </c>
      <c r="AG4966" t="s">
        <v>125</v>
      </c>
      <c r="AH4966">
        <v>0</v>
      </c>
      <c r="AK4966">
        <v>0</v>
      </c>
    </row>
    <row r="4967" spans="1:37" x14ac:dyDescent="0.25">
      <c r="A4967" t="s">
        <v>79</v>
      </c>
      <c r="B4967">
        <v>19</v>
      </c>
      <c r="C4967">
        <v>2</v>
      </c>
      <c r="D4967">
        <v>5</v>
      </c>
      <c r="E4967">
        <v>10</v>
      </c>
      <c r="G4967">
        <v>1925</v>
      </c>
      <c r="H4967" t="s">
        <v>63</v>
      </c>
      <c r="I4967" t="s">
        <v>129</v>
      </c>
      <c r="J4967" t="s">
        <v>150</v>
      </c>
      <c r="L4967">
        <v>0</v>
      </c>
      <c r="M4967" t="s">
        <v>125</v>
      </c>
      <c r="O4967" t="s">
        <v>125</v>
      </c>
      <c r="P4967" t="s">
        <v>125</v>
      </c>
      <c r="Q4967" t="s">
        <v>125</v>
      </c>
      <c r="R4967" t="s">
        <v>125</v>
      </c>
      <c r="S4967" t="s">
        <v>125</v>
      </c>
      <c r="T4967">
        <v>0</v>
      </c>
      <c r="V4967" t="s">
        <v>125</v>
      </c>
      <c r="AE4967" t="s">
        <v>125</v>
      </c>
      <c r="AF4967">
        <v>0</v>
      </c>
      <c r="AG4967" t="s">
        <v>125</v>
      </c>
      <c r="AH4967">
        <v>0</v>
      </c>
      <c r="AK4967">
        <v>0</v>
      </c>
    </row>
    <row r="4968" spans="1:37" x14ac:dyDescent="0.25">
      <c r="A4968" t="s">
        <v>79</v>
      </c>
      <c r="B4968">
        <v>19</v>
      </c>
      <c r="C4968">
        <v>2</v>
      </c>
      <c r="D4968">
        <v>5</v>
      </c>
      <c r="E4968">
        <v>11</v>
      </c>
      <c r="G4968">
        <v>1925</v>
      </c>
      <c r="H4968" t="s">
        <v>63</v>
      </c>
      <c r="I4968" t="s">
        <v>131</v>
      </c>
      <c r="J4968" t="s">
        <v>151</v>
      </c>
      <c r="L4968">
        <v>0</v>
      </c>
      <c r="M4968" t="s">
        <v>125</v>
      </c>
      <c r="O4968" t="s">
        <v>125</v>
      </c>
      <c r="P4968" t="s">
        <v>125</v>
      </c>
      <c r="Q4968" t="s">
        <v>125</v>
      </c>
      <c r="R4968" t="s">
        <v>125</v>
      </c>
      <c r="S4968" t="s">
        <v>125</v>
      </c>
      <c r="T4968">
        <v>0</v>
      </c>
      <c r="V4968" t="s">
        <v>125</v>
      </c>
      <c r="AE4968" t="s">
        <v>125</v>
      </c>
      <c r="AF4968">
        <v>0</v>
      </c>
      <c r="AG4968" t="s">
        <v>125</v>
      </c>
      <c r="AH4968">
        <v>0</v>
      </c>
      <c r="AK4968">
        <v>0</v>
      </c>
    </row>
    <row r="4969" spans="1:37" x14ac:dyDescent="0.25">
      <c r="A4969" t="s">
        <v>79</v>
      </c>
      <c r="B4969">
        <v>19</v>
      </c>
      <c r="C4969">
        <v>2</v>
      </c>
      <c r="D4969">
        <v>5</v>
      </c>
      <c r="E4969">
        <v>12</v>
      </c>
      <c r="G4969">
        <v>1925</v>
      </c>
      <c r="H4969" t="s">
        <v>63</v>
      </c>
      <c r="I4969" t="s">
        <v>133</v>
      </c>
      <c r="J4969" t="s">
        <v>152</v>
      </c>
      <c r="L4969">
        <v>0</v>
      </c>
      <c r="M4969" t="s">
        <v>125</v>
      </c>
      <c r="O4969" t="s">
        <v>125</v>
      </c>
      <c r="P4969" t="s">
        <v>125</v>
      </c>
      <c r="Q4969" t="s">
        <v>125</v>
      </c>
      <c r="R4969" t="s">
        <v>125</v>
      </c>
      <c r="S4969" t="s">
        <v>125</v>
      </c>
      <c r="T4969">
        <v>0</v>
      </c>
      <c r="V4969" t="s">
        <v>125</v>
      </c>
      <c r="AE4969" t="s">
        <v>125</v>
      </c>
      <c r="AF4969">
        <v>0</v>
      </c>
      <c r="AG4969" t="s">
        <v>125</v>
      </c>
      <c r="AH4969">
        <v>0</v>
      </c>
      <c r="AK4969">
        <v>0</v>
      </c>
    </row>
    <row r="4970" spans="1:37" x14ac:dyDescent="0.25">
      <c r="A4970" t="s">
        <v>79</v>
      </c>
      <c r="B4970">
        <v>19</v>
      </c>
      <c r="C4970">
        <v>2</v>
      </c>
      <c r="D4970">
        <v>5</v>
      </c>
      <c r="E4970">
        <v>13</v>
      </c>
      <c r="G4970">
        <v>1925</v>
      </c>
      <c r="H4970" t="s">
        <v>63</v>
      </c>
      <c r="I4970" t="s">
        <v>135</v>
      </c>
      <c r="J4970" t="s">
        <v>153</v>
      </c>
      <c r="L4970">
        <v>0</v>
      </c>
      <c r="M4970" t="s">
        <v>125</v>
      </c>
      <c r="O4970" t="s">
        <v>125</v>
      </c>
      <c r="P4970" t="s">
        <v>125</v>
      </c>
      <c r="Q4970" t="s">
        <v>125</v>
      </c>
      <c r="R4970" t="s">
        <v>125</v>
      </c>
      <c r="S4970" t="s">
        <v>125</v>
      </c>
      <c r="T4970">
        <v>0</v>
      </c>
      <c r="V4970" t="s">
        <v>125</v>
      </c>
      <c r="AE4970" t="s">
        <v>125</v>
      </c>
      <c r="AF4970">
        <v>0</v>
      </c>
      <c r="AG4970" t="s">
        <v>125</v>
      </c>
      <c r="AH4970">
        <v>0</v>
      </c>
      <c r="AK4970">
        <v>0</v>
      </c>
    </row>
    <row r="4971" spans="1:37" x14ac:dyDescent="0.25">
      <c r="A4971" t="s">
        <v>79</v>
      </c>
      <c r="B4971">
        <v>19</v>
      </c>
      <c r="C4971">
        <v>2</v>
      </c>
      <c r="D4971">
        <v>5</v>
      </c>
      <c r="E4971">
        <v>14</v>
      </c>
      <c r="G4971">
        <v>1925</v>
      </c>
      <c r="H4971" t="s">
        <v>63</v>
      </c>
      <c r="I4971" t="s">
        <v>137</v>
      </c>
      <c r="J4971" t="s">
        <v>154</v>
      </c>
      <c r="L4971">
        <v>0</v>
      </c>
      <c r="M4971" t="s">
        <v>125</v>
      </c>
      <c r="O4971" t="s">
        <v>125</v>
      </c>
      <c r="P4971" t="s">
        <v>125</v>
      </c>
      <c r="Q4971" t="s">
        <v>125</v>
      </c>
      <c r="R4971" t="s">
        <v>125</v>
      </c>
      <c r="S4971" t="s">
        <v>125</v>
      </c>
      <c r="T4971">
        <v>0</v>
      </c>
      <c r="V4971" t="s">
        <v>125</v>
      </c>
      <c r="AE4971" t="s">
        <v>125</v>
      </c>
      <c r="AF4971">
        <v>0</v>
      </c>
      <c r="AG4971" t="s">
        <v>125</v>
      </c>
      <c r="AH4971">
        <v>0</v>
      </c>
      <c r="AK4971">
        <v>0</v>
      </c>
    </row>
    <row r="4972" spans="1:37" x14ac:dyDescent="0.25">
      <c r="A4972" t="s">
        <v>79</v>
      </c>
      <c r="B4972">
        <v>19</v>
      </c>
      <c r="C4972">
        <v>2</v>
      </c>
      <c r="D4972">
        <v>5</v>
      </c>
      <c r="E4972">
        <v>15</v>
      </c>
      <c r="G4972">
        <v>1925</v>
      </c>
      <c r="H4972" t="s">
        <v>63</v>
      </c>
      <c r="I4972" t="s">
        <v>139</v>
      </c>
      <c r="J4972" t="s">
        <v>155</v>
      </c>
      <c r="L4972">
        <v>0</v>
      </c>
      <c r="M4972" t="s">
        <v>125</v>
      </c>
      <c r="O4972" t="s">
        <v>125</v>
      </c>
      <c r="P4972" t="s">
        <v>125</v>
      </c>
      <c r="Q4972" t="s">
        <v>125</v>
      </c>
      <c r="R4972" t="s">
        <v>125</v>
      </c>
      <c r="S4972" t="s">
        <v>125</v>
      </c>
      <c r="T4972">
        <v>0</v>
      </c>
      <c r="V4972" t="s">
        <v>125</v>
      </c>
      <c r="AE4972" t="s">
        <v>125</v>
      </c>
      <c r="AF4972">
        <v>0</v>
      </c>
      <c r="AG4972" t="s">
        <v>125</v>
      </c>
      <c r="AH4972">
        <v>0</v>
      </c>
      <c r="AK4972">
        <v>0</v>
      </c>
    </row>
    <row r="4973" spans="1:37" x14ac:dyDescent="0.25">
      <c r="L4973">
        <v>0</v>
      </c>
    </row>
    <row r="4974" spans="1:37" x14ac:dyDescent="0.25">
      <c r="L4974">
        <v>0</v>
      </c>
    </row>
    <row r="4975" spans="1:37" x14ac:dyDescent="0.25">
      <c r="A4975" t="s">
        <v>66</v>
      </c>
      <c r="B4975">
        <v>19</v>
      </c>
      <c r="C4975">
        <v>3</v>
      </c>
      <c r="G4975">
        <v>19</v>
      </c>
      <c r="H4975" t="s">
        <v>63</v>
      </c>
      <c r="I4975" t="s">
        <v>5993</v>
      </c>
      <c r="L4975">
        <v>0</v>
      </c>
      <c r="M4975" t="s">
        <v>125</v>
      </c>
      <c r="N4975" t="s">
        <v>125</v>
      </c>
      <c r="V4975" t="s">
        <v>63</v>
      </c>
      <c r="Y4975" t="s">
        <v>63</v>
      </c>
      <c r="AA4975" t="s">
        <v>63</v>
      </c>
      <c r="AC4975" t="s">
        <v>63</v>
      </c>
      <c r="AE4975" t="s">
        <v>63</v>
      </c>
      <c r="AF4975">
        <v>0</v>
      </c>
      <c r="AG4975" t="s">
        <v>63</v>
      </c>
      <c r="AH4975">
        <v>0</v>
      </c>
      <c r="AK4975">
        <v>0</v>
      </c>
    </row>
    <row r="4976" spans="1:37" x14ac:dyDescent="0.25">
      <c r="L4976">
        <v>0</v>
      </c>
    </row>
    <row r="4977" spans="1:37" x14ac:dyDescent="0.25">
      <c r="A4977" t="s">
        <v>70</v>
      </c>
      <c r="B4977">
        <v>19</v>
      </c>
      <c r="C4977">
        <v>3</v>
      </c>
      <c r="D4977">
        <v>1</v>
      </c>
      <c r="G4977">
        <v>193</v>
      </c>
      <c r="L4977">
        <v>0</v>
      </c>
      <c r="M4977" t="s">
        <v>125</v>
      </c>
      <c r="P4977" t="s">
        <v>125</v>
      </c>
      <c r="R4977" t="s">
        <v>125</v>
      </c>
      <c r="S4977" t="s">
        <v>63</v>
      </c>
      <c r="V4977" t="s">
        <v>125</v>
      </c>
      <c r="X4977" t="s">
        <v>125</v>
      </c>
      <c r="Y4977" t="s">
        <v>125</v>
      </c>
      <c r="Z4977" t="s">
        <v>125</v>
      </c>
      <c r="AA4977" t="s">
        <v>125</v>
      </c>
      <c r="AB4977" t="s">
        <v>125</v>
      </c>
      <c r="AC4977" t="s">
        <v>125</v>
      </c>
      <c r="AE4977" t="s">
        <v>125</v>
      </c>
      <c r="AF4977">
        <v>0</v>
      </c>
      <c r="AG4977" t="s">
        <v>125</v>
      </c>
      <c r="AH4977">
        <v>0</v>
      </c>
      <c r="AK4977">
        <v>0</v>
      </c>
    </row>
    <row r="4978" spans="1:37" x14ac:dyDescent="0.25">
      <c r="A4978" t="s">
        <v>79</v>
      </c>
      <c r="B4978">
        <v>19</v>
      </c>
      <c r="C4978">
        <v>3</v>
      </c>
      <c r="D4978">
        <v>1</v>
      </c>
      <c r="E4978">
        <v>1</v>
      </c>
      <c r="G4978">
        <v>1931</v>
      </c>
      <c r="H4978" t="s">
        <v>63</v>
      </c>
      <c r="I4978" t="s">
        <v>80</v>
      </c>
      <c r="J4978" t="s">
        <v>141</v>
      </c>
      <c r="L4978">
        <v>0</v>
      </c>
      <c r="M4978" t="s">
        <v>125</v>
      </c>
      <c r="O4978" t="s">
        <v>125</v>
      </c>
      <c r="P4978" t="s">
        <v>125</v>
      </c>
      <c r="Q4978" t="s">
        <v>125</v>
      </c>
      <c r="R4978" t="s">
        <v>125</v>
      </c>
      <c r="S4978" t="s">
        <v>125</v>
      </c>
      <c r="T4978">
        <v>0</v>
      </c>
      <c r="V4978" t="s">
        <v>125</v>
      </c>
      <c r="AE4978" t="s">
        <v>125</v>
      </c>
      <c r="AF4978">
        <v>0</v>
      </c>
      <c r="AG4978" t="s">
        <v>125</v>
      </c>
      <c r="AH4978">
        <v>0</v>
      </c>
      <c r="AK4978">
        <v>0</v>
      </c>
    </row>
    <row r="4979" spans="1:37" x14ac:dyDescent="0.25">
      <c r="A4979" t="s">
        <v>79</v>
      </c>
      <c r="B4979">
        <v>19</v>
      </c>
      <c r="C4979">
        <v>3</v>
      </c>
      <c r="D4979">
        <v>1</v>
      </c>
      <c r="E4979">
        <v>2</v>
      </c>
      <c r="G4979">
        <v>1931</v>
      </c>
      <c r="H4979" t="s">
        <v>63</v>
      </c>
      <c r="I4979" t="s">
        <v>88</v>
      </c>
      <c r="J4979" t="s">
        <v>142</v>
      </c>
      <c r="L4979">
        <v>0</v>
      </c>
      <c r="M4979" t="s">
        <v>125</v>
      </c>
      <c r="O4979" t="s">
        <v>125</v>
      </c>
      <c r="P4979" t="s">
        <v>125</v>
      </c>
      <c r="Q4979" t="s">
        <v>125</v>
      </c>
      <c r="R4979" t="s">
        <v>125</v>
      </c>
      <c r="S4979" t="s">
        <v>125</v>
      </c>
      <c r="T4979">
        <v>0</v>
      </c>
      <c r="V4979" t="s">
        <v>125</v>
      </c>
      <c r="AE4979" t="s">
        <v>125</v>
      </c>
      <c r="AF4979">
        <v>0</v>
      </c>
      <c r="AG4979" t="s">
        <v>125</v>
      </c>
      <c r="AH4979">
        <v>0</v>
      </c>
      <c r="AK4979">
        <v>0</v>
      </c>
    </row>
    <row r="4980" spans="1:37" x14ac:dyDescent="0.25">
      <c r="A4980" t="s">
        <v>79</v>
      </c>
      <c r="B4980">
        <v>19</v>
      </c>
      <c r="C4980">
        <v>3</v>
      </c>
      <c r="D4980">
        <v>1</v>
      </c>
      <c r="E4980">
        <v>3</v>
      </c>
      <c r="G4980">
        <v>1931</v>
      </c>
      <c r="H4980" t="s">
        <v>63</v>
      </c>
      <c r="I4980" t="s">
        <v>95</v>
      </c>
      <c r="J4980" t="s">
        <v>143</v>
      </c>
      <c r="L4980">
        <v>0</v>
      </c>
      <c r="M4980" t="s">
        <v>125</v>
      </c>
      <c r="O4980" t="s">
        <v>125</v>
      </c>
      <c r="P4980" t="s">
        <v>125</v>
      </c>
      <c r="Q4980" t="s">
        <v>125</v>
      </c>
      <c r="R4980" t="s">
        <v>125</v>
      </c>
      <c r="S4980" t="s">
        <v>125</v>
      </c>
      <c r="T4980">
        <v>0</v>
      </c>
      <c r="V4980" t="s">
        <v>125</v>
      </c>
      <c r="AE4980" t="s">
        <v>125</v>
      </c>
      <c r="AF4980">
        <v>0</v>
      </c>
      <c r="AG4980" t="s">
        <v>125</v>
      </c>
      <c r="AH4980">
        <v>0</v>
      </c>
      <c r="AK4980">
        <v>0</v>
      </c>
    </row>
    <row r="4981" spans="1:37" x14ac:dyDescent="0.25">
      <c r="A4981" t="s">
        <v>79</v>
      </c>
      <c r="B4981">
        <v>19</v>
      </c>
      <c r="C4981">
        <v>3</v>
      </c>
      <c r="D4981">
        <v>1</v>
      </c>
      <c r="E4981">
        <v>4</v>
      </c>
      <c r="G4981">
        <v>1931</v>
      </c>
      <c r="H4981" t="s">
        <v>63</v>
      </c>
      <c r="I4981" t="s">
        <v>102</v>
      </c>
      <c r="J4981" t="s">
        <v>144</v>
      </c>
      <c r="L4981">
        <v>0</v>
      </c>
      <c r="M4981" t="s">
        <v>125</v>
      </c>
      <c r="O4981" t="s">
        <v>125</v>
      </c>
      <c r="P4981" t="s">
        <v>125</v>
      </c>
      <c r="Q4981" t="s">
        <v>125</v>
      </c>
      <c r="R4981" t="s">
        <v>125</v>
      </c>
      <c r="S4981" t="s">
        <v>125</v>
      </c>
      <c r="T4981">
        <v>0</v>
      </c>
      <c r="V4981" t="s">
        <v>125</v>
      </c>
      <c r="AE4981" t="s">
        <v>125</v>
      </c>
      <c r="AF4981">
        <v>0</v>
      </c>
      <c r="AG4981" t="s">
        <v>125</v>
      </c>
      <c r="AH4981">
        <v>0</v>
      </c>
      <c r="AK4981">
        <v>0</v>
      </c>
    </row>
    <row r="4982" spans="1:37" x14ac:dyDescent="0.25">
      <c r="A4982" t="s">
        <v>79</v>
      </c>
      <c r="B4982">
        <v>19</v>
      </c>
      <c r="C4982">
        <v>3</v>
      </c>
      <c r="D4982">
        <v>1</v>
      </c>
      <c r="E4982">
        <v>5</v>
      </c>
      <c r="G4982">
        <v>1931</v>
      </c>
      <c r="H4982" t="s">
        <v>63</v>
      </c>
      <c r="I4982" t="s">
        <v>109</v>
      </c>
      <c r="J4982" t="s">
        <v>145</v>
      </c>
      <c r="L4982">
        <v>0</v>
      </c>
      <c r="M4982" t="s">
        <v>125</v>
      </c>
      <c r="O4982" t="s">
        <v>125</v>
      </c>
      <c r="P4982" t="s">
        <v>125</v>
      </c>
      <c r="Q4982" t="s">
        <v>125</v>
      </c>
      <c r="R4982" t="s">
        <v>125</v>
      </c>
      <c r="S4982" t="s">
        <v>125</v>
      </c>
      <c r="T4982">
        <v>0</v>
      </c>
      <c r="V4982" t="s">
        <v>125</v>
      </c>
      <c r="AE4982" t="s">
        <v>125</v>
      </c>
      <c r="AF4982">
        <v>0</v>
      </c>
      <c r="AG4982" t="s">
        <v>125</v>
      </c>
      <c r="AH4982">
        <v>0</v>
      </c>
      <c r="AK4982">
        <v>0</v>
      </c>
    </row>
    <row r="4983" spans="1:37" x14ac:dyDescent="0.25">
      <c r="A4983" t="s">
        <v>79</v>
      </c>
      <c r="B4983">
        <v>19</v>
      </c>
      <c r="C4983">
        <v>3</v>
      </c>
      <c r="D4983">
        <v>1</v>
      </c>
      <c r="E4983">
        <v>6</v>
      </c>
      <c r="G4983">
        <v>1931</v>
      </c>
      <c r="H4983" t="s">
        <v>63</v>
      </c>
      <c r="I4983" t="s">
        <v>116</v>
      </c>
      <c r="J4983" t="s">
        <v>146</v>
      </c>
      <c r="L4983">
        <v>0</v>
      </c>
      <c r="M4983" t="s">
        <v>125</v>
      </c>
      <c r="O4983" t="s">
        <v>125</v>
      </c>
      <c r="P4983" t="s">
        <v>125</v>
      </c>
      <c r="Q4983" t="s">
        <v>125</v>
      </c>
      <c r="R4983" t="s">
        <v>125</v>
      </c>
      <c r="S4983" t="s">
        <v>125</v>
      </c>
      <c r="T4983">
        <v>0</v>
      </c>
      <c r="V4983" t="s">
        <v>125</v>
      </c>
      <c r="AE4983" t="s">
        <v>125</v>
      </c>
      <c r="AF4983">
        <v>0</v>
      </c>
      <c r="AG4983" t="s">
        <v>125</v>
      </c>
      <c r="AH4983">
        <v>0</v>
      </c>
      <c r="AK4983">
        <v>0</v>
      </c>
    </row>
    <row r="4984" spans="1:37" x14ac:dyDescent="0.25">
      <c r="A4984" t="s">
        <v>79</v>
      </c>
      <c r="B4984">
        <v>19</v>
      </c>
      <c r="C4984">
        <v>3</v>
      </c>
      <c r="D4984">
        <v>1</v>
      </c>
      <c r="E4984">
        <v>7</v>
      </c>
      <c r="G4984">
        <v>1931</v>
      </c>
      <c r="H4984" t="s">
        <v>63</v>
      </c>
      <c r="I4984" t="s">
        <v>123</v>
      </c>
      <c r="J4984" t="s">
        <v>147</v>
      </c>
      <c r="L4984">
        <v>0</v>
      </c>
      <c r="M4984" t="s">
        <v>125</v>
      </c>
      <c r="O4984" t="s">
        <v>125</v>
      </c>
      <c r="P4984" t="s">
        <v>125</v>
      </c>
      <c r="Q4984" t="s">
        <v>125</v>
      </c>
      <c r="R4984" t="s">
        <v>125</v>
      </c>
      <c r="S4984" t="s">
        <v>125</v>
      </c>
      <c r="T4984">
        <v>0</v>
      </c>
      <c r="V4984" t="s">
        <v>125</v>
      </c>
      <c r="AE4984" t="s">
        <v>125</v>
      </c>
      <c r="AF4984">
        <v>0</v>
      </c>
      <c r="AG4984" t="s">
        <v>125</v>
      </c>
      <c r="AH4984">
        <v>0</v>
      </c>
      <c r="AK4984">
        <v>0</v>
      </c>
    </row>
    <row r="4985" spans="1:37" x14ac:dyDescent="0.25">
      <c r="A4985" t="s">
        <v>79</v>
      </c>
      <c r="B4985">
        <v>19</v>
      </c>
      <c r="C4985">
        <v>3</v>
      </c>
      <c r="D4985">
        <v>1</v>
      </c>
      <c r="E4985">
        <v>8</v>
      </c>
      <c r="G4985">
        <v>1931</v>
      </c>
      <c r="H4985" t="s">
        <v>63</v>
      </c>
      <c r="I4985" t="s">
        <v>126</v>
      </c>
      <c r="J4985" t="s">
        <v>148</v>
      </c>
      <c r="L4985">
        <v>0</v>
      </c>
      <c r="M4985" t="s">
        <v>125</v>
      </c>
      <c r="O4985" t="s">
        <v>125</v>
      </c>
      <c r="P4985" t="s">
        <v>125</v>
      </c>
      <c r="Q4985" t="s">
        <v>125</v>
      </c>
      <c r="R4985" t="s">
        <v>125</v>
      </c>
      <c r="S4985" t="s">
        <v>125</v>
      </c>
      <c r="T4985">
        <v>0</v>
      </c>
      <c r="V4985" t="s">
        <v>125</v>
      </c>
      <c r="AE4985" t="s">
        <v>125</v>
      </c>
      <c r="AF4985">
        <v>0</v>
      </c>
      <c r="AG4985" t="s">
        <v>125</v>
      </c>
      <c r="AH4985">
        <v>0</v>
      </c>
      <c r="AK4985">
        <v>0</v>
      </c>
    </row>
    <row r="4986" spans="1:37" x14ac:dyDescent="0.25">
      <c r="A4986" t="s">
        <v>79</v>
      </c>
      <c r="B4986">
        <v>19</v>
      </c>
      <c r="C4986">
        <v>3</v>
      </c>
      <c r="D4986">
        <v>1</v>
      </c>
      <c r="E4986">
        <v>9</v>
      </c>
      <c r="G4986">
        <v>1931</v>
      </c>
      <c r="H4986" t="s">
        <v>63</v>
      </c>
      <c r="I4986" t="s">
        <v>74</v>
      </c>
      <c r="J4986" t="s">
        <v>149</v>
      </c>
      <c r="L4986">
        <v>0</v>
      </c>
      <c r="M4986" t="s">
        <v>125</v>
      </c>
      <c r="O4986" t="s">
        <v>125</v>
      </c>
      <c r="P4986" t="s">
        <v>125</v>
      </c>
      <c r="Q4986" t="s">
        <v>125</v>
      </c>
      <c r="R4986" t="s">
        <v>125</v>
      </c>
      <c r="S4986" t="s">
        <v>125</v>
      </c>
      <c r="T4986">
        <v>0</v>
      </c>
      <c r="V4986" t="s">
        <v>125</v>
      </c>
      <c r="AE4986" t="s">
        <v>125</v>
      </c>
      <c r="AF4986">
        <v>0</v>
      </c>
      <c r="AG4986" t="s">
        <v>125</v>
      </c>
      <c r="AH4986">
        <v>0</v>
      </c>
      <c r="AK4986">
        <v>0</v>
      </c>
    </row>
    <row r="4987" spans="1:37" x14ac:dyDescent="0.25">
      <c r="A4987" t="s">
        <v>79</v>
      </c>
      <c r="B4987">
        <v>19</v>
      </c>
      <c r="C4987">
        <v>3</v>
      </c>
      <c r="D4987">
        <v>1</v>
      </c>
      <c r="E4987">
        <v>10</v>
      </c>
      <c r="G4987">
        <v>1931</v>
      </c>
      <c r="H4987" t="s">
        <v>63</v>
      </c>
      <c r="I4987" t="s">
        <v>129</v>
      </c>
      <c r="J4987" t="s">
        <v>150</v>
      </c>
      <c r="L4987">
        <v>0</v>
      </c>
      <c r="M4987" t="s">
        <v>125</v>
      </c>
      <c r="O4987" t="s">
        <v>125</v>
      </c>
      <c r="P4987" t="s">
        <v>125</v>
      </c>
      <c r="Q4987" t="s">
        <v>125</v>
      </c>
      <c r="R4987" t="s">
        <v>125</v>
      </c>
      <c r="S4987" t="s">
        <v>125</v>
      </c>
      <c r="T4987">
        <v>0</v>
      </c>
      <c r="V4987" t="s">
        <v>125</v>
      </c>
      <c r="AE4987" t="s">
        <v>125</v>
      </c>
      <c r="AF4987">
        <v>0</v>
      </c>
      <c r="AG4987" t="s">
        <v>125</v>
      </c>
      <c r="AH4987">
        <v>0</v>
      </c>
      <c r="AK4987">
        <v>0</v>
      </c>
    </row>
    <row r="4988" spans="1:37" x14ac:dyDescent="0.25">
      <c r="A4988" t="s">
        <v>79</v>
      </c>
      <c r="B4988">
        <v>19</v>
      </c>
      <c r="C4988">
        <v>3</v>
      </c>
      <c r="D4988">
        <v>1</v>
      </c>
      <c r="E4988">
        <v>11</v>
      </c>
      <c r="G4988">
        <v>1931</v>
      </c>
      <c r="H4988" t="s">
        <v>63</v>
      </c>
      <c r="I4988" t="s">
        <v>131</v>
      </c>
      <c r="J4988" t="s">
        <v>151</v>
      </c>
      <c r="L4988">
        <v>0</v>
      </c>
      <c r="M4988" t="s">
        <v>125</v>
      </c>
      <c r="O4988" t="s">
        <v>125</v>
      </c>
      <c r="P4988" t="s">
        <v>125</v>
      </c>
      <c r="Q4988" t="s">
        <v>125</v>
      </c>
      <c r="R4988" t="s">
        <v>125</v>
      </c>
      <c r="S4988" t="s">
        <v>125</v>
      </c>
      <c r="T4988">
        <v>0</v>
      </c>
      <c r="V4988" t="s">
        <v>125</v>
      </c>
      <c r="AE4988" t="s">
        <v>125</v>
      </c>
      <c r="AF4988">
        <v>0</v>
      </c>
      <c r="AG4988" t="s">
        <v>125</v>
      </c>
      <c r="AH4988">
        <v>0</v>
      </c>
      <c r="AK4988">
        <v>0</v>
      </c>
    </row>
    <row r="4989" spans="1:37" x14ac:dyDescent="0.25">
      <c r="A4989" t="s">
        <v>79</v>
      </c>
      <c r="B4989">
        <v>19</v>
      </c>
      <c r="C4989">
        <v>3</v>
      </c>
      <c r="D4989">
        <v>1</v>
      </c>
      <c r="E4989">
        <v>12</v>
      </c>
      <c r="G4989">
        <v>1931</v>
      </c>
      <c r="H4989" t="s">
        <v>63</v>
      </c>
      <c r="I4989" t="s">
        <v>133</v>
      </c>
      <c r="J4989" t="s">
        <v>152</v>
      </c>
      <c r="L4989">
        <v>0</v>
      </c>
      <c r="M4989" t="s">
        <v>125</v>
      </c>
      <c r="O4989" t="s">
        <v>125</v>
      </c>
      <c r="P4989" t="s">
        <v>125</v>
      </c>
      <c r="Q4989" t="s">
        <v>125</v>
      </c>
      <c r="R4989" t="s">
        <v>125</v>
      </c>
      <c r="S4989" t="s">
        <v>125</v>
      </c>
      <c r="T4989">
        <v>0</v>
      </c>
      <c r="V4989" t="s">
        <v>125</v>
      </c>
      <c r="AE4989" t="s">
        <v>125</v>
      </c>
      <c r="AF4989">
        <v>0</v>
      </c>
      <c r="AG4989" t="s">
        <v>125</v>
      </c>
      <c r="AH4989">
        <v>0</v>
      </c>
      <c r="AK4989">
        <v>0</v>
      </c>
    </row>
    <row r="4990" spans="1:37" x14ac:dyDescent="0.25">
      <c r="A4990" t="s">
        <v>79</v>
      </c>
      <c r="B4990">
        <v>19</v>
      </c>
      <c r="C4990">
        <v>3</v>
      </c>
      <c r="D4990">
        <v>1</v>
      </c>
      <c r="E4990">
        <v>13</v>
      </c>
      <c r="G4990">
        <v>1931</v>
      </c>
      <c r="H4990" t="s">
        <v>63</v>
      </c>
      <c r="I4990" t="s">
        <v>135</v>
      </c>
      <c r="J4990" t="s">
        <v>153</v>
      </c>
      <c r="L4990">
        <v>0</v>
      </c>
      <c r="M4990" t="s">
        <v>125</v>
      </c>
      <c r="O4990" t="s">
        <v>125</v>
      </c>
      <c r="P4990" t="s">
        <v>125</v>
      </c>
      <c r="Q4990" t="s">
        <v>125</v>
      </c>
      <c r="R4990" t="s">
        <v>125</v>
      </c>
      <c r="S4990" t="s">
        <v>125</v>
      </c>
      <c r="T4990">
        <v>0</v>
      </c>
      <c r="V4990" t="s">
        <v>125</v>
      </c>
      <c r="AE4990" t="s">
        <v>125</v>
      </c>
      <c r="AF4990">
        <v>0</v>
      </c>
      <c r="AG4990" t="s">
        <v>125</v>
      </c>
      <c r="AH4990">
        <v>0</v>
      </c>
      <c r="AK4990">
        <v>0</v>
      </c>
    </row>
    <row r="4991" spans="1:37" x14ac:dyDescent="0.25">
      <c r="A4991" t="s">
        <v>79</v>
      </c>
      <c r="B4991">
        <v>19</v>
      </c>
      <c r="C4991">
        <v>3</v>
      </c>
      <c r="D4991">
        <v>1</v>
      </c>
      <c r="E4991">
        <v>14</v>
      </c>
      <c r="G4991">
        <v>1931</v>
      </c>
      <c r="H4991" t="s">
        <v>63</v>
      </c>
      <c r="I4991" t="s">
        <v>137</v>
      </c>
      <c r="J4991" t="s">
        <v>154</v>
      </c>
      <c r="L4991">
        <v>0</v>
      </c>
      <c r="M4991" t="s">
        <v>125</v>
      </c>
      <c r="O4991" t="s">
        <v>125</v>
      </c>
      <c r="P4991" t="s">
        <v>125</v>
      </c>
      <c r="Q4991" t="s">
        <v>125</v>
      </c>
      <c r="R4991" t="s">
        <v>125</v>
      </c>
      <c r="S4991" t="s">
        <v>125</v>
      </c>
      <c r="T4991">
        <v>0</v>
      </c>
      <c r="V4991" t="s">
        <v>125</v>
      </c>
      <c r="AE4991" t="s">
        <v>125</v>
      </c>
      <c r="AF4991">
        <v>0</v>
      </c>
      <c r="AG4991" t="s">
        <v>125</v>
      </c>
      <c r="AH4991">
        <v>0</v>
      </c>
      <c r="AK4991">
        <v>0</v>
      </c>
    </row>
    <row r="4992" spans="1:37" x14ac:dyDescent="0.25">
      <c r="A4992" t="s">
        <v>79</v>
      </c>
      <c r="B4992">
        <v>19</v>
      </c>
      <c r="C4992">
        <v>3</v>
      </c>
      <c r="D4992">
        <v>1</v>
      </c>
      <c r="E4992">
        <v>15</v>
      </c>
      <c r="G4992">
        <v>1931</v>
      </c>
      <c r="H4992" t="s">
        <v>63</v>
      </c>
      <c r="I4992" t="s">
        <v>139</v>
      </c>
      <c r="J4992" t="s">
        <v>155</v>
      </c>
      <c r="L4992">
        <v>0</v>
      </c>
      <c r="M4992" t="s">
        <v>125</v>
      </c>
      <c r="O4992" t="s">
        <v>125</v>
      </c>
      <c r="P4992" t="s">
        <v>125</v>
      </c>
      <c r="Q4992" t="s">
        <v>125</v>
      </c>
      <c r="R4992" t="s">
        <v>125</v>
      </c>
      <c r="S4992" t="s">
        <v>125</v>
      </c>
      <c r="T4992">
        <v>0</v>
      </c>
      <c r="V4992" t="s">
        <v>125</v>
      </c>
      <c r="AE4992" t="s">
        <v>125</v>
      </c>
      <c r="AF4992">
        <v>0</v>
      </c>
      <c r="AG4992" t="s">
        <v>125</v>
      </c>
      <c r="AH4992">
        <v>0</v>
      </c>
      <c r="AK4992">
        <v>0</v>
      </c>
    </row>
    <row r="4993" spans="1:37" x14ac:dyDescent="0.25">
      <c r="L4993">
        <v>0</v>
      </c>
    </row>
    <row r="4994" spans="1:37" x14ac:dyDescent="0.25">
      <c r="A4994" t="s">
        <v>70</v>
      </c>
      <c r="B4994">
        <v>19</v>
      </c>
      <c r="C4994">
        <v>3</v>
      </c>
      <c r="D4994">
        <v>2</v>
      </c>
      <c r="G4994">
        <v>193</v>
      </c>
      <c r="L4994">
        <v>0</v>
      </c>
      <c r="M4994" t="s">
        <v>125</v>
      </c>
      <c r="P4994" t="s">
        <v>125</v>
      </c>
      <c r="R4994" t="s">
        <v>125</v>
      </c>
      <c r="S4994" t="s">
        <v>63</v>
      </c>
      <c r="V4994" t="s">
        <v>125</v>
      </c>
      <c r="X4994" t="s">
        <v>125</v>
      </c>
      <c r="Y4994" t="s">
        <v>125</v>
      </c>
      <c r="Z4994" t="s">
        <v>125</v>
      </c>
      <c r="AA4994" t="s">
        <v>125</v>
      </c>
      <c r="AB4994" t="s">
        <v>125</v>
      </c>
      <c r="AC4994" t="s">
        <v>125</v>
      </c>
      <c r="AE4994" t="s">
        <v>125</v>
      </c>
      <c r="AF4994">
        <v>0</v>
      </c>
      <c r="AG4994" t="s">
        <v>125</v>
      </c>
      <c r="AH4994">
        <v>0</v>
      </c>
      <c r="AK4994">
        <v>0</v>
      </c>
    </row>
    <row r="4995" spans="1:37" x14ac:dyDescent="0.25">
      <c r="A4995" t="s">
        <v>79</v>
      </c>
      <c r="B4995">
        <v>19</v>
      </c>
      <c r="C4995">
        <v>3</v>
      </c>
      <c r="D4995">
        <v>2</v>
      </c>
      <c r="E4995">
        <v>1</v>
      </c>
      <c r="G4995">
        <v>1932</v>
      </c>
      <c r="H4995" t="s">
        <v>63</v>
      </c>
      <c r="I4995" t="s">
        <v>80</v>
      </c>
      <c r="J4995" t="s">
        <v>141</v>
      </c>
      <c r="L4995">
        <v>0</v>
      </c>
      <c r="M4995" t="s">
        <v>125</v>
      </c>
      <c r="O4995" t="s">
        <v>125</v>
      </c>
      <c r="P4995" t="s">
        <v>125</v>
      </c>
      <c r="Q4995" t="s">
        <v>125</v>
      </c>
      <c r="R4995" t="s">
        <v>125</v>
      </c>
      <c r="S4995" t="s">
        <v>125</v>
      </c>
      <c r="T4995">
        <v>0</v>
      </c>
      <c r="V4995" t="s">
        <v>125</v>
      </c>
      <c r="AE4995" t="s">
        <v>125</v>
      </c>
      <c r="AF4995">
        <v>0</v>
      </c>
      <c r="AG4995" t="s">
        <v>125</v>
      </c>
      <c r="AH4995">
        <v>0</v>
      </c>
      <c r="AK4995">
        <v>0</v>
      </c>
    </row>
    <row r="4996" spans="1:37" x14ac:dyDescent="0.25">
      <c r="A4996" t="s">
        <v>79</v>
      </c>
      <c r="B4996">
        <v>19</v>
      </c>
      <c r="C4996">
        <v>3</v>
      </c>
      <c r="D4996">
        <v>2</v>
      </c>
      <c r="E4996">
        <v>2</v>
      </c>
      <c r="G4996">
        <v>1932</v>
      </c>
      <c r="H4996" t="s">
        <v>63</v>
      </c>
      <c r="I4996" t="s">
        <v>88</v>
      </c>
      <c r="J4996" t="s">
        <v>142</v>
      </c>
      <c r="L4996">
        <v>0</v>
      </c>
      <c r="M4996" t="s">
        <v>125</v>
      </c>
      <c r="O4996" t="s">
        <v>125</v>
      </c>
      <c r="P4996" t="s">
        <v>125</v>
      </c>
      <c r="Q4996" t="s">
        <v>125</v>
      </c>
      <c r="R4996" t="s">
        <v>125</v>
      </c>
      <c r="S4996" t="s">
        <v>125</v>
      </c>
      <c r="T4996">
        <v>0</v>
      </c>
      <c r="V4996" t="s">
        <v>125</v>
      </c>
      <c r="AE4996" t="s">
        <v>125</v>
      </c>
      <c r="AF4996">
        <v>0</v>
      </c>
      <c r="AG4996" t="s">
        <v>125</v>
      </c>
      <c r="AH4996">
        <v>0</v>
      </c>
      <c r="AK4996">
        <v>0</v>
      </c>
    </row>
    <row r="4997" spans="1:37" x14ac:dyDescent="0.25">
      <c r="A4997" t="s">
        <v>79</v>
      </c>
      <c r="B4997">
        <v>19</v>
      </c>
      <c r="C4997">
        <v>3</v>
      </c>
      <c r="D4997">
        <v>2</v>
      </c>
      <c r="E4997">
        <v>3</v>
      </c>
      <c r="G4997">
        <v>1932</v>
      </c>
      <c r="H4997" t="s">
        <v>63</v>
      </c>
      <c r="I4997" t="s">
        <v>95</v>
      </c>
      <c r="J4997" t="s">
        <v>143</v>
      </c>
      <c r="L4997">
        <v>0</v>
      </c>
      <c r="M4997" t="s">
        <v>125</v>
      </c>
      <c r="O4997" t="s">
        <v>125</v>
      </c>
      <c r="P4997" t="s">
        <v>125</v>
      </c>
      <c r="Q4997" t="s">
        <v>125</v>
      </c>
      <c r="R4997" t="s">
        <v>125</v>
      </c>
      <c r="S4997" t="s">
        <v>125</v>
      </c>
      <c r="T4997">
        <v>0</v>
      </c>
      <c r="V4997" t="s">
        <v>125</v>
      </c>
      <c r="AE4997" t="s">
        <v>125</v>
      </c>
      <c r="AF4997">
        <v>0</v>
      </c>
      <c r="AG4997" t="s">
        <v>125</v>
      </c>
      <c r="AH4997">
        <v>0</v>
      </c>
      <c r="AK4997">
        <v>0</v>
      </c>
    </row>
    <row r="4998" spans="1:37" x14ac:dyDescent="0.25">
      <c r="A4998" t="s">
        <v>79</v>
      </c>
      <c r="B4998">
        <v>19</v>
      </c>
      <c r="C4998">
        <v>3</v>
      </c>
      <c r="D4998">
        <v>2</v>
      </c>
      <c r="E4998">
        <v>4</v>
      </c>
      <c r="G4998">
        <v>1932</v>
      </c>
      <c r="H4998" t="s">
        <v>63</v>
      </c>
      <c r="I4998" t="s">
        <v>102</v>
      </c>
      <c r="J4998" t="s">
        <v>144</v>
      </c>
      <c r="L4998">
        <v>0</v>
      </c>
      <c r="M4998" t="s">
        <v>125</v>
      </c>
      <c r="O4998" t="s">
        <v>125</v>
      </c>
      <c r="P4998" t="s">
        <v>125</v>
      </c>
      <c r="Q4998" t="s">
        <v>125</v>
      </c>
      <c r="R4998" t="s">
        <v>125</v>
      </c>
      <c r="S4998" t="s">
        <v>125</v>
      </c>
      <c r="T4998">
        <v>0</v>
      </c>
      <c r="V4998" t="s">
        <v>125</v>
      </c>
      <c r="AE4998" t="s">
        <v>125</v>
      </c>
      <c r="AF4998">
        <v>0</v>
      </c>
      <c r="AG4998" t="s">
        <v>125</v>
      </c>
      <c r="AH4998">
        <v>0</v>
      </c>
      <c r="AK4998">
        <v>0</v>
      </c>
    </row>
    <row r="4999" spans="1:37" x14ac:dyDescent="0.25">
      <c r="A4999" t="s">
        <v>79</v>
      </c>
      <c r="B4999">
        <v>19</v>
      </c>
      <c r="C4999">
        <v>3</v>
      </c>
      <c r="D4999">
        <v>2</v>
      </c>
      <c r="E4999">
        <v>5</v>
      </c>
      <c r="G4999">
        <v>1932</v>
      </c>
      <c r="H4999" t="s">
        <v>63</v>
      </c>
      <c r="I4999" t="s">
        <v>109</v>
      </c>
      <c r="J4999" t="s">
        <v>145</v>
      </c>
      <c r="L4999">
        <v>0</v>
      </c>
      <c r="M4999" t="s">
        <v>125</v>
      </c>
      <c r="O4999" t="s">
        <v>125</v>
      </c>
      <c r="P4999" t="s">
        <v>125</v>
      </c>
      <c r="Q4999" t="s">
        <v>125</v>
      </c>
      <c r="R4999" t="s">
        <v>125</v>
      </c>
      <c r="S4999" t="s">
        <v>125</v>
      </c>
      <c r="T4999">
        <v>0</v>
      </c>
      <c r="V4999" t="s">
        <v>125</v>
      </c>
      <c r="AE4999" t="s">
        <v>125</v>
      </c>
      <c r="AF4999">
        <v>0</v>
      </c>
      <c r="AG4999" t="s">
        <v>125</v>
      </c>
      <c r="AH4999">
        <v>0</v>
      </c>
      <c r="AK4999">
        <v>0</v>
      </c>
    </row>
    <row r="5000" spans="1:37" x14ac:dyDescent="0.25">
      <c r="A5000" t="s">
        <v>79</v>
      </c>
      <c r="B5000">
        <v>19</v>
      </c>
      <c r="C5000">
        <v>3</v>
      </c>
      <c r="D5000">
        <v>2</v>
      </c>
      <c r="E5000">
        <v>6</v>
      </c>
      <c r="G5000">
        <v>1932</v>
      </c>
      <c r="H5000" t="s">
        <v>63</v>
      </c>
      <c r="I5000" t="s">
        <v>116</v>
      </c>
      <c r="J5000" t="s">
        <v>146</v>
      </c>
      <c r="L5000">
        <v>0</v>
      </c>
      <c r="M5000" t="s">
        <v>125</v>
      </c>
      <c r="O5000" t="s">
        <v>125</v>
      </c>
      <c r="P5000" t="s">
        <v>125</v>
      </c>
      <c r="Q5000" t="s">
        <v>125</v>
      </c>
      <c r="R5000" t="s">
        <v>125</v>
      </c>
      <c r="S5000" t="s">
        <v>125</v>
      </c>
      <c r="T5000">
        <v>0</v>
      </c>
      <c r="V5000" t="s">
        <v>125</v>
      </c>
      <c r="AE5000" t="s">
        <v>125</v>
      </c>
      <c r="AF5000">
        <v>0</v>
      </c>
      <c r="AG5000" t="s">
        <v>125</v>
      </c>
      <c r="AH5000">
        <v>0</v>
      </c>
      <c r="AK5000">
        <v>0</v>
      </c>
    </row>
    <row r="5001" spans="1:37" x14ac:dyDescent="0.25">
      <c r="A5001" t="s">
        <v>79</v>
      </c>
      <c r="B5001">
        <v>19</v>
      </c>
      <c r="C5001">
        <v>3</v>
      </c>
      <c r="D5001">
        <v>2</v>
      </c>
      <c r="E5001">
        <v>7</v>
      </c>
      <c r="G5001">
        <v>1932</v>
      </c>
      <c r="H5001" t="s">
        <v>63</v>
      </c>
      <c r="I5001" t="s">
        <v>123</v>
      </c>
      <c r="J5001" t="s">
        <v>147</v>
      </c>
      <c r="L5001">
        <v>0</v>
      </c>
      <c r="M5001" t="s">
        <v>125</v>
      </c>
      <c r="O5001" t="s">
        <v>125</v>
      </c>
      <c r="P5001" t="s">
        <v>125</v>
      </c>
      <c r="Q5001" t="s">
        <v>125</v>
      </c>
      <c r="R5001" t="s">
        <v>125</v>
      </c>
      <c r="S5001" t="s">
        <v>125</v>
      </c>
      <c r="T5001">
        <v>0</v>
      </c>
      <c r="V5001" t="s">
        <v>125</v>
      </c>
      <c r="AE5001" t="s">
        <v>125</v>
      </c>
      <c r="AF5001">
        <v>0</v>
      </c>
      <c r="AG5001" t="s">
        <v>125</v>
      </c>
      <c r="AH5001">
        <v>0</v>
      </c>
      <c r="AK5001">
        <v>0</v>
      </c>
    </row>
    <row r="5002" spans="1:37" x14ac:dyDescent="0.25">
      <c r="A5002" t="s">
        <v>79</v>
      </c>
      <c r="B5002">
        <v>19</v>
      </c>
      <c r="C5002">
        <v>3</v>
      </c>
      <c r="D5002">
        <v>2</v>
      </c>
      <c r="E5002">
        <v>8</v>
      </c>
      <c r="G5002">
        <v>1932</v>
      </c>
      <c r="H5002" t="s">
        <v>63</v>
      </c>
      <c r="I5002" t="s">
        <v>126</v>
      </c>
      <c r="J5002" t="s">
        <v>148</v>
      </c>
      <c r="L5002">
        <v>0</v>
      </c>
      <c r="M5002" t="s">
        <v>125</v>
      </c>
      <c r="O5002" t="s">
        <v>125</v>
      </c>
      <c r="P5002" t="s">
        <v>125</v>
      </c>
      <c r="Q5002" t="s">
        <v>125</v>
      </c>
      <c r="R5002" t="s">
        <v>125</v>
      </c>
      <c r="S5002" t="s">
        <v>125</v>
      </c>
      <c r="T5002">
        <v>0</v>
      </c>
      <c r="V5002" t="s">
        <v>125</v>
      </c>
      <c r="AE5002" t="s">
        <v>125</v>
      </c>
      <c r="AF5002">
        <v>0</v>
      </c>
      <c r="AG5002" t="s">
        <v>125</v>
      </c>
      <c r="AH5002">
        <v>0</v>
      </c>
      <c r="AK5002">
        <v>0</v>
      </c>
    </row>
    <row r="5003" spans="1:37" x14ac:dyDescent="0.25">
      <c r="A5003" t="s">
        <v>79</v>
      </c>
      <c r="B5003">
        <v>19</v>
      </c>
      <c r="C5003">
        <v>3</v>
      </c>
      <c r="D5003">
        <v>2</v>
      </c>
      <c r="E5003">
        <v>9</v>
      </c>
      <c r="G5003">
        <v>1932</v>
      </c>
      <c r="H5003" t="s">
        <v>63</v>
      </c>
      <c r="I5003" t="s">
        <v>74</v>
      </c>
      <c r="J5003" t="s">
        <v>149</v>
      </c>
      <c r="L5003">
        <v>0</v>
      </c>
      <c r="M5003" t="s">
        <v>125</v>
      </c>
      <c r="O5003" t="s">
        <v>125</v>
      </c>
      <c r="P5003" t="s">
        <v>125</v>
      </c>
      <c r="Q5003" t="s">
        <v>125</v>
      </c>
      <c r="R5003" t="s">
        <v>125</v>
      </c>
      <c r="S5003" t="s">
        <v>125</v>
      </c>
      <c r="T5003">
        <v>0</v>
      </c>
      <c r="V5003" t="s">
        <v>125</v>
      </c>
      <c r="AE5003" t="s">
        <v>125</v>
      </c>
      <c r="AF5003">
        <v>0</v>
      </c>
      <c r="AG5003" t="s">
        <v>125</v>
      </c>
      <c r="AH5003">
        <v>0</v>
      </c>
      <c r="AK5003">
        <v>0</v>
      </c>
    </row>
    <row r="5004" spans="1:37" x14ac:dyDescent="0.25">
      <c r="A5004" t="s">
        <v>79</v>
      </c>
      <c r="B5004">
        <v>19</v>
      </c>
      <c r="C5004">
        <v>3</v>
      </c>
      <c r="D5004">
        <v>2</v>
      </c>
      <c r="E5004">
        <v>10</v>
      </c>
      <c r="G5004">
        <v>1932</v>
      </c>
      <c r="H5004" t="s">
        <v>63</v>
      </c>
      <c r="I5004" t="s">
        <v>129</v>
      </c>
      <c r="J5004" t="s">
        <v>150</v>
      </c>
      <c r="L5004">
        <v>0</v>
      </c>
      <c r="M5004" t="s">
        <v>125</v>
      </c>
      <c r="O5004" t="s">
        <v>125</v>
      </c>
      <c r="P5004" t="s">
        <v>125</v>
      </c>
      <c r="Q5004" t="s">
        <v>125</v>
      </c>
      <c r="R5004" t="s">
        <v>125</v>
      </c>
      <c r="S5004" t="s">
        <v>125</v>
      </c>
      <c r="T5004">
        <v>0</v>
      </c>
      <c r="V5004" t="s">
        <v>125</v>
      </c>
      <c r="AE5004" t="s">
        <v>125</v>
      </c>
      <c r="AF5004">
        <v>0</v>
      </c>
      <c r="AG5004" t="s">
        <v>125</v>
      </c>
      <c r="AH5004">
        <v>0</v>
      </c>
      <c r="AK5004">
        <v>0</v>
      </c>
    </row>
    <row r="5005" spans="1:37" x14ac:dyDescent="0.25">
      <c r="A5005" t="s">
        <v>79</v>
      </c>
      <c r="B5005">
        <v>19</v>
      </c>
      <c r="C5005">
        <v>3</v>
      </c>
      <c r="D5005">
        <v>2</v>
      </c>
      <c r="E5005">
        <v>11</v>
      </c>
      <c r="G5005">
        <v>1932</v>
      </c>
      <c r="H5005" t="s">
        <v>63</v>
      </c>
      <c r="I5005" t="s">
        <v>131</v>
      </c>
      <c r="J5005" t="s">
        <v>151</v>
      </c>
      <c r="L5005">
        <v>0</v>
      </c>
      <c r="M5005" t="s">
        <v>125</v>
      </c>
      <c r="O5005" t="s">
        <v>125</v>
      </c>
      <c r="P5005" t="s">
        <v>125</v>
      </c>
      <c r="Q5005" t="s">
        <v>125</v>
      </c>
      <c r="R5005" t="s">
        <v>125</v>
      </c>
      <c r="S5005" t="s">
        <v>125</v>
      </c>
      <c r="T5005">
        <v>0</v>
      </c>
      <c r="V5005" t="s">
        <v>125</v>
      </c>
      <c r="AE5005" t="s">
        <v>125</v>
      </c>
      <c r="AF5005">
        <v>0</v>
      </c>
      <c r="AG5005" t="s">
        <v>125</v>
      </c>
      <c r="AH5005">
        <v>0</v>
      </c>
      <c r="AK5005">
        <v>0</v>
      </c>
    </row>
    <row r="5006" spans="1:37" x14ac:dyDescent="0.25">
      <c r="A5006" t="s">
        <v>79</v>
      </c>
      <c r="B5006">
        <v>19</v>
      </c>
      <c r="C5006">
        <v>3</v>
      </c>
      <c r="D5006">
        <v>2</v>
      </c>
      <c r="E5006">
        <v>12</v>
      </c>
      <c r="G5006">
        <v>1932</v>
      </c>
      <c r="H5006" t="s">
        <v>63</v>
      </c>
      <c r="I5006" t="s">
        <v>133</v>
      </c>
      <c r="J5006" t="s">
        <v>152</v>
      </c>
      <c r="L5006">
        <v>0</v>
      </c>
      <c r="M5006" t="s">
        <v>125</v>
      </c>
      <c r="O5006" t="s">
        <v>125</v>
      </c>
      <c r="P5006" t="s">
        <v>125</v>
      </c>
      <c r="Q5006" t="s">
        <v>125</v>
      </c>
      <c r="R5006" t="s">
        <v>125</v>
      </c>
      <c r="S5006" t="s">
        <v>125</v>
      </c>
      <c r="T5006">
        <v>0</v>
      </c>
      <c r="V5006" t="s">
        <v>125</v>
      </c>
      <c r="AE5006" t="s">
        <v>125</v>
      </c>
      <c r="AF5006">
        <v>0</v>
      </c>
      <c r="AG5006" t="s">
        <v>125</v>
      </c>
      <c r="AH5006">
        <v>0</v>
      </c>
      <c r="AK5006">
        <v>0</v>
      </c>
    </row>
    <row r="5007" spans="1:37" x14ac:dyDescent="0.25">
      <c r="A5007" t="s">
        <v>79</v>
      </c>
      <c r="B5007">
        <v>19</v>
      </c>
      <c r="C5007">
        <v>3</v>
      </c>
      <c r="D5007">
        <v>2</v>
      </c>
      <c r="E5007">
        <v>13</v>
      </c>
      <c r="G5007">
        <v>1932</v>
      </c>
      <c r="H5007" t="s">
        <v>63</v>
      </c>
      <c r="I5007" t="s">
        <v>135</v>
      </c>
      <c r="J5007" t="s">
        <v>153</v>
      </c>
      <c r="L5007">
        <v>0</v>
      </c>
      <c r="M5007" t="s">
        <v>125</v>
      </c>
      <c r="O5007" t="s">
        <v>125</v>
      </c>
      <c r="P5007" t="s">
        <v>125</v>
      </c>
      <c r="Q5007" t="s">
        <v>125</v>
      </c>
      <c r="R5007" t="s">
        <v>125</v>
      </c>
      <c r="S5007" t="s">
        <v>125</v>
      </c>
      <c r="T5007">
        <v>0</v>
      </c>
      <c r="V5007" t="s">
        <v>125</v>
      </c>
      <c r="AE5007" t="s">
        <v>125</v>
      </c>
      <c r="AF5007">
        <v>0</v>
      </c>
      <c r="AG5007" t="s">
        <v>125</v>
      </c>
      <c r="AH5007">
        <v>0</v>
      </c>
      <c r="AK5007">
        <v>0</v>
      </c>
    </row>
    <row r="5008" spans="1:37" x14ac:dyDescent="0.25">
      <c r="A5008" t="s">
        <v>79</v>
      </c>
      <c r="B5008">
        <v>19</v>
      </c>
      <c r="C5008">
        <v>3</v>
      </c>
      <c r="D5008">
        <v>2</v>
      </c>
      <c r="E5008">
        <v>14</v>
      </c>
      <c r="G5008">
        <v>1932</v>
      </c>
      <c r="H5008" t="s">
        <v>63</v>
      </c>
      <c r="I5008" t="s">
        <v>137</v>
      </c>
      <c r="J5008" t="s">
        <v>154</v>
      </c>
      <c r="L5008">
        <v>0</v>
      </c>
      <c r="M5008" t="s">
        <v>125</v>
      </c>
      <c r="O5008" t="s">
        <v>125</v>
      </c>
      <c r="P5008" t="s">
        <v>125</v>
      </c>
      <c r="Q5008" t="s">
        <v>125</v>
      </c>
      <c r="R5008" t="s">
        <v>125</v>
      </c>
      <c r="S5008" t="s">
        <v>125</v>
      </c>
      <c r="T5008">
        <v>0</v>
      </c>
      <c r="V5008" t="s">
        <v>125</v>
      </c>
      <c r="AE5008" t="s">
        <v>125</v>
      </c>
      <c r="AF5008">
        <v>0</v>
      </c>
      <c r="AG5008" t="s">
        <v>125</v>
      </c>
      <c r="AH5008">
        <v>0</v>
      </c>
      <c r="AK5008">
        <v>0</v>
      </c>
    </row>
    <row r="5009" spans="1:37" x14ac:dyDescent="0.25">
      <c r="A5009" t="s">
        <v>79</v>
      </c>
      <c r="B5009">
        <v>19</v>
      </c>
      <c r="C5009">
        <v>3</v>
      </c>
      <c r="D5009">
        <v>2</v>
      </c>
      <c r="E5009">
        <v>15</v>
      </c>
      <c r="G5009">
        <v>1932</v>
      </c>
      <c r="H5009" t="s">
        <v>63</v>
      </c>
      <c r="I5009" t="s">
        <v>139</v>
      </c>
      <c r="J5009" t="s">
        <v>155</v>
      </c>
      <c r="L5009">
        <v>0</v>
      </c>
      <c r="M5009" t="s">
        <v>125</v>
      </c>
      <c r="O5009" t="s">
        <v>125</v>
      </c>
      <c r="P5009" t="s">
        <v>125</v>
      </c>
      <c r="Q5009" t="s">
        <v>125</v>
      </c>
      <c r="R5009" t="s">
        <v>125</v>
      </c>
      <c r="S5009" t="s">
        <v>125</v>
      </c>
      <c r="T5009">
        <v>0</v>
      </c>
      <c r="V5009" t="s">
        <v>125</v>
      </c>
      <c r="AE5009" t="s">
        <v>125</v>
      </c>
      <c r="AF5009">
        <v>0</v>
      </c>
      <c r="AG5009" t="s">
        <v>125</v>
      </c>
      <c r="AH5009">
        <v>0</v>
      </c>
      <c r="AK5009">
        <v>0</v>
      </c>
    </row>
    <row r="5010" spans="1:37" x14ac:dyDescent="0.25">
      <c r="L5010">
        <v>0</v>
      </c>
    </row>
    <row r="5011" spans="1:37" x14ac:dyDescent="0.25">
      <c r="A5011" t="s">
        <v>70</v>
      </c>
      <c r="B5011">
        <v>19</v>
      </c>
      <c r="C5011">
        <v>3</v>
      </c>
      <c r="D5011">
        <v>3</v>
      </c>
      <c r="G5011">
        <v>193</v>
      </c>
      <c r="L5011">
        <v>0</v>
      </c>
      <c r="M5011" t="s">
        <v>125</v>
      </c>
      <c r="P5011" t="s">
        <v>125</v>
      </c>
      <c r="R5011" t="s">
        <v>125</v>
      </c>
      <c r="S5011" t="s">
        <v>63</v>
      </c>
      <c r="V5011" t="s">
        <v>125</v>
      </c>
      <c r="X5011" t="s">
        <v>125</v>
      </c>
      <c r="Y5011" t="s">
        <v>125</v>
      </c>
      <c r="Z5011" t="s">
        <v>125</v>
      </c>
      <c r="AA5011" t="s">
        <v>125</v>
      </c>
      <c r="AB5011" t="s">
        <v>125</v>
      </c>
      <c r="AC5011" t="s">
        <v>125</v>
      </c>
      <c r="AE5011" t="s">
        <v>125</v>
      </c>
      <c r="AF5011">
        <v>0</v>
      </c>
      <c r="AG5011" t="s">
        <v>125</v>
      </c>
      <c r="AH5011">
        <v>0</v>
      </c>
      <c r="AK5011">
        <v>0</v>
      </c>
    </row>
    <row r="5012" spans="1:37" x14ac:dyDescent="0.25">
      <c r="A5012" t="s">
        <v>79</v>
      </c>
      <c r="B5012">
        <v>19</v>
      </c>
      <c r="C5012">
        <v>3</v>
      </c>
      <c r="D5012">
        <v>3</v>
      </c>
      <c r="E5012">
        <v>1</v>
      </c>
      <c r="G5012">
        <v>1933</v>
      </c>
      <c r="H5012" t="s">
        <v>63</v>
      </c>
      <c r="I5012" t="s">
        <v>80</v>
      </c>
      <c r="J5012" t="s">
        <v>141</v>
      </c>
      <c r="L5012">
        <v>0</v>
      </c>
      <c r="M5012" t="s">
        <v>125</v>
      </c>
      <c r="O5012" t="s">
        <v>125</v>
      </c>
      <c r="P5012" t="s">
        <v>125</v>
      </c>
      <c r="Q5012" t="s">
        <v>125</v>
      </c>
      <c r="R5012" t="s">
        <v>125</v>
      </c>
      <c r="S5012" t="s">
        <v>125</v>
      </c>
      <c r="T5012">
        <v>0</v>
      </c>
      <c r="V5012" t="s">
        <v>125</v>
      </c>
      <c r="AE5012" t="s">
        <v>125</v>
      </c>
      <c r="AF5012">
        <v>0</v>
      </c>
      <c r="AG5012" t="s">
        <v>125</v>
      </c>
      <c r="AH5012">
        <v>0</v>
      </c>
      <c r="AK5012">
        <v>0</v>
      </c>
    </row>
    <row r="5013" spans="1:37" x14ac:dyDescent="0.25">
      <c r="A5013" t="s">
        <v>79</v>
      </c>
      <c r="B5013">
        <v>19</v>
      </c>
      <c r="C5013">
        <v>3</v>
      </c>
      <c r="D5013">
        <v>3</v>
      </c>
      <c r="E5013">
        <v>2</v>
      </c>
      <c r="G5013">
        <v>1933</v>
      </c>
      <c r="H5013" t="s">
        <v>63</v>
      </c>
      <c r="I5013" t="s">
        <v>88</v>
      </c>
      <c r="J5013" t="s">
        <v>142</v>
      </c>
      <c r="L5013">
        <v>0</v>
      </c>
      <c r="M5013" t="s">
        <v>125</v>
      </c>
      <c r="O5013" t="s">
        <v>125</v>
      </c>
      <c r="P5013" t="s">
        <v>125</v>
      </c>
      <c r="Q5013" t="s">
        <v>125</v>
      </c>
      <c r="R5013" t="s">
        <v>125</v>
      </c>
      <c r="S5013" t="s">
        <v>125</v>
      </c>
      <c r="T5013">
        <v>0</v>
      </c>
      <c r="V5013" t="s">
        <v>125</v>
      </c>
      <c r="AE5013" t="s">
        <v>125</v>
      </c>
      <c r="AF5013">
        <v>0</v>
      </c>
      <c r="AG5013" t="s">
        <v>125</v>
      </c>
      <c r="AH5013">
        <v>0</v>
      </c>
      <c r="AK5013">
        <v>0</v>
      </c>
    </row>
    <row r="5014" spans="1:37" x14ac:dyDescent="0.25">
      <c r="A5014" t="s">
        <v>79</v>
      </c>
      <c r="B5014">
        <v>19</v>
      </c>
      <c r="C5014">
        <v>3</v>
      </c>
      <c r="D5014">
        <v>3</v>
      </c>
      <c r="E5014">
        <v>3</v>
      </c>
      <c r="G5014">
        <v>1933</v>
      </c>
      <c r="H5014" t="s">
        <v>63</v>
      </c>
      <c r="I5014" t="s">
        <v>95</v>
      </c>
      <c r="J5014" t="s">
        <v>143</v>
      </c>
      <c r="L5014">
        <v>0</v>
      </c>
      <c r="M5014" t="s">
        <v>125</v>
      </c>
      <c r="O5014" t="s">
        <v>125</v>
      </c>
      <c r="P5014" t="s">
        <v>125</v>
      </c>
      <c r="Q5014" t="s">
        <v>125</v>
      </c>
      <c r="R5014" t="s">
        <v>125</v>
      </c>
      <c r="S5014" t="s">
        <v>125</v>
      </c>
      <c r="T5014">
        <v>0</v>
      </c>
      <c r="V5014" t="s">
        <v>125</v>
      </c>
      <c r="AE5014" t="s">
        <v>125</v>
      </c>
      <c r="AF5014">
        <v>0</v>
      </c>
      <c r="AG5014" t="s">
        <v>125</v>
      </c>
      <c r="AH5014">
        <v>0</v>
      </c>
      <c r="AK5014">
        <v>0</v>
      </c>
    </row>
    <row r="5015" spans="1:37" x14ac:dyDescent="0.25">
      <c r="A5015" t="s">
        <v>79</v>
      </c>
      <c r="B5015">
        <v>19</v>
      </c>
      <c r="C5015">
        <v>3</v>
      </c>
      <c r="D5015">
        <v>3</v>
      </c>
      <c r="E5015">
        <v>4</v>
      </c>
      <c r="G5015">
        <v>1933</v>
      </c>
      <c r="H5015" t="s">
        <v>63</v>
      </c>
      <c r="I5015" t="s">
        <v>102</v>
      </c>
      <c r="J5015" t="s">
        <v>144</v>
      </c>
      <c r="L5015">
        <v>0</v>
      </c>
      <c r="M5015" t="s">
        <v>125</v>
      </c>
      <c r="O5015" t="s">
        <v>125</v>
      </c>
      <c r="P5015" t="s">
        <v>125</v>
      </c>
      <c r="Q5015" t="s">
        <v>125</v>
      </c>
      <c r="R5015" t="s">
        <v>125</v>
      </c>
      <c r="S5015" t="s">
        <v>125</v>
      </c>
      <c r="T5015">
        <v>0</v>
      </c>
      <c r="V5015" t="s">
        <v>125</v>
      </c>
      <c r="AE5015" t="s">
        <v>125</v>
      </c>
      <c r="AF5015">
        <v>0</v>
      </c>
      <c r="AG5015" t="s">
        <v>125</v>
      </c>
      <c r="AH5015">
        <v>0</v>
      </c>
      <c r="AK5015">
        <v>0</v>
      </c>
    </row>
    <row r="5016" spans="1:37" x14ac:dyDescent="0.25">
      <c r="A5016" t="s">
        <v>79</v>
      </c>
      <c r="B5016">
        <v>19</v>
      </c>
      <c r="C5016">
        <v>3</v>
      </c>
      <c r="D5016">
        <v>3</v>
      </c>
      <c r="E5016">
        <v>5</v>
      </c>
      <c r="G5016">
        <v>1933</v>
      </c>
      <c r="H5016" t="s">
        <v>63</v>
      </c>
      <c r="I5016" t="s">
        <v>109</v>
      </c>
      <c r="J5016" t="s">
        <v>145</v>
      </c>
      <c r="L5016">
        <v>0</v>
      </c>
      <c r="M5016" t="s">
        <v>125</v>
      </c>
      <c r="O5016" t="s">
        <v>125</v>
      </c>
      <c r="P5016" t="s">
        <v>125</v>
      </c>
      <c r="Q5016" t="s">
        <v>125</v>
      </c>
      <c r="R5016" t="s">
        <v>125</v>
      </c>
      <c r="S5016" t="s">
        <v>125</v>
      </c>
      <c r="T5016">
        <v>0</v>
      </c>
      <c r="V5016" t="s">
        <v>125</v>
      </c>
      <c r="AE5016" t="s">
        <v>125</v>
      </c>
      <c r="AF5016">
        <v>0</v>
      </c>
      <c r="AG5016" t="s">
        <v>125</v>
      </c>
      <c r="AH5016">
        <v>0</v>
      </c>
      <c r="AK5016">
        <v>0</v>
      </c>
    </row>
    <row r="5017" spans="1:37" x14ac:dyDescent="0.25">
      <c r="A5017" t="s">
        <v>79</v>
      </c>
      <c r="B5017">
        <v>19</v>
      </c>
      <c r="C5017">
        <v>3</v>
      </c>
      <c r="D5017">
        <v>3</v>
      </c>
      <c r="E5017">
        <v>6</v>
      </c>
      <c r="G5017">
        <v>1933</v>
      </c>
      <c r="H5017" t="s">
        <v>63</v>
      </c>
      <c r="I5017" t="s">
        <v>116</v>
      </c>
      <c r="J5017" t="s">
        <v>146</v>
      </c>
      <c r="L5017">
        <v>0</v>
      </c>
      <c r="M5017" t="s">
        <v>125</v>
      </c>
      <c r="O5017" t="s">
        <v>125</v>
      </c>
      <c r="P5017" t="s">
        <v>125</v>
      </c>
      <c r="Q5017" t="s">
        <v>125</v>
      </c>
      <c r="R5017" t="s">
        <v>125</v>
      </c>
      <c r="S5017" t="s">
        <v>125</v>
      </c>
      <c r="T5017">
        <v>0</v>
      </c>
      <c r="V5017" t="s">
        <v>125</v>
      </c>
      <c r="AE5017" t="s">
        <v>125</v>
      </c>
      <c r="AF5017">
        <v>0</v>
      </c>
      <c r="AG5017" t="s">
        <v>125</v>
      </c>
      <c r="AH5017">
        <v>0</v>
      </c>
      <c r="AK5017">
        <v>0</v>
      </c>
    </row>
    <row r="5018" spans="1:37" x14ac:dyDescent="0.25">
      <c r="A5018" t="s">
        <v>79</v>
      </c>
      <c r="B5018">
        <v>19</v>
      </c>
      <c r="C5018">
        <v>3</v>
      </c>
      <c r="D5018">
        <v>3</v>
      </c>
      <c r="E5018">
        <v>7</v>
      </c>
      <c r="G5018">
        <v>1933</v>
      </c>
      <c r="H5018" t="s">
        <v>63</v>
      </c>
      <c r="I5018" t="s">
        <v>123</v>
      </c>
      <c r="J5018" t="s">
        <v>147</v>
      </c>
      <c r="L5018">
        <v>0</v>
      </c>
      <c r="M5018" t="s">
        <v>125</v>
      </c>
      <c r="O5018" t="s">
        <v>125</v>
      </c>
      <c r="P5018" t="s">
        <v>125</v>
      </c>
      <c r="Q5018" t="s">
        <v>125</v>
      </c>
      <c r="R5018" t="s">
        <v>125</v>
      </c>
      <c r="S5018" t="s">
        <v>125</v>
      </c>
      <c r="T5018">
        <v>0</v>
      </c>
      <c r="V5018" t="s">
        <v>125</v>
      </c>
      <c r="AE5018" t="s">
        <v>125</v>
      </c>
      <c r="AF5018">
        <v>0</v>
      </c>
      <c r="AG5018" t="s">
        <v>125</v>
      </c>
      <c r="AH5018">
        <v>0</v>
      </c>
      <c r="AK5018">
        <v>0</v>
      </c>
    </row>
    <row r="5019" spans="1:37" x14ac:dyDescent="0.25">
      <c r="A5019" t="s">
        <v>79</v>
      </c>
      <c r="B5019">
        <v>19</v>
      </c>
      <c r="C5019">
        <v>3</v>
      </c>
      <c r="D5019">
        <v>3</v>
      </c>
      <c r="E5019">
        <v>8</v>
      </c>
      <c r="G5019">
        <v>1933</v>
      </c>
      <c r="H5019" t="s">
        <v>63</v>
      </c>
      <c r="I5019" t="s">
        <v>126</v>
      </c>
      <c r="J5019" t="s">
        <v>148</v>
      </c>
      <c r="L5019">
        <v>0</v>
      </c>
      <c r="M5019" t="s">
        <v>125</v>
      </c>
      <c r="O5019" t="s">
        <v>125</v>
      </c>
      <c r="P5019" t="s">
        <v>125</v>
      </c>
      <c r="Q5019" t="s">
        <v>125</v>
      </c>
      <c r="R5019" t="s">
        <v>125</v>
      </c>
      <c r="S5019" t="s">
        <v>125</v>
      </c>
      <c r="T5019">
        <v>0</v>
      </c>
      <c r="V5019" t="s">
        <v>125</v>
      </c>
      <c r="AE5019" t="s">
        <v>125</v>
      </c>
      <c r="AF5019">
        <v>0</v>
      </c>
      <c r="AG5019" t="s">
        <v>125</v>
      </c>
      <c r="AH5019">
        <v>0</v>
      </c>
      <c r="AK5019">
        <v>0</v>
      </c>
    </row>
    <row r="5020" spans="1:37" x14ac:dyDescent="0.25">
      <c r="A5020" t="s">
        <v>79</v>
      </c>
      <c r="B5020">
        <v>19</v>
      </c>
      <c r="C5020">
        <v>3</v>
      </c>
      <c r="D5020">
        <v>3</v>
      </c>
      <c r="E5020">
        <v>9</v>
      </c>
      <c r="G5020">
        <v>1933</v>
      </c>
      <c r="H5020" t="s">
        <v>63</v>
      </c>
      <c r="I5020" t="s">
        <v>74</v>
      </c>
      <c r="J5020" t="s">
        <v>149</v>
      </c>
      <c r="L5020">
        <v>0</v>
      </c>
      <c r="M5020" t="s">
        <v>125</v>
      </c>
      <c r="O5020" t="s">
        <v>125</v>
      </c>
      <c r="P5020" t="s">
        <v>125</v>
      </c>
      <c r="Q5020" t="s">
        <v>125</v>
      </c>
      <c r="R5020" t="s">
        <v>125</v>
      </c>
      <c r="S5020" t="s">
        <v>125</v>
      </c>
      <c r="T5020">
        <v>0</v>
      </c>
      <c r="V5020" t="s">
        <v>125</v>
      </c>
      <c r="AE5020" t="s">
        <v>125</v>
      </c>
      <c r="AF5020">
        <v>0</v>
      </c>
      <c r="AG5020" t="s">
        <v>125</v>
      </c>
      <c r="AH5020">
        <v>0</v>
      </c>
      <c r="AK5020">
        <v>0</v>
      </c>
    </row>
    <row r="5021" spans="1:37" x14ac:dyDescent="0.25">
      <c r="A5021" t="s">
        <v>79</v>
      </c>
      <c r="B5021">
        <v>19</v>
      </c>
      <c r="C5021">
        <v>3</v>
      </c>
      <c r="D5021">
        <v>3</v>
      </c>
      <c r="E5021">
        <v>10</v>
      </c>
      <c r="G5021">
        <v>1933</v>
      </c>
      <c r="H5021" t="s">
        <v>63</v>
      </c>
      <c r="I5021" t="s">
        <v>129</v>
      </c>
      <c r="J5021" t="s">
        <v>150</v>
      </c>
      <c r="L5021">
        <v>0</v>
      </c>
      <c r="M5021" t="s">
        <v>125</v>
      </c>
      <c r="O5021" t="s">
        <v>125</v>
      </c>
      <c r="P5021" t="s">
        <v>125</v>
      </c>
      <c r="Q5021" t="s">
        <v>125</v>
      </c>
      <c r="R5021" t="s">
        <v>125</v>
      </c>
      <c r="S5021" t="s">
        <v>125</v>
      </c>
      <c r="T5021">
        <v>0</v>
      </c>
      <c r="V5021" t="s">
        <v>125</v>
      </c>
      <c r="AE5021" t="s">
        <v>125</v>
      </c>
      <c r="AF5021">
        <v>0</v>
      </c>
      <c r="AG5021" t="s">
        <v>125</v>
      </c>
      <c r="AH5021">
        <v>0</v>
      </c>
      <c r="AK5021">
        <v>0</v>
      </c>
    </row>
    <row r="5022" spans="1:37" x14ac:dyDescent="0.25">
      <c r="A5022" t="s">
        <v>79</v>
      </c>
      <c r="B5022">
        <v>19</v>
      </c>
      <c r="C5022">
        <v>3</v>
      </c>
      <c r="D5022">
        <v>3</v>
      </c>
      <c r="E5022">
        <v>11</v>
      </c>
      <c r="G5022">
        <v>1933</v>
      </c>
      <c r="H5022" t="s">
        <v>63</v>
      </c>
      <c r="I5022" t="s">
        <v>131</v>
      </c>
      <c r="J5022" t="s">
        <v>151</v>
      </c>
      <c r="L5022">
        <v>0</v>
      </c>
      <c r="M5022" t="s">
        <v>125</v>
      </c>
      <c r="O5022" t="s">
        <v>125</v>
      </c>
      <c r="P5022" t="s">
        <v>125</v>
      </c>
      <c r="Q5022" t="s">
        <v>125</v>
      </c>
      <c r="R5022" t="s">
        <v>125</v>
      </c>
      <c r="S5022" t="s">
        <v>125</v>
      </c>
      <c r="T5022">
        <v>0</v>
      </c>
      <c r="V5022" t="s">
        <v>125</v>
      </c>
      <c r="AE5022" t="s">
        <v>125</v>
      </c>
      <c r="AF5022">
        <v>0</v>
      </c>
      <c r="AG5022" t="s">
        <v>125</v>
      </c>
      <c r="AH5022">
        <v>0</v>
      </c>
      <c r="AK5022">
        <v>0</v>
      </c>
    </row>
    <row r="5023" spans="1:37" x14ac:dyDescent="0.25">
      <c r="A5023" t="s">
        <v>79</v>
      </c>
      <c r="B5023">
        <v>19</v>
      </c>
      <c r="C5023">
        <v>3</v>
      </c>
      <c r="D5023">
        <v>3</v>
      </c>
      <c r="E5023">
        <v>12</v>
      </c>
      <c r="G5023">
        <v>1933</v>
      </c>
      <c r="H5023" t="s">
        <v>63</v>
      </c>
      <c r="I5023" t="s">
        <v>133</v>
      </c>
      <c r="J5023" t="s">
        <v>152</v>
      </c>
      <c r="L5023">
        <v>0</v>
      </c>
      <c r="M5023" t="s">
        <v>125</v>
      </c>
      <c r="O5023" t="s">
        <v>125</v>
      </c>
      <c r="P5023" t="s">
        <v>125</v>
      </c>
      <c r="Q5023" t="s">
        <v>125</v>
      </c>
      <c r="R5023" t="s">
        <v>125</v>
      </c>
      <c r="S5023" t="s">
        <v>125</v>
      </c>
      <c r="T5023">
        <v>0</v>
      </c>
      <c r="V5023" t="s">
        <v>125</v>
      </c>
      <c r="AE5023" t="s">
        <v>125</v>
      </c>
      <c r="AF5023">
        <v>0</v>
      </c>
      <c r="AG5023" t="s">
        <v>125</v>
      </c>
      <c r="AH5023">
        <v>0</v>
      </c>
      <c r="AK5023">
        <v>0</v>
      </c>
    </row>
    <row r="5024" spans="1:37" x14ac:dyDescent="0.25">
      <c r="A5024" t="s">
        <v>79</v>
      </c>
      <c r="B5024">
        <v>19</v>
      </c>
      <c r="C5024">
        <v>3</v>
      </c>
      <c r="D5024">
        <v>3</v>
      </c>
      <c r="E5024">
        <v>13</v>
      </c>
      <c r="G5024">
        <v>1933</v>
      </c>
      <c r="H5024" t="s">
        <v>63</v>
      </c>
      <c r="I5024" t="s">
        <v>135</v>
      </c>
      <c r="J5024" t="s">
        <v>153</v>
      </c>
      <c r="L5024">
        <v>0</v>
      </c>
      <c r="M5024" t="s">
        <v>125</v>
      </c>
      <c r="O5024" t="s">
        <v>125</v>
      </c>
      <c r="P5024" t="s">
        <v>125</v>
      </c>
      <c r="Q5024" t="s">
        <v>125</v>
      </c>
      <c r="R5024" t="s">
        <v>125</v>
      </c>
      <c r="S5024" t="s">
        <v>125</v>
      </c>
      <c r="T5024">
        <v>0</v>
      </c>
      <c r="V5024" t="s">
        <v>125</v>
      </c>
      <c r="AE5024" t="s">
        <v>125</v>
      </c>
      <c r="AF5024">
        <v>0</v>
      </c>
      <c r="AG5024" t="s">
        <v>125</v>
      </c>
      <c r="AH5024">
        <v>0</v>
      </c>
      <c r="AK5024">
        <v>0</v>
      </c>
    </row>
    <row r="5025" spans="1:37" x14ac:dyDescent="0.25">
      <c r="A5025" t="s">
        <v>79</v>
      </c>
      <c r="B5025">
        <v>19</v>
      </c>
      <c r="C5025">
        <v>3</v>
      </c>
      <c r="D5025">
        <v>3</v>
      </c>
      <c r="E5025">
        <v>14</v>
      </c>
      <c r="G5025">
        <v>1933</v>
      </c>
      <c r="H5025" t="s">
        <v>63</v>
      </c>
      <c r="I5025" t="s">
        <v>137</v>
      </c>
      <c r="J5025" t="s">
        <v>154</v>
      </c>
      <c r="L5025">
        <v>0</v>
      </c>
      <c r="M5025" t="s">
        <v>125</v>
      </c>
      <c r="O5025" t="s">
        <v>125</v>
      </c>
      <c r="P5025" t="s">
        <v>125</v>
      </c>
      <c r="Q5025" t="s">
        <v>125</v>
      </c>
      <c r="R5025" t="s">
        <v>125</v>
      </c>
      <c r="S5025" t="s">
        <v>125</v>
      </c>
      <c r="T5025">
        <v>0</v>
      </c>
      <c r="V5025" t="s">
        <v>125</v>
      </c>
      <c r="AE5025" t="s">
        <v>125</v>
      </c>
      <c r="AF5025">
        <v>0</v>
      </c>
      <c r="AG5025" t="s">
        <v>125</v>
      </c>
      <c r="AH5025">
        <v>0</v>
      </c>
      <c r="AK5025">
        <v>0</v>
      </c>
    </row>
    <row r="5026" spans="1:37" x14ac:dyDescent="0.25">
      <c r="A5026" t="s">
        <v>79</v>
      </c>
      <c r="B5026">
        <v>19</v>
      </c>
      <c r="C5026">
        <v>3</v>
      </c>
      <c r="D5026">
        <v>3</v>
      </c>
      <c r="E5026">
        <v>15</v>
      </c>
      <c r="G5026">
        <v>1933</v>
      </c>
      <c r="H5026" t="s">
        <v>63</v>
      </c>
      <c r="I5026" t="s">
        <v>139</v>
      </c>
      <c r="J5026" t="s">
        <v>155</v>
      </c>
      <c r="L5026">
        <v>0</v>
      </c>
      <c r="M5026" t="s">
        <v>125</v>
      </c>
      <c r="O5026" t="s">
        <v>125</v>
      </c>
      <c r="P5026" t="s">
        <v>125</v>
      </c>
      <c r="Q5026" t="s">
        <v>125</v>
      </c>
      <c r="R5026" t="s">
        <v>125</v>
      </c>
      <c r="S5026" t="s">
        <v>125</v>
      </c>
      <c r="T5026">
        <v>0</v>
      </c>
      <c r="V5026" t="s">
        <v>125</v>
      </c>
      <c r="AE5026" t="s">
        <v>125</v>
      </c>
      <c r="AF5026">
        <v>0</v>
      </c>
      <c r="AG5026" t="s">
        <v>125</v>
      </c>
      <c r="AH5026">
        <v>0</v>
      </c>
      <c r="AK5026">
        <v>0</v>
      </c>
    </row>
    <row r="5027" spans="1:37" x14ac:dyDescent="0.25">
      <c r="L5027">
        <v>0</v>
      </c>
    </row>
    <row r="5028" spans="1:37" x14ac:dyDescent="0.25">
      <c r="A5028" t="s">
        <v>70</v>
      </c>
      <c r="B5028">
        <v>19</v>
      </c>
      <c r="C5028">
        <v>3</v>
      </c>
      <c r="D5028">
        <v>4</v>
      </c>
      <c r="G5028">
        <v>193</v>
      </c>
      <c r="L5028">
        <v>0</v>
      </c>
      <c r="M5028" t="s">
        <v>125</v>
      </c>
      <c r="P5028" t="s">
        <v>125</v>
      </c>
      <c r="R5028" t="s">
        <v>125</v>
      </c>
      <c r="S5028" t="s">
        <v>63</v>
      </c>
      <c r="V5028" t="s">
        <v>125</v>
      </c>
      <c r="X5028" t="s">
        <v>125</v>
      </c>
      <c r="Y5028" t="s">
        <v>125</v>
      </c>
      <c r="Z5028" t="s">
        <v>125</v>
      </c>
      <c r="AA5028" t="s">
        <v>125</v>
      </c>
      <c r="AB5028" t="s">
        <v>125</v>
      </c>
      <c r="AC5028" t="s">
        <v>125</v>
      </c>
      <c r="AE5028" t="s">
        <v>125</v>
      </c>
      <c r="AF5028">
        <v>0</v>
      </c>
      <c r="AG5028" t="s">
        <v>125</v>
      </c>
      <c r="AH5028">
        <v>0</v>
      </c>
      <c r="AK5028">
        <v>0</v>
      </c>
    </row>
    <row r="5029" spans="1:37" x14ac:dyDescent="0.25">
      <c r="A5029" t="s">
        <v>79</v>
      </c>
      <c r="B5029">
        <v>19</v>
      </c>
      <c r="C5029">
        <v>3</v>
      </c>
      <c r="D5029">
        <v>4</v>
      </c>
      <c r="E5029">
        <v>1</v>
      </c>
      <c r="G5029">
        <v>1934</v>
      </c>
      <c r="H5029" t="s">
        <v>63</v>
      </c>
      <c r="I5029" t="s">
        <v>80</v>
      </c>
      <c r="J5029" t="s">
        <v>141</v>
      </c>
      <c r="L5029">
        <v>0</v>
      </c>
      <c r="M5029" t="s">
        <v>125</v>
      </c>
      <c r="O5029" t="s">
        <v>125</v>
      </c>
      <c r="P5029" t="s">
        <v>125</v>
      </c>
      <c r="Q5029" t="s">
        <v>125</v>
      </c>
      <c r="R5029" t="s">
        <v>125</v>
      </c>
      <c r="S5029" t="s">
        <v>125</v>
      </c>
      <c r="T5029">
        <v>0</v>
      </c>
      <c r="V5029" t="s">
        <v>125</v>
      </c>
      <c r="AE5029" t="s">
        <v>125</v>
      </c>
      <c r="AF5029">
        <v>0</v>
      </c>
      <c r="AG5029" t="s">
        <v>125</v>
      </c>
      <c r="AH5029">
        <v>0</v>
      </c>
      <c r="AK5029">
        <v>0</v>
      </c>
    </row>
    <row r="5030" spans="1:37" x14ac:dyDescent="0.25">
      <c r="A5030" t="s">
        <v>79</v>
      </c>
      <c r="B5030">
        <v>19</v>
      </c>
      <c r="C5030">
        <v>3</v>
      </c>
      <c r="D5030">
        <v>4</v>
      </c>
      <c r="E5030">
        <v>2</v>
      </c>
      <c r="G5030">
        <v>1934</v>
      </c>
      <c r="H5030" t="s">
        <v>63</v>
      </c>
      <c r="I5030" t="s">
        <v>88</v>
      </c>
      <c r="J5030" t="s">
        <v>142</v>
      </c>
      <c r="L5030">
        <v>0</v>
      </c>
      <c r="M5030" t="s">
        <v>125</v>
      </c>
      <c r="O5030" t="s">
        <v>125</v>
      </c>
      <c r="P5030" t="s">
        <v>125</v>
      </c>
      <c r="Q5030" t="s">
        <v>125</v>
      </c>
      <c r="R5030" t="s">
        <v>125</v>
      </c>
      <c r="S5030" t="s">
        <v>125</v>
      </c>
      <c r="T5030">
        <v>0</v>
      </c>
      <c r="V5030" t="s">
        <v>125</v>
      </c>
      <c r="AE5030" t="s">
        <v>125</v>
      </c>
      <c r="AF5030">
        <v>0</v>
      </c>
      <c r="AG5030" t="s">
        <v>125</v>
      </c>
      <c r="AH5030">
        <v>0</v>
      </c>
      <c r="AK5030">
        <v>0</v>
      </c>
    </row>
    <row r="5031" spans="1:37" x14ac:dyDescent="0.25">
      <c r="A5031" t="s">
        <v>79</v>
      </c>
      <c r="B5031">
        <v>19</v>
      </c>
      <c r="C5031">
        <v>3</v>
      </c>
      <c r="D5031">
        <v>4</v>
      </c>
      <c r="E5031">
        <v>3</v>
      </c>
      <c r="G5031">
        <v>1934</v>
      </c>
      <c r="H5031" t="s">
        <v>63</v>
      </c>
      <c r="I5031" t="s">
        <v>95</v>
      </c>
      <c r="J5031" t="s">
        <v>143</v>
      </c>
      <c r="L5031">
        <v>0</v>
      </c>
      <c r="M5031" t="s">
        <v>125</v>
      </c>
      <c r="O5031" t="s">
        <v>125</v>
      </c>
      <c r="P5031" t="s">
        <v>125</v>
      </c>
      <c r="Q5031" t="s">
        <v>125</v>
      </c>
      <c r="R5031" t="s">
        <v>125</v>
      </c>
      <c r="S5031" t="s">
        <v>125</v>
      </c>
      <c r="T5031">
        <v>0</v>
      </c>
      <c r="V5031" t="s">
        <v>125</v>
      </c>
      <c r="AE5031" t="s">
        <v>125</v>
      </c>
      <c r="AF5031">
        <v>0</v>
      </c>
      <c r="AG5031" t="s">
        <v>125</v>
      </c>
      <c r="AH5031">
        <v>0</v>
      </c>
      <c r="AK5031">
        <v>0</v>
      </c>
    </row>
    <row r="5032" spans="1:37" x14ac:dyDescent="0.25">
      <c r="A5032" t="s">
        <v>79</v>
      </c>
      <c r="B5032">
        <v>19</v>
      </c>
      <c r="C5032">
        <v>3</v>
      </c>
      <c r="D5032">
        <v>4</v>
      </c>
      <c r="E5032">
        <v>4</v>
      </c>
      <c r="G5032">
        <v>1934</v>
      </c>
      <c r="H5032" t="s">
        <v>63</v>
      </c>
      <c r="I5032" t="s">
        <v>102</v>
      </c>
      <c r="J5032" t="s">
        <v>144</v>
      </c>
      <c r="L5032">
        <v>0</v>
      </c>
      <c r="M5032" t="s">
        <v>125</v>
      </c>
      <c r="O5032" t="s">
        <v>125</v>
      </c>
      <c r="P5032" t="s">
        <v>125</v>
      </c>
      <c r="Q5032" t="s">
        <v>125</v>
      </c>
      <c r="R5032" t="s">
        <v>125</v>
      </c>
      <c r="S5032" t="s">
        <v>125</v>
      </c>
      <c r="T5032">
        <v>0</v>
      </c>
      <c r="V5032" t="s">
        <v>125</v>
      </c>
      <c r="AE5032" t="s">
        <v>125</v>
      </c>
      <c r="AF5032">
        <v>0</v>
      </c>
      <c r="AG5032" t="s">
        <v>125</v>
      </c>
      <c r="AH5032">
        <v>0</v>
      </c>
      <c r="AK5032">
        <v>0</v>
      </c>
    </row>
    <row r="5033" spans="1:37" x14ac:dyDescent="0.25">
      <c r="A5033" t="s">
        <v>79</v>
      </c>
      <c r="B5033">
        <v>19</v>
      </c>
      <c r="C5033">
        <v>3</v>
      </c>
      <c r="D5033">
        <v>4</v>
      </c>
      <c r="E5033">
        <v>5</v>
      </c>
      <c r="G5033">
        <v>1934</v>
      </c>
      <c r="H5033" t="s">
        <v>63</v>
      </c>
      <c r="I5033" t="s">
        <v>109</v>
      </c>
      <c r="J5033" t="s">
        <v>145</v>
      </c>
      <c r="L5033">
        <v>0</v>
      </c>
      <c r="M5033" t="s">
        <v>125</v>
      </c>
      <c r="O5033" t="s">
        <v>125</v>
      </c>
      <c r="P5033" t="s">
        <v>125</v>
      </c>
      <c r="Q5033" t="s">
        <v>125</v>
      </c>
      <c r="R5033" t="s">
        <v>125</v>
      </c>
      <c r="S5033" t="s">
        <v>125</v>
      </c>
      <c r="T5033">
        <v>0</v>
      </c>
      <c r="V5033" t="s">
        <v>125</v>
      </c>
      <c r="AE5033" t="s">
        <v>125</v>
      </c>
      <c r="AF5033">
        <v>0</v>
      </c>
      <c r="AG5033" t="s">
        <v>125</v>
      </c>
      <c r="AH5033">
        <v>0</v>
      </c>
      <c r="AK5033">
        <v>0</v>
      </c>
    </row>
    <row r="5034" spans="1:37" x14ac:dyDescent="0.25">
      <c r="A5034" t="s">
        <v>79</v>
      </c>
      <c r="B5034">
        <v>19</v>
      </c>
      <c r="C5034">
        <v>3</v>
      </c>
      <c r="D5034">
        <v>4</v>
      </c>
      <c r="E5034">
        <v>6</v>
      </c>
      <c r="G5034">
        <v>1934</v>
      </c>
      <c r="H5034" t="s">
        <v>63</v>
      </c>
      <c r="I5034" t="s">
        <v>116</v>
      </c>
      <c r="J5034" t="s">
        <v>146</v>
      </c>
      <c r="L5034">
        <v>0</v>
      </c>
      <c r="M5034" t="s">
        <v>125</v>
      </c>
      <c r="O5034" t="s">
        <v>125</v>
      </c>
      <c r="P5034" t="s">
        <v>125</v>
      </c>
      <c r="Q5034" t="s">
        <v>125</v>
      </c>
      <c r="R5034" t="s">
        <v>125</v>
      </c>
      <c r="S5034" t="s">
        <v>125</v>
      </c>
      <c r="T5034">
        <v>0</v>
      </c>
      <c r="V5034" t="s">
        <v>125</v>
      </c>
      <c r="AE5034" t="s">
        <v>125</v>
      </c>
      <c r="AF5034">
        <v>0</v>
      </c>
      <c r="AG5034" t="s">
        <v>125</v>
      </c>
      <c r="AH5034">
        <v>0</v>
      </c>
      <c r="AK5034">
        <v>0</v>
      </c>
    </row>
    <row r="5035" spans="1:37" x14ac:dyDescent="0.25">
      <c r="A5035" t="s">
        <v>79</v>
      </c>
      <c r="B5035">
        <v>19</v>
      </c>
      <c r="C5035">
        <v>3</v>
      </c>
      <c r="D5035">
        <v>4</v>
      </c>
      <c r="E5035">
        <v>7</v>
      </c>
      <c r="G5035">
        <v>1934</v>
      </c>
      <c r="H5035" t="s">
        <v>63</v>
      </c>
      <c r="I5035" t="s">
        <v>123</v>
      </c>
      <c r="J5035" t="s">
        <v>147</v>
      </c>
      <c r="L5035">
        <v>0</v>
      </c>
      <c r="M5035" t="s">
        <v>125</v>
      </c>
      <c r="O5035" t="s">
        <v>125</v>
      </c>
      <c r="P5035" t="s">
        <v>125</v>
      </c>
      <c r="Q5035" t="s">
        <v>125</v>
      </c>
      <c r="R5035" t="s">
        <v>125</v>
      </c>
      <c r="S5035" t="s">
        <v>125</v>
      </c>
      <c r="T5035">
        <v>0</v>
      </c>
      <c r="V5035" t="s">
        <v>125</v>
      </c>
      <c r="AE5035" t="s">
        <v>125</v>
      </c>
      <c r="AF5035">
        <v>0</v>
      </c>
      <c r="AG5035" t="s">
        <v>125</v>
      </c>
      <c r="AH5035">
        <v>0</v>
      </c>
      <c r="AK5035">
        <v>0</v>
      </c>
    </row>
    <row r="5036" spans="1:37" x14ac:dyDescent="0.25">
      <c r="A5036" t="s">
        <v>79</v>
      </c>
      <c r="B5036">
        <v>19</v>
      </c>
      <c r="C5036">
        <v>3</v>
      </c>
      <c r="D5036">
        <v>4</v>
      </c>
      <c r="E5036">
        <v>8</v>
      </c>
      <c r="G5036">
        <v>1934</v>
      </c>
      <c r="H5036" t="s">
        <v>63</v>
      </c>
      <c r="I5036" t="s">
        <v>126</v>
      </c>
      <c r="J5036" t="s">
        <v>148</v>
      </c>
      <c r="L5036">
        <v>0</v>
      </c>
      <c r="M5036" t="s">
        <v>125</v>
      </c>
      <c r="O5036" t="s">
        <v>125</v>
      </c>
      <c r="P5036" t="s">
        <v>125</v>
      </c>
      <c r="Q5036" t="s">
        <v>125</v>
      </c>
      <c r="R5036" t="s">
        <v>125</v>
      </c>
      <c r="S5036" t="s">
        <v>125</v>
      </c>
      <c r="T5036">
        <v>0</v>
      </c>
      <c r="V5036" t="s">
        <v>125</v>
      </c>
      <c r="AE5036" t="s">
        <v>125</v>
      </c>
      <c r="AF5036">
        <v>0</v>
      </c>
      <c r="AG5036" t="s">
        <v>125</v>
      </c>
      <c r="AH5036">
        <v>0</v>
      </c>
      <c r="AK5036">
        <v>0</v>
      </c>
    </row>
    <row r="5037" spans="1:37" x14ac:dyDescent="0.25">
      <c r="A5037" t="s">
        <v>79</v>
      </c>
      <c r="B5037">
        <v>19</v>
      </c>
      <c r="C5037">
        <v>3</v>
      </c>
      <c r="D5037">
        <v>4</v>
      </c>
      <c r="E5037">
        <v>9</v>
      </c>
      <c r="G5037">
        <v>1934</v>
      </c>
      <c r="H5037" t="s">
        <v>63</v>
      </c>
      <c r="I5037" t="s">
        <v>74</v>
      </c>
      <c r="J5037" t="s">
        <v>149</v>
      </c>
      <c r="L5037">
        <v>0</v>
      </c>
      <c r="M5037" t="s">
        <v>125</v>
      </c>
      <c r="O5037" t="s">
        <v>125</v>
      </c>
      <c r="P5037" t="s">
        <v>125</v>
      </c>
      <c r="Q5037" t="s">
        <v>125</v>
      </c>
      <c r="R5037" t="s">
        <v>125</v>
      </c>
      <c r="S5037" t="s">
        <v>125</v>
      </c>
      <c r="T5037">
        <v>0</v>
      </c>
      <c r="V5037" t="s">
        <v>125</v>
      </c>
      <c r="AE5037" t="s">
        <v>125</v>
      </c>
      <c r="AF5037">
        <v>0</v>
      </c>
      <c r="AG5037" t="s">
        <v>125</v>
      </c>
      <c r="AH5037">
        <v>0</v>
      </c>
      <c r="AK5037">
        <v>0</v>
      </c>
    </row>
    <row r="5038" spans="1:37" x14ac:dyDescent="0.25">
      <c r="A5038" t="s">
        <v>79</v>
      </c>
      <c r="B5038">
        <v>19</v>
      </c>
      <c r="C5038">
        <v>3</v>
      </c>
      <c r="D5038">
        <v>4</v>
      </c>
      <c r="E5038">
        <v>10</v>
      </c>
      <c r="G5038">
        <v>1934</v>
      </c>
      <c r="H5038" t="s">
        <v>63</v>
      </c>
      <c r="I5038" t="s">
        <v>129</v>
      </c>
      <c r="J5038" t="s">
        <v>150</v>
      </c>
      <c r="L5038">
        <v>0</v>
      </c>
      <c r="M5038" t="s">
        <v>125</v>
      </c>
      <c r="O5038" t="s">
        <v>125</v>
      </c>
      <c r="P5038" t="s">
        <v>125</v>
      </c>
      <c r="Q5038" t="s">
        <v>125</v>
      </c>
      <c r="R5038" t="s">
        <v>125</v>
      </c>
      <c r="S5038" t="s">
        <v>125</v>
      </c>
      <c r="T5038">
        <v>0</v>
      </c>
      <c r="V5038" t="s">
        <v>125</v>
      </c>
      <c r="AE5038" t="s">
        <v>125</v>
      </c>
      <c r="AF5038">
        <v>0</v>
      </c>
      <c r="AG5038" t="s">
        <v>125</v>
      </c>
      <c r="AH5038">
        <v>0</v>
      </c>
      <c r="AK5038">
        <v>0</v>
      </c>
    </row>
    <row r="5039" spans="1:37" x14ac:dyDescent="0.25">
      <c r="A5039" t="s">
        <v>79</v>
      </c>
      <c r="B5039">
        <v>19</v>
      </c>
      <c r="C5039">
        <v>3</v>
      </c>
      <c r="D5039">
        <v>4</v>
      </c>
      <c r="E5039">
        <v>11</v>
      </c>
      <c r="G5039">
        <v>1934</v>
      </c>
      <c r="H5039" t="s">
        <v>63</v>
      </c>
      <c r="I5039" t="s">
        <v>131</v>
      </c>
      <c r="J5039" t="s">
        <v>151</v>
      </c>
      <c r="L5039">
        <v>0</v>
      </c>
      <c r="M5039" t="s">
        <v>125</v>
      </c>
      <c r="O5039" t="s">
        <v>125</v>
      </c>
      <c r="P5039" t="s">
        <v>125</v>
      </c>
      <c r="Q5039" t="s">
        <v>125</v>
      </c>
      <c r="R5039" t="s">
        <v>125</v>
      </c>
      <c r="S5039" t="s">
        <v>125</v>
      </c>
      <c r="T5039">
        <v>0</v>
      </c>
      <c r="V5039" t="s">
        <v>125</v>
      </c>
      <c r="AE5039" t="s">
        <v>125</v>
      </c>
      <c r="AF5039">
        <v>0</v>
      </c>
      <c r="AG5039" t="s">
        <v>125</v>
      </c>
      <c r="AH5039">
        <v>0</v>
      </c>
      <c r="AK5039">
        <v>0</v>
      </c>
    </row>
    <row r="5040" spans="1:37" x14ac:dyDescent="0.25">
      <c r="A5040" t="s">
        <v>79</v>
      </c>
      <c r="B5040">
        <v>19</v>
      </c>
      <c r="C5040">
        <v>3</v>
      </c>
      <c r="D5040">
        <v>4</v>
      </c>
      <c r="E5040">
        <v>12</v>
      </c>
      <c r="G5040">
        <v>1934</v>
      </c>
      <c r="H5040" t="s">
        <v>63</v>
      </c>
      <c r="I5040" t="s">
        <v>133</v>
      </c>
      <c r="J5040" t="s">
        <v>152</v>
      </c>
      <c r="L5040">
        <v>0</v>
      </c>
      <c r="M5040" t="s">
        <v>125</v>
      </c>
      <c r="O5040" t="s">
        <v>125</v>
      </c>
      <c r="P5040" t="s">
        <v>125</v>
      </c>
      <c r="Q5040" t="s">
        <v>125</v>
      </c>
      <c r="R5040" t="s">
        <v>125</v>
      </c>
      <c r="S5040" t="s">
        <v>125</v>
      </c>
      <c r="T5040">
        <v>0</v>
      </c>
      <c r="V5040" t="s">
        <v>125</v>
      </c>
      <c r="AE5040" t="s">
        <v>125</v>
      </c>
      <c r="AF5040">
        <v>0</v>
      </c>
      <c r="AG5040" t="s">
        <v>125</v>
      </c>
      <c r="AH5040">
        <v>0</v>
      </c>
      <c r="AK5040">
        <v>0</v>
      </c>
    </row>
    <row r="5041" spans="1:37" x14ac:dyDescent="0.25">
      <c r="A5041" t="s">
        <v>79</v>
      </c>
      <c r="B5041">
        <v>19</v>
      </c>
      <c r="C5041">
        <v>3</v>
      </c>
      <c r="D5041">
        <v>4</v>
      </c>
      <c r="E5041">
        <v>13</v>
      </c>
      <c r="G5041">
        <v>1934</v>
      </c>
      <c r="H5041" t="s">
        <v>63</v>
      </c>
      <c r="I5041" t="s">
        <v>135</v>
      </c>
      <c r="J5041" t="s">
        <v>153</v>
      </c>
      <c r="L5041">
        <v>0</v>
      </c>
      <c r="M5041" t="s">
        <v>125</v>
      </c>
      <c r="O5041" t="s">
        <v>125</v>
      </c>
      <c r="P5041" t="s">
        <v>125</v>
      </c>
      <c r="Q5041" t="s">
        <v>125</v>
      </c>
      <c r="R5041" t="s">
        <v>125</v>
      </c>
      <c r="S5041" t="s">
        <v>125</v>
      </c>
      <c r="T5041">
        <v>0</v>
      </c>
      <c r="V5041" t="s">
        <v>125</v>
      </c>
      <c r="AE5041" t="s">
        <v>125</v>
      </c>
      <c r="AF5041">
        <v>0</v>
      </c>
      <c r="AG5041" t="s">
        <v>125</v>
      </c>
      <c r="AH5041">
        <v>0</v>
      </c>
      <c r="AK5041">
        <v>0</v>
      </c>
    </row>
    <row r="5042" spans="1:37" x14ac:dyDescent="0.25">
      <c r="A5042" t="s">
        <v>79</v>
      </c>
      <c r="B5042">
        <v>19</v>
      </c>
      <c r="C5042">
        <v>3</v>
      </c>
      <c r="D5042">
        <v>4</v>
      </c>
      <c r="E5042">
        <v>14</v>
      </c>
      <c r="G5042">
        <v>1934</v>
      </c>
      <c r="H5042" t="s">
        <v>63</v>
      </c>
      <c r="I5042" t="s">
        <v>137</v>
      </c>
      <c r="J5042" t="s">
        <v>154</v>
      </c>
      <c r="L5042">
        <v>0</v>
      </c>
      <c r="M5042" t="s">
        <v>125</v>
      </c>
      <c r="O5042" t="s">
        <v>125</v>
      </c>
      <c r="P5042" t="s">
        <v>125</v>
      </c>
      <c r="Q5042" t="s">
        <v>125</v>
      </c>
      <c r="R5042" t="s">
        <v>125</v>
      </c>
      <c r="S5042" t="s">
        <v>125</v>
      </c>
      <c r="T5042">
        <v>0</v>
      </c>
      <c r="V5042" t="s">
        <v>125</v>
      </c>
      <c r="AE5042" t="s">
        <v>125</v>
      </c>
      <c r="AF5042">
        <v>0</v>
      </c>
      <c r="AG5042" t="s">
        <v>125</v>
      </c>
      <c r="AH5042">
        <v>0</v>
      </c>
      <c r="AK5042">
        <v>0</v>
      </c>
    </row>
    <row r="5043" spans="1:37" x14ac:dyDescent="0.25">
      <c r="A5043" t="s">
        <v>79</v>
      </c>
      <c r="B5043">
        <v>19</v>
      </c>
      <c r="C5043">
        <v>3</v>
      </c>
      <c r="D5043">
        <v>4</v>
      </c>
      <c r="E5043">
        <v>15</v>
      </c>
      <c r="G5043">
        <v>1934</v>
      </c>
      <c r="H5043" t="s">
        <v>63</v>
      </c>
      <c r="I5043" t="s">
        <v>139</v>
      </c>
      <c r="J5043" t="s">
        <v>155</v>
      </c>
      <c r="L5043">
        <v>0</v>
      </c>
      <c r="M5043" t="s">
        <v>125</v>
      </c>
      <c r="O5043" t="s">
        <v>125</v>
      </c>
      <c r="P5043" t="s">
        <v>125</v>
      </c>
      <c r="Q5043" t="s">
        <v>125</v>
      </c>
      <c r="R5043" t="s">
        <v>125</v>
      </c>
      <c r="S5043" t="s">
        <v>125</v>
      </c>
      <c r="T5043">
        <v>0</v>
      </c>
      <c r="V5043" t="s">
        <v>125</v>
      </c>
      <c r="AE5043" t="s">
        <v>125</v>
      </c>
      <c r="AF5043">
        <v>0</v>
      </c>
      <c r="AG5043" t="s">
        <v>125</v>
      </c>
      <c r="AH5043">
        <v>0</v>
      </c>
      <c r="AK5043">
        <v>0</v>
      </c>
    </row>
    <row r="5044" spans="1:37" x14ac:dyDescent="0.25">
      <c r="L5044">
        <v>0</v>
      </c>
    </row>
    <row r="5045" spans="1:37" x14ac:dyDescent="0.25">
      <c r="A5045" t="s">
        <v>70</v>
      </c>
      <c r="B5045">
        <v>19</v>
      </c>
      <c r="C5045">
        <v>3</v>
      </c>
      <c r="D5045">
        <v>5</v>
      </c>
      <c r="G5045">
        <v>193</v>
      </c>
      <c r="L5045">
        <v>0</v>
      </c>
      <c r="M5045" t="s">
        <v>125</v>
      </c>
      <c r="P5045" t="s">
        <v>125</v>
      </c>
      <c r="R5045" t="s">
        <v>125</v>
      </c>
      <c r="S5045" t="s">
        <v>63</v>
      </c>
      <c r="V5045" t="s">
        <v>125</v>
      </c>
      <c r="X5045" t="s">
        <v>125</v>
      </c>
      <c r="Y5045" t="s">
        <v>125</v>
      </c>
      <c r="Z5045" t="s">
        <v>125</v>
      </c>
      <c r="AA5045" t="s">
        <v>125</v>
      </c>
      <c r="AB5045" t="s">
        <v>125</v>
      </c>
      <c r="AC5045" t="s">
        <v>125</v>
      </c>
      <c r="AE5045" t="s">
        <v>125</v>
      </c>
      <c r="AF5045">
        <v>0</v>
      </c>
      <c r="AG5045" t="s">
        <v>125</v>
      </c>
      <c r="AH5045">
        <v>0</v>
      </c>
      <c r="AK5045">
        <v>0</v>
      </c>
    </row>
    <row r="5046" spans="1:37" x14ac:dyDescent="0.25">
      <c r="A5046" t="s">
        <v>79</v>
      </c>
      <c r="B5046">
        <v>19</v>
      </c>
      <c r="C5046">
        <v>3</v>
      </c>
      <c r="D5046">
        <v>5</v>
      </c>
      <c r="E5046">
        <v>1</v>
      </c>
      <c r="G5046">
        <v>1935</v>
      </c>
      <c r="H5046" t="s">
        <v>63</v>
      </c>
      <c r="I5046" t="s">
        <v>80</v>
      </c>
      <c r="J5046" t="s">
        <v>141</v>
      </c>
      <c r="L5046">
        <v>0</v>
      </c>
      <c r="M5046" t="s">
        <v>125</v>
      </c>
      <c r="O5046" t="s">
        <v>125</v>
      </c>
      <c r="P5046" t="s">
        <v>125</v>
      </c>
      <c r="Q5046" t="s">
        <v>125</v>
      </c>
      <c r="R5046" t="s">
        <v>125</v>
      </c>
      <c r="S5046" t="s">
        <v>125</v>
      </c>
      <c r="T5046">
        <v>0</v>
      </c>
      <c r="V5046" t="s">
        <v>125</v>
      </c>
      <c r="AE5046" t="s">
        <v>125</v>
      </c>
      <c r="AF5046">
        <v>0</v>
      </c>
      <c r="AG5046" t="s">
        <v>125</v>
      </c>
      <c r="AH5046">
        <v>0</v>
      </c>
      <c r="AK5046">
        <v>0</v>
      </c>
    </row>
    <row r="5047" spans="1:37" x14ac:dyDescent="0.25">
      <c r="A5047" t="s">
        <v>79</v>
      </c>
      <c r="B5047">
        <v>19</v>
      </c>
      <c r="C5047">
        <v>3</v>
      </c>
      <c r="D5047">
        <v>5</v>
      </c>
      <c r="E5047">
        <v>2</v>
      </c>
      <c r="G5047">
        <v>1935</v>
      </c>
      <c r="H5047" t="s">
        <v>63</v>
      </c>
      <c r="I5047" t="s">
        <v>88</v>
      </c>
      <c r="J5047" t="s">
        <v>142</v>
      </c>
      <c r="L5047">
        <v>0</v>
      </c>
      <c r="M5047" t="s">
        <v>125</v>
      </c>
      <c r="O5047" t="s">
        <v>125</v>
      </c>
      <c r="P5047" t="s">
        <v>125</v>
      </c>
      <c r="Q5047" t="s">
        <v>125</v>
      </c>
      <c r="R5047" t="s">
        <v>125</v>
      </c>
      <c r="S5047" t="s">
        <v>125</v>
      </c>
      <c r="T5047">
        <v>0</v>
      </c>
      <c r="V5047" t="s">
        <v>125</v>
      </c>
      <c r="AE5047" t="s">
        <v>125</v>
      </c>
      <c r="AF5047">
        <v>0</v>
      </c>
      <c r="AG5047" t="s">
        <v>125</v>
      </c>
      <c r="AH5047">
        <v>0</v>
      </c>
      <c r="AK5047">
        <v>0</v>
      </c>
    </row>
    <row r="5048" spans="1:37" x14ac:dyDescent="0.25">
      <c r="A5048" t="s">
        <v>79</v>
      </c>
      <c r="B5048">
        <v>19</v>
      </c>
      <c r="C5048">
        <v>3</v>
      </c>
      <c r="D5048">
        <v>5</v>
      </c>
      <c r="E5048">
        <v>3</v>
      </c>
      <c r="G5048">
        <v>1935</v>
      </c>
      <c r="H5048" t="s">
        <v>63</v>
      </c>
      <c r="I5048" t="s">
        <v>95</v>
      </c>
      <c r="J5048" t="s">
        <v>143</v>
      </c>
      <c r="L5048">
        <v>0</v>
      </c>
      <c r="M5048" t="s">
        <v>125</v>
      </c>
      <c r="O5048" t="s">
        <v>125</v>
      </c>
      <c r="P5048" t="s">
        <v>125</v>
      </c>
      <c r="Q5048" t="s">
        <v>125</v>
      </c>
      <c r="R5048" t="s">
        <v>125</v>
      </c>
      <c r="S5048" t="s">
        <v>125</v>
      </c>
      <c r="T5048">
        <v>0</v>
      </c>
      <c r="V5048" t="s">
        <v>125</v>
      </c>
      <c r="AE5048" t="s">
        <v>125</v>
      </c>
      <c r="AF5048">
        <v>0</v>
      </c>
      <c r="AG5048" t="s">
        <v>125</v>
      </c>
      <c r="AH5048">
        <v>0</v>
      </c>
      <c r="AK5048">
        <v>0</v>
      </c>
    </row>
    <row r="5049" spans="1:37" x14ac:dyDescent="0.25">
      <c r="A5049" t="s">
        <v>79</v>
      </c>
      <c r="B5049">
        <v>19</v>
      </c>
      <c r="C5049">
        <v>3</v>
      </c>
      <c r="D5049">
        <v>5</v>
      </c>
      <c r="E5049">
        <v>4</v>
      </c>
      <c r="G5049">
        <v>1935</v>
      </c>
      <c r="H5049" t="s">
        <v>63</v>
      </c>
      <c r="I5049" t="s">
        <v>102</v>
      </c>
      <c r="J5049" t="s">
        <v>144</v>
      </c>
      <c r="L5049">
        <v>0</v>
      </c>
      <c r="M5049" t="s">
        <v>125</v>
      </c>
      <c r="O5049" t="s">
        <v>125</v>
      </c>
      <c r="P5049" t="s">
        <v>125</v>
      </c>
      <c r="Q5049" t="s">
        <v>125</v>
      </c>
      <c r="R5049" t="s">
        <v>125</v>
      </c>
      <c r="S5049" t="s">
        <v>125</v>
      </c>
      <c r="T5049">
        <v>0</v>
      </c>
      <c r="V5049" t="s">
        <v>125</v>
      </c>
      <c r="AE5049" t="s">
        <v>125</v>
      </c>
      <c r="AF5049">
        <v>0</v>
      </c>
      <c r="AG5049" t="s">
        <v>125</v>
      </c>
      <c r="AH5049">
        <v>0</v>
      </c>
      <c r="AK5049">
        <v>0</v>
      </c>
    </row>
    <row r="5050" spans="1:37" x14ac:dyDescent="0.25">
      <c r="A5050" t="s">
        <v>79</v>
      </c>
      <c r="B5050">
        <v>19</v>
      </c>
      <c r="C5050">
        <v>3</v>
      </c>
      <c r="D5050">
        <v>5</v>
      </c>
      <c r="E5050">
        <v>5</v>
      </c>
      <c r="G5050">
        <v>1935</v>
      </c>
      <c r="H5050" t="s">
        <v>63</v>
      </c>
      <c r="I5050" t="s">
        <v>109</v>
      </c>
      <c r="J5050" t="s">
        <v>145</v>
      </c>
      <c r="L5050">
        <v>0</v>
      </c>
      <c r="M5050" t="s">
        <v>125</v>
      </c>
      <c r="O5050" t="s">
        <v>125</v>
      </c>
      <c r="P5050" t="s">
        <v>125</v>
      </c>
      <c r="Q5050" t="s">
        <v>125</v>
      </c>
      <c r="R5050" t="s">
        <v>125</v>
      </c>
      <c r="S5050" t="s">
        <v>125</v>
      </c>
      <c r="T5050">
        <v>0</v>
      </c>
      <c r="V5050" t="s">
        <v>125</v>
      </c>
      <c r="AE5050" t="s">
        <v>125</v>
      </c>
      <c r="AF5050">
        <v>0</v>
      </c>
      <c r="AG5050" t="s">
        <v>125</v>
      </c>
      <c r="AH5050">
        <v>0</v>
      </c>
      <c r="AK5050">
        <v>0</v>
      </c>
    </row>
    <row r="5051" spans="1:37" x14ac:dyDescent="0.25">
      <c r="A5051" t="s">
        <v>79</v>
      </c>
      <c r="B5051">
        <v>19</v>
      </c>
      <c r="C5051">
        <v>3</v>
      </c>
      <c r="D5051">
        <v>5</v>
      </c>
      <c r="E5051">
        <v>6</v>
      </c>
      <c r="G5051">
        <v>1935</v>
      </c>
      <c r="H5051" t="s">
        <v>63</v>
      </c>
      <c r="I5051" t="s">
        <v>116</v>
      </c>
      <c r="J5051" t="s">
        <v>146</v>
      </c>
      <c r="L5051">
        <v>0</v>
      </c>
      <c r="M5051" t="s">
        <v>125</v>
      </c>
      <c r="O5051" t="s">
        <v>125</v>
      </c>
      <c r="P5051" t="s">
        <v>125</v>
      </c>
      <c r="Q5051" t="s">
        <v>125</v>
      </c>
      <c r="R5051" t="s">
        <v>125</v>
      </c>
      <c r="S5051" t="s">
        <v>125</v>
      </c>
      <c r="T5051">
        <v>0</v>
      </c>
      <c r="V5051" t="s">
        <v>125</v>
      </c>
      <c r="AE5051" t="s">
        <v>125</v>
      </c>
      <c r="AF5051">
        <v>0</v>
      </c>
      <c r="AG5051" t="s">
        <v>125</v>
      </c>
      <c r="AH5051">
        <v>0</v>
      </c>
      <c r="AK5051">
        <v>0</v>
      </c>
    </row>
    <row r="5052" spans="1:37" x14ac:dyDescent="0.25">
      <c r="A5052" t="s">
        <v>79</v>
      </c>
      <c r="B5052">
        <v>19</v>
      </c>
      <c r="C5052">
        <v>3</v>
      </c>
      <c r="D5052">
        <v>5</v>
      </c>
      <c r="E5052">
        <v>7</v>
      </c>
      <c r="G5052">
        <v>1935</v>
      </c>
      <c r="H5052" t="s">
        <v>63</v>
      </c>
      <c r="I5052" t="s">
        <v>123</v>
      </c>
      <c r="J5052" t="s">
        <v>147</v>
      </c>
      <c r="L5052">
        <v>0</v>
      </c>
      <c r="M5052" t="s">
        <v>125</v>
      </c>
      <c r="O5052" t="s">
        <v>125</v>
      </c>
      <c r="P5052" t="s">
        <v>125</v>
      </c>
      <c r="Q5052" t="s">
        <v>125</v>
      </c>
      <c r="R5052" t="s">
        <v>125</v>
      </c>
      <c r="S5052" t="s">
        <v>125</v>
      </c>
      <c r="T5052">
        <v>0</v>
      </c>
      <c r="V5052" t="s">
        <v>125</v>
      </c>
      <c r="AE5052" t="s">
        <v>125</v>
      </c>
      <c r="AF5052">
        <v>0</v>
      </c>
      <c r="AG5052" t="s">
        <v>125</v>
      </c>
      <c r="AH5052">
        <v>0</v>
      </c>
      <c r="AK5052">
        <v>0</v>
      </c>
    </row>
    <row r="5053" spans="1:37" x14ac:dyDescent="0.25">
      <c r="A5053" t="s">
        <v>79</v>
      </c>
      <c r="B5053">
        <v>19</v>
      </c>
      <c r="C5053">
        <v>3</v>
      </c>
      <c r="D5053">
        <v>5</v>
      </c>
      <c r="E5053">
        <v>8</v>
      </c>
      <c r="G5053">
        <v>1935</v>
      </c>
      <c r="H5053" t="s">
        <v>63</v>
      </c>
      <c r="I5053" t="s">
        <v>126</v>
      </c>
      <c r="J5053" t="s">
        <v>148</v>
      </c>
      <c r="L5053">
        <v>0</v>
      </c>
      <c r="M5053" t="s">
        <v>125</v>
      </c>
      <c r="O5053" t="s">
        <v>125</v>
      </c>
      <c r="P5053" t="s">
        <v>125</v>
      </c>
      <c r="Q5053" t="s">
        <v>125</v>
      </c>
      <c r="R5053" t="s">
        <v>125</v>
      </c>
      <c r="S5053" t="s">
        <v>125</v>
      </c>
      <c r="T5053">
        <v>0</v>
      </c>
      <c r="V5053" t="s">
        <v>125</v>
      </c>
      <c r="AE5053" t="s">
        <v>125</v>
      </c>
      <c r="AF5053">
        <v>0</v>
      </c>
      <c r="AG5053" t="s">
        <v>125</v>
      </c>
      <c r="AH5053">
        <v>0</v>
      </c>
      <c r="AK5053">
        <v>0</v>
      </c>
    </row>
    <row r="5054" spans="1:37" x14ac:dyDescent="0.25">
      <c r="A5054" t="s">
        <v>79</v>
      </c>
      <c r="B5054">
        <v>19</v>
      </c>
      <c r="C5054">
        <v>3</v>
      </c>
      <c r="D5054">
        <v>5</v>
      </c>
      <c r="E5054">
        <v>9</v>
      </c>
      <c r="G5054">
        <v>1935</v>
      </c>
      <c r="H5054" t="s">
        <v>63</v>
      </c>
      <c r="I5054" t="s">
        <v>74</v>
      </c>
      <c r="J5054" t="s">
        <v>149</v>
      </c>
      <c r="L5054">
        <v>0</v>
      </c>
      <c r="M5054" t="s">
        <v>125</v>
      </c>
      <c r="O5054" t="s">
        <v>125</v>
      </c>
      <c r="P5054" t="s">
        <v>125</v>
      </c>
      <c r="Q5054" t="s">
        <v>125</v>
      </c>
      <c r="R5054" t="s">
        <v>125</v>
      </c>
      <c r="S5054" t="s">
        <v>125</v>
      </c>
      <c r="T5054">
        <v>0</v>
      </c>
      <c r="V5054" t="s">
        <v>125</v>
      </c>
      <c r="AE5054" t="s">
        <v>125</v>
      </c>
      <c r="AF5054">
        <v>0</v>
      </c>
      <c r="AG5054" t="s">
        <v>125</v>
      </c>
      <c r="AH5054">
        <v>0</v>
      </c>
      <c r="AK5054">
        <v>0</v>
      </c>
    </row>
    <row r="5055" spans="1:37" x14ac:dyDescent="0.25">
      <c r="A5055" t="s">
        <v>79</v>
      </c>
      <c r="B5055">
        <v>19</v>
      </c>
      <c r="C5055">
        <v>3</v>
      </c>
      <c r="D5055">
        <v>5</v>
      </c>
      <c r="E5055">
        <v>10</v>
      </c>
      <c r="G5055">
        <v>1935</v>
      </c>
      <c r="H5055" t="s">
        <v>63</v>
      </c>
      <c r="I5055" t="s">
        <v>129</v>
      </c>
      <c r="J5055" t="s">
        <v>150</v>
      </c>
      <c r="L5055">
        <v>0</v>
      </c>
      <c r="M5055" t="s">
        <v>125</v>
      </c>
      <c r="O5055" t="s">
        <v>125</v>
      </c>
      <c r="P5055" t="s">
        <v>125</v>
      </c>
      <c r="Q5055" t="s">
        <v>125</v>
      </c>
      <c r="R5055" t="s">
        <v>125</v>
      </c>
      <c r="S5055" t="s">
        <v>125</v>
      </c>
      <c r="T5055">
        <v>0</v>
      </c>
      <c r="V5055" t="s">
        <v>125</v>
      </c>
      <c r="AE5055" t="s">
        <v>125</v>
      </c>
      <c r="AF5055">
        <v>0</v>
      </c>
      <c r="AG5055" t="s">
        <v>125</v>
      </c>
      <c r="AH5055">
        <v>0</v>
      </c>
      <c r="AK5055">
        <v>0</v>
      </c>
    </row>
    <row r="5056" spans="1:37" x14ac:dyDescent="0.25">
      <c r="A5056" t="s">
        <v>79</v>
      </c>
      <c r="B5056">
        <v>19</v>
      </c>
      <c r="C5056">
        <v>3</v>
      </c>
      <c r="D5056">
        <v>5</v>
      </c>
      <c r="E5056">
        <v>11</v>
      </c>
      <c r="G5056">
        <v>1935</v>
      </c>
      <c r="H5056" t="s">
        <v>63</v>
      </c>
      <c r="I5056" t="s">
        <v>131</v>
      </c>
      <c r="J5056" t="s">
        <v>151</v>
      </c>
      <c r="L5056">
        <v>0</v>
      </c>
      <c r="M5056" t="s">
        <v>125</v>
      </c>
      <c r="O5056" t="s">
        <v>125</v>
      </c>
      <c r="P5056" t="s">
        <v>125</v>
      </c>
      <c r="Q5056" t="s">
        <v>125</v>
      </c>
      <c r="R5056" t="s">
        <v>125</v>
      </c>
      <c r="S5056" t="s">
        <v>125</v>
      </c>
      <c r="T5056">
        <v>0</v>
      </c>
      <c r="V5056" t="s">
        <v>125</v>
      </c>
      <c r="AE5056" t="s">
        <v>125</v>
      </c>
      <c r="AF5056">
        <v>0</v>
      </c>
      <c r="AG5056" t="s">
        <v>125</v>
      </c>
      <c r="AH5056">
        <v>0</v>
      </c>
      <c r="AK5056">
        <v>0</v>
      </c>
    </row>
    <row r="5057" spans="1:37" x14ac:dyDescent="0.25">
      <c r="A5057" t="s">
        <v>79</v>
      </c>
      <c r="B5057">
        <v>19</v>
      </c>
      <c r="C5057">
        <v>3</v>
      </c>
      <c r="D5057">
        <v>5</v>
      </c>
      <c r="E5057">
        <v>12</v>
      </c>
      <c r="G5057">
        <v>1935</v>
      </c>
      <c r="H5057" t="s">
        <v>63</v>
      </c>
      <c r="I5057" t="s">
        <v>133</v>
      </c>
      <c r="J5057" t="s">
        <v>152</v>
      </c>
      <c r="L5057">
        <v>0</v>
      </c>
      <c r="M5057" t="s">
        <v>125</v>
      </c>
      <c r="O5057" t="s">
        <v>125</v>
      </c>
      <c r="P5057" t="s">
        <v>125</v>
      </c>
      <c r="Q5057" t="s">
        <v>125</v>
      </c>
      <c r="R5057" t="s">
        <v>125</v>
      </c>
      <c r="S5057" t="s">
        <v>125</v>
      </c>
      <c r="T5057">
        <v>0</v>
      </c>
      <c r="V5057" t="s">
        <v>125</v>
      </c>
      <c r="AE5057" t="s">
        <v>125</v>
      </c>
      <c r="AF5057">
        <v>0</v>
      </c>
      <c r="AG5057" t="s">
        <v>125</v>
      </c>
      <c r="AH5057">
        <v>0</v>
      </c>
      <c r="AK5057">
        <v>0</v>
      </c>
    </row>
    <row r="5058" spans="1:37" x14ac:dyDescent="0.25">
      <c r="A5058" t="s">
        <v>79</v>
      </c>
      <c r="B5058">
        <v>19</v>
      </c>
      <c r="C5058">
        <v>3</v>
      </c>
      <c r="D5058">
        <v>5</v>
      </c>
      <c r="E5058">
        <v>13</v>
      </c>
      <c r="G5058">
        <v>1935</v>
      </c>
      <c r="H5058" t="s">
        <v>63</v>
      </c>
      <c r="I5058" t="s">
        <v>135</v>
      </c>
      <c r="J5058" t="s">
        <v>153</v>
      </c>
      <c r="L5058">
        <v>0</v>
      </c>
      <c r="M5058" t="s">
        <v>125</v>
      </c>
      <c r="O5058" t="s">
        <v>125</v>
      </c>
      <c r="P5058" t="s">
        <v>125</v>
      </c>
      <c r="Q5058" t="s">
        <v>125</v>
      </c>
      <c r="R5058" t="s">
        <v>125</v>
      </c>
      <c r="S5058" t="s">
        <v>125</v>
      </c>
      <c r="T5058">
        <v>0</v>
      </c>
      <c r="V5058" t="s">
        <v>125</v>
      </c>
      <c r="AE5058" t="s">
        <v>125</v>
      </c>
      <c r="AF5058">
        <v>0</v>
      </c>
      <c r="AG5058" t="s">
        <v>125</v>
      </c>
      <c r="AH5058">
        <v>0</v>
      </c>
      <c r="AK5058">
        <v>0</v>
      </c>
    </row>
    <row r="5059" spans="1:37" x14ac:dyDescent="0.25">
      <c r="A5059" t="s">
        <v>79</v>
      </c>
      <c r="B5059">
        <v>19</v>
      </c>
      <c r="C5059">
        <v>3</v>
      </c>
      <c r="D5059">
        <v>5</v>
      </c>
      <c r="E5059">
        <v>14</v>
      </c>
      <c r="G5059">
        <v>1935</v>
      </c>
      <c r="H5059" t="s">
        <v>63</v>
      </c>
      <c r="I5059" t="s">
        <v>137</v>
      </c>
      <c r="J5059" t="s">
        <v>154</v>
      </c>
      <c r="L5059">
        <v>0</v>
      </c>
      <c r="M5059" t="s">
        <v>125</v>
      </c>
      <c r="O5059" t="s">
        <v>125</v>
      </c>
      <c r="P5059" t="s">
        <v>125</v>
      </c>
      <c r="Q5059" t="s">
        <v>125</v>
      </c>
      <c r="R5059" t="s">
        <v>125</v>
      </c>
      <c r="S5059" t="s">
        <v>125</v>
      </c>
      <c r="T5059">
        <v>0</v>
      </c>
      <c r="V5059" t="s">
        <v>125</v>
      </c>
      <c r="AE5059" t="s">
        <v>125</v>
      </c>
      <c r="AF5059">
        <v>0</v>
      </c>
      <c r="AG5059" t="s">
        <v>125</v>
      </c>
      <c r="AH5059">
        <v>0</v>
      </c>
      <c r="AK5059">
        <v>0</v>
      </c>
    </row>
    <row r="5060" spans="1:37" x14ac:dyDescent="0.25">
      <c r="A5060" t="s">
        <v>79</v>
      </c>
      <c r="B5060">
        <v>19</v>
      </c>
      <c r="C5060">
        <v>3</v>
      </c>
      <c r="D5060">
        <v>5</v>
      </c>
      <c r="E5060">
        <v>15</v>
      </c>
      <c r="G5060">
        <v>1935</v>
      </c>
      <c r="H5060" t="s">
        <v>63</v>
      </c>
      <c r="I5060" t="s">
        <v>139</v>
      </c>
      <c r="J5060" t="s">
        <v>155</v>
      </c>
      <c r="L5060">
        <v>0</v>
      </c>
      <c r="M5060" t="s">
        <v>125</v>
      </c>
      <c r="O5060" t="s">
        <v>125</v>
      </c>
      <c r="P5060" t="s">
        <v>125</v>
      </c>
      <c r="Q5060" t="s">
        <v>125</v>
      </c>
      <c r="R5060" t="s">
        <v>125</v>
      </c>
      <c r="S5060" t="s">
        <v>125</v>
      </c>
      <c r="T5060">
        <v>0</v>
      </c>
      <c r="V5060" t="s">
        <v>125</v>
      </c>
      <c r="AE5060" t="s">
        <v>125</v>
      </c>
      <c r="AF5060">
        <v>0</v>
      </c>
      <c r="AG5060" t="s">
        <v>125</v>
      </c>
      <c r="AH5060">
        <v>0</v>
      </c>
      <c r="AK5060">
        <v>0</v>
      </c>
    </row>
    <row r="5061" spans="1:37" x14ac:dyDescent="0.25">
      <c r="L5061">
        <v>0</v>
      </c>
    </row>
    <row r="5062" spans="1:37" x14ac:dyDescent="0.25">
      <c r="L5062">
        <v>0</v>
      </c>
    </row>
    <row r="5063" spans="1:37" x14ac:dyDescent="0.25">
      <c r="A5063" t="s">
        <v>56</v>
      </c>
      <c r="F5063">
        <v>20</v>
      </c>
      <c r="L5063">
        <v>20</v>
      </c>
      <c r="M5063" t="s">
        <v>486</v>
      </c>
      <c r="V5063" t="s">
        <v>63</v>
      </c>
      <c r="Y5063" t="s">
        <v>63</v>
      </c>
      <c r="AA5063" t="s">
        <v>63</v>
      </c>
      <c r="AC5063" t="s">
        <v>63</v>
      </c>
      <c r="AE5063" t="s">
        <v>63</v>
      </c>
      <c r="AF5063">
        <v>0</v>
      </c>
      <c r="AG5063" t="s">
        <v>63</v>
      </c>
      <c r="AH5063">
        <v>0</v>
      </c>
      <c r="AK5063">
        <v>0</v>
      </c>
    </row>
    <row r="5064" spans="1:37" x14ac:dyDescent="0.25">
      <c r="L5064">
        <v>0</v>
      </c>
    </row>
    <row r="5065" spans="1:37" x14ac:dyDescent="0.25">
      <c r="A5065" t="s">
        <v>66</v>
      </c>
      <c r="B5065">
        <v>20</v>
      </c>
      <c r="C5065">
        <v>1</v>
      </c>
      <c r="G5065">
        <v>20</v>
      </c>
      <c r="H5065" t="s">
        <v>63</v>
      </c>
      <c r="I5065" t="s">
        <v>5991</v>
      </c>
      <c r="L5065">
        <v>0</v>
      </c>
      <c r="M5065" t="s">
        <v>125</v>
      </c>
      <c r="N5065" t="s">
        <v>125</v>
      </c>
      <c r="V5065" t="s">
        <v>63</v>
      </c>
      <c r="Y5065" t="s">
        <v>63</v>
      </c>
      <c r="AA5065" t="s">
        <v>63</v>
      </c>
      <c r="AC5065" t="s">
        <v>63</v>
      </c>
      <c r="AE5065" t="s">
        <v>63</v>
      </c>
      <c r="AF5065">
        <v>0</v>
      </c>
      <c r="AG5065" t="s">
        <v>63</v>
      </c>
      <c r="AH5065">
        <v>0</v>
      </c>
      <c r="AK5065">
        <v>0</v>
      </c>
    </row>
    <row r="5066" spans="1:37" x14ac:dyDescent="0.25">
      <c r="L5066">
        <v>0</v>
      </c>
    </row>
    <row r="5067" spans="1:37" x14ac:dyDescent="0.25">
      <c r="A5067" t="s">
        <v>70</v>
      </c>
      <c r="B5067">
        <v>20</v>
      </c>
      <c r="C5067">
        <v>1</v>
      </c>
      <c r="D5067">
        <v>1</v>
      </c>
      <c r="G5067">
        <v>201</v>
      </c>
      <c r="L5067">
        <v>0</v>
      </c>
      <c r="M5067" t="s">
        <v>125</v>
      </c>
      <c r="P5067" t="s">
        <v>125</v>
      </c>
      <c r="R5067" t="s">
        <v>125</v>
      </c>
      <c r="S5067" t="s">
        <v>63</v>
      </c>
      <c r="V5067" t="s">
        <v>125</v>
      </c>
      <c r="X5067" t="s">
        <v>125</v>
      </c>
      <c r="Y5067" t="s">
        <v>125</v>
      </c>
      <c r="Z5067" t="s">
        <v>125</v>
      </c>
      <c r="AA5067" t="s">
        <v>125</v>
      </c>
      <c r="AB5067" t="s">
        <v>125</v>
      </c>
      <c r="AC5067" t="s">
        <v>125</v>
      </c>
      <c r="AE5067" t="s">
        <v>125</v>
      </c>
      <c r="AF5067">
        <v>0</v>
      </c>
      <c r="AG5067" t="s">
        <v>125</v>
      </c>
      <c r="AH5067">
        <v>0</v>
      </c>
      <c r="AK5067">
        <v>0</v>
      </c>
    </row>
    <row r="5068" spans="1:37" x14ac:dyDescent="0.25">
      <c r="A5068" t="s">
        <v>79</v>
      </c>
      <c r="B5068">
        <v>20</v>
      </c>
      <c r="C5068">
        <v>1</v>
      </c>
      <c r="D5068">
        <v>1</v>
      </c>
      <c r="E5068">
        <v>1</v>
      </c>
      <c r="G5068">
        <v>2011</v>
      </c>
      <c r="H5068" t="s">
        <v>63</v>
      </c>
      <c r="I5068" t="s">
        <v>80</v>
      </c>
      <c r="J5068" t="s">
        <v>141</v>
      </c>
      <c r="L5068">
        <v>0</v>
      </c>
      <c r="M5068" t="s">
        <v>125</v>
      </c>
      <c r="O5068" t="s">
        <v>125</v>
      </c>
      <c r="P5068" t="s">
        <v>125</v>
      </c>
      <c r="Q5068" t="s">
        <v>125</v>
      </c>
      <c r="R5068" t="s">
        <v>125</v>
      </c>
      <c r="S5068" t="s">
        <v>125</v>
      </c>
      <c r="T5068">
        <v>0</v>
      </c>
      <c r="V5068" t="s">
        <v>125</v>
      </c>
      <c r="AE5068" t="s">
        <v>125</v>
      </c>
      <c r="AF5068">
        <v>0</v>
      </c>
      <c r="AG5068" t="s">
        <v>125</v>
      </c>
      <c r="AH5068">
        <v>0</v>
      </c>
      <c r="AK5068">
        <v>0</v>
      </c>
    </row>
    <row r="5069" spans="1:37" x14ac:dyDescent="0.25">
      <c r="A5069" t="s">
        <v>79</v>
      </c>
      <c r="B5069">
        <v>20</v>
      </c>
      <c r="C5069">
        <v>1</v>
      </c>
      <c r="D5069">
        <v>1</v>
      </c>
      <c r="E5069">
        <v>2</v>
      </c>
      <c r="G5069">
        <v>2011</v>
      </c>
      <c r="H5069" t="s">
        <v>63</v>
      </c>
      <c r="I5069" t="s">
        <v>88</v>
      </c>
      <c r="J5069" t="s">
        <v>142</v>
      </c>
      <c r="L5069">
        <v>0</v>
      </c>
      <c r="M5069" t="s">
        <v>125</v>
      </c>
      <c r="O5069" t="s">
        <v>125</v>
      </c>
      <c r="P5069" t="s">
        <v>125</v>
      </c>
      <c r="Q5069" t="s">
        <v>125</v>
      </c>
      <c r="R5069" t="s">
        <v>125</v>
      </c>
      <c r="S5069" t="s">
        <v>125</v>
      </c>
      <c r="T5069">
        <v>0</v>
      </c>
      <c r="V5069" t="s">
        <v>125</v>
      </c>
      <c r="AE5069" t="s">
        <v>125</v>
      </c>
      <c r="AF5069">
        <v>0</v>
      </c>
      <c r="AG5069" t="s">
        <v>125</v>
      </c>
      <c r="AH5069">
        <v>0</v>
      </c>
      <c r="AK5069">
        <v>0</v>
      </c>
    </row>
    <row r="5070" spans="1:37" x14ac:dyDescent="0.25">
      <c r="A5070" t="s">
        <v>79</v>
      </c>
      <c r="B5070">
        <v>20</v>
      </c>
      <c r="C5070">
        <v>1</v>
      </c>
      <c r="D5070">
        <v>1</v>
      </c>
      <c r="E5070">
        <v>3</v>
      </c>
      <c r="G5070">
        <v>2011</v>
      </c>
      <c r="H5070" t="s">
        <v>63</v>
      </c>
      <c r="I5070" t="s">
        <v>95</v>
      </c>
      <c r="J5070" t="s">
        <v>143</v>
      </c>
      <c r="L5070">
        <v>0</v>
      </c>
      <c r="M5070" t="s">
        <v>125</v>
      </c>
      <c r="O5070" t="s">
        <v>125</v>
      </c>
      <c r="P5070" t="s">
        <v>125</v>
      </c>
      <c r="Q5070" t="s">
        <v>125</v>
      </c>
      <c r="R5070" t="s">
        <v>125</v>
      </c>
      <c r="S5070" t="s">
        <v>125</v>
      </c>
      <c r="T5070">
        <v>0</v>
      </c>
      <c r="V5070" t="s">
        <v>125</v>
      </c>
      <c r="AE5070" t="s">
        <v>125</v>
      </c>
      <c r="AF5070">
        <v>0</v>
      </c>
      <c r="AG5070" t="s">
        <v>125</v>
      </c>
      <c r="AH5070">
        <v>0</v>
      </c>
      <c r="AK5070">
        <v>0</v>
      </c>
    </row>
    <row r="5071" spans="1:37" x14ac:dyDescent="0.25">
      <c r="A5071" t="s">
        <v>79</v>
      </c>
      <c r="B5071">
        <v>20</v>
      </c>
      <c r="C5071">
        <v>1</v>
      </c>
      <c r="D5071">
        <v>1</v>
      </c>
      <c r="E5071">
        <v>4</v>
      </c>
      <c r="G5071">
        <v>2011</v>
      </c>
      <c r="H5071" t="s">
        <v>63</v>
      </c>
      <c r="I5071" t="s">
        <v>102</v>
      </c>
      <c r="J5071" t="s">
        <v>144</v>
      </c>
      <c r="L5071">
        <v>0</v>
      </c>
      <c r="M5071" t="s">
        <v>125</v>
      </c>
      <c r="O5071" t="s">
        <v>125</v>
      </c>
      <c r="P5071" t="s">
        <v>125</v>
      </c>
      <c r="Q5071" t="s">
        <v>125</v>
      </c>
      <c r="R5071" t="s">
        <v>125</v>
      </c>
      <c r="S5071" t="s">
        <v>125</v>
      </c>
      <c r="T5071">
        <v>0</v>
      </c>
      <c r="V5071" t="s">
        <v>125</v>
      </c>
      <c r="AE5071" t="s">
        <v>125</v>
      </c>
      <c r="AF5071">
        <v>0</v>
      </c>
      <c r="AG5071" t="s">
        <v>125</v>
      </c>
      <c r="AH5071">
        <v>0</v>
      </c>
      <c r="AK5071">
        <v>0</v>
      </c>
    </row>
    <row r="5072" spans="1:37" x14ac:dyDescent="0.25">
      <c r="A5072" t="s">
        <v>79</v>
      </c>
      <c r="B5072">
        <v>20</v>
      </c>
      <c r="C5072">
        <v>1</v>
      </c>
      <c r="D5072">
        <v>1</v>
      </c>
      <c r="E5072">
        <v>5</v>
      </c>
      <c r="G5072">
        <v>2011</v>
      </c>
      <c r="H5072" t="s">
        <v>63</v>
      </c>
      <c r="I5072" t="s">
        <v>109</v>
      </c>
      <c r="J5072" t="s">
        <v>145</v>
      </c>
      <c r="L5072">
        <v>0</v>
      </c>
      <c r="M5072" t="s">
        <v>125</v>
      </c>
      <c r="O5072" t="s">
        <v>125</v>
      </c>
      <c r="P5072" t="s">
        <v>125</v>
      </c>
      <c r="Q5072" t="s">
        <v>125</v>
      </c>
      <c r="R5072" t="s">
        <v>125</v>
      </c>
      <c r="S5072" t="s">
        <v>125</v>
      </c>
      <c r="T5072">
        <v>0</v>
      </c>
      <c r="V5072" t="s">
        <v>125</v>
      </c>
      <c r="AE5072" t="s">
        <v>125</v>
      </c>
      <c r="AF5072">
        <v>0</v>
      </c>
      <c r="AG5072" t="s">
        <v>125</v>
      </c>
      <c r="AH5072">
        <v>0</v>
      </c>
      <c r="AK5072">
        <v>0</v>
      </c>
    </row>
    <row r="5073" spans="1:37" x14ac:dyDescent="0.25">
      <c r="A5073" t="s">
        <v>79</v>
      </c>
      <c r="B5073">
        <v>20</v>
      </c>
      <c r="C5073">
        <v>1</v>
      </c>
      <c r="D5073">
        <v>1</v>
      </c>
      <c r="E5073">
        <v>6</v>
      </c>
      <c r="G5073">
        <v>2011</v>
      </c>
      <c r="H5073" t="s">
        <v>63</v>
      </c>
      <c r="I5073" t="s">
        <v>116</v>
      </c>
      <c r="J5073" t="s">
        <v>146</v>
      </c>
      <c r="L5073">
        <v>0</v>
      </c>
      <c r="M5073" t="s">
        <v>125</v>
      </c>
      <c r="O5073" t="s">
        <v>125</v>
      </c>
      <c r="P5073" t="s">
        <v>125</v>
      </c>
      <c r="Q5073" t="s">
        <v>125</v>
      </c>
      <c r="R5073" t="s">
        <v>125</v>
      </c>
      <c r="S5073" t="s">
        <v>125</v>
      </c>
      <c r="T5073">
        <v>0</v>
      </c>
      <c r="V5073" t="s">
        <v>125</v>
      </c>
      <c r="AE5073" t="s">
        <v>125</v>
      </c>
      <c r="AF5073">
        <v>0</v>
      </c>
      <c r="AG5073" t="s">
        <v>125</v>
      </c>
      <c r="AH5073">
        <v>0</v>
      </c>
      <c r="AK5073">
        <v>0</v>
      </c>
    </row>
    <row r="5074" spans="1:37" x14ac:dyDescent="0.25">
      <c r="A5074" t="s">
        <v>79</v>
      </c>
      <c r="B5074">
        <v>20</v>
      </c>
      <c r="C5074">
        <v>1</v>
      </c>
      <c r="D5074">
        <v>1</v>
      </c>
      <c r="E5074">
        <v>7</v>
      </c>
      <c r="G5074">
        <v>2011</v>
      </c>
      <c r="H5074" t="s">
        <v>63</v>
      </c>
      <c r="I5074" t="s">
        <v>123</v>
      </c>
      <c r="J5074" t="s">
        <v>147</v>
      </c>
      <c r="L5074">
        <v>0</v>
      </c>
      <c r="M5074" t="s">
        <v>125</v>
      </c>
      <c r="O5074" t="s">
        <v>125</v>
      </c>
      <c r="P5074" t="s">
        <v>125</v>
      </c>
      <c r="Q5074" t="s">
        <v>125</v>
      </c>
      <c r="R5074" t="s">
        <v>125</v>
      </c>
      <c r="S5074" t="s">
        <v>125</v>
      </c>
      <c r="T5074">
        <v>0</v>
      </c>
      <c r="V5074" t="s">
        <v>125</v>
      </c>
      <c r="AE5074" t="s">
        <v>125</v>
      </c>
      <c r="AF5074">
        <v>0</v>
      </c>
      <c r="AG5074" t="s">
        <v>125</v>
      </c>
      <c r="AH5074">
        <v>0</v>
      </c>
      <c r="AK5074">
        <v>0</v>
      </c>
    </row>
    <row r="5075" spans="1:37" x14ac:dyDescent="0.25">
      <c r="A5075" t="s">
        <v>79</v>
      </c>
      <c r="B5075">
        <v>20</v>
      </c>
      <c r="C5075">
        <v>1</v>
      </c>
      <c r="D5075">
        <v>1</v>
      </c>
      <c r="E5075">
        <v>8</v>
      </c>
      <c r="G5075">
        <v>2011</v>
      </c>
      <c r="H5075" t="s">
        <v>63</v>
      </c>
      <c r="I5075" t="s">
        <v>126</v>
      </c>
      <c r="J5075" t="s">
        <v>148</v>
      </c>
      <c r="L5075">
        <v>0</v>
      </c>
      <c r="M5075" t="s">
        <v>125</v>
      </c>
      <c r="O5075" t="s">
        <v>125</v>
      </c>
      <c r="P5075" t="s">
        <v>125</v>
      </c>
      <c r="Q5075" t="s">
        <v>125</v>
      </c>
      <c r="R5075" t="s">
        <v>125</v>
      </c>
      <c r="S5075" t="s">
        <v>125</v>
      </c>
      <c r="T5075">
        <v>0</v>
      </c>
      <c r="V5075" t="s">
        <v>125</v>
      </c>
      <c r="AE5075" t="s">
        <v>125</v>
      </c>
      <c r="AF5075">
        <v>0</v>
      </c>
      <c r="AG5075" t="s">
        <v>125</v>
      </c>
      <c r="AH5075">
        <v>0</v>
      </c>
      <c r="AK5075">
        <v>0</v>
      </c>
    </row>
    <row r="5076" spans="1:37" x14ac:dyDescent="0.25">
      <c r="A5076" t="s">
        <v>79</v>
      </c>
      <c r="B5076">
        <v>20</v>
      </c>
      <c r="C5076">
        <v>1</v>
      </c>
      <c r="D5076">
        <v>1</v>
      </c>
      <c r="E5076">
        <v>9</v>
      </c>
      <c r="G5076">
        <v>2011</v>
      </c>
      <c r="H5076" t="s">
        <v>63</v>
      </c>
      <c r="I5076" t="s">
        <v>74</v>
      </c>
      <c r="J5076" t="s">
        <v>149</v>
      </c>
      <c r="L5076">
        <v>0</v>
      </c>
      <c r="M5076" t="s">
        <v>125</v>
      </c>
      <c r="O5076" t="s">
        <v>125</v>
      </c>
      <c r="P5076" t="s">
        <v>125</v>
      </c>
      <c r="Q5076" t="s">
        <v>125</v>
      </c>
      <c r="R5076" t="s">
        <v>125</v>
      </c>
      <c r="S5076" t="s">
        <v>125</v>
      </c>
      <c r="T5076">
        <v>0</v>
      </c>
      <c r="V5076" t="s">
        <v>125</v>
      </c>
      <c r="AE5076" t="s">
        <v>125</v>
      </c>
      <c r="AF5076">
        <v>0</v>
      </c>
      <c r="AG5076" t="s">
        <v>125</v>
      </c>
      <c r="AH5076">
        <v>0</v>
      </c>
      <c r="AK5076">
        <v>0</v>
      </c>
    </row>
    <row r="5077" spans="1:37" x14ac:dyDescent="0.25">
      <c r="A5077" t="s">
        <v>79</v>
      </c>
      <c r="B5077">
        <v>20</v>
      </c>
      <c r="C5077">
        <v>1</v>
      </c>
      <c r="D5077">
        <v>1</v>
      </c>
      <c r="E5077">
        <v>10</v>
      </c>
      <c r="G5077">
        <v>2011</v>
      </c>
      <c r="H5077" t="s">
        <v>63</v>
      </c>
      <c r="I5077" t="s">
        <v>129</v>
      </c>
      <c r="J5077" t="s">
        <v>150</v>
      </c>
      <c r="L5077">
        <v>0</v>
      </c>
      <c r="M5077" t="s">
        <v>125</v>
      </c>
      <c r="O5077" t="s">
        <v>125</v>
      </c>
      <c r="P5077" t="s">
        <v>125</v>
      </c>
      <c r="Q5077" t="s">
        <v>125</v>
      </c>
      <c r="R5077" t="s">
        <v>125</v>
      </c>
      <c r="S5077" t="s">
        <v>125</v>
      </c>
      <c r="T5077">
        <v>0</v>
      </c>
      <c r="V5077" t="s">
        <v>125</v>
      </c>
      <c r="AE5077" t="s">
        <v>125</v>
      </c>
      <c r="AF5077">
        <v>0</v>
      </c>
      <c r="AG5077" t="s">
        <v>125</v>
      </c>
      <c r="AH5077">
        <v>0</v>
      </c>
      <c r="AK5077">
        <v>0</v>
      </c>
    </row>
    <row r="5078" spans="1:37" x14ac:dyDescent="0.25">
      <c r="A5078" t="s">
        <v>79</v>
      </c>
      <c r="B5078">
        <v>20</v>
      </c>
      <c r="C5078">
        <v>1</v>
      </c>
      <c r="D5078">
        <v>1</v>
      </c>
      <c r="E5078">
        <v>11</v>
      </c>
      <c r="G5078">
        <v>2011</v>
      </c>
      <c r="H5078" t="s">
        <v>63</v>
      </c>
      <c r="I5078" t="s">
        <v>131</v>
      </c>
      <c r="J5078" t="s">
        <v>151</v>
      </c>
      <c r="L5078">
        <v>0</v>
      </c>
      <c r="M5078" t="s">
        <v>125</v>
      </c>
      <c r="O5078" t="s">
        <v>125</v>
      </c>
      <c r="P5078" t="s">
        <v>125</v>
      </c>
      <c r="Q5078" t="s">
        <v>125</v>
      </c>
      <c r="R5078" t="s">
        <v>125</v>
      </c>
      <c r="S5078" t="s">
        <v>125</v>
      </c>
      <c r="T5078">
        <v>0</v>
      </c>
      <c r="V5078" t="s">
        <v>125</v>
      </c>
      <c r="AE5078" t="s">
        <v>125</v>
      </c>
      <c r="AF5078">
        <v>0</v>
      </c>
      <c r="AG5078" t="s">
        <v>125</v>
      </c>
      <c r="AH5078">
        <v>0</v>
      </c>
      <c r="AK5078">
        <v>0</v>
      </c>
    </row>
    <row r="5079" spans="1:37" x14ac:dyDescent="0.25">
      <c r="A5079" t="s">
        <v>79</v>
      </c>
      <c r="B5079">
        <v>20</v>
      </c>
      <c r="C5079">
        <v>1</v>
      </c>
      <c r="D5079">
        <v>1</v>
      </c>
      <c r="E5079">
        <v>12</v>
      </c>
      <c r="G5079">
        <v>2011</v>
      </c>
      <c r="H5079" t="s">
        <v>63</v>
      </c>
      <c r="I5079" t="s">
        <v>133</v>
      </c>
      <c r="J5079" t="s">
        <v>152</v>
      </c>
      <c r="L5079">
        <v>0</v>
      </c>
      <c r="M5079" t="s">
        <v>125</v>
      </c>
      <c r="O5079" t="s">
        <v>125</v>
      </c>
      <c r="P5079" t="s">
        <v>125</v>
      </c>
      <c r="Q5079" t="s">
        <v>125</v>
      </c>
      <c r="R5079" t="s">
        <v>125</v>
      </c>
      <c r="S5079" t="s">
        <v>125</v>
      </c>
      <c r="T5079">
        <v>0</v>
      </c>
      <c r="V5079" t="s">
        <v>125</v>
      </c>
      <c r="AE5079" t="s">
        <v>125</v>
      </c>
      <c r="AF5079">
        <v>0</v>
      </c>
      <c r="AG5079" t="s">
        <v>125</v>
      </c>
      <c r="AH5079">
        <v>0</v>
      </c>
      <c r="AK5079">
        <v>0</v>
      </c>
    </row>
    <row r="5080" spans="1:37" x14ac:dyDescent="0.25">
      <c r="A5080" t="s">
        <v>79</v>
      </c>
      <c r="B5080">
        <v>20</v>
      </c>
      <c r="C5080">
        <v>1</v>
      </c>
      <c r="D5080">
        <v>1</v>
      </c>
      <c r="E5080">
        <v>13</v>
      </c>
      <c r="G5080">
        <v>2011</v>
      </c>
      <c r="H5080" t="s">
        <v>63</v>
      </c>
      <c r="I5080" t="s">
        <v>135</v>
      </c>
      <c r="J5080" t="s">
        <v>153</v>
      </c>
      <c r="L5080">
        <v>0</v>
      </c>
      <c r="M5080" t="s">
        <v>125</v>
      </c>
      <c r="O5080" t="s">
        <v>125</v>
      </c>
      <c r="P5080" t="s">
        <v>125</v>
      </c>
      <c r="Q5080" t="s">
        <v>125</v>
      </c>
      <c r="R5080" t="s">
        <v>125</v>
      </c>
      <c r="S5080" t="s">
        <v>125</v>
      </c>
      <c r="T5080">
        <v>0</v>
      </c>
      <c r="V5080" t="s">
        <v>125</v>
      </c>
      <c r="AE5080" t="s">
        <v>125</v>
      </c>
      <c r="AF5080">
        <v>0</v>
      </c>
      <c r="AG5080" t="s">
        <v>125</v>
      </c>
      <c r="AH5080">
        <v>0</v>
      </c>
      <c r="AK5080">
        <v>0</v>
      </c>
    </row>
    <row r="5081" spans="1:37" x14ac:dyDescent="0.25">
      <c r="A5081" t="s">
        <v>79</v>
      </c>
      <c r="B5081">
        <v>20</v>
      </c>
      <c r="C5081">
        <v>1</v>
      </c>
      <c r="D5081">
        <v>1</v>
      </c>
      <c r="E5081">
        <v>14</v>
      </c>
      <c r="G5081">
        <v>2011</v>
      </c>
      <c r="H5081" t="s">
        <v>63</v>
      </c>
      <c r="I5081" t="s">
        <v>137</v>
      </c>
      <c r="J5081" t="s">
        <v>154</v>
      </c>
      <c r="L5081">
        <v>0</v>
      </c>
      <c r="M5081" t="s">
        <v>125</v>
      </c>
      <c r="O5081" t="s">
        <v>125</v>
      </c>
      <c r="P5081" t="s">
        <v>125</v>
      </c>
      <c r="Q5081" t="s">
        <v>125</v>
      </c>
      <c r="R5081" t="s">
        <v>125</v>
      </c>
      <c r="S5081" t="s">
        <v>125</v>
      </c>
      <c r="T5081">
        <v>0</v>
      </c>
      <c r="V5081" t="s">
        <v>125</v>
      </c>
      <c r="AE5081" t="s">
        <v>125</v>
      </c>
      <c r="AF5081">
        <v>0</v>
      </c>
      <c r="AG5081" t="s">
        <v>125</v>
      </c>
      <c r="AH5081">
        <v>0</v>
      </c>
      <c r="AK5081">
        <v>0</v>
      </c>
    </row>
    <row r="5082" spans="1:37" x14ac:dyDescent="0.25">
      <c r="A5082" t="s">
        <v>79</v>
      </c>
      <c r="B5082">
        <v>20</v>
      </c>
      <c r="C5082">
        <v>1</v>
      </c>
      <c r="D5082">
        <v>1</v>
      </c>
      <c r="E5082">
        <v>15</v>
      </c>
      <c r="G5082">
        <v>2011</v>
      </c>
      <c r="H5082" t="s">
        <v>63</v>
      </c>
      <c r="I5082" t="s">
        <v>139</v>
      </c>
      <c r="J5082" t="s">
        <v>155</v>
      </c>
      <c r="L5082">
        <v>0</v>
      </c>
      <c r="M5082" t="s">
        <v>125</v>
      </c>
      <c r="O5082" t="s">
        <v>125</v>
      </c>
      <c r="P5082" t="s">
        <v>125</v>
      </c>
      <c r="Q5082" t="s">
        <v>125</v>
      </c>
      <c r="R5082" t="s">
        <v>125</v>
      </c>
      <c r="S5082" t="s">
        <v>125</v>
      </c>
      <c r="T5082">
        <v>0</v>
      </c>
      <c r="V5082" t="s">
        <v>125</v>
      </c>
      <c r="AE5082" t="s">
        <v>125</v>
      </c>
      <c r="AF5082">
        <v>0</v>
      </c>
      <c r="AG5082" t="s">
        <v>125</v>
      </c>
      <c r="AH5082">
        <v>0</v>
      </c>
      <c r="AK5082">
        <v>0</v>
      </c>
    </row>
    <row r="5083" spans="1:37" x14ac:dyDescent="0.25">
      <c r="L5083">
        <v>0</v>
      </c>
    </row>
    <row r="5084" spans="1:37" x14ac:dyDescent="0.25">
      <c r="A5084" t="s">
        <v>70</v>
      </c>
      <c r="B5084">
        <v>20</v>
      </c>
      <c r="C5084">
        <v>1</v>
      </c>
      <c r="D5084">
        <v>2</v>
      </c>
      <c r="G5084">
        <v>201</v>
      </c>
      <c r="L5084">
        <v>0</v>
      </c>
      <c r="M5084" t="s">
        <v>125</v>
      </c>
      <c r="P5084" t="s">
        <v>125</v>
      </c>
      <c r="R5084" t="s">
        <v>125</v>
      </c>
      <c r="S5084" t="s">
        <v>63</v>
      </c>
      <c r="V5084" t="s">
        <v>125</v>
      </c>
      <c r="X5084" t="s">
        <v>125</v>
      </c>
      <c r="Y5084" t="s">
        <v>125</v>
      </c>
      <c r="Z5084" t="s">
        <v>125</v>
      </c>
      <c r="AA5084" t="s">
        <v>125</v>
      </c>
      <c r="AB5084" t="s">
        <v>125</v>
      </c>
      <c r="AC5084" t="s">
        <v>125</v>
      </c>
      <c r="AE5084" t="s">
        <v>125</v>
      </c>
      <c r="AF5084">
        <v>0</v>
      </c>
      <c r="AG5084" t="s">
        <v>125</v>
      </c>
      <c r="AH5084">
        <v>0</v>
      </c>
      <c r="AK5084">
        <v>0</v>
      </c>
    </row>
    <row r="5085" spans="1:37" x14ac:dyDescent="0.25">
      <c r="A5085" t="s">
        <v>79</v>
      </c>
      <c r="B5085">
        <v>20</v>
      </c>
      <c r="C5085">
        <v>1</v>
      </c>
      <c r="D5085">
        <v>2</v>
      </c>
      <c r="E5085">
        <v>1</v>
      </c>
      <c r="G5085">
        <v>2012</v>
      </c>
      <c r="H5085" t="s">
        <v>63</v>
      </c>
      <c r="I5085" t="s">
        <v>80</v>
      </c>
      <c r="J5085" t="s">
        <v>141</v>
      </c>
      <c r="L5085">
        <v>0</v>
      </c>
      <c r="M5085" t="s">
        <v>125</v>
      </c>
      <c r="O5085" t="s">
        <v>125</v>
      </c>
      <c r="P5085" t="s">
        <v>125</v>
      </c>
      <c r="Q5085" t="s">
        <v>125</v>
      </c>
      <c r="R5085" t="s">
        <v>125</v>
      </c>
      <c r="S5085" t="s">
        <v>125</v>
      </c>
      <c r="T5085">
        <v>0</v>
      </c>
      <c r="V5085" t="s">
        <v>125</v>
      </c>
      <c r="AE5085" t="s">
        <v>125</v>
      </c>
      <c r="AF5085">
        <v>0</v>
      </c>
      <c r="AG5085" t="s">
        <v>125</v>
      </c>
      <c r="AH5085">
        <v>0</v>
      </c>
      <c r="AK5085">
        <v>0</v>
      </c>
    </row>
    <row r="5086" spans="1:37" x14ac:dyDescent="0.25">
      <c r="A5086" t="s">
        <v>79</v>
      </c>
      <c r="B5086">
        <v>20</v>
      </c>
      <c r="C5086">
        <v>1</v>
      </c>
      <c r="D5086">
        <v>2</v>
      </c>
      <c r="E5086">
        <v>2</v>
      </c>
      <c r="G5086">
        <v>2012</v>
      </c>
      <c r="H5086" t="s">
        <v>63</v>
      </c>
      <c r="I5086" t="s">
        <v>88</v>
      </c>
      <c r="J5086" t="s">
        <v>142</v>
      </c>
      <c r="L5086">
        <v>0</v>
      </c>
      <c r="M5086" t="s">
        <v>125</v>
      </c>
      <c r="O5086" t="s">
        <v>125</v>
      </c>
      <c r="P5086" t="s">
        <v>125</v>
      </c>
      <c r="Q5086" t="s">
        <v>125</v>
      </c>
      <c r="R5086" t="s">
        <v>125</v>
      </c>
      <c r="S5086" t="s">
        <v>125</v>
      </c>
      <c r="T5086">
        <v>0</v>
      </c>
      <c r="V5086" t="s">
        <v>125</v>
      </c>
      <c r="AE5086" t="s">
        <v>125</v>
      </c>
      <c r="AF5086">
        <v>0</v>
      </c>
      <c r="AG5086" t="s">
        <v>125</v>
      </c>
      <c r="AH5086">
        <v>0</v>
      </c>
      <c r="AK5086">
        <v>0</v>
      </c>
    </row>
    <row r="5087" spans="1:37" x14ac:dyDescent="0.25">
      <c r="A5087" t="s">
        <v>79</v>
      </c>
      <c r="B5087">
        <v>20</v>
      </c>
      <c r="C5087">
        <v>1</v>
      </c>
      <c r="D5087">
        <v>2</v>
      </c>
      <c r="E5087">
        <v>3</v>
      </c>
      <c r="G5087">
        <v>2012</v>
      </c>
      <c r="H5087" t="s">
        <v>63</v>
      </c>
      <c r="I5087" t="s">
        <v>95</v>
      </c>
      <c r="J5087" t="s">
        <v>143</v>
      </c>
      <c r="L5087">
        <v>0</v>
      </c>
      <c r="M5087" t="s">
        <v>125</v>
      </c>
      <c r="O5087" t="s">
        <v>125</v>
      </c>
      <c r="P5087" t="s">
        <v>125</v>
      </c>
      <c r="Q5087" t="s">
        <v>125</v>
      </c>
      <c r="R5087" t="s">
        <v>125</v>
      </c>
      <c r="S5087" t="s">
        <v>125</v>
      </c>
      <c r="T5087">
        <v>0</v>
      </c>
      <c r="V5087" t="s">
        <v>125</v>
      </c>
      <c r="AE5087" t="s">
        <v>125</v>
      </c>
      <c r="AF5087">
        <v>0</v>
      </c>
      <c r="AG5087" t="s">
        <v>125</v>
      </c>
      <c r="AH5087">
        <v>0</v>
      </c>
      <c r="AK5087">
        <v>0</v>
      </c>
    </row>
    <row r="5088" spans="1:37" x14ac:dyDescent="0.25">
      <c r="A5088" t="s">
        <v>79</v>
      </c>
      <c r="B5088">
        <v>20</v>
      </c>
      <c r="C5088">
        <v>1</v>
      </c>
      <c r="D5088">
        <v>2</v>
      </c>
      <c r="E5088">
        <v>4</v>
      </c>
      <c r="G5088">
        <v>2012</v>
      </c>
      <c r="H5088" t="s">
        <v>63</v>
      </c>
      <c r="I5088" t="s">
        <v>102</v>
      </c>
      <c r="J5088" t="s">
        <v>144</v>
      </c>
      <c r="L5088">
        <v>0</v>
      </c>
      <c r="M5088" t="s">
        <v>125</v>
      </c>
      <c r="O5088" t="s">
        <v>125</v>
      </c>
      <c r="P5088" t="s">
        <v>125</v>
      </c>
      <c r="Q5088" t="s">
        <v>125</v>
      </c>
      <c r="R5088" t="s">
        <v>125</v>
      </c>
      <c r="S5088" t="s">
        <v>125</v>
      </c>
      <c r="T5088">
        <v>0</v>
      </c>
      <c r="V5088" t="s">
        <v>125</v>
      </c>
      <c r="AE5088" t="s">
        <v>125</v>
      </c>
      <c r="AF5088">
        <v>0</v>
      </c>
      <c r="AG5088" t="s">
        <v>125</v>
      </c>
      <c r="AH5088">
        <v>0</v>
      </c>
      <c r="AK5088">
        <v>0</v>
      </c>
    </row>
    <row r="5089" spans="1:37" x14ac:dyDescent="0.25">
      <c r="A5089" t="s">
        <v>79</v>
      </c>
      <c r="B5089">
        <v>20</v>
      </c>
      <c r="C5089">
        <v>1</v>
      </c>
      <c r="D5089">
        <v>2</v>
      </c>
      <c r="E5089">
        <v>5</v>
      </c>
      <c r="G5089">
        <v>2012</v>
      </c>
      <c r="H5089" t="s">
        <v>63</v>
      </c>
      <c r="I5089" t="s">
        <v>109</v>
      </c>
      <c r="J5089" t="s">
        <v>145</v>
      </c>
      <c r="L5089">
        <v>0</v>
      </c>
      <c r="M5089" t="s">
        <v>125</v>
      </c>
      <c r="O5089" t="s">
        <v>125</v>
      </c>
      <c r="P5089" t="s">
        <v>125</v>
      </c>
      <c r="Q5089" t="s">
        <v>125</v>
      </c>
      <c r="R5089" t="s">
        <v>125</v>
      </c>
      <c r="S5089" t="s">
        <v>125</v>
      </c>
      <c r="T5089">
        <v>0</v>
      </c>
      <c r="V5089" t="s">
        <v>125</v>
      </c>
      <c r="AE5089" t="s">
        <v>125</v>
      </c>
      <c r="AF5089">
        <v>0</v>
      </c>
      <c r="AG5089" t="s">
        <v>125</v>
      </c>
      <c r="AH5089">
        <v>0</v>
      </c>
      <c r="AK5089">
        <v>0</v>
      </c>
    </row>
    <row r="5090" spans="1:37" x14ac:dyDescent="0.25">
      <c r="A5090" t="s">
        <v>79</v>
      </c>
      <c r="B5090">
        <v>20</v>
      </c>
      <c r="C5090">
        <v>1</v>
      </c>
      <c r="D5090">
        <v>2</v>
      </c>
      <c r="E5090">
        <v>6</v>
      </c>
      <c r="G5090">
        <v>2012</v>
      </c>
      <c r="H5090" t="s">
        <v>63</v>
      </c>
      <c r="I5090" t="s">
        <v>116</v>
      </c>
      <c r="J5090" t="s">
        <v>146</v>
      </c>
      <c r="L5090">
        <v>0</v>
      </c>
      <c r="M5090" t="s">
        <v>125</v>
      </c>
      <c r="O5090" t="s">
        <v>125</v>
      </c>
      <c r="P5090" t="s">
        <v>125</v>
      </c>
      <c r="Q5090" t="s">
        <v>125</v>
      </c>
      <c r="R5090" t="s">
        <v>125</v>
      </c>
      <c r="S5090" t="s">
        <v>125</v>
      </c>
      <c r="T5090">
        <v>0</v>
      </c>
      <c r="V5090" t="s">
        <v>125</v>
      </c>
      <c r="AE5090" t="s">
        <v>125</v>
      </c>
      <c r="AF5090">
        <v>0</v>
      </c>
      <c r="AG5090" t="s">
        <v>125</v>
      </c>
      <c r="AH5090">
        <v>0</v>
      </c>
      <c r="AK5090">
        <v>0</v>
      </c>
    </row>
    <row r="5091" spans="1:37" x14ac:dyDescent="0.25">
      <c r="A5091" t="s">
        <v>79</v>
      </c>
      <c r="B5091">
        <v>20</v>
      </c>
      <c r="C5091">
        <v>1</v>
      </c>
      <c r="D5091">
        <v>2</v>
      </c>
      <c r="E5091">
        <v>7</v>
      </c>
      <c r="G5091">
        <v>2012</v>
      </c>
      <c r="H5091" t="s">
        <v>63</v>
      </c>
      <c r="I5091" t="s">
        <v>123</v>
      </c>
      <c r="J5091" t="s">
        <v>147</v>
      </c>
      <c r="L5091">
        <v>0</v>
      </c>
      <c r="M5091" t="s">
        <v>125</v>
      </c>
      <c r="O5091" t="s">
        <v>125</v>
      </c>
      <c r="P5091" t="s">
        <v>125</v>
      </c>
      <c r="Q5091" t="s">
        <v>125</v>
      </c>
      <c r="R5091" t="s">
        <v>125</v>
      </c>
      <c r="S5091" t="s">
        <v>125</v>
      </c>
      <c r="T5091">
        <v>0</v>
      </c>
      <c r="V5091" t="s">
        <v>125</v>
      </c>
      <c r="AE5091" t="s">
        <v>125</v>
      </c>
      <c r="AF5091">
        <v>0</v>
      </c>
      <c r="AG5091" t="s">
        <v>125</v>
      </c>
      <c r="AH5091">
        <v>0</v>
      </c>
      <c r="AK5091">
        <v>0</v>
      </c>
    </row>
    <row r="5092" spans="1:37" x14ac:dyDescent="0.25">
      <c r="A5092" t="s">
        <v>79</v>
      </c>
      <c r="B5092">
        <v>20</v>
      </c>
      <c r="C5092">
        <v>1</v>
      </c>
      <c r="D5092">
        <v>2</v>
      </c>
      <c r="E5092">
        <v>8</v>
      </c>
      <c r="G5092">
        <v>2012</v>
      </c>
      <c r="H5092" t="s">
        <v>63</v>
      </c>
      <c r="I5092" t="s">
        <v>126</v>
      </c>
      <c r="J5092" t="s">
        <v>148</v>
      </c>
      <c r="L5092">
        <v>0</v>
      </c>
      <c r="M5092" t="s">
        <v>125</v>
      </c>
      <c r="O5092" t="s">
        <v>125</v>
      </c>
      <c r="P5092" t="s">
        <v>125</v>
      </c>
      <c r="Q5092" t="s">
        <v>125</v>
      </c>
      <c r="R5092" t="s">
        <v>125</v>
      </c>
      <c r="S5092" t="s">
        <v>125</v>
      </c>
      <c r="T5092">
        <v>0</v>
      </c>
      <c r="V5092" t="s">
        <v>125</v>
      </c>
      <c r="AE5092" t="s">
        <v>125</v>
      </c>
      <c r="AF5092">
        <v>0</v>
      </c>
      <c r="AG5092" t="s">
        <v>125</v>
      </c>
      <c r="AH5092">
        <v>0</v>
      </c>
      <c r="AK5092">
        <v>0</v>
      </c>
    </row>
    <row r="5093" spans="1:37" x14ac:dyDescent="0.25">
      <c r="A5093" t="s">
        <v>79</v>
      </c>
      <c r="B5093">
        <v>20</v>
      </c>
      <c r="C5093">
        <v>1</v>
      </c>
      <c r="D5093">
        <v>2</v>
      </c>
      <c r="E5093">
        <v>9</v>
      </c>
      <c r="G5093">
        <v>2012</v>
      </c>
      <c r="H5093" t="s">
        <v>63</v>
      </c>
      <c r="I5093" t="s">
        <v>74</v>
      </c>
      <c r="J5093" t="s">
        <v>149</v>
      </c>
      <c r="L5093">
        <v>0</v>
      </c>
      <c r="M5093" t="s">
        <v>125</v>
      </c>
      <c r="O5093" t="s">
        <v>125</v>
      </c>
      <c r="P5093" t="s">
        <v>125</v>
      </c>
      <c r="Q5093" t="s">
        <v>125</v>
      </c>
      <c r="R5093" t="s">
        <v>125</v>
      </c>
      <c r="S5093" t="s">
        <v>125</v>
      </c>
      <c r="T5093">
        <v>0</v>
      </c>
      <c r="V5093" t="s">
        <v>125</v>
      </c>
      <c r="AE5093" t="s">
        <v>125</v>
      </c>
      <c r="AF5093">
        <v>0</v>
      </c>
      <c r="AG5093" t="s">
        <v>125</v>
      </c>
      <c r="AH5093">
        <v>0</v>
      </c>
      <c r="AK5093">
        <v>0</v>
      </c>
    </row>
    <row r="5094" spans="1:37" x14ac:dyDescent="0.25">
      <c r="A5094" t="s">
        <v>79</v>
      </c>
      <c r="B5094">
        <v>20</v>
      </c>
      <c r="C5094">
        <v>1</v>
      </c>
      <c r="D5094">
        <v>2</v>
      </c>
      <c r="E5094">
        <v>10</v>
      </c>
      <c r="G5094">
        <v>2012</v>
      </c>
      <c r="H5094" t="s">
        <v>63</v>
      </c>
      <c r="I5094" t="s">
        <v>129</v>
      </c>
      <c r="J5094" t="s">
        <v>150</v>
      </c>
      <c r="L5094">
        <v>0</v>
      </c>
      <c r="M5094" t="s">
        <v>125</v>
      </c>
      <c r="O5094" t="s">
        <v>125</v>
      </c>
      <c r="P5094" t="s">
        <v>125</v>
      </c>
      <c r="Q5094" t="s">
        <v>125</v>
      </c>
      <c r="R5094" t="s">
        <v>125</v>
      </c>
      <c r="S5094" t="s">
        <v>125</v>
      </c>
      <c r="T5094">
        <v>0</v>
      </c>
      <c r="V5094" t="s">
        <v>125</v>
      </c>
      <c r="AE5094" t="s">
        <v>125</v>
      </c>
      <c r="AF5094">
        <v>0</v>
      </c>
      <c r="AG5094" t="s">
        <v>125</v>
      </c>
      <c r="AH5094">
        <v>0</v>
      </c>
      <c r="AK5094">
        <v>0</v>
      </c>
    </row>
    <row r="5095" spans="1:37" x14ac:dyDescent="0.25">
      <c r="A5095" t="s">
        <v>79</v>
      </c>
      <c r="B5095">
        <v>20</v>
      </c>
      <c r="C5095">
        <v>1</v>
      </c>
      <c r="D5095">
        <v>2</v>
      </c>
      <c r="E5095">
        <v>11</v>
      </c>
      <c r="G5095">
        <v>2012</v>
      </c>
      <c r="H5095" t="s">
        <v>63</v>
      </c>
      <c r="I5095" t="s">
        <v>131</v>
      </c>
      <c r="J5095" t="s">
        <v>151</v>
      </c>
      <c r="L5095">
        <v>0</v>
      </c>
      <c r="M5095" t="s">
        <v>125</v>
      </c>
      <c r="O5095" t="s">
        <v>125</v>
      </c>
      <c r="P5095" t="s">
        <v>125</v>
      </c>
      <c r="Q5095" t="s">
        <v>125</v>
      </c>
      <c r="R5095" t="s">
        <v>125</v>
      </c>
      <c r="S5095" t="s">
        <v>125</v>
      </c>
      <c r="T5095">
        <v>0</v>
      </c>
      <c r="V5095" t="s">
        <v>125</v>
      </c>
      <c r="AE5095" t="s">
        <v>125</v>
      </c>
      <c r="AF5095">
        <v>0</v>
      </c>
      <c r="AG5095" t="s">
        <v>125</v>
      </c>
      <c r="AH5095">
        <v>0</v>
      </c>
      <c r="AK5095">
        <v>0</v>
      </c>
    </row>
    <row r="5096" spans="1:37" x14ac:dyDescent="0.25">
      <c r="A5096" t="s">
        <v>79</v>
      </c>
      <c r="B5096">
        <v>20</v>
      </c>
      <c r="C5096">
        <v>1</v>
      </c>
      <c r="D5096">
        <v>2</v>
      </c>
      <c r="E5096">
        <v>12</v>
      </c>
      <c r="G5096">
        <v>2012</v>
      </c>
      <c r="H5096" t="s">
        <v>63</v>
      </c>
      <c r="I5096" t="s">
        <v>133</v>
      </c>
      <c r="J5096" t="s">
        <v>152</v>
      </c>
      <c r="L5096">
        <v>0</v>
      </c>
      <c r="M5096" t="s">
        <v>125</v>
      </c>
      <c r="O5096" t="s">
        <v>125</v>
      </c>
      <c r="P5096" t="s">
        <v>125</v>
      </c>
      <c r="Q5096" t="s">
        <v>125</v>
      </c>
      <c r="R5096" t="s">
        <v>125</v>
      </c>
      <c r="S5096" t="s">
        <v>125</v>
      </c>
      <c r="T5096">
        <v>0</v>
      </c>
      <c r="V5096" t="s">
        <v>125</v>
      </c>
      <c r="AE5096" t="s">
        <v>125</v>
      </c>
      <c r="AF5096">
        <v>0</v>
      </c>
      <c r="AG5096" t="s">
        <v>125</v>
      </c>
      <c r="AH5096">
        <v>0</v>
      </c>
      <c r="AK5096">
        <v>0</v>
      </c>
    </row>
    <row r="5097" spans="1:37" x14ac:dyDescent="0.25">
      <c r="A5097" t="s">
        <v>79</v>
      </c>
      <c r="B5097">
        <v>20</v>
      </c>
      <c r="C5097">
        <v>1</v>
      </c>
      <c r="D5097">
        <v>2</v>
      </c>
      <c r="E5097">
        <v>13</v>
      </c>
      <c r="G5097">
        <v>2012</v>
      </c>
      <c r="H5097" t="s">
        <v>63</v>
      </c>
      <c r="I5097" t="s">
        <v>135</v>
      </c>
      <c r="J5097" t="s">
        <v>153</v>
      </c>
      <c r="L5097">
        <v>0</v>
      </c>
      <c r="M5097" t="s">
        <v>125</v>
      </c>
      <c r="O5097" t="s">
        <v>125</v>
      </c>
      <c r="P5097" t="s">
        <v>125</v>
      </c>
      <c r="Q5097" t="s">
        <v>125</v>
      </c>
      <c r="R5097" t="s">
        <v>125</v>
      </c>
      <c r="S5097" t="s">
        <v>125</v>
      </c>
      <c r="T5097">
        <v>0</v>
      </c>
      <c r="V5097" t="s">
        <v>125</v>
      </c>
      <c r="AE5097" t="s">
        <v>125</v>
      </c>
      <c r="AF5097">
        <v>0</v>
      </c>
      <c r="AG5097" t="s">
        <v>125</v>
      </c>
      <c r="AH5097">
        <v>0</v>
      </c>
      <c r="AK5097">
        <v>0</v>
      </c>
    </row>
    <row r="5098" spans="1:37" x14ac:dyDescent="0.25">
      <c r="A5098" t="s">
        <v>79</v>
      </c>
      <c r="B5098">
        <v>20</v>
      </c>
      <c r="C5098">
        <v>1</v>
      </c>
      <c r="D5098">
        <v>2</v>
      </c>
      <c r="E5098">
        <v>14</v>
      </c>
      <c r="G5098">
        <v>2012</v>
      </c>
      <c r="H5098" t="s">
        <v>63</v>
      </c>
      <c r="I5098" t="s">
        <v>137</v>
      </c>
      <c r="J5098" t="s">
        <v>154</v>
      </c>
      <c r="L5098">
        <v>0</v>
      </c>
      <c r="M5098" t="s">
        <v>125</v>
      </c>
      <c r="O5098" t="s">
        <v>125</v>
      </c>
      <c r="P5098" t="s">
        <v>125</v>
      </c>
      <c r="Q5098" t="s">
        <v>125</v>
      </c>
      <c r="R5098" t="s">
        <v>125</v>
      </c>
      <c r="S5098" t="s">
        <v>125</v>
      </c>
      <c r="T5098">
        <v>0</v>
      </c>
      <c r="V5098" t="s">
        <v>125</v>
      </c>
      <c r="AE5098" t="s">
        <v>125</v>
      </c>
      <c r="AF5098">
        <v>0</v>
      </c>
      <c r="AG5098" t="s">
        <v>125</v>
      </c>
      <c r="AH5098">
        <v>0</v>
      </c>
      <c r="AK5098">
        <v>0</v>
      </c>
    </row>
    <row r="5099" spans="1:37" x14ac:dyDescent="0.25">
      <c r="A5099" t="s">
        <v>79</v>
      </c>
      <c r="B5099">
        <v>20</v>
      </c>
      <c r="C5099">
        <v>1</v>
      </c>
      <c r="D5099">
        <v>2</v>
      </c>
      <c r="E5099">
        <v>15</v>
      </c>
      <c r="G5099">
        <v>2012</v>
      </c>
      <c r="H5099" t="s">
        <v>63</v>
      </c>
      <c r="I5099" t="s">
        <v>139</v>
      </c>
      <c r="J5099" t="s">
        <v>155</v>
      </c>
      <c r="L5099">
        <v>0</v>
      </c>
      <c r="M5099" t="s">
        <v>125</v>
      </c>
      <c r="O5099" t="s">
        <v>125</v>
      </c>
      <c r="P5099" t="s">
        <v>125</v>
      </c>
      <c r="Q5099" t="s">
        <v>125</v>
      </c>
      <c r="R5099" t="s">
        <v>125</v>
      </c>
      <c r="S5099" t="s">
        <v>125</v>
      </c>
      <c r="T5099">
        <v>0</v>
      </c>
      <c r="V5099" t="s">
        <v>125</v>
      </c>
      <c r="AE5099" t="s">
        <v>125</v>
      </c>
      <c r="AF5099">
        <v>0</v>
      </c>
      <c r="AG5099" t="s">
        <v>125</v>
      </c>
      <c r="AH5099">
        <v>0</v>
      </c>
      <c r="AK5099">
        <v>0</v>
      </c>
    </row>
    <row r="5100" spans="1:37" x14ac:dyDescent="0.25">
      <c r="L5100">
        <v>0</v>
      </c>
    </row>
    <row r="5101" spans="1:37" x14ac:dyDescent="0.25">
      <c r="A5101" t="s">
        <v>70</v>
      </c>
      <c r="B5101">
        <v>20</v>
      </c>
      <c r="C5101">
        <v>1</v>
      </c>
      <c r="D5101">
        <v>3</v>
      </c>
      <c r="G5101">
        <v>201</v>
      </c>
      <c r="L5101">
        <v>0</v>
      </c>
      <c r="M5101" t="s">
        <v>125</v>
      </c>
      <c r="P5101" t="s">
        <v>125</v>
      </c>
      <c r="R5101" t="s">
        <v>125</v>
      </c>
      <c r="S5101" t="s">
        <v>63</v>
      </c>
      <c r="V5101" t="s">
        <v>125</v>
      </c>
      <c r="X5101" t="s">
        <v>125</v>
      </c>
      <c r="Y5101" t="s">
        <v>125</v>
      </c>
      <c r="Z5101" t="s">
        <v>125</v>
      </c>
      <c r="AA5101" t="s">
        <v>125</v>
      </c>
      <c r="AB5101" t="s">
        <v>125</v>
      </c>
      <c r="AC5101" t="s">
        <v>125</v>
      </c>
      <c r="AE5101" t="s">
        <v>125</v>
      </c>
      <c r="AF5101">
        <v>0</v>
      </c>
      <c r="AG5101" t="s">
        <v>125</v>
      </c>
      <c r="AH5101">
        <v>0</v>
      </c>
      <c r="AK5101">
        <v>0</v>
      </c>
    </row>
    <row r="5102" spans="1:37" x14ac:dyDescent="0.25">
      <c r="A5102" t="s">
        <v>79</v>
      </c>
      <c r="B5102">
        <v>20</v>
      </c>
      <c r="C5102">
        <v>1</v>
      </c>
      <c r="D5102">
        <v>3</v>
      </c>
      <c r="E5102">
        <v>1</v>
      </c>
      <c r="G5102">
        <v>2013</v>
      </c>
      <c r="H5102" t="s">
        <v>63</v>
      </c>
      <c r="I5102" t="s">
        <v>80</v>
      </c>
      <c r="J5102" t="s">
        <v>141</v>
      </c>
      <c r="L5102">
        <v>0</v>
      </c>
      <c r="M5102" t="s">
        <v>125</v>
      </c>
      <c r="O5102" t="s">
        <v>125</v>
      </c>
      <c r="P5102" t="s">
        <v>125</v>
      </c>
      <c r="Q5102" t="s">
        <v>125</v>
      </c>
      <c r="R5102" t="s">
        <v>125</v>
      </c>
      <c r="S5102" t="s">
        <v>125</v>
      </c>
      <c r="T5102">
        <v>0</v>
      </c>
      <c r="V5102" t="s">
        <v>125</v>
      </c>
      <c r="AE5102" t="s">
        <v>125</v>
      </c>
      <c r="AF5102">
        <v>0</v>
      </c>
      <c r="AG5102" t="s">
        <v>125</v>
      </c>
      <c r="AH5102">
        <v>0</v>
      </c>
      <c r="AK5102">
        <v>0</v>
      </c>
    </row>
    <row r="5103" spans="1:37" x14ac:dyDescent="0.25">
      <c r="A5103" t="s">
        <v>79</v>
      </c>
      <c r="B5103">
        <v>20</v>
      </c>
      <c r="C5103">
        <v>1</v>
      </c>
      <c r="D5103">
        <v>3</v>
      </c>
      <c r="E5103">
        <v>2</v>
      </c>
      <c r="G5103">
        <v>2013</v>
      </c>
      <c r="H5103" t="s">
        <v>63</v>
      </c>
      <c r="I5103" t="s">
        <v>88</v>
      </c>
      <c r="J5103" t="s">
        <v>142</v>
      </c>
      <c r="L5103">
        <v>0</v>
      </c>
      <c r="M5103" t="s">
        <v>125</v>
      </c>
      <c r="O5103" t="s">
        <v>125</v>
      </c>
      <c r="P5103" t="s">
        <v>125</v>
      </c>
      <c r="Q5103" t="s">
        <v>125</v>
      </c>
      <c r="R5103" t="s">
        <v>125</v>
      </c>
      <c r="S5103" t="s">
        <v>125</v>
      </c>
      <c r="T5103">
        <v>0</v>
      </c>
      <c r="V5103" t="s">
        <v>125</v>
      </c>
      <c r="AE5103" t="s">
        <v>125</v>
      </c>
      <c r="AF5103">
        <v>0</v>
      </c>
      <c r="AG5103" t="s">
        <v>125</v>
      </c>
      <c r="AH5103">
        <v>0</v>
      </c>
      <c r="AK5103">
        <v>0</v>
      </c>
    </row>
    <row r="5104" spans="1:37" x14ac:dyDescent="0.25">
      <c r="A5104" t="s">
        <v>79</v>
      </c>
      <c r="B5104">
        <v>20</v>
      </c>
      <c r="C5104">
        <v>1</v>
      </c>
      <c r="D5104">
        <v>3</v>
      </c>
      <c r="E5104">
        <v>3</v>
      </c>
      <c r="G5104">
        <v>2013</v>
      </c>
      <c r="H5104" t="s">
        <v>63</v>
      </c>
      <c r="I5104" t="s">
        <v>95</v>
      </c>
      <c r="J5104" t="s">
        <v>143</v>
      </c>
      <c r="L5104">
        <v>0</v>
      </c>
      <c r="M5104" t="s">
        <v>125</v>
      </c>
      <c r="O5104" t="s">
        <v>125</v>
      </c>
      <c r="P5104" t="s">
        <v>125</v>
      </c>
      <c r="Q5104" t="s">
        <v>125</v>
      </c>
      <c r="R5104" t="s">
        <v>125</v>
      </c>
      <c r="S5104" t="s">
        <v>125</v>
      </c>
      <c r="T5104">
        <v>0</v>
      </c>
      <c r="V5104" t="s">
        <v>125</v>
      </c>
      <c r="AE5104" t="s">
        <v>125</v>
      </c>
      <c r="AF5104">
        <v>0</v>
      </c>
      <c r="AG5104" t="s">
        <v>125</v>
      </c>
      <c r="AH5104">
        <v>0</v>
      </c>
      <c r="AK5104">
        <v>0</v>
      </c>
    </row>
    <row r="5105" spans="1:37" x14ac:dyDescent="0.25">
      <c r="A5105" t="s">
        <v>79</v>
      </c>
      <c r="B5105">
        <v>20</v>
      </c>
      <c r="C5105">
        <v>1</v>
      </c>
      <c r="D5105">
        <v>3</v>
      </c>
      <c r="E5105">
        <v>4</v>
      </c>
      <c r="G5105">
        <v>2013</v>
      </c>
      <c r="H5105" t="s">
        <v>63</v>
      </c>
      <c r="I5105" t="s">
        <v>102</v>
      </c>
      <c r="J5105" t="s">
        <v>144</v>
      </c>
      <c r="L5105">
        <v>0</v>
      </c>
      <c r="M5105" t="s">
        <v>125</v>
      </c>
      <c r="O5105" t="s">
        <v>125</v>
      </c>
      <c r="P5105" t="s">
        <v>125</v>
      </c>
      <c r="Q5105" t="s">
        <v>125</v>
      </c>
      <c r="R5105" t="s">
        <v>125</v>
      </c>
      <c r="S5105" t="s">
        <v>125</v>
      </c>
      <c r="T5105">
        <v>0</v>
      </c>
      <c r="V5105" t="s">
        <v>125</v>
      </c>
      <c r="AE5105" t="s">
        <v>125</v>
      </c>
      <c r="AF5105">
        <v>0</v>
      </c>
      <c r="AG5105" t="s">
        <v>125</v>
      </c>
      <c r="AH5105">
        <v>0</v>
      </c>
      <c r="AK5105">
        <v>0</v>
      </c>
    </row>
    <row r="5106" spans="1:37" x14ac:dyDescent="0.25">
      <c r="A5106" t="s">
        <v>79</v>
      </c>
      <c r="B5106">
        <v>20</v>
      </c>
      <c r="C5106">
        <v>1</v>
      </c>
      <c r="D5106">
        <v>3</v>
      </c>
      <c r="E5106">
        <v>5</v>
      </c>
      <c r="G5106">
        <v>2013</v>
      </c>
      <c r="H5106" t="s">
        <v>63</v>
      </c>
      <c r="I5106" t="s">
        <v>109</v>
      </c>
      <c r="J5106" t="s">
        <v>145</v>
      </c>
      <c r="L5106">
        <v>0</v>
      </c>
      <c r="M5106" t="s">
        <v>125</v>
      </c>
      <c r="O5106" t="s">
        <v>125</v>
      </c>
      <c r="P5106" t="s">
        <v>125</v>
      </c>
      <c r="Q5106" t="s">
        <v>125</v>
      </c>
      <c r="R5106" t="s">
        <v>125</v>
      </c>
      <c r="S5106" t="s">
        <v>125</v>
      </c>
      <c r="T5106">
        <v>0</v>
      </c>
      <c r="V5106" t="s">
        <v>125</v>
      </c>
      <c r="AE5106" t="s">
        <v>125</v>
      </c>
      <c r="AF5106">
        <v>0</v>
      </c>
      <c r="AG5106" t="s">
        <v>125</v>
      </c>
      <c r="AH5106">
        <v>0</v>
      </c>
      <c r="AK5106">
        <v>0</v>
      </c>
    </row>
    <row r="5107" spans="1:37" x14ac:dyDescent="0.25">
      <c r="A5107" t="s">
        <v>79</v>
      </c>
      <c r="B5107">
        <v>20</v>
      </c>
      <c r="C5107">
        <v>1</v>
      </c>
      <c r="D5107">
        <v>3</v>
      </c>
      <c r="E5107">
        <v>6</v>
      </c>
      <c r="G5107">
        <v>2013</v>
      </c>
      <c r="H5107" t="s">
        <v>63</v>
      </c>
      <c r="I5107" t="s">
        <v>116</v>
      </c>
      <c r="J5107" t="s">
        <v>146</v>
      </c>
      <c r="L5107">
        <v>0</v>
      </c>
      <c r="M5107" t="s">
        <v>125</v>
      </c>
      <c r="O5107" t="s">
        <v>125</v>
      </c>
      <c r="P5107" t="s">
        <v>125</v>
      </c>
      <c r="Q5107" t="s">
        <v>125</v>
      </c>
      <c r="R5107" t="s">
        <v>125</v>
      </c>
      <c r="S5107" t="s">
        <v>125</v>
      </c>
      <c r="T5107">
        <v>0</v>
      </c>
      <c r="V5107" t="s">
        <v>125</v>
      </c>
      <c r="AE5107" t="s">
        <v>125</v>
      </c>
      <c r="AF5107">
        <v>0</v>
      </c>
      <c r="AG5107" t="s">
        <v>125</v>
      </c>
      <c r="AH5107">
        <v>0</v>
      </c>
      <c r="AK5107">
        <v>0</v>
      </c>
    </row>
    <row r="5108" spans="1:37" x14ac:dyDescent="0.25">
      <c r="A5108" t="s">
        <v>79</v>
      </c>
      <c r="B5108">
        <v>20</v>
      </c>
      <c r="C5108">
        <v>1</v>
      </c>
      <c r="D5108">
        <v>3</v>
      </c>
      <c r="E5108">
        <v>7</v>
      </c>
      <c r="G5108">
        <v>2013</v>
      </c>
      <c r="H5108" t="s">
        <v>63</v>
      </c>
      <c r="I5108" t="s">
        <v>123</v>
      </c>
      <c r="J5108" t="s">
        <v>147</v>
      </c>
      <c r="L5108">
        <v>0</v>
      </c>
      <c r="M5108" t="s">
        <v>125</v>
      </c>
      <c r="O5108" t="s">
        <v>125</v>
      </c>
      <c r="P5108" t="s">
        <v>125</v>
      </c>
      <c r="Q5108" t="s">
        <v>125</v>
      </c>
      <c r="R5108" t="s">
        <v>125</v>
      </c>
      <c r="S5108" t="s">
        <v>125</v>
      </c>
      <c r="T5108">
        <v>0</v>
      </c>
      <c r="V5108" t="s">
        <v>125</v>
      </c>
      <c r="AE5108" t="s">
        <v>125</v>
      </c>
      <c r="AF5108">
        <v>0</v>
      </c>
      <c r="AG5108" t="s">
        <v>125</v>
      </c>
      <c r="AH5108">
        <v>0</v>
      </c>
      <c r="AK5108">
        <v>0</v>
      </c>
    </row>
    <row r="5109" spans="1:37" x14ac:dyDescent="0.25">
      <c r="A5109" t="s">
        <v>79</v>
      </c>
      <c r="B5109">
        <v>20</v>
      </c>
      <c r="C5109">
        <v>1</v>
      </c>
      <c r="D5109">
        <v>3</v>
      </c>
      <c r="E5109">
        <v>8</v>
      </c>
      <c r="G5109">
        <v>2013</v>
      </c>
      <c r="H5109" t="s">
        <v>63</v>
      </c>
      <c r="I5109" t="s">
        <v>126</v>
      </c>
      <c r="J5109" t="s">
        <v>148</v>
      </c>
      <c r="L5109">
        <v>0</v>
      </c>
      <c r="M5109" t="s">
        <v>125</v>
      </c>
      <c r="O5109" t="s">
        <v>125</v>
      </c>
      <c r="P5109" t="s">
        <v>125</v>
      </c>
      <c r="Q5109" t="s">
        <v>125</v>
      </c>
      <c r="R5109" t="s">
        <v>125</v>
      </c>
      <c r="S5109" t="s">
        <v>125</v>
      </c>
      <c r="T5109">
        <v>0</v>
      </c>
      <c r="V5109" t="s">
        <v>125</v>
      </c>
      <c r="AE5109" t="s">
        <v>125</v>
      </c>
      <c r="AF5109">
        <v>0</v>
      </c>
      <c r="AG5109" t="s">
        <v>125</v>
      </c>
      <c r="AH5109">
        <v>0</v>
      </c>
      <c r="AK5109">
        <v>0</v>
      </c>
    </row>
    <row r="5110" spans="1:37" x14ac:dyDescent="0.25">
      <c r="A5110" t="s">
        <v>79</v>
      </c>
      <c r="B5110">
        <v>20</v>
      </c>
      <c r="C5110">
        <v>1</v>
      </c>
      <c r="D5110">
        <v>3</v>
      </c>
      <c r="E5110">
        <v>9</v>
      </c>
      <c r="G5110">
        <v>2013</v>
      </c>
      <c r="H5110" t="s">
        <v>63</v>
      </c>
      <c r="I5110" t="s">
        <v>74</v>
      </c>
      <c r="J5110" t="s">
        <v>149</v>
      </c>
      <c r="L5110">
        <v>0</v>
      </c>
      <c r="M5110" t="s">
        <v>125</v>
      </c>
      <c r="O5110" t="s">
        <v>125</v>
      </c>
      <c r="P5110" t="s">
        <v>125</v>
      </c>
      <c r="Q5110" t="s">
        <v>125</v>
      </c>
      <c r="R5110" t="s">
        <v>125</v>
      </c>
      <c r="S5110" t="s">
        <v>125</v>
      </c>
      <c r="T5110">
        <v>0</v>
      </c>
      <c r="V5110" t="s">
        <v>125</v>
      </c>
      <c r="AE5110" t="s">
        <v>125</v>
      </c>
      <c r="AF5110">
        <v>0</v>
      </c>
      <c r="AG5110" t="s">
        <v>125</v>
      </c>
      <c r="AH5110">
        <v>0</v>
      </c>
      <c r="AK5110">
        <v>0</v>
      </c>
    </row>
    <row r="5111" spans="1:37" x14ac:dyDescent="0.25">
      <c r="A5111" t="s">
        <v>79</v>
      </c>
      <c r="B5111">
        <v>20</v>
      </c>
      <c r="C5111">
        <v>1</v>
      </c>
      <c r="D5111">
        <v>3</v>
      </c>
      <c r="E5111">
        <v>10</v>
      </c>
      <c r="G5111">
        <v>2013</v>
      </c>
      <c r="H5111" t="s">
        <v>63</v>
      </c>
      <c r="I5111" t="s">
        <v>129</v>
      </c>
      <c r="J5111" t="s">
        <v>150</v>
      </c>
      <c r="L5111">
        <v>0</v>
      </c>
      <c r="M5111" t="s">
        <v>125</v>
      </c>
      <c r="O5111" t="s">
        <v>125</v>
      </c>
      <c r="P5111" t="s">
        <v>125</v>
      </c>
      <c r="Q5111" t="s">
        <v>125</v>
      </c>
      <c r="R5111" t="s">
        <v>125</v>
      </c>
      <c r="S5111" t="s">
        <v>125</v>
      </c>
      <c r="T5111">
        <v>0</v>
      </c>
      <c r="V5111" t="s">
        <v>125</v>
      </c>
      <c r="AE5111" t="s">
        <v>125</v>
      </c>
      <c r="AF5111">
        <v>0</v>
      </c>
      <c r="AG5111" t="s">
        <v>125</v>
      </c>
      <c r="AH5111">
        <v>0</v>
      </c>
      <c r="AK5111">
        <v>0</v>
      </c>
    </row>
    <row r="5112" spans="1:37" x14ac:dyDescent="0.25">
      <c r="A5112" t="s">
        <v>79</v>
      </c>
      <c r="B5112">
        <v>20</v>
      </c>
      <c r="C5112">
        <v>1</v>
      </c>
      <c r="D5112">
        <v>3</v>
      </c>
      <c r="E5112">
        <v>11</v>
      </c>
      <c r="G5112">
        <v>2013</v>
      </c>
      <c r="H5112" t="s">
        <v>63</v>
      </c>
      <c r="I5112" t="s">
        <v>131</v>
      </c>
      <c r="J5112" t="s">
        <v>151</v>
      </c>
      <c r="L5112">
        <v>0</v>
      </c>
      <c r="M5112" t="s">
        <v>125</v>
      </c>
      <c r="O5112" t="s">
        <v>125</v>
      </c>
      <c r="P5112" t="s">
        <v>125</v>
      </c>
      <c r="Q5112" t="s">
        <v>125</v>
      </c>
      <c r="R5112" t="s">
        <v>125</v>
      </c>
      <c r="S5112" t="s">
        <v>125</v>
      </c>
      <c r="T5112">
        <v>0</v>
      </c>
      <c r="V5112" t="s">
        <v>125</v>
      </c>
      <c r="AE5112" t="s">
        <v>125</v>
      </c>
      <c r="AF5112">
        <v>0</v>
      </c>
      <c r="AG5112" t="s">
        <v>125</v>
      </c>
      <c r="AH5112">
        <v>0</v>
      </c>
      <c r="AK5112">
        <v>0</v>
      </c>
    </row>
    <row r="5113" spans="1:37" x14ac:dyDescent="0.25">
      <c r="A5113" t="s">
        <v>79</v>
      </c>
      <c r="B5113">
        <v>20</v>
      </c>
      <c r="C5113">
        <v>1</v>
      </c>
      <c r="D5113">
        <v>3</v>
      </c>
      <c r="E5113">
        <v>12</v>
      </c>
      <c r="G5113">
        <v>2013</v>
      </c>
      <c r="H5113" t="s">
        <v>63</v>
      </c>
      <c r="I5113" t="s">
        <v>133</v>
      </c>
      <c r="J5113" t="s">
        <v>152</v>
      </c>
      <c r="L5113">
        <v>0</v>
      </c>
      <c r="M5113" t="s">
        <v>125</v>
      </c>
      <c r="O5113" t="s">
        <v>125</v>
      </c>
      <c r="P5113" t="s">
        <v>125</v>
      </c>
      <c r="Q5113" t="s">
        <v>125</v>
      </c>
      <c r="R5113" t="s">
        <v>125</v>
      </c>
      <c r="S5113" t="s">
        <v>125</v>
      </c>
      <c r="T5113">
        <v>0</v>
      </c>
      <c r="V5113" t="s">
        <v>125</v>
      </c>
      <c r="AE5113" t="s">
        <v>125</v>
      </c>
      <c r="AF5113">
        <v>0</v>
      </c>
      <c r="AG5113" t="s">
        <v>125</v>
      </c>
      <c r="AH5113">
        <v>0</v>
      </c>
      <c r="AK5113">
        <v>0</v>
      </c>
    </row>
    <row r="5114" spans="1:37" x14ac:dyDescent="0.25">
      <c r="A5114" t="s">
        <v>79</v>
      </c>
      <c r="B5114">
        <v>20</v>
      </c>
      <c r="C5114">
        <v>1</v>
      </c>
      <c r="D5114">
        <v>3</v>
      </c>
      <c r="E5114">
        <v>13</v>
      </c>
      <c r="G5114">
        <v>2013</v>
      </c>
      <c r="H5114" t="s">
        <v>63</v>
      </c>
      <c r="I5114" t="s">
        <v>135</v>
      </c>
      <c r="J5114" t="s">
        <v>153</v>
      </c>
      <c r="L5114">
        <v>0</v>
      </c>
      <c r="M5114" t="s">
        <v>125</v>
      </c>
      <c r="O5114" t="s">
        <v>125</v>
      </c>
      <c r="P5114" t="s">
        <v>125</v>
      </c>
      <c r="Q5114" t="s">
        <v>125</v>
      </c>
      <c r="R5114" t="s">
        <v>125</v>
      </c>
      <c r="S5114" t="s">
        <v>125</v>
      </c>
      <c r="T5114">
        <v>0</v>
      </c>
      <c r="V5114" t="s">
        <v>125</v>
      </c>
      <c r="AE5114" t="s">
        <v>125</v>
      </c>
      <c r="AF5114">
        <v>0</v>
      </c>
      <c r="AG5114" t="s">
        <v>125</v>
      </c>
      <c r="AH5114">
        <v>0</v>
      </c>
      <c r="AK5114">
        <v>0</v>
      </c>
    </row>
    <row r="5115" spans="1:37" x14ac:dyDescent="0.25">
      <c r="A5115" t="s">
        <v>79</v>
      </c>
      <c r="B5115">
        <v>20</v>
      </c>
      <c r="C5115">
        <v>1</v>
      </c>
      <c r="D5115">
        <v>3</v>
      </c>
      <c r="E5115">
        <v>14</v>
      </c>
      <c r="G5115">
        <v>2013</v>
      </c>
      <c r="H5115" t="s">
        <v>63</v>
      </c>
      <c r="I5115" t="s">
        <v>137</v>
      </c>
      <c r="J5115" t="s">
        <v>154</v>
      </c>
      <c r="L5115">
        <v>0</v>
      </c>
      <c r="M5115" t="s">
        <v>125</v>
      </c>
      <c r="O5115" t="s">
        <v>125</v>
      </c>
      <c r="P5115" t="s">
        <v>125</v>
      </c>
      <c r="Q5115" t="s">
        <v>125</v>
      </c>
      <c r="R5115" t="s">
        <v>125</v>
      </c>
      <c r="S5115" t="s">
        <v>125</v>
      </c>
      <c r="T5115">
        <v>0</v>
      </c>
      <c r="V5115" t="s">
        <v>125</v>
      </c>
      <c r="AE5115" t="s">
        <v>125</v>
      </c>
      <c r="AF5115">
        <v>0</v>
      </c>
      <c r="AG5115" t="s">
        <v>125</v>
      </c>
      <c r="AH5115">
        <v>0</v>
      </c>
      <c r="AK5115">
        <v>0</v>
      </c>
    </row>
    <row r="5116" spans="1:37" x14ac:dyDescent="0.25">
      <c r="A5116" t="s">
        <v>79</v>
      </c>
      <c r="B5116">
        <v>20</v>
      </c>
      <c r="C5116">
        <v>1</v>
      </c>
      <c r="D5116">
        <v>3</v>
      </c>
      <c r="E5116">
        <v>15</v>
      </c>
      <c r="G5116">
        <v>2013</v>
      </c>
      <c r="H5116" t="s">
        <v>63</v>
      </c>
      <c r="I5116" t="s">
        <v>139</v>
      </c>
      <c r="J5116" t="s">
        <v>155</v>
      </c>
      <c r="L5116">
        <v>0</v>
      </c>
      <c r="M5116" t="s">
        <v>125</v>
      </c>
      <c r="O5116" t="s">
        <v>125</v>
      </c>
      <c r="P5116" t="s">
        <v>125</v>
      </c>
      <c r="Q5116" t="s">
        <v>125</v>
      </c>
      <c r="R5116" t="s">
        <v>125</v>
      </c>
      <c r="S5116" t="s">
        <v>125</v>
      </c>
      <c r="T5116">
        <v>0</v>
      </c>
      <c r="V5116" t="s">
        <v>125</v>
      </c>
      <c r="AE5116" t="s">
        <v>125</v>
      </c>
      <c r="AF5116">
        <v>0</v>
      </c>
      <c r="AG5116" t="s">
        <v>125</v>
      </c>
      <c r="AH5116">
        <v>0</v>
      </c>
      <c r="AK5116">
        <v>0</v>
      </c>
    </row>
    <row r="5117" spans="1:37" x14ac:dyDescent="0.25">
      <c r="L5117">
        <v>0</v>
      </c>
    </row>
    <row r="5118" spans="1:37" x14ac:dyDescent="0.25">
      <c r="A5118" t="s">
        <v>70</v>
      </c>
      <c r="B5118">
        <v>20</v>
      </c>
      <c r="C5118">
        <v>1</v>
      </c>
      <c r="D5118">
        <v>4</v>
      </c>
      <c r="G5118">
        <v>201</v>
      </c>
      <c r="L5118">
        <v>0</v>
      </c>
      <c r="M5118" t="s">
        <v>125</v>
      </c>
      <c r="P5118" t="s">
        <v>125</v>
      </c>
      <c r="R5118" t="s">
        <v>125</v>
      </c>
      <c r="S5118" t="s">
        <v>63</v>
      </c>
      <c r="V5118" t="s">
        <v>125</v>
      </c>
      <c r="X5118" t="s">
        <v>125</v>
      </c>
      <c r="Y5118" t="s">
        <v>125</v>
      </c>
      <c r="Z5118" t="s">
        <v>125</v>
      </c>
      <c r="AA5118" t="s">
        <v>125</v>
      </c>
      <c r="AB5118" t="s">
        <v>125</v>
      </c>
      <c r="AC5118" t="s">
        <v>125</v>
      </c>
      <c r="AE5118" t="s">
        <v>125</v>
      </c>
      <c r="AF5118">
        <v>0</v>
      </c>
      <c r="AG5118" t="s">
        <v>125</v>
      </c>
      <c r="AH5118">
        <v>0</v>
      </c>
      <c r="AK5118">
        <v>0</v>
      </c>
    </row>
    <row r="5119" spans="1:37" x14ac:dyDescent="0.25">
      <c r="A5119" t="s">
        <v>79</v>
      </c>
      <c r="B5119">
        <v>20</v>
      </c>
      <c r="C5119">
        <v>1</v>
      </c>
      <c r="D5119">
        <v>4</v>
      </c>
      <c r="E5119">
        <v>1</v>
      </c>
      <c r="G5119">
        <v>2014</v>
      </c>
      <c r="H5119" t="s">
        <v>63</v>
      </c>
      <c r="I5119" t="s">
        <v>80</v>
      </c>
      <c r="J5119" t="s">
        <v>141</v>
      </c>
      <c r="L5119">
        <v>0</v>
      </c>
      <c r="M5119" t="s">
        <v>125</v>
      </c>
      <c r="O5119" t="s">
        <v>125</v>
      </c>
      <c r="P5119" t="s">
        <v>125</v>
      </c>
      <c r="Q5119" t="s">
        <v>125</v>
      </c>
      <c r="R5119" t="s">
        <v>125</v>
      </c>
      <c r="S5119" t="s">
        <v>125</v>
      </c>
      <c r="T5119">
        <v>0</v>
      </c>
      <c r="V5119" t="s">
        <v>125</v>
      </c>
      <c r="AE5119" t="s">
        <v>125</v>
      </c>
      <c r="AF5119">
        <v>0</v>
      </c>
      <c r="AG5119" t="s">
        <v>125</v>
      </c>
      <c r="AH5119">
        <v>0</v>
      </c>
      <c r="AK5119">
        <v>0</v>
      </c>
    </row>
    <row r="5120" spans="1:37" x14ac:dyDescent="0.25">
      <c r="A5120" t="s">
        <v>79</v>
      </c>
      <c r="B5120">
        <v>20</v>
      </c>
      <c r="C5120">
        <v>1</v>
      </c>
      <c r="D5120">
        <v>4</v>
      </c>
      <c r="E5120">
        <v>2</v>
      </c>
      <c r="G5120">
        <v>2014</v>
      </c>
      <c r="H5120" t="s">
        <v>63</v>
      </c>
      <c r="I5120" t="s">
        <v>88</v>
      </c>
      <c r="J5120" t="s">
        <v>142</v>
      </c>
      <c r="L5120">
        <v>0</v>
      </c>
      <c r="M5120" t="s">
        <v>125</v>
      </c>
      <c r="O5120" t="s">
        <v>125</v>
      </c>
      <c r="P5120" t="s">
        <v>125</v>
      </c>
      <c r="Q5120" t="s">
        <v>125</v>
      </c>
      <c r="R5120" t="s">
        <v>125</v>
      </c>
      <c r="S5120" t="s">
        <v>125</v>
      </c>
      <c r="T5120">
        <v>0</v>
      </c>
      <c r="V5120" t="s">
        <v>125</v>
      </c>
      <c r="AE5120" t="s">
        <v>125</v>
      </c>
      <c r="AF5120">
        <v>0</v>
      </c>
      <c r="AG5120" t="s">
        <v>125</v>
      </c>
      <c r="AH5120">
        <v>0</v>
      </c>
      <c r="AK5120">
        <v>0</v>
      </c>
    </row>
    <row r="5121" spans="1:37" x14ac:dyDescent="0.25">
      <c r="A5121" t="s">
        <v>79</v>
      </c>
      <c r="B5121">
        <v>20</v>
      </c>
      <c r="C5121">
        <v>1</v>
      </c>
      <c r="D5121">
        <v>4</v>
      </c>
      <c r="E5121">
        <v>3</v>
      </c>
      <c r="G5121">
        <v>2014</v>
      </c>
      <c r="H5121" t="s">
        <v>63</v>
      </c>
      <c r="I5121" t="s">
        <v>95</v>
      </c>
      <c r="J5121" t="s">
        <v>143</v>
      </c>
      <c r="L5121">
        <v>0</v>
      </c>
      <c r="M5121" t="s">
        <v>125</v>
      </c>
      <c r="O5121" t="s">
        <v>125</v>
      </c>
      <c r="P5121" t="s">
        <v>125</v>
      </c>
      <c r="Q5121" t="s">
        <v>125</v>
      </c>
      <c r="R5121" t="s">
        <v>125</v>
      </c>
      <c r="S5121" t="s">
        <v>125</v>
      </c>
      <c r="T5121">
        <v>0</v>
      </c>
      <c r="V5121" t="s">
        <v>125</v>
      </c>
      <c r="AE5121" t="s">
        <v>125</v>
      </c>
      <c r="AF5121">
        <v>0</v>
      </c>
      <c r="AG5121" t="s">
        <v>125</v>
      </c>
      <c r="AH5121">
        <v>0</v>
      </c>
      <c r="AK5121">
        <v>0</v>
      </c>
    </row>
    <row r="5122" spans="1:37" x14ac:dyDescent="0.25">
      <c r="A5122" t="s">
        <v>79</v>
      </c>
      <c r="B5122">
        <v>20</v>
      </c>
      <c r="C5122">
        <v>1</v>
      </c>
      <c r="D5122">
        <v>4</v>
      </c>
      <c r="E5122">
        <v>4</v>
      </c>
      <c r="G5122">
        <v>2014</v>
      </c>
      <c r="H5122" t="s">
        <v>63</v>
      </c>
      <c r="I5122" t="s">
        <v>102</v>
      </c>
      <c r="J5122" t="s">
        <v>144</v>
      </c>
      <c r="L5122">
        <v>0</v>
      </c>
      <c r="M5122" t="s">
        <v>125</v>
      </c>
      <c r="O5122" t="s">
        <v>125</v>
      </c>
      <c r="P5122" t="s">
        <v>125</v>
      </c>
      <c r="Q5122" t="s">
        <v>125</v>
      </c>
      <c r="R5122" t="s">
        <v>125</v>
      </c>
      <c r="S5122" t="s">
        <v>125</v>
      </c>
      <c r="T5122">
        <v>0</v>
      </c>
      <c r="V5122" t="s">
        <v>125</v>
      </c>
      <c r="AE5122" t="s">
        <v>125</v>
      </c>
      <c r="AF5122">
        <v>0</v>
      </c>
      <c r="AG5122" t="s">
        <v>125</v>
      </c>
      <c r="AH5122">
        <v>0</v>
      </c>
      <c r="AK5122">
        <v>0</v>
      </c>
    </row>
    <row r="5123" spans="1:37" x14ac:dyDescent="0.25">
      <c r="A5123" t="s">
        <v>79</v>
      </c>
      <c r="B5123">
        <v>20</v>
      </c>
      <c r="C5123">
        <v>1</v>
      </c>
      <c r="D5123">
        <v>4</v>
      </c>
      <c r="E5123">
        <v>5</v>
      </c>
      <c r="G5123">
        <v>2014</v>
      </c>
      <c r="H5123" t="s">
        <v>63</v>
      </c>
      <c r="I5123" t="s">
        <v>109</v>
      </c>
      <c r="J5123" t="s">
        <v>145</v>
      </c>
      <c r="L5123">
        <v>0</v>
      </c>
      <c r="M5123" t="s">
        <v>125</v>
      </c>
      <c r="O5123" t="s">
        <v>125</v>
      </c>
      <c r="P5123" t="s">
        <v>125</v>
      </c>
      <c r="Q5123" t="s">
        <v>125</v>
      </c>
      <c r="R5123" t="s">
        <v>125</v>
      </c>
      <c r="S5123" t="s">
        <v>125</v>
      </c>
      <c r="T5123">
        <v>0</v>
      </c>
      <c r="V5123" t="s">
        <v>125</v>
      </c>
      <c r="AE5123" t="s">
        <v>125</v>
      </c>
      <c r="AF5123">
        <v>0</v>
      </c>
      <c r="AG5123" t="s">
        <v>125</v>
      </c>
      <c r="AH5123">
        <v>0</v>
      </c>
      <c r="AK5123">
        <v>0</v>
      </c>
    </row>
    <row r="5124" spans="1:37" x14ac:dyDescent="0.25">
      <c r="A5124" t="s">
        <v>79</v>
      </c>
      <c r="B5124">
        <v>20</v>
      </c>
      <c r="C5124">
        <v>1</v>
      </c>
      <c r="D5124">
        <v>4</v>
      </c>
      <c r="E5124">
        <v>6</v>
      </c>
      <c r="G5124">
        <v>2014</v>
      </c>
      <c r="H5124" t="s">
        <v>63</v>
      </c>
      <c r="I5124" t="s">
        <v>116</v>
      </c>
      <c r="J5124" t="s">
        <v>146</v>
      </c>
      <c r="L5124">
        <v>0</v>
      </c>
      <c r="M5124" t="s">
        <v>125</v>
      </c>
      <c r="O5124" t="s">
        <v>125</v>
      </c>
      <c r="P5124" t="s">
        <v>125</v>
      </c>
      <c r="Q5124" t="s">
        <v>125</v>
      </c>
      <c r="R5124" t="s">
        <v>125</v>
      </c>
      <c r="S5124" t="s">
        <v>125</v>
      </c>
      <c r="T5124">
        <v>0</v>
      </c>
      <c r="V5124" t="s">
        <v>125</v>
      </c>
      <c r="AE5124" t="s">
        <v>125</v>
      </c>
      <c r="AF5124">
        <v>0</v>
      </c>
      <c r="AG5124" t="s">
        <v>125</v>
      </c>
      <c r="AH5124">
        <v>0</v>
      </c>
      <c r="AK5124">
        <v>0</v>
      </c>
    </row>
    <row r="5125" spans="1:37" x14ac:dyDescent="0.25">
      <c r="A5125" t="s">
        <v>79</v>
      </c>
      <c r="B5125">
        <v>20</v>
      </c>
      <c r="C5125">
        <v>1</v>
      </c>
      <c r="D5125">
        <v>4</v>
      </c>
      <c r="E5125">
        <v>7</v>
      </c>
      <c r="G5125">
        <v>2014</v>
      </c>
      <c r="H5125" t="s">
        <v>63</v>
      </c>
      <c r="I5125" t="s">
        <v>123</v>
      </c>
      <c r="J5125" t="s">
        <v>147</v>
      </c>
      <c r="L5125">
        <v>0</v>
      </c>
      <c r="M5125" t="s">
        <v>125</v>
      </c>
      <c r="O5125" t="s">
        <v>125</v>
      </c>
      <c r="P5125" t="s">
        <v>125</v>
      </c>
      <c r="Q5125" t="s">
        <v>125</v>
      </c>
      <c r="R5125" t="s">
        <v>125</v>
      </c>
      <c r="S5125" t="s">
        <v>125</v>
      </c>
      <c r="T5125">
        <v>0</v>
      </c>
      <c r="V5125" t="s">
        <v>125</v>
      </c>
      <c r="AE5125" t="s">
        <v>125</v>
      </c>
      <c r="AF5125">
        <v>0</v>
      </c>
      <c r="AG5125" t="s">
        <v>125</v>
      </c>
      <c r="AH5125">
        <v>0</v>
      </c>
      <c r="AK5125">
        <v>0</v>
      </c>
    </row>
    <row r="5126" spans="1:37" x14ac:dyDescent="0.25">
      <c r="A5126" t="s">
        <v>79</v>
      </c>
      <c r="B5126">
        <v>20</v>
      </c>
      <c r="C5126">
        <v>1</v>
      </c>
      <c r="D5126">
        <v>4</v>
      </c>
      <c r="E5126">
        <v>8</v>
      </c>
      <c r="G5126">
        <v>2014</v>
      </c>
      <c r="H5126" t="s">
        <v>63</v>
      </c>
      <c r="I5126" t="s">
        <v>126</v>
      </c>
      <c r="J5126" t="s">
        <v>148</v>
      </c>
      <c r="L5126">
        <v>0</v>
      </c>
      <c r="M5126" t="s">
        <v>125</v>
      </c>
      <c r="O5126" t="s">
        <v>125</v>
      </c>
      <c r="P5126" t="s">
        <v>125</v>
      </c>
      <c r="Q5126" t="s">
        <v>125</v>
      </c>
      <c r="R5126" t="s">
        <v>125</v>
      </c>
      <c r="S5126" t="s">
        <v>125</v>
      </c>
      <c r="T5126">
        <v>0</v>
      </c>
      <c r="V5126" t="s">
        <v>125</v>
      </c>
      <c r="AE5126" t="s">
        <v>125</v>
      </c>
      <c r="AF5126">
        <v>0</v>
      </c>
      <c r="AG5126" t="s">
        <v>125</v>
      </c>
      <c r="AH5126">
        <v>0</v>
      </c>
      <c r="AK5126">
        <v>0</v>
      </c>
    </row>
    <row r="5127" spans="1:37" x14ac:dyDescent="0.25">
      <c r="A5127" t="s">
        <v>79</v>
      </c>
      <c r="B5127">
        <v>20</v>
      </c>
      <c r="C5127">
        <v>1</v>
      </c>
      <c r="D5127">
        <v>4</v>
      </c>
      <c r="E5127">
        <v>9</v>
      </c>
      <c r="G5127">
        <v>2014</v>
      </c>
      <c r="H5127" t="s">
        <v>63</v>
      </c>
      <c r="I5127" t="s">
        <v>74</v>
      </c>
      <c r="J5127" t="s">
        <v>149</v>
      </c>
      <c r="L5127">
        <v>0</v>
      </c>
      <c r="M5127" t="s">
        <v>125</v>
      </c>
      <c r="O5127" t="s">
        <v>125</v>
      </c>
      <c r="P5127" t="s">
        <v>125</v>
      </c>
      <c r="Q5127" t="s">
        <v>125</v>
      </c>
      <c r="R5127" t="s">
        <v>125</v>
      </c>
      <c r="S5127" t="s">
        <v>125</v>
      </c>
      <c r="T5127">
        <v>0</v>
      </c>
      <c r="V5127" t="s">
        <v>125</v>
      </c>
      <c r="AE5127" t="s">
        <v>125</v>
      </c>
      <c r="AF5127">
        <v>0</v>
      </c>
      <c r="AG5127" t="s">
        <v>125</v>
      </c>
      <c r="AH5127">
        <v>0</v>
      </c>
      <c r="AK5127">
        <v>0</v>
      </c>
    </row>
    <row r="5128" spans="1:37" x14ac:dyDescent="0.25">
      <c r="A5128" t="s">
        <v>79</v>
      </c>
      <c r="B5128">
        <v>20</v>
      </c>
      <c r="C5128">
        <v>1</v>
      </c>
      <c r="D5128">
        <v>4</v>
      </c>
      <c r="E5128">
        <v>10</v>
      </c>
      <c r="G5128">
        <v>2014</v>
      </c>
      <c r="H5128" t="s">
        <v>63</v>
      </c>
      <c r="I5128" t="s">
        <v>129</v>
      </c>
      <c r="J5128" t="s">
        <v>150</v>
      </c>
      <c r="L5128">
        <v>0</v>
      </c>
      <c r="M5128" t="s">
        <v>125</v>
      </c>
      <c r="O5128" t="s">
        <v>125</v>
      </c>
      <c r="P5128" t="s">
        <v>125</v>
      </c>
      <c r="Q5128" t="s">
        <v>125</v>
      </c>
      <c r="R5128" t="s">
        <v>125</v>
      </c>
      <c r="S5128" t="s">
        <v>125</v>
      </c>
      <c r="T5128">
        <v>0</v>
      </c>
      <c r="V5128" t="s">
        <v>125</v>
      </c>
      <c r="AE5128" t="s">
        <v>125</v>
      </c>
      <c r="AF5128">
        <v>0</v>
      </c>
      <c r="AG5128" t="s">
        <v>125</v>
      </c>
      <c r="AH5128">
        <v>0</v>
      </c>
      <c r="AK5128">
        <v>0</v>
      </c>
    </row>
    <row r="5129" spans="1:37" x14ac:dyDescent="0.25">
      <c r="A5129" t="s">
        <v>79</v>
      </c>
      <c r="B5129">
        <v>20</v>
      </c>
      <c r="C5129">
        <v>1</v>
      </c>
      <c r="D5129">
        <v>4</v>
      </c>
      <c r="E5129">
        <v>11</v>
      </c>
      <c r="G5129">
        <v>2014</v>
      </c>
      <c r="H5129" t="s">
        <v>63</v>
      </c>
      <c r="I5129" t="s">
        <v>131</v>
      </c>
      <c r="J5129" t="s">
        <v>151</v>
      </c>
      <c r="L5129">
        <v>0</v>
      </c>
      <c r="M5129" t="s">
        <v>125</v>
      </c>
      <c r="O5129" t="s">
        <v>125</v>
      </c>
      <c r="P5129" t="s">
        <v>125</v>
      </c>
      <c r="Q5129" t="s">
        <v>125</v>
      </c>
      <c r="R5129" t="s">
        <v>125</v>
      </c>
      <c r="S5129" t="s">
        <v>125</v>
      </c>
      <c r="T5129">
        <v>0</v>
      </c>
      <c r="V5129" t="s">
        <v>125</v>
      </c>
      <c r="AE5129" t="s">
        <v>125</v>
      </c>
      <c r="AF5129">
        <v>0</v>
      </c>
      <c r="AG5129" t="s">
        <v>125</v>
      </c>
      <c r="AH5129">
        <v>0</v>
      </c>
      <c r="AK5129">
        <v>0</v>
      </c>
    </row>
    <row r="5130" spans="1:37" x14ac:dyDescent="0.25">
      <c r="A5130" t="s">
        <v>79</v>
      </c>
      <c r="B5130">
        <v>20</v>
      </c>
      <c r="C5130">
        <v>1</v>
      </c>
      <c r="D5130">
        <v>4</v>
      </c>
      <c r="E5130">
        <v>12</v>
      </c>
      <c r="G5130">
        <v>2014</v>
      </c>
      <c r="H5130" t="s">
        <v>63</v>
      </c>
      <c r="I5130" t="s">
        <v>133</v>
      </c>
      <c r="J5130" t="s">
        <v>152</v>
      </c>
      <c r="L5130">
        <v>0</v>
      </c>
      <c r="M5130" t="s">
        <v>125</v>
      </c>
      <c r="O5130" t="s">
        <v>125</v>
      </c>
      <c r="P5130" t="s">
        <v>125</v>
      </c>
      <c r="Q5130" t="s">
        <v>125</v>
      </c>
      <c r="R5130" t="s">
        <v>125</v>
      </c>
      <c r="S5130" t="s">
        <v>125</v>
      </c>
      <c r="T5130">
        <v>0</v>
      </c>
      <c r="V5130" t="s">
        <v>125</v>
      </c>
      <c r="AE5130" t="s">
        <v>125</v>
      </c>
      <c r="AF5130">
        <v>0</v>
      </c>
      <c r="AG5130" t="s">
        <v>125</v>
      </c>
      <c r="AH5130">
        <v>0</v>
      </c>
      <c r="AK5130">
        <v>0</v>
      </c>
    </row>
    <row r="5131" spans="1:37" x14ac:dyDescent="0.25">
      <c r="A5131" t="s">
        <v>79</v>
      </c>
      <c r="B5131">
        <v>20</v>
      </c>
      <c r="C5131">
        <v>1</v>
      </c>
      <c r="D5131">
        <v>4</v>
      </c>
      <c r="E5131">
        <v>13</v>
      </c>
      <c r="G5131">
        <v>2014</v>
      </c>
      <c r="H5131" t="s">
        <v>63</v>
      </c>
      <c r="I5131" t="s">
        <v>135</v>
      </c>
      <c r="J5131" t="s">
        <v>153</v>
      </c>
      <c r="L5131">
        <v>0</v>
      </c>
      <c r="M5131" t="s">
        <v>125</v>
      </c>
      <c r="O5131" t="s">
        <v>125</v>
      </c>
      <c r="P5131" t="s">
        <v>125</v>
      </c>
      <c r="Q5131" t="s">
        <v>125</v>
      </c>
      <c r="R5131" t="s">
        <v>125</v>
      </c>
      <c r="S5131" t="s">
        <v>125</v>
      </c>
      <c r="T5131">
        <v>0</v>
      </c>
      <c r="V5131" t="s">
        <v>125</v>
      </c>
      <c r="AE5131" t="s">
        <v>125</v>
      </c>
      <c r="AF5131">
        <v>0</v>
      </c>
      <c r="AG5131" t="s">
        <v>125</v>
      </c>
      <c r="AH5131">
        <v>0</v>
      </c>
      <c r="AK5131">
        <v>0</v>
      </c>
    </row>
    <row r="5132" spans="1:37" x14ac:dyDescent="0.25">
      <c r="A5132" t="s">
        <v>79</v>
      </c>
      <c r="B5132">
        <v>20</v>
      </c>
      <c r="C5132">
        <v>1</v>
      </c>
      <c r="D5132">
        <v>4</v>
      </c>
      <c r="E5132">
        <v>14</v>
      </c>
      <c r="G5132">
        <v>2014</v>
      </c>
      <c r="H5132" t="s">
        <v>63</v>
      </c>
      <c r="I5132" t="s">
        <v>137</v>
      </c>
      <c r="J5132" t="s">
        <v>154</v>
      </c>
      <c r="L5132">
        <v>0</v>
      </c>
      <c r="M5132" t="s">
        <v>125</v>
      </c>
      <c r="O5132" t="s">
        <v>125</v>
      </c>
      <c r="P5132" t="s">
        <v>125</v>
      </c>
      <c r="Q5132" t="s">
        <v>125</v>
      </c>
      <c r="R5132" t="s">
        <v>125</v>
      </c>
      <c r="S5132" t="s">
        <v>125</v>
      </c>
      <c r="T5132">
        <v>0</v>
      </c>
      <c r="V5132" t="s">
        <v>125</v>
      </c>
      <c r="AE5132" t="s">
        <v>125</v>
      </c>
      <c r="AF5132">
        <v>0</v>
      </c>
      <c r="AG5132" t="s">
        <v>125</v>
      </c>
      <c r="AH5132">
        <v>0</v>
      </c>
      <c r="AK5132">
        <v>0</v>
      </c>
    </row>
    <row r="5133" spans="1:37" x14ac:dyDescent="0.25">
      <c r="A5133" t="s">
        <v>79</v>
      </c>
      <c r="B5133">
        <v>20</v>
      </c>
      <c r="C5133">
        <v>1</v>
      </c>
      <c r="D5133">
        <v>4</v>
      </c>
      <c r="E5133">
        <v>15</v>
      </c>
      <c r="G5133">
        <v>2014</v>
      </c>
      <c r="H5133" t="s">
        <v>63</v>
      </c>
      <c r="I5133" t="s">
        <v>139</v>
      </c>
      <c r="J5133" t="s">
        <v>155</v>
      </c>
      <c r="L5133">
        <v>0</v>
      </c>
      <c r="M5133" t="s">
        <v>125</v>
      </c>
      <c r="O5133" t="s">
        <v>125</v>
      </c>
      <c r="P5133" t="s">
        <v>125</v>
      </c>
      <c r="Q5133" t="s">
        <v>125</v>
      </c>
      <c r="R5133" t="s">
        <v>125</v>
      </c>
      <c r="S5133" t="s">
        <v>125</v>
      </c>
      <c r="T5133">
        <v>0</v>
      </c>
      <c r="V5133" t="s">
        <v>125</v>
      </c>
      <c r="AE5133" t="s">
        <v>125</v>
      </c>
      <c r="AF5133">
        <v>0</v>
      </c>
      <c r="AG5133" t="s">
        <v>125</v>
      </c>
      <c r="AH5133">
        <v>0</v>
      </c>
      <c r="AK5133">
        <v>0</v>
      </c>
    </row>
    <row r="5134" spans="1:37" x14ac:dyDescent="0.25">
      <c r="L5134">
        <v>0</v>
      </c>
    </row>
    <row r="5135" spans="1:37" x14ac:dyDescent="0.25">
      <c r="A5135" t="s">
        <v>70</v>
      </c>
      <c r="B5135">
        <v>20</v>
      </c>
      <c r="C5135">
        <v>1</v>
      </c>
      <c r="D5135">
        <v>5</v>
      </c>
      <c r="G5135">
        <v>201</v>
      </c>
      <c r="L5135">
        <v>0</v>
      </c>
      <c r="M5135" t="s">
        <v>125</v>
      </c>
      <c r="P5135" t="s">
        <v>125</v>
      </c>
      <c r="R5135" t="s">
        <v>125</v>
      </c>
      <c r="S5135" t="s">
        <v>63</v>
      </c>
      <c r="V5135" t="s">
        <v>125</v>
      </c>
      <c r="X5135" t="s">
        <v>125</v>
      </c>
      <c r="Y5135" t="s">
        <v>125</v>
      </c>
      <c r="Z5135" t="s">
        <v>125</v>
      </c>
      <c r="AA5135" t="s">
        <v>125</v>
      </c>
      <c r="AB5135" t="s">
        <v>125</v>
      </c>
      <c r="AC5135" t="s">
        <v>125</v>
      </c>
      <c r="AE5135" t="s">
        <v>125</v>
      </c>
      <c r="AF5135">
        <v>0</v>
      </c>
      <c r="AG5135" t="s">
        <v>125</v>
      </c>
      <c r="AH5135">
        <v>0</v>
      </c>
      <c r="AK5135">
        <v>0</v>
      </c>
    </row>
    <row r="5136" spans="1:37" x14ac:dyDescent="0.25">
      <c r="A5136" t="s">
        <v>79</v>
      </c>
      <c r="B5136">
        <v>20</v>
      </c>
      <c r="C5136">
        <v>1</v>
      </c>
      <c r="D5136">
        <v>5</v>
      </c>
      <c r="E5136">
        <v>1</v>
      </c>
      <c r="G5136">
        <v>2015</v>
      </c>
      <c r="H5136" t="s">
        <v>63</v>
      </c>
      <c r="I5136" t="s">
        <v>80</v>
      </c>
      <c r="J5136" t="s">
        <v>141</v>
      </c>
      <c r="L5136">
        <v>0</v>
      </c>
      <c r="M5136" t="s">
        <v>125</v>
      </c>
      <c r="O5136" t="s">
        <v>125</v>
      </c>
      <c r="P5136" t="s">
        <v>125</v>
      </c>
      <c r="Q5136" t="s">
        <v>125</v>
      </c>
      <c r="R5136" t="s">
        <v>125</v>
      </c>
      <c r="S5136" t="s">
        <v>125</v>
      </c>
      <c r="T5136">
        <v>0</v>
      </c>
      <c r="V5136" t="s">
        <v>125</v>
      </c>
      <c r="AE5136" t="s">
        <v>125</v>
      </c>
      <c r="AF5136">
        <v>0</v>
      </c>
      <c r="AG5136" t="s">
        <v>125</v>
      </c>
      <c r="AH5136">
        <v>0</v>
      </c>
      <c r="AK5136">
        <v>0</v>
      </c>
    </row>
    <row r="5137" spans="1:37" x14ac:dyDescent="0.25">
      <c r="A5137" t="s">
        <v>79</v>
      </c>
      <c r="B5137">
        <v>20</v>
      </c>
      <c r="C5137">
        <v>1</v>
      </c>
      <c r="D5137">
        <v>5</v>
      </c>
      <c r="E5137">
        <v>2</v>
      </c>
      <c r="G5137">
        <v>2015</v>
      </c>
      <c r="H5137" t="s">
        <v>63</v>
      </c>
      <c r="I5137" t="s">
        <v>88</v>
      </c>
      <c r="J5137" t="s">
        <v>142</v>
      </c>
      <c r="L5137">
        <v>0</v>
      </c>
      <c r="M5137" t="s">
        <v>125</v>
      </c>
      <c r="O5137" t="s">
        <v>125</v>
      </c>
      <c r="P5137" t="s">
        <v>125</v>
      </c>
      <c r="Q5137" t="s">
        <v>125</v>
      </c>
      <c r="R5137" t="s">
        <v>125</v>
      </c>
      <c r="S5137" t="s">
        <v>125</v>
      </c>
      <c r="T5137">
        <v>0</v>
      </c>
      <c r="V5137" t="s">
        <v>125</v>
      </c>
      <c r="AE5137" t="s">
        <v>125</v>
      </c>
      <c r="AF5137">
        <v>0</v>
      </c>
      <c r="AG5137" t="s">
        <v>125</v>
      </c>
      <c r="AH5137">
        <v>0</v>
      </c>
      <c r="AK5137">
        <v>0</v>
      </c>
    </row>
    <row r="5138" spans="1:37" x14ac:dyDescent="0.25">
      <c r="A5138" t="s">
        <v>79</v>
      </c>
      <c r="B5138">
        <v>20</v>
      </c>
      <c r="C5138">
        <v>1</v>
      </c>
      <c r="D5138">
        <v>5</v>
      </c>
      <c r="E5138">
        <v>3</v>
      </c>
      <c r="G5138">
        <v>2015</v>
      </c>
      <c r="H5138" t="s">
        <v>63</v>
      </c>
      <c r="I5138" t="s">
        <v>95</v>
      </c>
      <c r="J5138" t="s">
        <v>143</v>
      </c>
      <c r="L5138">
        <v>0</v>
      </c>
      <c r="M5138" t="s">
        <v>125</v>
      </c>
      <c r="O5138" t="s">
        <v>125</v>
      </c>
      <c r="P5138" t="s">
        <v>125</v>
      </c>
      <c r="Q5138" t="s">
        <v>125</v>
      </c>
      <c r="R5138" t="s">
        <v>125</v>
      </c>
      <c r="S5138" t="s">
        <v>125</v>
      </c>
      <c r="T5138">
        <v>0</v>
      </c>
      <c r="V5138" t="s">
        <v>125</v>
      </c>
      <c r="AE5138" t="s">
        <v>125</v>
      </c>
      <c r="AF5138">
        <v>0</v>
      </c>
      <c r="AG5138" t="s">
        <v>125</v>
      </c>
      <c r="AH5138">
        <v>0</v>
      </c>
      <c r="AK5138">
        <v>0</v>
      </c>
    </row>
    <row r="5139" spans="1:37" x14ac:dyDescent="0.25">
      <c r="A5139" t="s">
        <v>79</v>
      </c>
      <c r="B5139">
        <v>20</v>
      </c>
      <c r="C5139">
        <v>1</v>
      </c>
      <c r="D5139">
        <v>5</v>
      </c>
      <c r="E5139">
        <v>4</v>
      </c>
      <c r="G5139">
        <v>2015</v>
      </c>
      <c r="H5139" t="s">
        <v>63</v>
      </c>
      <c r="I5139" t="s">
        <v>102</v>
      </c>
      <c r="J5139" t="s">
        <v>144</v>
      </c>
      <c r="L5139">
        <v>0</v>
      </c>
      <c r="M5139" t="s">
        <v>125</v>
      </c>
      <c r="O5139" t="s">
        <v>125</v>
      </c>
      <c r="P5139" t="s">
        <v>125</v>
      </c>
      <c r="Q5139" t="s">
        <v>125</v>
      </c>
      <c r="R5139" t="s">
        <v>125</v>
      </c>
      <c r="S5139" t="s">
        <v>125</v>
      </c>
      <c r="T5139">
        <v>0</v>
      </c>
      <c r="V5139" t="s">
        <v>125</v>
      </c>
      <c r="AE5139" t="s">
        <v>125</v>
      </c>
      <c r="AF5139">
        <v>0</v>
      </c>
      <c r="AG5139" t="s">
        <v>125</v>
      </c>
      <c r="AH5139">
        <v>0</v>
      </c>
      <c r="AK5139">
        <v>0</v>
      </c>
    </row>
    <row r="5140" spans="1:37" x14ac:dyDescent="0.25">
      <c r="A5140" t="s">
        <v>79</v>
      </c>
      <c r="B5140">
        <v>20</v>
      </c>
      <c r="C5140">
        <v>1</v>
      </c>
      <c r="D5140">
        <v>5</v>
      </c>
      <c r="E5140">
        <v>5</v>
      </c>
      <c r="G5140">
        <v>2015</v>
      </c>
      <c r="H5140" t="s">
        <v>63</v>
      </c>
      <c r="I5140" t="s">
        <v>109</v>
      </c>
      <c r="J5140" t="s">
        <v>145</v>
      </c>
      <c r="L5140">
        <v>0</v>
      </c>
      <c r="M5140" t="s">
        <v>125</v>
      </c>
      <c r="O5140" t="s">
        <v>125</v>
      </c>
      <c r="P5140" t="s">
        <v>125</v>
      </c>
      <c r="Q5140" t="s">
        <v>125</v>
      </c>
      <c r="R5140" t="s">
        <v>125</v>
      </c>
      <c r="S5140" t="s">
        <v>125</v>
      </c>
      <c r="T5140">
        <v>0</v>
      </c>
      <c r="V5140" t="s">
        <v>125</v>
      </c>
      <c r="AE5140" t="s">
        <v>125</v>
      </c>
      <c r="AF5140">
        <v>0</v>
      </c>
      <c r="AG5140" t="s">
        <v>125</v>
      </c>
      <c r="AH5140">
        <v>0</v>
      </c>
      <c r="AK5140">
        <v>0</v>
      </c>
    </row>
    <row r="5141" spans="1:37" x14ac:dyDescent="0.25">
      <c r="A5141" t="s">
        <v>79</v>
      </c>
      <c r="B5141">
        <v>20</v>
      </c>
      <c r="C5141">
        <v>1</v>
      </c>
      <c r="D5141">
        <v>5</v>
      </c>
      <c r="E5141">
        <v>6</v>
      </c>
      <c r="G5141">
        <v>2015</v>
      </c>
      <c r="H5141" t="s">
        <v>63</v>
      </c>
      <c r="I5141" t="s">
        <v>116</v>
      </c>
      <c r="J5141" t="s">
        <v>146</v>
      </c>
      <c r="L5141">
        <v>0</v>
      </c>
      <c r="M5141" t="s">
        <v>125</v>
      </c>
      <c r="O5141" t="s">
        <v>125</v>
      </c>
      <c r="P5141" t="s">
        <v>125</v>
      </c>
      <c r="Q5141" t="s">
        <v>125</v>
      </c>
      <c r="R5141" t="s">
        <v>125</v>
      </c>
      <c r="S5141" t="s">
        <v>125</v>
      </c>
      <c r="T5141">
        <v>0</v>
      </c>
      <c r="V5141" t="s">
        <v>125</v>
      </c>
      <c r="AE5141" t="s">
        <v>125</v>
      </c>
      <c r="AF5141">
        <v>0</v>
      </c>
      <c r="AG5141" t="s">
        <v>125</v>
      </c>
      <c r="AH5141">
        <v>0</v>
      </c>
      <c r="AK5141">
        <v>0</v>
      </c>
    </row>
    <row r="5142" spans="1:37" x14ac:dyDescent="0.25">
      <c r="A5142" t="s">
        <v>79</v>
      </c>
      <c r="B5142">
        <v>20</v>
      </c>
      <c r="C5142">
        <v>1</v>
      </c>
      <c r="D5142">
        <v>5</v>
      </c>
      <c r="E5142">
        <v>7</v>
      </c>
      <c r="G5142">
        <v>2015</v>
      </c>
      <c r="H5142" t="s">
        <v>63</v>
      </c>
      <c r="I5142" t="s">
        <v>123</v>
      </c>
      <c r="J5142" t="s">
        <v>147</v>
      </c>
      <c r="L5142">
        <v>0</v>
      </c>
      <c r="M5142" t="s">
        <v>125</v>
      </c>
      <c r="O5142" t="s">
        <v>125</v>
      </c>
      <c r="P5142" t="s">
        <v>125</v>
      </c>
      <c r="Q5142" t="s">
        <v>125</v>
      </c>
      <c r="R5142" t="s">
        <v>125</v>
      </c>
      <c r="S5142" t="s">
        <v>125</v>
      </c>
      <c r="T5142">
        <v>0</v>
      </c>
      <c r="V5142" t="s">
        <v>125</v>
      </c>
      <c r="AE5142" t="s">
        <v>125</v>
      </c>
      <c r="AF5142">
        <v>0</v>
      </c>
      <c r="AG5142" t="s">
        <v>125</v>
      </c>
      <c r="AH5142">
        <v>0</v>
      </c>
      <c r="AK5142">
        <v>0</v>
      </c>
    </row>
    <row r="5143" spans="1:37" x14ac:dyDescent="0.25">
      <c r="A5143" t="s">
        <v>79</v>
      </c>
      <c r="B5143">
        <v>20</v>
      </c>
      <c r="C5143">
        <v>1</v>
      </c>
      <c r="D5143">
        <v>5</v>
      </c>
      <c r="E5143">
        <v>8</v>
      </c>
      <c r="G5143">
        <v>2015</v>
      </c>
      <c r="H5143" t="s">
        <v>63</v>
      </c>
      <c r="I5143" t="s">
        <v>126</v>
      </c>
      <c r="J5143" t="s">
        <v>148</v>
      </c>
      <c r="L5143">
        <v>0</v>
      </c>
      <c r="M5143" t="s">
        <v>125</v>
      </c>
      <c r="O5143" t="s">
        <v>125</v>
      </c>
      <c r="P5143" t="s">
        <v>125</v>
      </c>
      <c r="Q5143" t="s">
        <v>125</v>
      </c>
      <c r="R5143" t="s">
        <v>125</v>
      </c>
      <c r="S5143" t="s">
        <v>125</v>
      </c>
      <c r="T5143">
        <v>0</v>
      </c>
      <c r="V5143" t="s">
        <v>125</v>
      </c>
      <c r="AE5143" t="s">
        <v>125</v>
      </c>
      <c r="AF5143">
        <v>0</v>
      </c>
      <c r="AG5143" t="s">
        <v>125</v>
      </c>
      <c r="AH5143">
        <v>0</v>
      </c>
      <c r="AK5143">
        <v>0</v>
      </c>
    </row>
    <row r="5144" spans="1:37" x14ac:dyDescent="0.25">
      <c r="A5144" t="s">
        <v>79</v>
      </c>
      <c r="B5144">
        <v>20</v>
      </c>
      <c r="C5144">
        <v>1</v>
      </c>
      <c r="D5144">
        <v>5</v>
      </c>
      <c r="E5144">
        <v>9</v>
      </c>
      <c r="G5144">
        <v>2015</v>
      </c>
      <c r="H5144" t="s">
        <v>63</v>
      </c>
      <c r="I5144" t="s">
        <v>74</v>
      </c>
      <c r="J5144" t="s">
        <v>149</v>
      </c>
      <c r="L5144">
        <v>0</v>
      </c>
      <c r="M5144" t="s">
        <v>125</v>
      </c>
      <c r="O5144" t="s">
        <v>125</v>
      </c>
      <c r="P5144" t="s">
        <v>125</v>
      </c>
      <c r="Q5144" t="s">
        <v>125</v>
      </c>
      <c r="R5144" t="s">
        <v>125</v>
      </c>
      <c r="S5144" t="s">
        <v>125</v>
      </c>
      <c r="T5144">
        <v>0</v>
      </c>
      <c r="V5144" t="s">
        <v>125</v>
      </c>
      <c r="AE5144" t="s">
        <v>125</v>
      </c>
      <c r="AF5144">
        <v>0</v>
      </c>
      <c r="AG5144" t="s">
        <v>125</v>
      </c>
      <c r="AH5144">
        <v>0</v>
      </c>
      <c r="AK5144">
        <v>0</v>
      </c>
    </row>
    <row r="5145" spans="1:37" x14ac:dyDescent="0.25">
      <c r="A5145" t="s">
        <v>79</v>
      </c>
      <c r="B5145">
        <v>20</v>
      </c>
      <c r="C5145">
        <v>1</v>
      </c>
      <c r="D5145">
        <v>5</v>
      </c>
      <c r="E5145">
        <v>10</v>
      </c>
      <c r="G5145">
        <v>2015</v>
      </c>
      <c r="H5145" t="s">
        <v>63</v>
      </c>
      <c r="I5145" t="s">
        <v>129</v>
      </c>
      <c r="J5145" t="s">
        <v>150</v>
      </c>
      <c r="L5145">
        <v>0</v>
      </c>
      <c r="M5145" t="s">
        <v>125</v>
      </c>
      <c r="O5145" t="s">
        <v>125</v>
      </c>
      <c r="P5145" t="s">
        <v>125</v>
      </c>
      <c r="Q5145" t="s">
        <v>125</v>
      </c>
      <c r="R5145" t="s">
        <v>125</v>
      </c>
      <c r="S5145" t="s">
        <v>125</v>
      </c>
      <c r="T5145">
        <v>0</v>
      </c>
      <c r="V5145" t="s">
        <v>125</v>
      </c>
      <c r="AE5145" t="s">
        <v>125</v>
      </c>
      <c r="AF5145">
        <v>0</v>
      </c>
      <c r="AG5145" t="s">
        <v>125</v>
      </c>
      <c r="AH5145">
        <v>0</v>
      </c>
      <c r="AK5145">
        <v>0</v>
      </c>
    </row>
    <row r="5146" spans="1:37" x14ac:dyDescent="0.25">
      <c r="A5146" t="s">
        <v>79</v>
      </c>
      <c r="B5146">
        <v>20</v>
      </c>
      <c r="C5146">
        <v>1</v>
      </c>
      <c r="D5146">
        <v>5</v>
      </c>
      <c r="E5146">
        <v>11</v>
      </c>
      <c r="G5146">
        <v>2015</v>
      </c>
      <c r="H5146" t="s">
        <v>63</v>
      </c>
      <c r="I5146" t="s">
        <v>131</v>
      </c>
      <c r="J5146" t="s">
        <v>151</v>
      </c>
      <c r="L5146">
        <v>0</v>
      </c>
      <c r="M5146" t="s">
        <v>125</v>
      </c>
      <c r="O5146" t="s">
        <v>125</v>
      </c>
      <c r="P5146" t="s">
        <v>125</v>
      </c>
      <c r="Q5146" t="s">
        <v>125</v>
      </c>
      <c r="R5146" t="s">
        <v>125</v>
      </c>
      <c r="S5146" t="s">
        <v>125</v>
      </c>
      <c r="T5146">
        <v>0</v>
      </c>
      <c r="V5146" t="s">
        <v>125</v>
      </c>
      <c r="AE5146" t="s">
        <v>125</v>
      </c>
      <c r="AF5146">
        <v>0</v>
      </c>
      <c r="AG5146" t="s">
        <v>125</v>
      </c>
      <c r="AH5146">
        <v>0</v>
      </c>
      <c r="AK5146">
        <v>0</v>
      </c>
    </row>
    <row r="5147" spans="1:37" x14ac:dyDescent="0.25">
      <c r="A5147" t="s">
        <v>79</v>
      </c>
      <c r="B5147">
        <v>20</v>
      </c>
      <c r="C5147">
        <v>1</v>
      </c>
      <c r="D5147">
        <v>5</v>
      </c>
      <c r="E5147">
        <v>12</v>
      </c>
      <c r="G5147">
        <v>2015</v>
      </c>
      <c r="H5147" t="s">
        <v>63</v>
      </c>
      <c r="I5147" t="s">
        <v>133</v>
      </c>
      <c r="J5147" t="s">
        <v>152</v>
      </c>
      <c r="L5147">
        <v>0</v>
      </c>
      <c r="M5147" t="s">
        <v>125</v>
      </c>
      <c r="O5147" t="s">
        <v>125</v>
      </c>
      <c r="P5147" t="s">
        <v>125</v>
      </c>
      <c r="Q5147" t="s">
        <v>125</v>
      </c>
      <c r="R5147" t="s">
        <v>125</v>
      </c>
      <c r="S5147" t="s">
        <v>125</v>
      </c>
      <c r="T5147">
        <v>0</v>
      </c>
      <c r="V5147" t="s">
        <v>125</v>
      </c>
      <c r="AE5147" t="s">
        <v>125</v>
      </c>
      <c r="AF5147">
        <v>0</v>
      </c>
      <c r="AG5147" t="s">
        <v>125</v>
      </c>
      <c r="AH5147">
        <v>0</v>
      </c>
      <c r="AK5147">
        <v>0</v>
      </c>
    </row>
    <row r="5148" spans="1:37" x14ac:dyDescent="0.25">
      <c r="A5148" t="s">
        <v>79</v>
      </c>
      <c r="B5148">
        <v>20</v>
      </c>
      <c r="C5148">
        <v>1</v>
      </c>
      <c r="D5148">
        <v>5</v>
      </c>
      <c r="E5148">
        <v>13</v>
      </c>
      <c r="G5148">
        <v>2015</v>
      </c>
      <c r="H5148" t="s">
        <v>63</v>
      </c>
      <c r="I5148" t="s">
        <v>135</v>
      </c>
      <c r="J5148" t="s">
        <v>153</v>
      </c>
      <c r="L5148">
        <v>0</v>
      </c>
      <c r="M5148" t="s">
        <v>125</v>
      </c>
      <c r="O5148" t="s">
        <v>125</v>
      </c>
      <c r="P5148" t="s">
        <v>125</v>
      </c>
      <c r="Q5148" t="s">
        <v>125</v>
      </c>
      <c r="R5148" t="s">
        <v>125</v>
      </c>
      <c r="S5148" t="s">
        <v>125</v>
      </c>
      <c r="T5148">
        <v>0</v>
      </c>
      <c r="V5148" t="s">
        <v>125</v>
      </c>
      <c r="AE5148" t="s">
        <v>125</v>
      </c>
      <c r="AF5148">
        <v>0</v>
      </c>
      <c r="AG5148" t="s">
        <v>125</v>
      </c>
      <c r="AH5148">
        <v>0</v>
      </c>
      <c r="AK5148">
        <v>0</v>
      </c>
    </row>
    <row r="5149" spans="1:37" x14ac:dyDescent="0.25">
      <c r="A5149" t="s">
        <v>79</v>
      </c>
      <c r="B5149">
        <v>20</v>
      </c>
      <c r="C5149">
        <v>1</v>
      </c>
      <c r="D5149">
        <v>5</v>
      </c>
      <c r="E5149">
        <v>14</v>
      </c>
      <c r="G5149">
        <v>2015</v>
      </c>
      <c r="H5149" t="s">
        <v>63</v>
      </c>
      <c r="I5149" t="s">
        <v>137</v>
      </c>
      <c r="J5149" t="s">
        <v>154</v>
      </c>
      <c r="L5149">
        <v>0</v>
      </c>
      <c r="M5149" t="s">
        <v>125</v>
      </c>
      <c r="O5149" t="s">
        <v>125</v>
      </c>
      <c r="P5149" t="s">
        <v>125</v>
      </c>
      <c r="Q5149" t="s">
        <v>125</v>
      </c>
      <c r="R5149" t="s">
        <v>125</v>
      </c>
      <c r="S5149" t="s">
        <v>125</v>
      </c>
      <c r="T5149">
        <v>0</v>
      </c>
      <c r="V5149" t="s">
        <v>125</v>
      </c>
      <c r="AE5149" t="s">
        <v>125</v>
      </c>
      <c r="AF5149">
        <v>0</v>
      </c>
      <c r="AG5149" t="s">
        <v>125</v>
      </c>
      <c r="AH5149">
        <v>0</v>
      </c>
      <c r="AK5149">
        <v>0</v>
      </c>
    </row>
    <row r="5150" spans="1:37" x14ac:dyDescent="0.25">
      <c r="A5150" t="s">
        <v>79</v>
      </c>
      <c r="B5150">
        <v>20</v>
      </c>
      <c r="C5150">
        <v>1</v>
      </c>
      <c r="D5150">
        <v>5</v>
      </c>
      <c r="E5150">
        <v>15</v>
      </c>
      <c r="G5150">
        <v>2015</v>
      </c>
      <c r="H5150" t="s">
        <v>63</v>
      </c>
      <c r="I5150" t="s">
        <v>139</v>
      </c>
      <c r="J5150" t="s">
        <v>155</v>
      </c>
      <c r="L5150">
        <v>0</v>
      </c>
      <c r="M5150" t="s">
        <v>125</v>
      </c>
      <c r="O5150" t="s">
        <v>125</v>
      </c>
      <c r="P5150" t="s">
        <v>125</v>
      </c>
      <c r="Q5150" t="s">
        <v>125</v>
      </c>
      <c r="R5150" t="s">
        <v>125</v>
      </c>
      <c r="S5150" t="s">
        <v>125</v>
      </c>
      <c r="T5150">
        <v>0</v>
      </c>
      <c r="V5150" t="s">
        <v>125</v>
      </c>
      <c r="AE5150" t="s">
        <v>125</v>
      </c>
      <c r="AF5150">
        <v>0</v>
      </c>
      <c r="AG5150" t="s">
        <v>125</v>
      </c>
      <c r="AH5150">
        <v>0</v>
      </c>
      <c r="AK5150">
        <v>0</v>
      </c>
    </row>
    <row r="5151" spans="1:37" x14ac:dyDescent="0.25">
      <c r="L5151">
        <v>0</v>
      </c>
    </row>
    <row r="5152" spans="1:37" x14ac:dyDescent="0.25">
      <c r="L5152">
        <v>0</v>
      </c>
    </row>
    <row r="5153" spans="1:37" x14ac:dyDescent="0.25">
      <c r="A5153" t="s">
        <v>66</v>
      </c>
      <c r="B5153">
        <v>20</v>
      </c>
      <c r="C5153">
        <v>2</v>
      </c>
      <c r="G5153">
        <v>20</v>
      </c>
      <c r="H5153" t="s">
        <v>63</v>
      </c>
      <c r="I5153" t="s">
        <v>5992</v>
      </c>
      <c r="L5153">
        <v>0</v>
      </c>
      <c r="M5153" t="s">
        <v>125</v>
      </c>
      <c r="N5153" t="s">
        <v>125</v>
      </c>
      <c r="V5153" t="s">
        <v>63</v>
      </c>
      <c r="Y5153" t="s">
        <v>63</v>
      </c>
      <c r="AA5153" t="s">
        <v>63</v>
      </c>
      <c r="AC5153" t="s">
        <v>63</v>
      </c>
      <c r="AE5153" t="s">
        <v>63</v>
      </c>
      <c r="AF5153">
        <v>0</v>
      </c>
      <c r="AG5153" t="s">
        <v>63</v>
      </c>
      <c r="AH5153">
        <v>0</v>
      </c>
      <c r="AK5153">
        <v>0</v>
      </c>
    </row>
    <row r="5154" spans="1:37" x14ac:dyDescent="0.25">
      <c r="L5154">
        <v>0</v>
      </c>
    </row>
    <row r="5155" spans="1:37" x14ac:dyDescent="0.25">
      <c r="A5155" t="s">
        <v>70</v>
      </c>
      <c r="B5155">
        <v>20</v>
      </c>
      <c r="C5155">
        <v>2</v>
      </c>
      <c r="D5155">
        <v>1</v>
      </c>
      <c r="G5155">
        <v>202</v>
      </c>
      <c r="L5155">
        <v>0</v>
      </c>
      <c r="M5155" t="s">
        <v>125</v>
      </c>
      <c r="P5155" t="s">
        <v>125</v>
      </c>
      <c r="R5155" t="s">
        <v>125</v>
      </c>
      <c r="S5155" t="s">
        <v>63</v>
      </c>
      <c r="V5155" t="s">
        <v>125</v>
      </c>
      <c r="X5155" t="s">
        <v>125</v>
      </c>
      <c r="Y5155" t="s">
        <v>125</v>
      </c>
      <c r="Z5155" t="s">
        <v>125</v>
      </c>
      <c r="AA5155" t="s">
        <v>125</v>
      </c>
      <c r="AB5155" t="s">
        <v>125</v>
      </c>
      <c r="AC5155" t="s">
        <v>125</v>
      </c>
      <c r="AE5155" t="s">
        <v>125</v>
      </c>
      <c r="AF5155">
        <v>0</v>
      </c>
      <c r="AG5155" t="s">
        <v>125</v>
      </c>
      <c r="AH5155">
        <v>0</v>
      </c>
      <c r="AK5155">
        <v>0</v>
      </c>
    </row>
    <row r="5156" spans="1:37" x14ac:dyDescent="0.25">
      <c r="A5156" t="s">
        <v>79</v>
      </c>
      <c r="B5156">
        <v>20</v>
      </c>
      <c r="C5156">
        <v>2</v>
      </c>
      <c r="D5156">
        <v>1</v>
      </c>
      <c r="E5156">
        <v>1</v>
      </c>
      <c r="G5156">
        <v>2021</v>
      </c>
      <c r="H5156" t="s">
        <v>63</v>
      </c>
      <c r="I5156" t="s">
        <v>80</v>
      </c>
      <c r="J5156" t="s">
        <v>141</v>
      </c>
      <c r="L5156">
        <v>0</v>
      </c>
      <c r="M5156" t="s">
        <v>125</v>
      </c>
      <c r="O5156" t="s">
        <v>125</v>
      </c>
      <c r="P5156" t="s">
        <v>125</v>
      </c>
      <c r="Q5156" t="s">
        <v>125</v>
      </c>
      <c r="R5156" t="s">
        <v>125</v>
      </c>
      <c r="S5156" t="s">
        <v>125</v>
      </c>
      <c r="T5156">
        <v>0</v>
      </c>
      <c r="V5156" t="s">
        <v>125</v>
      </c>
      <c r="AE5156" t="s">
        <v>125</v>
      </c>
      <c r="AF5156">
        <v>0</v>
      </c>
      <c r="AG5156" t="s">
        <v>125</v>
      </c>
      <c r="AH5156">
        <v>0</v>
      </c>
      <c r="AK5156">
        <v>0</v>
      </c>
    </row>
    <row r="5157" spans="1:37" x14ac:dyDescent="0.25">
      <c r="A5157" t="s">
        <v>79</v>
      </c>
      <c r="B5157">
        <v>20</v>
      </c>
      <c r="C5157">
        <v>2</v>
      </c>
      <c r="D5157">
        <v>1</v>
      </c>
      <c r="E5157">
        <v>2</v>
      </c>
      <c r="G5157">
        <v>2021</v>
      </c>
      <c r="H5157" t="s">
        <v>63</v>
      </c>
      <c r="I5157" t="s">
        <v>88</v>
      </c>
      <c r="J5157" t="s">
        <v>142</v>
      </c>
      <c r="L5157">
        <v>0</v>
      </c>
      <c r="M5157" t="s">
        <v>125</v>
      </c>
      <c r="O5157" t="s">
        <v>125</v>
      </c>
      <c r="P5157" t="s">
        <v>125</v>
      </c>
      <c r="Q5157" t="s">
        <v>125</v>
      </c>
      <c r="R5157" t="s">
        <v>125</v>
      </c>
      <c r="S5157" t="s">
        <v>125</v>
      </c>
      <c r="T5157">
        <v>0</v>
      </c>
      <c r="V5157" t="s">
        <v>125</v>
      </c>
      <c r="AE5157" t="s">
        <v>125</v>
      </c>
      <c r="AF5157">
        <v>0</v>
      </c>
      <c r="AG5157" t="s">
        <v>125</v>
      </c>
      <c r="AH5157">
        <v>0</v>
      </c>
      <c r="AK5157">
        <v>0</v>
      </c>
    </row>
    <row r="5158" spans="1:37" x14ac:dyDescent="0.25">
      <c r="A5158" t="s">
        <v>79</v>
      </c>
      <c r="B5158">
        <v>20</v>
      </c>
      <c r="C5158">
        <v>2</v>
      </c>
      <c r="D5158">
        <v>1</v>
      </c>
      <c r="E5158">
        <v>3</v>
      </c>
      <c r="G5158">
        <v>2021</v>
      </c>
      <c r="H5158" t="s">
        <v>63</v>
      </c>
      <c r="I5158" t="s">
        <v>95</v>
      </c>
      <c r="J5158" t="s">
        <v>143</v>
      </c>
      <c r="L5158">
        <v>0</v>
      </c>
      <c r="M5158" t="s">
        <v>125</v>
      </c>
      <c r="O5158" t="s">
        <v>125</v>
      </c>
      <c r="P5158" t="s">
        <v>125</v>
      </c>
      <c r="Q5158" t="s">
        <v>125</v>
      </c>
      <c r="R5158" t="s">
        <v>125</v>
      </c>
      <c r="S5158" t="s">
        <v>125</v>
      </c>
      <c r="T5158">
        <v>0</v>
      </c>
      <c r="V5158" t="s">
        <v>125</v>
      </c>
      <c r="AE5158" t="s">
        <v>125</v>
      </c>
      <c r="AF5158">
        <v>0</v>
      </c>
      <c r="AG5158" t="s">
        <v>125</v>
      </c>
      <c r="AH5158">
        <v>0</v>
      </c>
      <c r="AK5158">
        <v>0</v>
      </c>
    </row>
    <row r="5159" spans="1:37" x14ac:dyDescent="0.25">
      <c r="A5159" t="s">
        <v>79</v>
      </c>
      <c r="B5159">
        <v>20</v>
      </c>
      <c r="C5159">
        <v>2</v>
      </c>
      <c r="D5159">
        <v>1</v>
      </c>
      <c r="E5159">
        <v>4</v>
      </c>
      <c r="G5159">
        <v>2021</v>
      </c>
      <c r="H5159" t="s">
        <v>63</v>
      </c>
      <c r="I5159" t="s">
        <v>102</v>
      </c>
      <c r="J5159" t="s">
        <v>144</v>
      </c>
      <c r="L5159">
        <v>0</v>
      </c>
      <c r="M5159" t="s">
        <v>125</v>
      </c>
      <c r="O5159" t="s">
        <v>125</v>
      </c>
      <c r="P5159" t="s">
        <v>125</v>
      </c>
      <c r="Q5159" t="s">
        <v>125</v>
      </c>
      <c r="R5159" t="s">
        <v>125</v>
      </c>
      <c r="S5159" t="s">
        <v>125</v>
      </c>
      <c r="T5159">
        <v>0</v>
      </c>
      <c r="V5159" t="s">
        <v>125</v>
      </c>
      <c r="AE5159" t="s">
        <v>125</v>
      </c>
      <c r="AF5159">
        <v>0</v>
      </c>
      <c r="AG5159" t="s">
        <v>125</v>
      </c>
      <c r="AH5159">
        <v>0</v>
      </c>
      <c r="AK5159">
        <v>0</v>
      </c>
    </row>
    <row r="5160" spans="1:37" x14ac:dyDescent="0.25">
      <c r="A5160" t="s">
        <v>79</v>
      </c>
      <c r="B5160">
        <v>20</v>
      </c>
      <c r="C5160">
        <v>2</v>
      </c>
      <c r="D5160">
        <v>1</v>
      </c>
      <c r="E5160">
        <v>5</v>
      </c>
      <c r="G5160">
        <v>2021</v>
      </c>
      <c r="H5160" t="s">
        <v>63</v>
      </c>
      <c r="I5160" t="s">
        <v>109</v>
      </c>
      <c r="J5160" t="s">
        <v>145</v>
      </c>
      <c r="L5160">
        <v>0</v>
      </c>
      <c r="M5160" t="s">
        <v>125</v>
      </c>
      <c r="O5160" t="s">
        <v>125</v>
      </c>
      <c r="P5160" t="s">
        <v>125</v>
      </c>
      <c r="Q5160" t="s">
        <v>125</v>
      </c>
      <c r="R5160" t="s">
        <v>125</v>
      </c>
      <c r="S5160" t="s">
        <v>125</v>
      </c>
      <c r="T5160">
        <v>0</v>
      </c>
      <c r="V5160" t="s">
        <v>125</v>
      </c>
      <c r="AE5160" t="s">
        <v>125</v>
      </c>
      <c r="AF5160">
        <v>0</v>
      </c>
      <c r="AG5160" t="s">
        <v>125</v>
      </c>
      <c r="AH5160">
        <v>0</v>
      </c>
      <c r="AK5160">
        <v>0</v>
      </c>
    </row>
    <row r="5161" spans="1:37" x14ac:dyDescent="0.25">
      <c r="A5161" t="s">
        <v>79</v>
      </c>
      <c r="B5161">
        <v>20</v>
      </c>
      <c r="C5161">
        <v>2</v>
      </c>
      <c r="D5161">
        <v>1</v>
      </c>
      <c r="E5161">
        <v>6</v>
      </c>
      <c r="G5161">
        <v>2021</v>
      </c>
      <c r="H5161" t="s">
        <v>63</v>
      </c>
      <c r="I5161" t="s">
        <v>116</v>
      </c>
      <c r="J5161" t="s">
        <v>146</v>
      </c>
      <c r="L5161">
        <v>0</v>
      </c>
      <c r="M5161" t="s">
        <v>125</v>
      </c>
      <c r="O5161" t="s">
        <v>125</v>
      </c>
      <c r="P5161" t="s">
        <v>125</v>
      </c>
      <c r="Q5161" t="s">
        <v>125</v>
      </c>
      <c r="R5161" t="s">
        <v>125</v>
      </c>
      <c r="S5161" t="s">
        <v>125</v>
      </c>
      <c r="T5161">
        <v>0</v>
      </c>
      <c r="V5161" t="s">
        <v>125</v>
      </c>
      <c r="AE5161" t="s">
        <v>125</v>
      </c>
      <c r="AF5161">
        <v>0</v>
      </c>
      <c r="AG5161" t="s">
        <v>125</v>
      </c>
      <c r="AH5161">
        <v>0</v>
      </c>
      <c r="AK5161">
        <v>0</v>
      </c>
    </row>
    <row r="5162" spans="1:37" x14ac:dyDescent="0.25">
      <c r="A5162" t="s">
        <v>79</v>
      </c>
      <c r="B5162">
        <v>20</v>
      </c>
      <c r="C5162">
        <v>2</v>
      </c>
      <c r="D5162">
        <v>1</v>
      </c>
      <c r="E5162">
        <v>7</v>
      </c>
      <c r="G5162">
        <v>2021</v>
      </c>
      <c r="H5162" t="s">
        <v>63</v>
      </c>
      <c r="I5162" t="s">
        <v>123</v>
      </c>
      <c r="J5162" t="s">
        <v>147</v>
      </c>
      <c r="L5162">
        <v>0</v>
      </c>
      <c r="M5162" t="s">
        <v>125</v>
      </c>
      <c r="O5162" t="s">
        <v>125</v>
      </c>
      <c r="P5162" t="s">
        <v>125</v>
      </c>
      <c r="Q5162" t="s">
        <v>125</v>
      </c>
      <c r="R5162" t="s">
        <v>125</v>
      </c>
      <c r="S5162" t="s">
        <v>125</v>
      </c>
      <c r="T5162">
        <v>0</v>
      </c>
      <c r="V5162" t="s">
        <v>125</v>
      </c>
      <c r="AE5162" t="s">
        <v>125</v>
      </c>
      <c r="AF5162">
        <v>0</v>
      </c>
      <c r="AG5162" t="s">
        <v>125</v>
      </c>
      <c r="AH5162">
        <v>0</v>
      </c>
      <c r="AK5162">
        <v>0</v>
      </c>
    </row>
    <row r="5163" spans="1:37" x14ac:dyDescent="0.25">
      <c r="A5163" t="s">
        <v>79</v>
      </c>
      <c r="B5163">
        <v>20</v>
      </c>
      <c r="C5163">
        <v>2</v>
      </c>
      <c r="D5163">
        <v>1</v>
      </c>
      <c r="E5163">
        <v>8</v>
      </c>
      <c r="G5163">
        <v>2021</v>
      </c>
      <c r="H5163" t="s">
        <v>63</v>
      </c>
      <c r="I5163" t="s">
        <v>126</v>
      </c>
      <c r="J5163" t="s">
        <v>148</v>
      </c>
      <c r="L5163">
        <v>0</v>
      </c>
      <c r="M5163" t="s">
        <v>125</v>
      </c>
      <c r="O5163" t="s">
        <v>125</v>
      </c>
      <c r="P5163" t="s">
        <v>125</v>
      </c>
      <c r="Q5163" t="s">
        <v>125</v>
      </c>
      <c r="R5163" t="s">
        <v>125</v>
      </c>
      <c r="S5163" t="s">
        <v>125</v>
      </c>
      <c r="T5163">
        <v>0</v>
      </c>
      <c r="V5163" t="s">
        <v>125</v>
      </c>
      <c r="AE5163" t="s">
        <v>125</v>
      </c>
      <c r="AF5163">
        <v>0</v>
      </c>
      <c r="AG5163" t="s">
        <v>125</v>
      </c>
      <c r="AH5163">
        <v>0</v>
      </c>
      <c r="AK5163">
        <v>0</v>
      </c>
    </row>
    <row r="5164" spans="1:37" x14ac:dyDescent="0.25">
      <c r="A5164" t="s">
        <v>79</v>
      </c>
      <c r="B5164">
        <v>20</v>
      </c>
      <c r="C5164">
        <v>2</v>
      </c>
      <c r="D5164">
        <v>1</v>
      </c>
      <c r="E5164">
        <v>9</v>
      </c>
      <c r="G5164">
        <v>2021</v>
      </c>
      <c r="H5164" t="s">
        <v>63</v>
      </c>
      <c r="I5164" t="s">
        <v>74</v>
      </c>
      <c r="J5164" t="s">
        <v>149</v>
      </c>
      <c r="L5164">
        <v>0</v>
      </c>
      <c r="M5164" t="s">
        <v>125</v>
      </c>
      <c r="O5164" t="s">
        <v>125</v>
      </c>
      <c r="P5164" t="s">
        <v>125</v>
      </c>
      <c r="Q5164" t="s">
        <v>125</v>
      </c>
      <c r="R5164" t="s">
        <v>125</v>
      </c>
      <c r="S5164" t="s">
        <v>125</v>
      </c>
      <c r="T5164">
        <v>0</v>
      </c>
      <c r="V5164" t="s">
        <v>125</v>
      </c>
      <c r="AE5164" t="s">
        <v>125</v>
      </c>
      <c r="AF5164">
        <v>0</v>
      </c>
      <c r="AG5164" t="s">
        <v>125</v>
      </c>
      <c r="AH5164">
        <v>0</v>
      </c>
      <c r="AK5164">
        <v>0</v>
      </c>
    </row>
    <row r="5165" spans="1:37" x14ac:dyDescent="0.25">
      <c r="A5165" t="s">
        <v>79</v>
      </c>
      <c r="B5165">
        <v>20</v>
      </c>
      <c r="C5165">
        <v>2</v>
      </c>
      <c r="D5165">
        <v>1</v>
      </c>
      <c r="E5165">
        <v>10</v>
      </c>
      <c r="G5165">
        <v>2021</v>
      </c>
      <c r="H5165" t="s">
        <v>63</v>
      </c>
      <c r="I5165" t="s">
        <v>129</v>
      </c>
      <c r="J5165" t="s">
        <v>150</v>
      </c>
      <c r="L5165">
        <v>0</v>
      </c>
      <c r="M5165" t="s">
        <v>125</v>
      </c>
      <c r="O5165" t="s">
        <v>125</v>
      </c>
      <c r="P5165" t="s">
        <v>125</v>
      </c>
      <c r="Q5165" t="s">
        <v>125</v>
      </c>
      <c r="R5165" t="s">
        <v>125</v>
      </c>
      <c r="S5165" t="s">
        <v>125</v>
      </c>
      <c r="T5165">
        <v>0</v>
      </c>
      <c r="V5165" t="s">
        <v>125</v>
      </c>
      <c r="AE5165" t="s">
        <v>125</v>
      </c>
      <c r="AF5165">
        <v>0</v>
      </c>
      <c r="AG5165" t="s">
        <v>125</v>
      </c>
      <c r="AH5165">
        <v>0</v>
      </c>
      <c r="AK5165">
        <v>0</v>
      </c>
    </row>
    <row r="5166" spans="1:37" x14ac:dyDescent="0.25">
      <c r="A5166" t="s">
        <v>79</v>
      </c>
      <c r="B5166">
        <v>20</v>
      </c>
      <c r="C5166">
        <v>2</v>
      </c>
      <c r="D5166">
        <v>1</v>
      </c>
      <c r="E5166">
        <v>11</v>
      </c>
      <c r="G5166">
        <v>2021</v>
      </c>
      <c r="H5166" t="s">
        <v>63</v>
      </c>
      <c r="I5166" t="s">
        <v>131</v>
      </c>
      <c r="J5166" t="s">
        <v>151</v>
      </c>
      <c r="L5166">
        <v>0</v>
      </c>
      <c r="M5166" t="s">
        <v>125</v>
      </c>
      <c r="O5166" t="s">
        <v>125</v>
      </c>
      <c r="P5166" t="s">
        <v>125</v>
      </c>
      <c r="Q5166" t="s">
        <v>125</v>
      </c>
      <c r="R5166" t="s">
        <v>125</v>
      </c>
      <c r="S5166" t="s">
        <v>125</v>
      </c>
      <c r="T5166">
        <v>0</v>
      </c>
      <c r="V5166" t="s">
        <v>125</v>
      </c>
      <c r="AE5166" t="s">
        <v>125</v>
      </c>
      <c r="AF5166">
        <v>0</v>
      </c>
      <c r="AG5166" t="s">
        <v>125</v>
      </c>
      <c r="AH5166">
        <v>0</v>
      </c>
      <c r="AK5166">
        <v>0</v>
      </c>
    </row>
    <row r="5167" spans="1:37" x14ac:dyDescent="0.25">
      <c r="A5167" t="s">
        <v>79</v>
      </c>
      <c r="B5167">
        <v>20</v>
      </c>
      <c r="C5167">
        <v>2</v>
      </c>
      <c r="D5167">
        <v>1</v>
      </c>
      <c r="E5167">
        <v>12</v>
      </c>
      <c r="G5167">
        <v>2021</v>
      </c>
      <c r="H5167" t="s">
        <v>63</v>
      </c>
      <c r="I5167" t="s">
        <v>133</v>
      </c>
      <c r="J5167" t="s">
        <v>152</v>
      </c>
      <c r="L5167">
        <v>0</v>
      </c>
      <c r="M5167" t="s">
        <v>125</v>
      </c>
      <c r="O5167" t="s">
        <v>125</v>
      </c>
      <c r="P5167" t="s">
        <v>125</v>
      </c>
      <c r="Q5167" t="s">
        <v>125</v>
      </c>
      <c r="R5167" t="s">
        <v>125</v>
      </c>
      <c r="S5167" t="s">
        <v>125</v>
      </c>
      <c r="T5167">
        <v>0</v>
      </c>
      <c r="V5167" t="s">
        <v>125</v>
      </c>
      <c r="AE5167" t="s">
        <v>125</v>
      </c>
      <c r="AF5167">
        <v>0</v>
      </c>
      <c r="AG5167" t="s">
        <v>125</v>
      </c>
      <c r="AH5167">
        <v>0</v>
      </c>
      <c r="AK5167">
        <v>0</v>
      </c>
    </row>
    <row r="5168" spans="1:37" x14ac:dyDescent="0.25">
      <c r="A5168" t="s">
        <v>79</v>
      </c>
      <c r="B5168">
        <v>20</v>
      </c>
      <c r="C5168">
        <v>2</v>
      </c>
      <c r="D5168">
        <v>1</v>
      </c>
      <c r="E5168">
        <v>13</v>
      </c>
      <c r="G5168">
        <v>2021</v>
      </c>
      <c r="H5168" t="s">
        <v>63</v>
      </c>
      <c r="I5168" t="s">
        <v>135</v>
      </c>
      <c r="J5168" t="s">
        <v>153</v>
      </c>
      <c r="L5168">
        <v>0</v>
      </c>
      <c r="M5168" t="s">
        <v>125</v>
      </c>
      <c r="O5168" t="s">
        <v>125</v>
      </c>
      <c r="P5168" t="s">
        <v>125</v>
      </c>
      <c r="Q5168" t="s">
        <v>125</v>
      </c>
      <c r="R5168" t="s">
        <v>125</v>
      </c>
      <c r="S5168" t="s">
        <v>125</v>
      </c>
      <c r="T5168">
        <v>0</v>
      </c>
      <c r="V5168" t="s">
        <v>125</v>
      </c>
      <c r="AE5168" t="s">
        <v>125</v>
      </c>
      <c r="AF5168">
        <v>0</v>
      </c>
      <c r="AG5168" t="s">
        <v>125</v>
      </c>
      <c r="AH5168">
        <v>0</v>
      </c>
      <c r="AK5168">
        <v>0</v>
      </c>
    </row>
    <row r="5169" spans="1:37" x14ac:dyDescent="0.25">
      <c r="A5169" t="s">
        <v>79</v>
      </c>
      <c r="B5169">
        <v>20</v>
      </c>
      <c r="C5169">
        <v>2</v>
      </c>
      <c r="D5169">
        <v>1</v>
      </c>
      <c r="E5169">
        <v>14</v>
      </c>
      <c r="G5169">
        <v>2021</v>
      </c>
      <c r="H5169" t="s">
        <v>63</v>
      </c>
      <c r="I5169" t="s">
        <v>137</v>
      </c>
      <c r="J5169" t="s">
        <v>154</v>
      </c>
      <c r="L5169">
        <v>0</v>
      </c>
      <c r="M5169" t="s">
        <v>125</v>
      </c>
      <c r="O5169" t="s">
        <v>125</v>
      </c>
      <c r="P5169" t="s">
        <v>125</v>
      </c>
      <c r="Q5169" t="s">
        <v>125</v>
      </c>
      <c r="R5169" t="s">
        <v>125</v>
      </c>
      <c r="S5169" t="s">
        <v>125</v>
      </c>
      <c r="T5169">
        <v>0</v>
      </c>
      <c r="V5169" t="s">
        <v>125</v>
      </c>
      <c r="AE5169" t="s">
        <v>125</v>
      </c>
      <c r="AF5169">
        <v>0</v>
      </c>
      <c r="AG5169" t="s">
        <v>125</v>
      </c>
      <c r="AH5169">
        <v>0</v>
      </c>
      <c r="AK5169">
        <v>0</v>
      </c>
    </row>
    <row r="5170" spans="1:37" x14ac:dyDescent="0.25">
      <c r="A5170" t="s">
        <v>79</v>
      </c>
      <c r="B5170">
        <v>20</v>
      </c>
      <c r="C5170">
        <v>2</v>
      </c>
      <c r="D5170">
        <v>1</v>
      </c>
      <c r="E5170">
        <v>15</v>
      </c>
      <c r="G5170">
        <v>2021</v>
      </c>
      <c r="H5170" t="s">
        <v>63</v>
      </c>
      <c r="I5170" t="s">
        <v>139</v>
      </c>
      <c r="J5170" t="s">
        <v>155</v>
      </c>
      <c r="L5170">
        <v>0</v>
      </c>
      <c r="M5170" t="s">
        <v>125</v>
      </c>
      <c r="O5170" t="s">
        <v>125</v>
      </c>
      <c r="P5170" t="s">
        <v>125</v>
      </c>
      <c r="Q5170" t="s">
        <v>125</v>
      </c>
      <c r="R5170" t="s">
        <v>125</v>
      </c>
      <c r="S5170" t="s">
        <v>125</v>
      </c>
      <c r="T5170">
        <v>0</v>
      </c>
      <c r="V5170" t="s">
        <v>125</v>
      </c>
      <c r="AE5170" t="s">
        <v>125</v>
      </c>
      <c r="AF5170">
        <v>0</v>
      </c>
      <c r="AG5170" t="s">
        <v>125</v>
      </c>
      <c r="AH5170">
        <v>0</v>
      </c>
      <c r="AK5170">
        <v>0</v>
      </c>
    </row>
    <row r="5171" spans="1:37" x14ac:dyDescent="0.25">
      <c r="L5171">
        <v>0</v>
      </c>
    </row>
    <row r="5172" spans="1:37" x14ac:dyDescent="0.25">
      <c r="A5172" t="s">
        <v>70</v>
      </c>
      <c r="B5172">
        <v>20</v>
      </c>
      <c r="C5172">
        <v>2</v>
      </c>
      <c r="D5172">
        <v>2</v>
      </c>
      <c r="G5172">
        <v>202</v>
      </c>
      <c r="L5172">
        <v>0</v>
      </c>
      <c r="M5172" t="s">
        <v>125</v>
      </c>
      <c r="P5172" t="s">
        <v>125</v>
      </c>
      <c r="R5172" t="s">
        <v>125</v>
      </c>
      <c r="S5172" t="s">
        <v>63</v>
      </c>
      <c r="V5172" t="s">
        <v>125</v>
      </c>
      <c r="X5172" t="s">
        <v>125</v>
      </c>
      <c r="Y5172" t="s">
        <v>125</v>
      </c>
      <c r="Z5172" t="s">
        <v>125</v>
      </c>
      <c r="AA5172" t="s">
        <v>125</v>
      </c>
      <c r="AB5172" t="s">
        <v>125</v>
      </c>
      <c r="AC5172" t="s">
        <v>125</v>
      </c>
      <c r="AE5172" t="s">
        <v>125</v>
      </c>
      <c r="AF5172">
        <v>0</v>
      </c>
      <c r="AG5172" t="s">
        <v>125</v>
      </c>
      <c r="AH5172">
        <v>0</v>
      </c>
      <c r="AK5172">
        <v>0</v>
      </c>
    </row>
    <row r="5173" spans="1:37" x14ac:dyDescent="0.25">
      <c r="A5173" t="s">
        <v>79</v>
      </c>
      <c r="B5173">
        <v>20</v>
      </c>
      <c r="C5173">
        <v>2</v>
      </c>
      <c r="D5173">
        <v>2</v>
      </c>
      <c r="E5173">
        <v>1</v>
      </c>
      <c r="G5173">
        <v>2022</v>
      </c>
      <c r="H5173" t="s">
        <v>63</v>
      </c>
      <c r="I5173" t="s">
        <v>80</v>
      </c>
      <c r="J5173" t="s">
        <v>141</v>
      </c>
      <c r="L5173">
        <v>0</v>
      </c>
      <c r="M5173" t="s">
        <v>125</v>
      </c>
      <c r="O5173" t="s">
        <v>125</v>
      </c>
      <c r="P5173" t="s">
        <v>125</v>
      </c>
      <c r="Q5173" t="s">
        <v>125</v>
      </c>
      <c r="R5173" t="s">
        <v>125</v>
      </c>
      <c r="S5173" t="s">
        <v>125</v>
      </c>
      <c r="T5173">
        <v>0</v>
      </c>
      <c r="V5173" t="s">
        <v>125</v>
      </c>
      <c r="AE5173" t="s">
        <v>125</v>
      </c>
      <c r="AF5173">
        <v>0</v>
      </c>
      <c r="AG5173" t="s">
        <v>125</v>
      </c>
      <c r="AH5173">
        <v>0</v>
      </c>
      <c r="AK5173">
        <v>0</v>
      </c>
    </row>
    <row r="5174" spans="1:37" x14ac:dyDescent="0.25">
      <c r="A5174" t="s">
        <v>79</v>
      </c>
      <c r="B5174">
        <v>20</v>
      </c>
      <c r="C5174">
        <v>2</v>
      </c>
      <c r="D5174">
        <v>2</v>
      </c>
      <c r="E5174">
        <v>2</v>
      </c>
      <c r="G5174">
        <v>2022</v>
      </c>
      <c r="H5174" t="s">
        <v>63</v>
      </c>
      <c r="I5174" t="s">
        <v>88</v>
      </c>
      <c r="J5174" t="s">
        <v>142</v>
      </c>
      <c r="L5174">
        <v>0</v>
      </c>
      <c r="M5174" t="s">
        <v>125</v>
      </c>
      <c r="O5174" t="s">
        <v>125</v>
      </c>
      <c r="P5174" t="s">
        <v>125</v>
      </c>
      <c r="Q5174" t="s">
        <v>125</v>
      </c>
      <c r="R5174" t="s">
        <v>125</v>
      </c>
      <c r="S5174" t="s">
        <v>125</v>
      </c>
      <c r="T5174">
        <v>0</v>
      </c>
      <c r="V5174" t="s">
        <v>125</v>
      </c>
      <c r="AE5174" t="s">
        <v>125</v>
      </c>
      <c r="AF5174">
        <v>0</v>
      </c>
      <c r="AG5174" t="s">
        <v>125</v>
      </c>
      <c r="AH5174">
        <v>0</v>
      </c>
      <c r="AK5174">
        <v>0</v>
      </c>
    </row>
    <row r="5175" spans="1:37" x14ac:dyDescent="0.25">
      <c r="A5175" t="s">
        <v>79</v>
      </c>
      <c r="B5175">
        <v>20</v>
      </c>
      <c r="C5175">
        <v>2</v>
      </c>
      <c r="D5175">
        <v>2</v>
      </c>
      <c r="E5175">
        <v>3</v>
      </c>
      <c r="G5175">
        <v>2022</v>
      </c>
      <c r="H5175" t="s">
        <v>63</v>
      </c>
      <c r="I5175" t="s">
        <v>95</v>
      </c>
      <c r="J5175" t="s">
        <v>143</v>
      </c>
      <c r="L5175">
        <v>0</v>
      </c>
      <c r="M5175" t="s">
        <v>125</v>
      </c>
      <c r="O5175" t="s">
        <v>125</v>
      </c>
      <c r="P5175" t="s">
        <v>125</v>
      </c>
      <c r="Q5175" t="s">
        <v>125</v>
      </c>
      <c r="R5175" t="s">
        <v>125</v>
      </c>
      <c r="S5175" t="s">
        <v>125</v>
      </c>
      <c r="T5175">
        <v>0</v>
      </c>
      <c r="V5175" t="s">
        <v>125</v>
      </c>
      <c r="AE5175" t="s">
        <v>125</v>
      </c>
      <c r="AF5175">
        <v>0</v>
      </c>
      <c r="AG5175" t="s">
        <v>125</v>
      </c>
      <c r="AH5175">
        <v>0</v>
      </c>
      <c r="AK5175">
        <v>0</v>
      </c>
    </row>
    <row r="5176" spans="1:37" x14ac:dyDescent="0.25">
      <c r="A5176" t="s">
        <v>79</v>
      </c>
      <c r="B5176">
        <v>20</v>
      </c>
      <c r="C5176">
        <v>2</v>
      </c>
      <c r="D5176">
        <v>2</v>
      </c>
      <c r="E5176">
        <v>4</v>
      </c>
      <c r="G5176">
        <v>2022</v>
      </c>
      <c r="H5176" t="s">
        <v>63</v>
      </c>
      <c r="I5176" t="s">
        <v>102</v>
      </c>
      <c r="J5176" t="s">
        <v>144</v>
      </c>
      <c r="L5176">
        <v>0</v>
      </c>
      <c r="M5176" t="s">
        <v>125</v>
      </c>
      <c r="O5176" t="s">
        <v>125</v>
      </c>
      <c r="P5176" t="s">
        <v>125</v>
      </c>
      <c r="Q5176" t="s">
        <v>125</v>
      </c>
      <c r="R5176" t="s">
        <v>125</v>
      </c>
      <c r="S5176" t="s">
        <v>125</v>
      </c>
      <c r="T5176">
        <v>0</v>
      </c>
      <c r="V5176" t="s">
        <v>125</v>
      </c>
      <c r="AE5176" t="s">
        <v>125</v>
      </c>
      <c r="AF5176">
        <v>0</v>
      </c>
      <c r="AG5176" t="s">
        <v>125</v>
      </c>
      <c r="AH5176">
        <v>0</v>
      </c>
      <c r="AK5176">
        <v>0</v>
      </c>
    </row>
    <row r="5177" spans="1:37" x14ac:dyDescent="0.25">
      <c r="A5177" t="s">
        <v>79</v>
      </c>
      <c r="B5177">
        <v>20</v>
      </c>
      <c r="C5177">
        <v>2</v>
      </c>
      <c r="D5177">
        <v>2</v>
      </c>
      <c r="E5177">
        <v>5</v>
      </c>
      <c r="G5177">
        <v>2022</v>
      </c>
      <c r="H5177" t="s">
        <v>63</v>
      </c>
      <c r="I5177" t="s">
        <v>109</v>
      </c>
      <c r="J5177" t="s">
        <v>145</v>
      </c>
      <c r="L5177">
        <v>0</v>
      </c>
      <c r="M5177" t="s">
        <v>125</v>
      </c>
      <c r="O5177" t="s">
        <v>125</v>
      </c>
      <c r="P5177" t="s">
        <v>125</v>
      </c>
      <c r="Q5177" t="s">
        <v>125</v>
      </c>
      <c r="R5177" t="s">
        <v>125</v>
      </c>
      <c r="S5177" t="s">
        <v>125</v>
      </c>
      <c r="T5177">
        <v>0</v>
      </c>
      <c r="V5177" t="s">
        <v>125</v>
      </c>
      <c r="AE5177" t="s">
        <v>125</v>
      </c>
      <c r="AF5177">
        <v>0</v>
      </c>
      <c r="AG5177" t="s">
        <v>125</v>
      </c>
      <c r="AH5177">
        <v>0</v>
      </c>
      <c r="AK5177">
        <v>0</v>
      </c>
    </row>
    <row r="5178" spans="1:37" x14ac:dyDescent="0.25">
      <c r="A5178" t="s">
        <v>79</v>
      </c>
      <c r="B5178">
        <v>20</v>
      </c>
      <c r="C5178">
        <v>2</v>
      </c>
      <c r="D5178">
        <v>2</v>
      </c>
      <c r="E5178">
        <v>6</v>
      </c>
      <c r="G5178">
        <v>2022</v>
      </c>
      <c r="H5178" t="s">
        <v>63</v>
      </c>
      <c r="I5178" t="s">
        <v>116</v>
      </c>
      <c r="J5178" t="s">
        <v>146</v>
      </c>
      <c r="L5178">
        <v>0</v>
      </c>
      <c r="M5178" t="s">
        <v>125</v>
      </c>
      <c r="O5178" t="s">
        <v>125</v>
      </c>
      <c r="P5178" t="s">
        <v>125</v>
      </c>
      <c r="Q5178" t="s">
        <v>125</v>
      </c>
      <c r="R5178" t="s">
        <v>125</v>
      </c>
      <c r="S5178" t="s">
        <v>125</v>
      </c>
      <c r="T5178">
        <v>0</v>
      </c>
      <c r="V5178" t="s">
        <v>125</v>
      </c>
      <c r="AE5178" t="s">
        <v>125</v>
      </c>
      <c r="AF5178">
        <v>0</v>
      </c>
      <c r="AG5178" t="s">
        <v>125</v>
      </c>
      <c r="AH5178">
        <v>0</v>
      </c>
      <c r="AK5178">
        <v>0</v>
      </c>
    </row>
    <row r="5179" spans="1:37" x14ac:dyDescent="0.25">
      <c r="A5179" t="s">
        <v>79</v>
      </c>
      <c r="B5179">
        <v>20</v>
      </c>
      <c r="C5179">
        <v>2</v>
      </c>
      <c r="D5179">
        <v>2</v>
      </c>
      <c r="E5179">
        <v>7</v>
      </c>
      <c r="G5179">
        <v>2022</v>
      </c>
      <c r="H5179" t="s">
        <v>63</v>
      </c>
      <c r="I5179" t="s">
        <v>123</v>
      </c>
      <c r="J5179" t="s">
        <v>147</v>
      </c>
      <c r="L5179">
        <v>0</v>
      </c>
      <c r="M5179" t="s">
        <v>125</v>
      </c>
      <c r="O5179" t="s">
        <v>125</v>
      </c>
      <c r="P5179" t="s">
        <v>125</v>
      </c>
      <c r="Q5179" t="s">
        <v>125</v>
      </c>
      <c r="R5179" t="s">
        <v>125</v>
      </c>
      <c r="S5179" t="s">
        <v>125</v>
      </c>
      <c r="T5179">
        <v>0</v>
      </c>
      <c r="V5179" t="s">
        <v>125</v>
      </c>
      <c r="AE5179" t="s">
        <v>125</v>
      </c>
      <c r="AF5179">
        <v>0</v>
      </c>
      <c r="AG5179" t="s">
        <v>125</v>
      </c>
      <c r="AH5179">
        <v>0</v>
      </c>
      <c r="AK5179">
        <v>0</v>
      </c>
    </row>
    <row r="5180" spans="1:37" x14ac:dyDescent="0.25">
      <c r="A5180" t="s">
        <v>79</v>
      </c>
      <c r="B5180">
        <v>20</v>
      </c>
      <c r="C5180">
        <v>2</v>
      </c>
      <c r="D5180">
        <v>2</v>
      </c>
      <c r="E5180">
        <v>8</v>
      </c>
      <c r="G5180">
        <v>2022</v>
      </c>
      <c r="H5180" t="s">
        <v>63</v>
      </c>
      <c r="I5180" t="s">
        <v>126</v>
      </c>
      <c r="J5180" t="s">
        <v>148</v>
      </c>
      <c r="L5180">
        <v>0</v>
      </c>
      <c r="M5180" t="s">
        <v>125</v>
      </c>
      <c r="O5180" t="s">
        <v>125</v>
      </c>
      <c r="P5180" t="s">
        <v>125</v>
      </c>
      <c r="Q5180" t="s">
        <v>125</v>
      </c>
      <c r="R5180" t="s">
        <v>125</v>
      </c>
      <c r="S5180" t="s">
        <v>125</v>
      </c>
      <c r="T5180">
        <v>0</v>
      </c>
      <c r="V5180" t="s">
        <v>125</v>
      </c>
      <c r="AE5180" t="s">
        <v>125</v>
      </c>
      <c r="AF5180">
        <v>0</v>
      </c>
      <c r="AG5180" t="s">
        <v>125</v>
      </c>
      <c r="AH5180">
        <v>0</v>
      </c>
      <c r="AK5180">
        <v>0</v>
      </c>
    </row>
    <row r="5181" spans="1:37" x14ac:dyDescent="0.25">
      <c r="A5181" t="s">
        <v>79</v>
      </c>
      <c r="B5181">
        <v>20</v>
      </c>
      <c r="C5181">
        <v>2</v>
      </c>
      <c r="D5181">
        <v>2</v>
      </c>
      <c r="E5181">
        <v>9</v>
      </c>
      <c r="G5181">
        <v>2022</v>
      </c>
      <c r="H5181" t="s">
        <v>63</v>
      </c>
      <c r="I5181" t="s">
        <v>74</v>
      </c>
      <c r="J5181" t="s">
        <v>149</v>
      </c>
      <c r="L5181">
        <v>0</v>
      </c>
      <c r="M5181" t="s">
        <v>125</v>
      </c>
      <c r="O5181" t="s">
        <v>125</v>
      </c>
      <c r="P5181" t="s">
        <v>125</v>
      </c>
      <c r="Q5181" t="s">
        <v>125</v>
      </c>
      <c r="R5181" t="s">
        <v>125</v>
      </c>
      <c r="S5181" t="s">
        <v>125</v>
      </c>
      <c r="T5181">
        <v>0</v>
      </c>
      <c r="V5181" t="s">
        <v>125</v>
      </c>
      <c r="AE5181" t="s">
        <v>125</v>
      </c>
      <c r="AF5181">
        <v>0</v>
      </c>
      <c r="AG5181" t="s">
        <v>125</v>
      </c>
      <c r="AH5181">
        <v>0</v>
      </c>
      <c r="AK5181">
        <v>0</v>
      </c>
    </row>
    <row r="5182" spans="1:37" x14ac:dyDescent="0.25">
      <c r="A5182" t="s">
        <v>79</v>
      </c>
      <c r="B5182">
        <v>20</v>
      </c>
      <c r="C5182">
        <v>2</v>
      </c>
      <c r="D5182">
        <v>2</v>
      </c>
      <c r="E5182">
        <v>10</v>
      </c>
      <c r="G5182">
        <v>2022</v>
      </c>
      <c r="H5182" t="s">
        <v>63</v>
      </c>
      <c r="I5182" t="s">
        <v>129</v>
      </c>
      <c r="J5182" t="s">
        <v>150</v>
      </c>
      <c r="L5182">
        <v>0</v>
      </c>
      <c r="M5182" t="s">
        <v>125</v>
      </c>
      <c r="O5182" t="s">
        <v>125</v>
      </c>
      <c r="P5182" t="s">
        <v>125</v>
      </c>
      <c r="Q5182" t="s">
        <v>125</v>
      </c>
      <c r="R5182" t="s">
        <v>125</v>
      </c>
      <c r="S5182" t="s">
        <v>125</v>
      </c>
      <c r="T5182">
        <v>0</v>
      </c>
      <c r="V5182" t="s">
        <v>125</v>
      </c>
      <c r="AE5182" t="s">
        <v>125</v>
      </c>
      <c r="AF5182">
        <v>0</v>
      </c>
      <c r="AG5182" t="s">
        <v>125</v>
      </c>
      <c r="AH5182">
        <v>0</v>
      </c>
      <c r="AK5182">
        <v>0</v>
      </c>
    </row>
    <row r="5183" spans="1:37" x14ac:dyDescent="0.25">
      <c r="A5183" t="s">
        <v>79</v>
      </c>
      <c r="B5183">
        <v>20</v>
      </c>
      <c r="C5183">
        <v>2</v>
      </c>
      <c r="D5183">
        <v>2</v>
      </c>
      <c r="E5183">
        <v>11</v>
      </c>
      <c r="G5183">
        <v>2022</v>
      </c>
      <c r="H5183" t="s">
        <v>63</v>
      </c>
      <c r="I5183" t="s">
        <v>131</v>
      </c>
      <c r="J5183" t="s">
        <v>151</v>
      </c>
      <c r="L5183">
        <v>0</v>
      </c>
      <c r="M5183" t="s">
        <v>125</v>
      </c>
      <c r="O5183" t="s">
        <v>125</v>
      </c>
      <c r="P5183" t="s">
        <v>125</v>
      </c>
      <c r="Q5183" t="s">
        <v>125</v>
      </c>
      <c r="R5183" t="s">
        <v>125</v>
      </c>
      <c r="S5183" t="s">
        <v>125</v>
      </c>
      <c r="T5183">
        <v>0</v>
      </c>
      <c r="V5183" t="s">
        <v>125</v>
      </c>
      <c r="AE5183" t="s">
        <v>125</v>
      </c>
      <c r="AF5183">
        <v>0</v>
      </c>
      <c r="AG5183" t="s">
        <v>125</v>
      </c>
      <c r="AH5183">
        <v>0</v>
      </c>
      <c r="AK5183">
        <v>0</v>
      </c>
    </row>
    <row r="5184" spans="1:37" x14ac:dyDescent="0.25">
      <c r="A5184" t="s">
        <v>79</v>
      </c>
      <c r="B5184">
        <v>20</v>
      </c>
      <c r="C5184">
        <v>2</v>
      </c>
      <c r="D5184">
        <v>2</v>
      </c>
      <c r="E5184">
        <v>12</v>
      </c>
      <c r="G5184">
        <v>2022</v>
      </c>
      <c r="H5184" t="s">
        <v>63</v>
      </c>
      <c r="I5184" t="s">
        <v>133</v>
      </c>
      <c r="J5184" t="s">
        <v>152</v>
      </c>
      <c r="L5184">
        <v>0</v>
      </c>
      <c r="M5184" t="s">
        <v>125</v>
      </c>
      <c r="O5184" t="s">
        <v>125</v>
      </c>
      <c r="P5184" t="s">
        <v>125</v>
      </c>
      <c r="Q5184" t="s">
        <v>125</v>
      </c>
      <c r="R5184" t="s">
        <v>125</v>
      </c>
      <c r="S5184" t="s">
        <v>125</v>
      </c>
      <c r="T5184">
        <v>0</v>
      </c>
      <c r="V5184" t="s">
        <v>125</v>
      </c>
      <c r="AE5184" t="s">
        <v>125</v>
      </c>
      <c r="AF5184">
        <v>0</v>
      </c>
      <c r="AG5184" t="s">
        <v>125</v>
      </c>
      <c r="AH5184">
        <v>0</v>
      </c>
      <c r="AK5184">
        <v>0</v>
      </c>
    </row>
    <row r="5185" spans="1:37" x14ac:dyDescent="0.25">
      <c r="A5185" t="s">
        <v>79</v>
      </c>
      <c r="B5185">
        <v>20</v>
      </c>
      <c r="C5185">
        <v>2</v>
      </c>
      <c r="D5185">
        <v>2</v>
      </c>
      <c r="E5185">
        <v>13</v>
      </c>
      <c r="G5185">
        <v>2022</v>
      </c>
      <c r="H5185" t="s">
        <v>63</v>
      </c>
      <c r="I5185" t="s">
        <v>135</v>
      </c>
      <c r="J5185" t="s">
        <v>153</v>
      </c>
      <c r="L5185">
        <v>0</v>
      </c>
      <c r="M5185" t="s">
        <v>125</v>
      </c>
      <c r="O5185" t="s">
        <v>125</v>
      </c>
      <c r="P5185" t="s">
        <v>125</v>
      </c>
      <c r="Q5185" t="s">
        <v>125</v>
      </c>
      <c r="R5185" t="s">
        <v>125</v>
      </c>
      <c r="S5185" t="s">
        <v>125</v>
      </c>
      <c r="T5185">
        <v>0</v>
      </c>
      <c r="V5185" t="s">
        <v>125</v>
      </c>
      <c r="AE5185" t="s">
        <v>125</v>
      </c>
      <c r="AF5185">
        <v>0</v>
      </c>
      <c r="AG5185" t="s">
        <v>125</v>
      </c>
      <c r="AH5185">
        <v>0</v>
      </c>
      <c r="AK5185">
        <v>0</v>
      </c>
    </row>
    <row r="5186" spans="1:37" x14ac:dyDescent="0.25">
      <c r="A5186" t="s">
        <v>79</v>
      </c>
      <c r="B5186">
        <v>20</v>
      </c>
      <c r="C5186">
        <v>2</v>
      </c>
      <c r="D5186">
        <v>2</v>
      </c>
      <c r="E5186">
        <v>14</v>
      </c>
      <c r="G5186">
        <v>2022</v>
      </c>
      <c r="H5186" t="s">
        <v>63</v>
      </c>
      <c r="I5186" t="s">
        <v>137</v>
      </c>
      <c r="J5186" t="s">
        <v>154</v>
      </c>
      <c r="L5186">
        <v>0</v>
      </c>
      <c r="M5186" t="s">
        <v>125</v>
      </c>
      <c r="O5186" t="s">
        <v>125</v>
      </c>
      <c r="P5186" t="s">
        <v>125</v>
      </c>
      <c r="Q5186" t="s">
        <v>125</v>
      </c>
      <c r="R5186" t="s">
        <v>125</v>
      </c>
      <c r="S5186" t="s">
        <v>125</v>
      </c>
      <c r="T5186">
        <v>0</v>
      </c>
      <c r="V5186" t="s">
        <v>125</v>
      </c>
      <c r="AE5186" t="s">
        <v>125</v>
      </c>
      <c r="AF5186">
        <v>0</v>
      </c>
      <c r="AG5186" t="s">
        <v>125</v>
      </c>
      <c r="AH5186">
        <v>0</v>
      </c>
      <c r="AK5186">
        <v>0</v>
      </c>
    </row>
    <row r="5187" spans="1:37" x14ac:dyDescent="0.25">
      <c r="A5187" t="s">
        <v>79</v>
      </c>
      <c r="B5187">
        <v>20</v>
      </c>
      <c r="C5187">
        <v>2</v>
      </c>
      <c r="D5187">
        <v>2</v>
      </c>
      <c r="E5187">
        <v>15</v>
      </c>
      <c r="G5187">
        <v>2022</v>
      </c>
      <c r="H5187" t="s">
        <v>63</v>
      </c>
      <c r="I5187" t="s">
        <v>139</v>
      </c>
      <c r="J5187" t="s">
        <v>155</v>
      </c>
      <c r="L5187">
        <v>0</v>
      </c>
      <c r="M5187" t="s">
        <v>125</v>
      </c>
      <c r="O5187" t="s">
        <v>125</v>
      </c>
      <c r="P5187" t="s">
        <v>125</v>
      </c>
      <c r="Q5187" t="s">
        <v>125</v>
      </c>
      <c r="R5187" t="s">
        <v>125</v>
      </c>
      <c r="S5187" t="s">
        <v>125</v>
      </c>
      <c r="T5187">
        <v>0</v>
      </c>
      <c r="V5187" t="s">
        <v>125</v>
      </c>
      <c r="AE5187" t="s">
        <v>125</v>
      </c>
      <c r="AF5187">
        <v>0</v>
      </c>
      <c r="AG5187" t="s">
        <v>125</v>
      </c>
      <c r="AH5187">
        <v>0</v>
      </c>
      <c r="AK5187">
        <v>0</v>
      </c>
    </row>
    <row r="5188" spans="1:37" x14ac:dyDescent="0.25">
      <c r="L5188">
        <v>0</v>
      </c>
    </row>
    <row r="5189" spans="1:37" x14ac:dyDescent="0.25">
      <c r="A5189" t="s">
        <v>70</v>
      </c>
      <c r="B5189">
        <v>20</v>
      </c>
      <c r="C5189">
        <v>2</v>
      </c>
      <c r="D5189">
        <v>3</v>
      </c>
      <c r="G5189">
        <v>202</v>
      </c>
      <c r="L5189">
        <v>0</v>
      </c>
      <c r="M5189" t="s">
        <v>125</v>
      </c>
      <c r="P5189" t="s">
        <v>125</v>
      </c>
      <c r="R5189" t="s">
        <v>125</v>
      </c>
      <c r="S5189" t="s">
        <v>63</v>
      </c>
      <c r="V5189" t="s">
        <v>125</v>
      </c>
      <c r="X5189" t="s">
        <v>125</v>
      </c>
      <c r="Y5189" t="s">
        <v>125</v>
      </c>
      <c r="Z5189" t="s">
        <v>125</v>
      </c>
      <c r="AA5189" t="s">
        <v>125</v>
      </c>
      <c r="AB5189" t="s">
        <v>125</v>
      </c>
      <c r="AC5189" t="s">
        <v>125</v>
      </c>
      <c r="AE5189" t="s">
        <v>125</v>
      </c>
      <c r="AF5189">
        <v>0</v>
      </c>
      <c r="AG5189" t="s">
        <v>125</v>
      </c>
      <c r="AH5189">
        <v>0</v>
      </c>
      <c r="AK5189">
        <v>0</v>
      </c>
    </row>
    <row r="5190" spans="1:37" x14ac:dyDescent="0.25">
      <c r="A5190" t="s">
        <v>79</v>
      </c>
      <c r="B5190">
        <v>20</v>
      </c>
      <c r="C5190">
        <v>2</v>
      </c>
      <c r="D5190">
        <v>3</v>
      </c>
      <c r="E5190">
        <v>1</v>
      </c>
      <c r="G5190">
        <v>2023</v>
      </c>
      <c r="H5190" t="s">
        <v>63</v>
      </c>
      <c r="I5190" t="s">
        <v>80</v>
      </c>
      <c r="J5190" t="s">
        <v>141</v>
      </c>
      <c r="L5190">
        <v>0</v>
      </c>
      <c r="M5190" t="s">
        <v>125</v>
      </c>
      <c r="O5190" t="s">
        <v>125</v>
      </c>
      <c r="P5190" t="s">
        <v>125</v>
      </c>
      <c r="Q5190" t="s">
        <v>125</v>
      </c>
      <c r="R5190" t="s">
        <v>125</v>
      </c>
      <c r="S5190" t="s">
        <v>125</v>
      </c>
      <c r="T5190">
        <v>0</v>
      </c>
      <c r="V5190" t="s">
        <v>125</v>
      </c>
      <c r="AE5190" t="s">
        <v>125</v>
      </c>
      <c r="AF5190">
        <v>0</v>
      </c>
      <c r="AG5190" t="s">
        <v>125</v>
      </c>
      <c r="AH5190">
        <v>0</v>
      </c>
      <c r="AK5190">
        <v>0</v>
      </c>
    </row>
    <row r="5191" spans="1:37" x14ac:dyDescent="0.25">
      <c r="A5191" t="s">
        <v>79</v>
      </c>
      <c r="B5191">
        <v>20</v>
      </c>
      <c r="C5191">
        <v>2</v>
      </c>
      <c r="D5191">
        <v>3</v>
      </c>
      <c r="E5191">
        <v>2</v>
      </c>
      <c r="G5191">
        <v>2023</v>
      </c>
      <c r="H5191" t="s">
        <v>63</v>
      </c>
      <c r="I5191" t="s">
        <v>88</v>
      </c>
      <c r="J5191" t="s">
        <v>142</v>
      </c>
      <c r="L5191">
        <v>0</v>
      </c>
      <c r="M5191" t="s">
        <v>125</v>
      </c>
      <c r="O5191" t="s">
        <v>125</v>
      </c>
      <c r="P5191" t="s">
        <v>125</v>
      </c>
      <c r="Q5191" t="s">
        <v>125</v>
      </c>
      <c r="R5191" t="s">
        <v>125</v>
      </c>
      <c r="S5191" t="s">
        <v>125</v>
      </c>
      <c r="T5191">
        <v>0</v>
      </c>
      <c r="V5191" t="s">
        <v>125</v>
      </c>
      <c r="AE5191" t="s">
        <v>125</v>
      </c>
      <c r="AF5191">
        <v>0</v>
      </c>
      <c r="AG5191" t="s">
        <v>125</v>
      </c>
      <c r="AH5191">
        <v>0</v>
      </c>
      <c r="AK5191">
        <v>0</v>
      </c>
    </row>
    <row r="5192" spans="1:37" x14ac:dyDescent="0.25">
      <c r="A5192" t="s">
        <v>79</v>
      </c>
      <c r="B5192">
        <v>20</v>
      </c>
      <c r="C5192">
        <v>2</v>
      </c>
      <c r="D5192">
        <v>3</v>
      </c>
      <c r="E5192">
        <v>3</v>
      </c>
      <c r="G5192">
        <v>2023</v>
      </c>
      <c r="H5192" t="s">
        <v>63</v>
      </c>
      <c r="I5192" t="s">
        <v>95</v>
      </c>
      <c r="J5192" t="s">
        <v>143</v>
      </c>
      <c r="L5192">
        <v>0</v>
      </c>
      <c r="M5192" t="s">
        <v>125</v>
      </c>
      <c r="O5192" t="s">
        <v>125</v>
      </c>
      <c r="P5192" t="s">
        <v>125</v>
      </c>
      <c r="Q5192" t="s">
        <v>125</v>
      </c>
      <c r="R5192" t="s">
        <v>125</v>
      </c>
      <c r="S5192" t="s">
        <v>125</v>
      </c>
      <c r="T5192">
        <v>0</v>
      </c>
      <c r="V5192" t="s">
        <v>125</v>
      </c>
      <c r="AE5192" t="s">
        <v>125</v>
      </c>
      <c r="AF5192">
        <v>0</v>
      </c>
      <c r="AG5192" t="s">
        <v>125</v>
      </c>
      <c r="AH5192">
        <v>0</v>
      </c>
      <c r="AK5192">
        <v>0</v>
      </c>
    </row>
    <row r="5193" spans="1:37" x14ac:dyDescent="0.25">
      <c r="A5193" t="s">
        <v>79</v>
      </c>
      <c r="B5193">
        <v>20</v>
      </c>
      <c r="C5193">
        <v>2</v>
      </c>
      <c r="D5193">
        <v>3</v>
      </c>
      <c r="E5193">
        <v>4</v>
      </c>
      <c r="G5193">
        <v>2023</v>
      </c>
      <c r="H5193" t="s">
        <v>63</v>
      </c>
      <c r="I5193" t="s">
        <v>102</v>
      </c>
      <c r="J5193" t="s">
        <v>144</v>
      </c>
      <c r="L5193">
        <v>0</v>
      </c>
      <c r="M5193" t="s">
        <v>125</v>
      </c>
      <c r="O5193" t="s">
        <v>125</v>
      </c>
      <c r="P5193" t="s">
        <v>125</v>
      </c>
      <c r="Q5193" t="s">
        <v>125</v>
      </c>
      <c r="R5193" t="s">
        <v>125</v>
      </c>
      <c r="S5193" t="s">
        <v>125</v>
      </c>
      <c r="T5193">
        <v>0</v>
      </c>
      <c r="V5193" t="s">
        <v>125</v>
      </c>
      <c r="AE5193" t="s">
        <v>125</v>
      </c>
      <c r="AF5193">
        <v>0</v>
      </c>
      <c r="AG5193" t="s">
        <v>125</v>
      </c>
      <c r="AH5193">
        <v>0</v>
      </c>
      <c r="AK5193">
        <v>0</v>
      </c>
    </row>
    <row r="5194" spans="1:37" x14ac:dyDescent="0.25">
      <c r="A5194" t="s">
        <v>79</v>
      </c>
      <c r="B5194">
        <v>20</v>
      </c>
      <c r="C5194">
        <v>2</v>
      </c>
      <c r="D5194">
        <v>3</v>
      </c>
      <c r="E5194">
        <v>5</v>
      </c>
      <c r="G5194">
        <v>2023</v>
      </c>
      <c r="H5194" t="s">
        <v>63</v>
      </c>
      <c r="I5194" t="s">
        <v>109</v>
      </c>
      <c r="J5194" t="s">
        <v>145</v>
      </c>
      <c r="L5194">
        <v>0</v>
      </c>
      <c r="M5194" t="s">
        <v>125</v>
      </c>
      <c r="O5194" t="s">
        <v>125</v>
      </c>
      <c r="P5194" t="s">
        <v>125</v>
      </c>
      <c r="Q5194" t="s">
        <v>125</v>
      </c>
      <c r="R5194" t="s">
        <v>125</v>
      </c>
      <c r="S5194" t="s">
        <v>125</v>
      </c>
      <c r="T5194">
        <v>0</v>
      </c>
      <c r="V5194" t="s">
        <v>125</v>
      </c>
      <c r="AE5194" t="s">
        <v>125</v>
      </c>
      <c r="AF5194">
        <v>0</v>
      </c>
      <c r="AG5194" t="s">
        <v>125</v>
      </c>
      <c r="AH5194">
        <v>0</v>
      </c>
      <c r="AK5194">
        <v>0</v>
      </c>
    </row>
    <row r="5195" spans="1:37" x14ac:dyDescent="0.25">
      <c r="A5195" t="s">
        <v>79</v>
      </c>
      <c r="B5195">
        <v>20</v>
      </c>
      <c r="C5195">
        <v>2</v>
      </c>
      <c r="D5195">
        <v>3</v>
      </c>
      <c r="E5195">
        <v>6</v>
      </c>
      <c r="G5195">
        <v>2023</v>
      </c>
      <c r="H5195" t="s">
        <v>63</v>
      </c>
      <c r="I5195" t="s">
        <v>116</v>
      </c>
      <c r="J5195" t="s">
        <v>146</v>
      </c>
      <c r="L5195">
        <v>0</v>
      </c>
      <c r="M5195" t="s">
        <v>125</v>
      </c>
      <c r="O5195" t="s">
        <v>125</v>
      </c>
      <c r="P5195" t="s">
        <v>125</v>
      </c>
      <c r="Q5195" t="s">
        <v>125</v>
      </c>
      <c r="R5195" t="s">
        <v>125</v>
      </c>
      <c r="S5195" t="s">
        <v>125</v>
      </c>
      <c r="T5195">
        <v>0</v>
      </c>
      <c r="V5195" t="s">
        <v>125</v>
      </c>
      <c r="AE5195" t="s">
        <v>125</v>
      </c>
      <c r="AF5195">
        <v>0</v>
      </c>
      <c r="AG5195" t="s">
        <v>125</v>
      </c>
      <c r="AH5195">
        <v>0</v>
      </c>
      <c r="AK5195">
        <v>0</v>
      </c>
    </row>
    <row r="5196" spans="1:37" x14ac:dyDescent="0.25">
      <c r="A5196" t="s">
        <v>79</v>
      </c>
      <c r="B5196">
        <v>20</v>
      </c>
      <c r="C5196">
        <v>2</v>
      </c>
      <c r="D5196">
        <v>3</v>
      </c>
      <c r="E5196">
        <v>7</v>
      </c>
      <c r="G5196">
        <v>2023</v>
      </c>
      <c r="H5196" t="s">
        <v>63</v>
      </c>
      <c r="I5196" t="s">
        <v>123</v>
      </c>
      <c r="J5196" t="s">
        <v>147</v>
      </c>
      <c r="L5196">
        <v>0</v>
      </c>
      <c r="M5196" t="s">
        <v>125</v>
      </c>
      <c r="O5196" t="s">
        <v>125</v>
      </c>
      <c r="P5196" t="s">
        <v>125</v>
      </c>
      <c r="Q5196" t="s">
        <v>125</v>
      </c>
      <c r="R5196" t="s">
        <v>125</v>
      </c>
      <c r="S5196" t="s">
        <v>125</v>
      </c>
      <c r="T5196">
        <v>0</v>
      </c>
      <c r="V5196" t="s">
        <v>125</v>
      </c>
      <c r="AE5196" t="s">
        <v>125</v>
      </c>
      <c r="AF5196">
        <v>0</v>
      </c>
      <c r="AG5196" t="s">
        <v>125</v>
      </c>
      <c r="AH5196">
        <v>0</v>
      </c>
      <c r="AK5196">
        <v>0</v>
      </c>
    </row>
    <row r="5197" spans="1:37" x14ac:dyDescent="0.25">
      <c r="A5197" t="s">
        <v>79</v>
      </c>
      <c r="B5197">
        <v>20</v>
      </c>
      <c r="C5197">
        <v>2</v>
      </c>
      <c r="D5197">
        <v>3</v>
      </c>
      <c r="E5197">
        <v>8</v>
      </c>
      <c r="G5197">
        <v>2023</v>
      </c>
      <c r="H5197" t="s">
        <v>63</v>
      </c>
      <c r="I5197" t="s">
        <v>126</v>
      </c>
      <c r="J5197" t="s">
        <v>148</v>
      </c>
      <c r="L5197">
        <v>0</v>
      </c>
      <c r="M5197" t="s">
        <v>125</v>
      </c>
      <c r="O5197" t="s">
        <v>125</v>
      </c>
      <c r="P5197" t="s">
        <v>125</v>
      </c>
      <c r="Q5197" t="s">
        <v>125</v>
      </c>
      <c r="R5197" t="s">
        <v>125</v>
      </c>
      <c r="S5197" t="s">
        <v>125</v>
      </c>
      <c r="T5197">
        <v>0</v>
      </c>
      <c r="V5197" t="s">
        <v>125</v>
      </c>
      <c r="AE5197" t="s">
        <v>125</v>
      </c>
      <c r="AF5197">
        <v>0</v>
      </c>
      <c r="AG5197" t="s">
        <v>125</v>
      </c>
      <c r="AH5197">
        <v>0</v>
      </c>
      <c r="AK5197">
        <v>0</v>
      </c>
    </row>
    <row r="5198" spans="1:37" x14ac:dyDescent="0.25">
      <c r="A5198" t="s">
        <v>79</v>
      </c>
      <c r="B5198">
        <v>20</v>
      </c>
      <c r="C5198">
        <v>2</v>
      </c>
      <c r="D5198">
        <v>3</v>
      </c>
      <c r="E5198">
        <v>9</v>
      </c>
      <c r="G5198">
        <v>2023</v>
      </c>
      <c r="H5198" t="s">
        <v>63</v>
      </c>
      <c r="I5198" t="s">
        <v>74</v>
      </c>
      <c r="J5198" t="s">
        <v>149</v>
      </c>
      <c r="L5198">
        <v>0</v>
      </c>
      <c r="M5198" t="s">
        <v>125</v>
      </c>
      <c r="O5198" t="s">
        <v>125</v>
      </c>
      <c r="P5198" t="s">
        <v>125</v>
      </c>
      <c r="Q5198" t="s">
        <v>125</v>
      </c>
      <c r="R5198" t="s">
        <v>125</v>
      </c>
      <c r="S5198" t="s">
        <v>125</v>
      </c>
      <c r="T5198">
        <v>0</v>
      </c>
      <c r="V5198" t="s">
        <v>125</v>
      </c>
      <c r="AE5198" t="s">
        <v>125</v>
      </c>
      <c r="AF5198">
        <v>0</v>
      </c>
      <c r="AG5198" t="s">
        <v>125</v>
      </c>
      <c r="AH5198">
        <v>0</v>
      </c>
      <c r="AK5198">
        <v>0</v>
      </c>
    </row>
    <row r="5199" spans="1:37" x14ac:dyDescent="0.25">
      <c r="A5199" t="s">
        <v>79</v>
      </c>
      <c r="B5199">
        <v>20</v>
      </c>
      <c r="C5199">
        <v>2</v>
      </c>
      <c r="D5199">
        <v>3</v>
      </c>
      <c r="E5199">
        <v>10</v>
      </c>
      <c r="G5199">
        <v>2023</v>
      </c>
      <c r="H5199" t="s">
        <v>63</v>
      </c>
      <c r="I5199" t="s">
        <v>129</v>
      </c>
      <c r="J5199" t="s">
        <v>150</v>
      </c>
      <c r="L5199">
        <v>0</v>
      </c>
      <c r="M5199" t="s">
        <v>125</v>
      </c>
      <c r="O5199" t="s">
        <v>125</v>
      </c>
      <c r="P5199" t="s">
        <v>125</v>
      </c>
      <c r="Q5199" t="s">
        <v>125</v>
      </c>
      <c r="R5199" t="s">
        <v>125</v>
      </c>
      <c r="S5199" t="s">
        <v>125</v>
      </c>
      <c r="T5199">
        <v>0</v>
      </c>
      <c r="V5199" t="s">
        <v>125</v>
      </c>
      <c r="AE5199" t="s">
        <v>125</v>
      </c>
      <c r="AF5199">
        <v>0</v>
      </c>
      <c r="AG5199" t="s">
        <v>125</v>
      </c>
      <c r="AH5199">
        <v>0</v>
      </c>
      <c r="AK5199">
        <v>0</v>
      </c>
    </row>
    <row r="5200" spans="1:37" x14ac:dyDescent="0.25">
      <c r="A5200" t="s">
        <v>79</v>
      </c>
      <c r="B5200">
        <v>20</v>
      </c>
      <c r="C5200">
        <v>2</v>
      </c>
      <c r="D5200">
        <v>3</v>
      </c>
      <c r="E5200">
        <v>11</v>
      </c>
      <c r="G5200">
        <v>2023</v>
      </c>
      <c r="H5200" t="s">
        <v>63</v>
      </c>
      <c r="I5200" t="s">
        <v>131</v>
      </c>
      <c r="J5200" t="s">
        <v>151</v>
      </c>
      <c r="L5200">
        <v>0</v>
      </c>
      <c r="M5200" t="s">
        <v>125</v>
      </c>
      <c r="O5200" t="s">
        <v>125</v>
      </c>
      <c r="P5200" t="s">
        <v>125</v>
      </c>
      <c r="Q5200" t="s">
        <v>125</v>
      </c>
      <c r="R5200" t="s">
        <v>125</v>
      </c>
      <c r="S5200" t="s">
        <v>125</v>
      </c>
      <c r="T5200">
        <v>0</v>
      </c>
      <c r="V5200" t="s">
        <v>125</v>
      </c>
      <c r="AE5200" t="s">
        <v>125</v>
      </c>
      <c r="AF5200">
        <v>0</v>
      </c>
      <c r="AG5200" t="s">
        <v>125</v>
      </c>
      <c r="AH5200">
        <v>0</v>
      </c>
      <c r="AK5200">
        <v>0</v>
      </c>
    </row>
    <row r="5201" spans="1:37" x14ac:dyDescent="0.25">
      <c r="A5201" t="s">
        <v>79</v>
      </c>
      <c r="B5201">
        <v>20</v>
      </c>
      <c r="C5201">
        <v>2</v>
      </c>
      <c r="D5201">
        <v>3</v>
      </c>
      <c r="E5201">
        <v>12</v>
      </c>
      <c r="G5201">
        <v>2023</v>
      </c>
      <c r="H5201" t="s">
        <v>63</v>
      </c>
      <c r="I5201" t="s">
        <v>133</v>
      </c>
      <c r="J5201" t="s">
        <v>152</v>
      </c>
      <c r="L5201">
        <v>0</v>
      </c>
      <c r="M5201" t="s">
        <v>125</v>
      </c>
      <c r="O5201" t="s">
        <v>125</v>
      </c>
      <c r="P5201" t="s">
        <v>125</v>
      </c>
      <c r="Q5201" t="s">
        <v>125</v>
      </c>
      <c r="R5201" t="s">
        <v>125</v>
      </c>
      <c r="S5201" t="s">
        <v>125</v>
      </c>
      <c r="T5201">
        <v>0</v>
      </c>
      <c r="V5201" t="s">
        <v>125</v>
      </c>
      <c r="AE5201" t="s">
        <v>125</v>
      </c>
      <c r="AF5201">
        <v>0</v>
      </c>
      <c r="AG5201" t="s">
        <v>125</v>
      </c>
      <c r="AH5201">
        <v>0</v>
      </c>
      <c r="AK5201">
        <v>0</v>
      </c>
    </row>
    <row r="5202" spans="1:37" x14ac:dyDescent="0.25">
      <c r="A5202" t="s">
        <v>79</v>
      </c>
      <c r="B5202">
        <v>20</v>
      </c>
      <c r="C5202">
        <v>2</v>
      </c>
      <c r="D5202">
        <v>3</v>
      </c>
      <c r="E5202">
        <v>13</v>
      </c>
      <c r="G5202">
        <v>2023</v>
      </c>
      <c r="H5202" t="s">
        <v>63</v>
      </c>
      <c r="I5202" t="s">
        <v>135</v>
      </c>
      <c r="J5202" t="s">
        <v>153</v>
      </c>
      <c r="L5202">
        <v>0</v>
      </c>
      <c r="M5202" t="s">
        <v>125</v>
      </c>
      <c r="O5202" t="s">
        <v>125</v>
      </c>
      <c r="P5202" t="s">
        <v>125</v>
      </c>
      <c r="Q5202" t="s">
        <v>125</v>
      </c>
      <c r="R5202" t="s">
        <v>125</v>
      </c>
      <c r="S5202" t="s">
        <v>125</v>
      </c>
      <c r="T5202">
        <v>0</v>
      </c>
      <c r="V5202" t="s">
        <v>125</v>
      </c>
      <c r="AE5202" t="s">
        <v>125</v>
      </c>
      <c r="AF5202">
        <v>0</v>
      </c>
      <c r="AG5202" t="s">
        <v>125</v>
      </c>
      <c r="AH5202">
        <v>0</v>
      </c>
      <c r="AK5202">
        <v>0</v>
      </c>
    </row>
    <row r="5203" spans="1:37" x14ac:dyDescent="0.25">
      <c r="A5203" t="s">
        <v>79</v>
      </c>
      <c r="B5203">
        <v>20</v>
      </c>
      <c r="C5203">
        <v>2</v>
      </c>
      <c r="D5203">
        <v>3</v>
      </c>
      <c r="E5203">
        <v>14</v>
      </c>
      <c r="G5203">
        <v>2023</v>
      </c>
      <c r="H5203" t="s">
        <v>63</v>
      </c>
      <c r="I5203" t="s">
        <v>137</v>
      </c>
      <c r="J5203" t="s">
        <v>154</v>
      </c>
      <c r="L5203">
        <v>0</v>
      </c>
      <c r="M5203" t="s">
        <v>125</v>
      </c>
      <c r="O5203" t="s">
        <v>125</v>
      </c>
      <c r="P5203" t="s">
        <v>125</v>
      </c>
      <c r="Q5203" t="s">
        <v>125</v>
      </c>
      <c r="R5203" t="s">
        <v>125</v>
      </c>
      <c r="S5203" t="s">
        <v>125</v>
      </c>
      <c r="T5203">
        <v>0</v>
      </c>
      <c r="V5203" t="s">
        <v>125</v>
      </c>
      <c r="AE5203" t="s">
        <v>125</v>
      </c>
      <c r="AF5203">
        <v>0</v>
      </c>
      <c r="AG5203" t="s">
        <v>125</v>
      </c>
      <c r="AH5203">
        <v>0</v>
      </c>
      <c r="AK5203">
        <v>0</v>
      </c>
    </row>
    <row r="5204" spans="1:37" x14ac:dyDescent="0.25">
      <c r="A5204" t="s">
        <v>79</v>
      </c>
      <c r="B5204">
        <v>20</v>
      </c>
      <c r="C5204">
        <v>2</v>
      </c>
      <c r="D5204">
        <v>3</v>
      </c>
      <c r="E5204">
        <v>15</v>
      </c>
      <c r="G5204">
        <v>2023</v>
      </c>
      <c r="H5204" t="s">
        <v>63</v>
      </c>
      <c r="I5204" t="s">
        <v>139</v>
      </c>
      <c r="J5204" t="s">
        <v>155</v>
      </c>
      <c r="L5204">
        <v>0</v>
      </c>
      <c r="M5204" t="s">
        <v>125</v>
      </c>
      <c r="O5204" t="s">
        <v>125</v>
      </c>
      <c r="P5204" t="s">
        <v>125</v>
      </c>
      <c r="Q5204" t="s">
        <v>125</v>
      </c>
      <c r="R5204" t="s">
        <v>125</v>
      </c>
      <c r="S5204" t="s">
        <v>125</v>
      </c>
      <c r="T5204">
        <v>0</v>
      </c>
      <c r="V5204" t="s">
        <v>125</v>
      </c>
      <c r="AE5204" t="s">
        <v>125</v>
      </c>
      <c r="AF5204">
        <v>0</v>
      </c>
      <c r="AG5204" t="s">
        <v>125</v>
      </c>
      <c r="AH5204">
        <v>0</v>
      </c>
      <c r="AK5204">
        <v>0</v>
      </c>
    </row>
    <row r="5205" spans="1:37" x14ac:dyDescent="0.25">
      <c r="L5205">
        <v>0</v>
      </c>
    </row>
    <row r="5206" spans="1:37" x14ac:dyDescent="0.25">
      <c r="A5206" t="s">
        <v>70</v>
      </c>
      <c r="B5206">
        <v>20</v>
      </c>
      <c r="C5206">
        <v>2</v>
      </c>
      <c r="D5206">
        <v>4</v>
      </c>
      <c r="G5206">
        <v>202</v>
      </c>
      <c r="L5206">
        <v>0</v>
      </c>
      <c r="M5206" t="s">
        <v>125</v>
      </c>
      <c r="P5206" t="s">
        <v>125</v>
      </c>
      <c r="R5206" t="s">
        <v>125</v>
      </c>
      <c r="S5206" t="s">
        <v>63</v>
      </c>
      <c r="V5206" t="s">
        <v>125</v>
      </c>
      <c r="X5206" t="s">
        <v>125</v>
      </c>
      <c r="Y5206" t="s">
        <v>125</v>
      </c>
      <c r="Z5206" t="s">
        <v>125</v>
      </c>
      <c r="AA5206" t="s">
        <v>125</v>
      </c>
      <c r="AB5206" t="s">
        <v>125</v>
      </c>
      <c r="AC5206" t="s">
        <v>125</v>
      </c>
      <c r="AE5206" t="s">
        <v>125</v>
      </c>
      <c r="AF5206">
        <v>0</v>
      </c>
      <c r="AG5206" t="s">
        <v>125</v>
      </c>
      <c r="AH5206">
        <v>0</v>
      </c>
      <c r="AK5206">
        <v>0</v>
      </c>
    </row>
    <row r="5207" spans="1:37" x14ac:dyDescent="0.25">
      <c r="A5207" t="s">
        <v>79</v>
      </c>
      <c r="B5207">
        <v>20</v>
      </c>
      <c r="C5207">
        <v>2</v>
      </c>
      <c r="D5207">
        <v>4</v>
      </c>
      <c r="E5207">
        <v>1</v>
      </c>
      <c r="G5207">
        <v>2024</v>
      </c>
      <c r="H5207" t="s">
        <v>63</v>
      </c>
      <c r="I5207" t="s">
        <v>80</v>
      </c>
      <c r="J5207" t="s">
        <v>141</v>
      </c>
      <c r="L5207">
        <v>0</v>
      </c>
      <c r="M5207" t="s">
        <v>125</v>
      </c>
      <c r="O5207" t="s">
        <v>125</v>
      </c>
      <c r="P5207" t="s">
        <v>125</v>
      </c>
      <c r="Q5207" t="s">
        <v>125</v>
      </c>
      <c r="R5207" t="s">
        <v>125</v>
      </c>
      <c r="S5207" t="s">
        <v>125</v>
      </c>
      <c r="T5207">
        <v>0</v>
      </c>
      <c r="V5207" t="s">
        <v>125</v>
      </c>
      <c r="AE5207" t="s">
        <v>125</v>
      </c>
      <c r="AF5207">
        <v>0</v>
      </c>
      <c r="AG5207" t="s">
        <v>125</v>
      </c>
      <c r="AH5207">
        <v>0</v>
      </c>
      <c r="AK5207">
        <v>0</v>
      </c>
    </row>
    <row r="5208" spans="1:37" x14ac:dyDescent="0.25">
      <c r="A5208" t="s">
        <v>79</v>
      </c>
      <c r="B5208">
        <v>20</v>
      </c>
      <c r="C5208">
        <v>2</v>
      </c>
      <c r="D5208">
        <v>4</v>
      </c>
      <c r="E5208">
        <v>2</v>
      </c>
      <c r="G5208">
        <v>2024</v>
      </c>
      <c r="H5208" t="s">
        <v>63</v>
      </c>
      <c r="I5208" t="s">
        <v>88</v>
      </c>
      <c r="J5208" t="s">
        <v>142</v>
      </c>
      <c r="L5208">
        <v>0</v>
      </c>
      <c r="M5208" t="s">
        <v>125</v>
      </c>
      <c r="O5208" t="s">
        <v>125</v>
      </c>
      <c r="P5208" t="s">
        <v>125</v>
      </c>
      <c r="Q5208" t="s">
        <v>125</v>
      </c>
      <c r="R5208" t="s">
        <v>125</v>
      </c>
      <c r="S5208" t="s">
        <v>125</v>
      </c>
      <c r="T5208">
        <v>0</v>
      </c>
      <c r="V5208" t="s">
        <v>125</v>
      </c>
      <c r="AE5208" t="s">
        <v>125</v>
      </c>
      <c r="AF5208">
        <v>0</v>
      </c>
      <c r="AG5208" t="s">
        <v>125</v>
      </c>
      <c r="AH5208">
        <v>0</v>
      </c>
      <c r="AK5208">
        <v>0</v>
      </c>
    </row>
    <row r="5209" spans="1:37" x14ac:dyDescent="0.25">
      <c r="A5209" t="s">
        <v>79</v>
      </c>
      <c r="B5209">
        <v>20</v>
      </c>
      <c r="C5209">
        <v>2</v>
      </c>
      <c r="D5209">
        <v>4</v>
      </c>
      <c r="E5209">
        <v>3</v>
      </c>
      <c r="G5209">
        <v>2024</v>
      </c>
      <c r="H5209" t="s">
        <v>63</v>
      </c>
      <c r="I5209" t="s">
        <v>95</v>
      </c>
      <c r="J5209" t="s">
        <v>143</v>
      </c>
      <c r="L5209">
        <v>0</v>
      </c>
      <c r="M5209" t="s">
        <v>125</v>
      </c>
      <c r="O5209" t="s">
        <v>125</v>
      </c>
      <c r="P5209" t="s">
        <v>125</v>
      </c>
      <c r="Q5209" t="s">
        <v>125</v>
      </c>
      <c r="R5209" t="s">
        <v>125</v>
      </c>
      <c r="S5209" t="s">
        <v>125</v>
      </c>
      <c r="T5209">
        <v>0</v>
      </c>
      <c r="V5209" t="s">
        <v>125</v>
      </c>
      <c r="AE5209" t="s">
        <v>125</v>
      </c>
      <c r="AF5209">
        <v>0</v>
      </c>
      <c r="AG5209" t="s">
        <v>125</v>
      </c>
      <c r="AH5209">
        <v>0</v>
      </c>
      <c r="AK5209">
        <v>0</v>
      </c>
    </row>
    <row r="5210" spans="1:37" x14ac:dyDescent="0.25">
      <c r="A5210" t="s">
        <v>79</v>
      </c>
      <c r="B5210">
        <v>20</v>
      </c>
      <c r="C5210">
        <v>2</v>
      </c>
      <c r="D5210">
        <v>4</v>
      </c>
      <c r="E5210">
        <v>4</v>
      </c>
      <c r="G5210">
        <v>2024</v>
      </c>
      <c r="H5210" t="s">
        <v>63</v>
      </c>
      <c r="I5210" t="s">
        <v>102</v>
      </c>
      <c r="J5210" t="s">
        <v>144</v>
      </c>
      <c r="L5210">
        <v>0</v>
      </c>
      <c r="M5210" t="s">
        <v>125</v>
      </c>
      <c r="O5210" t="s">
        <v>125</v>
      </c>
      <c r="P5210" t="s">
        <v>125</v>
      </c>
      <c r="Q5210" t="s">
        <v>125</v>
      </c>
      <c r="R5210" t="s">
        <v>125</v>
      </c>
      <c r="S5210" t="s">
        <v>125</v>
      </c>
      <c r="T5210">
        <v>0</v>
      </c>
      <c r="V5210" t="s">
        <v>125</v>
      </c>
      <c r="AE5210" t="s">
        <v>125</v>
      </c>
      <c r="AF5210">
        <v>0</v>
      </c>
      <c r="AG5210" t="s">
        <v>125</v>
      </c>
      <c r="AH5210">
        <v>0</v>
      </c>
      <c r="AK5210">
        <v>0</v>
      </c>
    </row>
    <row r="5211" spans="1:37" x14ac:dyDescent="0.25">
      <c r="A5211" t="s">
        <v>79</v>
      </c>
      <c r="B5211">
        <v>20</v>
      </c>
      <c r="C5211">
        <v>2</v>
      </c>
      <c r="D5211">
        <v>4</v>
      </c>
      <c r="E5211">
        <v>5</v>
      </c>
      <c r="G5211">
        <v>2024</v>
      </c>
      <c r="H5211" t="s">
        <v>63</v>
      </c>
      <c r="I5211" t="s">
        <v>109</v>
      </c>
      <c r="J5211" t="s">
        <v>145</v>
      </c>
      <c r="L5211">
        <v>0</v>
      </c>
      <c r="M5211" t="s">
        <v>125</v>
      </c>
      <c r="O5211" t="s">
        <v>125</v>
      </c>
      <c r="P5211" t="s">
        <v>125</v>
      </c>
      <c r="Q5211" t="s">
        <v>125</v>
      </c>
      <c r="R5211" t="s">
        <v>125</v>
      </c>
      <c r="S5211" t="s">
        <v>125</v>
      </c>
      <c r="T5211">
        <v>0</v>
      </c>
      <c r="V5211" t="s">
        <v>125</v>
      </c>
      <c r="AE5211" t="s">
        <v>125</v>
      </c>
      <c r="AF5211">
        <v>0</v>
      </c>
      <c r="AG5211" t="s">
        <v>125</v>
      </c>
      <c r="AH5211">
        <v>0</v>
      </c>
      <c r="AK5211">
        <v>0</v>
      </c>
    </row>
    <row r="5212" spans="1:37" x14ac:dyDescent="0.25">
      <c r="A5212" t="s">
        <v>79</v>
      </c>
      <c r="B5212">
        <v>20</v>
      </c>
      <c r="C5212">
        <v>2</v>
      </c>
      <c r="D5212">
        <v>4</v>
      </c>
      <c r="E5212">
        <v>6</v>
      </c>
      <c r="G5212">
        <v>2024</v>
      </c>
      <c r="H5212" t="s">
        <v>63</v>
      </c>
      <c r="I5212" t="s">
        <v>116</v>
      </c>
      <c r="J5212" t="s">
        <v>146</v>
      </c>
      <c r="L5212">
        <v>0</v>
      </c>
      <c r="M5212" t="s">
        <v>125</v>
      </c>
      <c r="O5212" t="s">
        <v>125</v>
      </c>
      <c r="P5212" t="s">
        <v>125</v>
      </c>
      <c r="Q5212" t="s">
        <v>125</v>
      </c>
      <c r="R5212" t="s">
        <v>125</v>
      </c>
      <c r="S5212" t="s">
        <v>125</v>
      </c>
      <c r="T5212">
        <v>0</v>
      </c>
      <c r="V5212" t="s">
        <v>125</v>
      </c>
      <c r="AE5212" t="s">
        <v>125</v>
      </c>
      <c r="AF5212">
        <v>0</v>
      </c>
      <c r="AG5212" t="s">
        <v>125</v>
      </c>
      <c r="AH5212">
        <v>0</v>
      </c>
      <c r="AK5212">
        <v>0</v>
      </c>
    </row>
    <row r="5213" spans="1:37" x14ac:dyDescent="0.25">
      <c r="A5213" t="s">
        <v>79</v>
      </c>
      <c r="B5213">
        <v>20</v>
      </c>
      <c r="C5213">
        <v>2</v>
      </c>
      <c r="D5213">
        <v>4</v>
      </c>
      <c r="E5213">
        <v>7</v>
      </c>
      <c r="G5213">
        <v>2024</v>
      </c>
      <c r="H5213" t="s">
        <v>63</v>
      </c>
      <c r="I5213" t="s">
        <v>123</v>
      </c>
      <c r="J5213" t="s">
        <v>147</v>
      </c>
      <c r="L5213">
        <v>0</v>
      </c>
      <c r="M5213" t="s">
        <v>125</v>
      </c>
      <c r="O5213" t="s">
        <v>125</v>
      </c>
      <c r="P5213" t="s">
        <v>125</v>
      </c>
      <c r="Q5213" t="s">
        <v>125</v>
      </c>
      <c r="R5213" t="s">
        <v>125</v>
      </c>
      <c r="S5213" t="s">
        <v>125</v>
      </c>
      <c r="T5213">
        <v>0</v>
      </c>
      <c r="V5213" t="s">
        <v>125</v>
      </c>
      <c r="AE5213" t="s">
        <v>125</v>
      </c>
      <c r="AF5213">
        <v>0</v>
      </c>
      <c r="AG5213" t="s">
        <v>125</v>
      </c>
      <c r="AH5213">
        <v>0</v>
      </c>
      <c r="AK5213">
        <v>0</v>
      </c>
    </row>
    <row r="5214" spans="1:37" x14ac:dyDescent="0.25">
      <c r="A5214" t="s">
        <v>79</v>
      </c>
      <c r="B5214">
        <v>20</v>
      </c>
      <c r="C5214">
        <v>2</v>
      </c>
      <c r="D5214">
        <v>4</v>
      </c>
      <c r="E5214">
        <v>8</v>
      </c>
      <c r="G5214">
        <v>2024</v>
      </c>
      <c r="H5214" t="s">
        <v>63</v>
      </c>
      <c r="I5214" t="s">
        <v>126</v>
      </c>
      <c r="J5214" t="s">
        <v>148</v>
      </c>
      <c r="L5214">
        <v>0</v>
      </c>
      <c r="M5214" t="s">
        <v>125</v>
      </c>
      <c r="O5214" t="s">
        <v>125</v>
      </c>
      <c r="P5214" t="s">
        <v>125</v>
      </c>
      <c r="Q5214" t="s">
        <v>125</v>
      </c>
      <c r="R5214" t="s">
        <v>125</v>
      </c>
      <c r="S5214" t="s">
        <v>125</v>
      </c>
      <c r="T5214">
        <v>0</v>
      </c>
      <c r="V5214" t="s">
        <v>125</v>
      </c>
      <c r="AE5214" t="s">
        <v>125</v>
      </c>
      <c r="AF5214">
        <v>0</v>
      </c>
      <c r="AG5214" t="s">
        <v>125</v>
      </c>
      <c r="AH5214">
        <v>0</v>
      </c>
      <c r="AK5214">
        <v>0</v>
      </c>
    </row>
    <row r="5215" spans="1:37" x14ac:dyDescent="0.25">
      <c r="A5215" t="s">
        <v>79</v>
      </c>
      <c r="B5215">
        <v>20</v>
      </c>
      <c r="C5215">
        <v>2</v>
      </c>
      <c r="D5215">
        <v>4</v>
      </c>
      <c r="E5215">
        <v>9</v>
      </c>
      <c r="G5215">
        <v>2024</v>
      </c>
      <c r="H5215" t="s">
        <v>63</v>
      </c>
      <c r="I5215" t="s">
        <v>74</v>
      </c>
      <c r="J5215" t="s">
        <v>149</v>
      </c>
      <c r="L5215">
        <v>0</v>
      </c>
      <c r="M5215" t="s">
        <v>125</v>
      </c>
      <c r="O5215" t="s">
        <v>125</v>
      </c>
      <c r="P5215" t="s">
        <v>125</v>
      </c>
      <c r="Q5215" t="s">
        <v>125</v>
      </c>
      <c r="R5215" t="s">
        <v>125</v>
      </c>
      <c r="S5215" t="s">
        <v>125</v>
      </c>
      <c r="T5215">
        <v>0</v>
      </c>
      <c r="V5215" t="s">
        <v>125</v>
      </c>
      <c r="AE5215" t="s">
        <v>125</v>
      </c>
      <c r="AF5215">
        <v>0</v>
      </c>
      <c r="AG5215" t="s">
        <v>125</v>
      </c>
      <c r="AH5215">
        <v>0</v>
      </c>
      <c r="AK5215">
        <v>0</v>
      </c>
    </row>
    <row r="5216" spans="1:37" x14ac:dyDescent="0.25">
      <c r="A5216" t="s">
        <v>79</v>
      </c>
      <c r="B5216">
        <v>20</v>
      </c>
      <c r="C5216">
        <v>2</v>
      </c>
      <c r="D5216">
        <v>4</v>
      </c>
      <c r="E5216">
        <v>10</v>
      </c>
      <c r="G5216">
        <v>2024</v>
      </c>
      <c r="H5216" t="s">
        <v>63</v>
      </c>
      <c r="I5216" t="s">
        <v>129</v>
      </c>
      <c r="J5216" t="s">
        <v>150</v>
      </c>
      <c r="L5216">
        <v>0</v>
      </c>
      <c r="M5216" t="s">
        <v>125</v>
      </c>
      <c r="O5216" t="s">
        <v>125</v>
      </c>
      <c r="P5216" t="s">
        <v>125</v>
      </c>
      <c r="Q5216" t="s">
        <v>125</v>
      </c>
      <c r="R5216" t="s">
        <v>125</v>
      </c>
      <c r="S5216" t="s">
        <v>125</v>
      </c>
      <c r="T5216">
        <v>0</v>
      </c>
      <c r="V5216" t="s">
        <v>125</v>
      </c>
      <c r="AE5216" t="s">
        <v>125</v>
      </c>
      <c r="AF5216">
        <v>0</v>
      </c>
      <c r="AG5216" t="s">
        <v>125</v>
      </c>
      <c r="AH5216">
        <v>0</v>
      </c>
      <c r="AK5216">
        <v>0</v>
      </c>
    </row>
    <row r="5217" spans="1:37" x14ac:dyDescent="0.25">
      <c r="A5217" t="s">
        <v>79</v>
      </c>
      <c r="B5217">
        <v>20</v>
      </c>
      <c r="C5217">
        <v>2</v>
      </c>
      <c r="D5217">
        <v>4</v>
      </c>
      <c r="E5217">
        <v>11</v>
      </c>
      <c r="G5217">
        <v>2024</v>
      </c>
      <c r="H5217" t="s">
        <v>63</v>
      </c>
      <c r="I5217" t="s">
        <v>131</v>
      </c>
      <c r="J5217" t="s">
        <v>151</v>
      </c>
      <c r="L5217">
        <v>0</v>
      </c>
      <c r="M5217" t="s">
        <v>125</v>
      </c>
      <c r="O5217" t="s">
        <v>125</v>
      </c>
      <c r="P5217" t="s">
        <v>125</v>
      </c>
      <c r="Q5217" t="s">
        <v>125</v>
      </c>
      <c r="R5217" t="s">
        <v>125</v>
      </c>
      <c r="S5217" t="s">
        <v>125</v>
      </c>
      <c r="T5217">
        <v>0</v>
      </c>
      <c r="V5217" t="s">
        <v>125</v>
      </c>
      <c r="AE5217" t="s">
        <v>125</v>
      </c>
      <c r="AF5217">
        <v>0</v>
      </c>
      <c r="AG5217" t="s">
        <v>125</v>
      </c>
      <c r="AH5217">
        <v>0</v>
      </c>
      <c r="AK5217">
        <v>0</v>
      </c>
    </row>
    <row r="5218" spans="1:37" x14ac:dyDescent="0.25">
      <c r="A5218" t="s">
        <v>79</v>
      </c>
      <c r="B5218">
        <v>20</v>
      </c>
      <c r="C5218">
        <v>2</v>
      </c>
      <c r="D5218">
        <v>4</v>
      </c>
      <c r="E5218">
        <v>12</v>
      </c>
      <c r="G5218">
        <v>2024</v>
      </c>
      <c r="H5218" t="s">
        <v>63</v>
      </c>
      <c r="I5218" t="s">
        <v>133</v>
      </c>
      <c r="J5218" t="s">
        <v>152</v>
      </c>
      <c r="L5218">
        <v>0</v>
      </c>
      <c r="M5218" t="s">
        <v>125</v>
      </c>
      <c r="O5218" t="s">
        <v>125</v>
      </c>
      <c r="P5218" t="s">
        <v>125</v>
      </c>
      <c r="Q5218" t="s">
        <v>125</v>
      </c>
      <c r="R5218" t="s">
        <v>125</v>
      </c>
      <c r="S5218" t="s">
        <v>125</v>
      </c>
      <c r="T5218">
        <v>0</v>
      </c>
      <c r="V5218" t="s">
        <v>125</v>
      </c>
      <c r="AE5218" t="s">
        <v>125</v>
      </c>
      <c r="AF5218">
        <v>0</v>
      </c>
      <c r="AG5218" t="s">
        <v>125</v>
      </c>
      <c r="AH5218">
        <v>0</v>
      </c>
      <c r="AK5218">
        <v>0</v>
      </c>
    </row>
    <row r="5219" spans="1:37" x14ac:dyDescent="0.25">
      <c r="A5219" t="s">
        <v>79</v>
      </c>
      <c r="B5219">
        <v>20</v>
      </c>
      <c r="C5219">
        <v>2</v>
      </c>
      <c r="D5219">
        <v>4</v>
      </c>
      <c r="E5219">
        <v>13</v>
      </c>
      <c r="G5219">
        <v>2024</v>
      </c>
      <c r="H5219" t="s">
        <v>63</v>
      </c>
      <c r="I5219" t="s">
        <v>135</v>
      </c>
      <c r="J5219" t="s">
        <v>153</v>
      </c>
      <c r="L5219">
        <v>0</v>
      </c>
      <c r="M5219" t="s">
        <v>125</v>
      </c>
      <c r="O5219" t="s">
        <v>125</v>
      </c>
      <c r="P5219" t="s">
        <v>125</v>
      </c>
      <c r="Q5219" t="s">
        <v>125</v>
      </c>
      <c r="R5219" t="s">
        <v>125</v>
      </c>
      <c r="S5219" t="s">
        <v>125</v>
      </c>
      <c r="T5219">
        <v>0</v>
      </c>
      <c r="V5219" t="s">
        <v>125</v>
      </c>
      <c r="AE5219" t="s">
        <v>125</v>
      </c>
      <c r="AF5219">
        <v>0</v>
      </c>
      <c r="AG5219" t="s">
        <v>125</v>
      </c>
      <c r="AH5219">
        <v>0</v>
      </c>
      <c r="AK5219">
        <v>0</v>
      </c>
    </row>
    <row r="5220" spans="1:37" x14ac:dyDescent="0.25">
      <c r="A5220" t="s">
        <v>79</v>
      </c>
      <c r="B5220">
        <v>20</v>
      </c>
      <c r="C5220">
        <v>2</v>
      </c>
      <c r="D5220">
        <v>4</v>
      </c>
      <c r="E5220">
        <v>14</v>
      </c>
      <c r="G5220">
        <v>2024</v>
      </c>
      <c r="H5220" t="s">
        <v>63</v>
      </c>
      <c r="I5220" t="s">
        <v>137</v>
      </c>
      <c r="J5220" t="s">
        <v>154</v>
      </c>
      <c r="L5220">
        <v>0</v>
      </c>
      <c r="M5220" t="s">
        <v>125</v>
      </c>
      <c r="O5220" t="s">
        <v>125</v>
      </c>
      <c r="P5220" t="s">
        <v>125</v>
      </c>
      <c r="Q5220" t="s">
        <v>125</v>
      </c>
      <c r="R5220" t="s">
        <v>125</v>
      </c>
      <c r="S5220" t="s">
        <v>125</v>
      </c>
      <c r="T5220">
        <v>0</v>
      </c>
      <c r="V5220" t="s">
        <v>125</v>
      </c>
      <c r="AE5220" t="s">
        <v>125</v>
      </c>
      <c r="AF5220">
        <v>0</v>
      </c>
      <c r="AG5220" t="s">
        <v>125</v>
      </c>
      <c r="AH5220">
        <v>0</v>
      </c>
      <c r="AK5220">
        <v>0</v>
      </c>
    </row>
    <row r="5221" spans="1:37" x14ac:dyDescent="0.25">
      <c r="A5221" t="s">
        <v>79</v>
      </c>
      <c r="B5221">
        <v>20</v>
      </c>
      <c r="C5221">
        <v>2</v>
      </c>
      <c r="D5221">
        <v>4</v>
      </c>
      <c r="E5221">
        <v>15</v>
      </c>
      <c r="G5221">
        <v>2024</v>
      </c>
      <c r="H5221" t="s">
        <v>63</v>
      </c>
      <c r="I5221" t="s">
        <v>139</v>
      </c>
      <c r="J5221" t="s">
        <v>155</v>
      </c>
      <c r="L5221">
        <v>0</v>
      </c>
      <c r="M5221" t="s">
        <v>125</v>
      </c>
      <c r="O5221" t="s">
        <v>125</v>
      </c>
      <c r="P5221" t="s">
        <v>125</v>
      </c>
      <c r="Q5221" t="s">
        <v>125</v>
      </c>
      <c r="R5221" t="s">
        <v>125</v>
      </c>
      <c r="S5221" t="s">
        <v>125</v>
      </c>
      <c r="T5221">
        <v>0</v>
      </c>
      <c r="V5221" t="s">
        <v>125</v>
      </c>
      <c r="AE5221" t="s">
        <v>125</v>
      </c>
      <c r="AF5221">
        <v>0</v>
      </c>
      <c r="AG5221" t="s">
        <v>125</v>
      </c>
      <c r="AH5221">
        <v>0</v>
      </c>
      <c r="AK5221">
        <v>0</v>
      </c>
    </row>
    <row r="5222" spans="1:37" x14ac:dyDescent="0.25">
      <c r="L5222">
        <v>0</v>
      </c>
    </row>
    <row r="5223" spans="1:37" x14ac:dyDescent="0.25">
      <c r="A5223" t="s">
        <v>70</v>
      </c>
      <c r="B5223">
        <v>20</v>
      </c>
      <c r="C5223">
        <v>2</v>
      </c>
      <c r="D5223">
        <v>5</v>
      </c>
      <c r="G5223">
        <v>202</v>
      </c>
      <c r="L5223">
        <v>0</v>
      </c>
      <c r="M5223" t="s">
        <v>125</v>
      </c>
      <c r="P5223" t="s">
        <v>125</v>
      </c>
      <c r="R5223" t="s">
        <v>125</v>
      </c>
      <c r="S5223" t="s">
        <v>63</v>
      </c>
      <c r="V5223" t="s">
        <v>125</v>
      </c>
      <c r="X5223" t="s">
        <v>125</v>
      </c>
      <c r="Y5223" t="s">
        <v>125</v>
      </c>
      <c r="Z5223" t="s">
        <v>125</v>
      </c>
      <c r="AA5223" t="s">
        <v>125</v>
      </c>
      <c r="AB5223" t="s">
        <v>125</v>
      </c>
      <c r="AC5223" t="s">
        <v>125</v>
      </c>
      <c r="AE5223" t="s">
        <v>125</v>
      </c>
      <c r="AF5223">
        <v>0</v>
      </c>
      <c r="AG5223" t="s">
        <v>125</v>
      </c>
      <c r="AH5223">
        <v>0</v>
      </c>
      <c r="AK5223">
        <v>0</v>
      </c>
    </row>
    <row r="5224" spans="1:37" x14ac:dyDescent="0.25">
      <c r="A5224" t="s">
        <v>79</v>
      </c>
      <c r="B5224">
        <v>20</v>
      </c>
      <c r="C5224">
        <v>2</v>
      </c>
      <c r="D5224">
        <v>5</v>
      </c>
      <c r="E5224">
        <v>1</v>
      </c>
      <c r="G5224">
        <v>2025</v>
      </c>
      <c r="H5224" t="s">
        <v>63</v>
      </c>
      <c r="I5224" t="s">
        <v>80</v>
      </c>
      <c r="J5224" t="s">
        <v>141</v>
      </c>
      <c r="L5224">
        <v>0</v>
      </c>
      <c r="M5224" t="s">
        <v>125</v>
      </c>
      <c r="O5224" t="s">
        <v>125</v>
      </c>
      <c r="P5224" t="s">
        <v>125</v>
      </c>
      <c r="Q5224" t="s">
        <v>125</v>
      </c>
      <c r="R5224" t="s">
        <v>125</v>
      </c>
      <c r="S5224" t="s">
        <v>125</v>
      </c>
      <c r="T5224">
        <v>0</v>
      </c>
      <c r="V5224" t="s">
        <v>125</v>
      </c>
      <c r="AE5224" t="s">
        <v>125</v>
      </c>
      <c r="AF5224">
        <v>0</v>
      </c>
      <c r="AG5224" t="s">
        <v>125</v>
      </c>
      <c r="AH5224">
        <v>0</v>
      </c>
      <c r="AK5224">
        <v>0</v>
      </c>
    </row>
    <row r="5225" spans="1:37" x14ac:dyDescent="0.25">
      <c r="A5225" t="s">
        <v>79</v>
      </c>
      <c r="B5225">
        <v>20</v>
      </c>
      <c r="C5225">
        <v>2</v>
      </c>
      <c r="D5225">
        <v>5</v>
      </c>
      <c r="E5225">
        <v>2</v>
      </c>
      <c r="G5225">
        <v>2025</v>
      </c>
      <c r="H5225" t="s">
        <v>63</v>
      </c>
      <c r="I5225" t="s">
        <v>88</v>
      </c>
      <c r="J5225" t="s">
        <v>142</v>
      </c>
      <c r="L5225">
        <v>0</v>
      </c>
      <c r="M5225" t="s">
        <v>125</v>
      </c>
      <c r="O5225" t="s">
        <v>125</v>
      </c>
      <c r="P5225" t="s">
        <v>125</v>
      </c>
      <c r="Q5225" t="s">
        <v>125</v>
      </c>
      <c r="R5225" t="s">
        <v>125</v>
      </c>
      <c r="S5225" t="s">
        <v>125</v>
      </c>
      <c r="T5225">
        <v>0</v>
      </c>
      <c r="V5225" t="s">
        <v>125</v>
      </c>
      <c r="AE5225" t="s">
        <v>125</v>
      </c>
      <c r="AF5225">
        <v>0</v>
      </c>
      <c r="AG5225" t="s">
        <v>125</v>
      </c>
      <c r="AH5225">
        <v>0</v>
      </c>
      <c r="AK5225">
        <v>0</v>
      </c>
    </row>
    <row r="5226" spans="1:37" x14ac:dyDescent="0.25">
      <c r="A5226" t="s">
        <v>79</v>
      </c>
      <c r="B5226">
        <v>20</v>
      </c>
      <c r="C5226">
        <v>2</v>
      </c>
      <c r="D5226">
        <v>5</v>
      </c>
      <c r="E5226">
        <v>3</v>
      </c>
      <c r="G5226">
        <v>2025</v>
      </c>
      <c r="H5226" t="s">
        <v>63</v>
      </c>
      <c r="I5226" t="s">
        <v>95</v>
      </c>
      <c r="J5226" t="s">
        <v>143</v>
      </c>
      <c r="L5226">
        <v>0</v>
      </c>
      <c r="M5226" t="s">
        <v>125</v>
      </c>
      <c r="O5226" t="s">
        <v>125</v>
      </c>
      <c r="P5226" t="s">
        <v>125</v>
      </c>
      <c r="Q5226" t="s">
        <v>125</v>
      </c>
      <c r="R5226" t="s">
        <v>125</v>
      </c>
      <c r="S5226" t="s">
        <v>125</v>
      </c>
      <c r="T5226">
        <v>0</v>
      </c>
      <c r="V5226" t="s">
        <v>125</v>
      </c>
      <c r="AE5226" t="s">
        <v>125</v>
      </c>
      <c r="AF5226">
        <v>0</v>
      </c>
      <c r="AG5226" t="s">
        <v>125</v>
      </c>
      <c r="AH5226">
        <v>0</v>
      </c>
      <c r="AK5226">
        <v>0</v>
      </c>
    </row>
    <row r="5227" spans="1:37" x14ac:dyDescent="0.25">
      <c r="A5227" t="s">
        <v>79</v>
      </c>
      <c r="B5227">
        <v>20</v>
      </c>
      <c r="C5227">
        <v>2</v>
      </c>
      <c r="D5227">
        <v>5</v>
      </c>
      <c r="E5227">
        <v>4</v>
      </c>
      <c r="G5227">
        <v>2025</v>
      </c>
      <c r="H5227" t="s">
        <v>63</v>
      </c>
      <c r="I5227" t="s">
        <v>102</v>
      </c>
      <c r="J5227" t="s">
        <v>144</v>
      </c>
      <c r="L5227">
        <v>0</v>
      </c>
      <c r="M5227" t="s">
        <v>125</v>
      </c>
      <c r="O5227" t="s">
        <v>125</v>
      </c>
      <c r="P5227" t="s">
        <v>125</v>
      </c>
      <c r="Q5227" t="s">
        <v>125</v>
      </c>
      <c r="R5227" t="s">
        <v>125</v>
      </c>
      <c r="S5227" t="s">
        <v>125</v>
      </c>
      <c r="T5227">
        <v>0</v>
      </c>
      <c r="V5227" t="s">
        <v>125</v>
      </c>
      <c r="AE5227" t="s">
        <v>125</v>
      </c>
      <c r="AF5227">
        <v>0</v>
      </c>
      <c r="AG5227" t="s">
        <v>125</v>
      </c>
      <c r="AH5227">
        <v>0</v>
      </c>
      <c r="AK5227">
        <v>0</v>
      </c>
    </row>
    <row r="5228" spans="1:37" x14ac:dyDescent="0.25">
      <c r="A5228" t="s">
        <v>79</v>
      </c>
      <c r="B5228">
        <v>20</v>
      </c>
      <c r="C5228">
        <v>2</v>
      </c>
      <c r="D5228">
        <v>5</v>
      </c>
      <c r="E5228">
        <v>5</v>
      </c>
      <c r="G5228">
        <v>2025</v>
      </c>
      <c r="H5228" t="s">
        <v>63</v>
      </c>
      <c r="I5228" t="s">
        <v>109</v>
      </c>
      <c r="J5228" t="s">
        <v>145</v>
      </c>
      <c r="L5228">
        <v>0</v>
      </c>
      <c r="M5228" t="s">
        <v>125</v>
      </c>
      <c r="O5228" t="s">
        <v>125</v>
      </c>
      <c r="P5228" t="s">
        <v>125</v>
      </c>
      <c r="Q5228" t="s">
        <v>125</v>
      </c>
      <c r="R5228" t="s">
        <v>125</v>
      </c>
      <c r="S5228" t="s">
        <v>125</v>
      </c>
      <c r="T5228">
        <v>0</v>
      </c>
      <c r="V5228" t="s">
        <v>125</v>
      </c>
      <c r="AE5228" t="s">
        <v>125</v>
      </c>
      <c r="AF5228">
        <v>0</v>
      </c>
      <c r="AG5228" t="s">
        <v>125</v>
      </c>
      <c r="AH5228">
        <v>0</v>
      </c>
      <c r="AK5228">
        <v>0</v>
      </c>
    </row>
    <row r="5229" spans="1:37" x14ac:dyDescent="0.25">
      <c r="A5229" t="s">
        <v>79</v>
      </c>
      <c r="B5229">
        <v>20</v>
      </c>
      <c r="C5229">
        <v>2</v>
      </c>
      <c r="D5229">
        <v>5</v>
      </c>
      <c r="E5229">
        <v>6</v>
      </c>
      <c r="G5229">
        <v>2025</v>
      </c>
      <c r="H5229" t="s">
        <v>63</v>
      </c>
      <c r="I5229" t="s">
        <v>116</v>
      </c>
      <c r="J5229" t="s">
        <v>146</v>
      </c>
      <c r="L5229">
        <v>0</v>
      </c>
      <c r="M5229" t="s">
        <v>125</v>
      </c>
      <c r="O5229" t="s">
        <v>125</v>
      </c>
      <c r="P5229" t="s">
        <v>125</v>
      </c>
      <c r="Q5229" t="s">
        <v>125</v>
      </c>
      <c r="R5229" t="s">
        <v>125</v>
      </c>
      <c r="S5229" t="s">
        <v>125</v>
      </c>
      <c r="T5229">
        <v>0</v>
      </c>
      <c r="V5229" t="s">
        <v>125</v>
      </c>
      <c r="AE5229" t="s">
        <v>125</v>
      </c>
      <c r="AF5229">
        <v>0</v>
      </c>
      <c r="AG5229" t="s">
        <v>125</v>
      </c>
      <c r="AH5229">
        <v>0</v>
      </c>
      <c r="AK5229">
        <v>0</v>
      </c>
    </row>
    <row r="5230" spans="1:37" x14ac:dyDescent="0.25">
      <c r="A5230" t="s">
        <v>79</v>
      </c>
      <c r="B5230">
        <v>20</v>
      </c>
      <c r="C5230">
        <v>2</v>
      </c>
      <c r="D5230">
        <v>5</v>
      </c>
      <c r="E5230">
        <v>7</v>
      </c>
      <c r="G5230">
        <v>2025</v>
      </c>
      <c r="H5230" t="s">
        <v>63</v>
      </c>
      <c r="I5230" t="s">
        <v>123</v>
      </c>
      <c r="J5230" t="s">
        <v>147</v>
      </c>
      <c r="L5230">
        <v>0</v>
      </c>
      <c r="M5230" t="s">
        <v>125</v>
      </c>
      <c r="O5230" t="s">
        <v>125</v>
      </c>
      <c r="P5230" t="s">
        <v>125</v>
      </c>
      <c r="Q5230" t="s">
        <v>125</v>
      </c>
      <c r="R5230" t="s">
        <v>125</v>
      </c>
      <c r="S5230" t="s">
        <v>125</v>
      </c>
      <c r="T5230">
        <v>0</v>
      </c>
      <c r="V5230" t="s">
        <v>125</v>
      </c>
      <c r="AE5230" t="s">
        <v>125</v>
      </c>
      <c r="AF5230">
        <v>0</v>
      </c>
      <c r="AG5230" t="s">
        <v>125</v>
      </c>
      <c r="AH5230">
        <v>0</v>
      </c>
      <c r="AK5230">
        <v>0</v>
      </c>
    </row>
    <row r="5231" spans="1:37" x14ac:dyDescent="0.25">
      <c r="A5231" t="s">
        <v>79</v>
      </c>
      <c r="B5231">
        <v>20</v>
      </c>
      <c r="C5231">
        <v>2</v>
      </c>
      <c r="D5231">
        <v>5</v>
      </c>
      <c r="E5231">
        <v>8</v>
      </c>
      <c r="G5231">
        <v>2025</v>
      </c>
      <c r="H5231" t="s">
        <v>63</v>
      </c>
      <c r="I5231" t="s">
        <v>126</v>
      </c>
      <c r="J5231" t="s">
        <v>148</v>
      </c>
      <c r="L5231">
        <v>0</v>
      </c>
      <c r="M5231" t="s">
        <v>125</v>
      </c>
      <c r="O5231" t="s">
        <v>125</v>
      </c>
      <c r="P5231" t="s">
        <v>125</v>
      </c>
      <c r="Q5231" t="s">
        <v>125</v>
      </c>
      <c r="R5231" t="s">
        <v>125</v>
      </c>
      <c r="S5231" t="s">
        <v>125</v>
      </c>
      <c r="T5231">
        <v>0</v>
      </c>
      <c r="V5231" t="s">
        <v>125</v>
      </c>
      <c r="AE5231" t="s">
        <v>125</v>
      </c>
      <c r="AF5231">
        <v>0</v>
      </c>
      <c r="AG5231" t="s">
        <v>125</v>
      </c>
      <c r="AH5231">
        <v>0</v>
      </c>
      <c r="AK5231">
        <v>0</v>
      </c>
    </row>
    <row r="5232" spans="1:37" x14ac:dyDescent="0.25">
      <c r="A5232" t="s">
        <v>79</v>
      </c>
      <c r="B5232">
        <v>20</v>
      </c>
      <c r="C5232">
        <v>2</v>
      </c>
      <c r="D5232">
        <v>5</v>
      </c>
      <c r="E5232">
        <v>9</v>
      </c>
      <c r="G5232">
        <v>2025</v>
      </c>
      <c r="H5232" t="s">
        <v>63</v>
      </c>
      <c r="I5232" t="s">
        <v>74</v>
      </c>
      <c r="J5232" t="s">
        <v>149</v>
      </c>
      <c r="L5232">
        <v>0</v>
      </c>
      <c r="M5232" t="s">
        <v>125</v>
      </c>
      <c r="O5232" t="s">
        <v>125</v>
      </c>
      <c r="P5232" t="s">
        <v>125</v>
      </c>
      <c r="Q5232" t="s">
        <v>125</v>
      </c>
      <c r="R5232" t="s">
        <v>125</v>
      </c>
      <c r="S5232" t="s">
        <v>125</v>
      </c>
      <c r="T5232">
        <v>0</v>
      </c>
      <c r="V5232" t="s">
        <v>125</v>
      </c>
      <c r="AE5232" t="s">
        <v>125</v>
      </c>
      <c r="AF5232">
        <v>0</v>
      </c>
      <c r="AG5232" t="s">
        <v>125</v>
      </c>
      <c r="AH5232">
        <v>0</v>
      </c>
      <c r="AK5232">
        <v>0</v>
      </c>
    </row>
    <row r="5233" spans="1:37" x14ac:dyDescent="0.25">
      <c r="A5233" t="s">
        <v>79</v>
      </c>
      <c r="B5233">
        <v>20</v>
      </c>
      <c r="C5233">
        <v>2</v>
      </c>
      <c r="D5233">
        <v>5</v>
      </c>
      <c r="E5233">
        <v>10</v>
      </c>
      <c r="G5233">
        <v>2025</v>
      </c>
      <c r="H5233" t="s">
        <v>63</v>
      </c>
      <c r="I5233" t="s">
        <v>129</v>
      </c>
      <c r="J5233" t="s">
        <v>150</v>
      </c>
      <c r="L5233">
        <v>0</v>
      </c>
      <c r="M5233" t="s">
        <v>125</v>
      </c>
      <c r="O5233" t="s">
        <v>125</v>
      </c>
      <c r="P5233" t="s">
        <v>125</v>
      </c>
      <c r="Q5233" t="s">
        <v>125</v>
      </c>
      <c r="R5233" t="s">
        <v>125</v>
      </c>
      <c r="S5233" t="s">
        <v>125</v>
      </c>
      <c r="T5233">
        <v>0</v>
      </c>
      <c r="V5233" t="s">
        <v>125</v>
      </c>
      <c r="AE5233" t="s">
        <v>125</v>
      </c>
      <c r="AF5233">
        <v>0</v>
      </c>
      <c r="AG5233" t="s">
        <v>125</v>
      </c>
      <c r="AH5233">
        <v>0</v>
      </c>
      <c r="AK5233">
        <v>0</v>
      </c>
    </row>
    <row r="5234" spans="1:37" x14ac:dyDescent="0.25">
      <c r="A5234" t="s">
        <v>79</v>
      </c>
      <c r="B5234">
        <v>20</v>
      </c>
      <c r="C5234">
        <v>2</v>
      </c>
      <c r="D5234">
        <v>5</v>
      </c>
      <c r="E5234">
        <v>11</v>
      </c>
      <c r="G5234">
        <v>2025</v>
      </c>
      <c r="H5234" t="s">
        <v>63</v>
      </c>
      <c r="I5234" t="s">
        <v>131</v>
      </c>
      <c r="J5234" t="s">
        <v>151</v>
      </c>
      <c r="L5234">
        <v>0</v>
      </c>
      <c r="M5234" t="s">
        <v>125</v>
      </c>
      <c r="O5234" t="s">
        <v>125</v>
      </c>
      <c r="P5234" t="s">
        <v>125</v>
      </c>
      <c r="Q5234" t="s">
        <v>125</v>
      </c>
      <c r="R5234" t="s">
        <v>125</v>
      </c>
      <c r="S5234" t="s">
        <v>125</v>
      </c>
      <c r="T5234">
        <v>0</v>
      </c>
      <c r="V5234" t="s">
        <v>125</v>
      </c>
      <c r="AE5234" t="s">
        <v>125</v>
      </c>
      <c r="AF5234">
        <v>0</v>
      </c>
      <c r="AG5234" t="s">
        <v>125</v>
      </c>
      <c r="AH5234">
        <v>0</v>
      </c>
      <c r="AK5234">
        <v>0</v>
      </c>
    </row>
    <row r="5235" spans="1:37" x14ac:dyDescent="0.25">
      <c r="A5235" t="s">
        <v>79</v>
      </c>
      <c r="B5235">
        <v>20</v>
      </c>
      <c r="C5235">
        <v>2</v>
      </c>
      <c r="D5235">
        <v>5</v>
      </c>
      <c r="E5235">
        <v>12</v>
      </c>
      <c r="G5235">
        <v>2025</v>
      </c>
      <c r="H5235" t="s">
        <v>63</v>
      </c>
      <c r="I5235" t="s">
        <v>133</v>
      </c>
      <c r="J5235" t="s">
        <v>152</v>
      </c>
      <c r="L5235">
        <v>0</v>
      </c>
      <c r="M5235" t="s">
        <v>125</v>
      </c>
      <c r="O5235" t="s">
        <v>125</v>
      </c>
      <c r="P5235" t="s">
        <v>125</v>
      </c>
      <c r="Q5235" t="s">
        <v>125</v>
      </c>
      <c r="R5235" t="s">
        <v>125</v>
      </c>
      <c r="S5235" t="s">
        <v>125</v>
      </c>
      <c r="T5235">
        <v>0</v>
      </c>
      <c r="V5235" t="s">
        <v>125</v>
      </c>
      <c r="AE5235" t="s">
        <v>125</v>
      </c>
      <c r="AF5235">
        <v>0</v>
      </c>
      <c r="AG5235" t="s">
        <v>125</v>
      </c>
      <c r="AH5235">
        <v>0</v>
      </c>
      <c r="AK5235">
        <v>0</v>
      </c>
    </row>
    <row r="5236" spans="1:37" x14ac:dyDescent="0.25">
      <c r="A5236" t="s">
        <v>79</v>
      </c>
      <c r="B5236">
        <v>20</v>
      </c>
      <c r="C5236">
        <v>2</v>
      </c>
      <c r="D5236">
        <v>5</v>
      </c>
      <c r="E5236">
        <v>13</v>
      </c>
      <c r="G5236">
        <v>2025</v>
      </c>
      <c r="H5236" t="s">
        <v>63</v>
      </c>
      <c r="I5236" t="s">
        <v>135</v>
      </c>
      <c r="J5236" t="s">
        <v>153</v>
      </c>
      <c r="L5236">
        <v>0</v>
      </c>
      <c r="M5236" t="s">
        <v>125</v>
      </c>
      <c r="O5236" t="s">
        <v>125</v>
      </c>
      <c r="P5236" t="s">
        <v>125</v>
      </c>
      <c r="Q5236" t="s">
        <v>125</v>
      </c>
      <c r="R5236" t="s">
        <v>125</v>
      </c>
      <c r="S5236" t="s">
        <v>125</v>
      </c>
      <c r="T5236">
        <v>0</v>
      </c>
      <c r="V5236" t="s">
        <v>125</v>
      </c>
      <c r="AE5236" t="s">
        <v>125</v>
      </c>
      <c r="AF5236">
        <v>0</v>
      </c>
      <c r="AG5236" t="s">
        <v>125</v>
      </c>
      <c r="AH5236">
        <v>0</v>
      </c>
      <c r="AK5236">
        <v>0</v>
      </c>
    </row>
    <row r="5237" spans="1:37" x14ac:dyDescent="0.25">
      <c r="A5237" t="s">
        <v>79</v>
      </c>
      <c r="B5237">
        <v>20</v>
      </c>
      <c r="C5237">
        <v>2</v>
      </c>
      <c r="D5237">
        <v>5</v>
      </c>
      <c r="E5237">
        <v>14</v>
      </c>
      <c r="G5237">
        <v>2025</v>
      </c>
      <c r="H5237" t="s">
        <v>63</v>
      </c>
      <c r="I5237" t="s">
        <v>137</v>
      </c>
      <c r="J5237" t="s">
        <v>154</v>
      </c>
      <c r="L5237">
        <v>0</v>
      </c>
      <c r="M5237" t="s">
        <v>125</v>
      </c>
      <c r="O5237" t="s">
        <v>125</v>
      </c>
      <c r="P5237" t="s">
        <v>125</v>
      </c>
      <c r="Q5237" t="s">
        <v>125</v>
      </c>
      <c r="R5237" t="s">
        <v>125</v>
      </c>
      <c r="S5237" t="s">
        <v>125</v>
      </c>
      <c r="T5237">
        <v>0</v>
      </c>
      <c r="V5237" t="s">
        <v>125</v>
      </c>
      <c r="AE5237" t="s">
        <v>125</v>
      </c>
      <c r="AF5237">
        <v>0</v>
      </c>
      <c r="AG5237" t="s">
        <v>125</v>
      </c>
      <c r="AH5237">
        <v>0</v>
      </c>
      <c r="AK5237">
        <v>0</v>
      </c>
    </row>
    <row r="5238" spans="1:37" x14ac:dyDescent="0.25">
      <c r="A5238" t="s">
        <v>79</v>
      </c>
      <c r="B5238">
        <v>20</v>
      </c>
      <c r="C5238">
        <v>2</v>
      </c>
      <c r="D5238">
        <v>5</v>
      </c>
      <c r="E5238">
        <v>15</v>
      </c>
      <c r="G5238">
        <v>2025</v>
      </c>
      <c r="H5238" t="s">
        <v>63</v>
      </c>
      <c r="I5238" t="s">
        <v>139</v>
      </c>
      <c r="J5238" t="s">
        <v>155</v>
      </c>
      <c r="L5238">
        <v>0</v>
      </c>
      <c r="M5238" t="s">
        <v>125</v>
      </c>
      <c r="O5238" t="s">
        <v>125</v>
      </c>
      <c r="P5238" t="s">
        <v>125</v>
      </c>
      <c r="Q5238" t="s">
        <v>125</v>
      </c>
      <c r="R5238" t="s">
        <v>125</v>
      </c>
      <c r="S5238" t="s">
        <v>125</v>
      </c>
      <c r="T5238">
        <v>0</v>
      </c>
      <c r="V5238" t="s">
        <v>125</v>
      </c>
      <c r="AE5238" t="s">
        <v>125</v>
      </c>
      <c r="AF5238">
        <v>0</v>
      </c>
      <c r="AG5238" t="s">
        <v>125</v>
      </c>
      <c r="AH5238">
        <v>0</v>
      </c>
      <c r="AK5238">
        <v>0</v>
      </c>
    </row>
    <row r="5239" spans="1:37" x14ac:dyDescent="0.25">
      <c r="L5239">
        <v>0</v>
      </c>
    </row>
    <row r="5240" spans="1:37" x14ac:dyDescent="0.25">
      <c r="L5240">
        <v>0</v>
      </c>
    </row>
    <row r="5241" spans="1:37" x14ac:dyDescent="0.25">
      <c r="A5241" t="s">
        <v>66</v>
      </c>
      <c r="B5241">
        <v>20</v>
      </c>
      <c r="C5241">
        <v>3</v>
      </c>
      <c r="G5241">
        <v>20</v>
      </c>
      <c r="H5241" t="s">
        <v>63</v>
      </c>
      <c r="I5241" t="s">
        <v>5993</v>
      </c>
      <c r="L5241">
        <v>0</v>
      </c>
      <c r="M5241" t="s">
        <v>125</v>
      </c>
      <c r="N5241" t="s">
        <v>125</v>
      </c>
      <c r="V5241" t="s">
        <v>63</v>
      </c>
      <c r="Y5241" t="s">
        <v>63</v>
      </c>
      <c r="AA5241" t="s">
        <v>63</v>
      </c>
      <c r="AC5241" t="s">
        <v>63</v>
      </c>
      <c r="AE5241" t="s">
        <v>63</v>
      </c>
      <c r="AF5241">
        <v>0</v>
      </c>
      <c r="AG5241" t="s">
        <v>63</v>
      </c>
      <c r="AH5241">
        <v>0</v>
      </c>
      <c r="AK5241">
        <v>0</v>
      </c>
    </row>
    <row r="5242" spans="1:37" x14ac:dyDescent="0.25">
      <c r="L5242">
        <v>0</v>
      </c>
    </row>
    <row r="5243" spans="1:37" x14ac:dyDescent="0.25">
      <c r="A5243" t="s">
        <v>70</v>
      </c>
      <c r="B5243">
        <v>20</v>
      </c>
      <c r="C5243">
        <v>3</v>
      </c>
      <c r="D5243">
        <v>1</v>
      </c>
      <c r="G5243">
        <v>203</v>
      </c>
      <c r="L5243">
        <v>0</v>
      </c>
      <c r="M5243" t="s">
        <v>125</v>
      </c>
      <c r="P5243" t="s">
        <v>125</v>
      </c>
      <c r="R5243" t="s">
        <v>125</v>
      </c>
      <c r="S5243" t="s">
        <v>63</v>
      </c>
      <c r="V5243" t="s">
        <v>125</v>
      </c>
      <c r="X5243" t="s">
        <v>125</v>
      </c>
      <c r="Y5243" t="s">
        <v>125</v>
      </c>
      <c r="Z5243" t="s">
        <v>125</v>
      </c>
      <c r="AA5243" t="s">
        <v>125</v>
      </c>
      <c r="AB5243" t="s">
        <v>125</v>
      </c>
      <c r="AC5243" t="s">
        <v>125</v>
      </c>
      <c r="AE5243" t="s">
        <v>125</v>
      </c>
      <c r="AF5243">
        <v>0</v>
      </c>
      <c r="AG5243" t="s">
        <v>125</v>
      </c>
      <c r="AH5243">
        <v>0</v>
      </c>
      <c r="AK5243">
        <v>0</v>
      </c>
    </row>
    <row r="5244" spans="1:37" x14ac:dyDescent="0.25">
      <c r="A5244" t="s">
        <v>79</v>
      </c>
      <c r="B5244">
        <v>20</v>
      </c>
      <c r="C5244">
        <v>3</v>
      </c>
      <c r="D5244">
        <v>1</v>
      </c>
      <c r="E5244">
        <v>1</v>
      </c>
      <c r="G5244">
        <v>2031</v>
      </c>
      <c r="H5244" t="s">
        <v>63</v>
      </c>
      <c r="I5244" t="s">
        <v>80</v>
      </c>
      <c r="J5244" t="s">
        <v>141</v>
      </c>
      <c r="L5244">
        <v>0</v>
      </c>
      <c r="M5244" t="s">
        <v>125</v>
      </c>
      <c r="O5244" t="s">
        <v>125</v>
      </c>
      <c r="P5244" t="s">
        <v>125</v>
      </c>
      <c r="Q5244" t="s">
        <v>125</v>
      </c>
      <c r="R5244" t="s">
        <v>125</v>
      </c>
      <c r="S5244" t="s">
        <v>125</v>
      </c>
      <c r="T5244">
        <v>0</v>
      </c>
      <c r="V5244" t="s">
        <v>125</v>
      </c>
      <c r="AE5244" t="s">
        <v>125</v>
      </c>
      <c r="AF5244">
        <v>0</v>
      </c>
      <c r="AG5244" t="s">
        <v>125</v>
      </c>
      <c r="AH5244">
        <v>0</v>
      </c>
      <c r="AK5244">
        <v>0</v>
      </c>
    </row>
    <row r="5245" spans="1:37" x14ac:dyDescent="0.25">
      <c r="A5245" t="s">
        <v>79</v>
      </c>
      <c r="B5245">
        <v>20</v>
      </c>
      <c r="C5245">
        <v>3</v>
      </c>
      <c r="D5245">
        <v>1</v>
      </c>
      <c r="E5245">
        <v>2</v>
      </c>
      <c r="G5245">
        <v>2031</v>
      </c>
      <c r="H5245" t="s">
        <v>63</v>
      </c>
      <c r="I5245" t="s">
        <v>88</v>
      </c>
      <c r="J5245" t="s">
        <v>142</v>
      </c>
      <c r="L5245">
        <v>0</v>
      </c>
      <c r="M5245" t="s">
        <v>125</v>
      </c>
      <c r="O5245" t="s">
        <v>125</v>
      </c>
      <c r="P5245" t="s">
        <v>125</v>
      </c>
      <c r="Q5245" t="s">
        <v>125</v>
      </c>
      <c r="R5245" t="s">
        <v>125</v>
      </c>
      <c r="S5245" t="s">
        <v>125</v>
      </c>
      <c r="T5245">
        <v>0</v>
      </c>
      <c r="V5245" t="s">
        <v>125</v>
      </c>
      <c r="AE5245" t="s">
        <v>125</v>
      </c>
      <c r="AF5245">
        <v>0</v>
      </c>
      <c r="AG5245" t="s">
        <v>125</v>
      </c>
      <c r="AH5245">
        <v>0</v>
      </c>
      <c r="AK5245">
        <v>0</v>
      </c>
    </row>
    <row r="5246" spans="1:37" x14ac:dyDescent="0.25">
      <c r="A5246" t="s">
        <v>79</v>
      </c>
      <c r="B5246">
        <v>20</v>
      </c>
      <c r="C5246">
        <v>3</v>
      </c>
      <c r="D5246">
        <v>1</v>
      </c>
      <c r="E5246">
        <v>3</v>
      </c>
      <c r="G5246">
        <v>2031</v>
      </c>
      <c r="H5246" t="s">
        <v>63</v>
      </c>
      <c r="I5246" t="s">
        <v>95</v>
      </c>
      <c r="J5246" t="s">
        <v>143</v>
      </c>
      <c r="L5246">
        <v>0</v>
      </c>
      <c r="M5246" t="s">
        <v>125</v>
      </c>
      <c r="O5246" t="s">
        <v>125</v>
      </c>
      <c r="P5246" t="s">
        <v>125</v>
      </c>
      <c r="Q5246" t="s">
        <v>125</v>
      </c>
      <c r="R5246" t="s">
        <v>125</v>
      </c>
      <c r="S5246" t="s">
        <v>125</v>
      </c>
      <c r="T5246">
        <v>0</v>
      </c>
      <c r="V5246" t="s">
        <v>125</v>
      </c>
      <c r="AE5246" t="s">
        <v>125</v>
      </c>
      <c r="AF5246">
        <v>0</v>
      </c>
      <c r="AG5246" t="s">
        <v>125</v>
      </c>
      <c r="AH5246">
        <v>0</v>
      </c>
      <c r="AK5246">
        <v>0</v>
      </c>
    </row>
    <row r="5247" spans="1:37" x14ac:dyDescent="0.25">
      <c r="A5247" t="s">
        <v>79</v>
      </c>
      <c r="B5247">
        <v>20</v>
      </c>
      <c r="C5247">
        <v>3</v>
      </c>
      <c r="D5247">
        <v>1</v>
      </c>
      <c r="E5247">
        <v>4</v>
      </c>
      <c r="G5247">
        <v>2031</v>
      </c>
      <c r="H5247" t="s">
        <v>63</v>
      </c>
      <c r="I5247" t="s">
        <v>102</v>
      </c>
      <c r="J5247" t="s">
        <v>144</v>
      </c>
      <c r="L5247">
        <v>0</v>
      </c>
      <c r="M5247" t="s">
        <v>125</v>
      </c>
      <c r="O5247" t="s">
        <v>125</v>
      </c>
      <c r="P5247" t="s">
        <v>125</v>
      </c>
      <c r="Q5247" t="s">
        <v>125</v>
      </c>
      <c r="R5247" t="s">
        <v>125</v>
      </c>
      <c r="S5247" t="s">
        <v>125</v>
      </c>
      <c r="T5247">
        <v>0</v>
      </c>
      <c r="V5247" t="s">
        <v>125</v>
      </c>
      <c r="AE5247" t="s">
        <v>125</v>
      </c>
      <c r="AF5247">
        <v>0</v>
      </c>
      <c r="AG5247" t="s">
        <v>125</v>
      </c>
      <c r="AH5247">
        <v>0</v>
      </c>
      <c r="AK5247">
        <v>0</v>
      </c>
    </row>
    <row r="5248" spans="1:37" x14ac:dyDescent="0.25">
      <c r="A5248" t="s">
        <v>79</v>
      </c>
      <c r="B5248">
        <v>20</v>
      </c>
      <c r="C5248">
        <v>3</v>
      </c>
      <c r="D5248">
        <v>1</v>
      </c>
      <c r="E5248">
        <v>5</v>
      </c>
      <c r="G5248">
        <v>2031</v>
      </c>
      <c r="H5248" t="s">
        <v>63</v>
      </c>
      <c r="I5248" t="s">
        <v>109</v>
      </c>
      <c r="J5248" t="s">
        <v>145</v>
      </c>
      <c r="L5248">
        <v>0</v>
      </c>
      <c r="M5248" t="s">
        <v>125</v>
      </c>
      <c r="O5248" t="s">
        <v>125</v>
      </c>
      <c r="P5248" t="s">
        <v>125</v>
      </c>
      <c r="Q5248" t="s">
        <v>125</v>
      </c>
      <c r="R5248" t="s">
        <v>125</v>
      </c>
      <c r="S5248" t="s">
        <v>125</v>
      </c>
      <c r="T5248">
        <v>0</v>
      </c>
      <c r="V5248" t="s">
        <v>125</v>
      </c>
      <c r="AE5248" t="s">
        <v>125</v>
      </c>
      <c r="AF5248">
        <v>0</v>
      </c>
      <c r="AG5248" t="s">
        <v>125</v>
      </c>
      <c r="AH5248">
        <v>0</v>
      </c>
      <c r="AK5248">
        <v>0</v>
      </c>
    </row>
    <row r="5249" spans="1:37" x14ac:dyDescent="0.25">
      <c r="A5249" t="s">
        <v>79</v>
      </c>
      <c r="B5249">
        <v>20</v>
      </c>
      <c r="C5249">
        <v>3</v>
      </c>
      <c r="D5249">
        <v>1</v>
      </c>
      <c r="E5249">
        <v>6</v>
      </c>
      <c r="G5249">
        <v>2031</v>
      </c>
      <c r="H5249" t="s">
        <v>63</v>
      </c>
      <c r="I5249" t="s">
        <v>116</v>
      </c>
      <c r="J5249" t="s">
        <v>146</v>
      </c>
      <c r="L5249">
        <v>0</v>
      </c>
      <c r="M5249" t="s">
        <v>125</v>
      </c>
      <c r="O5249" t="s">
        <v>125</v>
      </c>
      <c r="P5249" t="s">
        <v>125</v>
      </c>
      <c r="Q5249" t="s">
        <v>125</v>
      </c>
      <c r="R5249" t="s">
        <v>125</v>
      </c>
      <c r="S5249" t="s">
        <v>125</v>
      </c>
      <c r="T5249">
        <v>0</v>
      </c>
      <c r="V5249" t="s">
        <v>125</v>
      </c>
      <c r="AE5249" t="s">
        <v>125</v>
      </c>
      <c r="AF5249">
        <v>0</v>
      </c>
      <c r="AG5249" t="s">
        <v>125</v>
      </c>
      <c r="AH5249">
        <v>0</v>
      </c>
      <c r="AK5249">
        <v>0</v>
      </c>
    </row>
    <row r="5250" spans="1:37" x14ac:dyDescent="0.25">
      <c r="A5250" t="s">
        <v>79</v>
      </c>
      <c r="B5250">
        <v>20</v>
      </c>
      <c r="C5250">
        <v>3</v>
      </c>
      <c r="D5250">
        <v>1</v>
      </c>
      <c r="E5250">
        <v>7</v>
      </c>
      <c r="G5250">
        <v>2031</v>
      </c>
      <c r="H5250" t="s">
        <v>63</v>
      </c>
      <c r="I5250" t="s">
        <v>123</v>
      </c>
      <c r="J5250" t="s">
        <v>147</v>
      </c>
      <c r="L5250">
        <v>0</v>
      </c>
      <c r="M5250" t="s">
        <v>125</v>
      </c>
      <c r="O5250" t="s">
        <v>125</v>
      </c>
      <c r="P5250" t="s">
        <v>125</v>
      </c>
      <c r="Q5250" t="s">
        <v>125</v>
      </c>
      <c r="R5250" t="s">
        <v>125</v>
      </c>
      <c r="S5250" t="s">
        <v>125</v>
      </c>
      <c r="T5250">
        <v>0</v>
      </c>
      <c r="V5250" t="s">
        <v>125</v>
      </c>
      <c r="AE5250" t="s">
        <v>125</v>
      </c>
      <c r="AF5250">
        <v>0</v>
      </c>
      <c r="AG5250" t="s">
        <v>125</v>
      </c>
      <c r="AH5250">
        <v>0</v>
      </c>
      <c r="AK5250">
        <v>0</v>
      </c>
    </row>
    <row r="5251" spans="1:37" x14ac:dyDescent="0.25">
      <c r="A5251" t="s">
        <v>79</v>
      </c>
      <c r="B5251">
        <v>20</v>
      </c>
      <c r="C5251">
        <v>3</v>
      </c>
      <c r="D5251">
        <v>1</v>
      </c>
      <c r="E5251">
        <v>8</v>
      </c>
      <c r="G5251">
        <v>2031</v>
      </c>
      <c r="H5251" t="s">
        <v>63</v>
      </c>
      <c r="I5251" t="s">
        <v>126</v>
      </c>
      <c r="J5251" t="s">
        <v>148</v>
      </c>
      <c r="L5251">
        <v>0</v>
      </c>
      <c r="M5251" t="s">
        <v>125</v>
      </c>
      <c r="O5251" t="s">
        <v>125</v>
      </c>
      <c r="P5251" t="s">
        <v>125</v>
      </c>
      <c r="Q5251" t="s">
        <v>125</v>
      </c>
      <c r="R5251" t="s">
        <v>125</v>
      </c>
      <c r="S5251" t="s">
        <v>125</v>
      </c>
      <c r="T5251">
        <v>0</v>
      </c>
      <c r="V5251" t="s">
        <v>125</v>
      </c>
      <c r="AE5251" t="s">
        <v>125</v>
      </c>
      <c r="AF5251">
        <v>0</v>
      </c>
      <c r="AG5251" t="s">
        <v>125</v>
      </c>
      <c r="AH5251">
        <v>0</v>
      </c>
      <c r="AK5251">
        <v>0</v>
      </c>
    </row>
    <row r="5252" spans="1:37" x14ac:dyDescent="0.25">
      <c r="A5252" t="s">
        <v>79</v>
      </c>
      <c r="B5252">
        <v>20</v>
      </c>
      <c r="C5252">
        <v>3</v>
      </c>
      <c r="D5252">
        <v>1</v>
      </c>
      <c r="E5252">
        <v>9</v>
      </c>
      <c r="G5252">
        <v>2031</v>
      </c>
      <c r="H5252" t="s">
        <v>63</v>
      </c>
      <c r="I5252" t="s">
        <v>74</v>
      </c>
      <c r="J5252" t="s">
        <v>149</v>
      </c>
      <c r="L5252">
        <v>0</v>
      </c>
      <c r="M5252" t="s">
        <v>125</v>
      </c>
      <c r="O5252" t="s">
        <v>125</v>
      </c>
      <c r="P5252" t="s">
        <v>125</v>
      </c>
      <c r="Q5252" t="s">
        <v>125</v>
      </c>
      <c r="R5252" t="s">
        <v>125</v>
      </c>
      <c r="S5252" t="s">
        <v>125</v>
      </c>
      <c r="T5252">
        <v>0</v>
      </c>
      <c r="V5252" t="s">
        <v>125</v>
      </c>
      <c r="AE5252" t="s">
        <v>125</v>
      </c>
      <c r="AF5252">
        <v>0</v>
      </c>
      <c r="AG5252" t="s">
        <v>125</v>
      </c>
      <c r="AH5252">
        <v>0</v>
      </c>
      <c r="AK5252">
        <v>0</v>
      </c>
    </row>
    <row r="5253" spans="1:37" x14ac:dyDescent="0.25">
      <c r="A5253" t="s">
        <v>79</v>
      </c>
      <c r="B5253">
        <v>20</v>
      </c>
      <c r="C5253">
        <v>3</v>
      </c>
      <c r="D5253">
        <v>1</v>
      </c>
      <c r="E5253">
        <v>10</v>
      </c>
      <c r="G5253">
        <v>2031</v>
      </c>
      <c r="H5253" t="s">
        <v>63</v>
      </c>
      <c r="I5253" t="s">
        <v>129</v>
      </c>
      <c r="J5253" t="s">
        <v>150</v>
      </c>
      <c r="L5253">
        <v>0</v>
      </c>
      <c r="M5253" t="s">
        <v>125</v>
      </c>
      <c r="O5253" t="s">
        <v>125</v>
      </c>
      <c r="P5253" t="s">
        <v>125</v>
      </c>
      <c r="Q5253" t="s">
        <v>125</v>
      </c>
      <c r="R5253" t="s">
        <v>125</v>
      </c>
      <c r="S5253" t="s">
        <v>125</v>
      </c>
      <c r="T5253">
        <v>0</v>
      </c>
      <c r="V5253" t="s">
        <v>125</v>
      </c>
      <c r="AE5253" t="s">
        <v>125</v>
      </c>
      <c r="AF5253">
        <v>0</v>
      </c>
      <c r="AG5253" t="s">
        <v>125</v>
      </c>
      <c r="AH5253">
        <v>0</v>
      </c>
      <c r="AK5253">
        <v>0</v>
      </c>
    </row>
    <row r="5254" spans="1:37" x14ac:dyDescent="0.25">
      <c r="A5254" t="s">
        <v>79</v>
      </c>
      <c r="B5254">
        <v>20</v>
      </c>
      <c r="C5254">
        <v>3</v>
      </c>
      <c r="D5254">
        <v>1</v>
      </c>
      <c r="E5254">
        <v>11</v>
      </c>
      <c r="G5254">
        <v>2031</v>
      </c>
      <c r="H5254" t="s">
        <v>63</v>
      </c>
      <c r="I5254" t="s">
        <v>131</v>
      </c>
      <c r="J5254" t="s">
        <v>151</v>
      </c>
      <c r="L5254">
        <v>0</v>
      </c>
      <c r="M5254" t="s">
        <v>125</v>
      </c>
      <c r="O5254" t="s">
        <v>125</v>
      </c>
      <c r="P5254" t="s">
        <v>125</v>
      </c>
      <c r="Q5254" t="s">
        <v>125</v>
      </c>
      <c r="R5254" t="s">
        <v>125</v>
      </c>
      <c r="S5254" t="s">
        <v>125</v>
      </c>
      <c r="T5254">
        <v>0</v>
      </c>
      <c r="V5254" t="s">
        <v>125</v>
      </c>
      <c r="AE5254" t="s">
        <v>125</v>
      </c>
      <c r="AF5254">
        <v>0</v>
      </c>
      <c r="AG5254" t="s">
        <v>125</v>
      </c>
      <c r="AH5254">
        <v>0</v>
      </c>
      <c r="AK5254">
        <v>0</v>
      </c>
    </row>
    <row r="5255" spans="1:37" x14ac:dyDescent="0.25">
      <c r="A5255" t="s">
        <v>79</v>
      </c>
      <c r="B5255">
        <v>20</v>
      </c>
      <c r="C5255">
        <v>3</v>
      </c>
      <c r="D5255">
        <v>1</v>
      </c>
      <c r="E5255">
        <v>12</v>
      </c>
      <c r="G5255">
        <v>2031</v>
      </c>
      <c r="H5255" t="s">
        <v>63</v>
      </c>
      <c r="I5255" t="s">
        <v>133</v>
      </c>
      <c r="J5255" t="s">
        <v>152</v>
      </c>
      <c r="L5255">
        <v>0</v>
      </c>
      <c r="M5255" t="s">
        <v>125</v>
      </c>
      <c r="O5255" t="s">
        <v>125</v>
      </c>
      <c r="P5255" t="s">
        <v>125</v>
      </c>
      <c r="Q5255" t="s">
        <v>125</v>
      </c>
      <c r="R5255" t="s">
        <v>125</v>
      </c>
      <c r="S5255" t="s">
        <v>125</v>
      </c>
      <c r="T5255">
        <v>0</v>
      </c>
      <c r="V5255" t="s">
        <v>125</v>
      </c>
      <c r="AE5255" t="s">
        <v>125</v>
      </c>
      <c r="AF5255">
        <v>0</v>
      </c>
      <c r="AG5255" t="s">
        <v>125</v>
      </c>
      <c r="AH5255">
        <v>0</v>
      </c>
      <c r="AK5255">
        <v>0</v>
      </c>
    </row>
    <row r="5256" spans="1:37" x14ac:dyDescent="0.25">
      <c r="A5256" t="s">
        <v>79</v>
      </c>
      <c r="B5256">
        <v>20</v>
      </c>
      <c r="C5256">
        <v>3</v>
      </c>
      <c r="D5256">
        <v>1</v>
      </c>
      <c r="E5256">
        <v>13</v>
      </c>
      <c r="G5256">
        <v>2031</v>
      </c>
      <c r="H5256" t="s">
        <v>63</v>
      </c>
      <c r="I5256" t="s">
        <v>135</v>
      </c>
      <c r="J5256" t="s">
        <v>153</v>
      </c>
      <c r="L5256">
        <v>0</v>
      </c>
      <c r="M5256" t="s">
        <v>125</v>
      </c>
      <c r="O5256" t="s">
        <v>125</v>
      </c>
      <c r="P5256" t="s">
        <v>125</v>
      </c>
      <c r="Q5256" t="s">
        <v>125</v>
      </c>
      <c r="R5256" t="s">
        <v>125</v>
      </c>
      <c r="S5256" t="s">
        <v>125</v>
      </c>
      <c r="T5256">
        <v>0</v>
      </c>
      <c r="V5256" t="s">
        <v>125</v>
      </c>
      <c r="AE5256" t="s">
        <v>125</v>
      </c>
      <c r="AF5256">
        <v>0</v>
      </c>
      <c r="AG5256" t="s">
        <v>125</v>
      </c>
      <c r="AH5256">
        <v>0</v>
      </c>
      <c r="AK5256">
        <v>0</v>
      </c>
    </row>
    <row r="5257" spans="1:37" x14ac:dyDescent="0.25">
      <c r="A5257" t="s">
        <v>79</v>
      </c>
      <c r="B5257">
        <v>20</v>
      </c>
      <c r="C5257">
        <v>3</v>
      </c>
      <c r="D5257">
        <v>1</v>
      </c>
      <c r="E5257">
        <v>14</v>
      </c>
      <c r="G5257">
        <v>2031</v>
      </c>
      <c r="H5257" t="s">
        <v>63</v>
      </c>
      <c r="I5257" t="s">
        <v>137</v>
      </c>
      <c r="J5257" t="s">
        <v>154</v>
      </c>
      <c r="L5257">
        <v>0</v>
      </c>
      <c r="M5257" t="s">
        <v>125</v>
      </c>
      <c r="O5257" t="s">
        <v>125</v>
      </c>
      <c r="P5257" t="s">
        <v>125</v>
      </c>
      <c r="Q5257" t="s">
        <v>125</v>
      </c>
      <c r="R5257" t="s">
        <v>125</v>
      </c>
      <c r="S5257" t="s">
        <v>125</v>
      </c>
      <c r="T5257">
        <v>0</v>
      </c>
      <c r="V5257" t="s">
        <v>125</v>
      </c>
      <c r="AE5257" t="s">
        <v>125</v>
      </c>
      <c r="AF5257">
        <v>0</v>
      </c>
      <c r="AG5257" t="s">
        <v>125</v>
      </c>
      <c r="AH5257">
        <v>0</v>
      </c>
      <c r="AK5257">
        <v>0</v>
      </c>
    </row>
    <row r="5258" spans="1:37" x14ac:dyDescent="0.25">
      <c r="A5258" t="s">
        <v>79</v>
      </c>
      <c r="B5258">
        <v>20</v>
      </c>
      <c r="C5258">
        <v>3</v>
      </c>
      <c r="D5258">
        <v>1</v>
      </c>
      <c r="E5258">
        <v>15</v>
      </c>
      <c r="G5258">
        <v>2031</v>
      </c>
      <c r="H5258" t="s">
        <v>63</v>
      </c>
      <c r="I5258" t="s">
        <v>139</v>
      </c>
      <c r="J5258" t="s">
        <v>155</v>
      </c>
      <c r="L5258">
        <v>0</v>
      </c>
      <c r="M5258" t="s">
        <v>125</v>
      </c>
      <c r="O5258" t="s">
        <v>125</v>
      </c>
      <c r="P5258" t="s">
        <v>125</v>
      </c>
      <c r="Q5258" t="s">
        <v>125</v>
      </c>
      <c r="R5258" t="s">
        <v>125</v>
      </c>
      <c r="S5258" t="s">
        <v>125</v>
      </c>
      <c r="T5258">
        <v>0</v>
      </c>
      <c r="V5258" t="s">
        <v>125</v>
      </c>
      <c r="AE5258" t="s">
        <v>125</v>
      </c>
      <c r="AF5258">
        <v>0</v>
      </c>
      <c r="AG5258" t="s">
        <v>125</v>
      </c>
      <c r="AH5258">
        <v>0</v>
      </c>
      <c r="AK5258">
        <v>0</v>
      </c>
    </row>
    <row r="5259" spans="1:37" x14ac:dyDescent="0.25">
      <c r="L5259">
        <v>0</v>
      </c>
    </row>
    <row r="5260" spans="1:37" x14ac:dyDescent="0.25">
      <c r="A5260" t="s">
        <v>70</v>
      </c>
      <c r="B5260">
        <v>20</v>
      </c>
      <c r="C5260">
        <v>3</v>
      </c>
      <c r="D5260">
        <v>2</v>
      </c>
      <c r="G5260">
        <v>203</v>
      </c>
      <c r="L5260">
        <v>0</v>
      </c>
      <c r="M5260" t="s">
        <v>125</v>
      </c>
      <c r="P5260" t="s">
        <v>125</v>
      </c>
      <c r="R5260" t="s">
        <v>125</v>
      </c>
      <c r="S5260" t="s">
        <v>63</v>
      </c>
      <c r="V5260" t="s">
        <v>125</v>
      </c>
      <c r="X5260" t="s">
        <v>125</v>
      </c>
      <c r="Y5260" t="s">
        <v>125</v>
      </c>
      <c r="Z5260" t="s">
        <v>125</v>
      </c>
      <c r="AA5260" t="s">
        <v>125</v>
      </c>
      <c r="AB5260" t="s">
        <v>125</v>
      </c>
      <c r="AC5260" t="s">
        <v>125</v>
      </c>
      <c r="AE5260" t="s">
        <v>125</v>
      </c>
      <c r="AF5260">
        <v>0</v>
      </c>
      <c r="AG5260" t="s">
        <v>125</v>
      </c>
      <c r="AH5260">
        <v>0</v>
      </c>
      <c r="AK5260">
        <v>0</v>
      </c>
    </row>
    <row r="5261" spans="1:37" x14ac:dyDescent="0.25">
      <c r="A5261" t="s">
        <v>79</v>
      </c>
      <c r="B5261">
        <v>20</v>
      </c>
      <c r="C5261">
        <v>3</v>
      </c>
      <c r="D5261">
        <v>2</v>
      </c>
      <c r="E5261">
        <v>1</v>
      </c>
      <c r="G5261">
        <v>2032</v>
      </c>
      <c r="H5261" t="s">
        <v>63</v>
      </c>
      <c r="I5261" t="s">
        <v>80</v>
      </c>
      <c r="J5261" t="s">
        <v>141</v>
      </c>
      <c r="L5261">
        <v>0</v>
      </c>
      <c r="M5261" t="s">
        <v>125</v>
      </c>
      <c r="O5261" t="s">
        <v>125</v>
      </c>
      <c r="P5261" t="s">
        <v>125</v>
      </c>
      <c r="Q5261" t="s">
        <v>125</v>
      </c>
      <c r="R5261" t="s">
        <v>125</v>
      </c>
      <c r="S5261" t="s">
        <v>125</v>
      </c>
      <c r="T5261">
        <v>0</v>
      </c>
      <c r="V5261" t="s">
        <v>125</v>
      </c>
      <c r="AE5261" t="s">
        <v>125</v>
      </c>
      <c r="AF5261">
        <v>0</v>
      </c>
      <c r="AG5261" t="s">
        <v>125</v>
      </c>
      <c r="AH5261">
        <v>0</v>
      </c>
      <c r="AK5261">
        <v>0</v>
      </c>
    </row>
    <row r="5262" spans="1:37" x14ac:dyDescent="0.25">
      <c r="A5262" t="s">
        <v>79</v>
      </c>
      <c r="B5262">
        <v>20</v>
      </c>
      <c r="C5262">
        <v>3</v>
      </c>
      <c r="D5262">
        <v>2</v>
      </c>
      <c r="E5262">
        <v>2</v>
      </c>
      <c r="G5262">
        <v>2032</v>
      </c>
      <c r="H5262" t="s">
        <v>63</v>
      </c>
      <c r="I5262" t="s">
        <v>88</v>
      </c>
      <c r="J5262" t="s">
        <v>142</v>
      </c>
      <c r="L5262">
        <v>0</v>
      </c>
      <c r="M5262" t="s">
        <v>125</v>
      </c>
      <c r="O5262" t="s">
        <v>125</v>
      </c>
      <c r="P5262" t="s">
        <v>125</v>
      </c>
      <c r="Q5262" t="s">
        <v>125</v>
      </c>
      <c r="R5262" t="s">
        <v>125</v>
      </c>
      <c r="S5262" t="s">
        <v>125</v>
      </c>
      <c r="T5262">
        <v>0</v>
      </c>
      <c r="V5262" t="s">
        <v>125</v>
      </c>
      <c r="AE5262" t="s">
        <v>125</v>
      </c>
      <c r="AF5262">
        <v>0</v>
      </c>
      <c r="AG5262" t="s">
        <v>125</v>
      </c>
      <c r="AH5262">
        <v>0</v>
      </c>
      <c r="AK5262">
        <v>0</v>
      </c>
    </row>
    <row r="5263" spans="1:37" x14ac:dyDescent="0.25">
      <c r="A5263" t="s">
        <v>79</v>
      </c>
      <c r="B5263">
        <v>20</v>
      </c>
      <c r="C5263">
        <v>3</v>
      </c>
      <c r="D5263">
        <v>2</v>
      </c>
      <c r="E5263">
        <v>3</v>
      </c>
      <c r="G5263">
        <v>2032</v>
      </c>
      <c r="H5263" t="s">
        <v>63</v>
      </c>
      <c r="I5263" t="s">
        <v>95</v>
      </c>
      <c r="J5263" t="s">
        <v>143</v>
      </c>
      <c r="L5263">
        <v>0</v>
      </c>
      <c r="M5263" t="s">
        <v>125</v>
      </c>
      <c r="O5263" t="s">
        <v>125</v>
      </c>
      <c r="P5263" t="s">
        <v>125</v>
      </c>
      <c r="Q5263" t="s">
        <v>125</v>
      </c>
      <c r="R5263" t="s">
        <v>125</v>
      </c>
      <c r="S5263" t="s">
        <v>125</v>
      </c>
      <c r="T5263">
        <v>0</v>
      </c>
      <c r="V5263" t="s">
        <v>125</v>
      </c>
      <c r="AE5263" t="s">
        <v>125</v>
      </c>
      <c r="AF5263">
        <v>0</v>
      </c>
      <c r="AG5263" t="s">
        <v>125</v>
      </c>
      <c r="AH5263">
        <v>0</v>
      </c>
      <c r="AK5263">
        <v>0</v>
      </c>
    </row>
    <row r="5264" spans="1:37" x14ac:dyDescent="0.25">
      <c r="A5264" t="s">
        <v>79</v>
      </c>
      <c r="B5264">
        <v>20</v>
      </c>
      <c r="C5264">
        <v>3</v>
      </c>
      <c r="D5264">
        <v>2</v>
      </c>
      <c r="E5264">
        <v>4</v>
      </c>
      <c r="G5264">
        <v>2032</v>
      </c>
      <c r="H5264" t="s">
        <v>63</v>
      </c>
      <c r="I5264" t="s">
        <v>102</v>
      </c>
      <c r="J5264" t="s">
        <v>144</v>
      </c>
      <c r="L5264">
        <v>0</v>
      </c>
      <c r="M5264" t="s">
        <v>125</v>
      </c>
      <c r="O5264" t="s">
        <v>125</v>
      </c>
      <c r="P5264" t="s">
        <v>125</v>
      </c>
      <c r="Q5264" t="s">
        <v>125</v>
      </c>
      <c r="R5264" t="s">
        <v>125</v>
      </c>
      <c r="S5264" t="s">
        <v>125</v>
      </c>
      <c r="T5264">
        <v>0</v>
      </c>
      <c r="V5264" t="s">
        <v>125</v>
      </c>
      <c r="AE5264" t="s">
        <v>125</v>
      </c>
      <c r="AF5264">
        <v>0</v>
      </c>
      <c r="AG5264" t="s">
        <v>125</v>
      </c>
      <c r="AH5264">
        <v>0</v>
      </c>
      <c r="AK5264">
        <v>0</v>
      </c>
    </row>
    <row r="5265" spans="1:37" x14ac:dyDescent="0.25">
      <c r="A5265" t="s">
        <v>79</v>
      </c>
      <c r="B5265">
        <v>20</v>
      </c>
      <c r="C5265">
        <v>3</v>
      </c>
      <c r="D5265">
        <v>2</v>
      </c>
      <c r="E5265">
        <v>5</v>
      </c>
      <c r="G5265">
        <v>2032</v>
      </c>
      <c r="H5265" t="s">
        <v>63</v>
      </c>
      <c r="I5265" t="s">
        <v>109</v>
      </c>
      <c r="J5265" t="s">
        <v>145</v>
      </c>
      <c r="L5265">
        <v>0</v>
      </c>
      <c r="M5265" t="s">
        <v>125</v>
      </c>
      <c r="O5265" t="s">
        <v>125</v>
      </c>
      <c r="P5265" t="s">
        <v>125</v>
      </c>
      <c r="Q5265" t="s">
        <v>125</v>
      </c>
      <c r="R5265" t="s">
        <v>125</v>
      </c>
      <c r="S5265" t="s">
        <v>125</v>
      </c>
      <c r="T5265">
        <v>0</v>
      </c>
      <c r="V5265" t="s">
        <v>125</v>
      </c>
      <c r="AE5265" t="s">
        <v>125</v>
      </c>
      <c r="AF5265">
        <v>0</v>
      </c>
      <c r="AG5265" t="s">
        <v>125</v>
      </c>
      <c r="AH5265">
        <v>0</v>
      </c>
      <c r="AK5265">
        <v>0</v>
      </c>
    </row>
    <row r="5266" spans="1:37" x14ac:dyDescent="0.25">
      <c r="A5266" t="s">
        <v>79</v>
      </c>
      <c r="B5266">
        <v>20</v>
      </c>
      <c r="C5266">
        <v>3</v>
      </c>
      <c r="D5266">
        <v>2</v>
      </c>
      <c r="E5266">
        <v>6</v>
      </c>
      <c r="G5266">
        <v>2032</v>
      </c>
      <c r="H5266" t="s">
        <v>63</v>
      </c>
      <c r="I5266" t="s">
        <v>116</v>
      </c>
      <c r="J5266" t="s">
        <v>146</v>
      </c>
      <c r="L5266">
        <v>0</v>
      </c>
      <c r="M5266" t="s">
        <v>125</v>
      </c>
      <c r="O5266" t="s">
        <v>125</v>
      </c>
      <c r="P5266" t="s">
        <v>125</v>
      </c>
      <c r="Q5266" t="s">
        <v>125</v>
      </c>
      <c r="R5266" t="s">
        <v>125</v>
      </c>
      <c r="S5266" t="s">
        <v>125</v>
      </c>
      <c r="T5266">
        <v>0</v>
      </c>
      <c r="V5266" t="s">
        <v>125</v>
      </c>
      <c r="AE5266" t="s">
        <v>125</v>
      </c>
      <c r="AF5266">
        <v>0</v>
      </c>
      <c r="AG5266" t="s">
        <v>125</v>
      </c>
      <c r="AH5266">
        <v>0</v>
      </c>
      <c r="AK5266">
        <v>0</v>
      </c>
    </row>
    <row r="5267" spans="1:37" x14ac:dyDescent="0.25">
      <c r="A5267" t="s">
        <v>79</v>
      </c>
      <c r="B5267">
        <v>20</v>
      </c>
      <c r="C5267">
        <v>3</v>
      </c>
      <c r="D5267">
        <v>2</v>
      </c>
      <c r="E5267">
        <v>7</v>
      </c>
      <c r="G5267">
        <v>2032</v>
      </c>
      <c r="H5267" t="s">
        <v>63</v>
      </c>
      <c r="I5267" t="s">
        <v>123</v>
      </c>
      <c r="J5267" t="s">
        <v>147</v>
      </c>
      <c r="L5267">
        <v>0</v>
      </c>
      <c r="M5267" t="s">
        <v>125</v>
      </c>
      <c r="O5267" t="s">
        <v>125</v>
      </c>
      <c r="P5267" t="s">
        <v>125</v>
      </c>
      <c r="Q5267" t="s">
        <v>125</v>
      </c>
      <c r="R5267" t="s">
        <v>125</v>
      </c>
      <c r="S5267" t="s">
        <v>125</v>
      </c>
      <c r="T5267">
        <v>0</v>
      </c>
      <c r="V5267" t="s">
        <v>125</v>
      </c>
      <c r="AE5267" t="s">
        <v>125</v>
      </c>
      <c r="AF5267">
        <v>0</v>
      </c>
      <c r="AG5267" t="s">
        <v>125</v>
      </c>
      <c r="AH5267">
        <v>0</v>
      </c>
      <c r="AK5267">
        <v>0</v>
      </c>
    </row>
    <row r="5268" spans="1:37" x14ac:dyDescent="0.25">
      <c r="A5268" t="s">
        <v>79</v>
      </c>
      <c r="B5268">
        <v>20</v>
      </c>
      <c r="C5268">
        <v>3</v>
      </c>
      <c r="D5268">
        <v>2</v>
      </c>
      <c r="E5268">
        <v>8</v>
      </c>
      <c r="G5268">
        <v>2032</v>
      </c>
      <c r="H5268" t="s">
        <v>63</v>
      </c>
      <c r="I5268" t="s">
        <v>126</v>
      </c>
      <c r="J5268" t="s">
        <v>148</v>
      </c>
      <c r="L5268">
        <v>0</v>
      </c>
      <c r="M5268" t="s">
        <v>125</v>
      </c>
      <c r="O5268" t="s">
        <v>125</v>
      </c>
      <c r="P5268" t="s">
        <v>125</v>
      </c>
      <c r="Q5268" t="s">
        <v>125</v>
      </c>
      <c r="R5268" t="s">
        <v>125</v>
      </c>
      <c r="S5268" t="s">
        <v>125</v>
      </c>
      <c r="T5268">
        <v>0</v>
      </c>
      <c r="V5268" t="s">
        <v>125</v>
      </c>
      <c r="AE5268" t="s">
        <v>125</v>
      </c>
      <c r="AF5268">
        <v>0</v>
      </c>
      <c r="AG5268" t="s">
        <v>125</v>
      </c>
      <c r="AH5268">
        <v>0</v>
      </c>
      <c r="AK5268">
        <v>0</v>
      </c>
    </row>
    <row r="5269" spans="1:37" x14ac:dyDescent="0.25">
      <c r="A5269" t="s">
        <v>79</v>
      </c>
      <c r="B5269">
        <v>20</v>
      </c>
      <c r="C5269">
        <v>3</v>
      </c>
      <c r="D5269">
        <v>2</v>
      </c>
      <c r="E5269">
        <v>9</v>
      </c>
      <c r="G5269">
        <v>2032</v>
      </c>
      <c r="H5269" t="s">
        <v>63</v>
      </c>
      <c r="I5269" t="s">
        <v>74</v>
      </c>
      <c r="J5269" t="s">
        <v>149</v>
      </c>
      <c r="L5269">
        <v>0</v>
      </c>
      <c r="M5269" t="s">
        <v>125</v>
      </c>
      <c r="O5269" t="s">
        <v>125</v>
      </c>
      <c r="P5269" t="s">
        <v>125</v>
      </c>
      <c r="Q5269" t="s">
        <v>125</v>
      </c>
      <c r="R5269" t="s">
        <v>125</v>
      </c>
      <c r="S5269" t="s">
        <v>125</v>
      </c>
      <c r="T5269">
        <v>0</v>
      </c>
      <c r="V5269" t="s">
        <v>125</v>
      </c>
      <c r="AE5269" t="s">
        <v>125</v>
      </c>
      <c r="AF5269">
        <v>0</v>
      </c>
      <c r="AG5269" t="s">
        <v>125</v>
      </c>
      <c r="AH5269">
        <v>0</v>
      </c>
      <c r="AK5269">
        <v>0</v>
      </c>
    </row>
    <row r="5270" spans="1:37" x14ac:dyDescent="0.25">
      <c r="A5270" t="s">
        <v>79</v>
      </c>
      <c r="B5270">
        <v>20</v>
      </c>
      <c r="C5270">
        <v>3</v>
      </c>
      <c r="D5270">
        <v>2</v>
      </c>
      <c r="E5270">
        <v>10</v>
      </c>
      <c r="G5270">
        <v>2032</v>
      </c>
      <c r="H5270" t="s">
        <v>63</v>
      </c>
      <c r="I5270" t="s">
        <v>129</v>
      </c>
      <c r="J5270" t="s">
        <v>150</v>
      </c>
      <c r="L5270">
        <v>0</v>
      </c>
      <c r="M5270" t="s">
        <v>125</v>
      </c>
      <c r="O5270" t="s">
        <v>125</v>
      </c>
      <c r="P5270" t="s">
        <v>125</v>
      </c>
      <c r="Q5270" t="s">
        <v>125</v>
      </c>
      <c r="R5270" t="s">
        <v>125</v>
      </c>
      <c r="S5270" t="s">
        <v>125</v>
      </c>
      <c r="T5270">
        <v>0</v>
      </c>
      <c r="V5270" t="s">
        <v>125</v>
      </c>
      <c r="AE5270" t="s">
        <v>125</v>
      </c>
      <c r="AF5270">
        <v>0</v>
      </c>
      <c r="AG5270" t="s">
        <v>125</v>
      </c>
      <c r="AH5270">
        <v>0</v>
      </c>
      <c r="AK5270">
        <v>0</v>
      </c>
    </row>
    <row r="5271" spans="1:37" x14ac:dyDescent="0.25">
      <c r="A5271" t="s">
        <v>79</v>
      </c>
      <c r="B5271">
        <v>20</v>
      </c>
      <c r="C5271">
        <v>3</v>
      </c>
      <c r="D5271">
        <v>2</v>
      </c>
      <c r="E5271">
        <v>11</v>
      </c>
      <c r="G5271">
        <v>2032</v>
      </c>
      <c r="H5271" t="s">
        <v>63</v>
      </c>
      <c r="I5271" t="s">
        <v>131</v>
      </c>
      <c r="J5271" t="s">
        <v>151</v>
      </c>
      <c r="L5271">
        <v>0</v>
      </c>
      <c r="M5271" t="s">
        <v>125</v>
      </c>
      <c r="O5271" t="s">
        <v>125</v>
      </c>
      <c r="P5271" t="s">
        <v>125</v>
      </c>
      <c r="Q5271" t="s">
        <v>125</v>
      </c>
      <c r="R5271" t="s">
        <v>125</v>
      </c>
      <c r="S5271" t="s">
        <v>125</v>
      </c>
      <c r="T5271">
        <v>0</v>
      </c>
      <c r="V5271" t="s">
        <v>125</v>
      </c>
      <c r="AE5271" t="s">
        <v>125</v>
      </c>
      <c r="AF5271">
        <v>0</v>
      </c>
      <c r="AG5271" t="s">
        <v>125</v>
      </c>
      <c r="AH5271">
        <v>0</v>
      </c>
      <c r="AK5271">
        <v>0</v>
      </c>
    </row>
    <row r="5272" spans="1:37" x14ac:dyDescent="0.25">
      <c r="A5272" t="s">
        <v>79</v>
      </c>
      <c r="B5272">
        <v>20</v>
      </c>
      <c r="C5272">
        <v>3</v>
      </c>
      <c r="D5272">
        <v>2</v>
      </c>
      <c r="E5272">
        <v>12</v>
      </c>
      <c r="G5272">
        <v>2032</v>
      </c>
      <c r="H5272" t="s">
        <v>63</v>
      </c>
      <c r="I5272" t="s">
        <v>133</v>
      </c>
      <c r="J5272" t="s">
        <v>152</v>
      </c>
      <c r="L5272">
        <v>0</v>
      </c>
      <c r="M5272" t="s">
        <v>125</v>
      </c>
      <c r="O5272" t="s">
        <v>125</v>
      </c>
      <c r="P5272" t="s">
        <v>125</v>
      </c>
      <c r="Q5272" t="s">
        <v>125</v>
      </c>
      <c r="R5272" t="s">
        <v>125</v>
      </c>
      <c r="S5272" t="s">
        <v>125</v>
      </c>
      <c r="T5272">
        <v>0</v>
      </c>
      <c r="V5272" t="s">
        <v>125</v>
      </c>
      <c r="AE5272" t="s">
        <v>125</v>
      </c>
      <c r="AF5272">
        <v>0</v>
      </c>
      <c r="AG5272" t="s">
        <v>125</v>
      </c>
      <c r="AH5272">
        <v>0</v>
      </c>
      <c r="AK5272">
        <v>0</v>
      </c>
    </row>
    <row r="5273" spans="1:37" x14ac:dyDescent="0.25">
      <c r="A5273" t="s">
        <v>79</v>
      </c>
      <c r="B5273">
        <v>20</v>
      </c>
      <c r="C5273">
        <v>3</v>
      </c>
      <c r="D5273">
        <v>2</v>
      </c>
      <c r="E5273">
        <v>13</v>
      </c>
      <c r="G5273">
        <v>2032</v>
      </c>
      <c r="H5273" t="s">
        <v>63</v>
      </c>
      <c r="I5273" t="s">
        <v>135</v>
      </c>
      <c r="J5273" t="s">
        <v>153</v>
      </c>
      <c r="L5273">
        <v>0</v>
      </c>
      <c r="M5273" t="s">
        <v>125</v>
      </c>
      <c r="O5273" t="s">
        <v>125</v>
      </c>
      <c r="P5273" t="s">
        <v>125</v>
      </c>
      <c r="Q5273" t="s">
        <v>125</v>
      </c>
      <c r="R5273" t="s">
        <v>125</v>
      </c>
      <c r="S5273" t="s">
        <v>125</v>
      </c>
      <c r="T5273">
        <v>0</v>
      </c>
      <c r="V5273" t="s">
        <v>125</v>
      </c>
      <c r="AE5273" t="s">
        <v>125</v>
      </c>
      <c r="AF5273">
        <v>0</v>
      </c>
      <c r="AG5273" t="s">
        <v>125</v>
      </c>
      <c r="AH5273">
        <v>0</v>
      </c>
      <c r="AK5273">
        <v>0</v>
      </c>
    </row>
    <row r="5274" spans="1:37" x14ac:dyDescent="0.25">
      <c r="A5274" t="s">
        <v>79</v>
      </c>
      <c r="B5274">
        <v>20</v>
      </c>
      <c r="C5274">
        <v>3</v>
      </c>
      <c r="D5274">
        <v>2</v>
      </c>
      <c r="E5274">
        <v>14</v>
      </c>
      <c r="G5274">
        <v>2032</v>
      </c>
      <c r="H5274" t="s">
        <v>63</v>
      </c>
      <c r="I5274" t="s">
        <v>137</v>
      </c>
      <c r="J5274" t="s">
        <v>154</v>
      </c>
      <c r="L5274">
        <v>0</v>
      </c>
      <c r="M5274" t="s">
        <v>125</v>
      </c>
      <c r="O5274" t="s">
        <v>125</v>
      </c>
      <c r="P5274" t="s">
        <v>125</v>
      </c>
      <c r="Q5274" t="s">
        <v>125</v>
      </c>
      <c r="R5274" t="s">
        <v>125</v>
      </c>
      <c r="S5274" t="s">
        <v>125</v>
      </c>
      <c r="T5274">
        <v>0</v>
      </c>
      <c r="V5274" t="s">
        <v>125</v>
      </c>
      <c r="AE5274" t="s">
        <v>125</v>
      </c>
      <c r="AF5274">
        <v>0</v>
      </c>
      <c r="AG5274" t="s">
        <v>125</v>
      </c>
      <c r="AH5274">
        <v>0</v>
      </c>
      <c r="AK5274">
        <v>0</v>
      </c>
    </row>
    <row r="5275" spans="1:37" x14ac:dyDescent="0.25">
      <c r="A5275" t="s">
        <v>79</v>
      </c>
      <c r="B5275">
        <v>20</v>
      </c>
      <c r="C5275">
        <v>3</v>
      </c>
      <c r="D5275">
        <v>2</v>
      </c>
      <c r="E5275">
        <v>15</v>
      </c>
      <c r="G5275">
        <v>2032</v>
      </c>
      <c r="H5275" t="s">
        <v>63</v>
      </c>
      <c r="I5275" t="s">
        <v>139</v>
      </c>
      <c r="J5275" t="s">
        <v>155</v>
      </c>
      <c r="L5275">
        <v>0</v>
      </c>
      <c r="M5275" t="s">
        <v>125</v>
      </c>
      <c r="O5275" t="s">
        <v>125</v>
      </c>
      <c r="P5275" t="s">
        <v>125</v>
      </c>
      <c r="Q5275" t="s">
        <v>125</v>
      </c>
      <c r="R5275" t="s">
        <v>125</v>
      </c>
      <c r="S5275" t="s">
        <v>125</v>
      </c>
      <c r="T5275">
        <v>0</v>
      </c>
      <c r="V5275" t="s">
        <v>125</v>
      </c>
      <c r="AE5275" t="s">
        <v>125</v>
      </c>
      <c r="AF5275">
        <v>0</v>
      </c>
      <c r="AG5275" t="s">
        <v>125</v>
      </c>
      <c r="AH5275">
        <v>0</v>
      </c>
      <c r="AK5275">
        <v>0</v>
      </c>
    </row>
    <row r="5276" spans="1:37" x14ac:dyDescent="0.25">
      <c r="L5276">
        <v>0</v>
      </c>
    </row>
    <row r="5277" spans="1:37" x14ac:dyDescent="0.25">
      <c r="A5277" t="s">
        <v>70</v>
      </c>
      <c r="B5277">
        <v>20</v>
      </c>
      <c r="C5277">
        <v>3</v>
      </c>
      <c r="D5277">
        <v>3</v>
      </c>
      <c r="G5277">
        <v>203</v>
      </c>
      <c r="L5277">
        <v>0</v>
      </c>
      <c r="M5277" t="s">
        <v>125</v>
      </c>
      <c r="P5277" t="s">
        <v>125</v>
      </c>
      <c r="R5277" t="s">
        <v>125</v>
      </c>
      <c r="S5277" t="s">
        <v>63</v>
      </c>
      <c r="V5277" t="s">
        <v>125</v>
      </c>
      <c r="X5277" t="s">
        <v>125</v>
      </c>
      <c r="Y5277" t="s">
        <v>125</v>
      </c>
      <c r="Z5277" t="s">
        <v>125</v>
      </c>
      <c r="AA5277" t="s">
        <v>125</v>
      </c>
      <c r="AB5277" t="s">
        <v>125</v>
      </c>
      <c r="AC5277" t="s">
        <v>125</v>
      </c>
      <c r="AE5277" t="s">
        <v>125</v>
      </c>
      <c r="AF5277">
        <v>0</v>
      </c>
      <c r="AG5277" t="s">
        <v>125</v>
      </c>
      <c r="AH5277">
        <v>0</v>
      </c>
      <c r="AK5277">
        <v>0</v>
      </c>
    </row>
    <row r="5278" spans="1:37" x14ac:dyDescent="0.25">
      <c r="A5278" t="s">
        <v>79</v>
      </c>
      <c r="B5278">
        <v>20</v>
      </c>
      <c r="C5278">
        <v>3</v>
      </c>
      <c r="D5278">
        <v>3</v>
      </c>
      <c r="E5278">
        <v>1</v>
      </c>
      <c r="G5278">
        <v>2033</v>
      </c>
      <c r="H5278" t="s">
        <v>63</v>
      </c>
      <c r="I5278" t="s">
        <v>80</v>
      </c>
      <c r="J5278" t="s">
        <v>141</v>
      </c>
      <c r="L5278">
        <v>0</v>
      </c>
      <c r="M5278" t="s">
        <v>125</v>
      </c>
      <c r="O5278" t="s">
        <v>125</v>
      </c>
      <c r="P5278" t="s">
        <v>125</v>
      </c>
      <c r="Q5278" t="s">
        <v>125</v>
      </c>
      <c r="R5278" t="s">
        <v>125</v>
      </c>
      <c r="S5278" t="s">
        <v>125</v>
      </c>
      <c r="T5278">
        <v>0</v>
      </c>
      <c r="V5278" t="s">
        <v>125</v>
      </c>
      <c r="AE5278" t="s">
        <v>125</v>
      </c>
      <c r="AF5278">
        <v>0</v>
      </c>
      <c r="AG5278" t="s">
        <v>125</v>
      </c>
      <c r="AH5278">
        <v>0</v>
      </c>
      <c r="AK5278">
        <v>0</v>
      </c>
    </row>
    <row r="5279" spans="1:37" x14ac:dyDescent="0.25">
      <c r="A5279" t="s">
        <v>79</v>
      </c>
      <c r="B5279">
        <v>20</v>
      </c>
      <c r="C5279">
        <v>3</v>
      </c>
      <c r="D5279">
        <v>3</v>
      </c>
      <c r="E5279">
        <v>2</v>
      </c>
      <c r="G5279">
        <v>2033</v>
      </c>
      <c r="H5279" t="s">
        <v>63</v>
      </c>
      <c r="I5279" t="s">
        <v>88</v>
      </c>
      <c r="J5279" t="s">
        <v>142</v>
      </c>
      <c r="L5279">
        <v>0</v>
      </c>
      <c r="M5279" t="s">
        <v>125</v>
      </c>
      <c r="O5279" t="s">
        <v>125</v>
      </c>
      <c r="P5279" t="s">
        <v>125</v>
      </c>
      <c r="Q5279" t="s">
        <v>125</v>
      </c>
      <c r="R5279" t="s">
        <v>125</v>
      </c>
      <c r="S5279" t="s">
        <v>125</v>
      </c>
      <c r="T5279">
        <v>0</v>
      </c>
      <c r="V5279" t="s">
        <v>125</v>
      </c>
      <c r="AE5279" t="s">
        <v>125</v>
      </c>
      <c r="AF5279">
        <v>0</v>
      </c>
      <c r="AG5279" t="s">
        <v>125</v>
      </c>
      <c r="AH5279">
        <v>0</v>
      </c>
      <c r="AK5279">
        <v>0</v>
      </c>
    </row>
    <row r="5280" spans="1:37" x14ac:dyDescent="0.25">
      <c r="A5280" t="s">
        <v>79</v>
      </c>
      <c r="B5280">
        <v>20</v>
      </c>
      <c r="C5280">
        <v>3</v>
      </c>
      <c r="D5280">
        <v>3</v>
      </c>
      <c r="E5280">
        <v>3</v>
      </c>
      <c r="G5280">
        <v>2033</v>
      </c>
      <c r="H5280" t="s">
        <v>63</v>
      </c>
      <c r="I5280" t="s">
        <v>95</v>
      </c>
      <c r="J5280" t="s">
        <v>143</v>
      </c>
      <c r="L5280">
        <v>0</v>
      </c>
      <c r="M5280" t="s">
        <v>125</v>
      </c>
      <c r="O5280" t="s">
        <v>125</v>
      </c>
      <c r="P5280" t="s">
        <v>125</v>
      </c>
      <c r="Q5280" t="s">
        <v>125</v>
      </c>
      <c r="R5280" t="s">
        <v>125</v>
      </c>
      <c r="S5280" t="s">
        <v>125</v>
      </c>
      <c r="T5280">
        <v>0</v>
      </c>
      <c r="V5280" t="s">
        <v>125</v>
      </c>
      <c r="AE5280" t="s">
        <v>125</v>
      </c>
      <c r="AF5280">
        <v>0</v>
      </c>
      <c r="AG5280" t="s">
        <v>125</v>
      </c>
      <c r="AH5280">
        <v>0</v>
      </c>
      <c r="AK5280">
        <v>0</v>
      </c>
    </row>
    <row r="5281" spans="1:37" x14ac:dyDescent="0.25">
      <c r="A5281" t="s">
        <v>79</v>
      </c>
      <c r="B5281">
        <v>20</v>
      </c>
      <c r="C5281">
        <v>3</v>
      </c>
      <c r="D5281">
        <v>3</v>
      </c>
      <c r="E5281">
        <v>4</v>
      </c>
      <c r="G5281">
        <v>2033</v>
      </c>
      <c r="H5281" t="s">
        <v>63</v>
      </c>
      <c r="I5281" t="s">
        <v>102</v>
      </c>
      <c r="J5281" t="s">
        <v>144</v>
      </c>
      <c r="L5281">
        <v>0</v>
      </c>
      <c r="M5281" t="s">
        <v>125</v>
      </c>
      <c r="O5281" t="s">
        <v>125</v>
      </c>
      <c r="P5281" t="s">
        <v>125</v>
      </c>
      <c r="Q5281" t="s">
        <v>125</v>
      </c>
      <c r="R5281" t="s">
        <v>125</v>
      </c>
      <c r="S5281" t="s">
        <v>125</v>
      </c>
      <c r="T5281">
        <v>0</v>
      </c>
      <c r="V5281" t="s">
        <v>125</v>
      </c>
      <c r="AE5281" t="s">
        <v>125</v>
      </c>
      <c r="AF5281">
        <v>0</v>
      </c>
      <c r="AG5281" t="s">
        <v>125</v>
      </c>
      <c r="AH5281">
        <v>0</v>
      </c>
      <c r="AK5281">
        <v>0</v>
      </c>
    </row>
    <row r="5282" spans="1:37" x14ac:dyDescent="0.25">
      <c r="A5282" t="s">
        <v>79</v>
      </c>
      <c r="B5282">
        <v>20</v>
      </c>
      <c r="C5282">
        <v>3</v>
      </c>
      <c r="D5282">
        <v>3</v>
      </c>
      <c r="E5282">
        <v>5</v>
      </c>
      <c r="G5282">
        <v>2033</v>
      </c>
      <c r="H5282" t="s">
        <v>63</v>
      </c>
      <c r="I5282" t="s">
        <v>109</v>
      </c>
      <c r="J5282" t="s">
        <v>145</v>
      </c>
      <c r="L5282">
        <v>0</v>
      </c>
      <c r="M5282" t="s">
        <v>125</v>
      </c>
      <c r="O5282" t="s">
        <v>125</v>
      </c>
      <c r="P5282" t="s">
        <v>125</v>
      </c>
      <c r="Q5282" t="s">
        <v>125</v>
      </c>
      <c r="R5282" t="s">
        <v>125</v>
      </c>
      <c r="S5282" t="s">
        <v>125</v>
      </c>
      <c r="T5282">
        <v>0</v>
      </c>
      <c r="V5282" t="s">
        <v>125</v>
      </c>
      <c r="AE5282" t="s">
        <v>125</v>
      </c>
      <c r="AF5282">
        <v>0</v>
      </c>
      <c r="AG5282" t="s">
        <v>125</v>
      </c>
      <c r="AH5282">
        <v>0</v>
      </c>
      <c r="AK5282">
        <v>0</v>
      </c>
    </row>
    <row r="5283" spans="1:37" x14ac:dyDescent="0.25">
      <c r="A5283" t="s">
        <v>79</v>
      </c>
      <c r="B5283">
        <v>20</v>
      </c>
      <c r="C5283">
        <v>3</v>
      </c>
      <c r="D5283">
        <v>3</v>
      </c>
      <c r="E5283">
        <v>6</v>
      </c>
      <c r="G5283">
        <v>2033</v>
      </c>
      <c r="H5283" t="s">
        <v>63</v>
      </c>
      <c r="I5283" t="s">
        <v>116</v>
      </c>
      <c r="J5283" t="s">
        <v>146</v>
      </c>
      <c r="L5283">
        <v>0</v>
      </c>
      <c r="M5283" t="s">
        <v>125</v>
      </c>
      <c r="O5283" t="s">
        <v>125</v>
      </c>
      <c r="P5283" t="s">
        <v>125</v>
      </c>
      <c r="Q5283" t="s">
        <v>125</v>
      </c>
      <c r="R5283" t="s">
        <v>125</v>
      </c>
      <c r="S5283" t="s">
        <v>125</v>
      </c>
      <c r="T5283">
        <v>0</v>
      </c>
      <c r="V5283" t="s">
        <v>125</v>
      </c>
      <c r="AE5283" t="s">
        <v>125</v>
      </c>
      <c r="AF5283">
        <v>0</v>
      </c>
      <c r="AG5283" t="s">
        <v>125</v>
      </c>
      <c r="AH5283">
        <v>0</v>
      </c>
      <c r="AK5283">
        <v>0</v>
      </c>
    </row>
    <row r="5284" spans="1:37" x14ac:dyDescent="0.25">
      <c r="A5284" t="s">
        <v>79</v>
      </c>
      <c r="B5284">
        <v>20</v>
      </c>
      <c r="C5284">
        <v>3</v>
      </c>
      <c r="D5284">
        <v>3</v>
      </c>
      <c r="E5284">
        <v>7</v>
      </c>
      <c r="G5284">
        <v>2033</v>
      </c>
      <c r="H5284" t="s">
        <v>63</v>
      </c>
      <c r="I5284" t="s">
        <v>123</v>
      </c>
      <c r="J5284" t="s">
        <v>147</v>
      </c>
      <c r="L5284">
        <v>0</v>
      </c>
      <c r="M5284" t="s">
        <v>125</v>
      </c>
      <c r="O5284" t="s">
        <v>125</v>
      </c>
      <c r="P5284" t="s">
        <v>125</v>
      </c>
      <c r="Q5284" t="s">
        <v>125</v>
      </c>
      <c r="R5284" t="s">
        <v>125</v>
      </c>
      <c r="S5284" t="s">
        <v>125</v>
      </c>
      <c r="T5284">
        <v>0</v>
      </c>
      <c r="V5284" t="s">
        <v>125</v>
      </c>
      <c r="AE5284" t="s">
        <v>125</v>
      </c>
      <c r="AF5284">
        <v>0</v>
      </c>
      <c r="AG5284" t="s">
        <v>125</v>
      </c>
      <c r="AH5284">
        <v>0</v>
      </c>
      <c r="AK5284">
        <v>0</v>
      </c>
    </row>
    <row r="5285" spans="1:37" x14ac:dyDescent="0.25">
      <c r="A5285" t="s">
        <v>79</v>
      </c>
      <c r="B5285">
        <v>20</v>
      </c>
      <c r="C5285">
        <v>3</v>
      </c>
      <c r="D5285">
        <v>3</v>
      </c>
      <c r="E5285">
        <v>8</v>
      </c>
      <c r="G5285">
        <v>2033</v>
      </c>
      <c r="H5285" t="s">
        <v>63</v>
      </c>
      <c r="I5285" t="s">
        <v>126</v>
      </c>
      <c r="J5285" t="s">
        <v>148</v>
      </c>
      <c r="L5285">
        <v>0</v>
      </c>
      <c r="M5285" t="s">
        <v>125</v>
      </c>
      <c r="O5285" t="s">
        <v>125</v>
      </c>
      <c r="P5285" t="s">
        <v>125</v>
      </c>
      <c r="Q5285" t="s">
        <v>125</v>
      </c>
      <c r="R5285" t="s">
        <v>125</v>
      </c>
      <c r="S5285" t="s">
        <v>125</v>
      </c>
      <c r="T5285">
        <v>0</v>
      </c>
      <c r="V5285" t="s">
        <v>125</v>
      </c>
      <c r="AE5285" t="s">
        <v>125</v>
      </c>
      <c r="AF5285">
        <v>0</v>
      </c>
      <c r="AG5285" t="s">
        <v>125</v>
      </c>
      <c r="AH5285">
        <v>0</v>
      </c>
      <c r="AK5285">
        <v>0</v>
      </c>
    </row>
    <row r="5286" spans="1:37" x14ac:dyDescent="0.25">
      <c r="A5286" t="s">
        <v>79</v>
      </c>
      <c r="B5286">
        <v>20</v>
      </c>
      <c r="C5286">
        <v>3</v>
      </c>
      <c r="D5286">
        <v>3</v>
      </c>
      <c r="E5286">
        <v>9</v>
      </c>
      <c r="G5286">
        <v>2033</v>
      </c>
      <c r="H5286" t="s">
        <v>63</v>
      </c>
      <c r="I5286" t="s">
        <v>74</v>
      </c>
      <c r="J5286" t="s">
        <v>149</v>
      </c>
      <c r="L5286">
        <v>0</v>
      </c>
      <c r="M5286" t="s">
        <v>125</v>
      </c>
      <c r="O5286" t="s">
        <v>125</v>
      </c>
      <c r="P5286" t="s">
        <v>125</v>
      </c>
      <c r="Q5286" t="s">
        <v>125</v>
      </c>
      <c r="R5286" t="s">
        <v>125</v>
      </c>
      <c r="S5286" t="s">
        <v>125</v>
      </c>
      <c r="T5286">
        <v>0</v>
      </c>
      <c r="V5286" t="s">
        <v>125</v>
      </c>
      <c r="AE5286" t="s">
        <v>125</v>
      </c>
      <c r="AF5286">
        <v>0</v>
      </c>
      <c r="AG5286" t="s">
        <v>125</v>
      </c>
      <c r="AH5286">
        <v>0</v>
      </c>
      <c r="AK5286">
        <v>0</v>
      </c>
    </row>
    <row r="5287" spans="1:37" x14ac:dyDescent="0.25">
      <c r="A5287" t="s">
        <v>79</v>
      </c>
      <c r="B5287">
        <v>20</v>
      </c>
      <c r="C5287">
        <v>3</v>
      </c>
      <c r="D5287">
        <v>3</v>
      </c>
      <c r="E5287">
        <v>10</v>
      </c>
      <c r="G5287">
        <v>2033</v>
      </c>
      <c r="H5287" t="s">
        <v>63</v>
      </c>
      <c r="I5287" t="s">
        <v>129</v>
      </c>
      <c r="J5287" t="s">
        <v>150</v>
      </c>
      <c r="L5287">
        <v>0</v>
      </c>
      <c r="M5287" t="s">
        <v>125</v>
      </c>
      <c r="O5287" t="s">
        <v>125</v>
      </c>
      <c r="P5287" t="s">
        <v>125</v>
      </c>
      <c r="Q5287" t="s">
        <v>125</v>
      </c>
      <c r="R5287" t="s">
        <v>125</v>
      </c>
      <c r="S5287" t="s">
        <v>125</v>
      </c>
      <c r="T5287">
        <v>0</v>
      </c>
      <c r="V5287" t="s">
        <v>125</v>
      </c>
      <c r="AE5287" t="s">
        <v>125</v>
      </c>
      <c r="AF5287">
        <v>0</v>
      </c>
      <c r="AG5287" t="s">
        <v>125</v>
      </c>
      <c r="AH5287">
        <v>0</v>
      </c>
      <c r="AK5287">
        <v>0</v>
      </c>
    </row>
    <row r="5288" spans="1:37" x14ac:dyDescent="0.25">
      <c r="A5288" t="s">
        <v>79</v>
      </c>
      <c r="B5288">
        <v>20</v>
      </c>
      <c r="C5288">
        <v>3</v>
      </c>
      <c r="D5288">
        <v>3</v>
      </c>
      <c r="E5288">
        <v>11</v>
      </c>
      <c r="G5288">
        <v>2033</v>
      </c>
      <c r="H5288" t="s">
        <v>63</v>
      </c>
      <c r="I5288" t="s">
        <v>131</v>
      </c>
      <c r="J5288" t="s">
        <v>151</v>
      </c>
      <c r="L5288">
        <v>0</v>
      </c>
      <c r="M5288" t="s">
        <v>125</v>
      </c>
      <c r="O5288" t="s">
        <v>125</v>
      </c>
      <c r="P5288" t="s">
        <v>125</v>
      </c>
      <c r="Q5288" t="s">
        <v>125</v>
      </c>
      <c r="R5288" t="s">
        <v>125</v>
      </c>
      <c r="S5288" t="s">
        <v>125</v>
      </c>
      <c r="T5288">
        <v>0</v>
      </c>
      <c r="V5288" t="s">
        <v>125</v>
      </c>
      <c r="AE5288" t="s">
        <v>125</v>
      </c>
      <c r="AF5288">
        <v>0</v>
      </c>
      <c r="AG5288" t="s">
        <v>125</v>
      </c>
      <c r="AH5288">
        <v>0</v>
      </c>
      <c r="AK5288">
        <v>0</v>
      </c>
    </row>
    <row r="5289" spans="1:37" x14ac:dyDescent="0.25">
      <c r="A5289" t="s">
        <v>79</v>
      </c>
      <c r="B5289">
        <v>20</v>
      </c>
      <c r="C5289">
        <v>3</v>
      </c>
      <c r="D5289">
        <v>3</v>
      </c>
      <c r="E5289">
        <v>12</v>
      </c>
      <c r="G5289">
        <v>2033</v>
      </c>
      <c r="H5289" t="s">
        <v>63</v>
      </c>
      <c r="I5289" t="s">
        <v>133</v>
      </c>
      <c r="J5289" t="s">
        <v>152</v>
      </c>
      <c r="L5289">
        <v>0</v>
      </c>
      <c r="M5289" t="s">
        <v>125</v>
      </c>
      <c r="O5289" t="s">
        <v>125</v>
      </c>
      <c r="P5289" t="s">
        <v>125</v>
      </c>
      <c r="Q5289" t="s">
        <v>125</v>
      </c>
      <c r="R5289" t="s">
        <v>125</v>
      </c>
      <c r="S5289" t="s">
        <v>125</v>
      </c>
      <c r="T5289">
        <v>0</v>
      </c>
      <c r="V5289" t="s">
        <v>125</v>
      </c>
      <c r="AE5289" t="s">
        <v>125</v>
      </c>
      <c r="AF5289">
        <v>0</v>
      </c>
      <c r="AG5289" t="s">
        <v>125</v>
      </c>
      <c r="AH5289">
        <v>0</v>
      </c>
      <c r="AK5289">
        <v>0</v>
      </c>
    </row>
    <row r="5290" spans="1:37" x14ac:dyDescent="0.25">
      <c r="A5290" t="s">
        <v>79</v>
      </c>
      <c r="B5290">
        <v>20</v>
      </c>
      <c r="C5290">
        <v>3</v>
      </c>
      <c r="D5290">
        <v>3</v>
      </c>
      <c r="E5290">
        <v>13</v>
      </c>
      <c r="G5290">
        <v>2033</v>
      </c>
      <c r="H5290" t="s">
        <v>63</v>
      </c>
      <c r="I5290" t="s">
        <v>135</v>
      </c>
      <c r="J5290" t="s">
        <v>153</v>
      </c>
      <c r="L5290">
        <v>0</v>
      </c>
      <c r="M5290" t="s">
        <v>125</v>
      </c>
      <c r="O5290" t="s">
        <v>125</v>
      </c>
      <c r="P5290" t="s">
        <v>125</v>
      </c>
      <c r="Q5290" t="s">
        <v>125</v>
      </c>
      <c r="R5290" t="s">
        <v>125</v>
      </c>
      <c r="S5290" t="s">
        <v>125</v>
      </c>
      <c r="T5290">
        <v>0</v>
      </c>
      <c r="V5290" t="s">
        <v>125</v>
      </c>
      <c r="AE5290" t="s">
        <v>125</v>
      </c>
      <c r="AF5290">
        <v>0</v>
      </c>
      <c r="AG5290" t="s">
        <v>125</v>
      </c>
      <c r="AH5290">
        <v>0</v>
      </c>
      <c r="AK5290">
        <v>0</v>
      </c>
    </row>
    <row r="5291" spans="1:37" x14ac:dyDescent="0.25">
      <c r="A5291" t="s">
        <v>79</v>
      </c>
      <c r="B5291">
        <v>20</v>
      </c>
      <c r="C5291">
        <v>3</v>
      </c>
      <c r="D5291">
        <v>3</v>
      </c>
      <c r="E5291">
        <v>14</v>
      </c>
      <c r="G5291">
        <v>2033</v>
      </c>
      <c r="H5291" t="s">
        <v>63</v>
      </c>
      <c r="I5291" t="s">
        <v>137</v>
      </c>
      <c r="J5291" t="s">
        <v>154</v>
      </c>
      <c r="L5291">
        <v>0</v>
      </c>
      <c r="M5291" t="s">
        <v>125</v>
      </c>
      <c r="O5291" t="s">
        <v>125</v>
      </c>
      <c r="P5291" t="s">
        <v>125</v>
      </c>
      <c r="Q5291" t="s">
        <v>125</v>
      </c>
      <c r="R5291" t="s">
        <v>125</v>
      </c>
      <c r="S5291" t="s">
        <v>125</v>
      </c>
      <c r="T5291">
        <v>0</v>
      </c>
      <c r="V5291" t="s">
        <v>125</v>
      </c>
      <c r="AE5291" t="s">
        <v>125</v>
      </c>
      <c r="AF5291">
        <v>0</v>
      </c>
      <c r="AG5291" t="s">
        <v>125</v>
      </c>
      <c r="AH5291">
        <v>0</v>
      </c>
      <c r="AK5291">
        <v>0</v>
      </c>
    </row>
    <row r="5292" spans="1:37" x14ac:dyDescent="0.25">
      <c r="A5292" t="s">
        <v>79</v>
      </c>
      <c r="B5292">
        <v>20</v>
      </c>
      <c r="C5292">
        <v>3</v>
      </c>
      <c r="D5292">
        <v>3</v>
      </c>
      <c r="E5292">
        <v>15</v>
      </c>
      <c r="G5292">
        <v>2033</v>
      </c>
      <c r="H5292" t="s">
        <v>63</v>
      </c>
      <c r="I5292" t="s">
        <v>139</v>
      </c>
      <c r="J5292" t="s">
        <v>155</v>
      </c>
      <c r="L5292">
        <v>0</v>
      </c>
      <c r="M5292" t="s">
        <v>125</v>
      </c>
      <c r="O5292" t="s">
        <v>125</v>
      </c>
      <c r="P5292" t="s">
        <v>125</v>
      </c>
      <c r="Q5292" t="s">
        <v>125</v>
      </c>
      <c r="R5292" t="s">
        <v>125</v>
      </c>
      <c r="S5292" t="s">
        <v>125</v>
      </c>
      <c r="T5292">
        <v>0</v>
      </c>
      <c r="V5292" t="s">
        <v>125</v>
      </c>
      <c r="AE5292" t="s">
        <v>125</v>
      </c>
      <c r="AF5292">
        <v>0</v>
      </c>
      <c r="AG5292" t="s">
        <v>125</v>
      </c>
      <c r="AH5292">
        <v>0</v>
      </c>
      <c r="AK5292">
        <v>0</v>
      </c>
    </row>
    <row r="5293" spans="1:37" x14ac:dyDescent="0.25">
      <c r="L5293">
        <v>0</v>
      </c>
    </row>
    <row r="5294" spans="1:37" x14ac:dyDescent="0.25">
      <c r="A5294" t="s">
        <v>70</v>
      </c>
      <c r="B5294">
        <v>20</v>
      </c>
      <c r="C5294">
        <v>3</v>
      </c>
      <c r="D5294">
        <v>4</v>
      </c>
      <c r="G5294">
        <v>203</v>
      </c>
      <c r="L5294">
        <v>0</v>
      </c>
      <c r="M5294" t="s">
        <v>125</v>
      </c>
      <c r="P5294" t="s">
        <v>125</v>
      </c>
      <c r="R5294" t="s">
        <v>125</v>
      </c>
      <c r="S5294" t="s">
        <v>63</v>
      </c>
      <c r="V5294" t="s">
        <v>125</v>
      </c>
      <c r="X5294" t="s">
        <v>125</v>
      </c>
      <c r="Y5294" t="s">
        <v>125</v>
      </c>
      <c r="Z5294" t="s">
        <v>125</v>
      </c>
      <c r="AA5294" t="s">
        <v>125</v>
      </c>
      <c r="AB5294" t="s">
        <v>125</v>
      </c>
      <c r="AC5294" t="s">
        <v>125</v>
      </c>
      <c r="AE5294" t="s">
        <v>125</v>
      </c>
      <c r="AF5294">
        <v>0</v>
      </c>
      <c r="AG5294" t="s">
        <v>125</v>
      </c>
      <c r="AH5294">
        <v>0</v>
      </c>
      <c r="AK5294">
        <v>0</v>
      </c>
    </row>
    <row r="5295" spans="1:37" x14ac:dyDescent="0.25">
      <c r="A5295" t="s">
        <v>79</v>
      </c>
      <c r="B5295">
        <v>20</v>
      </c>
      <c r="C5295">
        <v>3</v>
      </c>
      <c r="D5295">
        <v>4</v>
      </c>
      <c r="E5295">
        <v>1</v>
      </c>
      <c r="G5295">
        <v>2034</v>
      </c>
      <c r="H5295" t="s">
        <v>63</v>
      </c>
      <c r="I5295" t="s">
        <v>80</v>
      </c>
      <c r="J5295" t="s">
        <v>141</v>
      </c>
      <c r="L5295">
        <v>0</v>
      </c>
      <c r="M5295" t="s">
        <v>125</v>
      </c>
      <c r="O5295" t="s">
        <v>125</v>
      </c>
      <c r="P5295" t="s">
        <v>125</v>
      </c>
      <c r="Q5295" t="s">
        <v>125</v>
      </c>
      <c r="R5295" t="s">
        <v>125</v>
      </c>
      <c r="S5295" t="s">
        <v>125</v>
      </c>
      <c r="T5295">
        <v>0</v>
      </c>
      <c r="V5295" t="s">
        <v>125</v>
      </c>
      <c r="AE5295" t="s">
        <v>125</v>
      </c>
      <c r="AF5295">
        <v>0</v>
      </c>
      <c r="AG5295" t="s">
        <v>125</v>
      </c>
      <c r="AH5295">
        <v>0</v>
      </c>
      <c r="AK5295">
        <v>0</v>
      </c>
    </row>
    <row r="5296" spans="1:37" x14ac:dyDescent="0.25">
      <c r="A5296" t="s">
        <v>79</v>
      </c>
      <c r="B5296">
        <v>20</v>
      </c>
      <c r="C5296">
        <v>3</v>
      </c>
      <c r="D5296">
        <v>4</v>
      </c>
      <c r="E5296">
        <v>2</v>
      </c>
      <c r="G5296">
        <v>2034</v>
      </c>
      <c r="H5296" t="s">
        <v>63</v>
      </c>
      <c r="I5296" t="s">
        <v>88</v>
      </c>
      <c r="J5296" t="s">
        <v>142</v>
      </c>
      <c r="L5296">
        <v>0</v>
      </c>
      <c r="M5296" t="s">
        <v>125</v>
      </c>
      <c r="O5296" t="s">
        <v>125</v>
      </c>
      <c r="P5296" t="s">
        <v>125</v>
      </c>
      <c r="Q5296" t="s">
        <v>125</v>
      </c>
      <c r="R5296" t="s">
        <v>125</v>
      </c>
      <c r="S5296" t="s">
        <v>125</v>
      </c>
      <c r="T5296">
        <v>0</v>
      </c>
      <c r="V5296" t="s">
        <v>125</v>
      </c>
      <c r="AE5296" t="s">
        <v>125</v>
      </c>
      <c r="AF5296">
        <v>0</v>
      </c>
      <c r="AG5296" t="s">
        <v>125</v>
      </c>
      <c r="AH5296">
        <v>0</v>
      </c>
      <c r="AK5296">
        <v>0</v>
      </c>
    </row>
    <row r="5297" spans="1:37" x14ac:dyDescent="0.25">
      <c r="A5297" t="s">
        <v>79</v>
      </c>
      <c r="B5297">
        <v>20</v>
      </c>
      <c r="C5297">
        <v>3</v>
      </c>
      <c r="D5297">
        <v>4</v>
      </c>
      <c r="E5297">
        <v>3</v>
      </c>
      <c r="G5297">
        <v>2034</v>
      </c>
      <c r="H5297" t="s">
        <v>63</v>
      </c>
      <c r="I5297" t="s">
        <v>95</v>
      </c>
      <c r="J5297" t="s">
        <v>143</v>
      </c>
      <c r="L5297">
        <v>0</v>
      </c>
      <c r="M5297" t="s">
        <v>125</v>
      </c>
      <c r="O5297" t="s">
        <v>125</v>
      </c>
      <c r="P5297" t="s">
        <v>125</v>
      </c>
      <c r="Q5297" t="s">
        <v>125</v>
      </c>
      <c r="R5297" t="s">
        <v>125</v>
      </c>
      <c r="S5297" t="s">
        <v>125</v>
      </c>
      <c r="T5297">
        <v>0</v>
      </c>
      <c r="V5297" t="s">
        <v>125</v>
      </c>
      <c r="AE5297" t="s">
        <v>125</v>
      </c>
      <c r="AF5297">
        <v>0</v>
      </c>
      <c r="AG5297" t="s">
        <v>125</v>
      </c>
      <c r="AH5297">
        <v>0</v>
      </c>
      <c r="AK5297">
        <v>0</v>
      </c>
    </row>
    <row r="5298" spans="1:37" x14ac:dyDescent="0.25">
      <c r="A5298" t="s">
        <v>79</v>
      </c>
      <c r="B5298">
        <v>20</v>
      </c>
      <c r="C5298">
        <v>3</v>
      </c>
      <c r="D5298">
        <v>4</v>
      </c>
      <c r="E5298">
        <v>4</v>
      </c>
      <c r="G5298">
        <v>2034</v>
      </c>
      <c r="H5298" t="s">
        <v>63</v>
      </c>
      <c r="I5298" t="s">
        <v>102</v>
      </c>
      <c r="J5298" t="s">
        <v>144</v>
      </c>
      <c r="L5298">
        <v>0</v>
      </c>
      <c r="M5298" t="s">
        <v>125</v>
      </c>
      <c r="O5298" t="s">
        <v>125</v>
      </c>
      <c r="P5298" t="s">
        <v>125</v>
      </c>
      <c r="Q5298" t="s">
        <v>125</v>
      </c>
      <c r="R5298" t="s">
        <v>125</v>
      </c>
      <c r="S5298" t="s">
        <v>125</v>
      </c>
      <c r="T5298">
        <v>0</v>
      </c>
      <c r="V5298" t="s">
        <v>125</v>
      </c>
      <c r="AE5298" t="s">
        <v>125</v>
      </c>
      <c r="AF5298">
        <v>0</v>
      </c>
      <c r="AG5298" t="s">
        <v>125</v>
      </c>
      <c r="AH5298">
        <v>0</v>
      </c>
      <c r="AK5298">
        <v>0</v>
      </c>
    </row>
    <row r="5299" spans="1:37" x14ac:dyDescent="0.25">
      <c r="A5299" t="s">
        <v>79</v>
      </c>
      <c r="B5299">
        <v>20</v>
      </c>
      <c r="C5299">
        <v>3</v>
      </c>
      <c r="D5299">
        <v>4</v>
      </c>
      <c r="E5299">
        <v>5</v>
      </c>
      <c r="G5299">
        <v>2034</v>
      </c>
      <c r="H5299" t="s">
        <v>63</v>
      </c>
      <c r="I5299" t="s">
        <v>109</v>
      </c>
      <c r="J5299" t="s">
        <v>145</v>
      </c>
      <c r="L5299">
        <v>0</v>
      </c>
      <c r="M5299" t="s">
        <v>125</v>
      </c>
      <c r="O5299" t="s">
        <v>125</v>
      </c>
      <c r="P5299" t="s">
        <v>125</v>
      </c>
      <c r="Q5299" t="s">
        <v>125</v>
      </c>
      <c r="R5299" t="s">
        <v>125</v>
      </c>
      <c r="S5299" t="s">
        <v>125</v>
      </c>
      <c r="T5299">
        <v>0</v>
      </c>
      <c r="V5299" t="s">
        <v>125</v>
      </c>
      <c r="AE5299" t="s">
        <v>125</v>
      </c>
      <c r="AF5299">
        <v>0</v>
      </c>
      <c r="AG5299" t="s">
        <v>125</v>
      </c>
      <c r="AH5299">
        <v>0</v>
      </c>
      <c r="AK5299">
        <v>0</v>
      </c>
    </row>
    <row r="5300" spans="1:37" x14ac:dyDescent="0.25">
      <c r="A5300" t="s">
        <v>79</v>
      </c>
      <c r="B5300">
        <v>20</v>
      </c>
      <c r="C5300">
        <v>3</v>
      </c>
      <c r="D5300">
        <v>4</v>
      </c>
      <c r="E5300">
        <v>6</v>
      </c>
      <c r="G5300">
        <v>2034</v>
      </c>
      <c r="H5300" t="s">
        <v>63</v>
      </c>
      <c r="I5300" t="s">
        <v>116</v>
      </c>
      <c r="J5300" t="s">
        <v>146</v>
      </c>
      <c r="L5300">
        <v>0</v>
      </c>
      <c r="M5300" t="s">
        <v>125</v>
      </c>
      <c r="O5300" t="s">
        <v>125</v>
      </c>
      <c r="P5300" t="s">
        <v>125</v>
      </c>
      <c r="Q5300" t="s">
        <v>125</v>
      </c>
      <c r="R5300" t="s">
        <v>125</v>
      </c>
      <c r="S5300" t="s">
        <v>125</v>
      </c>
      <c r="T5300">
        <v>0</v>
      </c>
      <c r="V5300" t="s">
        <v>125</v>
      </c>
      <c r="AE5300" t="s">
        <v>125</v>
      </c>
      <c r="AF5300">
        <v>0</v>
      </c>
      <c r="AG5300" t="s">
        <v>125</v>
      </c>
      <c r="AH5300">
        <v>0</v>
      </c>
      <c r="AK5300">
        <v>0</v>
      </c>
    </row>
    <row r="5301" spans="1:37" x14ac:dyDescent="0.25">
      <c r="A5301" t="s">
        <v>79</v>
      </c>
      <c r="B5301">
        <v>20</v>
      </c>
      <c r="C5301">
        <v>3</v>
      </c>
      <c r="D5301">
        <v>4</v>
      </c>
      <c r="E5301">
        <v>7</v>
      </c>
      <c r="G5301">
        <v>2034</v>
      </c>
      <c r="H5301" t="s">
        <v>63</v>
      </c>
      <c r="I5301" t="s">
        <v>123</v>
      </c>
      <c r="J5301" t="s">
        <v>147</v>
      </c>
      <c r="L5301">
        <v>0</v>
      </c>
      <c r="M5301" t="s">
        <v>125</v>
      </c>
      <c r="O5301" t="s">
        <v>125</v>
      </c>
      <c r="P5301" t="s">
        <v>125</v>
      </c>
      <c r="Q5301" t="s">
        <v>125</v>
      </c>
      <c r="R5301" t="s">
        <v>125</v>
      </c>
      <c r="S5301" t="s">
        <v>125</v>
      </c>
      <c r="T5301">
        <v>0</v>
      </c>
      <c r="V5301" t="s">
        <v>125</v>
      </c>
      <c r="AE5301" t="s">
        <v>125</v>
      </c>
      <c r="AF5301">
        <v>0</v>
      </c>
      <c r="AG5301" t="s">
        <v>125</v>
      </c>
      <c r="AH5301">
        <v>0</v>
      </c>
      <c r="AK5301">
        <v>0</v>
      </c>
    </row>
    <row r="5302" spans="1:37" x14ac:dyDescent="0.25">
      <c r="A5302" t="s">
        <v>79</v>
      </c>
      <c r="B5302">
        <v>20</v>
      </c>
      <c r="C5302">
        <v>3</v>
      </c>
      <c r="D5302">
        <v>4</v>
      </c>
      <c r="E5302">
        <v>8</v>
      </c>
      <c r="G5302">
        <v>2034</v>
      </c>
      <c r="H5302" t="s">
        <v>63</v>
      </c>
      <c r="I5302" t="s">
        <v>126</v>
      </c>
      <c r="J5302" t="s">
        <v>148</v>
      </c>
      <c r="L5302">
        <v>0</v>
      </c>
      <c r="M5302" t="s">
        <v>125</v>
      </c>
      <c r="O5302" t="s">
        <v>125</v>
      </c>
      <c r="P5302" t="s">
        <v>125</v>
      </c>
      <c r="Q5302" t="s">
        <v>125</v>
      </c>
      <c r="R5302" t="s">
        <v>125</v>
      </c>
      <c r="S5302" t="s">
        <v>125</v>
      </c>
      <c r="T5302">
        <v>0</v>
      </c>
      <c r="V5302" t="s">
        <v>125</v>
      </c>
      <c r="AE5302" t="s">
        <v>125</v>
      </c>
      <c r="AF5302">
        <v>0</v>
      </c>
      <c r="AG5302" t="s">
        <v>125</v>
      </c>
      <c r="AH5302">
        <v>0</v>
      </c>
      <c r="AK5302">
        <v>0</v>
      </c>
    </row>
    <row r="5303" spans="1:37" x14ac:dyDescent="0.25">
      <c r="A5303" t="s">
        <v>79</v>
      </c>
      <c r="B5303">
        <v>20</v>
      </c>
      <c r="C5303">
        <v>3</v>
      </c>
      <c r="D5303">
        <v>4</v>
      </c>
      <c r="E5303">
        <v>9</v>
      </c>
      <c r="G5303">
        <v>2034</v>
      </c>
      <c r="H5303" t="s">
        <v>63</v>
      </c>
      <c r="I5303" t="s">
        <v>74</v>
      </c>
      <c r="J5303" t="s">
        <v>149</v>
      </c>
      <c r="L5303">
        <v>0</v>
      </c>
      <c r="M5303" t="s">
        <v>125</v>
      </c>
      <c r="O5303" t="s">
        <v>125</v>
      </c>
      <c r="P5303" t="s">
        <v>125</v>
      </c>
      <c r="Q5303" t="s">
        <v>125</v>
      </c>
      <c r="R5303" t="s">
        <v>125</v>
      </c>
      <c r="S5303" t="s">
        <v>125</v>
      </c>
      <c r="T5303">
        <v>0</v>
      </c>
      <c r="V5303" t="s">
        <v>125</v>
      </c>
      <c r="AE5303" t="s">
        <v>125</v>
      </c>
      <c r="AF5303">
        <v>0</v>
      </c>
      <c r="AG5303" t="s">
        <v>125</v>
      </c>
      <c r="AH5303">
        <v>0</v>
      </c>
      <c r="AK5303">
        <v>0</v>
      </c>
    </row>
    <row r="5304" spans="1:37" x14ac:dyDescent="0.25">
      <c r="A5304" t="s">
        <v>79</v>
      </c>
      <c r="B5304">
        <v>20</v>
      </c>
      <c r="C5304">
        <v>3</v>
      </c>
      <c r="D5304">
        <v>4</v>
      </c>
      <c r="E5304">
        <v>10</v>
      </c>
      <c r="G5304">
        <v>2034</v>
      </c>
      <c r="H5304" t="s">
        <v>63</v>
      </c>
      <c r="I5304" t="s">
        <v>129</v>
      </c>
      <c r="J5304" t="s">
        <v>150</v>
      </c>
      <c r="L5304">
        <v>0</v>
      </c>
      <c r="M5304" t="s">
        <v>125</v>
      </c>
      <c r="O5304" t="s">
        <v>125</v>
      </c>
      <c r="P5304" t="s">
        <v>125</v>
      </c>
      <c r="Q5304" t="s">
        <v>125</v>
      </c>
      <c r="R5304" t="s">
        <v>125</v>
      </c>
      <c r="S5304" t="s">
        <v>125</v>
      </c>
      <c r="T5304">
        <v>0</v>
      </c>
      <c r="V5304" t="s">
        <v>125</v>
      </c>
      <c r="AE5304" t="s">
        <v>125</v>
      </c>
      <c r="AF5304">
        <v>0</v>
      </c>
      <c r="AG5304" t="s">
        <v>125</v>
      </c>
      <c r="AH5304">
        <v>0</v>
      </c>
      <c r="AK5304">
        <v>0</v>
      </c>
    </row>
    <row r="5305" spans="1:37" x14ac:dyDescent="0.25">
      <c r="A5305" t="s">
        <v>79</v>
      </c>
      <c r="B5305">
        <v>20</v>
      </c>
      <c r="C5305">
        <v>3</v>
      </c>
      <c r="D5305">
        <v>4</v>
      </c>
      <c r="E5305">
        <v>11</v>
      </c>
      <c r="G5305">
        <v>2034</v>
      </c>
      <c r="H5305" t="s">
        <v>63</v>
      </c>
      <c r="I5305" t="s">
        <v>131</v>
      </c>
      <c r="J5305" t="s">
        <v>151</v>
      </c>
      <c r="L5305">
        <v>0</v>
      </c>
      <c r="M5305" t="s">
        <v>125</v>
      </c>
      <c r="O5305" t="s">
        <v>125</v>
      </c>
      <c r="P5305" t="s">
        <v>125</v>
      </c>
      <c r="Q5305" t="s">
        <v>125</v>
      </c>
      <c r="R5305" t="s">
        <v>125</v>
      </c>
      <c r="S5305" t="s">
        <v>125</v>
      </c>
      <c r="T5305">
        <v>0</v>
      </c>
      <c r="V5305" t="s">
        <v>125</v>
      </c>
      <c r="AE5305" t="s">
        <v>125</v>
      </c>
      <c r="AF5305">
        <v>0</v>
      </c>
      <c r="AG5305" t="s">
        <v>125</v>
      </c>
      <c r="AH5305">
        <v>0</v>
      </c>
      <c r="AK5305">
        <v>0</v>
      </c>
    </row>
    <row r="5306" spans="1:37" x14ac:dyDescent="0.25">
      <c r="A5306" t="s">
        <v>79</v>
      </c>
      <c r="B5306">
        <v>20</v>
      </c>
      <c r="C5306">
        <v>3</v>
      </c>
      <c r="D5306">
        <v>4</v>
      </c>
      <c r="E5306">
        <v>12</v>
      </c>
      <c r="G5306">
        <v>2034</v>
      </c>
      <c r="H5306" t="s">
        <v>63</v>
      </c>
      <c r="I5306" t="s">
        <v>133</v>
      </c>
      <c r="J5306" t="s">
        <v>152</v>
      </c>
      <c r="L5306">
        <v>0</v>
      </c>
      <c r="M5306" t="s">
        <v>125</v>
      </c>
      <c r="O5306" t="s">
        <v>125</v>
      </c>
      <c r="P5306" t="s">
        <v>125</v>
      </c>
      <c r="Q5306" t="s">
        <v>125</v>
      </c>
      <c r="R5306" t="s">
        <v>125</v>
      </c>
      <c r="S5306" t="s">
        <v>125</v>
      </c>
      <c r="T5306">
        <v>0</v>
      </c>
      <c r="V5306" t="s">
        <v>125</v>
      </c>
      <c r="AE5306" t="s">
        <v>125</v>
      </c>
      <c r="AF5306">
        <v>0</v>
      </c>
      <c r="AG5306" t="s">
        <v>125</v>
      </c>
      <c r="AH5306">
        <v>0</v>
      </c>
      <c r="AK5306">
        <v>0</v>
      </c>
    </row>
    <row r="5307" spans="1:37" x14ac:dyDescent="0.25">
      <c r="A5307" t="s">
        <v>79</v>
      </c>
      <c r="B5307">
        <v>20</v>
      </c>
      <c r="C5307">
        <v>3</v>
      </c>
      <c r="D5307">
        <v>4</v>
      </c>
      <c r="E5307">
        <v>13</v>
      </c>
      <c r="G5307">
        <v>2034</v>
      </c>
      <c r="H5307" t="s">
        <v>63</v>
      </c>
      <c r="I5307" t="s">
        <v>135</v>
      </c>
      <c r="J5307" t="s">
        <v>153</v>
      </c>
      <c r="L5307">
        <v>0</v>
      </c>
      <c r="M5307" t="s">
        <v>125</v>
      </c>
      <c r="O5307" t="s">
        <v>125</v>
      </c>
      <c r="P5307" t="s">
        <v>125</v>
      </c>
      <c r="Q5307" t="s">
        <v>125</v>
      </c>
      <c r="R5307" t="s">
        <v>125</v>
      </c>
      <c r="S5307" t="s">
        <v>125</v>
      </c>
      <c r="T5307">
        <v>0</v>
      </c>
      <c r="V5307" t="s">
        <v>125</v>
      </c>
      <c r="AE5307" t="s">
        <v>125</v>
      </c>
      <c r="AF5307">
        <v>0</v>
      </c>
      <c r="AG5307" t="s">
        <v>125</v>
      </c>
      <c r="AH5307">
        <v>0</v>
      </c>
      <c r="AK5307">
        <v>0</v>
      </c>
    </row>
    <row r="5308" spans="1:37" x14ac:dyDescent="0.25">
      <c r="A5308" t="s">
        <v>79</v>
      </c>
      <c r="B5308">
        <v>20</v>
      </c>
      <c r="C5308">
        <v>3</v>
      </c>
      <c r="D5308">
        <v>4</v>
      </c>
      <c r="E5308">
        <v>14</v>
      </c>
      <c r="G5308">
        <v>2034</v>
      </c>
      <c r="H5308" t="s">
        <v>63</v>
      </c>
      <c r="I5308" t="s">
        <v>137</v>
      </c>
      <c r="J5308" t="s">
        <v>154</v>
      </c>
      <c r="L5308">
        <v>0</v>
      </c>
      <c r="M5308" t="s">
        <v>125</v>
      </c>
      <c r="O5308" t="s">
        <v>125</v>
      </c>
      <c r="P5308" t="s">
        <v>125</v>
      </c>
      <c r="Q5308" t="s">
        <v>125</v>
      </c>
      <c r="R5308" t="s">
        <v>125</v>
      </c>
      <c r="S5308" t="s">
        <v>125</v>
      </c>
      <c r="T5308">
        <v>0</v>
      </c>
      <c r="V5308" t="s">
        <v>125</v>
      </c>
      <c r="AE5308" t="s">
        <v>125</v>
      </c>
      <c r="AF5308">
        <v>0</v>
      </c>
      <c r="AG5308" t="s">
        <v>125</v>
      </c>
      <c r="AH5308">
        <v>0</v>
      </c>
      <c r="AK5308">
        <v>0</v>
      </c>
    </row>
    <row r="5309" spans="1:37" x14ac:dyDescent="0.25">
      <c r="A5309" t="s">
        <v>79</v>
      </c>
      <c r="B5309">
        <v>20</v>
      </c>
      <c r="C5309">
        <v>3</v>
      </c>
      <c r="D5309">
        <v>4</v>
      </c>
      <c r="E5309">
        <v>15</v>
      </c>
      <c r="G5309">
        <v>2034</v>
      </c>
      <c r="H5309" t="s">
        <v>63</v>
      </c>
      <c r="I5309" t="s">
        <v>139</v>
      </c>
      <c r="J5309" t="s">
        <v>155</v>
      </c>
      <c r="L5309">
        <v>0</v>
      </c>
      <c r="M5309" t="s">
        <v>125</v>
      </c>
      <c r="O5309" t="s">
        <v>125</v>
      </c>
      <c r="P5309" t="s">
        <v>125</v>
      </c>
      <c r="Q5309" t="s">
        <v>125</v>
      </c>
      <c r="R5309" t="s">
        <v>125</v>
      </c>
      <c r="S5309" t="s">
        <v>125</v>
      </c>
      <c r="T5309">
        <v>0</v>
      </c>
      <c r="V5309" t="s">
        <v>125</v>
      </c>
      <c r="AE5309" t="s">
        <v>125</v>
      </c>
      <c r="AF5309">
        <v>0</v>
      </c>
      <c r="AG5309" t="s">
        <v>125</v>
      </c>
      <c r="AH5309">
        <v>0</v>
      </c>
      <c r="AK5309">
        <v>0</v>
      </c>
    </row>
    <row r="5310" spans="1:37" x14ac:dyDescent="0.25">
      <c r="L5310">
        <v>0</v>
      </c>
    </row>
    <row r="5311" spans="1:37" x14ac:dyDescent="0.25">
      <c r="A5311" t="s">
        <v>70</v>
      </c>
      <c r="B5311">
        <v>20</v>
      </c>
      <c r="C5311">
        <v>3</v>
      </c>
      <c r="D5311">
        <v>5</v>
      </c>
      <c r="G5311">
        <v>203</v>
      </c>
      <c r="L5311">
        <v>0</v>
      </c>
      <c r="M5311" t="s">
        <v>125</v>
      </c>
      <c r="P5311" t="s">
        <v>125</v>
      </c>
      <c r="R5311" t="s">
        <v>125</v>
      </c>
      <c r="S5311" t="s">
        <v>63</v>
      </c>
      <c r="V5311" t="s">
        <v>125</v>
      </c>
      <c r="X5311" t="s">
        <v>125</v>
      </c>
      <c r="Y5311" t="s">
        <v>125</v>
      </c>
      <c r="Z5311" t="s">
        <v>125</v>
      </c>
      <c r="AA5311" t="s">
        <v>125</v>
      </c>
      <c r="AB5311" t="s">
        <v>125</v>
      </c>
      <c r="AC5311" t="s">
        <v>125</v>
      </c>
      <c r="AE5311" t="s">
        <v>125</v>
      </c>
      <c r="AF5311">
        <v>0</v>
      </c>
      <c r="AG5311" t="s">
        <v>125</v>
      </c>
      <c r="AH5311">
        <v>0</v>
      </c>
      <c r="AK5311">
        <v>0</v>
      </c>
    </row>
    <row r="5312" spans="1:37" x14ac:dyDescent="0.25">
      <c r="A5312" t="s">
        <v>79</v>
      </c>
      <c r="B5312">
        <v>20</v>
      </c>
      <c r="C5312">
        <v>3</v>
      </c>
      <c r="D5312">
        <v>5</v>
      </c>
      <c r="E5312">
        <v>1</v>
      </c>
      <c r="G5312">
        <v>2035</v>
      </c>
      <c r="H5312" t="s">
        <v>63</v>
      </c>
      <c r="I5312" t="s">
        <v>80</v>
      </c>
      <c r="J5312" t="s">
        <v>141</v>
      </c>
      <c r="L5312">
        <v>0</v>
      </c>
      <c r="M5312" t="s">
        <v>125</v>
      </c>
      <c r="O5312" t="s">
        <v>125</v>
      </c>
      <c r="P5312" t="s">
        <v>125</v>
      </c>
      <c r="Q5312" t="s">
        <v>125</v>
      </c>
      <c r="R5312" t="s">
        <v>125</v>
      </c>
      <c r="S5312" t="s">
        <v>125</v>
      </c>
      <c r="T5312">
        <v>0</v>
      </c>
      <c r="V5312" t="s">
        <v>125</v>
      </c>
      <c r="AE5312" t="s">
        <v>125</v>
      </c>
      <c r="AF5312">
        <v>0</v>
      </c>
      <c r="AG5312" t="s">
        <v>125</v>
      </c>
      <c r="AH5312">
        <v>0</v>
      </c>
      <c r="AK5312">
        <v>0</v>
      </c>
    </row>
    <row r="5313" spans="1:37" x14ac:dyDescent="0.25">
      <c r="A5313" t="s">
        <v>79</v>
      </c>
      <c r="B5313">
        <v>20</v>
      </c>
      <c r="C5313">
        <v>3</v>
      </c>
      <c r="D5313">
        <v>5</v>
      </c>
      <c r="E5313">
        <v>2</v>
      </c>
      <c r="G5313">
        <v>2035</v>
      </c>
      <c r="H5313" t="s">
        <v>63</v>
      </c>
      <c r="I5313" t="s">
        <v>88</v>
      </c>
      <c r="J5313" t="s">
        <v>142</v>
      </c>
      <c r="L5313">
        <v>0</v>
      </c>
      <c r="M5313" t="s">
        <v>125</v>
      </c>
      <c r="O5313" t="s">
        <v>125</v>
      </c>
      <c r="P5313" t="s">
        <v>125</v>
      </c>
      <c r="Q5313" t="s">
        <v>125</v>
      </c>
      <c r="R5313" t="s">
        <v>125</v>
      </c>
      <c r="S5313" t="s">
        <v>125</v>
      </c>
      <c r="T5313">
        <v>0</v>
      </c>
      <c r="V5313" t="s">
        <v>125</v>
      </c>
      <c r="AE5313" t="s">
        <v>125</v>
      </c>
      <c r="AF5313">
        <v>0</v>
      </c>
      <c r="AG5313" t="s">
        <v>125</v>
      </c>
      <c r="AH5313">
        <v>0</v>
      </c>
      <c r="AK5313">
        <v>0</v>
      </c>
    </row>
    <row r="5314" spans="1:37" x14ac:dyDescent="0.25">
      <c r="A5314" t="s">
        <v>79</v>
      </c>
      <c r="B5314">
        <v>20</v>
      </c>
      <c r="C5314">
        <v>3</v>
      </c>
      <c r="D5314">
        <v>5</v>
      </c>
      <c r="E5314">
        <v>3</v>
      </c>
      <c r="G5314">
        <v>2035</v>
      </c>
      <c r="H5314" t="s">
        <v>63</v>
      </c>
      <c r="I5314" t="s">
        <v>95</v>
      </c>
      <c r="J5314" t="s">
        <v>143</v>
      </c>
      <c r="L5314">
        <v>0</v>
      </c>
      <c r="M5314" t="s">
        <v>125</v>
      </c>
      <c r="O5314" t="s">
        <v>125</v>
      </c>
      <c r="P5314" t="s">
        <v>125</v>
      </c>
      <c r="Q5314" t="s">
        <v>125</v>
      </c>
      <c r="R5314" t="s">
        <v>125</v>
      </c>
      <c r="S5314" t="s">
        <v>125</v>
      </c>
      <c r="T5314">
        <v>0</v>
      </c>
      <c r="V5314" t="s">
        <v>125</v>
      </c>
      <c r="AE5314" t="s">
        <v>125</v>
      </c>
      <c r="AF5314">
        <v>0</v>
      </c>
      <c r="AG5314" t="s">
        <v>125</v>
      </c>
      <c r="AH5314">
        <v>0</v>
      </c>
      <c r="AK5314">
        <v>0</v>
      </c>
    </row>
    <row r="5315" spans="1:37" x14ac:dyDescent="0.25">
      <c r="A5315" t="s">
        <v>79</v>
      </c>
      <c r="B5315">
        <v>20</v>
      </c>
      <c r="C5315">
        <v>3</v>
      </c>
      <c r="D5315">
        <v>5</v>
      </c>
      <c r="E5315">
        <v>4</v>
      </c>
      <c r="G5315">
        <v>2035</v>
      </c>
      <c r="H5315" t="s">
        <v>63</v>
      </c>
      <c r="I5315" t="s">
        <v>102</v>
      </c>
      <c r="J5315" t="s">
        <v>144</v>
      </c>
      <c r="L5315">
        <v>0</v>
      </c>
      <c r="M5315" t="s">
        <v>125</v>
      </c>
      <c r="O5315" t="s">
        <v>125</v>
      </c>
      <c r="P5315" t="s">
        <v>125</v>
      </c>
      <c r="Q5315" t="s">
        <v>125</v>
      </c>
      <c r="R5315" t="s">
        <v>125</v>
      </c>
      <c r="S5315" t="s">
        <v>125</v>
      </c>
      <c r="T5315">
        <v>0</v>
      </c>
      <c r="V5315" t="s">
        <v>125</v>
      </c>
      <c r="AE5315" t="s">
        <v>125</v>
      </c>
      <c r="AF5315">
        <v>0</v>
      </c>
      <c r="AG5315" t="s">
        <v>125</v>
      </c>
      <c r="AH5315">
        <v>0</v>
      </c>
      <c r="AK5315">
        <v>0</v>
      </c>
    </row>
    <row r="5316" spans="1:37" x14ac:dyDescent="0.25">
      <c r="A5316" t="s">
        <v>79</v>
      </c>
      <c r="B5316">
        <v>20</v>
      </c>
      <c r="C5316">
        <v>3</v>
      </c>
      <c r="D5316">
        <v>5</v>
      </c>
      <c r="E5316">
        <v>5</v>
      </c>
      <c r="G5316">
        <v>2035</v>
      </c>
      <c r="H5316" t="s">
        <v>63</v>
      </c>
      <c r="I5316" t="s">
        <v>109</v>
      </c>
      <c r="J5316" t="s">
        <v>145</v>
      </c>
      <c r="L5316">
        <v>0</v>
      </c>
      <c r="M5316" t="s">
        <v>125</v>
      </c>
      <c r="O5316" t="s">
        <v>125</v>
      </c>
      <c r="P5316" t="s">
        <v>125</v>
      </c>
      <c r="Q5316" t="s">
        <v>125</v>
      </c>
      <c r="R5316" t="s">
        <v>125</v>
      </c>
      <c r="S5316" t="s">
        <v>125</v>
      </c>
      <c r="T5316">
        <v>0</v>
      </c>
      <c r="V5316" t="s">
        <v>125</v>
      </c>
      <c r="AE5316" t="s">
        <v>125</v>
      </c>
      <c r="AF5316">
        <v>0</v>
      </c>
      <c r="AG5316" t="s">
        <v>125</v>
      </c>
      <c r="AH5316">
        <v>0</v>
      </c>
      <c r="AK5316">
        <v>0</v>
      </c>
    </row>
    <row r="5317" spans="1:37" x14ac:dyDescent="0.25">
      <c r="A5317" t="s">
        <v>79</v>
      </c>
      <c r="B5317">
        <v>20</v>
      </c>
      <c r="C5317">
        <v>3</v>
      </c>
      <c r="D5317">
        <v>5</v>
      </c>
      <c r="E5317">
        <v>6</v>
      </c>
      <c r="G5317">
        <v>2035</v>
      </c>
      <c r="H5317" t="s">
        <v>63</v>
      </c>
      <c r="I5317" t="s">
        <v>116</v>
      </c>
      <c r="J5317" t="s">
        <v>146</v>
      </c>
      <c r="L5317">
        <v>0</v>
      </c>
      <c r="M5317" t="s">
        <v>125</v>
      </c>
      <c r="O5317" t="s">
        <v>125</v>
      </c>
      <c r="P5317" t="s">
        <v>125</v>
      </c>
      <c r="Q5317" t="s">
        <v>125</v>
      </c>
      <c r="R5317" t="s">
        <v>125</v>
      </c>
      <c r="S5317" t="s">
        <v>125</v>
      </c>
      <c r="T5317">
        <v>0</v>
      </c>
      <c r="V5317" t="s">
        <v>125</v>
      </c>
      <c r="AE5317" t="s">
        <v>125</v>
      </c>
      <c r="AF5317">
        <v>0</v>
      </c>
      <c r="AG5317" t="s">
        <v>125</v>
      </c>
      <c r="AH5317">
        <v>0</v>
      </c>
      <c r="AK5317">
        <v>0</v>
      </c>
    </row>
    <row r="5318" spans="1:37" x14ac:dyDescent="0.25">
      <c r="A5318" t="s">
        <v>79</v>
      </c>
      <c r="B5318">
        <v>20</v>
      </c>
      <c r="C5318">
        <v>3</v>
      </c>
      <c r="D5318">
        <v>5</v>
      </c>
      <c r="E5318">
        <v>7</v>
      </c>
      <c r="G5318">
        <v>2035</v>
      </c>
      <c r="H5318" t="s">
        <v>63</v>
      </c>
      <c r="I5318" t="s">
        <v>123</v>
      </c>
      <c r="J5318" t="s">
        <v>147</v>
      </c>
      <c r="L5318">
        <v>0</v>
      </c>
      <c r="M5318" t="s">
        <v>125</v>
      </c>
      <c r="O5318" t="s">
        <v>125</v>
      </c>
      <c r="P5318" t="s">
        <v>125</v>
      </c>
      <c r="Q5318" t="s">
        <v>125</v>
      </c>
      <c r="R5318" t="s">
        <v>125</v>
      </c>
      <c r="S5318" t="s">
        <v>125</v>
      </c>
      <c r="T5318">
        <v>0</v>
      </c>
      <c r="V5318" t="s">
        <v>125</v>
      </c>
      <c r="AE5318" t="s">
        <v>125</v>
      </c>
      <c r="AF5318">
        <v>0</v>
      </c>
      <c r="AG5318" t="s">
        <v>125</v>
      </c>
      <c r="AH5318">
        <v>0</v>
      </c>
      <c r="AK5318">
        <v>0</v>
      </c>
    </row>
    <row r="5319" spans="1:37" x14ac:dyDescent="0.25">
      <c r="A5319" t="s">
        <v>79</v>
      </c>
      <c r="B5319">
        <v>20</v>
      </c>
      <c r="C5319">
        <v>3</v>
      </c>
      <c r="D5319">
        <v>5</v>
      </c>
      <c r="E5319">
        <v>8</v>
      </c>
      <c r="G5319">
        <v>2035</v>
      </c>
      <c r="H5319" t="s">
        <v>63</v>
      </c>
      <c r="I5319" t="s">
        <v>126</v>
      </c>
      <c r="J5319" t="s">
        <v>148</v>
      </c>
      <c r="L5319">
        <v>0</v>
      </c>
      <c r="M5319" t="s">
        <v>125</v>
      </c>
      <c r="O5319" t="s">
        <v>125</v>
      </c>
      <c r="P5319" t="s">
        <v>125</v>
      </c>
      <c r="Q5319" t="s">
        <v>125</v>
      </c>
      <c r="R5319" t="s">
        <v>125</v>
      </c>
      <c r="S5319" t="s">
        <v>125</v>
      </c>
      <c r="T5319">
        <v>0</v>
      </c>
      <c r="V5319" t="s">
        <v>125</v>
      </c>
      <c r="AE5319" t="s">
        <v>125</v>
      </c>
      <c r="AF5319">
        <v>0</v>
      </c>
      <c r="AG5319" t="s">
        <v>125</v>
      </c>
      <c r="AH5319">
        <v>0</v>
      </c>
      <c r="AK5319">
        <v>0</v>
      </c>
    </row>
    <row r="5320" spans="1:37" x14ac:dyDescent="0.25">
      <c r="A5320" t="s">
        <v>79</v>
      </c>
      <c r="B5320">
        <v>20</v>
      </c>
      <c r="C5320">
        <v>3</v>
      </c>
      <c r="D5320">
        <v>5</v>
      </c>
      <c r="E5320">
        <v>9</v>
      </c>
      <c r="G5320">
        <v>2035</v>
      </c>
      <c r="H5320" t="s">
        <v>63</v>
      </c>
      <c r="I5320" t="s">
        <v>74</v>
      </c>
      <c r="J5320" t="s">
        <v>149</v>
      </c>
      <c r="L5320">
        <v>0</v>
      </c>
      <c r="M5320" t="s">
        <v>125</v>
      </c>
      <c r="O5320" t="s">
        <v>125</v>
      </c>
      <c r="P5320" t="s">
        <v>125</v>
      </c>
      <c r="Q5320" t="s">
        <v>125</v>
      </c>
      <c r="R5320" t="s">
        <v>125</v>
      </c>
      <c r="S5320" t="s">
        <v>125</v>
      </c>
      <c r="T5320">
        <v>0</v>
      </c>
      <c r="V5320" t="s">
        <v>125</v>
      </c>
      <c r="AE5320" t="s">
        <v>125</v>
      </c>
      <c r="AF5320">
        <v>0</v>
      </c>
      <c r="AG5320" t="s">
        <v>125</v>
      </c>
      <c r="AH5320">
        <v>0</v>
      </c>
      <c r="AK5320">
        <v>0</v>
      </c>
    </row>
    <row r="5321" spans="1:37" x14ac:dyDescent="0.25">
      <c r="A5321" t="s">
        <v>79</v>
      </c>
      <c r="B5321">
        <v>20</v>
      </c>
      <c r="C5321">
        <v>3</v>
      </c>
      <c r="D5321">
        <v>5</v>
      </c>
      <c r="E5321">
        <v>10</v>
      </c>
      <c r="G5321">
        <v>2035</v>
      </c>
      <c r="H5321" t="s">
        <v>63</v>
      </c>
      <c r="I5321" t="s">
        <v>129</v>
      </c>
      <c r="J5321" t="s">
        <v>150</v>
      </c>
      <c r="L5321">
        <v>0</v>
      </c>
      <c r="M5321" t="s">
        <v>125</v>
      </c>
      <c r="O5321" t="s">
        <v>125</v>
      </c>
      <c r="P5321" t="s">
        <v>125</v>
      </c>
      <c r="Q5321" t="s">
        <v>125</v>
      </c>
      <c r="R5321" t="s">
        <v>125</v>
      </c>
      <c r="S5321" t="s">
        <v>125</v>
      </c>
      <c r="T5321">
        <v>0</v>
      </c>
      <c r="V5321" t="s">
        <v>125</v>
      </c>
      <c r="AE5321" t="s">
        <v>125</v>
      </c>
      <c r="AF5321">
        <v>0</v>
      </c>
      <c r="AG5321" t="s">
        <v>125</v>
      </c>
      <c r="AH5321">
        <v>0</v>
      </c>
      <c r="AK5321">
        <v>0</v>
      </c>
    </row>
    <row r="5322" spans="1:37" x14ac:dyDescent="0.25">
      <c r="A5322" t="s">
        <v>79</v>
      </c>
      <c r="B5322">
        <v>20</v>
      </c>
      <c r="C5322">
        <v>3</v>
      </c>
      <c r="D5322">
        <v>5</v>
      </c>
      <c r="E5322">
        <v>11</v>
      </c>
      <c r="G5322">
        <v>2035</v>
      </c>
      <c r="H5322" t="s">
        <v>63</v>
      </c>
      <c r="I5322" t="s">
        <v>131</v>
      </c>
      <c r="J5322" t="s">
        <v>151</v>
      </c>
      <c r="L5322">
        <v>0</v>
      </c>
      <c r="M5322" t="s">
        <v>125</v>
      </c>
      <c r="O5322" t="s">
        <v>125</v>
      </c>
      <c r="P5322" t="s">
        <v>125</v>
      </c>
      <c r="Q5322" t="s">
        <v>125</v>
      </c>
      <c r="R5322" t="s">
        <v>125</v>
      </c>
      <c r="S5322" t="s">
        <v>125</v>
      </c>
      <c r="T5322">
        <v>0</v>
      </c>
      <c r="V5322" t="s">
        <v>125</v>
      </c>
      <c r="AE5322" t="s">
        <v>125</v>
      </c>
      <c r="AF5322">
        <v>0</v>
      </c>
      <c r="AG5322" t="s">
        <v>125</v>
      </c>
      <c r="AH5322">
        <v>0</v>
      </c>
      <c r="AK5322">
        <v>0</v>
      </c>
    </row>
    <row r="5323" spans="1:37" x14ac:dyDescent="0.25">
      <c r="A5323" t="s">
        <v>79</v>
      </c>
      <c r="B5323">
        <v>20</v>
      </c>
      <c r="C5323">
        <v>3</v>
      </c>
      <c r="D5323">
        <v>5</v>
      </c>
      <c r="E5323">
        <v>12</v>
      </c>
      <c r="G5323">
        <v>2035</v>
      </c>
      <c r="H5323" t="s">
        <v>63</v>
      </c>
      <c r="I5323" t="s">
        <v>133</v>
      </c>
      <c r="J5323" t="s">
        <v>152</v>
      </c>
      <c r="L5323">
        <v>0</v>
      </c>
      <c r="M5323" t="s">
        <v>125</v>
      </c>
      <c r="O5323" t="s">
        <v>125</v>
      </c>
      <c r="P5323" t="s">
        <v>125</v>
      </c>
      <c r="Q5323" t="s">
        <v>125</v>
      </c>
      <c r="R5323" t="s">
        <v>125</v>
      </c>
      <c r="S5323" t="s">
        <v>125</v>
      </c>
      <c r="T5323">
        <v>0</v>
      </c>
      <c r="V5323" t="s">
        <v>125</v>
      </c>
      <c r="AE5323" t="s">
        <v>125</v>
      </c>
      <c r="AF5323">
        <v>0</v>
      </c>
      <c r="AG5323" t="s">
        <v>125</v>
      </c>
      <c r="AH5323">
        <v>0</v>
      </c>
      <c r="AK5323">
        <v>0</v>
      </c>
    </row>
    <row r="5324" spans="1:37" x14ac:dyDescent="0.25">
      <c r="A5324" t="s">
        <v>79</v>
      </c>
      <c r="B5324">
        <v>20</v>
      </c>
      <c r="C5324">
        <v>3</v>
      </c>
      <c r="D5324">
        <v>5</v>
      </c>
      <c r="E5324">
        <v>13</v>
      </c>
      <c r="G5324">
        <v>2035</v>
      </c>
      <c r="H5324" t="s">
        <v>63</v>
      </c>
      <c r="I5324" t="s">
        <v>135</v>
      </c>
      <c r="J5324" t="s">
        <v>153</v>
      </c>
      <c r="L5324">
        <v>0</v>
      </c>
      <c r="M5324" t="s">
        <v>125</v>
      </c>
      <c r="O5324" t="s">
        <v>125</v>
      </c>
      <c r="P5324" t="s">
        <v>125</v>
      </c>
      <c r="Q5324" t="s">
        <v>125</v>
      </c>
      <c r="R5324" t="s">
        <v>125</v>
      </c>
      <c r="S5324" t="s">
        <v>125</v>
      </c>
      <c r="T5324">
        <v>0</v>
      </c>
      <c r="V5324" t="s">
        <v>125</v>
      </c>
      <c r="AE5324" t="s">
        <v>125</v>
      </c>
      <c r="AF5324">
        <v>0</v>
      </c>
      <c r="AG5324" t="s">
        <v>125</v>
      </c>
      <c r="AH5324">
        <v>0</v>
      </c>
      <c r="AK5324">
        <v>0</v>
      </c>
    </row>
    <row r="5325" spans="1:37" x14ac:dyDescent="0.25">
      <c r="A5325" t="s">
        <v>79</v>
      </c>
      <c r="B5325">
        <v>20</v>
      </c>
      <c r="C5325">
        <v>3</v>
      </c>
      <c r="D5325">
        <v>5</v>
      </c>
      <c r="E5325">
        <v>14</v>
      </c>
      <c r="G5325">
        <v>2035</v>
      </c>
      <c r="H5325" t="s">
        <v>63</v>
      </c>
      <c r="I5325" t="s">
        <v>137</v>
      </c>
      <c r="J5325" t="s">
        <v>154</v>
      </c>
      <c r="L5325">
        <v>0</v>
      </c>
      <c r="M5325" t="s">
        <v>125</v>
      </c>
      <c r="O5325" t="s">
        <v>125</v>
      </c>
      <c r="P5325" t="s">
        <v>125</v>
      </c>
      <c r="Q5325" t="s">
        <v>125</v>
      </c>
      <c r="R5325" t="s">
        <v>125</v>
      </c>
      <c r="S5325" t="s">
        <v>125</v>
      </c>
      <c r="T5325">
        <v>0</v>
      </c>
      <c r="V5325" t="s">
        <v>125</v>
      </c>
      <c r="AE5325" t="s">
        <v>125</v>
      </c>
      <c r="AF5325">
        <v>0</v>
      </c>
      <c r="AG5325" t="s">
        <v>125</v>
      </c>
      <c r="AH5325">
        <v>0</v>
      </c>
      <c r="AK5325">
        <v>0</v>
      </c>
    </row>
    <row r="5326" spans="1:37" x14ac:dyDescent="0.25">
      <c r="A5326" t="s">
        <v>79</v>
      </c>
      <c r="B5326">
        <v>20</v>
      </c>
      <c r="C5326">
        <v>3</v>
      </c>
      <c r="D5326">
        <v>5</v>
      </c>
      <c r="E5326">
        <v>15</v>
      </c>
      <c r="G5326">
        <v>2035</v>
      </c>
      <c r="H5326" t="s">
        <v>63</v>
      </c>
      <c r="I5326" t="s">
        <v>139</v>
      </c>
      <c r="J5326" t="s">
        <v>155</v>
      </c>
      <c r="L5326">
        <v>0</v>
      </c>
      <c r="M5326" t="s">
        <v>125</v>
      </c>
      <c r="O5326" t="s">
        <v>125</v>
      </c>
      <c r="P5326" t="s">
        <v>125</v>
      </c>
      <c r="Q5326" t="s">
        <v>125</v>
      </c>
      <c r="R5326" t="s">
        <v>125</v>
      </c>
      <c r="S5326" t="s">
        <v>125</v>
      </c>
      <c r="T5326">
        <v>0</v>
      </c>
      <c r="V5326" t="s">
        <v>125</v>
      </c>
      <c r="AE5326" t="s">
        <v>125</v>
      </c>
      <c r="AF5326">
        <v>0</v>
      </c>
      <c r="AG5326" t="s">
        <v>125</v>
      </c>
      <c r="AH5326">
        <v>0</v>
      </c>
      <c r="AK5326">
        <v>0</v>
      </c>
    </row>
    <row r="5329" spans="13:37" x14ac:dyDescent="0.25">
      <c r="AF5329">
        <v>0</v>
      </c>
      <c r="AH5329">
        <v>0</v>
      </c>
      <c r="AK5329">
        <v>0</v>
      </c>
    </row>
    <row r="5330" spans="13:37" x14ac:dyDescent="0.25">
      <c r="M5330" t="s">
        <v>5994</v>
      </c>
      <c r="V5330" t="s">
        <v>5995</v>
      </c>
      <c r="X5330" t="s">
        <v>5996</v>
      </c>
      <c r="Y5330" t="s">
        <v>5997</v>
      </c>
      <c r="Z5330" t="s">
        <v>5998</v>
      </c>
      <c r="AA5330" t="s">
        <v>5999</v>
      </c>
      <c r="AB5330" t="s">
        <v>6000</v>
      </c>
      <c r="AC5330" t="s">
        <v>6001</v>
      </c>
      <c r="AF5330">
        <v>0</v>
      </c>
      <c r="AH5330">
        <v>0</v>
      </c>
      <c r="AK5330">
        <v>0</v>
      </c>
    </row>
    <row r="5331" spans="13:37" x14ac:dyDescent="0.25">
      <c r="AF5331">
        <v>0</v>
      </c>
      <c r="AH5331">
        <v>0</v>
      </c>
      <c r="AK5331">
        <v>0</v>
      </c>
    </row>
    <row r="5332" spans="13:37" x14ac:dyDescent="0.25">
      <c r="M5332" t="s">
        <v>6002</v>
      </c>
      <c r="P5332" t="s">
        <v>6003</v>
      </c>
      <c r="Q5332" t="s">
        <v>6004</v>
      </c>
      <c r="S5332" t="s">
        <v>3622</v>
      </c>
      <c r="V5332" t="s">
        <v>6005</v>
      </c>
      <c r="AF5332">
        <v>0</v>
      </c>
      <c r="AH5332">
        <v>0</v>
      </c>
      <c r="AK5332">
        <v>0</v>
      </c>
    </row>
    <row r="5333" spans="13:37" x14ac:dyDescent="0.25">
      <c r="AF5333">
        <v>0</v>
      </c>
      <c r="AH5333">
        <v>0</v>
      </c>
      <c r="AK5333">
        <v>0</v>
      </c>
    </row>
    <row r="5334" spans="13:37" x14ac:dyDescent="0.25">
      <c r="M5334" t="s">
        <v>6006</v>
      </c>
      <c r="V5334" t="s">
        <v>4221</v>
      </c>
      <c r="X5334" t="s">
        <v>6007</v>
      </c>
      <c r="AF5334">
        <v>0</v>
      </c>
      <c r="AH5334">
        <v>0</v>
      </c>
      <c r="AK5334">
        <v>0</v>
      </c>
    </row>
    <row r="5335" spans="13:37" x14ac:dyDescent="0.25">
      <c r="AF5335">
        <v>0</v>
      </c>
      <c r="AH5335">
        <v>0</v>
      </c>
      <c r="AK5335">
        <v>0</v>
      </c>
    </row>
    <row r="5336" spans="13:37" x14ac:dyDescent="0.25">
      <c r="M5336" t="s">
        <v>6008</v>
      </c>
      <c r="V5336" t="s">
        <v>63</v>
      </c>
      <c r="AF5336">
        <v>0</v>
      </c>
      <c r="AH5336">
        <v>0</v>
      </c>
      <c r="AK5336">
        <v>0</v>
      </c>
    </row>
    <row r="5337" spans="13:37" x14ac:dyDescent="0.25">
      <c r="AF5337">
        <v>0</v>
      </c>
      <c r="AH5337">
        <v>0</v>
      </c>
      <c r="AK5337">
        <v>0</v>
      </c>
    </row>
    <row r="5338" spans="13:37" x14ac:dyDescent="0.25">
      <c r="M5338" t="s">
        <v>6009</v>
      </c>
      <c r="V5338" t="s">
        <v>3048</v>
      </c>
      <c r="AF5338">
        <v>0</v>
      </c>
      <c r="AH5338">
        <v>0</v>
      </c>
      <c r="AK5338">
        <v>0</v>
      </c>
    </row>
    <row r="5339" spans="13:37" x14ac:dyDescent="0.25">
      <c r="AF5339">
        <v>0</v>
      </c>
      <c r="AH5339">
        <v>0</v>
      </c>
      <c r="AK5339">
        <v>0</v>
      </c>
    </row>
    <row r="5340" spans="13:37" x14ac:dyDescent="0.25">
      <c r="M5340" t="s">
        <v>6010</v>
      </c>
      <c r="V5340" t="s">
        <v>63</v>
      </c>
      <c r="X5340" t="s">
        <v>6011</v>
      </c>
      <c r="AF5340">
        <v>0</v>
      </c>
      <c r="AH5340">
        <v>0</v>
      </c>
      <c r="AK5340">
        <v>0</v>
      </c>
    </row>
    <row r="5341" spans="13:37" x14ac:dyDescent="0.25">
      <c r="AF5341">
        <v>0</v>
      </c>
      <c r="AH5341">
        <v>0</v>
      </c>
      <c r="AK5341">
        <v>0</v>
      </c>
    </row>
    <row r="5342" spans="13:37" x14ac:dyDescent="0.25">
      <c r="M5342" t="s">
        <v>6012</v>
      </c>
      <c r="V5342" t="s">
        <v>1890</v>
      </c>
      <c r="AF5342">
        <v>0</v>
      </c>
      <c r="AH5342">
        <v>0</v>
      </c>
      <c r="AK5342">
        <v>0</v>
      </c>
    </row>
    <row r="5343" spans="13:37" x14ac:dyDescent="0.25">
      <c r="AF5343">
        <v>0</v>
      </c>
      <c r="AH5343">
        <v>0</v>
      </c>
      <c r="AK5343">
        <v>0</v>
      </c>
    </row>
    <row r="5344" spans="13:37" x14ac:dyDescent="0.25">
      <c r="M5344" t="s">
        <v>6013</v>
      </c>
      <c r="V5344" t="s">
        <v>1283</v>
      </c>
      <c r="AF5344">
        <v>0</v>
      </c>
      <c r="AH5344">
        <v>0</v>
      </c>
      <c r="AK5344">
        <v>0</v>
      </c>
    </row>
    <row r="5345" spans="13:37" x14ac:dyDescent="0.25">
      <c r="AF5345">
        <v>0</v>
      </c>
      <c r="AH5345">
        <v>0</v>
      </c>
      <c r="AK5345">
        <v>0</v>
      </c>
    </row>
    <row r="5346" spans="13:37" x14ac:dyDescent="0.25">
      <c r="M5346" t="s">
        <v>6014</v>
      </c>
      <c r="V5346" t="s">
        <v>6015</v>
      </c>
      <c r="X5346" t="s">
        <v>6016</v>
      </c>
      <c r="AC5346" t="s">
        <v>6017</v>
      </c>
      <c r="AF5346">
        <v>0</v>
      </c>
      <c r="AH5346">
        <v>0</v>
      </c>
      <c r="AK5346">
        <v>0</v>
      </c>
    </row>
    <row r="5347" spans="13:37" x14ac:dyDescent="0.25">
      <c r="AF5347">
        <v>0</v>
      </c>
      <c r="AH5347">
        <v>0</v>
      </c>
      <c r="AK5347">
        <v>0</v>
      </c>
    </row>
    <row r="5348" spans="13:37" x14ac:dyDescent="0.25">
      <c r="M5348" t="s">
        <v>6018</v>
      </c>
      <c r="V5348" t="s">
        <v>6015</v>
      </c>
      <c r="X5348" t="s">
        <v>1135</v>
      </c>
      <c r="Y5348" t="s">
        <v>1365</v>
      </c>
      <c r="Z5348" t="s">
        <v>1530</v>
      </c>
      <c r="AA5348" t="s">
        <v>1807</v>
      </c>
      <c r="AB5348" t="s">
        <v>5592</v>
      </c>
      <c r="AC5348" t="s">
        <v>5744</v>
      </c>
      <c r="AF5348">
        <v>0</v>
      </c>
      <c r="AH5348">
        <v>0</v>
      </c>
      <c r="AK5348">
        <v>0</v>
      </c>
    </row>
    <row r="5349" spans="13:37" x14ac:dyDescent="0.25">
      <c r="X5349" t="s">
        <v>1128</v>
      </c>
      <c r="Y5349" t="s">
        <v>1367</v>
      </c>
      <c r="Z5349" t="s">
        <v>1532</v>
      </c>
      <c r="AA5349" t="s">
        <v>1809</v>
      </c>
      <c r="AB5349" t="s">
        <v>5594</v>
      </c>
      <c r="AC5349" t="s">
        <v>5746</v>
      </c>
      <c r="AF5349">
        <v>0</v>
      </c>
      <c r="AH5349">
        <v>0</v>
      </c>
      <c r="AK5349">
        <v>0</v>
      </c>
    </row>
    <row r="5350" spans="13:37" x14ac:dyDescent="0.25">
      <c r="X5350" t="s">
        <v>5788</v>
      </c>
      <c r="AF5350">
        <v>0</v>
      </c>
      <c r="AH5350">
        <v>0</v>
      </c>
      <c r="AK5350">
        <v>0</v>
      </c>
    </row>
    <row r="5351" spans="13:37" x14ac:dyDescent="0.25">
      <c r="X5351" t="s">
        <v>5790</v>
      </c>
      <c r="Y5351" t="s">
        <v>63</v>
      </c>
      <c r="Z5351" t="s">
        <v>63</v>
      </c>
      <c r="AA5351" t="s">
        <v>63</v>
      </c>
      <c r="AB5351" t="s">
        <v>63</v>
      </c>
      <c r="AC5351" t="s">
        <v>63</v>
      </c>
      <c r="AF5351">
        <v>0</v>
      </c>
      <c r="AH5351">
        <v>0</v>
      </c>
      <c r="AK5351">
        <v>0</v>
      </c>
    </row>
    <row r="5352" spans="13:37" x14ac:dyDescent="0.25">
      <c r="AF5352">
        <v>0</v>
      </c>
      <c r="AH5352">
        <v>0</v>
      </c>
      <c r="AK5352">
        <v>0</v>
      </c>
    </row>
    <row r="5353" spans="13:37" x14ac:dyDescent="0.25">
      <c r="X5353" t="s">
        <v>63</v>
      </c>
      <c r="Y5353" t="s">
        <v>63</v>
      </c>
      <c r="Z5353" t="s">
        <v>63</v>
      </c>
      <c r="AA5353" t="s">
        <v>63</v>
      </c>
      <c r="AB5353" t="s">
        <v>63</v>
      </c>
      <c r="AC5353" t="s">
        <v>63</v>
      </c>
      <c r="AF5353">
        <v>0</v>
      </c>
      <c r="AH5353">
        <v>0</v>
      </c>
      <c r="AK5353">
        <v>0</v>
      </c>
    </row>
    <row r="5354" spans="13:37" x14ac:dyDescent="0.25">
      <c r="M5354" t="s">
        <v>6019</v>
      </c>
      <c r="V5354" t="s">
        <v>6020</v>
      </c>
      <c r="AF5354">
        <v>0</v>
      </c>
      <c r="AH5354">
        <v>0</v>
      </c>
      <c r="AK5354">
        <v>0</v>
      </c>
    </row>
    <row r="5355" spans="13:37" x14ac:dyDescent="0.25">
      <c r="AF5355">
        <v>0</v>
      </c>
      <c r="AH5355">
        <v>0</v>
      </c>
      <c r="AK5355">
        <v>0</v>
      </c>
    </row>
    <row r="5356" spans="13:37" x14ac:dyDescent="0.25">
      <c r="M5356" t="s">
        <v>6021</v>
      </c>
      <c r="V5356" t="s">
        <v>6022</v>
      </c>
      <c r="AF5356">
        <v>0</v>
      </c>
      <c r="AH5356">
        <v>0</v>
      </c>
      <c r="AK5356">
        <v>0</v>
      </c>
    </row>
    <row r="5357" spans="13:37" x14ac:dyDescent="0.25">
      <c r="AF5357">
        <v>0</v>
      </c>
      <c r="AH5357">
        <v>0</v>
      </c>
      <c r="AK5357">
        <v>0</v>
      </c>
    </row>
    <row r="5358" spans="13:37" x14ac:dyDescent="0.25">
      <c r="M5358" t="s">
        <v>6023</v>
      </c>
      <c r="V5358" t="s">
        <v>6024</v>
      </c>
      <c r="AF5358">
        <v>0</v>
      </c>
      <c r="AH5358">
        <v>0</v>
      </c>
      <c r="AK5358">
        <v>0</v>
      </c>
    </row>
    <row r="5359" spans="13:37" x14ac:dyDescent="0.25">
      <c r="AF5359">
        <v>0</v>
      </c>
      <c r="AH5359">
        <v>0</v>
      </c>
      <c r="AK5359">
        <v>0</v>
      </c>
    </row>
    <row r="5360" spans="13:37" x14ac:dyDescent="0.25">
      <c r="M5360" t="s">
        <v>6025</v>
      </c>
      <c r="V5360" t="s">
        <v>6026</v>
      </c>
      <c r="AF5360">
        <v>0</v>
      </c>
      <c r="AH5360">
        <v>0</v>
      </c>
      <c r="AK5360">
        <v>0</v>
      </c>
    </row>
    <row r="5361" spans="11:37" x14ac:dyDescent="0.25">
      <c r="AF5361">
        <v>0</v>
      </c>
      <c r="AH5361">
        <v>0</v>
      </c>
      <c r="AK5361">
        <v>0</v>
      </c>
    </row>
    <row r="5362" spans="11:37" x14ac:dyDescent="0.25">
      <c r="K5362" t="s">
        <v>37</v>
      </c>
      <c r="M5362" t="s">
        <v>6027</v>
      </c>
      <c r="V5362" t="s">
        <v>6028</v>
      </c>
      <c r="AF5362">
        <v>0</v>
      </c>
      <c r="AH5362">
        <v>0</v>
      </c>
      <c r="AK5362">
        <v>0</v>
      </c>
    </row>
    <row r="5363" spans="11:37" x14ac:dyDescent="0.25">
      <c r="AF5363">
        <v>0</v>
      </c>
      <c r="AH5363">
        <v>0</v>
      </c>
      <c r="AK5363">
        <v>0</v>
      </c>
    </row>
    <row r="5364" spans="11:37" x14ac:dyDescent="0.25">
      <c r="AF5364">
        <v>0</v>
      </c>
      <c r="AH5364">
        <v>0</v>
      </c>
      <c r="AK5364">
        <v>0</v>
      </c>
    </row>
    <row r="5365" spans="11:37" x14ac:dyDescent="0.25">
      <c r="AF5365">
        <v>0</v>
      </c>
      <c r="AH5365">
        <v>0</v>
      </c>
      <c r="AK5365">
        <v>0</v>
      </c>
    </row>
    <row r="5366" spans="11:37" x14ac:dyDescent="0.25">
      <c r="AF5366">
        <v>0</v>
      </c>
      <c r="AH5366">
        <v>0</v>
      </c>
      <c r="AK5366">
        <v>0</v>
      </c>
    </row>
    <row r="5367" spans="11:37" x14ac:dyDescent="0.25">
      <c r="AF5367">
        <v>0</v>
      </c>
      <c r="AH5367">
        <v>0</v>
      </c>
      <c r="AK5367">
        <v>0</v>
      </c>
    </row>
    <row r="5368" spans="11:37" x14ac:dyDescent="0.25">
      <c r="AF5368">
        <v>0</v>
      </c>
      <c r="AH5368">
        <v>0</v>
      </c>
      <c r="AK5368">
        <v>0</v>
      </c>
    </row>
    <row r="5369" spans="11:37" x14ac:dyDescent="0.25">
      <c r="AF5369">
        <v>0</v>
      </c>
      <c r="AH5369">
        <v>0</v>
      </c>
      <c r="AK5369">
        <v>0</v>
      </c>
    </row>
    <row r="5370" spans="11:37" x14ac:dyDescent="0.25">
      <c r="AF5370">
        <v>0</v>
      </c>
      <c r="AH5370">
        <v>0</v>
      </c>
      <c r="AK5370">
        <v>0</v>
      </c>
    </row>
    <row r="5371" spans="11:37" x14ac:dyDescent="0.25">
      <c r="AF5371">
        <v>0</v>
      </c>
      <c r="AH5371">
        <v>0</v>
      </c>
      <c r="AK5371">
        <v>0</v>
      </c>
    </row>
    <row r="5372" spans="11:37" x14ac:dyDescent="0.25">
      <c r="AF5372">
        <v>0</v>
      </c>
      <c r="AH5372">
        <v>0</v>
      </c>
      <c r="AK5372">
        <v>0</v>
      </c>
    </row>
    <row r="5373" spans="11:37" x14ac:dyDescent="0.25">
      <c r="AF5373">
        <v>0</v>
      </c>
      <c r="AH5373">
        <v>0</v>
      </c>
      <c r="AK5373">
        <v>0</v>
      </c>
    </row>
    <row r="5374" spans="11:37" x14ac:dyDescent="0.25">
      <c r="AF5374">
        <v>0</v>
      </c>
      <c r="AH5374">
        <v>0</v>
      </c>
      <c r="AK5374">
        <v>0</v>
      </c>
    </row>
    <row r="5375" spans="11:37" x14ac:dyDescent="0.25">
      <c r="AF5375">
        <v>0</v>
      </c>
      <c r="AH5375">
        <v>0</v>
      </c>
      <c r="AK5375">
        <v>0</v>
      </c>
    </row>
    <row r="5376" spans="11:37" x14ac:dyDescent="0.25">
      <c r="AF5376">
        <v>0</v>
      </c>
      <c r="AH5376">
        <v>0</v>
      </c>
      <c r="AK5376">
        <v>0</v>
      </c>
    </row>
    <row r="5377" spans="32:37" x14ac:dyDescent="0.25">
      <c r="AF5377">
        <v>0</v>
      </c>
      <c r="AH5377">
        <v>0</v>
      </c>
      <c r="AK5377">
        <v>0</v>
      </c>
    </row>
    <row r="5378" spans="32:37" x14ac:dyDescent="0.25">
      <c r="AF5378">
        <v>0</v>
      </c>
      <c r="AH5378">
        <v>0</v>
      </c>
      <c r="AK5378">
        <v>0</v>
      </c>
    </row>
    <row r="5379" spans="32:37" x14ac:dyDescent="0.25">
      <c r="AF5379">
        <v>0</v>
      </c>
      <c r="AH5379">
        <v>0</v>
      </c>
      <c r="AK5379">
        <v>0</v>
      </c>
    </row>
    <row r="5380" spans="32:37" x14ac:dyDescent="0.25">
      <c r="AF5380">
        <v>0</v>
      </c>
      <c r="AH5380">
        <v>0</v>
      </c>
      <c r="AK5380">
        <v>0</v>
      </c>
    </row>
    <row r="5381" spans="32:37" x14ac:dyDescent="0.25">
      <c r="AF5381">
        <v>0</v>
      </c>
      <c r="AH5381">
        <v>0</v>
      </c>
      <c r="AK5381">
        <v>0</v>
      </c>
    </row>
    <row r="5382" spans="32:37" x14ac:dyDescent="0.25">
      <c r="AF5382">
        <v>0</v>
      </c>
      <c r="AH5382">
        <v>0</v>
      </c>
      <c r="AK5382">
        <v>0</v>
      </c>
    </row>
    <row r="5383" spans="32:37" x14ac:dyDescent="0.25">
      <c r="AF5383">
        <v>0</v>
      </c>
      <c r="AH5383">
        <v>0</v>
      </c>
      <c r="AK5383">
        <v>0</v>
      </c>
    </row>
    <row r="5384" spans="32:37" x14ac:dyDescent="0.25">
      <c r="AF5384">
        <v>0</v>
      </c>
      <c r="AH5384">
        <v>0</v>
      </c>
      <c r="AK5384">
        <v>0</v>
      </c>
    </row>
    <row r="5385" spans="32:37" x14ac:dyDescent="0.25">
      <c r="AF5385">
        <v>0</v>
      </c>
      <c r="AH5385">
        <v>0</v>
      </c>
      <c r="AK5385">
        <v>0</v>
      </c>
    </row>
    <row r="5386" spans="32:37" x14ac:dyDescent="0.25">
      <c r="AF5386">
        <v>0</v>
      </c>
      <c r="AH5386">
        <v>0</v>
      </c>
      <c r="AK5386">
        <v>0</v>
      </c>
    </row>
    <row r="5387" spans="32:37" x14ac:dyDescent="0.25">
      <c r="AF5387">
        <v>0</v>
      </c>
      <c r="AH5387">
        <v>0</v>
      </c>
      <c r="AK5387">
        <v>0</v>
      </c>
    </row>
    <row r="5388" spans="32:37" x14ac:dyDescent="0.25">
      <c r="AF5388">
        <v>0</v>
      </c>
      <c r="AH5388">
        <v>0</v>
      </c>
      <c r="AK5388">
        <v>0</v>
      </c>
    </row>
    <row r="5389" spans="32:37" x14ac:dyDescent="0.25">
      <c r="AF5389">
        <v>0</v>
      </c>
      <c r="AH5389">
        <v>0</v>
      </c>
      <c r="AK5389">
        <v>0</v>
      </c>
    </row>
    <row r="5390" spans="32:37" x14ac:dyDescent="0.25">
      <c r="AF5390">
        <v>0</v>
      </c>
      <c r="AH5390">
        <v>0</v>
      </c>
      <c r="AK5390">
        <v>0</v>
      </c>
    </row>
    <row r="5391" spans="32:37" x14ac:dyDescent="0.25">
      <c r="AF5391">
        <v>0</v>
      </c>
      <c r="AH5391">
        <v>0</v>
      </c>
      <c r="AK5391">
        <v>0</v>
      </c>
    </row>
    <row r="5392" spans="32:37" x14ac:dyDescent="0.25">
      <c r="AF5392">
        <v>0</v>
      </c>
      <c r="AH5392">
        <v>0</v>
      </c>
      <c r="AK5392">
        <v>0</v>
      </c>
    </row>
    <row r="5393" spans="32:37" x14ac:dyDescent="0.25">
      <c r="AF5393">
        <v>0</v>
      </c>
      <c r="AH5393">
        <v>0</v>
      </c>
      <c r="AK5393">
        <v>0</v>
      </c>
    </row>
    <row r="5394" spans="32:37" x14ac:dyDescent="0.25">
      <c r="AF5394">
        <v>0</v>
      </c>
      <c r="AH5394">
        <v>0</v>
      </c>
      <c r="AK5394">
        <v>0</v>
      </c>
    </row>
    <row r="5395" spans="32:37" x14ac:dyDescent="0.25">
      <c r="AF5395">
        <v>0</v>
      </c>
      <c r="AH5395">
        <v>0</v>
      </c>
      <c r="AK5395">
        <v>0</v>
      </c>
    </row>
    <row r="5396" spans="32:37" x14ac:dyDescent="0.25">
      <c r="AF5396">
        <v>0</v>
      </c>
      <c r="AH5396">
        <v>0</v>
      </c>
      <c r="AK5396">
        <v>0</v>
      </c>
    </row>
    <row r="5397" spans="32:37" x14ac:dyDescent="0.25">
      <c r="AF5397">
        <v>0</v>
      </c>
      <c r="AH5397">
        <v>0</v>
      </c>
      <c r="AK5397">
        <v>0</v>
      </c>
    </row>
    <row r="5398" spans="32:37" x14ac:dyDescent="0.25">
      <c r="AF5398">
        <v>0</v>
      </c>
      <c r="AH5398">
        <v>0</v>
      </c>
      <c r="AK5398">
        <v>0</v>
      </c>
    </row>
    <row r="5399" spans="32:37" x14ac:dyDescent="0.25">
      <c r="AF5399">
        <v>0</v>
      </c>
      <c r="AH5399">
        <v>0</v>
      </c>
      <c r="AK5399">
        <v>0</v>
      </c>
    </row>
    <row r="5400" spans="32:37" x14ac:dyDescent="0.25">
      <c r="AF5400">
        <v>0</v>
      </c>
      <c r="AH5400">
        <v>0</v>
      </c>
      <c r="AK5400">
        <v>0</v>
      </c>
    </row>
    <row r="5401" spans="32:37" x14ac:dyDescent="0.25">
      <c r="AF5401">
        <v>0</v>
      </c>
      <c r="AH5401">
        <v>0</v>
      </c>
      <c r="AK5401">
        <v>0</v>
      </c>
    </row>
    <row r="5402" spans="32:37" x14ac:dyDescent="0.25">
      <c r="AF5402">
        <v>0</v>
      </c>
      <c r="AH5402">
        <v>0</v>
      </c>
      <c r="AK5402">
        <v>0</v>
      </c>
    </row>
    <row r="5403" spans="32:37" x14ac:dyDescent="0.25">
      <c r="AF5403">
        <v>0</v>
      </c>
      <c r="AH5403">
        <v>0</v>
      </c>
      <c r="AK5403">
        <v>0</v>
      </c>
    </row>
    <row r="5404" spans="32:37" x14ac:dyDescent="0.25">
      <c r="AF5404">
        <v>0</v>
      </c>
      <c r="AH5404">
        <v>0</v>
      </c>
      <c r="AK5404">
        <v>0</v>
      </c>
    </row>
    <row r="5405" spans="32:37" x14ac:dyDescent="0.25">
      <c r="AF5405">
        <v>0</v>
      </c>
      <c r="AH5405">
        <v>0</v>
      </c>
      <c r="AK5405">
        <v>0</v>
      </c>
    </row>
    <row r="5406" spans="32:37" x14ac:dyDescent="0.25">
      <c r="AF5406">
        <v>0</v>
      </c>
      <c r="AH5406">
        <v>0</v>
      </c>
      <c r="AK5406">
        <v>0</v>
      </c>
    </row>
    <row r="5407" spans="32:37" x14ac:dyDescent="0.25">
      <c r="AF5407">
        <v>0</v>
      </c>
      <c r="AH5407">
        <v>0</v>
      </c>
      <c r="AK5407">
        <v>0</v>
      </c>
    </row>
    <row r="5408" spans="32:37" x14ac:dyDescent="0.25">
      <c r="AF5408">
        <v>0</v>
      </c>
      <c r="AH5408">
        <v>0</v>
      </c>
      <c r="AK5408">
        <v>0</v>
      </c>
    </row>
    <row r="5409" spans="32:37" x14ac:dyDescent="0.25">
      <c r="AF5409">
        <v>0</v>
      </c>
      <c r="AH5409">
        <v>0</v>
      </c>
      <c r="AK5409">
        <v>0</v>
      </c>
    </row>
    <row r="5410" spans="32:37" x14ac:dyDescent="0.25">
      <c r="AF5410">
        <v>0</v>
      </c>
      <c r="AH5410">
        <v>0</v>
      </c>
      <c r="AK5410">
        <v>0</v>
      </c>
    </row>
    <row r="5411" spans="32:37" x14ac:dyDescent="0.25">
      <c r="AF5411">
        <v>0</v>
      </c>
      <c r="AH5411">
        <v>0</v>
      </c>
      <c r="AK5411">
        <v>0</v>
      </c>
    </row>
    <row r="5412" spans="32:37" x14ac:dyDescent="0.25">
      <c r="AF5412">
        <v>0</v>
      </c>
      <c r="AH5412">
        <v>0</v>
      </c>
      <c r="AK5412">
        <v>0</v>
      </c>
    </row>
    <row r="5413" spans="32:37" x14ac:dyDescent="0.25">
      <c r="AF5413">
        <v>0</v>
      </c>
      <c r="AH5413">
        <v>0</v>
      </c>
      <c r="AK5413">
        <v>0</v>
      </c>
    </row>
    <row r="5414" spans="32:37" x14ac:dyDescent="0.25">
      <c r="AF5414">
        <v>0</v>
      </c>
      <c r="AH5414">
        <v>0</v>
      </c>
      <c r="AK5414">
        <v>0</v>
      </c>
    </row>
    <row r="5415" spans="32:37" x14ac:dyDescent="0.25">
      <c r="AF5415">
        <v>0</v>
      </c>
      <c r="AH5415">
        <v>0</v>
      </c>
      <c r="AK5415">
        <v>0</v>
      </c>
    </row>
    <row r="5416" spans="32:37" x14ac:dyDescent="0.25">
      <c r="AF5416">
        <v>0</v>
      </c>
      <c r="AH5416">
        <v>0</v>
      </c>
      <c r="AK5416">
        <v>0</v>
      </c>
    </row>
    <row r="5417" spans="32:37" x14ac:dyDescent="0.25">
      <c r="AF5417">
        <v>0</v>
      </c>
      <c r="AH5417">
        <v>0</v>
      </c>
      <c r="AK5417">
        <v>0</v>
      </c>
    </row>
    <row r="5418" spans="32:37" x14ac:dyDescent="0.25">
      <c r="AF5418">
        <v>0</v>
      </c>
      <c r="AH5418">
        <v>0</v>
      </c>
      <c r="AK5418">
        <v>0</v>
      </c>
    </row>
    <row r="5419" spans="32:37" x14ac:dyDescent="0.25">
      <c r="AF5419">
        <v>0</v>
      </c>
      <c r="AH5419">
        <v>0</v>
      </c>
      <c r="AK5419">
        <v>0</v>
      </c>
    </row>
    <row r="5420" spans="32:37" x14ac:dyDescent="0.25">
      <c r="AF5420">
        <v>0</v>
      </c>
      <c r="AH5420">
        <v>0</v>
      </c>
      <c r="AK5420">
        <v>0</v>
      </c>
    </row>
    <row r="5421" spans="32:37" x14ac:dyDescent="0.25">
      <c r="AF5421">
        <v>0</v>
      </c>
      <c r="AH5421">
        <v>0</v>
      </c>
      <c r="AK5421">
        <v>0</v>
      </c>
    </row>
    <row r="5422" spans="32:37" x14ac:dyDescent="0.25">
      <c r="AF5422">
        <v>0</v>
      </c>
      <c r="AH5422">
        <v>0</v>
      </c>
      <c r="AK5422">
        <v>0</v>
      </c>
    </row>
    <row r="5423" spans="32:37" x14ac:dyDescent="0.25">
      <c r="AF5423">
        <v>0</v>
      </c>
      <c r="AH5423">
        <v>0</v>
      </c>
      <c r="AK5423">
        <v>0</v>
      </c>
    </row>
    <row r="5424" spans="32:37" x14ac:dyDescent="0.25">
      <c r="AF5424">
        <v>0</v>
      </c>
      <c r="AH5424">
        <v>0</v>
      </c>
      <c r="AK5424">
        <v>0</v>
      </c>
    </row>
    <row r="5425" spans="32:37" x14ac:dyDescent="0.25">
      <c r="AF5425">
        <v>0</v>
      </c>
      <c r="AH5425">
        <v>0</v>
      </c>
      <c r="AK5425">
        <v>0</v>
      </c>
    </row>
    <row r="5426" spans="32:37" x14ac:dyDescent="0.25">
      <c r="AF5426">
        <v>0</v>
      </c>
      <c r="AH5426">
        <v>0</v>
      </c>
      <c r="AK5426">
        <v>0</v>
      </c>
    </row>
    <row r="5427" spans="32:37" x14ac:dyDescent="0.25">
      <c r="AF5427">
        <v>0</v>
      </c>
      <c r="AH5427">
        <v>0</v>
      </c>
      <c r="AK5427">
        <v>0</v>
      </c>
    </row>
    <row r="5428" spans="32:37" x14ac:dyDescent="0.25">
      <c r="AF5428">
        <v>0</v>
      </c>
      <c r="AH5428">
        <v>0</v>
      </c>
      <c r="AK5428">
        <v>0</v>
      </c>
    </row>
    <row r="5429" spans="32:37" x14ac:dyDescent="0.25">
      <c r="AF5429">
        <v>0</v>
      </c>
      <c r="AH5429">
        <v>0</v>
      </c>
      <c r="AK5429">
        <v>0</v>
      </c>
    </row>
    <row r="5430" spans="32:37" x14ac:dyDescent="0.25">
      <c r="AF5430">
        <v>0</v>
      </c>
      <c r="AH5430">
        <v>0</v>
      </c>
      <c r="AK5430">
        <v>0</v>
      </c>
    </row>
    <row r="5431" spans="32:37" x14ac:dyDescent="0.25">
      <c r="AF5431">
        <v>0</v>
      </c>
      <c r="AH5431">
        <v>0</v>
      </c>
      <c r="AK5431">
        <v>0</v>
      </c>
    </row>
    <row r="5432" spans="32:37" x14ac:dyDescent="0.25">
      <c r="AF5432">
        <v>0</v>
      </c>
      <c r="AH5432">
        <v>0</v>
      </c>
      <c r="AK5432">
        <v>0</v>
      </c>
    </row>
    <row r="5433" spans="32:37" x14ac:dyDescent="0.25">
      <c r="AF5433">
        <v>0</v>
      </c>
      <c r="AH5433">
        <v>0</v>
      </c>
      <c r="AK5433">
        <v>0</v>
      </c>
    </row>
    <row r="5434" spans="32:37" x14ac:dyDescent="0.25">
      <c r="AF5434">
        <v>0</v>
      </c>
      <c r="AH5434">
        <v>0</v>
      </c>
      <c r="AK5434">
        <v>0</v>
      </c>
    </row>
    <row r="5435" spans="32:37" x14ac:dyDescent="0.25">
      <c r="AF5435">
        <v>0</v>
      </c>
      <c r="AH5435">
        <v>0</v>
      </c>
      <c r="AK5435">
        <v>0</v>
      </c>
    </row>
    <row r="5436" spans="32:37" x14ac:dyDescent="0.25">
      <c r="AF5436">
        <v>0</v>
      </c>
      <c r="AH5436">
        <v>0</v>
      </c>
      <c r="AK5436">
        <v>0</v>
      </c>
    </row>
    <row r="5437" spans="32:37" x14ac:dyDescent="0.25">
      <c r="AF5437">
        <v>0</v>
      </c>
      <c r="AH5437">
        <v>0</v>
      </c>
      <c r="AK5437">
        <v>0</v>
      </c>
    </row>
    <row r="5438" spans="32:37" x14ac:dyDescent="0.25">
      <c r="AF5438">
        <v>0</v>
      </c>
      <c r="AH5438">
        <v>0</v>
      </c>
      <c r="AK5438">
        <v>0</v>
      </c>
    </row>
    <row r="5439" spans="32:37" x14ac:dyDescent="0.25">
      <c r="AF5439">
        <v>0</v>
      </c>
      <c r="AH5439">
        <v>0</v>
      </c>
      <c r="AK5439">
        <v>0</v>
      </c>
    </row>
    <row r="5440" spans="32:37" x14ac:dyDescent="0.25">
      <c r="AF5440">
        <v>0</v>
      </c>
      <c r="AH5440">
        <v>0</v>
      </c>
      <c r="AK5440">
        <v>0</v>
      </c>
    </row>
    <row r="5441" spans="32:37" x14ac:dyDescent="0.25">
      <c r="AF5441">
        <v>0</v>
      </c>
      <c r="AH5441">
        <v>0</v>
      </c>
      <c r="AK5441">
        <v>0</v>
      </c>
    </row>
    <row r="5442" spans="32:37" x14ac:dyDescent="0.25">
      <c r="AF5442">
        <v>0</v>
      </c>
      <c r="AH5442">
        <v>0</v>
      </c>
      <c r="AK5442">
        <v>0</v>
      </c>
    </row>
    <row r="5443" spans="32:37" x14ac:dyDescent="0.25">
      <c r="AF5443">
        <v>0</v>
      </c>
      <c r="AH5443">
        <v>0</v>
      </c>
      <c r="AK5443">
        <v>0</v>
      </c>
    </row>
    <row r="5444" spans="32:37" x14ac:dyDescent="0.25">
      <c r="AF5444">
        <v>0</v>
      </c>
      <c r="AH5444">
        <v>0</v>
      </c>
      <c r="AK5444">
        <v>0</v>
      </c>
    </row>
    <row r="5445" spans="32:37" x14ac:dyDescent="0.25">
      <c r="AF5445">
        <v>0</v>
      </c>
      <c r="AH5445">
        <v>0</v>
      </c>
      <c r="AK5445">
        <v>0</v>
      </c>
    </row>
    <row r="5446" spans="32:37" x14ac:dyDescent="0.25">
      <c r="AF5446">
        <v>0</v>
      </c>
      <c r="AH5446">
        <v>0</v>
      </c>
      <c r="AK5446">
        <v>0</v>
      </c>
    </row>
    <row r="5447" spans="32:37" x14ac:dyDescent="0.25">
      <c r="AF5447">
        <v>0</v>
      </c>
      <c r="AH5447">
        <v>0</v>
      </c>
      <c r="AK5447">
        <v>0</v>
      </c>
    </row>
    <row r="5448" spans="32:37" x14ac:dyDescent="0.25">
      <c r="AF5448">
        <v>0</v>
      </c>
      <c r="AH5448">
        <v>0</v>
      </c>
      <c r="AK5448">
        <v>0</v>
      </c>
    </row>
    <row r="5449" spans="32:37" x14ac:dyDescent="0.25">
      <c r="AF5449">
        <v>0</v>
      </c>
      <c r="AH5449">
        <v>0</v>
      </c>
      <c r="AK5449">
        <v>0</v>
      </c>
    </row>
    <row r="5450" spans="32:37" x14ac:dyDescent="0.25">
      <c r="AF5450">
        <v>0</v>
      </c>
      <c r="AH5450">
        <v>0</v>
      </c>
      <c r="AK5450">
        <v>0</v>
      </c>
    </row>
    <row r="5451" spans="32:37" x14ac:dyDescent="0.25">
      <c r="AF5451">
        <v>0</v>
      </c>
      <c r="AH5451">
        <v>0</v>
      </c>
      <c r="AK5451">
        <v>0</v>
      </c>
    </row>
    <row r="5452" spans="32:37" x14ac:dyDescent="0.25">
      <c r="AF5452">
        <v>0</v>
      </c>
      <c r="AH5452">
        <v>0</v>
      </c>
      <c r="AK5452">
        <v>0</v>
      </c>
    </row>
    <row r="5453" spans="32:37" x14ac:dyDescent="0.25">
      <c r="AF5453">
        <v>0</v>
      </c>
      <c r="AH5453">
        <v>0</v>
      </c>
      <c r="AK5453">
        <v>0</v>
      </c>
    </row>
    <row r="5454" spans="32:37" x14ac:dyDescent="0.25">
      <c r="AF5454">
        <v>0</v>
      </c>
      <c r="AH5454">
        <v>0</v>
      </c>
      <c r="AK5454">
        <v>0</v>
      </c>
    </row>
    <row r="5455" spans="32:37" x14ac:dyDescent="0.25">
      <c r="AF5455">
        <v>0</v>
      </c>
      <c r="AH5455">
        <v>0</v>
      </c>
      <c r="AK5455">
        <v>0</v>
      </c>
    </row>
    <row r="5456" spans="32:37" x14ac:dyDescent="0.25">
      <c r="AF5456">
        <v>0</v>
      </c>
      <c r="AH5456">
        <v>0</v>
      </c>
      <c r="AK5456">
        <v>0</v>
      </c>
    </row>
    <row r="5457" spans="32:37" x14ac:dyDescent="0.25">
      <c r="AF5457">
        <v>0</v>
      </c>
      <c r="AH5457">
        <v>0</v>
      </c>
      <c r="AK5457">
        <v>0</v>
      </c>
    </row>
    <row r="5458" spans="32:37" x14ac:dyDescent="0.25">
      <c r="AF5458">
        <v>0</v>
      </c>
      <c r="AH5458">
        <v>0</v>
      </c>
      <c r="AK5458">
        <v>0</v>
      </c>
    </row>
    <row r="5459" spans="32:37" x14ac:dyDescent="0.25">
      <c r="AF5459">
        <v>0</v>
      </c>
      <c r="AH5459">
        <v>0</v>
      </c>
      <c r="AK5459">
        <v>0</v>
      </c>
    </row>
    <row r="5460" spans="32:37" x14ac:dyDescent="0.25">
      <c r="AF5460">
        <v>0</v>
      </c>
      <c r="AH5460">
        <v>0</v>
      </c>
      <c r="AK5460">
        <v>0</v>
      </c>
    </row>
    <row r="5461" spans="32:37" x14ac:dyDescent="0.25">
      <c r="AF5461">
        <v>0</v>
      </c>
      <c r="AH5461">
        <v>0</v>
      </c>
      <c r="AK5461">
        <v>0</v>
      </c>
    </row>
    <row r="5462" spans="32:37" x14ac:dyDescent="0.25">
      <c r="AF5462">
        <v>0</v>
      </c>
      <c r="AH5462">
        <v>0</v>
      </c>
      <c r="AK5462">
        <v>0</v>
      </c>
    </row>
    <row r="5463" spans="32:37" x14ac:dyDescent="0.25">
      <c r="AF5463">
        <v>0</v>
      </c>
      <c r="AH5463">
        <v>0</v>
      </c>
      <c r="AK5463">
        <v>0</v>
      </c>
    </row>
    <row r="5464" spans="32:37" x14ac:dyDescent="0.25">
      <c r="AF5464">
        <v>0</v>
      </c>
      <c r="AH5464">
        <v>0</v>
      </c>
      <c r="AK5464">
        <v>0</v>
      </c>
    </row>
    <row r="5465" spans="32:37" x14ac:dyDescent="0.25">
      <c r="AF5465">
        <v>0</v>
      </c>
      <c r="AH5465">
        <v>0</v>
      </c>
      <c r="AK5465">
        <v>0</v>
      </c>
    </row>
    <row r="5466" spans="32:37" x14ac:dyDescent="0.25">
      <c r="AF5466">
        <v>0</v>
      </c>
      <c r="AH5466">
        <v>0</v>
      </c>
      <c r="AK5466">
        <v>0</v>
      </c>
    </row>
    <row r="5467" spans="32:37" x14ac:dyDescent="0.25">
      <c r="AF5467">
        <v>0</v>
      </c>
      <c r="AH5467">
        <v>0</v>
      </c>
      <c r="AK5467">
        <v>0</v>
      </c>
    </row>
    <row r="5468" spans="32:37" x14ac:dyDescent="0.25">
      <c r="AF5468">
        <v>0</v>
      </c>
      <c r="AH5468">
        <v>0</v>
      </c>
      <c r="AK5468">
        <v>0</v>
      </c>
    </row>
    <row r="5469" spans="32:37" x14ac:dyDescent="0.25">
      <c r="AF5469">
        <v>0</v>
      </c>
      <c r="AH5469">
        <v>0</v>
      </c>
      <c r="AK5469">
        <v>0</v>
      </c>
    </row>
    <row r="5470" spans="32:37" x14ac:dyDescent="0.25">
      <c r="AF5470">
        <v>0</v>
      </c>
      <c r="AH5470">
        <v>0</v>
      </c>
      <c r="AK5470">
        <v>0</v>
      </c>
    </row>
    <row r="5471" spans="32:37" x14ac:dyDescent="0.25">
      <c r="AF5471">
        <v>0</v>
      </c>
      <c r="AH5471">
        <v>0</v>
      </c>
      <c r="AK5471">
        <v>0</v>
      </c>
    </row>
    <row r="5472" spans="32:37" x14ac:dyDescent="0.25">
      <c r="AF5472">
        <v>0</v>
      </c>
      <c r="AH5472">
        <v>0</v>
      </c>
      <c r="AK5472">
        <v>0</v>
      </c>
    </row>
    <row r="5473" spans="32:37" x14ac:dyDescent="0.25">
      <c r="AF5473">
        <v>0</v>
      </c>
      <c r="AH5473">
        <v>0</v>
      </c>
      <c r="AK5473">
        <v>0</v>
      </c>
    </row>
    <row r="5474" spans="32:37" x14ac:dyDescent="0.25">
      <c r="AF5474">
        <v>0</v>
      </c>
      <c r="AH5474">
        <v>0</v>
      </c>
      <c r="AK5474">
        <v>0</v>
      </c>
    </row>
    <row r="5475" spans="32:37" x14ac:dyDescent="0.25">
      <c r="AF5475">
        <v>0</v>
      </c>
      <c r="AH5475">
        <v>0</v>
      </c>
      <c r="AK5475">
        <v>0</v>
      </c>
    </row>
    <row r="5476" spans="32:37" x14ac:dyDescent="0.25">
      <c r="AF5476">
        <v>0</v>
      </c>
      <c r="AH5476">
        <v>0</v>
      </c>
      <c r="AK5476">
        <v>0</v>
      </c>
    </row>
    <row r="5477" spans="32:37" x14ac:dyDescent="0.25">
      <c r="AF5477">
        <v>0</v>
      </c>
      <c r="AH5477">
        <v>0</v>
      </c>
      <c r="AK5477">
        <v>0</v>
      </c>
    </row>
    <row r="5478" spans="32:37" x14ac:dyDescent="0.25">
      <c r="AF5478">
        <v>0</v>
      </c>
      <c r="AH5478">
        <v>0</v>
      </c>
      <c r="AK5478">
        <v>0</v>
      </c>
    </row>
    <row r="5479" spans="32:37" x14ac:dyDescent="0.25">
      <c r="AF5479">
        <v>0</v>
      </c>
      <c r="AH5479">
        <v>0</v>
      </c>
      <c r="AK5479">
        <v>0</v>
      </c>
    </row>
    <row r="5480" spans="32:37" x14ac:dyDescent="0.25">
      <c r="AF5480">
        <v>0</v>
      </c>
      <c r="AH5480">
        <v>0</v>
      </c>
      <c r="AK5480">
        <v>0</v>
      </c>
    </row>
    <row r="5481" spans="32:37" x14ac:dyDescent="0.25">
      <c r="AF5481">
        <v>0</v>
      </c>
      <c r="AH5481">
        <v>0</v>
      </c>
      <c r="AK5481">
        <v>0</v>
      </c>
    </row>
    <row r="5482" spans="32:37" x14ac:dyDescent="0.25">
      <c r="AF5482">
        <v>0</v>
      </c>
      <c r="AH5482">
        <v>0</v>
      </c>
      <c r="AK5482">
        <v>0</v>
      </c>
    </row>
    <row r="5483" spans="32:37" x14ac:dyDescent="0.25">
      <c r="AF5483">
        <v>0</v>
      </c>
      <c r="AH5483">
        <v>0</v>
      </c>
      <c r="AK5483">
        <v>0</v>
      </c>
    </row>
    <row r="5484" spans="32:37" x14ac:dyDescent="0.25">
      <c r="AF5484">
        <v>0</v>
      </c>
      <c r="AH5484">
        <v>0</v>
      </c>
      <c r="AK5484">
        <v>0</v>
      </c>
    </row>
    <row r="5485" spans="32:37" x14ac:dyDescent="0.25">
      <c r="AF5485">
        <v>0</v>
      </c>
      <c r="AH5485">
        <v>0</v>
      </c>
      <c r="AK5485">
        <v>0</v>
      </c>
    </row>
    <row r="5486" spans="32:37" x14ac:dyDescent="0.25">
      <c r="AF5486">
        <v>0</v>
      </c>
      <c r="AH5486">
        <v>0</v>
      </c>
      <c r="AK5486">
        <v>0</v>
      </c>
    </row>
    <row r="5487" spans="32:37" x14ac:dyDescent="0.25">
      <c r="AF5487">
        <v>0</v>
      </c>
      <c r="AH5487">
        <v>0</v>
      </c>
      <c r="AK5487">
        <v>0</v>
      </c>
    </row>
    <row r="5488" spans="32:37" x14ac:dyDescent="0.25">
      <c r="AF5488">
        <v>0</v>
      </c>
      <c r="AH5488">
        <v>0</v>
      </c>
      <c r="AK5488">
        <v>0</v>
      </c>
    </row>
    <row r="5489" spans="32:37" x14ac:dyDescent="0.25">
      <c r="AF5489">
        <v>0</v>
      </c>
      <c r="AH5489">
        <v>0</v>
      </c>
      <c r="AK5489">
        <v>0</v>
      </c>
    </row>
    <row r="5490" spans="32:37" x14ac:dyDescent="0.25">
      <c r="AF5490">
        <v>0</v>
      </c>
      <c r="AH5490">
        <v>0</v>
      </c>
      <c r="AK5490">
        <v>0</v>
      </c>
    </row>
    <row r="5491" spans="32:37" x14ac:dyDescent="0.25">
      <c r="AF5491">
        <v>0</v>
      </c>
      <c r="AH5491">
        <v>0</v>
      </c>
      <c r="AK5491">
        <v>0</v>
      </c>
    </row>
    <row r="5492" spans="32:37" x14ac:dyDescent="0.25">
      <c r="AF5492">
        <v>0</v>
      </c>
      <c r="AH5492">
        <v>0</v>
      </c>
      <c r="AK5492">
        <v>0</v>
      </c>
    </row>
    <row r="5493" spans="32:37" x14ac:dyDescent="0.25">
      <c r="AF5493">
        <v>0</v>
      </c>
      <c r="AH5493">
        <v>0</v>
      </c>
      <c r="AK5493">
        <v>0</v>
      </c>
    </row>
    <row r="5494" spans="32:37" x14ac:dyDescent="0.25">
      <c r="AF5494">
        <v>0</v>
      </c>
      <c r="AH5494">
        <v>0</v>
      </c>
      <c r="AK5494">
        <v>0</v>
      </c>
    </row>
    <row r="5495" spans="32:37" x14ac:dyDescent="0.25">
      <c r="AF5495">
        <v>0</v>
      </c>
      <c r="AH5495">
        <v>0</v>
      </c>
      <c r="AK5495">
        <v>0</v>
      </c>
    </row>
    <row r="5496" spans="32:37" x14ac:dyDescent="0.25">
      <c r="AF5496">
        <v>0</v>
      </c>
      <c r="AH5496">
        <v>0</v>
      </c>
      <c r="AK5496">
        <v>0</v>
      </c>
    </row>
    <row r="5497" spans="32:37" x14ac:dyDescent="0.25">
      <c r="AF5497">
        <v>0</v>
      </c>
      <c r="AH5497">
        <v>0</v>
      </c>
      <c r="AK5497">
        <v>0</v>
      </c>
    </row>
    <row r="5498" spans="32:37" x14ac:dyDescent="0.25">
      <c r="AF5498">
        <v>0</v>
      </c>
      <c r="AH5498">
        <v>0</v>
      </c>
      <c r="AK5498">
        <v>0</v>
      </c>
    </row>
    <row r="5499" spans="32:37" x14ac:dyDescent="0.25">
      <c r="AF5499">
        <v>0</v>
      </c>
      <c r="AH5499">
        <v>0</v>
      </c>
      <c r="AK5499">
        <v>0</v>
      </c>
    </row>
    <row r="5500" spans="32:37" x14ac:dyDescent="0.25">
      <c r="AF5500">
        <v>0</v>
      </c>
      <c r="AH5500">
        <v>0</v>
      </c>
      <c r="AK5500">
        <v>0</v>
      </c>
    </row>
    <row r="5501" spans="32:37" x14ac:dyDescent="0.25">
      <c r="AF5501">
        <v>0</v>
      </c>
      <c r="AH5501">
        <v>0</v>
      </c>
      <c r="AK5501">
        <v>0</v>
      </c>
    </row>
    <row r="5502" spans="32:37" x14ac:dyDescent="0.25">
      <c r="AF5502">
        <v>0</v>
      </c>
      <c r="AH5502">
        <v>0</v>
      </c>
      <c r="AK5502">
        <v>0</v>
      </c>
    </row>
    <row r="5503" spans="32:37" x14ac:dyDescent="0.25">
      <c r="AF5503">
        <v>0</v>
      </c>
      <c r="AH5503">
        <v>0</v>
      </c>
      <c r="AK5503">
        <v>0</v>
      </c>
    </row>
    <row r="5504" spans="32:37" x14ac:dyDescent="0.25">
      <c r="AF5504">
        <v>0</v>
      </c>
      <c r="AH5504">
        <v>0</v>
      </c>
      <c r="AK5504">
        <v>0</v>
      </c>
    </row>
    <row r="5505" spans="32:37" x14ac:dyDescent="0.25">
      <c r="AF5505">
        <v>0</v>
      </c>
      <c r="AH5505">
        <v>0</v>
      </c>
      <c r="AK5505">
        <v>0</v>
      </c>
    </row>
    <row r="5506" spans="32:37" x14ac:dyDescent="0.25">
      <c r="AF5506">
        <v>0</v>
      </c>
      <c r="AH5506">
        <v>0</v>
      </c>
      <c r="AK5506">
        <v>0</v>
      </c>
    </row>
    <row r="5507" spans="32:37" x14ac:dyDescent="0.25">
      <c r="AF5507">
        <v>0</v>
      </c>
      <c r="AH5507">
        <v>0</v>
      </c>
      <c r="AK5507">
        <v>0</v>
      </c>
    </row>
    <row r="5508" spans="32:37" x14ac:dyDescent="0.25">
      <c r="AF5508">
        <v>0</v>
      </c>
      <c r="AH5508">
        <v>0</v>
      </c>
      <c r="AK5508">
        <v>0</v>
      </c>
    </row>
    <row r="5509" spans="32:37" x14ac:dyDescent="0.25">
      <c r="AF5509">
        <v>0</v>
      </c>
      <c r="AH5509">
        <v>0</v>
      </c>
      <c r="AK5509">
        <v>0</v>
      </c>
    </row>
    <row r="5510" spans="32:37" x14ac:dyDescent="0.25">
      <c r="AF5510">
        <v>0</v>
      </c>
      <c r="AH5510">
        <v>0</v>
      </c>
      <c r="AK5510">
        <v>0</v>
      </c>
    </row>
    <row r="5511" spans="32:37" x14ac:dyDescent="0.25">
      <c r="AF5511">
        <v>0</v>
      </c>
      <c r="AH5511">
        <v>0</v>
      </c>
      <c r="AK5511">
        <v>0</v>
      </c>
    </row>
    <row r="5512" spans="32:37" x14ac:dyDescent="0.25">
      <c r="AF5512">
        <v>0</v>
      </c>
      <c r="AH5512">
        <v>0</v>
      </c>
      <c r="AK5512">
        <v>0</v>
      </c>
    </row>
    <row r="5513" spans="32:37" x14ac:dyDescent="0.25">
      <c r="AF5513">
        <v>0</v>
      </c>
      <c r="AH5513">
        <v>0</v>
      </c>
      <c r="AK5513">
        <v>0</v>
      </c>
    </row>
    <row r="5514" spans="32:37" x14ac:dyDescent="0.25">
      <c r="AF5514">
        <v>0</v>
      </c>
      <c r="AH5514">
        <v>0</v>
      </c>
      <c r="AK5514">
        <v>0</v>
      </c>
    </row>
    <row r="5515" spans="32:37" x14ac:dyDescent="0.25">
      <c r="AF5515">
        <v>0</v>
      </c>
      <c r="AH5515">
        <v>0</v>
      </c>
      <c r="AK5515">
        <v>0</v>
      </c>
    </row>
    <row r="5516" spans="32:37" x14ac:dyDescent="0.25">
      <c r="AF5516">
        <v>0</v>
      </c>
      <c r="AH5516">
        <v>0</v>
      </c>
      <c r="AK5516">
        <v>0</v>
      </c>
    </row>
    <row r="5517" spans="32:37" x14ac:dyDescent="0.25">
      <c r="AF5517">
        <v>0</v>
      </c>
      <c r="AH5517">
        <v>0</v>
      </c>
      <c r="AK5517">
        <v>0</v>
      </c>
    </row>
    <row r="5518" spans="32:37" x14ac:dyDescent="0.25">
      <c r="AF5518">
        <v>0</v>
      </c>
      <c r="AH5518">
        <v>0</v>
      </c>
      <c r="AK5518">
        <v>0</v>
      </c>
    </row>
    <row r="5519" spans="32:37" x14ac:dyDescent="0.25">
      <c r="AF5519">
        <v>0</v>
      </c>
      <c r="AH5519">
        <v>0</v>
      </c>
      <c r="AK5519">
        <v>0</v>
      </c>
    </row>
    <row r="5520" spans="32:37" x14ac:dyDescent="0.25">
      <c r="AF5520">
        <v>0</v>
      </c>
      <c r="AH5520">
        <v>0</v>
      </c>
      <c r="AK5520">
        <v>0</v>
      </c>
    </row>
    <row r="5521" spans="32:37" x14ac:dyDescent="0.25">
      <c r="AF5521">
        <v>0</v>
      </c>
      <c r="AH5521">
        <v>0</v>
      </c>
      <c r="AK5521">
        <v>0</v>
      </c>
    </row>
    <row r="5522" spans="32:37" x14ac:dyDescent="0.25">
      <c r="AF5522">
        <v>0</v>
      </c>
      <c r="AH5522">
        <v>0</v>
      </c>
      <c r="AK5522">
        <v>0</v>
      </c>
    </row>
    <row r="5523" spans="32:37" x14ac:dyDescent="0.25">
      <c r="AF5523">
        <v>0</v>
      </c>
      <c r="AH5523">
        <v>0</v>
      </c>
      <c r="AK5523">
        <v>0</v>
      </c>
    </row>
    <row r="5524" spans="32:37" x14ac:dyDescent="0.25">
      <c r="AF5524">
        <v>0</v>
      </c>
      <c r="AH5524">
        <v>0</v>
      </c>
      <c r="AK5524">
        <v>0</v>
      </c>
    </row>
    <row r="5525" spans="32:37" x14ac:dyDescent="0.25">
      <c r="AF5525">
        <v>0</v>
      </c>
      <c r="AH5525">
        <v>0</v>
      </c>
      <c r="AK5525">
        <v>0</v>
      </c>
    </row>
    <row r="5526" spans="32:37" x14ac:dyDescent="0.25">
      <c r="AF5526">
        <v>0</v>
      </c>
      <c r="AH5526">
        <v>0</v>
      </c>
      <c r="AK5526">
        <v>0</v>
      </c>
    </row>
    <row r="5527" spans="32:37" x14ac:dyDescent="0.25">
      <c r="AF5527">
        <v>0</v>
      </c>
      <c r="AH5527">
        <v>0</v>
      </c>
      <c r="AK5527">
        <v>0</v>
      </c>
    </row>
    <row r="5528" spans="32:37" x14ac:dyDescent="0.25">
      <c r="AF5528">
        <v>0</v>
      </c>
      <c r="AH5528">
        <v>0</v>
      </c>
      <c r="AK5528">
        <v>0</v>
      </c>
    </row>
    <row r="5529" spans="32:37" x14ac:dyDescent="0.25">
      <c r="AF5529">
        <v>0</v>
      </c>
      <c r="AH5529">
        <v>0</v>
      </c>
      <c r="AK5529">
        <v>0</v>
      </c>
    </row>
    <row r="5530" spans="32:37" x14ac:dyDescent="0.25">
      <c r="AF5530">
        <v>0</v>
      </c>
      <c r="AH5530">
        <v>0</v>
      </c>
      <c r="AK5530">
        <v>0</v>
      </c>
    </row>
    <row r="5531" spans="32:37" x14ac:dyDescent="0.25">
      <c r="AF5531">
        <v>0</v>
      </c>
      <c r="AH5531">
        <v>0</v>
      </c>
      <c r="AK5531">
        <v>0</v>
      </c>
    </row>
    <row r="5532" spans="32:37" x14ac:dyDescent="0.25">
      <c r="AF5532">
        <v>0</v>
      </c>
      <c r="AH5532">
        <v>0</v>
      </c>
      <c r="AK5532">
        <v>0</v>
      </c>
    </row>
    <row r="5533" spans="32:37" x14ac:dyDescent="0.25">
      <c r="AF5533">
        <v>0</v>
      </c>
      <c r="AH5533">
        <v>0</v>
      </c>
      <c r="AK5533">
        <v>0</v>
      </c>
    </row>
    <row r="5534" spans="32:37" x14ac:dyDescent="0.25">
      <c r="AF5534">
        <v>0</v>
      </c>
      <c r="AH5534">
        <v>0</v>
      </c>
      <c r="AK5534">
        <v>0</v>
      </c>
    </row>
    <row r="5535" spans="32:37" x14ac:dyDescent="0.25">
      <c r="AF5535">
        <v>0</v>
      </c>
      <c r="AH5535">
        <v>0</v>
      </c>
      <c r="AK5535">
        <v>0</v>
      </c>
    </row>
    <row r="5536" spans="32:37" x14ac:dyDescent="0.25">
      <c r="AF5536">
        <v>0</v>
      </c>
      <c r="AH5536">
        <v>0</v>
      </c>
      <c r="AK5536">
        <v>0</v>
      </c>
    </row>
    <row r="5537" spans="32:37" x14ac:dyDescent="0.25">
      <c r="AF5537">
        <v>0</v>
      </c>
      <c r="AH5537">
        <v>0</v>
      </c>
      <c r="AK5537">
        <v>0</v>
      </c>
    </row>
    <row r="5538" spans="32:37" x14ac:dyDescent="0.25">
      <c r="AF5538">
        <v>0</v>
      </c>
      <c r="AH5538">
        <v>0</v>
      </c>
      <c r="AK5538">
        <v>0</v>
      </c>
    </row>
    <row r="5539" spans="32:37" x14ac:dyDescent="0.25">
      <c r="AF5539">
        <v>0</v>
      </c>
      <c r="AH5539">
        <v>0</v>
      </c>
      <c r="AK5539">
        <v>0</v>
      </c>
    </row>
    <row r="5540" spans="32:37" x14ac:dyDescent="0.25">
      <c r="AF5540">
        <v>0</v>
      </c>
      <c r="AH5540">
        <v>0</v>
      </c>
      <c r="AK5540">
        <v>0</v>
      </c>
    </row>
    <row r="5541" spans="32:37" x14ac:dyDescent="0.25">
      <c r="AF5541">
        <v>0</v>
      </c>
      <c r="AH5541">
        <v>0</v>
      </c>
      <c r="AK5541">
        <v>0</v>
      </c>
    </row>
    <row r="5542" spans="32:37" x14ac:dyDescent="0.25">
      <c r="AF5542">
        <v>0</v>
      </c>
      <c r="AH5542">
        <v>0</v>
      </c>
      <c r="AK5542">
        <v>0</v>
      </c>
    </row>
    <row r="5543" spans="32:37" x14ac:dyDescent="0.25">
      <c r="AF5543">
        <v>0</v>
      </c>
      <c r="AH5543">
        <v>0</v>
      </c>
      <c r="AK5543">
        <v>0</v>
      </c>
    </row>
    <row r="5544" spans="32:37" x14ac:dyDescent="0.25">
      <c r="AF5544">
        <v>0</v>
      </c>
      <c r="AH5544">
        <v>0</v>
      </c>
      <c r="AK5544">
        <v>0</v>
      </c>
    </row>
    <row r="5545" spans="32:37" x14ac:dyDescent="0.25">
      <c r="AF5545">
        <v>0</v>
      </c>
      <c r="AH5545">
        <v>0</v>
      </c>
      <c r="AK5545">
        <v>0</v>
      </c>
    </row>
    <row r="5546" spans="32:37" x14ac:dyDescent="0.25">
      <c r="AF5546">
        <v>0</v>
      </c>
      <c r="AH5546">
        <v>0</v>
      </c>
      <c r="AK5546">
        <v>0</v>
      </c>
    </row>
    <row r="5547" spans="32:37" x14ac:dyDescent="0.25">
      <c r="AF5547">
        <v>0</v>
      </c>
      <c r="AH5547">
        <v>0</v>
      </c>
      <c r="AK5547">
        <v>0</v>
      </c>
    </row>
    <row r="5548" spans="32:37" x14ac:dyDescent="0.25">
      <c r="AF5548">
        <v>0</v>
      </c>
      <c r="AH5548">
        <v>0</v>
      </c>
      <c r="AK5548">
        <v>0</v>
      </c>
    </row>
    <row r="5549" spans="32:37" x14ac:dyDescent="0.25">
      <c r="AF5549">
        <v>0</v>
      </c>
      <c r="AH5549">
        <v>0</v>
      </c>
      <c r="AK5549">
        <v>0</v>
      </c>
    </row>
    <row r="5550" spans="32:37" x14ac:dyDescent="0.25">
      <c r="AF5550">
        <v>0</v>
      </c>
      <c r="AH5550">
        <v>0</v>
      </c>
      <c r="AK5550">
        <v>0</v>
      </c>
    </row>
    <row r="5551" spans="32:37" x14ac:dyDescent="0.25">
      <c r="AF5551">
        <v>0</v>
      </c>
      <c r="AH5551">
        <v>0</v>
      </c>
      <c r="AK5551">
        <v>0</v>
      </c>
    </row>
    <row r="5552" spans="32:37" x14ac:dyDescent="0.25">
      <c r="AF5552">
        <v>0</v>
      </c>
      <c r="AH5552">
        <v>0</v>
      </c>
      <c r="AK5552">
        <v>0</v>
      </c>
    </row>
    <row r="5553" spans="32:37" x14ac:dyDescent="0.25">
      <c r="AF5553">
        <v>0</v>
      </c>
      <c r="AH5553">
        <v>0</v>
      </c>
      <c r="AK5553">
        <v>0</v>
      </c>
    </row>
    <row r="5554" spans="32:37" x14ac:dyDescent="0.25">
      <c r="AF5554">
        <v>0</v>
      </c>
      <c r="AH5554">
        <v>0</v>
      </c>
      <c r="AK5554">
        <v>0</v>
      </c>
    </row>
    <row r="5555" spans="32:37" x14ac:dyDescent="0.25">
      <c r="AF5555">
        <v>0</v>
      </c>
      <c r="AH5555">
        <v>0</v>
      </c>
      <c r="AK5555">
        <v>0</v>
      </c>
    </row>
    <row r="5556" spans="32:37" x14ac:dyDescent="0.25">
      <c r="AF5556">
        <v>0</v>
      </c>
      <c r="AH5556">
        <v>0</v>
      </c>
      <c r="AK5556">
        <v>0</v>
      </c>
    </row>
    <row r="5557" spans="32:37" x14ac:dyDescent="0.25">
      <c r="AF5557">
        <v>0</v>
      </c>
      <c r="AH5557">
        <v>0</v>
      </c>
      <c r="AK5557">
        <v>0</v>
      </c>
    </row>
    <row r="5558" spans="32:37" x14ac:dyDescent="0.25">
      <c r="AF5558">
        <v>0</v>
      </c>
      <c r="AH5558">
        <v>0</v>
      </c>
      <c r="AK5558">
        <v>0</v>
      </c>
    </row>
    <row r="5559" spans="32:37" x14ac:dyDescent="0.25">
      <c r="AF5559">
        <v>0</v>
      </c>
      <c r="AH5559">
        <v>0</v>
      </c>
      <c r="AK5559">
        <v>0</v>
      </c>
    </row>
    <row r="5560" spans="32:37" x14ac:dyDescent="0.25">
      <c r="AF5560">
        <v>0</v>
      </c>
      <c r="AH5560">
        <v>0</v>
      </c>
      <c r="AK5560">
        <v>0</v>
      </c>
    </row>
    <row r="5561" spans="32:37" x14ac:dyDescent="0.25">
      <c r="AF5561">
        <v>0</v>
      </c>
      <c r="AH5561">
        <v>0</v>
      </c>
      <c r="AK5561">
        <v>0</v>
      </c>
    </row>
    <row r="5562" spans="32:37" x14ac:dyDescent="0.25">
      <c r="AF5562">
        <v>0</v>
      </c>
      <c r="AH5562">
        <v>0</v>
      </c>
      <c r="AK5562">
        <v>0</v>
      </c>
    </row>
    <row r="5563" spans="32:37" x14ac:dyDescent="0.25">
      <c r="AF5563">
        <v>0</v>
      </c>
      <c r="AH5563">
        <v>0</v>
      </c>
      <c r="AK5563">
        <v>0</v>
      </c>
    </row>
    <row r="5564" spans="32:37" x14ac:dyDescent="0.25">
      <c r="AF5564">
        <v>0</v>
      </c>
      <c r="AH5564">
        <v>0</v>
      </c>
      <c r="AK5564">
        <v>0</v>
      </c>
    </row>
    <row r="5565" spans="32:37" x14ac:dyDescent="0.25">
      <c r="AF5565">
        <v>0</v>
      </c>
      <c r="AH5565">
        <v>0</v>
      </c>
      <c r="AK5565">
        <v>0</v>
      </c>
    </row>
    <row r="5566" spans="32:37" x14ac:dyDescent="0.25">
      <c r="AF5566">
        <v>0</v>
      </c>
      <c r="AH5566">
        <v>0</v>
      </c>
      <c r="AK5566">
        <v>0</v>
      </c>
    </row>
    <row r="5567" spans="32:37" x14ac:dyDescent="0.25">
      <c r="AF5567">
        <v>0</v>
      </c>
      <c r="AH5567">
        <v>0</v>
      </c>
      <c r="AK5567">
        <v>0</v>
      </c>
    </row>
    <row r="5568" spans="32:37" x14ac:dyDescent="0.25">
      <c r="AF5568">
        <v>0</v>
      </c>
      <c r="AH5568">
        <v>0</v>
      </c>
      <c r="AK5568">
        <v>0</v>
      </c>
    </row>
    <row r="5569" spans="32:37" x14ac:dyDescent="0.25">
      <c r="AF5569">
        <v>0</v>
      </c>
      <c r="AH5569">
        <v>0</v>
      </c>
      <c r="AK5569">
        <v>0</v>
      </c>
    </row>
    <row r="5570" spans="32:37" x14ac:dyDescent="0.25">
      <c r="AF5570">
        <v>0</v>
      </c>
      <c r="AH5570">
        <v>0</v>
      </c>
      <c r="AK5570">
        <v>0</v>
      </c>
    </row>
    <row r="5571" spans="32:37" x14ac:dyDescent="0.25">
      <c r="AF5571">
        <v>0</v>
      </c>
      <c r="AH5571">
        <v>0</v>
      </c>
      <c r="AK5571">
        <v>0</v>
      </c>
    </row>
    <row r="5572" spans="32:37" x14ac:dyDescent="0.25">
      <c r="AF5572">
        <v>0</v>
      </c>
      <c r="AH5572">
        <v>0</v>
      </c>
      <c r="AK5572">
        <v>0</v>
      </c>
    </row>
    <row r="5573" spans="32:37" x14ac:dyDescent="0.25">
      <c r="AF5573">
        <v>0</v>
      </c>
      <c r="AH5573">
        <v>0</v>
      </c>
      <c r="AK5573">
        <v>0</v>
      </c>
    </row>
    <row r="5574" spans="32:37" x14ac:dyDescent="0.25">
      <c r="AF5574">
        <v>0</v>
      </c>
      <c r="AH5574">
        <v>0</v>
      </c>
      <c r="AK5574">
        <v>0</v>
      </c>
    </row>
    <row r="5575" spans="32:37" x14ac:dyDescent="0.25">
      <c r="AF5575">
        <v>0</v>
      </c>
      <c r="AH5575">
        <v>0</v>
      </c>
      <c r="AK5575">
        <v>0</v>
      </c>
    </row>
    <row r="5576" spans="32:37" x14ac:dyDescent="0.25">
      <c r="AF5576">
        <v>0</v>
      </c>
      <c r="AH5576">
        <v>0</v>
      </c>
      <c r="AK5576">
        <v>0</v>
      </c>
    </row>
    <row r="5577" spans="32:37" x14ac:dyDescent="0.25">
      <c r="AF5577">
        <v>0</v>
      </c>
      <c r="AH5577">
        <v>0</v>
      </c>
      <c r="AK5577">
        <v>0</v>
      </c>
    </row>
    <row r="5578" spans="32:37" x14ac:dyDescent="0.25">
      <c r="AF5578">
        <v>0</v>
      </c>
      <c r="AH5578">
        <v>0</v>
      </c>
      <c r="AK5578">
        <v>0</v>
      </c>
    </row>
    <row r="5579" spans="32:37" x14ac:dyDescent="0.25">
      <c r="AF5579">
        <v>0</v>
      </c>
      <c r="AH5579">
        <v>0</v>
      </c>
      <c r="AK5579">
        <v>0</v>
      </c>
    </row>
    <row r="5580" spans="32:37" x14ac:dyDescent="0.25">
      <c r="AF5580">
        <v>0</v>
      </c>
      <c r="AH5580">
        <v>0</v>
      </c>
      <c r="AK5580">
        <v>0</v>
      </c>
    </row>
    <row r="5581" spans="32:37" x14ac:dyDescent="0.25">
      <c r="AF5581">
        <v>0</v>
      </c>
      <c r="AH5581">
        <v>0</v>
      </c>
      <c r="AK5581">
        <v>0</v>
      </c>
    </row>
    <row r="5582" spans="32:37" x14ac:dyDescent="0.25">
      <c r="AF5582">
        <v>0</v>
      </c>
      <c r="AH5582">
        <v>0</v>
      </c>
      <c r="AK5582">
        <v>0</v>
      </c>
    </row>
    <row r="5583" spans="32:37" x14ac:dyDescent="0.25">
      <c r="AF5583">
        <v>0</v>
      </c>
      <c r="AH5583">
        <v>0</v>
      </c>
      <c r="AK5583">
        <v>0</v>
      </c>
    </row>
    <row r="5584" spans="32:37" x14ac:dyDescent="0.25">
      <c r="AF5584">
        <v>0</v>
      </c>
      <c r="AH5584">
        <v>0</v>
      </c>
      <c r="AK5584">
        <v>0</v>
      </c>
    </row>
    <row r="5585" spans="32:37" x14ac:dyDescent="0.25">
      <c r="AF5585">
        <v>0</v>
      </c>
      <c r="AH5585">
        <v>0</v>
      </c>
      <c r="AK5585">
        <v>0</v>
      </c>
    </row>
    <row r="5586" spans="32:37" x14ac:dyDescent="0.25">
      <c r="AF5586">
        <v>0</v>
      </c>
      <c r="AH5586">
        <v>0</v>
      </c>
      <c r="AK5586">
        <v>0</v>
      </c>
    </row>
    <row r="5587" spans="32:37" x14ac:dyDescent="0.25">
      <c r="AF5587">
        <v>0</v>
      </c>
      <c r="AH5587">
        <v>0</v>
      </c>
      <c r="AK5587">
        <v>0</v>
      </c>
    </row>
    <row r="5588" spans="32:37" x14ac:dyDescent="0.25">
      <c r="AF5588">
        <v>0</v>
      </c>
      <c r="AH5588">
        <v>0</v>
      </c>
      <c r="AK5588">
        <v>0</v>
      </c>
    </row>
    <row r="5589" spans="32:37" x14ac:dyDescent="0.25">
      <c r="AF5589">
        <v>0</v>
      </c>
      <c r="AH5589">
        <v>0</v>
      </c>
      <c r="AK5589">
        <v>0</v>
      </c>
    </row>
    <row r="5590" spans="32:37" x14ac:dyDescent="0.25">
      <c r="AF5590">
        <v>0</v>
      </c>
      <c r="AH5590">
        <v>0</v>
      </c>
      <c r="AK5590">
        <v>0</v>
      </c>
    </row>
    <row r="5591" spans="32:37" x14ac:dyDescent="0.25">
      <c r="AF5591">
        <v>0</v>
      </c>
      <c r="AH5591">
        <v>0</v>
      </c>
      <c r="AK5591">
        <v>0</v>
      </c>
    </row>
    <row r="5592" spans="32:37" x14ac:dyDescent="0.25">
      <c r="AF5592">
        <v>0</v>
      </c>
      <c r="AH5592">
        <v>0</v>
      </c>
      <c r="AK5592">
        <v>0</v>
      </c>
    </row>
    <row r="5593" spans="32:37" x14ac:dyDescent="0.25">
      <c r="AF5593">
        <v>0</v>
      </c>
      <c r="AH5593">
        <v>0</v>
      </c>
      <c r="AK5593">
        <v>0</v>
      </c>
    </row>
    <row r="5594" spans="32:37" x14ac:dyDescent="0.25">
      <c r="AF5594">
        <v>0</v>
      </c>
      <c r="AH5594">
        <v>0</v>
      </c>
      <c r="AK5594">
        <v>0</v>
      </c>
    </row>
    <row r="5595" spans="32:37" x14ac:dyDescent="0.25">
      <c r="AF5595">
        <v>0</v>
      </c>
      <c r="AH5595">
        <v>0</v>
      </c>
      <c r="AK5595">
        <v>0</v>
      </c>
    </row>
    <row r="5596" spans="32:37" x14ac:dyDescent="0.25">
      <c r="AF5596">
        <v>0</v>
      </c>
      <c r="AH5596">
        <v>0</v>
      </c>
      <c r="AK5596">
        <v>0</v>
      </c>
    </row>
    <row r="5597" spans="32:37" x14ac:dyDescent="0.25">
      <c r="AF5597">
        <v>0</v>
      </c>
      <c r="AH5597">
        <v>0</v>
      </c>
      <c r="AK5597">
        <v>0</v>
      </c>
    </row>
    <row r="5598" spans="32:37" x14ac:dyDescent="0.25">
      <c r="AF5598">
        <v>0</v>
      </c>
      <c r="AH5598">
        <v>0</v>
      </c>
      <c r="AK5598">
        <v>0</v>
      </c>
    </row>
    <row r="5599" spans="32:37" x14ac:dyDescent="0.25">
      <c r="AF5599">
        <v>0</v>
      </c>
      <c r="AH5599">
        <v>0</v>
      </c>
      <c r="AK5599">
        <v>0</v>
      </c>
    </row>
    <row r="5600" spans="32:37" x14ac:dyDescent="0.25">
      <c r="AF5600">
        <v>0</v>
      </c>
      <c r="AH5600">
        <v>0</v>
      </c>
      <c r="AK5600">
        <v>0</v>
      </c>
    </row>
    <row r="5601" spans="32:37" x14ac:dyDescent="0.25">
      <c r="AF5601">
        <v>0</v>
      </c>
      <c r="AH5601">
        <v>0</v>
      </c>
      <c r="AK5601">
        <v>0</v>
      </c>
    </row>
    <row r="5602" spans="32:37" x14ac:dyDescent="0.25">
      <c r="AF5602">
        <v>0</v>
      </c>
      <c r="AH5602">
        <v>0</v>
      </c>
      <c r="AK5602">
        <v>0</v>
      </c>
    </row>
    <row r="5603" spans="32:37" x14ac:dyDescent="0.25">
      <c r="AF5603">
        <v>0</v>
      </c>
      <c r="AH5603">
        <v>0</v>
      </c>
      <c r="AK5603">
        <v>0</v>
      </c>
    </row>
    <row r="5604" spans="32:37" x14ac:dyDescent="0.25">
      <c r="AF5604">
        <v>0</v>
      </c>
      <c r="AH5604">
        <v>0</v>
      </c>
      <c r="AK5604">
        <v>0</v>
      </c>
    </row>
    <row r="5605" spans="32:37" x14ac:dyDescent="0.25">
      <c r="AF5605">
        <v>0</v>
      </c>
      <c r="AH5605">
        <v>0</v>
      </c>
      <c r="AK5605">
        <v>0</v>
      </c>
    </row>
    <row r="5606" spans="32:37" x14ac:dyDescent="0.25">
      <c r="AF5606">
        <v>0</v>
      </c>
      <c r="AH5606">
        <v>0</v>
      </c>
      <c r="AK5606">
        <v>0</v>
      </c>
    </row>
    <row r="5607" spans="32:37" x14ac:dyDescent="0.25">
      <c r="AF5607">
        <v>0</v>
      </c>
      <c r="AH5607">
        <v>0</v>
      </c>
      <c r="AK5607">
        <v>0</v>
      </c>
    </row>
    <row r="5608" spans="32:37" x14ac:dyDescent="0.25">
      <c r="AF5608">
        <v>0</v>
      </c>
      <c r="AH5608">
        <v>0</v>
      </c>
      <c r="AK5608">
        <v>0</v>
      </c>
    </row>
    <row r="5609" spans="32:37" x14ac:dyDescent="0.25">
      <c r="AF5609">
        <v>0</v>
      </c>
      <c r="AH5609">
        <v>0</v>
      </c>
      <c r="AK5609">
        <v>0</v>
      </c>
    </row>
    <row r="5610" spans="32:37" x14ac:dyDescent="0.25">
      <c r="AF5610">
        <v>0</v>
      </c>
      <c r="AH5610">
        <v>0</v>
      </c>
      <c r="AK5610">
        <v>0</v>
      </c>
    </row>
    <row r="5611" spans="32:37" x14ac:dyDescent="0.25">
      <c r="AF5611">
        <v>0</v>
      </c>
      <c r="AH5611">
        <v>0</v>
      </c>
      <c r="AK5611">
        <v>0</v>
      </c>
    </row>
    <row r="5612" spans="32:37" x14ac:dyDescent="0.25">
      <c r="AF5612">
        <v>0</v>
      </c>
      <c r="AH5612">
        <v>0</v>
      </c>
      <c r="AK5612">
        <v>0</v>
      </c>
    </row>
    <row r="5613" spans="32:37" x14ac:dyDescent="0.25">
      <c r="AF5613">
        <v>0</v>
      </c>
      <c r="AH5613">
        <v>0</v>
      </c>
      <c r="AK5613">
        <v>0</v>
      </c>
    </row>
    <row r="5614" spans="32:37" x14ac:dyDescent="0.25">
      <c r="AF5614">
        <v>0</v>
      </c>
      <c r="AH5614">
        <v>0</v>
      </c>
      <c r="AK5614">
        <v>0</v>
      </c>
    </row>
    <row r="5615" spans="32:37" x14ac:dyDescent="0.25">
      <c r="AF5615">
        <v>0</v>
      </c>
      <c r="AH5615">
        <v>0</v>
      </c>
      <c r="AK5615">
        <v>0</v>
      </c>
    </row>
    <row r="5616" spans="32:37" x14ac:dyDescent="0.25">
      <c r="AF5616">
        <v>0</v>
      </c>
      <c r="AH5616">
        <v>0</v>
      </c>
      <c r="AK5616">
        <v>0</v>
      </c>
    </row>
    <row r="5617" spans="32:37" x14ac:dyDescent="0.25">
      <c r="AF5617">
        <v>0</v>
      </c>
      <c r="AH5617">
        <v>0</v>
      </c>
      <c r="AK5617">
        <v>0</v>
      </c>
    </row>
    <row r="5618" spans="32:37" x14ac:dyDescent="0.25">
      <c r="AF5618">
        <v>0</v>
      </c>
      <c r="AH5618">
        <v>0</v>
      </c>
      <c r="AK5618">
        <v>0</v>
      </c>
    </row>
    <row r="5619" spans="32:37" x14ac:dyDescent="0.25">
      <c r="AF5619">
        <v>0</v>
      </c>
      <c r="AH5619">
        <v>0</v>
      </c>
      <c r="AK5619">
        <v>0</v>
      </c>
    </row>
    <row r="5620" spans="32:37" x14ac:dyDescent="0.25">
      <c r="AF5620">
        <v>0</v>
      </c>
      <c r="AH5620">
        <v>0</v>
      </c>
      <c r="AK5620">
        <v>0</v>
      </c>
    </row>
    <row r="5621" spans="32:37" x14ac:dyDescent="0.25">
      <c r="AF5621">
        <v>0</v>
      </c>
      <c r="AH5621">
        <v>0</v>
      </c>
      <c r="AK5621">
        <v>0</v>
      </c>
    </row>
    <row r="5622" spans="32:37" x14ac:dyDescent="0.25">
      <c r="AF5622">
        <v>0</v>
      </c>
      <c r="AH5622">
        <v>0</v>
      </c>
      <c r="AK5622">
        <v>0</v>
      </c>
    </row>
    <row r="5623" spans="32:37" x14ac:dyDescent="0.25">
      <c r="AF5623">
        <v>0</v>
      </c>
      <c r="AH5623">
        <v>0</v>
      </c>
      <c r="AK5623">
        <v>0</v>
      </c>
    </row>
    <row r="5624" spans="32:37" x14ac:dyDescent="0.25">
      <c r="AF5624">
        <v>0</v>
      </c>
      <c r="AH5624">
        <v>0</v>
      </c>
      <c r="AK5624">
        <v>0</v>
      </c>
    </row>
    <row r="5625" spans="32:37" x14ac:dyDescent="0.25">
      <c r="AF5625">
        <v>0</v>
      </c>
      <c r="AH5625">
        <v>0</v>
      </c>
      <c r="AK5625">
        <v>0</v>
      </c>
    </row>
    <row r="5626" spans="32:37" x14ac:dyDescent="0.25">
      <c r="AF5626">
        <v>0</v>
      </c>
      <c r="AH5626">
        <v>0</v>
      </c>
      <c r="AK5626">
        <v>0</v>
      </c>
    </row>
    <row r="5627" spans="32:37" x14ac:dyDescent="0.25">
      <c r="AF5627">
        <v>0</v>
      </c>
      <c r="AH5627">
        <v>0</v>
      </c>
      <c r="AK5627">
        <v>0</v>
      </c>
    </row>
    <row r="5628" spans="32:37" x14ac:dyDescent="0.25">
      <c r="AF5628">
        <v>0</v>
      </c>
      <c r="AH5628">
        <v>0</v>
      </c>
      <c r="AK5628">
        <v>0</v>
      </c>
    </row>
    <row r="5629" spans="32:37" x14ac:dyDescent="0.25">
      <c r="AF5629">
        <v>0</v>
      </c>
      <c r="AH5629">
        <v>0</v>
      </c>
      <c r="AK5629">
        <v>0</v>
      </c>
    </row>
    <row r="5630" spans="32:37" x14ac:dyDescent="0.25">
      <c r="AF5630">
        <v>0</v>
      </c>
      <c r="AH5630">
        <v>0</v>
      </c>
      <c r="AK5630">
        <v>0</v>
      </c>
    </row>
    <row r="5631" spans="32:37" x14ac:dyDescent="0.25">
      <c r="AF5631">
        <v>0</v>
      </c>
      <c r="AH5631">
        <v>0</v>
      </c>
      <c r="AK5631">
        <v>0</v>
      </c>
    </row>
    <row r="5632" spans="32:37" x14ac:dyDescent="0.25">
      <c r="AF5632">
        <v>0</v>
      </c>
      <c r="AH5632">
        <v>0</v>
      </c>
      <c r="AK5632">
        <v>0</v>
      </c>
    </row>
    <row r="5633" spans="32:37" x14ac:dyDescent="0.25">
      <c r="AF5633">
        <v>0</v>
      </c>
      <c r="AH5633">
        <v>0</v>
      </c>
      <c r="AK5633">
        <v>0</v>
      </c>
    </row>
    <row r="5634" spans="32:37" x14ac:dyDescent="0.25">
      <c r="AF5634">
        <v>0</v>
      </c>
      <c r="AH5634">
        <v>0</v>
      </c>
      <c r="AK5634">
        <v>0</v>
      </c>
    </row>
    <row r="5635" spans="32:37" x14ac:dyDescent="0.25">
      <c r="AF5635">
        <v>0</v>
      </c>
      <c r="AH5635">
        <v>0</v>
      </c>
      <c r="AK5635">
        <v>0</v>
      </c>
    </row>
    <row r="5636" spans="32:37" x14ac:dyDescent="0.25">
      <c r="AF5636">
        <v>0</v>
      </c>
      <c r="AH5636">
        <v>0</v>
      </c>
      <c r="AK5636">
        <v>0</v>
      </c>
    </row>
    <row r="5637" spans="32:37" x14ac:dyDescent="0.25">
      <c r="AF5637">
        <v>0</v>
      </c>
      <c r="AH5637">
        <v>0</v>
      </c>
      <c r="AK5637">
        <v>0</v>
      </c>
    </row>
    <row r="5638" spans="32:37" x14ac:dyDescent="0.25">
      <c r="AF5638">
        <v>0</v>
      </c>
      <c r="AH5638">
        <v>0</v>
      </c>
      <c r="AK5638">
        <v>0</v>
      </c>
    </row>
    <row r="5639" spans="32:37" x14ac:dyDescent="0.25">
      <c r="AF5639">
        <v>0</v>
      </c>
      <c r="AH5639">
        <v>0</v>
      </c>
      <c r="AK5639">
        <v>0</v>
      </c>
    </row>
    <row r="5640" spans="32:37" x14ac:dyDescent="0.25">
      <c r="AF5640">
        <v>0</v>
      </c>
      <c r="AH5640">
        <v>0</v>
      </c>
      <c r="AK5640">
        <v>0</v>
      </c>
    </row>
    <row r="5641" spans="32:37" x14ac:dyDescent="0.25">
      <c r="AF5641">
        <v>0</v>
      </c>
      <c r="AH5641">
        <v>0</v>
      </c>
      <c r="AK5641">
        <v>0</v>
      </c>
    </row>
    <row r="5642" spans="32:37" x14ac:dyDescent="0.25">
      <c r="AF5642">
        <v>0</v>
      </c>
      <c r="AH5642">
        <v>0</v>
      </c>
      <c r="AK5642">
        <v>0</v>
      </c>
    </row>
    <row r="5643" spans="32:37" x14ac:dyDescent="0.25">
      <c r="AF5643">
        <v>0</v>
      </c>
      <c r="AH5643">
        <v>0</v>
      </c>
      <c r="AK5643">
        <v>0</v>
      </c>
    </row>
    <row r="5644" spans="32:37" x14ac:dyDescent="0.25">
      <c r="AF5644">
        <v>0</v>
      </c>
      <c r="AH5644">
        <v>0</v>
      </c>
      <c r="AK5644">
        <v>0</v>
      </c>
    </row>
    <row r="5645" spans="32:37" x14ac:dyDescent="0.25">
      <c r="AF5645">
        <v>0</v>
      </c>
      <c r="AH5645">
        <v>0</v>
      </c>
      <c r="AK5645">
        <v>0</v>
      </c>
    </row>
    <row r="5646" spans="32:37" x14ac:dyDescent="0.25">
      <c r="AF5646">
        <v>0</v>
      </c>
      <c r="AH5646">
        <v>0</v>
      </c>
      <c r="AK5646">
        <v>0</v>
      </c>
    </row>
    <row r="5647" spans="32:37" x14ac:dyDescent="0.25">
      <c r="AF5647">
        <v>0</v>
      </c>
      <c r="AH5647">
        <v>0</v>
      </c>
      <c r="AK5647">
        <v>0</v>
      </c>
    </row>
    <row r="5648" spans="32:37" x14ac:dyDescent="0.25">
      <c r="AF5648">
        <v>0</v>
      </c>
      <c r="AH5648">
        <v>0</v>
      </c>
      <c r="AK5648">
        <v>0</v>
      </c>
    </row>
    <row r="5649" spans="32:37" x14ac:dyDescent="0.25">
      <c r="AF5649">
        <v>0</v>
      </c>
      <c r="AH5649">
        <v>0</v>
      </c>
      <c r="AK5649">
        <v>0</v>
      </c>
    </row>
    <row r="5650" spans="32:37" x14ac:dyDescent="0.25">
      <c r="AF5650">
        <v>0</v>
      </c>
      <c r="AH5650">
        <v>0</v>
      </c>
      <c r="AK5650">
        <v>0</v>
      </c>
    </row>
    <row r="5651" spans="32:37" x14ac:dyDescent="0.25">
      <c r="AF5651">
        <v>0</v>
      </c>
      <c r="AH5651">
        <v>0</v>
      </c>
      <c r="AK5651">
        <v>0</v>
      </c>
    </row>
    <row r="5652" spans="32:37" x14ac:dyDescent="0.25">
      <c r="AF5652">
        <v>0</v>
      </c>
      <c r="AH5652">
        <v>0</v>
      </c>
      <c r="AK5652">
        <v>0</v>
      </c>
    </row>
    <row r="5653" spans="32:37" x14ac:dyDescent="0.25">
      <c r="AF5653">
        <v>0</v>
      </c>
      <c r="AH5653">
        <v>0</v>
      </c>
      <c r="AK5653">
        <v>0</v>
      </c>
    </row>
    <row r="5654" spans="32:37" x14ac:dyDescent="0.25">
      <c r="AF5654">
        <v>0</v>
      </c>
      <c r="AH5654">
        <v>0</v>
      </c>
      <c r="AK5654">
        <v>0</v>
      </c>
    </row>
    <row r="5655" spans="32:37" x14ac:dyDescent="0.25">
      <c r="AF5655">
        <v>0</v>
      </c>
      <c r="AH5655">
        <v>0</v>
      </c>
      <c r="AK5655">
        <v>0</v>
      </c>
    </row>
    <row r="5656" spans="32:37" x14ac:dyDescent="0.25">
      <c r="AF5656">
        <v>0</v>
      </c>
      <c r="AH5656">
        <v>0</v>
      </c>
      <c r="AK5656">
        <v>0</v>
      </c>
    </row>
    <row r="5657" spans="32:37" x14ac:dyDescent="0.25">
      <c r="AF5657">
        <v>0</v>
      </c>
      <c r="AH5657">
        <v>0</v>
      </c>
      <c r="AK5657">
        <v>0</v>
      </c>
    </row>
    <row r="5658" spans="32:37" x14ac:dyDescent="0.25">
      <c r="AF5658">
        <v>0</v>
      </c>
      <c r="AH5658">
        <v>0</v>
      </c>
      <c r="AK5658">
        <v>0</v>
      </c>
    </row>
    <row r="5659" spans="32:37" x14ac:dyDescent="0.25">
      <c r="AF5659">
        <v>0</v>
      </c>
      <c r="AH5659">
        <v>0</v>
      </c>
      <c r="AK5659">
        <v>0</v>
      </c>
    </row>
    <row r="5660" spans="32:37" x14ac:dyDescent="0.25">
      <c r="AF5660">
        <v>0</v>
      </c>
      <c r="AH5660">
        <v>0</v>
      </c>
      <c r="AK5660">
        <v>0</v>
      </c>
    </row>
    <row r="5661" spans="32:37" x14ac:dyDescent="0.25">
      <c r="AF5661">
        <v>0</v>
      </c>
      <c r="AH5661">
        <v>0</v>
      </c>
      <c r="AK5661">
        <v>0</v>
      </c>
    </row>
    <row r="5662" spans="32:37" x14ac:dyDescent="0.25">
      <c r="AF5662">
        <v>0</v>
      </c>
      <c r="AH5662">
        <v>0</v>
      </c>
      <c r="AK5662">
        <v>0</v>
      </c>
    </row>
    <row r="5663" spans="32:37" x14ac:dyDescent="0.25">
      <c r="AF5663">
        <v>0</v>
      </c>
      <c r="AH5663">
        <v>0</v>
      </c>
      <c r="AK5663">
        <v>0</v>
      </c>
    </row>
    <row r="5664" spans="32:37" x14ac:dyDescent="0.25">
      <c r="AF5664">
        <v>0</v>
      </c>
      <c r="AH5664">
        <v>0</v>
      </c>
      <c r="AK5664">
        <v>0</v>
      </c>
    </row>
    <row r="5665" spans="32:37" x14ac:dyDescent="0.25">
      <c r="AF5665">
        <v>0</v>
      </c>
      <c r="AH5665">
        <v>0</v>
      </c>
      <c r="AK5665">
        <v>0</v>
      </c>
    </row>
    <row r="5666" spans="32:37" x14ac:dyDescent="0.25">
      <c r="AF5666">
        <v>0</v>
      </c>
      <c r="AH5666">
        <v>0</v>
      </c>
      <c r="AK5666">
        <v>0</v>
      </c>
    </row>
    <row r="5667" spans="32:37" x14ac:dyDescent="0.25">
      <c r="AF5667">
        <v>0</v>
      </c>
      <c r="AH5667">
        <v>0</v>
      </c>
      <c r="AK5667">
        <v>0</v>
      </c>
    </row>
    <row r="5668" spans="32:37" x14ac:dyDescent="0.25">
      <c r="AF5668">
        <v>0</v>
      </c>
      <c r="AH5668">
        <v>0</v>
      </c>
      <c r="AK5668">
        <v>0</v>
      </c>
    </row>
    <row r="5669" spans="32:37" x14ac:dyDescent="0.25">
      <c r="AF5669">
        <v>0</v>
      </c>
      <c r="AH5669">
        <v>0</v>
      </c>
      <c r="AK5669">
        <v>0</v>
      </c>
    </row>
    <row r="5670" spans="32:37" x14ac:dyDescent="0.25">
      <c r="AF5670">
        <v>0</v>
      </c>
      <c r="AH5670">
        <v>0</v>
      </c>
      <c r="AK5670">
        <v>0</v>
      </c>
    </row>
    <row r="5671" spans="32:37" x14ac:dyDescent="0.25">
      <c r="AF5671">
        <v>0</v>
      </c>
      <c r="AH5671">
        <v>0</v>
      </c>
      <c r="AK5671">
        <v>0</v>
      </c>
    </row>
    <row r="5672" spans="32:37" x14ac:dyDescent="0.25">
      <c r="AF5672">
        <v>0</v>
      </c>
      <c r="AH5672">
        <v>0</v>
      </c>
      <c r="AK5672">
        <v>0</v>
      </c>
    </row>
    <row r="5673" spans="32:37" x14ac:dyDescent="0.25">
      <c r="AF5673">
        <v>0</v>
      </c>
      <c r="AH5673">
        <v>0</v>
      </c>
      <c r="AK5673">
        <v>0</v>
      </c>
    </row>
    <row r="5674" spans="32:37" x14ac:dyDescent="0.25">
      <c r="AF5674">
        <v>0</v>
      </c>
      <c r="AH5674">
        <v>0</v>
      </c>
      <c r="AK5674">
        <v>0</v>
      </c>
    </row>
    <row r="5675" spans="32:37" x14ac:dyDescent="0.25">
      <c r="AF5675">
        <v>0</v>
      </c>
      <c r="AH5675">
        <v>0</v>
      </c>
      <c r="AK5675">
        <v>0</v>
      </c>
    </row>
    <row r="5676" spans="32:37" x14ac:dyDescent="0.25">
      <c r="AF5676">
        <v>0</v>
      </c>
      <c r="AH5676">
        <v>0</v>
      </c>
      <c r="AK5676">
        <v>0</v>
      </c>
    </row>
    <row r="5677" spans="32:37" x14ac:dyDescent="0.25">
      <c r="AF5677">
        <v>0</v>
      </c>
      <c r="AH5677">
        <v>0</v>
      </c>
      <c r="AK5677">
        <v>0</v>
      </c>
    </row>
    <row r="5678" spans="32:37" x14ac:dyDescent="0.25">
      <c r="AF5678">
        <v>0</v>
      </c>
      <c r="AH5678">
        <v>0</v>
      </c>
      <c r="AK5678">
        <v>0</v>
      </c>
    </row>
    <row r="5679" spans="32:37" x14ac:dyDescent="0.25">
      <c r="AF5679">
        <v>0</v>
      </c>
      <c r="AH5679">
        <v>0</v>
      </c>
      <c r="AK5679">
        <v>0</v>
      </c>
    </row>
    <row r="5680" spans="32:37" x14ac:dyDescent="0.25">
      <c r="AF5680">
        <v>0</v>
      </c>
      <c r="AH5680">
        <v>0</v>
      </c>
      <c r="AK5680">
        <v>0</v>
      </c>
    </row>
    <row r="5681" spans="32:37" x14ac:dyDescent="0.25">
      <c r="AF5681">
        <v>0</v>
      </c>
      <c r="AH5681">
        <v>0</v>
      </c>
      <c r="AK5681">
        <v>0</v>
      </c>
    </row>
    <row r="5682" spans="32:37" x14ac:dyDescent="0.25">
      <c r="AF5682">
        <v>0</v>
      </c>
      <c r="AH5682">
        <v>0</v>
      </c>
      <c r="AK5682">
        <v>0</v>
      </c>
    </row>
    <row r="5683" spans="32:37" x14ac:dyDescent="0.25">
      <c r="AF5683">
        <v>0</v>
      </c>
      <c r="AH5683">
        <v>0</v>
      </c>
      <c r="AK5683">
        <v>0</v>
      </c>
    </row>
    <row r="5684" spans="32:37" x14ac:dyDescent="0.25">
      <c r="AF5684">
        <v>0</v>
      </c>
      <c r="AH5684">
        <v>0</v>
      </c>
      <c r="AK5684">
        <v>0</v>
      </c>
    </row>
    <row r="5685" spans="32:37" x14ac:dyDescent="0.25">
      <c r="AF5685">
        <v>0</v>
      </c>
      <c r="AH5685">
        <v>0</v>
      </c>
      <c r="AK5685">
        <v>0</v>
      </c>
    </row>
    <row r="5686" spans="32:37" x14ac:dyDescent="0.25">
      <c r="AF5686">
        <v>0</v>
      </c>
      <c r="AH5686">
        <v>0</v>
      </c>
      <c r="AK5686">
        <v>0</v>
      </c>
    </row>
    <row r="5687" spans="32:37" x14ac:dyDescent="0.25">
      <c r="AF5687">
        <v>0</v>
      </c>
      <c r="AH5687">
        <v>0</v>
      </c>
      <c r="AK5687">
        <v>0</v>
      </c>
    </row>
    <row r="5688" spans="32:37" x14ac:dyDescent="0.25">
      <c r="AF5688">
        <v>0</v>
      </c>
      <c r="AH5688">
        <v>0</v>
      </c>
      <c r="AK5688">
        <v>0</v>
      </c>
    </row>
    <row r="5689" spans="32:37" x14ac:dyDescent="0.25">
      <c r="AF5689">
        <v>0</v>
      </c>
      <c r="AH5689">
        <v>0</v>
      </c>
      <c r="AK5689">
        <v>0</v>
      </c>
    </row>
    <row r="5690" spans="32:37" x14ac:dyDescent="0.25">
      <c r="AF5690">
        <v>0</v>
      </c>
      <c r="AH5690">
        <v>0</v>
      </c>
      <c r="AK5690">
        <v>0</v>
      </c>
    </row>
    <row r="5691" spans="32:37" x14ac:dyDescent="0.25">
      <c r="AF5691">
        <v>0</v>
      </c>
      <c r="AH5691">
        <v>0</v>
      </c>
      <c r="AK5691">
        <v>0</v>
      </c>
    </row>
    <row r="5692" spans="32:37" x14ac:dyDescent="0.25">
      <c r="AF5692">
        <v>0</v>
      </c>
      <c r="AH5692">
        <v>0</v>
      </c>
      <c r="AK5692">
        <v>0</v>
      </c>
    </row>
    <row r="5693" spans="32:37" x14ac:dyDescent="0.25">
      <c r="AF5693">
        <v>0</v>
      </c>
      <c r="AH5693">
        <v>0</v>
      </c>
      <c r="AK5693">
        <v>0</v>
      </c>
    </row>
    <row r="5694" spans="32:37" x14ac:dyDescent="0.25">
      <c r="AF5694">
        <v>0</v>
      </c>
      <c r="AH5694">
        <v>0</v>
      </c>
      <c r="AK5694">
        <v>0</v>
      </c>
    </row>
    <row r="5695" spans="32:37" x14ac:dyDescent="0.25">
      <c r="AF5695">
        <v>0</v>
      </c>
      <c r="AH5695">
        <v>0</v>
      </c>
      <c r="AK5695">
        <v>0</v>
      </c>
    </row>
    <row r="5696" spans="32:37" x14ac:dyDescent="0.25">
      <c r="AF5696">
        <v>0</v>
      </c>
      <c r="AH5696">
        <v>0</v>
      </c>
      <c r="AK5696">
        <v>0</v>
      </c>
    </row>
    <row r="5697" spans="32:37" x14ac:dyDescent="0.25">
      <c r="AF5697">
        <v>0</v>
      </c>
      <c r="AH5697">
        <v>0</v>
      </c>
      <c r="AK5697">
        <v>0</v>
      </c>
    </row>
    <row r="5698" spans="32:37" x14ac:dyDescent="0.25">
      <c r="AF5698">
        <v>0</v>
      </c>
      <c r="AH5698">
        <v>0</v>
      </c>
      <c r="AK5698">
        <v>0</v>
      </c>
    </row>
    <row r="5699" spans="32:37" x14ac:dyDescent="0.25">
      <c r="AF5699">
        <v>0</v>
      </c>
      <c r="AH5699">
        <v>0</v>
      </c>
      <c r="AK5699">
        <v>0</v>
      </c>
    </row>
    <row r="5700" spans="32:37" x14ac:dyDescent="0.25">
      <c r="AF5700">
        <v>0</v>
      </c>
      <c r="AH5700">
        <v>0</v>
      </c>
      <c r="AK5700">
        <v>0</v>
      </c>
    </row>
    <row r="5701" spans="32:37" x14ac:dyDescent="0.25">
      <c r="AF5701">
        <v>0</v>
      </c>
      <c r="AH5701">
        <v>0</v>
      </c>
      <c r="AK5701">
        <v>0</v>
      </c>
    </row>
    <row r="5702" spans="32:37" x14ac:dyDescent="0.25">
      <c r="AF5702">
        <v>0</v>
      </c>
      <c r="AH5702">
        <v>0</v>
      </c>
      <c r="AK5702">
        <v>0</v>
      </c>
    </row>
    <row r="5703" spans="32:37" x14ac:dyDescent="0.25">
      <c r="AF5703">
        <v>0</v>
      </c>
      <c r="AH5703">
        <v>0</v>
      </c>
      <c r="AK5703">
        <v>0</v>
      </c>
    </row>
    <row r="5704" spans="32:37" x14ac:dyDescent="0.25">
      <c r="AF5704">
        <v>0</v>
      </c>
      <c r="AH5704">
        <v>0</v>
      </c>
      <c r="AK5704">
        <v>0</v>
      </c>
    </row>
    <row r="5705" spans="32:37" x14ac:dyDescent="0.25">
      <c r="AF5705">
        <v>0</v>
      </c>
      <c r="AH5705">
        <v>0</v>
      </c>
      <c r="AK5705">
        <v>0</v>
      </c>
    </row>
    <row r="5706" spans="32:37" x14ac:dyDescent="0.25">
      <c r="AF5706">
        <v>0</v>
      </c>
      <c r="AH5706">
        <v>0</v>
      </c>
      <c r="AK5706">
        <v>0</v>
      </c>
    </row>
    <row r="5707" spans="32:37" x14ac:dyDescent="0.25">
      <c r="AF5707">
        <v>0</v>
      </c>
      <c r="AH5707">
        <v>0</v>
      </c>
      <c r="AK5707">
        <v>0</v>
      </c>
    </row>
    <row r="5708" spans="32:37" x14ac:dyDescent="0.25">
      <c r="AF5708">
        <v>0</v>
      </c>
      <c r="AH5708">
        <v>0</v>
      </c>
      <c r="AK5708">
        <v>0</v>
      </c>
    </row>
    <row r="5709" spans="32:37" x14ac:dyDescent="0.25">
      <c r="AF5709">
        <v>0</v>
      </c>
      <c r="AH5709">
        <v>0</v>
      </c>
      <c r="AK5709">
        <v>0</v>
      </c>
    </row>
    <row r="5710" spans="32:37" x14ac:dyDescent="0.25">
      <c r="AF5710">
        <v>0</v>
      </c>
      <c r="AH5710">
        <v>0</v>
      </c>
      <c r="AK5710">
        <v>0</v>
      </c>
    </row>
    <row r="5711" spans="32:37" x14ac:dyDescent="0.25">
      <c r="AF5711">
        <v>0</v>
      </c>
      <c r="AH5711">
        <v>0</v>
      </c>
      <c r="AK5711">
        <v>0</v>
      </c>
    </row>
    <row r="5712" spans="32:37" x14ac:dyDescent="0.25">
      <c r="AF5712">
        <v>0</v>
      </c>
      <c r="AH5712">
        <v>0</v>
      </c>
      <c r="AK5712">
        <v>0</v>
      </c>
    </row>
    <row r="5713" spans="32:37" x14ac:dyDescent="0.25">
      <c r="AF5713">
        <v>0</v>
      </c>
      <c r="AH5713">
        <v>0</v>
      </c>
      <c r="AK5713">
        <v>0</v>
      </c>
    </row>
    <row r="5714" spans="32:37" x14ac:dyDescent="0.25">
      <c r="AF5714">
        <v>0</v>
      </c>
      <c r="AH5714">
        <v>0</v>
      </c>
      <c r="AK5714">
        <v>0</v>
      </c>
    </row>
    <row r="5715" spans="32:37" x14ac:dyDescent="0.25">
      <c r="AF5715">
        <v>0</v>
      </c>
      <c r="AH5715">
        <v>0</v>
      </c>
      <c r="AK5715">
        <v>0</v>
      </c>
    </row>
    <row r="5716" spans="32:37" x14ac:dyDescent="0.25">
      <c r="AF5716">
        <v>0</v>
      </c>
      <c r="AH5716">
        <v>0</v>
      </c>
      <c r="AK5716">
        <v>0</v>
      </c>
    </row>
    <row r="5717" spans="32:37" x14ac:dyDescent="0.25">
      <c r="AF5717">
        <v>0</v>
      </c>
      <c r="AH5717">
        <v>0</v>
      </c>
      <c r="AK5717">
        <v>0</v>
      </c>
    </row>
    <row r="5718" spans="32:37" x14ac:dyDescent="0.25">
      <c r="AF5718">
        <v>0</v>
      </c>
      <c r="AH5718">
        <v>0</v>
      </c>
      <c r="AK5718">
        <v>0</v>
      </c>
    </row>
    <row r="5719" spans="32:37" x14ac:dyDescent="0.25">
      <c r="AF5719">
        <v>0</v>
      </c>
      <c r="AH5719">
        <v>0</v>
      </c>
      <c r="AK5719">
        <v>0</v>
      </c>
    </row>
    <row r="5720" spans="32:37" x14ac:dyDescent="0.25">
      <c r="AF5720">
        <v>0</v>
      </c>
      <c r="AH5720">
        <v>0</v>
      </c>
      <c r="AK5720">
        <v>0</v>
      </c>
    </row>
    <row r="5721" spans="32:37" x14ac:dyDescent="0.25">
      <c r="AF5721">
        <v>0</v>
      </c>
      <c r="AH5721">
        <v>0</v>
      </c>
      <c r="AK5721">
        <v>0</v>
      </c>
    </row>
    <row r="5722" spans="32:37" x14ac:dyDescent="0.25">
      <c r="AF5722">
        <v>0</v>
      </c>
      <c r="AH5722">
        <v>0</v>
      </c>
      <c r="AK5722">
        <v>0</v>
      </c>
    </row>
    <row r="5723" spans="32:37" x14ac:dyDescent="0.25">
      <c r="AF5723">
        <v>0</v>
      </c>
      <c r="AH5723">
        <v>0</v>
      </c>
      <c r="AK5723">
        <v>0</v>
      </c>
    </row>
    <row r="5724" spans="32:37" x14ac:dyDescent="0.25">
      <c r="AF5724">
        <v>0</v>
      </c>
      <c r="AH5724">
        <v>0</v>
      </c>
      <c r="AK5724">
        <v>0</v>
      </c>
    </row>
    <row r="5725" spans="32:37" x14ac:dyDescent="0.25">
      <c r="AF5725">
        <v>0</v>
      </c>
      <c r="AH5725">
        <v>0</v>
      </c>
      <c r="AK5725">
        <v>0</v>
      </c>
    </row>
    <row r="5726" spans="32:37" x14ac:dyDescent="0.25">
      <c r="AF5726">
        <v>0</v>
      </c>
      <c r="AH5726">
        <v>0</v>
      </c>
      <c r="AK5726">
        <v>0</v>
      </c>
    </row>
    <row r="5727" spans="32:37" x14ac:dyDescent="0.25">
      <c r="AF5727">
        <v>0</v>
      </c>
      <c r="AH5727">
        <v>0</v>
      </c>
      <c r="AK5727">
        <v>0</v>
      </c>
    </row>
    <row r="5728" spans="32:37" x14ac:dyDescent="0.25">
      <c r="AF5728">
        <v>0</v>
      </c>
      <c r="AH5728">
        <v>0</v>
      </c>
      <c r="AK5728">
        <v>0</v>
      </c>
    </row>
    <row r="5729" spans="32:37" x14ac:dyDescent="0.25">
      <c r="AF5729">
        <v>0</v>
      </c>
      <c r="AH5729">
        <v>0</v>
      </c>
      <c r="AK5729">
        <v>0</v>
      </c>
    </row>
    <row r="5730" spans="32:37" x14ac:dyDescent="0.25">
      <c r="AF5730">
        <v>0</v>
      </c>
      <c r="AH5730">
        <v>0</v>
      </c>
      <c r="AK5730">
        <v>0</v>
      </c>
    </row>
    <row r="5731" spans="32:37" x14ac:dyDescent="0.25">
      <c r="AF5731">
        <v>0</v>
      </c>
      <c r="AH5731">
        <v>0</v>
      </c>
      <c r="AK5731">
        <v>0</v>
      </c>
    </row>
    <row r="5732" spans="32:37" x14ac:dyDescent="0.25">
      <c r="AF5732">
        <v>0</v>
      </c>
      <c r="AH5732">
        <v>0</v>
      </c>
      <c r="AK5732">
        <v>0</v>
      </c>
    </row>
    <row r="5733" spans="32:37" x14ac:dyDescent="0.25">
      <c r="AF5733">
        <v>0</v>
      </c>
      <c r="AH5733">
        <v>0</v>
      </c>
      <c r="AK5733">
        <v>0</v>
      </c>
    </row>
    <row r="5734" spans="32:37" x14ac:dyDescent="0.25">
      <c r="AF5734">
        <v>0</v>
      </c>
      <c r="AH5734">
        <v>0</v>
      </c>
      <c r="AK5734">
        <v>0</v>
      </c>
    </row>
    <row r="5735" spans="32:37" x14ac:dyDescent="0.25">
      <c r="AF5735">
        <v>0</v>
      </c>
      <c r="AH5735">
        <v>0</v>
      </c>
      <c r="AK5735">
        <v>0</v>
      </c>
    </row>
    <row r="5736" spans="32:37" x14ac:dyDescent="0.25">
      <c r="AF5736">
        <v>0</v>
      </c>
      <c r="AH5736">
        <v>0</v>
      </c>
      <c r="AK5736">
        <v>0</v>
      </c>
    </row>
    <row r="5737" spans="32:37" x14ac:dyDescent="0.25">
      <c r="AF5737">
        <v>0</v>
      </c>
      <c r="AH5737">
        <v>0</v>
      </c>
      <c r="AK5737">
        <v>0</v>
      </c>
    </row>
    <row r="5738" spans="32:37" x14ac:dyDescent="0.25">
      <c r="AF5738">
        <v>0</v>
      </c>
      <c r="AH5738">
        <v>0</v>
      </c>
      <c r="AK5738">
        <v>0</v>
      </c>
    </row>
    <row r="5739" spans="32:37" x14ac:dyDescent="0.25">
      <c r="AF5739">
        <v>0</v>
      </c>
      <c r="AH5739">
        <v>0</v>
      </c>
      <c r="AK5739">
        <v>0</v>
      </c>
    </row>
    <row r="5740" spans="32:37" x14ac:dyDescent="0.25">
      <c r="AF5740">
        <v>0</v>
      </c>
      <c r="AH5740">
        <v>0</v>
      </c>
      <c r="AK5740">
        <v>0</v>
      </c>
    </row>
    <row r="5741" spans="32:37" x14ac:dyDescent="0.25">
      <c r="AF5741">
        <v>0</v>
      </c>
      <c r="AH5741">
        <v>0</v>
      </c>
      <c r="AK5741">
        <v>0</v>
      </c>
    </row>
    <row r="5742" spans="32:37" x14ac:dyDescent="0.25">
      <c r="AF5742">
        <v>0</v>
      </c>
      <c r="AH5742">
        <v>0</v>
      </c>
      <c r="AK5742">
        <v>0</v>
      </c>
    </row>
    <row r="5743" spans="32:37" x14ac:dyDescent="0.25">
      <c r="AF5743">
        <v>0</v>
      </c>
      <c r="AH5743">
        <v>0</v>
      </c>
      <c r="AK5743">
        <v>0</v>
      </c>
    </row>
    <row r="5744" spans="32:37" x14ac:dyDescent="0.25">
      <c r="AF5744">
        <v>0</v>
      </c>
      <c r="AH5744">
        <v>0</v>
      </c>
      <c r="AK5744">
        <v>0</v>
      </c>
    </row>
    <row r="5745" spans="32:37" x14ac:dyDescent="0.25">
      <c r="AF5745">
        <v>0</v>
      </c>
      <c r="AH5745">
        <v>0</v>
      </c>
      <c r="AK5745">
        <v>0</v>
      </c>
    </row>
    <row r="5746" spans="32:37" x14ac:dyDescent="0.25">
      <c r="AF5746">
        <v>0</v>
      </c>
      <c r="AH5746">
        <v>0</v>
      </c>
      <c r="AK5746">
        <v>0</v>
      </c>
    </row>
    <row r="5747" spans="32:37" x14ac:dyDescent="0.25">
      <c r="AF5747">
        <v>0</v>
      </c>
      <c r="AH5747">
        <v>0</v>
      </c>
      <c r="AK5747">
        <v>0</v>
      </c>
    </row>
    <row r="5748" spans="32:37" x14ac:dyDescent="0.25">
      <c r="AF5748">
        <v>0</v>
      </c>
      <c r="AH5748">
        <v>0</v>
      </c>
      <c r="AK5748">
        <v>0</v>
      </c>
    </row>
    <row r="5749" spans="32:37" x14ac:dyDescent="0.25">
      <c r="AF5749">
        <v>0</v>
      </c>
      <c r="AH5749">
        <v>0</v>
      </c>
      <c r="AK5749">
        <v>0</v>
      </c>
    </row>
    <row r="5750" spans="32:37" x14ac:dyDescent="0.25">
      <c r="AF5750">
        <v>0</v>
      </c>
      <c r="AH5750">
        <v>0</v>
      </c>
      <c r="AK5750">
        <v>0</v>
      </c>
    </row>
    <row r="5751" spans="32:37" x14ac:dyDescent="0.25">
      <c r="AF5751">
        <v>0</v>
      </c>
      <c r="AH5751">
        <v>0</v>
      </c>
      <c r="AK5751">
        <v>0</v>
      </c>
    </row>
    <row r="5752" spans="32:37" x14ac:dyDescent="0.25">
      <c r="AF5752">
        <v>0</v>
      </c>
      <c r="AH5752">
        <v>0</v>
      </c>
      <c r="AK5752">
        <v>0</v>
      </c>
    </row>
    <row r="5753" spans="32:37" x14ac:dyDescent="0.25">
      <c r="AF5753">
        <v>0</v>
      </c>
      <c r="AH5753">
        <v>0</v>
      </c>
      <c r="AK5753">
        <v>0</v>
      </c>
    </row>
    <row r="5754" spans="32:37" x14ac:dyDescent="0.25">
      <c r="AF5754">
        <v>0</v>
      </c>
      <c r="AH5754">
        <v>0</v>
      </c>
      <c r="AK5754">
        <v>0</v>
      </c>
    </row>
    <row r="5755" spans="32:37" x14ac:dyDescent="0.25">
      <c r="AF5755">
        <v>0</v>
      </c>
      <c r="AH5755">
        <v>0</v>
      </c>
      <c r="AK5755">
        <v>0</v>
      </c>
    </row>
    <row r="5756" spans="32:37" x14ac:dyDescent="0.25">
      <c r="AF5756">
        <v>0</v>
      </c>
      <c r="AH5756">
        <v>0</v>
      </c>
      <c r="AK5756">
        <v>0</v>
      </c>
    </row>
    <row r="5757" spans="32:37" x14ac:dyDescent="0.25">
      <c r="AF5757">
        <v>0</v>
      </c>
      <c r="AH5757">
        <v>0</v>
      </c>
      <c r="AK5757">
        <v>0</v>
      </c>
    </row>
    <row r="5758" spans="32:37" x14ac:dyDescent="0.25">
      <c r="AF5758">
        <v>0</v>
      </c>
      <c r="AH5758">
        <v>0</v>
      </c>
      <c r="AK5758">
        <v>0</v>
      </c>
    </row>
    <row r="5759" spans="32:37" x14ac:dyDescent="0.25">
      <c r="AF5759">
        <v>0</v>
      </c>
      <c r="AH5759">
        <v>0</v>
      </c>
      <c r="AK5759">
        <v>0</v>
      </c>
    </row>
    <row r="5760" spans="32:37" x14ac:dyDescent="0.25">
      <c r="AF5760">
        <v>0</v>
      </c>
      <c r="AH5760">
        <v>0</v>
      </c>
      <c r="AK5760">
        <v>0</v>
      </c>
    </row>
    <row r="5761" spans="32:37" x14ac:dyDescent="0.25">
      <c r="AF5761">
        <v>0</v>
      </c>
      <c r="AH5761">
        <v>0</v>
      </c>
      <c r="AK5761">
        <v>0</v>
      </c>
    </row>
    <row r="5762" spans="32:37" x14ac:dyDescent="0.25">
      <c r="AF5762">
        <v>0</v>
      </c>
      <c r="AH5762">
        <v>0</v>
      </c>
      <c r="AK5762">
        <v>0</v>
      </c>
    </row>
    <row r="5763" spans="32:37" x14ac:dyDescent="0.25">
      <c r="AF5763">
        <v>0</v>
      </c>
      <c r="AH5763">
        <v>0</v>
      </c>
      <c r="AK5763">
        <v>0</v>
      </c>
    </row>
    <row r="5764" spans="32:37" x14ac:dyDescent="0.25">
      <c r="AF5764">
        <v>0</v>
      </c>
      <c r="AH5764">
        <v>0</v>
      </c>
      <c r="AK5764">
        <v>0</v>
      </c>
    </row>
    <row r="5765" spans="32:37" x14ac:dyDescent="0.25">
      <c r="AF5765">
        <v>0</v>
      </c>
      <c r="AH5765">
        <v>0</v>
      </c>
      <c r="AK5765">
        <v>0</v>
      </c>
    </row>
    <row r="5766" spans="32:37" x14ac:dyDescent="0.25">
      <c r="AF5766">
        <v>0</v>
      </c>
      <c r="AH5766">
        <v>0</v>
      </c>
      <c r="AK5766">
        <v>0</v>
      </c>
    </row>
    <row r="5767" spans="32:37" x14ac:dyDescent="0.25">
      <c r="AF5767">
        <v>0</v>
      </c>
      <c r="AH5767">
        <v>0</v>
      </c>
      <c r="AK5767">
        <v>0</v>
      </c>
    </row>
    <row r="5768" spans="32:37" x14ac:dyDescent="0.25">
      <c r="AF5768">
        <v>0</v>
      </c>
      <c r="AH5768">
        <v>0</v>
      </c>
      <c r="AK5768">
        <v>0</v>
      </c>
    </row>
    <row r="5769" spans="32:37" x14ac:dyDescent="0.25">
      <c r="AF5769">
        <v>0</v>
      </c>
      <c r="AH5769">
        <v>0</v>
      </c>
      <c r="AK5769">
        <v>0</v>
      </c>
    </row>
    <row r="5770" spans="32:37" x14ac:dyDescent="0.25">
      <c r="AF5770">
        <v>0</v>
      </c>
      <c r="AH5770">
        <v>0</v>
      </c>
      <c r="AK5770">
        <v>0</v>
      </c>
    </row>
    <row r="5771" spans="32:37" x14ac:dyDescent="0.25">
      <c r="AF5771">
        <v>0</v>
      </c>
      <c r="AH5771">
        <v>0</v>
      </c>
      <c r="AK5771">
        <v>0</v>
      </c>
    </row>
    <row r="5772" spans="32:37" x14ac:dyDescent="0.25">
      <c r="AF5772">
        <v>0</v>
      </c>
      <c r="AH5772">
        <v>0</v>
      </c>
      <c r="AK5772">
        <v>0</v>
      </c>
    </row>
    <row r="5773" spans="32:37" x14ac:dyDescent="0.25">
      <c r="AF5773">
        <v>0</v>
      </c>
      <c r="AH5773">
        <v>0</v>
      </c>
      <c r="AK5773">
        <v>0</v>
      </c>
    </row>
    <row r="5774" spans="32:37" x14ac:dyDescent="0.25">
      <c r="AF5774">
        <v>0</v>
      </c>
      <c r="AH5774">
        <v>0</v>
      </c>
      <c r="AK5774">
        <v>0</v>
      </c>
    </row>
    <row r="5775" spans="32:37" x14ac:dyDescent="0.25">
      <c r="AF5775">
        <v>0</v>
      </c>
      <c r="AH5775">
        <v>0</v>
      </c>
      <c r="AK5775">
        <v>0</v>
      </c>
    </row>
    <row r="5776" spans="32:37" x14ac:dyDescent="0.25">
      <c r="AF5776">
        <v>0</v>
      </c>
      <c r="AH5776">
        <v>0</v>
      </c>
      <c r="AK5776">
        <v>0</v>
      </c>
    </row>
    <row r="5777" spans="32:37" x14ac:dyDescent="0.25">
      <c r="AF5777">
        <v>0</v>
      </c>
      <c r="AH5777">
        <v>0</v>
      </c>
      <c r="AK5777">
        <v>0</v>
      </c>
    </row>
    <row r="5778" spans="32:37" x14ac:dyDescent="0.25">
      <c r="AF5778">
        <v>0</v>
      </c>
      <c r="AH5778">
        <v>0</v>
      </c>
      <c r="AK5778">
        <v>0</v>
      </c>
    </row>
    <row r="5779" spans="32:37" x14ac:dyDescent="0.25">
      <c r="AF5779">
        <v>0</v>
      </c>
      <c r="AH5779">
        <v>0</v>
      </c>
      <c r="AK5779">
        <v>0</v>
      </c>
    </row>
    <row r="5780" spans="32:37" x14ac:dyDescent="0.25">
      <c r="AF5780">
        <v>0</v>
      </c>
      <c r="AH5780">
        <v>0</v>
      </c>
      <c r="AK5780">
        <v>0</v>
      </c>
    </row>
    <row r="5781" spans="32:37" x14ac:dyDescent="0.25">
      <c r="AF5781">
        <v>0</v>
      </c>
      <c r="AH5781">
        <v>0</v>
      </c>
      <c r="AK5781">
        <v>0</v>
      </c>
    </row>
    <row r="5782" spans="32:37" x14ac:dyDescent="0.25">
      <c r="AF5782">
        <v>0</v>
      </c>
      <c r="AH5782">
        <v>0</v>
      </c>
      <c r="AK5782">
        <v>0</v>
      </c>
    </row>
    <row r="5783" spans="32:37" x14ac:dyDescent="0.25">
      <c r="AF5783">
        <v>0</v>
      </c>
      <c r="AH5783">
        <v>0</v>
      </c>
      <c r="AK5783">
        <v>0</v>
      </c>
    </row>
    <row r="5784" spans="32:37" x14ac:dyDescent="0.25">
      <c r="AF5784">
        <v>0</v>
      </c>
      <c r="AH5784">
        <v>0</v>
      </c>
      <c r="AK5784">
        <v>0</v>
      </c>
    </row>
    <row r="5785" spans="32:37" x14ac:dyDescent="0.25">
      <c r="AF5785">
        <v>0</v>
      </c>
      <c r="AH5785">
        <v>0</v>
      </c>
      <c r="AK5785">
        <v>0</v>
      </c>
    </row>
    <row r="5786" spans="32:37" x14ac:dyDescent="0.25">
      <c r="AF5786">
        <v>0</v>
      </c>
      <c r="AH5786">
        <v>0</v>
      </c>
      <c r="AK5786">
        <v>0</v>
      </c>
    </row>
    <row r="5787" spans="32:37" x14ac:dyDescent="0.25">
      <c r="AF5787">
        <v>0</v>
      </c>
      <c r="AH5787">
        <v>0</v>
      </c>
      <c r="AK5787">
        <v>0</v>
      </c>
    </row>
    <row r="5788" spans="32:37" x14ac:dyDescent="0.25">
      <c r="AF5788">
        <v>0</v>
      </c>
      <c r="AH5788">
        <v>0</v>
      </c>
      <c r="AK5788">
        <v>0</v>
      </c>
    </row>
    <row r="5789" spans="32:37" x14ac:dyDescent="0.25">
      <c r="AF5789">
        <v>0</v>
      </c>
      <c r="AH5789">
        <v>0</v>
      </c>
      <c r="AK5789">
        <v>0</v>
      </c>
    </row>
    <row r="5790" spans="32:37" x14ac:dyDescent="0.25">
      <c r="AF5790">
        <v>0</v>
      </c>
      <c r="AH5790">
        <v>0</v>
      </c>
      <c r="AK5790">
        <v>0</v>
      </c>
    </row>
    <row r="5791" spans="32:37" x14ac:dyDescent="0.25">
      <c r="AF5791">
        <v>0</v>
      </c>
      <c r="AH5791">
        <v>0</v>
      </c>
      <c r="AK5791">
        <v>0</v>
      </c>
    </row>
    <row r="5792" spans="32:37" x14ac:dyDescent="0.25">
      <c r="AF5792">
        <v>0</v>
      </c>
      <c r="AH5792">
        <v>0</v>
      </c>
      <c r="AK5792">
        <v>0</v>
      </c>
    </row>
    <row r="5793" spans="32:37" x14ac:dyDescent="0.25">
      <c r="AF5793">
        <v>0</v>
      </c>
      <c r="AH5793">
        <v>0</v>
      </c>
      <c r="AK5793">
        <v>0</v>
      </c>
    </row>
    <row r="5794" spans="32:37" x14ac:dyDescent="0.25">
      <c r="AF5794">
        <v>0</v>
      </c>
      <c r="AH5794">
        <v>0</v>
      </c>
      <c r="AK5794">
        <v>0</v>
      </c>
    </row>
    <row r="5795" spans="32:37" x14ac:dyDescent="0.25">
      <c r="AF5795">
        <v>0</v>
      </c>
      <c r="AH5795">
        <v>0</v>
      </c>
      <c r="AK5795">
        <v>0</v>
      </c>
    </row>
    <row r="5796" spans="32:37" x14ac:dyDescent="0.25">
      <c r="AF5796">
        <v>0</v>
      </c>
      <c r="AH5796">
        <v>0</v>
      </c>
      <c r="AK5796">
        <v>0</v>
      </c>
    </row>
    <row r="5797" spans="32:37" x14ac:dyDescent="0.25">
      <c r="AF5797">
        <v>0</v>
      </c>
      <c r="AH5797">
        <v>0</v>
      </c>
      <c r="AK5797">
        <v>0</v>
      </c>
    </row>
    <row r="5798" spans="32:37" x14ac:dyDescent="0.25">
      <c r="AF5798">
        <v>0</v>
      </c>
      <c r="AH5798">
        <v>0</v>
      </c>
      <c r="AK5798">
        <v>0</v>
      </c>
    </row>
    <row r="5799" spans="32:37" x14ac:dyDescent="0.25">
      <c r="AF5799">
        <v>0</v>
      </c>
      <c r="AH5799">
        <v>0</v>
      </c>
      <c r="AK5799">
        <v>0</v>
      </c>
    </row>
    <row r="5800" spans="32:37" x14ac:dyDescent="0.25">
      <c r="AF5800">
        <v>0</v>
      </c>
      <c r="AH5800">
        <v>0</v>
      </c>
      <c r="AK5800">
        <v>0</v>
      </c>
    </row>
    <row r="5801" spans="32:37" x14ac:dyDescent="0.25">
      <c r="AF5801">
        <v>0</v>
      </c>
      <c r="AH5801">
        <v>0</v>
      </c>
      <c r="AK5801">
        <v>0</v>
      </c>
    </row>
    <row r="5802" spans="32:37" x14ac:dyDescent="0.25">
      <c r="AF5802">
        <v>0</v>
      </c>
      <c r="AH5802">
        <v>0</v>
      </c>
      <c r="AK5802">
        <v>0</v>
      </c>
    </row>
    <row r="5803" spans="32:37" x14ac:dyDescent="0.25">
      <c r="AF5803">
        <v>0</v>
      </c>
      <c r="AH5803">
        <v>0</v>
      </c>
      <c r="AK5803">
        <v>0</v>
      </c>
    </row>
    <row r="5804" spans="32:37" x14ac:dyDescent="0.25">
      <c r="AF5804">
        <v>0</v>
      </c>
      <c r="AH5804">
        <v>0</v>
      </c>
      <c r="AK5804">
        <v>0</v>
      </c>
    </row>
    <row r="5805" spans="32:37" x14ac:dyDescent="0.25">
      <c r="AF5805">
        <v>0</v>
      </c>
      <c r="AH5805">
        <v>0</v>
      </c>
      <c r="AK5805">
        <v>0</v>
      </c>
    </row>
    <row r="5806" spans="32:37" x14ac:dyDescent="0.25">
      <c r="AF5806">
        <v>0</v>
      </c>
      <c r="AH5806">
        <v>0</v>
      </c>
      <c r="AK5806">
        <v>0</v>
      </c>
    </row>
    <row r="5807" spans="32:37" x14ac:dyDescent="0.25">
      <c r="AF5807">
        <v>0</v>
      </c>
      <c r="AH5807">
        <v>0</v>
      </c>
      <c r="AK5807">
        <v>0</v>
      </c>
    </row>
    <row r="5808" spans="32:37" x14ac:dyDescent="0.25">
      <c r="AF5808">
        <v>0</v>
      </c>
      <c r="AH5808">
        <v>0</v>
      </c>
      <c r="AK5808">
        <v>0</v>
      </c>
    </row>
    <row r="5809" spans="32:37" x14ac:dyDescent="0.25">
      <c r="AF5809">
        <v>0</v>
      </c>
      <c r="AH5809">
        <v>0</v>
      </c>
      <c r="AK5809">
        <v>0</v>
      </c>
    </row>
    <row r="5810" spans="32:37" x14ac:dyDescent="0.25">
      <c r="AF5810">
        <v>0</v>
      </c>
      <c r="AH5810">
        <v>0</v>
      </c>
      <c r="AK5810">
        <v>0</v>
      </c>
    </row>
    <row r="5811" spans="32:37" x14ac:dyDescent="0.25">
      <c r="AF5811">
        <v>0</v>
      </c>
      <c r="AH5811">
        <v>0</v>
      </c>
      <c r="AK5811">
        <v>0</v>
      </c>
    </row>
    <row r="5812" spans="32:37" x14ac:dyDescent="0.25">
      <c r="AF5812">
        <v>0</v>
      </c>
      <c r="AH5812">
        <v>0</v>
      </c>
      <c r="AK5812">
        <v>0</v>
      </c>
    </row>
    <row r="5813" spans="32:37" x14ac:dyDescent="0.25">
      <c r="AF5813">
        <v>0</v>
      </c>
      <c r="AH5813">
        <v>0</v>
      </c>
      <c r="AK5813">
        <v>0</v>
      </c>
    </row>
    <row r="5814" spans="32:37" x14ac:dyDescent="0.25">
      <c r="AF5814">
        <v>0</v>
      </c>
      <c r="AH5814">
        <v>0</v>
      </c>
      <c r="AK5814">
        <v>0</v>
      </c>
    </row>
    <row r="5815" spans="32:37" x14ac:dyDescent="0.25">
      <c r="AF5815">
        <v>0</v>
      </c>
      <c r="AH5815">
        <v>0</v>
      </c>
      <c r="AK5815">
        <v>0</v>
      </c>
    </row>
    <row r="5816" spans="32:37" x14ac:dyDescent="0.25">
      <c r="AF5816">
        <v>0</v>
      </c>
      <c r="AH5816">
        <v>0</v>
      </c>
      <c r="AK5816">
        <v>0</v>
      </c>
    </row>
    <row r="5817" spans="32:37" x14ac:dyDescent="0.25">
      <c r="AF5817">
        <v>0</v>
      </c>
      <c r="AH5817">
        <v>0</v>
      </c>
      <c r="AK5817">
        <v>0</v>
      </c>
    </row>
    <row r="5818" spans="32:37" x14ac:dyDescent="0.25">
      <c r="AF5818">
        <v>0</v>
      </c>
      <c r="AH5818">
        <v>0</v>
      </c>
      <c r="AK5818">
        <v>0</v>
      </c>
    </row>
    <row r="5819" spans="32:37" x14ac:dyDescent="0.25">
      <c r="AF5819">
        <v>0</v>
      </c>
      <c r="AH5819">
        <v>0</v>
      </c>
      <c r="AK5819">
        <v>0</v>
      </c>
    </row>
    <row r="5820" spans="32:37" x14ac:dyDescent="0.25">
      <c r="AF5820">
        <v>0</v>
      </c>
      <c r="AH5820">
        <v>0</v>
      </c>
      <c r="AK5820">
        <v>0</v>
      </c>
    </row>
    <row r="5821" spans="32:37" x14ac:dyDescent="0.25">
      <c r="AF5821">
        <v>0</v>
      </c>
      <c r="AH5821">
        <v>0</v>
      </c>
      <c r="AK5821">
        <v>0</v>
      </c>
    </row>
    <row r="5822" spans="32:37" x14ac:dyDescent="0.25">
      <c r="AF5822">
        <v>0</v>
      </c>
      <c r="AH5822">
        <v>0</v>
      </c>
      <c r="AK5822">
        <v>0</v>
      </c>
    </row>
    <row r="5823" spans="32:37" x14ac:dyDescent="0.25">
      <c r="AF5823">
        <v>0</v>
      </c>
      <c r="AH5823">
        <v>0</v>
      </c>
      <c r="AK5823">
        <v>0</v>
      </c>
    </row>
    <row r="5824" spans="32:37" x14ac:dyDescent="0.25">
      <c r="AF5824">
        <v>0</v>
      </c>
      <c r="AH5824">
        <v>0</v>
      </c>
      <c r="AK5824">
        <v>0</v>
      </c>
    </row>
    <row r="5825" spans="32:37" x14ac:dyDescent="0.25">
      <c r="AF5825">
        <v>0</v>
      </c>
      <c r="AH5825">
        <v>0</v>
      </c>
      <c r="AK5825">
        <v>0</v>
      </c>
    </row>
    <row r="5826" spans="32:37" x14ac:dyDescent="0.25">
      <c r="AF5826">
        <v>0</v>
      </c>
      <c r="AH5826">
        <v>0</v>
      </c>
      <c r="AK5826">
        <v>0</v>
      </c>
    </row>
    <row r="5827" spans="32:37" x14ac:dyDescent="0.25">
      <c r="AF5827">
        <v>0</v>
      </c>
      <c r="AH5827">
        <v>0</v>
      </c>
      <c r="AK5827">
        <v>0</v>
      </c>
    </row>
    <row r="5828" spans="32:37" x14ac:dyDescent="0.25">
      <c r="AF5828">
        <v>0</v>
      </c>
      <c r="AH5828">
        <v>0</v>
      </c>
      <c r="AK5828">
        <v>0</v>
      </c>
    </row>
    <row r="5829" spans="32:37" x14ac:dyDescent="0.25">
      <c r="AF5829">
        <v>0</v>
      </c>
      <c r="AH5829">
        <v>0</v>
      </c>
      <c r="AK5829">
        <v>0</v>
      </c>
    </row>
    <row r="5830" spans="32:37" x14ac:dyDescent="0.25">
      <c r="AF5830">
        <v>0</v>
      </c>
      <c r="AH5830">
        <v>0</v>
      </c>
      <c r="AK5830">
        <v>0</v>
      </c>
    </row>
    <row r="5831" spans="32:37" x14ac:dyDescent="0.25">
      <c r="AF5831">
        <v>0</v>
      </c>
      <c r="AH5831">
        <v>0</v>
      </c>
      <c r="AK5831">
        <v>0</v>
      </c>
    </row>
    <row r="5832" spans="32:37" x14ac:dyDescent="0.25">
      <c r="AF5832">
        <v>0</v>
      </c>
      <c r="AH5832">
        <v>0</v>
      </c>
      <c r="AK5832">
        <v>0</v>
      </c>
    </row>
    <row r="5833" spans="32:37" x14ac:dyDescent="0.25">
      <c r="AF5833">
        <v>0</v>
      </c>
      <c r="AH5833">
        <v>0</v>
      </c>
      <c r="AK5833">
        <v>0</v>
      </c>
    </row>
    <row r="5834" spans="32:37" x14ac:dyDescent="0.25">
      <c r="AF5834">
        <v>0</v>
      </c>
      <c r="AH5834">
        <v>0</v>
      </c>
      <c r="AK5834">
        <v>0</v>
      </c>
    </row>
    <row r="5835" spans="32:37" x14ac:dyDescent="0.25">
      <c r="AF5835">
        <v>0</v>
      </c>
      <c r="AH5835">
        <v>0</v>
      </c>
      <c r="AK5835">
        <v>0</v>
      </c>
    </row>
    <row r="5836" spans="32:37" x14ac:dyDescent="0.25">
      <c r="AF5836">
        <v>0</v>
      </c>
      <c r="AH5836">
        <v>0</v>
      </c>
      <c r="AK5836">
        <v>0</v>
      </c>
    </row>
    <row r="5837" spans="32:37" x14ac:dyDescent="0.25">
      <c r="AF5837">
        <v>0</v>
      </c>
      <c r="AH5837">
        <v>0</v>
      </c>
      <c r="AK5837">
        <v>0</v>
      </c>
    </row>
    <row r="5838" spans="32:37" x14ac:dyDescent="0.25">
      <c r="AF5838">
        <v>0</v>
      </c>
      <c r="AH5838">
        <v>0</v>
      </c>
      <c r="AK5838">
        <v>0</v>
      </c>
    </row>
    <row r="5839" spans="32:37" x14ac:dyDescent="0.25">
      <c r="AF5839">
        <v>0</v>
      </c>
      <c r="AH5839">
        <v>0</v>
      </c>
      <c r="AK5839">
        <v>0</v>
      </c>
    </row>
    <row r="5840" spans="32:37" x14ac:dyDescent="0.25">
      <c r="AF5840">
        <v>0</v>
      </c>
      <c r="AH5840">
        <v>0</v>
      </c>
      <c r="AK5840">
        <v>0</v>
      </c>
    </row>
    <row r="5841" spans="32:37" x14ac:dyDescent="0.25">
      <c r="AF5841">
        <v>0</v>
      </c>
      <c r="AH5841">
        <v>0</v>
      </c>
      <c r="AK5841">
        <v>0</v>
      </c>
    </row>
    <row r="5842" spans="32:37" x14ac:dyDescent="0.25">
      <c r="AF5842">
        <v>0</v>
      </c>
      <c r="AH5842">
        <v>0</v>
      </c>
      <c r="AK5842">
        <v>0</v>
      </c>
    </row>
    <row r="5843" spans="32:37" x14ac:dyDescent="0.25">
      <c r="AF5843">
        <v>0</v>
      </c>
      <c r="AH5843">
        <v>0</v>
      </c>
      <c r="AK5843">
        <v>0</v>
      </c>
    </row>
    <row r="5844" spans="32:37" x14ac:dyDescent="0.25">
      <c r="AF5844">
        <v>0</v>
      </c>
      <c r="AH5844">
        <v>0</v>
      </c>
      <c r="AK5844">
        <v>0</v>
      </c>
    </row>
    <row r="5845" spans="32:37" x14ac:dyDescent="0.25">
      <c r="AF5845">
        <v>0</v>
      </c>
      <c r="AH5845">
        <v>0</v>
      </c>
      <c r="AK5845">
        <v>0</v>
      </c>
    </row>
    <row r="5846" spans="32:37" x14ac:dyDescent="0.25">
      <c r="AF5846">
        <v>0</v>
      </c>
      <c r="AH5846">
        <v>0</v>
      </c>
      <c r="AK5846">
        <v>0</v>
      </c>
    </row>
    <row r="5847" spans="32:37" x14ac:dyDescent="0.25">
      <c r="AF5847">
        <v>0</v>
      </c>
      <c r="AH5847">
        <v>0</v>
      </c>
      <c r="AK5847">
        <v>0</v>
      </c>
    </row>
    <row r="5848" spans="32:37" x14ac:dyDescent="0.25">
      <c r="AF5848">
        <v>0</v>
      </c>
      <c r="AH5848">
        <v>0</v>
      </c>
      <c r="AK5848">
        <v>0</v>
      </c>
    </row>
    <row r="5849" spans="32:37" x14ac:dyDescent="0.25">
      <c r="AF5849">
        <v>0</v>
      </c>
      <c r="AH5849">
        <v>0</v>
      </c>
      <c r="AK5849">
        <v>0</v>
      </c>
    </row>
    <row r="5850" spans="32:37" x14ac:dyDescent="0.25">
      <c r="AF5850">
        <v>0</v>
      </c>
      <c r="AH5850">
        <v>0</v>
      </c>
      <c r="AK5850">
        <v>0</v>
      </c>
    </row>
    <row r="5851" spans="32:37" x14ac:dyDescent="0.25">
      <c r="AF5851">
        <v>0</v>
      </c>
      <c r="AH5851">
        <v>0</v>
      </c>
      <c r="AK5851">
        <v>0</v>
      </c>
    </row>
    <row r="5852" spans="32:37" x14ac:dyDescent="0.25">
      <c r="AF5852">
        <v>0</v>
      </c>
      <c r="AH5852">
        <v>0</v>
      </c>
      <c r="AK5852">
        <v>0</v>
      </c>
    </row>
    <row r="5853" spans="32:37" x14ac:dyDescent="0.25">
      <c r="AF5853">
        <v>0</v>
      </c>
      <c r="AH5853">
        <v>0</v>
      </c>
      <c r="AK5853">
        <v>0</v>
      </c>
    </row>
    <row r="5854" spans="32:37" x14ac:dyDescent="0.25">
      <c r="AF5854">
        <v>0</v>
      </c>
      <c r="AH5854">
        <v>0</v>
      </c>
      <c r="AK5854">
        <v>0</v>
      </c>
    </row>
    <row r="5855" spans="32:37" x14ac:dyDescent="0.25">
      <c r="AF5855">
        <v>0</v>
      </c>
      <c r="AH5855">
        <v>0</v>
      </c>
      <c r="AK5855">
        <v>0</v>
      </c>
    </row>
    <row r="5856" spans="32:37" x14ac:dyDescent="0.25">
      <c r="AF5856">
        <v>0</v>
      </c>
      <c r="AH5856">
        <v>0</v>
      </c>
      <c r="AK5856">
        <v>0</v>
      </c>
    </row>
    <row r="5857" spans="32:37" x14ac:dyDescent="0.25">
      <c r="AF5857">
        <v>0</v>
      </c>
      <c r="AH5857">
        <v>0</v>
      </c>
      <c r="AK5857">
        <v>0</v>
      </c>
    </row>
    <row r="5858" spans="32:37" x14ac:dyDescent="0.25">
      <c r="AF5858">
        <v>0</v>
      </c>
      <c r="AH5858">
        <v>0</v>
      </c>
      <c r="AK5858">
        <v>0</v>
      </c>
    </row>
    <row r="5859" spans="32:37" x14ac:dyDescent="0.25">
      <c r="AF5859">
        <v>0</v>
      </c>
      <c r="AH5859">
        <v>0</v>
      </c>
      <c r="AK5859">
        <v>0</v>
      </c>
    </row>
    <row r="5860" spans="32:37" x14ac:dyDescent="0.25">
      <c r="AF5860">
        <v>0</v>
      </c>
      <c r="AH5860">
        <v>0</v>
      </c>
      <c r="AK5860">
        <v>0</v>
      </c>
    </row>
    <row r="5861" spans="32:37" x14ac:dyDescent="0.25">
      <c r="AF5861">
        <v>0</v>
      </c>
      <c r="AH5861">
        <v>0</v>
      </c>
      <c r="AK5861">
        <v>0</v>
      </c>
    </row>
    <row r="5862" spans="32:37" x14ac:dyDescent="0.25">
      <c r="AF5862">
        <v>0</v>
      </c>
      <c r="AH5862">
        <v>0</v>
      </c>
      <c r="AK5862">
        <v>0</v>
      </c>
    </row>
    <row r="5863" spans="32:37" x14ac:dyDescent="0.25">
      <c r="AF5863">
        <v>0</v>
      </c>
      <c r="AH5863">
        <v>0</v>
      </c>
      <c r="AK5863">
        <v>0</v>
      </c>
    </row>
    <row r="5864" spans="32:37" x14ac:dyDescent="0.25">
      <c r="AF5864">
        <v>0</v>
      </c>
      <c r="AH5864">
        <v>0</v>
      </c>
      <c r="AK5864">
        <v>0</v>
      </c>
    </row>
    <row r="5865" spans="32:37" x14ac:dyDescent="0.25">
      <c r="AF5865">
        <v>0</v>
      </c>
      <c r="AH5865">
        <v>0</v>
      </c>
      <c r="AK5865">
        <v>0</v>
      </c>
    </row>
    <row r="5866" spans="32:37" x14ac:dyDescent="0.25">
      <c r="AF5866">
        <v>0</v>
      </c>
      <c r="AH5866">
        <v>0</v>
      </c>
      <c r="AK5866">
        <v>0</v>
      </c>
    </row>
    <row r="5867" spans="32:37" x14ac:dyDescent="0.25">
      <c r="AF5867">
        <v>0</v>
      </c>
      <c r="AH5867">
        <v>0</v>
      </c>
      <c r="AK5867">
        <v>0</v>
      </c>
    </row>
    <row r="5868" spans="32:37" x14ac:dyDescent="0.25">
      <c r="AF5868">
        <v>0</v>
      </c>
      <c r="AH5868">
        <v>0</v>
      </c>
      <c r="AK5868">
        <v>0</v>
      </c>
    </row>
    <row r="5869" spans="32:37" x14ac:dyDescent="0.25">
      <c r="AF5869">
        <v>0</v>
      </c>
      <c r="AH5869">
        <v>0</v>
      </c>
      <c r="AK5869">
        <v>0</v>
      </c>
    </row>
    <row r="5870" spans="32:37" x14ac:dyDescent="0.25">
      <c r="AF5870">
        <v>0</v>
      </c>
      <c r="AH5870">
        <v>0</v>
      </c>
      <c r="AK5870">
        <v>0</v>
      </c>
    </row>
    <row r="5871" spans="32:37" x14ac:dyDescent="0.25">
      <c r="AF5871">
        <v>0</v>
      </c>
      <c r="AH5871">
        <v>0</v>
      </c>
      <c r="AK5871">
        <v>0</v>
      </c>
    </row>
    <row r="5872" spans="32:37" x14ac:dyDescent="0.25">
      <c r="AF5872">
        <v>0</v>
      </c>
      <c r="AH5872">
        <v>0</v>
      </c>
      <c r="AK5872">
        <v>0</v>
      </c>
    </row>
    <row r="5873" spans="32:37" x14ac:dyDescent="0.25">
      <c r="AF5873">
        <v>0</v>
      </c>
      <c r="AH5873">
        <v>0</v>
      </c>
      <c r="AK5873">
        <v>0</v>
      </c>
    </row>
    <row r="5874" spans="32:37" x14ac:dyDescent="0.25">
      <c r="AF5874">
        <v>0</v>
      </c>
      <c r="AH5874">
        <v>0</v>
      </c>
      <c r="AK5874">
        <v>0</v>
      </c>
    </row>
    <row r="5875" spans="32:37" x14ac:dyDescent="0.25">
      <c r="AF5875">
        <v>0</v>
      </c>
      <c r="AH5875">
        <v>0</v>
      </c>
      <c r="AK5875">
        <v>0</v>
      </c>
    </row>
    <row r="5876" spans="32:37" x14ac:dyDescent="0.25">
      <c r="AF5876">
        <v>0</v>
      </c>
      <c r="AH5876">
        <v>0</v>
      </c>
      <c r="AK5876">
        <v>0</v>
      </c>
    </row>
    <row r="5877" spans="32:37" x14ac:dyDescent="0.25">
      <c r="AF5877">
        <v>0</v>
      </c>
      <c r="AH5877">
        <v>0</v>
      </c>
      <c r="AK5877">
        <v>0</v>
      </c>
    </row>
    <row r="5878" spans="32:37" x14ac:dyDescent="0.25">
      <c r="AF5878">
        <v>0</v>
      </c>
      <c r="AH5878">
        <v>0</v>
      </c>
      <c r="AK5878">
        <v>0</v>
      </c>
    </row>
    <row r="5879" spans="32:37" x14ac:dyDescent="0.25">
      <c r="AF5879">
        <v>0</v>
      </c>
      <c r="AH5879">
        <v>0</v>
      </c>
      <c r="AK5879">
        <v>0</v>
      </c>
    </row>
    <row r="5880" spans="32:37" x14ac:dyDescent="0.25">
      <c r="AF5880">
        <v>0</v>
      </c>
      <c r="AH5880">
        <v>0</v>
      </c>
      <c r="AK5880">
        <v>0</v>
      </c>
    </row>
    <row r="5881" spans="32:37" x14ac:dyDescent="0.25">
      <c r="AF5881">
        <v>0</v>
      </c>
      <c r="AH5881">
        <v>0</v>
      </c>
      <c r="AK5881">
        <v>0</v>
      </c>
    </row>
    <row r="5882" spans="32:37" x14ac:dyDescent="0.25">
      <c r="AF5882">
        <v>0</v>
      </c>
      <c r="AH5882">
        <v>0</v>
      </c>
      <c r="AK5882">
        <v>0</v>
      </c>
    </row>
    <row r="5883" spans="32:37" x14ac:dyDescent="0.25">
      <c r="AF5883">
        <v>0</v>
      </c>
      <c r="AH5883">
        <v>0</v>
      </c>
      <c r="AK5883">
        <v>0</v>
      </c>
    </row>
    <row r="5884" spans="32:37" x14ac:dyDescent="0.25">
      <c r="AF5884">
        <v>0</v>
      </c>
      <c r="AH5884">
        <v>0</v>
      </c>
      <c r="AK5884">
        <v>0</v>
      </c>
    </row>
    <row r="5885" spans="32:37" x14ac:dyDescent="0.25">
      <c r="AF5885">
        <v>0</v>
      </c>
      <c r="AH5885">
        <v>0</v>
      </c>
      <c r="AK5885">
        <v>0</v>
      </c>
    </row>
    <row r="5886" spans="32:37" x14ac:dyDescent="0.25">
      <c r="AF5886">
        <v>0</v>
      </c>
      <c r="AH5886">
        <v>0</v>
      </c>
      <c r="AK5886">
        <v>0</v>
      </c>
    </row>
    <row r="5887" spans="32:37" x14ac:dyDescent="0.25">
      <c r="AF5887">
        <v>0</v>
      </c>
      <c r="AH5887">
        <v>0</v>
      </c>
      <c r="AK5887">
        <v>0</v>
      </c>
    </row>
    <row r="5888" spans="32:37" x14ac:dyDescent="0.25">
      <c r="AF5888">
        <v>0</v>
      </c>
      <c r="AH5888">
        <v>0</v>
      </c>
      <c r="AK5888">
        <v>0</v>
      </c>
    </row>
    <row r="5889" spans="32:37" x14ac:dyDescent="0.25">
      <c r="AF5889">
        <v>0</v>
      </c>
      <c r="AH5889">
        <v>0</v>
      </c>
      <c r="AK5889">
        <v>0</v>
      </c>
    </row>
    <row r="5890" spans="32:37" x14ac:dyDescent="0.25">
      <c r="AF5890">
        <v>0</v>
      </c>
      <c r="AH5890">
        <v>0</v>
      </c>
      <c r="AK5890">
        <v>0</v>
      </c>
    </row>
    <row r="5891" spans="32:37" x14ac:dyDescent="0.25">
      <c r="AF5891">
        <v>0</v>
      </c>
      <c r="AH5891">
        <v>0</v>
      </c>
      <c r="AK5891">
        <v>0</v>
      </c>
    </row>
    <row r="5892" spans="32:37" x14ac:dyDescent="0.25">
      <c r="AF5892">
        <v>0</v>
      </c>
      <c r="AH5892">
        <v>0</v>
      </c>
      <c r="AK5892">
        <v>0</v>
      </c>
    </row>
    <row r="5893" spans="32:37" x14ac:dyDescent="0.25">
      <c r="AF5893">
        <v>0</v>
      </c>
      <c r="AH5893">
        <v>0</v>
      </c>
      <c r="AK5893">
        <v>0</v>
      </c>
    </row>
    <row r="5894" spans="32:37" x14ac:dyDescent="0.25">
      <c r="AF5894">
        <v>0</v>
      </c>
      <c r="AH5894">
        <v>0</v>
      </c>
      <c r="AK5894">
        <v>0</v>
      </c>
    </row>
    <row r="5895" spans="32:37" x14ac:dyDescent="0.25">
      <c r="AF5895">
        <v>0</v>
      </c>
      <c r="AH5895">
        <v>0</v>
      </c>
      <c r="AK5895">
        <v>0</v>
      </c>
    </row>
    <row r="5896" spans="32:37" x14ac:dyDescent="0.25">
      <c r="AF5896">
        <v>0</v>
      </c>
      <c r="AH5896">
        <v>0</v>
      </c>
      <c r="AK5896">
        <v>0</v>
      </c>
    </row>
    <row r="5897" spans="32:37" x14ac:dyDescent="0.25">
      <c r="AF5897">
        <v>0</v>
      </c>
      <c r="AH5897">
        <v>0</v>
      </c>
      <c r="AK5897">
        <v>0</v>
      </c>
    </row>
    <row r="5898" spans="32:37" x14ac:dyDescent="0.25">
      <c r="AF5898">
        <v>0</v>
      </c>
      <c r="AH5898">
        <v>0</v>
      </c>
      <c r="AK5898">
        <v>0</v>
      </c>
    </row>
    <row r="5899" spans="32:37" x14ac:dyDescent="0.25">
      <c r="AF5899">
        <v>0</v>
      </c>
      <c r="AH5899">
        <v>0</v>
      </c>
      <c r="AK5899">
        <v>0</v>
      </c>
    </row>
    <row r="5900" spans="32:37" x14ac:dyDescent="0.25">
      <c r="AF5900">
        <v>0</v>
      </c>
      <c r="AH5900">
        <v>0</v>
      </c>
      <c r="AK5900">
        <v>0</v>
      </c>
    </row>
    <row r="5901" spans="32:37" x14ac:dyDescent="0.25">
      <c r="AF5901">
        <v>0</v>
      </c>
      <c r="AH5901">
        <v>0</v>
      </c>
      <c r="AK5901">
        <v>0</v>
      </c>
    </row>
    <row r="5902" spans="32:37" x14ac:dyDescent="0.25">
      <c r="AF5902">
        <v>0</v>
      </c>
      <c r="AH5902">
        <v>0</v>
      </c>
      <c r="AK5902">
        <v>0</v>
      </c>
    </row>
    <row r="5903" spans="32:37" x14ac:dyDescent="0.25">
      <c r="AF5903">
        <v>0</v>
      </c>
      <c r="AH5903">
        <v>0</v>
      </c>
      <c r="AK5903">
        <v>0</v>
      </c>
    </row>
    <row r="5904" spans="32:37" x14ac:dyDescent="0.25">
      <c r="AF5904">
        <v>0</v>
      </c>
      <c r="AH5904">
        <v>0</v>
      </c>
      <c r="AK5904">
        <v>0</v>
      </c>
    </row>
    <row r="5905" spans="32:37" x14ac:dyDescent="0.25">
      <c r="AF5905">
        <v>0</v>
      </c>
      <c r="AH5905">
        <v>0</v>
      </c>
      <c r="AK5905">
        <v>0</v>
      </c>
    </row>
    <row r="5906" spans="32:37" x14ac:dyDescent="0.25">
      <c r="AF5906">
        <v>0</v>
      </c>
      <c r="AH5906">
        <v>0</v>
      </c>
      <c r="AK5906">
        <v>0</v>
      </c>
    </row>
    <row r="5907" spans="32:37" x14ac:dyDescent="0.25">
      <c r="AF5907">
        <v>0</v>
      </c>
      <c r="AH5907">
        <v>0</v>
      </c>
      <c r="AK5907">
        <v>0</v>
      </c>
    </row>
    <row r="5908" spans="32:37" x14ac:dyDescent="0.25">
      <c r="AF5908">
        <v>0</v>
      </c>
      <c r="AH5908">
        <v>0</v>
      </c>
      <c r="AK5908">
        <v>0</v>
      </c>
    </row>
    <row r="5909" spans="32:37" x14ac:dyDescent="0.25">
      <c r="AF5909">
        <v>0</v>
      </c>
      <c r="AH5909">
        <v>0</v>
      </c>
      <c r="AK5909">
        <v>0</v>
      </c>
    </row>
    <row r="5910" spans="32:37" x14ac:dyDescent="0.25">
      <c r="AF5910">
        <v>0</v>
      </c>
      <c r="AH5910">
        <v>0</v>
      </c>
      <c r="AK5910">
        <v>0</v>
      </c>
    </row>
    <row r="5911" spans="32:37" x14ac:dyDescent="0.25">
      <c r="AF5911">
        <v>0</v>
      </c>
      <c r="AH5911">
        <v>0</v>
      </c>
      <c r="AK5911">
        <v>0</v>
      </c>
    </row>
    <row r="5912" spans="32:37" x14ac:dyDescent="0.25">
      <c r="AF5912">
        <v>0</v>
      </c>
      <c r="AH5912">
        <v>0</v>
      </c>
      <c r="AK5912">
        <v>0</v>
      </c>
    </row>
    <row r="5913" spans="32:37" x14ac:dyDescent="0.25">
      <c r="AF5913">
        <v>0</v>
      </c>
      <c r="AH5913">
        <v>0</v>
      </c>
      <c r="AK5913">
        <v>0</v>
      </c>
    </row>
    <row r="5914" spans="32:37" x14ac:dyDescent="0.25">
      <c r="AF5914">
        <v>0</v>
      </c>
      <c r="AH5914">
        <v>0</v>
      </c>
      <c r="AK5914">
        <v>0</v>
      </c>
    </row>
    <row r="5915" spans="32:37" x14ac:dyDescent="0.25">
      <c r="AF5915">
        <v>0</v>
      </c>
      <c r="AH5915">
        <v>0</v>
      </c>
      <c r="AK5915">
        <v>0</v>
      </c>
    </row>
    <row r="5916" spans="32:37" x14ac:dyDescent="0.25">
      <c r="AF5916">
        <v>0</v>
      </c>
      <c r="AH5916">
        <v>0</v>
      </c>
      <c r="AK5916">
        <v>0</v>
      </c>
    </row>
    <row r="5917" spans="32:37" x14ac:dyDescent="0.25">
      <c r="AF5917">
        <v>0</v>
      </c>
      <c r="AH5917">
        <v>0</v>
      </c>
      <c r="AK5917">
        <v>0</v>
      </c>
    </row>
    <row r="5918" spans="32:37" x14ac:dyDescent="0.25">
      <c r="AF5918">
        <v>0</v>
      </c>
      <c r="AH5918">
        <v>0</v>
      </c>
      <c r="AK5918">
        <v>0</v>
      </c>
    </row>
    <row r="5919" spans="32:37" x14ac:dyDescent="0.25">
      <c r="AF5919">
        <v>0</v>
      </c>
      <c r="AH5919">
        <v>0</v>
      </c>
      <c r="AK5919">
        <v>0</v>
      </c>
    </row>
    <row r="5920" spans="32:37" x14ac:dyDescent="0.25">
      <c r="AF5920">
        <v>0</v>
      </c>
      <c r="AH5920">
        <v>0</v>
      </c>
      <c r="AK5920">
        <v>0</v>
      </c>
    </row>
    <row r="5921" spans="32:37" x14ac:dyDescent="0.25">
      <c r="AF5921">
        <v>0</v>
      </c>
      <c r="AH5921">
        <v>0</v>
      </c>
      <c r="AK5921">
        <v>0</v>
      </c>
    </row>
    <row r="5922" spans="32:37" x14ac:dyDescent="0.25">
      <c r="AF5922">
        <v>0</v>
      </c>
      <c r="AH5922">
        <v>0</v>
      </c>
      <c r="AK5922">
        <v>0</v>
      </c>
    </row>
    <row r="5923" spans="32:37" x14ac:dyDescent="0.25">
      <c r="AF5923">
        <v>0</v>
      </c>
      <c r="AH5923">
        <v>0</v>
      </c>
      <c r="AK5923">
        <v>0</v>
      </c>
    </row>
    <row r="5924" spans="32:37" x14ac:dyDescent="0.25">
      <c r="AF5924">
        <v>0</v>
      </c>
      <c r="AH5924">
        <v>0</v>
      </c>
      <c r="AK5924">
        <v>0</v>
      </c>
    </row>
    <row r="5925" spans="32:37" x14ac:dyDescent="0.25">
      <c r="AF5925">
        <v>0</v>
      </c>
      <c r="AH5925">
        <v>0</v>
      </c>
      <c r="AK5925">
        <v>0</v>
      </c>
    </row>
    <row r="5926" spans="32:37" x14ac:dyDescent="0.25">
      <c r="AF5926">
        <v>0</v>
      </c>
      <c r="AH5926">
        <v>0</v>
      </c>
      <c r="AK5926">
        <v>0</v>
      </c>
    </row>
    <row r="5927" spans="32:37" x14ac:dyDescent="0.25">
      <c r="AF5927">
        <v>0</v>
      </c>
      <c r="AH5927">
        <v>0</v>
      </c>
      <c r="AK5927">
        <v>0</v>
      </c>
    </row>
    <row r="5928" spans="32:37" x14ac:dyDescent="0.25">
      <c r="AF5928">
        <v>0</v>
      </c>
      <c r="AH5928">
        <v>0</v>
      </c>
      <c r="AK5928">
        <v>0</v>
      </c>
    </row>
    <row r="5929" spans="32:37" x14ac:dyDescent="0.25">
      <c r="AF5929">
        <v>0</v>
      </c>
      <c r="AH5929">
        <v>0</v>
      </c>
      <c r="AK5929">
        <v>0</v>
      </c>
    </row>
    <row r="5930" spans="32:37" x14ac:dyDescent="0.25">
      <c r="AF5930">
        <v>0</v>
      </c>
      <c r="AH5930">
        <v>0</v>
      </c>
      <c r="AK5930">
        <v>0</v>
      </c>
    </row>
    <row r="5931" spans="32:37" x14ac:dyDescent="0.25">
      <c r="AF5931">
        <v>0</v>
      </c>
      <c r="AH5931">
        <v>0</v>
      </c>
      <c r="AK5931">
        <v>0</v>
      </c>
    </row>
    <row r="5932" spans="32:37" x14ac:dyDescent="0.25">
      <c r="AF5932">
        <v>0</v>
      </c>
      <c r="AH5932">
        <v>0</v>
      </c>
      <c r="AK5932">
        <v>0</v>
      </c>
    </row>
    <row r="5933" spans="32:37" x14ac:dyDescent="0.25">
      <c r="AF5933">
        <v>0</v>
      </c>
      <c r="AH5933">
        <v>0</v>
      </c>
      <c r="AK5933">
        <v>0</v>
      </c>
    </row>
    <row r="5934" spans="32:37" x14ac:dyDescent="0.25">
      <c r="AF5934">
        <v>0</v>
      </c>
      <c r="AH5934">
        <v>0</v>
      </c>
      <c r="AK5934">
        <v>0</v>
      </c>
    </row>
    <row r="5935" spans="32:37" x14ac:dyDescent="0.25">
      <c r="AF5935">
        <v>0</v>
      </c>
      <c r="AH5935">
        <v>0</v>
      </c>
      <c r="AK5935">
        <v>0</v>
      </c>
    </row>
    <row r="5936" spans="32:37" x14ac:dyDescent="0.25">
      <c r="AF5936">
        <v>0</v>
      </c>
      <c r="AH5936">
        <v>0</v>
      </c>
      <c r="AK5936">
        <v>0</v>
      </c>
    </row>
    <row r="5937" spans="32:37" x14ac:dyDescent="0.25">
      <c r="AF5937">
        <v>0</v>
      </c>
      <c r="AH5937">
        <v>0</v>
      </c>
      <c r="AK5937">
        <v>0</v>
      </c>
    </row>
    <row r="5938" spans="32:37" x14ac:dyDescent="0.25">
      <c r="AF5938">
        <v>0</v>
      </c>
      <c r="AH5938">
        <v>0</v>
      </c>
      <c r="AK5938">
        <v>0</v>
      </c>
    </row>
    <row r="5939" spans="32:37" x14ac:dyDescent="0.25">
      <c r="AF5939">
        <v>0</v>
      </c>
      <c r="AH5939">
        <v>0</v>
      </c>
      <c r="AK5939">
        <v>0</v>
      </c>
    </row>
    <row r="5940" spans="32:37" x14ac:dyDescent="0.25">
      <c r="AF5940">
        <v>0</v>
      </c>
      <c r="AH5940">
        <v>0</v>
      </c>
      <c r="AK5940">
        <v>0</v>
      </c>
    </row>
    <row r="5941" spans="32:37" x14ac:dyDescent="0.25">
      <c r="AF5941">
        <v>0</v>
      </c>
      <c r="AH5941">
        <v>0</v>
      </c>
      <c r="AK5941">
        <v>0</v>
      </c>
    </row>
    <row r="5942" spans="32:37" x14ac:dyDescent="0.25">
      <c r="AF5942">
        <v>0</v>
      </c>
      <c r="AH5942">
        <v>0</v>
      </c>
      <c r="AK5942">
        <v>0</v>
      </c>
    </row>
    <row r="5943" spans="32:37" x14ac:dyDescent="0.25">
      <c r="AF5943">
        <v>0</v>
      </c>
      <c r="AH5943">
        <v>0</v>
      </c>
      <c r="AK5943">
        <v>0</v>
      </c>
    </row>
    <row r="5944" spans="32:37" x14ac:dyDescent="0.25">
      <c r="AF5944">
        <v>0</v>
      </c>
      <c r="AH5944">
        <v>0</v>
      </c>
      <c r="AK5944">
        <v>0</v>
      </c>
    </row>
    <row r="5945" spans="32:37" x14ac:dyDescent="0.25">
      <c r="AF5945">
        <v>0</v>
      </c>
      <c r="AH5945">
        <v>0</v>
      </c>
      <c r="AK5945">
        <v>0</v>
      </c>
    </row>
    <row r="5946" spans="32:37" x14ac:dyDescent="0.25">
      <c r="AF5946">
        <v>0</v>
      </c>
      <c r="AH5946">
        <v>0</v>
      </c>
      <c r="AK5946">
        <v>0</v>
      </c>
    </row>
    <row r="5947" spans="32:37" x14ac:dyDescent="0.25">
      <c r="AF5947">
        <v>0</v>
      </c>
      <c r="AH5947">
        <v>0</v>
      </c>
      <c r="AK5947">
        <v>0</v>
      </c>
    </row>
    <row r="5948" spans="32:37" x14ac:dyDescent="0.25">
      <c r="AF5948">
        <v>0</v>
      </c>
      <c r="AH5948">
        <v>0</v>
      </c>
      <c r="AK5948">
        <v>0</v>
      </c>
    </row>
    <row r="5949" spans="32:37" x14ac:dyDescent="0.25">
      <c r="AF5949">
        <v>0</v>
      </c>
      <c r="AH5949">
        <v>0</v>
      </c>
      <c r="AK5949">
        <v>0</v>
      </c>
    </row>
    <row r="5950" spans="32:37" x14ac:dyDescent="0.25">
      <c r="AF5950">
        <v>0</v>
      </c>
      <c r="AH5950">
        <v>0</v>
      </c>
      <c r="AK5950">
        <v>0</v>
      </c>
    </row>
    <row r="5951" spans="32:37" x14ac:dyDescent="0.25">
      <c r="AF5951">
        <v>0</v>
      </c>
      <c r="AH5951">
        <v>0</v>
      </c>
      <c r="AK5951">
        <v>0</v>
      </c>
    </row>
    <row r="5952" spans="32:37" x14ac:dyDescent="0.25">
      <c r="AF5952">
        <v>0</v>
      </c>
      <c r="AH5952">
        <v>0</v>
      </c>
      <c r="AK5952">
        <v>0</v>
      </c>
    </row>
    <row r="5953" spans="32:37" x14ac:dyDescent="0.25">
      <c r="AF5953">
        <v>0</v>
      </c>
      <c r="AH5953">
        <v>0</v>
      </c>
      <c r="AK5953">
        <v>0</v>
      </c>
    </row>
    <row r="5954" spans="32:37" x14ac:dyDescent="0.25">
      <c r="AF5954">
        <v>0</v>
      </c>
      <c r="AH5954">
        <v>0</v>
      </c>
      <c r="AK5954">
        <v>0</v>
      </c>
    </row>
    <row r="5955" spans="32:37" x14ac:dyDescent="0.25">
      <c r="AF5955">
        <v>0</v>
      </c>
      <c r="AH5955">
        <v>0</v>
      </c>
      <c r="AK5955">
        <v>0</v>
      </c>
    </row>
    <row r="5956" spans="32:37" x14ac:dyDescent="0.25">
      <c r="AF5956">
        <v>0</v>
      </c>
      <c r="AH5956">
        <v>0</v>
      </c>
      <c r="AK5956">
        <v>0</v>
      </c>
    </row>
    <row r="5957" spans="32:37" x14ac:dyDescent="0.25">
      <c r="AF5957">
        <v>0</v>
      </c>
      <c r="AH5957">
        <v>0</v>
      </c>
      <c r="AK5957">
        <v>0</v>
      </c>
    </row>
    <row r="5958" spans="32:37" x14ac:dyDescent="0.25">
      <c r="AF5958">
        <v>0</v>
      </c>
      <c r="AH5958">
        <v>0</v>
      </c>
      <c r="AK5958">
        <v>0</v>
      </c>
    </row>
    <row r="5959" spans="32:37" x14ac:dyDescent="0.25">
      <c r="AF5959">
        <v>0</v>
      </c>
      <c r="AH5959">
        <v>0</v>
      </c>
      <c r="AK5959">
        <v>0</v>
      </c>
    </row>
    <row r="5960" spans="32:37" x14ac:dyDescent="0.25">
      <c r="AF5960">
        <v>0</v>
      </c>
      <c r="AH5960">
        <v>0</v>
      </c>
      <c r="AK5960">
        <v>0</v>
      </c>
    </row>
    <row r="5961" spans="32:37" x14ac:dyDescent="0.25">
      <c r="AF5961">
        <v>0</v>
      </c>
      <c r="AH5961">
        <v>0</v>
      </c>
      <c r="AK5961">
        <v>0</v>
      </c>
    </row>
    <row r="5962" spans="32:37" x14ac:dyDescent="0.25">
      <c r="AF5962">
        <v>0</v>
      </c>
      <c r="AH5962">
        <v>0</v>
      </c>
      <c r="AK5962">
        <v>0</v>
      </c>
    </row>
    <row r="5963" spans="32:37" x14ac:dyDescent="0.25">
      <c r="AF5963">
        <v>0</v>
      </c>
      <c r="AH5963">
        <v>0</v>
      </c>
      <c r="AK5963">
        <v>0</v>
      </c>
    </row>
    <row r="5964" spans="32:37" x14ac:dyDescent="0.25">
      <c r="AF5964">
        <v>0</v>
      </c>
      <c r="AH5964">
        <v>0</v>
      </c>
      <c r="AK5964">
        <v>0</v>
      </c>
    </row>
    <row r="5965" spans="32:37" x14ac:dyDescent="0.25">
      <c r="AF5965">
        <v>0</v>
      </c>
      <c r="AH5965">
        <v>0</v>
      </c>
      <c r="AK5965">
        <v>0</v>
      </c>
    </row>
    <row r="5966" spans="32:37" x14ac:dyDescent="0.25">
      <c r="AF5966">
        <v>0</v>
      </c>
      <c r="AH5966">
        <v>0</v>
      </c>
      <c r="AK5966">
        <v>0</v>
      </c>
    </row>
    <row r="5967" spans="32:37" x14ac:dyDescent="0.25">
      <c r="AF5967">
        <v>0</v>
      </c>
      <c r="AH5967">
        <v>0</v>
      </c>
      <c r="AK5967">
        <v>0</v>
      </c>
    </row>
    <row r="5968" spans="32:37" x14ac:dyDescent="0.25">
      <c r="AF5968">
        <v>0</v>
      </c>
      <c r="AH5968">
        <v>0</v>
      </c>
      <c r="AK5968">
        <v>0</v>
      </c>
    </row>
    <row r="5969" spans="32:37" x14ac:dyDescent="0.25">
      <c r="AF5969">
        <v>0</v>
      </c>
      <c r="AH5969">
        <v>0</v>
      </c>
      <c r="AK5969">
        <v>0</v>
      </c>
    </row>
    <row r="5970" spans="32:37" x14ac:dyDescent="0.25">
      <c r="AF5970">
        <v>0</v>
      </c>
      <c r="AH5970">
        <v>0</v>
      </c>
      <c r="AK5970">
        <v>0</v>
      </c>
    </row>
    <row r="5971" spans="32:37" x14ac:dyDescent="0.25">
      <c r="AF5971">
        <v>0</v>
      </c>
      <c r="AH5971">
        <v>0</v>
      </c>
      <c r="AK5971">
        <v>0</v>
      </c>
    </row>
    <row r="5972" spans="32:37" x14ac:dyDescent="0.25">
      <c r="AF5972">
        <v>0</v>
      </c>
      <c r="AH5972">
        <v>0</v>
      </c>
      <c r="AK5972">
        <v>0</v>
      </c>
    </row>
    <row r="5973" spans="32:37" x14ac:dyDescent="0.25">
      <c r="AF5973">
        <v>0</v>
      </c>
      <c r="AH5973">
        <v>0</v>
      </c>
      <c r="AK5973">
        <v>0</v>
      </c>
    </row>
    <row r="5974" spans="32:37" x14ac:dyDescent="0.25">
      <c r="AF5974">
        <v>0</v>
      </c>
      <c r="AH5974">
        <v>0</v>
      </c>
      <c r="AK5974">
        <v>0</v>
      </c>
    </row>
    <row r="5975" spans="32:37" x14ac:dyDescent="0.25">
      <c r="AF5975">
        <v>0</v>
      </c>
      <c r="AH5975">
        <v>0</v>
      </c>
      <c r="AK5975">
        <v>0</v>
      </c>
    </row>
    <row r="5976" spans="32:37" x14ac:dyDescent="0.25">
      <c r="AF5976">
        <v>0</v>
      </c>
      <c r="AH5976">
        <v>0</v>
      </c>
      <c r="AK5976">
        <v>0</v>
      </c>
    </row>
    <row r="5977" spans="32:37" x14ac:dyDescent="0.25">
      <c r="AF5977">
        <v>0</v>
      </c>
      <c r="AH5977">
        <v>0</v>
      </c>
      <c r="AK5977">
        <v>0</v>
      </c>
    </row>
    <row r="5978" spans="32:37" x14ac:dyDescent="0.25">
      <c r="AF5978">
        <v>0</v>
      </c>
      <c r="AH5978">
        <v>0</v>
      </c>
      <c r="AK5978">
        <v>0</v>
      </c>
    </row>
    <row r="5979" spans="32:37" x14ac:dyDescent="0.25">
      <c r="AF5979">
        <v>0</v>
      </c>
      <c r="AH5979">
        <v>0</v>
      </c>
      <c r="AK5979">
        <v>0</v>
      </c>
    </row>
    <row r="5980" spans="32:37" x14ac:dyDescent="0.25">
      <c r="AF5980">
        <v>0</v>
      </c>
      <c r="AH5980">
        <v>0</v>
      </c>
      <c r="AK5980">
        <v>0</v>
      </c>
    </row>
    <row r="5981" spans="32:37" x14ac:dyDescent="0.25">
      <c r="AF5981">
        <v>0</v>
      </c>
      <c r="AH5981">
        <v>0</v>
      </c>
      <c r="AK5981">
        <v>0</v>
      </c>
    </row>
    <row r="5982" spans="32:37" x14ac:dyDescent="0.25">
      <c r="AF5982">
        <v>0</v>
      </c>
      <c r="AH5982">
        <v>0</v>
      </c>
      <c r="AK5982">
        <v>0</v>
      </c>
    </row>
    <row r="5983" spans="32:37" x14ac:dyDescent="0.25">
      <c r="AF5983">
        <v>0</v>
      </c>
      <c r="AH5983">
        <v>0</v>
      </c>
      <c r="AK5983">
        <v>0</v>
      </c>
    </row>
    <row r="5984" spans="32:37" x14ac:dyDescent="0.25">
      <c r="AF5984">
        <v>0</v>
      </c>
      <c r="AH5984">
        <v>0</v>
      </c>
      <c r="AK5984">
        <v>0</v>
      </c>
    </row>
    <row r="5985" spans="32:37" x14ac:dyDescent="0.25">
      <c r="AF5985">
        <v>0</v>
      </c>
      <c r="AH5985">
        <v>0</v>
      </c>
      <c r="AK5985">
        <v>0</v>
      </c>
    </row>
    <row r="5986" spans="32:37" x14ac:dyDescent="0.25">
      <c r="AF5986">
        <v>0</v>
      </c>
      <c r="AH5986">
        <v>0</v>
      </c>
      <c r="AK5986">
        <v>0</v>
      </c>
    </row>
    <row r="5987" spans="32:37" x14ac:dyDescent="0.25">
      <c r="AF5987">
        <v>0</v>
      </c>
      <c r="AH5987">
        <v>0</v>
      </c>
      <c r="AK5987">
        <v>0</v>
      </c>
    </row>
    <row r="5988" spans="32:37" x14ac:dyDescent="0.25">
      <c r="AF5988">
        <v>0</v>
      </c>
      <c r="AH5988">
        <v>0</v>
      </c>
      <c r="AK5988">
        <v>0</v>
      </c>
    </row>
    <row r="5989" spans="32:37" x14ac:dyDescent="0.25">
      <c r="AF5989">
        <v>0</v>
      </c>
      <c r="AH5989">
        <v>0</v>
      </c>
      <c r="AK5989">
        <v>0</v>
      </c>
    </row>
    <row r="5990" spans="32:37" x14ac:dyDescent="0.25">
      <c r="AF5990">
        <v>0</v>
      </c>
      <c r="AH5990">
        <v>0</v>
      </c>
      <c r="AK5990">
        <v>0</v>
      </c>
    </row>
    <row r="5991" spans="32:37" x14ac:dyDescent="0.25">
      <c r="AF5991">
        <v>0</v>
      </c>
      <c r="AH5991">
        <v>0</v>
      </c>
      <c r="AK5991">
        <v>0</v>
      </c>
    </row>
    <row r="5992" spans="32:37" x14ac:dyDescent="0.25">
      <c r="AF5992">
        <v>0</v>
      </c>
      <c r="AH5992">
        <v>0</v>
      </c>
      <c r="AK5992">
        <v>0</v>
      </c>
    </row>
    <row r="5993" spans="32:37" x14ac:dyDescent="0.25">
      <c r="AF5993">
        <v>0</v>
      </c>
      <c r="AH5993">
        <v>0</v>
      </c>
      <c r="AK5993">
        <v>0</v>
      </c>
    </row>
    <row r="5994" spans="32:37" x14ac:dyDescent="0.25">
      <c r="AF5994">
        <v>0</v>
      </c>
      <c r="AH5994">
        <v>0</v>
      </c>
      <c r="AK5994">
        <v>0</v>
      </c>
    </row>
    <row r="5995" spans="32:37" x14ac:dyDescent="0.25">
      <c r="AF5995">
        <v>0</v>
      </c>
      <c r="AH5995">
        <v>0</v>
      </c>
      <c r="AK5995">
        <v>0</v>
      </c>
    </row>
    <row r="5996" spans="32:37" x14ac:dyDescent="0.25">
      <c r="AF5996">
        <v>0</v>
      </c>
      <c r="AH5996">
        <v>0</v>
      </c>
      <c r="AK5996">
        <v>0</v>
      </c>
    </row>
    <row r="5997" spans="32:37" x14ac:dyDescent="0.25">
      <c r="AF5997">
        <v>0</v>
      </c>
      <c r="AH5997">
        <v>0</v>
      </c>
      <c r="AK5997">
        <v>0</v>
      </c>
    </row>
    <row r="5998" spans="32:37" x14ac:dyDescent="0.25">
      <c r="AF5998">
        <v>0</v>
      </c>
      <c r="AH5998">
        <v>0</v>
      </c>
      <c r="AK5998">
        <v>0</v>
      </c>
    </row>
    <row r="5999" spans="32:37" x14ac:dyDescent="0.25">
      <c r="AF5999">
        <v>0</v>
      </c>
      <c r="AH5999">
        <v>0</v>
      </c>
      <c r="AK5999">
        <v>0</v>
      </c>
    </row>
    <row r="6000" spans="32:37" x14ac:dyDescent="0.25">
      <c r="AF6000">
        <v>0</v>
      </c>
      <c r="AH6000">
        <v>0</v>
      </c>
      <c r="AK6000">
        <v>0</v>
      </c>
    </row>
    <row r="6001" spans="32:37" x14ac:dyDescent="0.25">
      <c r="AF6001">
        <v>0</v>
      </c>
      <c r="AH6001">
        <v>0</v>
      </c>
      <c r="AK6001">
        <v>0</v>
      </c>
    </row>
    <row r="6002" spans="32:37" x14ac:dyDescent="0.25">
      <c r="AF6002">
        <v>0</v>
      </c>
      <c r="AH6002">
        <v>0</v>
      </c>
      <c r="AK6002">
        <v>0</v>
      </c>
    </row>
    <row r="6003" spans="32:37" x14ac:dyDescent="0.25">
      <c r="AF6003">
        <v>0</v>
      </c>
      <c r="AH6003">
        <v>0</v>
      </c>
      <c r="AK6003">
        <v>0</v>
      </c>
    </row>
    <row r="6004" spans="32:37" x14ac:dyDescent="0.25">
      <c r="AF6004">
        <v>0</v>
      </c>
      <c r="AH6004">
        <v>0</v>
      </c>
      <c r="AK6004">
        <v>0</v>
      </c>
    </row>
    <row r="6005" spans="32:37" x14ac:dyDescent="0.25">
      <c r="AF6005">
        <v>0</v>
      </c>
      <c r="AH6005">
        <v>0</v>
      </c>
      <c r="AK6005">
        <v>0</v>
      </c>
    </row>
    <row r="6006" spans="32:37" x14ac:dyDescent="0.25">
      <c r="AF6006">
        <v>0</v>
      </c>
      <c r="AH6006">
        <v>0</v>
      </c>
      <c r="AK6006">
        <v>0</v>
      </c>
    </row>
    <row r="6007" spans="32:37" x14ac:dyDescent="0.25">
      <c r="AF6007">
        <v>0</v>
      </c>
      <c r="AH6007">
        <v>0</v>
      </c>
      <c r="AK6007">
        <v>0</v>
      </c>
    </row>
    <row r="6008" spans="32:37" x14ac:dyDescent="0.25">
      <c r="AF6008">
        <v>0</v>
      </c>
      <c r="AH6008">
        <v>0</v>
      </c>
      <c r="AK6008">
        <v>0</v>
      </c>
    </row>
    <row r="6009" spans="32:37" x14ac:dyDescent="0.25">
      <c r="AF6009">
        <v>0</v>
      </c>
      <c r="AH6009">
        <v>0</v>
      </c>
      <c r="AK6009">
        <v>0</v>
      </c>
    </row>
    <row r="6010" spans="32:37" x14ac:dyDescent="0.25">
      <c r="AF6010">
        <v>0</v>
      </c>
      <c r="AH6010">
        <v>0</v>
      </c>
      <c r="AK6010">
        <v>0</v>
      </c>
    </row>
    <row r="6011" spans="32:37" x14ac:dyDescent="0.25">
      <c r="AF6011">
        <v>0</v>
      </c>
      <c r="AH6011">
        <v>0</v>
      </c>
      <c r="AK6011">
        <v>0</v>
      </c>
    </row>
    <row r="6012" spans="32:37" x14ac:dyDescent="0.25">
      <c r="AF6012">
        <v>0</v>
      </c>
      <c r="AH6012">
        <v>0</v>
      </c>
      <c r="AK6012">
        <v>0</v>
      </c>
    </row>
    <row r="6013" spans="32:37" x14ac:dyDescent="0.25">
      <c r="AF6013">
        <v>0</v>
      </c>
      <c r="AH6013">
        <v>0</v>
      </c>
      <c r="AK6013">
        <v>0</v>
      </c>
    </row>
    <row r="6014" spans="32:37" x14ac:dyDescent="0.25">
      <c r="AF6014">
        <v>0</v>
      </c>
      <c r="AH6014">
        <v>0</v>
      </c>
      <c r="AK6014">
        <v>0</v>
      </c>
    </row>
    <row r="6015" spans="32:37" x14ac:dyDescent="0.25">
      <c r="AF6015">
        <v>0</v>
      </c>
      <c r="AH6015">
        <v>0</v>
      </c>
      <c r="AK6015">
        <v>0</v>
      </c>
    </row>
    <row r="6016" spans="32:37" x14ac:dyDescent="0.25">
      <c r="AF6016">
        <v>0</v>
      </c>
      <c r="AH6016">
        <v>0</v>
      </c>
      <c r="AK6016">
        <v>0</v>
      </c>
    </row>
    <row r="6017" spans="32:37" x14ac:dyDescent="0.25">
      <c r="AF6017">
        <v>0</v>
      </c>
      <c r="AH6017">
        <v>0</v>
      </c>
      <c r="AK6017">
        <v>0</v>
      </c>
    </row>
    <row r="6018" spans="32:37" x14ac:dyDescent="0.25">
      <c r="AF6018">
        <v>0</v>
      </c>
      <c r="AH6018">
        <v>0</v>
      </c>
      <c r="AK6018">
        <v>0</v>
      </c>
    </row>
    <row r="6019" spans="32:37" x14ac:dyDescent="0.25">
      <c r="AF6019">
        <v>0</v>
      </c>
      <c r="AH6019">
        <v>0</v>
      </c>
      <c r="AK6019">
        <v>0</v>
      </c>
    </row>
    <row r="6020" spans="32:37" x14ac:dyDescent="0.25">
      <c r="AF6020">
        <v>0</v>
      </c>
      <c r="AH6020">
        <v>0</v>
      </c>
      <c r="AK6020">
        <v>0</v>
      </c>
    </row>
    <row r="6021" spans="32:37" x14ac:dyDescent="0.25">
      <c r="AF6021">
        <v>0</v>
      </c>
      <c r="AH6021">
        <v>0</v>
      </c>
      <c r="AK6021">
        <v>0</v>
      </c>
    </row>
    <row r="6022" spans="32:37" x14ac:dyDescent="0.25">
      <c r="AF6022">
        <v>0</v>
      </c>
      <c r="AH6022">
        <v>0</v>
      </c>
      <c r="AK6022">
        <v>0</v>
      </c>
    </row>
    <row r="6023" spans="32:37" x14ac:dyDescent="0.25">
      <c r="AF6023">
        <v>0</v>
      </c>
      <c r="AH6023">
        <v>0</v>
      </c>
      <c r="AK6023">
        <v>0</v>
      </c>
    </row>
    <row r="6024" spans="32:37" x14ac:dyDescent="0.25">
      <c r="AF6024">
        <v>0</v>
      </c>
      <c r="AH6024">
        <v>0</v>
      </c>
      <c r="AK6024">
        <v>0</v>
      </c>
    </row>
    <row r="6025" spans="32:37" x14ac:dyDescent="0.25">
      <c r="AF6025">
        <v>0</v>
      </c>
      <c r="AH6025">
        <v>0</v>
      </c>
      <c r="AK6025">
        <v>0</v>
      </c>
    </row>
    <row r="6026" spans="32:37" x14ac:dyDescent="0.25">
      <c r="AF6026">
        <v>0</v>
      </c>
      <c r="AH6026">
        <v>0</v>
      </c>
      <c r="AK6026">
        <v>0</v>
      </c>
    </row>
    <row r="6027" spans="32:37" x14ac:dyDescent="0.25">
      <c r="AF6027">
        <v>0</v>
      </c>
      <c r="AH6027">
        <v>0</v>
      </c>
      <c r="AK6027">
        <v>0</v>
      </c>
    </row>
    <row r="6028" spans="32:37" x14ac:dyDescent="0.25">
      <c r="AF6028">
        <v>0</v>
      </c>
      <c r="AH6028">
        <v>0</v>
      </c>
      <c r="AK6028">
        <v>0</v>
      </c>
    </row>
    <row r="6029" spans="32:37" x14ac:dyDescent="0.25">
      <c r="AF6029">
        <v>0</v>
      </c>
      <c r="AH6029">
        <v>0</v>
      </c>
      <c r="AK6029">
        <v>0</v>
      </c>
    </row>
    <row r="6030" spans="32:37" x14ac:dyDescent="0.25">
      <c r="AF6030">
        <v>0</v>
      </c>
      <c r="AH6030">
        <v>0</v>
      </c>
      <c r="AK6030">
        <v>0</v>
      </c>
    </row>
    <row r="6031" spans="32:37" x14ac:dyDescent="0.25">
      <c r="AF6031">
        <v>0</v>
      </c>
      <c r="AH6031">
        <v>0</v>
      </c>
      <c r="AK6031">
        <v>0</v>
      </c>
    </row>
    <row r="6032" spans="32:37" x14ac:dyDescent="0.25">
      <c r="AF6032">
        <v>0</v>
      </c>
      <c r="AH6032">
        <v>0</v>
      </c>
      <c r="AK6032">
        <v>0</v>
      </c>
    </row>
    <row r="6033" spans="32:37" x14ac:dyDescent="0.25">
      <c r="AF6033">
        <v>0</v>
      </c>
      <c r="AH6033">
        <v>0</v>
      </c>
      <c r="AK6033">
        <v>0</v>
      </c>
    </row>
    <row r="6034" spans="32:37" x14ac:dyDescent="0.25">
      <c r="AF6034">
        <v>0</v>
      </c>
      <c r="AH6034">
        <v>0</v>
      </c>
      <c r="AK6034">
        <v>0</v>
      </c>
    </row>
    <row r="6035" spans="32:37" x14ac:dyDescent="0.25">
      <c r="AF6035">
        <v>0</v>
      </c>
      <c r="AH6035">
        <v>0</v>
      </c>
      <c r="AK6035">
        <v>0</v>
      </c>
    </row>
    <row r="6036" spans="32:37" x14ac:dyDescent="0.25">
      <c r="AF6036">
        <v>0</v>
      </c>
      <c r="AH6036">
        <v>0</v>
      </c>
      <c r="AK6036">
        <v>0</v>
      </c>
    </row>
    <row r="6037" spans="32:37" x14ac:dyDescent="0.25">
      <c r="AF6037">
        <v>0</v>
      </c>
      <c r="AH6037">
        <v>0</v>
      </c>
      <c r="AK6037">
        <v>0</v>
      </c>
    </row>
    <row r="6038" spans="32:37" x14ac:dyDescent="0.25">
      <c r="AF6038">
        <v>0</v>
      </c>
      <c r="AH6038">
        <v>0</v>
      </c>
      <c r="AK6038">
        <v>0</v>
      </c>
    </row>
    <row r="6039" spans="32:37" x14ac:dyDescent="0.25">
      <c r="AF6039">
        <v>0</v>
      </c>
      <c r="AH6039">
        <v>0</v>
      </c>
      <c r="AK6039">
        <v>0</v>
      </c>
    </row>
    <row r="6040" spans="32:37" x14ac:dyDescent="0.25">
      <c r="AF6040">
        <v>0</v>
      </c>
      <c r="AH6040">
        <v>0</v>
      </c>
      <c r="AK6040">
        <v>0</v>
      </c>
    </row>
    <row r="6041" spans="32:37" x14ac:dyDescent="0.25">
      <c r="AF6041">
        <v>0</v>
      </c>
      <c r="AH6041">
        <v>0</v>
      </c>
      <c r="AK6041">
        <v>0</v>
      </c>
    </row>
    <row r="6042" spans="32:37" x14ac:dyDescent="0.25">
      <c r="AF6042">
        <v>0</v>
      </c>
      <c r="AH6042">
        <v>0</v>
      </c>
      <c r="AK6042">
        <v>0</v>
      </c>
    </row>
    <row r="6043" spans="32:37" x14ac:dyDescent="0.25">
      <c r="AF6043">
        <v>0</v>
      </c>
      <c r="AH6043">
        <v>0</v>
      </c>
      <c r="AK6043">
        <v>0</v>
      </c>
    </row>
    <row r="6044" spans="32:37" x14ac:dyDescent="0.25">
      <c r="AF6044">
        <v>0</v>
      </c>
      <c r="AH6044">
        <v>0</v>
      </c>
      <c r="AK6044">
        <v>0</v>
      </c>
    </row>
    <row r="6045" spans="32:37" x14ac:dyDescent="0.25">
      <c r="AF6045">
        <v>0</v>
      </c>
      <c r="AH6045">
        <v>0</v>
      </c>
      <c r="AK6045">
        <v>0</v>
      </c>
    </row>
    <row r="6046" spans="32:37" x14ac:dyDescent="0.25">
      <c r="AF6046">
        <v>0</v>
      </c>
      <c r="AH6046">
        <v>0</v>
      </c>
      <c r="AK6046">
        <v>0</v>
      </c>
    </row>
    <row r="6047" spans="32:37" x14ac:dyDescent="0.25">
      <c r="AF6047">
        <v>0</v>
      </c>
      <c r="AH6047">
        <v>0</v>
      </c>
      <c r="AK6047">
        <v>0</v>
      </c>
    </row>
    <row r="6048" spans="32:37" x14ac:dyDescent="0.25">
      <c r="AF6048">
        <v>0</v>
      </c>
      <c r="AH6048">
        <v>0</v>
      </c>
      <c r="AK6048">
        <v>0</v>
      </c>
    </row>
    <row r="6049" spans="32:37" x14ac:dyDescent="0.25">
      <c r="AF6049">
        <v>0</v>
      </c>
      <c r="AH6049">
        <v>0</v>
      </c>
      <c r="AK6049">
        <v>0</v>
      </c>
    </row>
    <row r="6050" spans="32:37" x14ac:dyDescent="0.25">
      <c r="AF6050">
        <v>0</v>
      </c>
      <c r="AH6050">
        <v>0</v>
      </c>
      <c r="AK6050">
        <v>0</v>
      </c>
    </row>
    <row r="6051" spans="32:37" x14ac:dyDescent="0.25">
      <c r="AF6051">
        <v>0</v>
      </c>
      <c r="AH6051">
        <v>0</v>
      </c>
      <c r="AK6051">
        <v>0</v>
      </c>
    </row>
    <row r="6052" spans="32:37" x14ac:dyDescent="0.25">
      <c r="AF6052">
        <v>0</v>
      </c>
      <c r="AH6052">
        <v>0</v>
      </c>
      <c r="AK6052">
        <v>0</v>
      </c>
    </row>
    <row r="6053" spans="32:37" x14ac:dyDescent="0.25">
      <c r="AF6053">
        <v>0</v>
      </c>
      <c r="AH6053">
        <v>0</v>
      </c>
      <c r="AK6053">
        <v>0</v>
      </c>
    </row>
    <row r="6054" spans="32:37" x14ac:dyDescent="0.25">
      <c r="AF6054">
        <v>0</v>
      </c>
      <c r="AH6054">
        <v>0</v>
      </c>
      <c r="AK6054">
        <v>0</v>
      </c>
    </row>
    <row r="6055" spans="32:37" x14ac:dyDescent="0.25">
      <c r="AF6055">
        <v>0</v>
      </c>
      <c r="AH6055">
        <v>0</v>
      </c>
      <c r="AK6055">
        <v>0</v>
      </c>
    </row>
    <row r="6056" spans="32:37" x14ac:dyDescent="0.25">
      <c r="AF6056">
        <v>0</v>
      </c>
      <c r="AH6056">
        <v>0</v>
      </c>
      <c r="AK6056">
        <v>0</v>
      </c>
    </row>
    <row r="6057" spans="32:37" x14ac:dyDescent="0.25">
      <c r="AF6057">
        <v>0</v>
      </c>
      <c r="AH6057">
        <v>0</v>
      </c>
      <c r="AK6057">
        <v>0</v>
      </c>
    </row>
    <row r="6058" spans="32:37" x14ac:dyDescent="0.25">
      <c r="AF6058">
        <v>0</v>
      </c>
      <c r="AH6058">
        <v>0</v>
      </c>
      <c r="AK6058">
        <v>0</v>
      </c>
    </row>
    <row r="6059" spans="32:37" x14ac:dyDescent="0.25">
      <c r="AF6059">
        <v>0</v>
      </c>
      <c r="AH6059">
        <v>0</v>
      </c>
      <c r="AK6059">
        <v>0</v>
      </c>
    </row>
    <row r="6060" spans="32:37" x14ac:dyDescent="0.25">
      <c r="AF6060">
        <v>0</v>
      </c>
      <c r="AH6060">
        <v>0</v>
      </c>
      <c r="AK6060">
        <v>0</v>
      </c>
    </row>
    <row r="6061" spans="32:37" x14ac:dyDescent="0.25">
      <c r="AF6061">
        <v>0</v>
      </c>
      <c r="AH6061">
        <v>0</v>
      </c>
      <c r="AK6061">
        <v>0</v>
      </c>
    </row>
    <row r="6062" spans="32:37" x14ac:dyDescent="0.25">
      <c r="AF6062">
        <v>0</v>
      </c>
      <c r="AH6062">
        <v>0</v>
      </c>
      <c r="AK6062">
        <v>0</v>
      </c>
    </row>
    <row r="6063" spans="32:37" x14ac:dyDescent="0.25">
      <c r="AF6063">
        <v>0</v>
      </c>
      <c r="AH6063">
        <v>0</v>
      </c>
      <c r="AK6063">
        <v>0</v>
      </c>
    </row>
    <row r="6064" spans="32:37" x14ac:dyDescent="0.25">
      <c r="AF6064">
        <v>0</v>
      </c>
      <c r="AH6064">
        <v>0</v>
      </c>
      <c r="AK6064">
        <v>0</v>
      </c>
    </row>
    <row r="6065" spans="32:37" x14ac:dyDescent="0.25">
      <c r="AF6065">
        <v>0</v>
      </c>
      <c r="AH6065">
        <v>0</v>
      </c>
      <c r="AK6065">
        <v>0</v>
      </c>
    </row>
    <row r="6066" spans="32:37" x14ac:dyDescent="0.25">
      <c r="AF6066">
        <v>0</v>
      </c>
      <c r="AH6066">
        <v>0</v>
      </c>
      <c r="AK6066">
        <v>0</v>
      </c>
    </row>
    <row r="6067" spans="32:37" x14ac:dyDescent="0.25">
      <c r="AF6067">
        <v>0</v>
      </c>
      <c r="AH6067">
        <v>0</v>
      </c>
      <c r="AK6067">
        <v>0</v>
      </c>
    </row>
    <row r="6068" spans="32:37" x14ac:dyDescent="0.25">
      <c r="AF6068">
        <v>0</v>
      </c>
      <c r="AH6068">
        <v>0</v>
      </c>
      <c r="AK6068">
        <v>0</v>
      </c>
    </row>
    <row r="6069" spans="32:37" x14ac:dyDescent="0.25">
      <c r="AF6069">
        <v>0</v>
      </c>
      <c r="AH6069">
        <v>0</v>
      </c>
      <c r="AK6069">
        <v>0</v>
      </c>
    </row>
    <row r="6070" spans="32:37" x14ac:dyDescent="0.25">
      <c r="AF6070">
        <v>0</v>
      </c>
      <c r="AH6070">
        <v>0</v>
      </c>
      <c r="AK6070">
        <v>0</v>
      </c>
    </row>
    <row r="6071" spans="32:37" x14ac:dyDescent="0.25">
      <c r="AF6071">
        <v>0</v>
      </c>
      <c r="AH6071">
        <v>0</v>
      </c>
      <c r="AK6071">
        <v>0</v>
      </c>
    </row>
    <row r="6072" spans="32:37" x14ac:dyDescent="0.25">
      <c r="AF6072">
        <v>0</v>
      </c>
      <c r="AH6072">
        <v>0</v>
      </c>
      <c r="AK6072">
        <v>0</v>
      </c>
    </row>
    <row r="6073" spans="32:37" x14ac:dyDescent="0.25">
      <c r="AF6073">
        <v>0</v>
      </c>
      <c r="AH6073">
        <v>0</v>
      </c>
      <c r="AK6073">
        <v>0</v>
      </c>
    </row>
    <row r="6074" spans="32:37" x14ac:dyDescent="0.25">
      <c r="AF6074">
        <v>0</v>
      </c>
      <c r="AH6074">
        <v>0</v>
      </c>
      <c r="AK6074">
        <v>0</v>
      </c>
    </row>
    <row r="6075" spans="32:37" x14ac:dyDescent="0.25">
      <c r="AF6075">
        <v>0</v>
      </c>
      <c r="AH6075">
        <v>0</v>
      </c>
      <c r="AK6075">
        <v>0</v>
      </c>
    </row>
    <row r="6076" spans="32:37" x14ac:dyDescent="0.25">
      <c r="AF6076">
        <v>0</v>
      </c>
      <c r="AH6076">
        <v>0</v>
      </c>
      <c r="AK6076">
        <v>0</v>
      </c>
    </row>
    <row r="6077" spans="32:37" x14ac:dyDescent="0.25">
      <c r="AF6077">
        <v>0</v>
      </c>
      <c r="AH6077">
        <v>0</v>
      </c>
      <c r="AK6077">
        <v>0</v>
      </c>
    </row>
    <row r="6078" spans="32:37" x14ac:dyDescent="0.25">
      <c r="AF6078">
        <v>0</v>
      </c>
      <c r="AH6078">
        <v>0</v>
      </c>
      <c r="AK6078">
        <v>0</v>
      </c>
    </row>
    <row r="6079" spans="32:37" x14ac:dyDescent="0.25">
      <c r="AF6079">
        <v>0</v>
      </c>
      <c r="AH6079">
        <v>0</v>
      </c>
      <c r="AK6079">
        <v>0</v>
      </c>
    </row>
    <row r="6080" spans="32:37" x14ac:dyDescent="0.25">
      <c r="AF6080">
        <v>0</v>
      </c>
      <c r="AH6080">
        <v>0</v>
      </c>
      <c r="AK6080">
        <v>0</v>
      </c>
    </row>
    <row r="6081" spans="32:37" x14ac:dyDescent="0.25">
      <c r="AF6081">
        <v>0</v>
      </c>
      <c r="AH6081">
        <v>0</v>
      </c>
      <c r="AK6081">
        <v>0</v>
      </c>
    </row>
    <row r="6082" spans="32:37" x14ac:dyDescent="0.25">
      <c r="AF6082">
        <v>0</v>
      </c>
      <c r="AH6082">
        <v>0</v>
      </c>
      <c r="AK6082">
        <v>0</v>
      </c>
    </row>
    <row r="6083" spans="32:37" x14ac:dyDescent="0.25">
      <c r="AF6083">
        <v>0</v>
      </c>
      <c r="AH6083">
        <v>0</v>
      </c>
      <c r="AK6083">
        <v>0</v>
      </c>
    </row>
    <row r="6084" spans="32:37" x14ac:dyDescent="0.25">
      <c r="AF6084">
        <v>0</v>
      </c>
      <c r="AH6084">
        <v>0</v>
      </c>
      <c r="AK6084">
        <v>0</v>
      </c>
    </row>
    <row r="6085" spans="32:37" x14ac:dyDescent="0.25">
      <c r="AF6085">
        <v>0</v>
      </c>
      <c r="AH6085">
        <v>0</v>
      </c>
      <c r="AK6085">
        <v>0</v>
      </c>
    </row>
    <row r="6086" spans="32:37" x14ac:dyDescent="0.25">
      <c r="AF6086">
        <v>0</v>
      </c>
      <c r="AH6086">
        <v>0</v>
      </c>
      <c r="AK6086">
        <v>0</v>
      </c>
    </row>
    <row r="6087" spans="32:37" x14ac:dyDescent="0.25">
      <c r="AF6087">
        <v>0</v>
      </c>
      <c r="AH6087">
        <v>0</v>
      </c>
      <c r="AK6087">
        <v>0</v>
      </c>
    </row>
    <row r="6088" spans="32:37" x14ac:dyDescent="0.25">
      <c r="AF6088">
        <v>0</v>
      </c>
      <c r="AH6088">
        <v>0</v>
      </c>
      <c r="AK6088">
        <v>0</v>
      </c>
    </row>
    <row r="6089" spans="32:37" x14ac:dyDescent="0.25">
      <c r="AF6089">
        <v>0</v>
      </c>
      <c r="AH6089">
        <v>0</v>
      </c>
      <c r="AK6089">
        <v>0</v>
      </c>
    </row>
    <row r="6090" spans="32:37" x14ac:dyDescent="0.25">
      <c r="AF6090">
        <v>0</v>
      </c>
      <c r="AH6090">
        <v>0</v>
      </c>
      <c r="AK6090">
        <v>0</v>
      </c>
    </row>
    <row r="6091" spans="32:37" x14ac:dyDescent="0.25">
      <c r="AF6091">
        <v>0</v>
      </c>
      <c r="AH6091">
        <v>0</v>
      </c>
      <c r="AK6091">
        <v>0</v>
      </c>
    </row>
    <row r="6092" spans="32:37" x14ac:dyDescent="0.25">
      <c r="AF6092">
        <v>0</v>
      </c>
      <c r="AH6092">
        <v>0</v>
      </c>
      <c r="AK6092">
        <v>0</v>
      </c>
    </row>
    <row r="6093" spans="32:37" x14ac:dyDescent="0.25">
      <c r="AF6093">
        <v>0</v>
      </c>
      <c r="AH6093">
        <v>0</v>
      </c>
      <c r="AK6093">
        <v>0</v>
      </c>
    </row>
    <row r="6094" spans="32:37" x14ac:dyDescent="0.25">
      <c r="AF6094">
        <v>0</v>
      </c>
      <c r="AH6094">
        <v>0</v>
      </c>
      <c r="AK6094">
        <v>0</v>
      </c>
    </row>
    <row r="6095" spans="32:37" x14ac:dyDescent="0.25">
      <c r="AF6095">
        <v>0</v>
      </c>
      <c r="AH6095">
        <v>0</v>
      </c>
      <c r="AK6095">
        <v>0</v>
      </c>
    </row>
    <row r="6096" spans="32:37" x14ac:dyDescent="0.25">
      <c r="AF6096">
        <v>0</v>
      </c>
      <c r="AH6096">
        <v>0</v>
      </c>
      <c r="AK6096">
        <v>0</v>
      </c>
    </row>
    <row r="6097" spans="32:37" x14ac:dyDescent="0.25">
      <c r="AF6097">
        <v>0</v>
      </c>
      <c r="AH6097">
        <v>0</v>
      </c>
      <c r="AK6097">
        <v>0</v>
      </c>
    </row>
    <row r="6098" spans="32:37" x14ac:dyDescent="0.25">
      <c r="AF6098">
        <v>0</v>
      </c>
      <c r="AH6098">
        <v>0</v>
      </c>
      <c r="AK6098">
        <v>0</v>
      </c>
    </row>
    <row r="6099" spans="32:37" x14ac:dyDescent="0.25">
      <c r="AF6099">
        <v>0</v>
      </c>
      <c r="AH6099">
        <v>0</v>
      </c>
      <c r="AK6099">
        <v>0</v>
      </c>
    </row>
    <row r="6100" spans="32:37" x14ac:dyDescent="0.25">
      <c r="AF6100">
        <v>0</v>
      </c>
      <c r="AH6100">
        <v>0</v>
      </c>
      <c r="AK6100">
        <v>0</v>
      </c>
    </row>
    <row r="6101" spans="32:37" x14ac:dyDescent="0.25">
      <c r="AF6101">
        <v>0</v>
      </c>
      <c r="AH6101">
        <v>0</v>
      </c>
      <c r="AK6101">
        <v>0</v>
      </c>
    </row>
    <row r="6102" spans="32:37" x14ac:dyDescent="0.25">
      <c r="AF6102">
        <v>0</v>
      </c>
      <c r="AH6102">
        <v>0</v>
      </c>
      <c r="AK6102">
        <v>0</v>
      </c>
    </row>
    <row r="6103" spans="32:37" x14ac:dyDescent="0.25">
      <c r="AF6103">
        <v>0</v>
      </c>
      <c r="AH6103">
        <v>0</v>
      </c>
      <c r="AK6103">
        <v>0</v>
      </c>
    </row>
    <row r="6104" spans="32:37" x14ac:dyDescent="0.25">
      <c r="AF6104">
        <v>0</v>
      </c>
      <c r="AH6104">
        <v>0</v>
      </c>
      <c r="AK6104">
        <v>0</v>
      </c>
    </row>
    <row r="6105" spans="32:37" x14ac:dyDescent="0.25">
      <c r="AF6105">
        <v>0</v>
      </c>
      <c r="AH6105">
        <v>0</v>
      </c>
      <c r="AK6105">
        <v>0</v>
      </c>
    </row>
    <row r="6106" spans="32:37" x14ac:dyDescent="0.25">
      <c r="AF6106">
        <v>0</v>
      </c>
      <c r="AH6106">
        <v>0</v>
      </c>
      <c r="AK6106">
        <v>0</v>
      </c>
    </row>
    <row r="6107" spans="32:37" x14ac:dyDescent="0.25">
      <c r="AF6107">
        <v>0</v>
      </c>
      <c r="AH6107">
        <v>0</v>
      </c>
      <c r="AK6107">
        <v>0</v>
      </c>
    </row>
    <row r="6108" spans="32:37" x14ac:dyDescent="0.25">
      <c r="AF6108">
        <v>0</v>
      </c>
      <c r="AH6108">
        <v>0</v>
      </c>
      <c r="AK6108">
        <v>0</v>
      </c>
    </row>
    <row r="6109" spans="32:37" x14ac:dyDescent="0.25">
      <c r="AF6109">
        <v>0</v>
      </c>
      <c r="AH6109">
        <v>0</v>
      </c>
      <c r="AK6109">
        <v>0</v>
      </c>
    </row>
    <row r="6110" spans="32:37" x14ac:dyDescent="0.25">
      <c r="AF6110">
        <v>0</v>
      </c>
      <c r="AH6110">
        <v>0</v>
      </c>
      <c r="AK6110">
        <v>0</v>
      </c>
    </row>
    <row r="6111" spans="32:37" x14ac:dyDescent="0.25">
      <c r="AF6111">
        <v>0</v>
      </c>
      <c r="AH6111">
        <v>0</v>
      </c>
      <c r="AK6111">
        <v>0</v>
      </c>
    </row>
    <row r="6112" spans="32:37" x14ac:dyDescent="0.25">
      <c r="AF6112">
        <v>0</v>
      </c>
      <c r="AH6112">
        <v>0</v>
      </c>
      <c r="AK6112">
        <v>0</v>
      </c>
    </row>
    <row r="6113" spans="32:37" x14ac:dyDescent="0.25">
      <c r="AF6113">
        <v>0</v>
      </c>
      <c r="AH6113">
        <v>0</v>
      </c>
      <c r="AK6113">
        <v>0</v>
      </c>
    </row>
    <row r="6114" spans="32:37" x14ac:dyDescent="0.25">
      <c r="AF6114">
        <v>0</v>
      </c>
      <c r="AH6114">
        <v>0</v>
      </c>
      <c r="AK6114">
        <v>0</v>
      </c>
    </row>
    <row r="6115" spans="32:37" x14ac:dyDescent="0.25">
      <c r="AF6115">
        <v>0</v>
      </c>
      <c r="AH6115">
        <v>0</v>
      </c>
      <c r="AK6115">
        <v>0</v>
      </c>
    </row>
    <row r="6116" spans="32:37" x14ac:dyDescent="0.25">
      <c r="AF6116">
        <v>0</v>
      </c>
      <c r="AH6116">
        <v>0</v>
      </c>
      <c r="AK6116">
        <v>0</v>
      </c>
    </row>
    <row r="6117" spans="32:37" x14ac:dyDescent="0.25">
      <c r="AF6117">
        <v>0</v>
      </c>
      <c r="AH6117">
        <v>0</v>
      </c>
      <c r="AK6117">
        <v>0</v>
      </c>
    </row>
    <row r="6118" spans="32:37" x14ac:dyDescent="0.25">
      <c r="AF6118">
        <v>0</v>
      </c>
      <c r="AH6118">
        <v>0</v>
      </c>
      <c r="AK6118">
        <v>0</v>
      </c>
    </row>
    <row r="6119" spans="32:37" x14ac:dyDescent="0.25">
      <c r="AF6119">
        <v>0</v>
      </c>
      <c r="AH6119">
        <v>0</v>
      </c>
      <c r="AK6119">
        <v>0</v>
      </c>
    </row>
    <row r="6120" spans="32:37" x14ac:dyDescent="0.25">
      <c r="AF6120">
        <v>0</v>
      </c>
      <c r="AH6120">
        <v>0</v>
      </c>
      <c r="AK6120">
        <v>0</v>
      </c>
    </row>
    <row r="6121" spans="32:37" x14ac:dyDescent="0.25">
      <c r="AF6121">
        <v>0</v>
      </c>
      <c r="AH6121">
        <v>0</v>
      </c>
      <c r="AK6121">
        <v>0</v>
      </c>
    </row>
    <row r="6122" spans="32:37" x14ac:dyDescent="0.25">
      <c r="AF6122">
        <v>0</v>
      </c>
      <c r="AH6122">
        <v>0</v>
      </c>
      <c r="AK6122">
        <v>0</v>
      </c>
    </row>
    <row r="6123" spans="32:37" x14ac:dyDescent="0.25">
      <c r="AF6123">
        <v>0</v>
      </c>
      <c r="AH6123">
        <v>0</v>
      </c>
      <c r="AK6123">
        <v>0</v>
      </c>
    </row>
    <row r="6124" spans="32:37" x14ac:dyDescent="0.25">
      <c r="AF6124">
        <v>0</v>
      </c>
      <c r="AH6124">
        <v>0</v>
      </c>
      <c r="AK6124">
        <v>0</v>
      </c>
    </row>
    <row r="6125" spans="32:37" x14ac:dyDescent="0.25">
      <c r="AF6125">
        <v>0</v>
      </c>
      <c r="AH6125">
        <v>0</v>
      </c>
      <c r="AK6125">
        <v>0</v>
      </c>
    </row>
    <row r="6126" spans="32:37" x14ac:dyDescent="0.25">
      <c r="AF6126">
        <v>0</v>
      </c>
      <c r="AH6126">
        <v>0</v>
      </c>
      <c r="AK6126">
        <v>0</v>
      </c>
    </row>
    <row r="6127" spans="32:37" x14ac:dyDescent="0.25">
      <c r="AF6127">
        <v>0</v>
      </c>
      <c r="AH6127">
        <v>0</v>
      </c>
      <c r="AK6127">
        <v>0</v>
      </c>
    </row>
    <row r="6128" spans="32:37" x14ac:dyDescent="0.25">
      <c r="AF6128">
        <v>0</v>
      </c>
      <c r="AH6128">
        <v>0</v>
      </c>
      <c r="AK6128">
        <v>0</v>
      </c>
    </row>
    <row r="6129" spans="32:37" x14ac:dyDescent="0.25">
      <c r="AF6129">
        <v>0</v>
      </c>
      <c r="AH6129">
        <v>0</v>
      </c>
      <c r="AK6129">
        <v>0</v>
      </c>
    </row>
    <row r="6130" spans="32:37" x14ac:dyDescent="0.25">
      <c r="AF6130">
        <v>0</v>
      </c>
      <c r="AH6130">
        <v>0</v>
      </c>
      <c r="AK6130">
        <v>0</v>
      </c>
    </row>
    <row r="6131" spans="32:37" x14ac:dyDescent="0.25">
      <c r="AF6131">
        <v>0</v>
      </c>
      <c r="AH6131">
        <v>0</v>
      </c>
      <c r="AK6131">
        <v>0</v>
      </c>
    </row>
    <row r="6132" spans="32:37" x14ac:dyDescent="0.25">
      <c r="AF6132">
        <v>0</v>
      </c>
      <c r="AH6132">
        <v>0</v>
      </c>
      <c r="AK6132">
        <v>0</v>
      </c>
    </row>
    <row r="6133" spans="32:37" x14ac:dyDescent="0.25">
      <c r="AF6133">
        <v>0</v>
      </c>
      <c r="AH6133">
        <v>0</v>
      </c>
      <c r="AK6133">
        <v>0</v>
      </c>
    </row>
    <row r="6134" spans="32:37" x14ac:dyDescent="0.25">
      <c r="AF6134">
        <v>0</v>
      </c>
      <c r="AH6134">
        <v>0</v>
      </c>
      <c r="AK6134">
        <v>0</v>
      </c>
    </row>
    <row r="6135" spans="32:37" x14ac:dyDescent="0.25">
      <c r="AF6135">
        <v>0</v>
      </c>
      <c r="AH6135">
        <v>0</v>
      </c>
      <c r="AK6135">
        <v>0</v>
      </c>
    </row>
    <row r="6136" spans="32:37" x14ac:dyDescent="0.25">
      <c r="AF6136">
        <v>0</v>
      </c>
      <c r="AH6136">
        <v>0</v>
      </c>
      <c r="AK6136">
        <v>0</v>
      </c>
    </row>
    <row r="6137" spans="32:37" x14ac:dyDescent="0.25">
      <c r="AF6137">
        <v>0</v>
      </c>
      <c r="AH6137">
        <v>0</v>
      </c>
      <c r="AK6137">
        <v>0</v>
      </c>
    </row>
    <row r="6138" spans="32:37" x14ac:dyDescent="0.25">
      <c r="AF6138">
        <v>0</v>
      </c>
      <c r="AH6138">
        <v>0</v>
      </c>
      <c r="AK6138">
        <v>0</v>
      </c>
    </row>
    <row r="6139" spans="32:37" x14ac:dyDescent="0.25">
      <c r="AF6139">
        <v>0</v>
      </c>
      <c r="AH6139">
        <v>0</v>
      </c>
      <c r="AK6139">
        <v>0</v>
      </c>
    </row>
    <row r="6140" spans="32:37" x14ac:dyDescent="0.25">
      <c r="AF6140">
        <v>0</v>
      </c>
      <c r="AH6140">
        <v>0</v>
      </c>
      <c r="AK6140">
        <v>0</v>
      </c>
    </row>
    <row r="6141" spans="32:37" x14ac:dyDescent="0.25">
      <c r="AF6141">
        <v>0</v>
      </c>
      <c r="AH6141">
        <v>0</v>
      </c>
      <c r="AK6141">
        <v>0</v>
      </c>
    </row>
    <row r="6142" spans="32:37" x14ac:dyDescent="0.25">
      <c r="AF6142">
        <v>0</v>
      </c>
      <c r="AH6142">
        <v>0</v>
      </c>
      <c r="AK6142">
        <v>0</v>
      </c>
    </row>
    <row r="6143" spans="32:37" x14ac:dyDescent="0.25">
      <c r="AF6143">
        <v>0</v>
      </c>
      <c r="AH6143">
        <v>0</v>
      </c>
      <c r="AK6143">
        <v>0</v>
      </c>
    </row>
    <row r="6144" spans="32:37" x14ac:dyDescent="0.25">
      <c r="AF6144">
        <v>0</v>
      </c>
      <c r="AH6144">
        <v>0</v>
      </c>
      <c r="AK6144">
        <v>0</v>
      </c>
    </row>
    <row r="6145" spans="32:37" x14ac:dyDescent="0.25">
      <c r="AF6145">
        <v>0</v>
      </c>
      <c r="AH6145">
        <v>0</v>
      </c>
      <c r="AK6145">
        <v>0</v>
      </c>
    </row>
    <row r="6146" spans="32:37" x14ac:dyDescent="0.25">
      <c r="AF6146">
        <v>0</v>
      </c>
      <c r="AH6146">
        <v>0</v>
      </c>
      <c r="AK6146">
        <v>0</v>
      </c>
    </row>
    <row r="6147" spans="32:37" x14ac:dyDescent="0.25">
      <c r="AF6147">
        <v>0</v>
      </c>
      <c r="AH6147">
        <v>0</v>
      </c>
      <c r="AK6147">
        <v>0</v>
      </c>
    </row>
    <row r="6148" spans="32:37" x14ac:dyDescent="0.25">
      <c r="AF6148">
        <v>0</v>
      </c>
      <c r="AH6148">
        <v>0</v>
      </c>
      <c r="AK6148">
        <v>0</v>
      </c>
    </row>
    <row r="6149" spans="32:37" x14ac:dyDescent="0.25">
      <c r="AF6149">
        <v>0</v>
      </c>
      <c r="AH6149">
        <v>0</v>
      </c>
      <c r="AK6149">
        <v>0</v>
      </c>
    </row>
    <row r="6150" spans="32:37" x14ac:dyDescent="0.25">
      <c r="AF6150">
        <v>0</v>
      </c>
      <c r="AH6150">
        <v>0</v>
      </c>
      <c r="AK6150">
        <v>0</v>
      </c>
    </row>
    <row r="6151" spans="32:37" x14ac:dyDescent="0.25">
      <c r="AF6151">
        <v>0</v>
      </c>
      <c r="AH6151">
        <v>0</v>
      </c>
      <c r="AK6151">
        <v>0</v>
      </c>
    </row>
    <row r="6152" spans="32:37" x14ac:dyDescent="0.25">
      <c r="AF6152">
        <v>0</v>
      </c>
      <c r="AH6152">
        <v>0</v>
      </c>
      <c r="AK6152">
        <v>0</v>
      </c>
    </row>
    <row r="6153" spans="32:37" x14ac:dyDescent="0.25">
      <c r="AF6153">
        <v>0</v>
      </c>
      <c r="AH6153">
        <v>0</v>
      </c>
      <c r="AK6153">
        <v>0</v>
      </c>
    </row>
    <row r="6154" spans="32:37" x14ac:dyDescent="0.25">
      <c r="AF6154">
        <v>0</v>
      </c>
      <c r="AH6154">
        <v>0</v>
      </c>
      <c r="AK6154">
        <v>0</v>
      </c>
    </row>
    <row r="6155" spans="32:37" x14ac:dyDescent="0.25">
      <c r="AF6155">
        <v>0</v>
      </c>
      <c r="AH6155">
        <v>0</v>
      </c>
      <c r="AK6155">
        <v>0</v>
      </c>
    </row>
    <row r="6156" spans="32:37" x14ac:dyDescent="0.25">
      <c r="AF6156">
        <v>0</v>
      </c>
      <c r="AH6156">
        <v>0</v>
      </c>
      <c r="AK6156">
        <v>0</v>
      </c>
    </row>
    <row r="6157" spans="32:37" x14ac:dyDescent="0.25">
      <c r="AF6157">
        <v>0</v>
      </c>
      <c r="AH6157">
        <v>0</v>
      </c>
      <c r="AK6157">
        <v>0</v>
      </c>
    </row>
    <row r="6158" spans="32:37" x14ac:dyDescent="0.25">
      <c r="AF6158">
        <v>0</v>
      </c>
      <c r="AH6158">
        <v>0</v>
      </c>
      <c r="AK6158">
        <v>0</v>
      </c>
    </row>
    <row r="6159" spans="32:37" x14ac:dyDescent="0.25">
      <c r="AF6159">
        <v>0</v>
      </c>
      <c r="AH6159">
        <v>0</v>
      </c>
      <c r="AK6159">
        <v>0</v>
      </c>
    </row>
    <row r="6160" spans="32:37" x14ac:dyDescent="0.25">
      <c r="AF6160">
        <v>0</v>
      </c>
      <c r="AH6160">
        <v>0</v>
      </c>
      <c r="AK6160">
        <v>0</v>
      </c>
    </row>
    <row r="6161" spans="32:37" x14ac:dyDescent="0.25">
      <c r="AF6161">
        <v>0</v>
      </c>
      <c r="AH6161">
        <v>0</v>
      </c>
      <c r="AK6161">
        <v>0</v>
      </c>
    </row>
    <row r="6162" spans="32:37" x14ac:dyDescent="0.25">
      <c r="AF6162">
        <v>0</v>
      </c>
      <c r="AH6162">
        <v>0</v>
      </c>
      <c r="AK6162">
        <v>0</v>
      </c>
    </row>
    <row r="6163" spans="32:37" x14ac:dyDescent="0.25">
      <c r="AF6163">
        <v>0</v>
      </c>
      <c r="AH6163">
        <v>0</v>
      </c>
      <c r="AK6163">
        <v>0</v>
      </c>
    </row>
    <row r="6164" spans="32:37" x14ac:dyDescent="0.25">
      <c r="AF6164">
        <v>0</v>
      </c>
      <c r="AH6164">
        <v>0</v>
      </c>
      <c r="AK6164">
        <v>0</v>
      </c>
    </row>
    <row r="6165" spans="32:37" x14ac:dyDescent="0.25">
      <c r="AF6165">
        <v>0</v>
      </c>
      <c r="AH6165">
        <v>0</v>
      </c>
      <c r="AK6165">
        <v>0</v>
      </c>
    </row>
    <row r="6166" spans="32:37" x14ac:dyDescent="0.25">
      <c r="AF6166">
        <v>0</v>
      </c>
      <c r="AH6166">
        <v>0</v>
      </c>
      <c r="AK6166">
        <v>0</v>
      </c>
    </row>
    <row r="6167" spans="32:37" x14ac:dyDescent="0.25">
      <c r="AF6167">
        <v>0</v>
      </c>
      <c r="AH6167">
        <v>0</v>
      </c>
      <c r="AK6167">
        <v>0</v>
      </c>
    </row>
    <row r="6168" spans="32:37" x14ac:dyDescent="0.25">
      <c r="AF6168">
        <v>0</v>
      </c>
      <c r="AH6168">
        <v>0</v>
      </c>
      <c r="AK6168">
        <v>0</v>
      </c>
    </row>
    <row r="6169" spans="32:37" x14ac:dyDescent="0.25">
      <c r="AF6169">
        <v>0</v>
      </c>
      <c r="AH6169">
        <v>0</v>
      </c>
      <c r="AK6169">
        <v>0</v>
      </c>
    </row>
    <row r="6170" spans="32:37" x14ac:dyDescent="0.25">
      <c r="AF6170">
        <v>0</v>
      </c>
      <c r="AH6170">
        <v>0</v>
      </c>
      <c r="AK6170">
        <v>0</v>
      </c>
    </row>
    <row r="6171" spans="32:37" x14ac:dyDescent="0.25">
      <c r="AF6171">
        <v>0</v>
      </c>
      <c r="AH6171">
        <v>0</v>
      </c>
      <c r="AK6171">
        <v>0</v>
      </c>
    </row>
    <row r="6172" spans="32:37" x14ac:dyDescent="0.25">
      <c r="AF6172">
        <v>0</v>
      </c>
      <c r="AH6172">
        <v>0</v>
      </c>
      <c r="AK6172">
        <v>0</v>
      </c>
    </row>
    <row r="6173" spans="32:37" x14ac:dyDescent="0.25">
      <c r="AF6173">
        <v>0</v>
      </c>
      <c r="AH6173">
        <v>0</v>
      </c>
      <c r="AK6173">
        <v>0</v>
      </c>
    </row>
    <row r="6174" spans="32:37" x14ac:dyDescent="0.25">
      <c r="AF6174">
        <v>0</v>
      </c>
      <c r="AH6174">
        <v>0</v>
      </c>
      <c r="AK6174">
        <v>0</v>
      </c>
    </row>
    <row r="6175" spans="32:37" x14ac:dyDescent="0.25">
      <c r="AF6175">
        <v>0</v>
      </c>
      <c r="AH6175">
        <v>0</v>
      </c>
      <c r="AK6175">
        <v>0</v>
      </c>
    </row>
    <row r="6176" spans="32:37" x14ac:dyDescent="0.25">
      <c r="AF6176">
        <v>0</v>
      </c>
      <c r="AH6176">
        <v>0</v>
      </c>
      <c r="AK6176">
        <v>0</v>
      </c>
    </row>
    <row r="6177" spans="32:37" x14ac:dyDescent="0.25">
      <c r="AF6177">
        <v>0</v>
      </c>
      <c r="AH6177">
        <v>0</v>
      </c>
      <c r="AK6177">
        <v>0</v>
      </c>
    </row>
    <row r="6178" spans="32:37" x14ac:dyDescent="0.25">
      <c r="AF6178">
        <v>0</v>
      </c>
      <c r="AH6178">
        <v>0</v>
      </c>
      <c r="AK6178">
        <v>0</v>
      </c>
    </row>
    <row r="6179" spans="32:37" x14ac:dyDescent="0.25">
      <c r="AF6179">
        <v>0</v>
      </c>
      <c r="AH6179">
        <v>0</v>
      </c>
      <c r="AK6179">
        <v>0</v>
      </c>
    </row>
    <row r="6180" spans="32:37" x14ac:dyDescent="0.25">
      <c r="AF6180">
        <v>0</v>
      </c>
      <c r="AH6180">
        <v>0</v>
      </c>
      <c r="AK6180">
        <v>0</v>
      </c>
    </row>
    <row r="6181" spans="32:37" x14ac:dyDescent="0.25">
      <c r="AF6181">
        <v>0</v>
      </c>
      <c r="AH6181">
        <v>0</v>
      </c>
      <c r="AK6181">
        <v>0</v>
      </c>
    </row>
    <row r="6182" spans="32:37" x14ac:dyDescent="0.25">
      <c r="AF6182">
        <v>0</v>
      </c>
      <c r="AH6182">
        <v>0</v>
      </c>
      <c r="AK6182">
        <v>0</v>
      </c>
    </row>
    <row r="6183" spans="32:37" x14ac:dyDescent="0.25">
      <c r="AF6183">
        <v>0</v>
      </c>
      <c r="AH6183">
        <v>0</v>
      </c>
      <c r="AK6183">
        <v>0</v>
      </c>
    </row>
    <row r="6184" spans="32:37" x14ac:dyDescent="0.25">
      <c r="AF6184">
        <v>0</v>
      </c>
      <c r="AH6184">
        <v>0</v>
      </c>
      <c r="AK6184">
        <v>0</v>
      </c>
    </row>
    <row r="6185" spans="32:37" x14ac:dyDescent="0.25">
      <c r="AF6185">
        <v>0</v>
      </c>
      <c r="AH6185">
        <v>0</v>
      </c>
      <c r="AK6185">
        <v>0</v>
      </c>
    </row>
    <row r="6186" spans="32:37" x14ac:dyDescent="0.25">
      <c r="AF6186">
        <v>0</v>
      </c>
      <c r="AH6186">
        <v>0</v>
      </c>
      <c r="AK6186">
        <v>0</v>
      </c>
    </row>
    <row r="6187" spans="32:37" x14ac:dyDescent="0.25">
      <c r="AF6187">
        <v>0</v>
      </c>
      <c r="AH6187">
        <v>0</v>
      </c>
      <c r="AK6187">
        <v>0</v>
      </c>
    </row>
    <row r="6188" spans="32:37" x14ac:dyDescent="0.25">
      <c r="AF6188">
        <v>0</v>
      </c>
      <c r="AH6188">
        <v>0</v>
      </c>
      <c r="AK6188">
        <v>0</v>
      </c>
    </row>
    <row r="6189" spans="32:37" x14ac:dyDescent="0.25">
      <c r="AF6189">
        <v>0</v>
      </c>
      <c r="AH6189">
        <v>0</v>
      </c>
      <c r="AK6189">
        <v>0</v>
      </c>
    </row>
    <row r="6190" spans="32:37" x14ac:dyDescent="0.25">
      <c r="AF6190">
        <v>0</v>
      </c>
      <c r="AH6190">
        <v>0</v>
      </c>
      <c r="AK6190">
        <v>0</v>
      </c>
    </row>
    <row r="6191" spans="32:37" x14ac:dyDescent="0.25">
      <c r="AF6191">
        <v>0</v>
      </c>
      <c r="AH6191">
        <v>0</v>
      </c>
      <c r="AK6191">
        <v>0</v>
      </c>
    </row>
    <row r="6192" spans="32:37" x14ac:dyDescent="0.25">
      <c r="AF6192">
        <v>0</v>
      </c>
      <c r="AH6192">
        <v>0</v>
      </c>
      <c r="AK6192">
        <v>0</v>
      </c>
    </row>
    <row r="6193" spans="32:37" x14ac:dyDescent="0.25">
      <c r="AF6193">
        <v>0</v>
      </c>
      <c r="AH6193">
        <v>0</v>
      </c>
      <c r="AK6193">
        <v>0</v>
      </c>
    </row>
    <row r="6194" spans="32:37" x14ac:dyDescent="0.25">
      <c r="AF6194">
        <v>0</v>
      </c>
      <c r="AH6194">
        <v>0</v>
      </c>
      <c r="AK6194">
        <v>0</v>
      </c>
    </row>
    <row r="6195" spans="32:37" x14ac:dyDescent="0.25">
      <c r="AF6195">
        <v>0</v>
      </c>
      <c r="AH6195">
        <v>0</v>
      </c>
      <c r="AK6195">
        <v>0</v>
      </c>
    </row>
    <row r="6196" spans="32:37" x14ac:dyDescent="0.25">
      <c r="AF6196">
        <v>0</v>
      </c>
      <c r="AH6196">
        <v>0</v>
      </c>
      <c r="AK6196">
        <v>0</v>
      </c>
    </row>
    <row r="6197" spans="32:37" x14ac:dyDescent="0.25">
      <c r="AF6197">
        <v>0</v>
      </c>
      <c r="AH6197">
        <v>0</v>
      </c>
      <c r="AK6197">
        <v>0</v>
      </c>
    </row>
    <row r="6198" spans="32:37" x14ac:dyDescent="0.25">
      <c r="AF6198">
        <v>0</v>
      </c>
      <c r="AH6198">
        <v>0</v>
      </c>
      <c r="AK6198">
        <v>0</v>
      </c>
    </row>
    <row r="6199" spans="32:37" x14ac:dyDescent="0.25">
      <c r="AF6199">
        <v>0</v>
      </c>
      <c r="AH6199">
        <v>0</v>
      </c>
      <c r="AK6199">
        <v>0</v>
      </c>
    </row>
    <row r="6200" spans="32:37" x14ac:dyDescent="0.25">
      <c r="AF6200">
        <v>0</v>
      </c>
      <c r="AH6200">
        <v>0</v>
      </c>
      <c r="AK6200">
        <v>0</v>
      </c>
    </row>
    <row r="6201" spans="32:37" x14ac:dyDescent="0.25">
      <c r="AF6201">
        <v>0</v>
      </c>
      <c r="AH6201">
        <v>0</v>
      </c>
      <c r="AK6201">
        <v>0</v>
      </c>
    </row>
    <row r="6202" spans="32:37" x14ac:dyDescent="0.25">
      <c r="AF6202">
        <v>0</v>
      </c>
      <c r="AH6202">
        <v>0</v>
      </c>
      <c r="AK6202">
        <v>0</v>
      </c>
    </row>
    <row r="6203" spans="32:37" x14ac:dyDescent="0.25">
      <c r="AF6203">
        <v>0</v>
      </c>
      <c r="AH6203">
        <v>0</v>
      </c>
      <c r="AK6203">
        <v>0</v>
      </c>
    </row>
    <row r="6204" spans="32:37" x14ac:dyDescent="0.25">
      <c r="AF6204">
        <v>0</v>
      </c>
      <c r="AH6204">
        <v>0</v>
      </c>
      <c r="AK6204">
        <v>0</v>
      </c>
    </row>
    <row r="6205" spans="32:37" x14ac:dyDescent="0.25">
      <c r="AF6205">
        <v>0</v>
      </c>
      <c r="AH6205">
        <v>0</v>
      </c>
      <c r="AK6205">
        <v>0</v>
      </c>
    </row>
    <row r="6206" spans="32:37" x14ac:dyDescent="0.25">
      <c r="AF6206">
        <v>0</v>
      </c>
      <c r="AH6206">
        <v>0</v>
      </c>
      <c r="AK6206">
        <v>0</v>
      </c>
    </row>
    <row r="6207" spans="32:37" x14ac:dyDescent="0.25">
      <c r="AF6207">
        <v>0</v>
      </c>
      <c r="AH6207">
        <v>0</v>
      </c>
      <c r="AK6207">
        <v>0</v>
      </c>
    </row>
    <row r="6208" spans="32:37" x14ac:dyDescent="0.25">
      <c r="AF6208">
        <v>0</v>
      </c>
      <c r="AH6208">
        <v>0</v>
      </c>
      <c r="AK6208">
        <v>0</v>
      </c>
    </row>
    <row r="6209" spans="32:37" x14ac:dyDescent="0.25">
      <c r="AF6209">
        <v>0</v>
      </c>
      <c r="AH6209">
        <v>0</v>
      </c>
      <c r="AK6209">
        <v>0</v>
      </c>
    </row>
    <row r="6210" spans="32:37" x14ac:dyDescent="0.25">
      <c r="AF6210">
        <v>0</v>
      </c>
      <c r="AH6210">
        <v>0</v>
      </c>
      <c r="AK6210">
        <v>0</v>
      </c>
    </row>
    <row r="6211" spans="32:37" x14ac:dyDescent="0.25">
      <c r="AF6211">
        <v>0</v>
      </c>
      <c r="AH6211">
        <v>0</v>
      </c>
      <c r="AK6211">
        <v>0</v>
      </c>
    </row>
    <row r="6212" spans="32:37" x14ac:dyDescent="0.25">
      <c r="AF6212">
        <v>0</v>
      </c>
      <c r="AH6212">
        <v>0</v>
      </c>
      <c r="AK6212">
        <v>0</v>
      </c>
    </row>
    <row r="6213" spans="32:37" x14ac:dyDescent="0.25">
      <c r="AF6213">
        <v>0</v>
      </c>
      <c r="AH6213">
        <v>0</v>
      </c>
      <c r="AK6213">
        <v>0</v>
      </c>
    </row>
    <row r="6214" spans="32:37" x14ac:dyDescent="0.25">
      <c r="AF6214">
        <v>0</v>
      </c>
      <c r="AH6214">
        <v>0</v>
      </c>
      <c r="AK6214">
        <v>0</v>
      </c>
    </row>
    <row r="6215" spans="32:37" x14ac:dyDescent="0.25">
      <c r="AF6215">
        <v>0</v>
      </c>
      <c r="AH6215">
        <v>0</v>
      </c>
      <c r="AK6215">
        <v>0</v>
      </c>
    </row>
    <row r="6216" spans="32:37" x14ac:dyDescent="0.25">
      <c r="AF6216">
        <v>0</v>
      </c>
      <c r="AH6216">
        <v>0</v>
      </c>
      <c r="AK6216">
        <v>0</v>
      </c>
    </row>
    <row r="6217" spans="32:37" x14ac:dyDescent="0.25">
      <c r="AF6217">
        <v>0</v>
      </c>
      <c r="AH6217">
        <v>0</v>
      </c>
      <c r="AK6217">
        <v>0</v>
      </c>
    </row>
    <row r="6218" spans="32:37" x14ac:dyDescent="0.25">
      <c r="AF6218">
        <v>0</v>
      </c>
      <c r="AH6218">
        <v>0</v>
      </c>
      <c r="AK6218">
        <v>0</v>
      </c>
    </row>
    <row r="6219" spans="32:37" x14ac:dyDescent="0.25">
      <c r="AF6219">
        <v>0</v>
      </c>
      <c r="AH6219">
        <v>0</v>
      </c>
      <c r="AK6219">
        <v>0</v>
      </c>
    </row>
    <row r="6220" spans="32:37" x14ac:dyDescent="0.25">
      <c r="AF6220">
        <v>0</v>
      </c>
      <c r="AH6220">
        <v>0</v>
      </c>
      <c r="AK6220">
        <v>0</v>
      </c>
    </row>
    <row r="6221" spans="32:37" x14ac:dyDescent="0.25">
      <c r="AF6221">
        <v>0</v>
      </c>
      <c r="AH6221">
        <v>0</v>
      </c>
      <c r="AK6221">
        <v>0</v>
      </c>
    </row>
    <row r="6222" spans="32:37" x14ac:dyDescent="0.25">
      <c r="AF6222">
        <v>0</v>
      </c>
      <c r="AH6222">
        <v>0</v>
      </c>
      <c r="AK6222">
        <v>0</v>
      </c>
    </row>
    <row r="6223" spans="32:37" x14ac:dyDescent="0.25">
      <c r="AF6223">
        <v>0</v>
      </c>
      <c r="AH6223">
        <v>0</v>
      </c>
      <c r="AK6223">
        <v>0</v>
      </c>
    </row>
    <row r="6224" spans="32:37" x14ac:dyDescent="0.25">
      <c r="AF6224">
        <v>0</v>
      </c>
      <c r="AH6224">
        <v>0</v>
      </c>
      <c r="AK6224">
        <v>0</v>
      </c>
    </row>
    <row r="6225" spans="32:37" x14ac:dyDescent="0.25">
      <c r="AF6225">
        <v>0</v>
      </c>
      <c r="AH6225">
        <v>0</v>
      </c>
      <c r="AK6225">
        <v>0</v>
      </c>
    </row>
    <row r="6226" spans="32:37" x14ac:dyDescent="0.25">
      <c r="AF6226">
        <v>0</v>
      </c>
      <c r="AH6226">
        <v>0</v>
      </c>
      <c r="AK6226">
        <v>0</v>
      </c>
    </row>
    <row r="6227" spans="32:37" x14ac:dyDescent="0.25">
      <c r="AF6227">
        <v>0</v>
      </c>
      <c r="AH6227">
        <v>0</v>
      </c>
      <c r="AK6227">
        <v>0</v>
      </c>
    </row>
    <row r="6228" spans="32:37" x14ac:dyDescent="0.25">
      <c r="AF6228">
        <v>0</v>
      </c>
      <c r="AH6228">
        <v>0</v>
      </c>
      <c r="AK6228">
        <v>0</v>
      </c>
    </row>
    <row r="6229" spans="32:37" x14ac:dyDescent="0.25">
      <c r="AF6229">
        <v>0</v>
      </c>
      <c r="AH6229">
        <v>0</v>
      </c>
      <c r="AK6229">
        <v>0</v>
      </c>
    </row>
    <row r="6230" spans="32:37" x14ac:dyDescent="0.25">
      <c r="AF6230">
        <v>0</v>
      </c>
      <c r="AH6230">
        <v>0</v>
      </c>
      <c r="AK6230">
        <v>0</v>
      </c>
    </row>
    <row r="6231" spans="32:37" x14ac:dyDescent="0.25">
      <c r="AF6231">
        <v>0</v>
      </c>
      <c r="AH6231">
        <v>0</v>
      </c>
      <c r="AK6231">
        <v>0</v>
      </c>
    </row>
    <row r="6232" spans="32:37" x14ac:dyDescent="0.25">
      <c r="AF6232">
        <v>0</v>
      </c>
      <c r="AH6232">
        <v>0</v>
      </c>
      <c r="AK6232">
        <v>0</v>
      </c>
    </row>
    <row r="6233" spans="32:37" x14ac:dyDescent="0.25">
      <c r="AF6233">
        <v>0</v>
      </c>
      <c r="AH6233">
        <v>0</v>
      </c>
      <c r="AK6233">
        <v>0</v>
      </c>
    </row>
    <row r="6234" spans="32:37" x14ac:dyDescent="0.25">
      <c r="AF6234">
        <v>0</v>
      </c>
      <c r="AH6234">
        <v>0</v>
      </c>
      <c r="AK6234">
        <v>0</v>
      </c>
    </row>
    <row r="6235" spans="32:37" x14ac:dyDescent="0.25">
      <c r="AF6235">
        <v>0</v>
      </c>
      <c r="AH6235">
        <v>0</v>
      </c>
      <c r="AK6235">
        <v>0</v>
      </c>
    </row>
    <row r="6236" spans="32:37" x14ac:dyDescent="0.25">
      <c r="AF6236">
        <v>0</v>
      </c>
      <c r="AH6236">
        <v>0</v>
      </c>
      <c r="AK6236">
        <v>0</v>
      </c>
    </row>
    <row r="6237" spans="32:37" x14ac:dyDescent="0.25">
      <c r="AF6237">
        <v>0</v>
      </c>
      <c r="AH6237">
        <v>0</v>
      </c>
      <c r="AK6237">
        <v>0</v>
      </c>
    </row>
    <row r="6238" spans="32:37" x14ac:dyDescent="0.25">
      <c r="AF6238">
        <v>0</v>
      </c>
      <c r="AH6238">
        <v>0</v>
      </c>
      <c r="AK6238">
        <v>0</v>
      </c>
    </row>
    <row r="6239" spans="32:37" x14ac:dyDescent="0.25">
      <c r="AF6239">
        <v>0</v>
      </c>
      <c r="AH6239">
        <v>0</v>
      </c>
      <c r="AK6239">
        <v>0</v>
      </c>
    </row>
    <row r="6240" spans="32:37" x14ac:dyDescent="0.25">
      <c r="AF6240">
        <v>0</v>
      </c>
      <c r="AH6240">
        <v>0</v>
      </c>
      <c r="AK6240">
        <v>0</v>
      </c>
    </row>
    <row r="6241" spans="32:37" x14ac:dyDescent="0.25">
      <c r="AF6241">
        <v>0</v>
      </c>
      <c r="AH6241">
        <v>0</v>
      </c>
      <c r="AK6241">
        <v>0</v>
      </c>
    </row>
    <row r="6242" spans="32:37" x14ac:dyDescent="0.25">
      <c r="AF6242">
        <v>0</v>
      </c>
      <c r="AH6242">
        <v>0</v>
      </c>
      <c r="AK6242">
        <v>0</v>
      </c>
    </row>
    <row r="6243" spans="32:37" x14ac:dyDescent="0.25">
      <c r="AF6243">
        <v>0</v>
      </c>
      <c r="AH6243">
        <v>0</v>
      </c>
      <c r="AK6243">
        <v>0</v>
      </c>
    </row>
    <row r="6244" spans="32:37" x14ac:dyDescent="0.25">
      <c r="AF6244">
        <v>0</v>
      </c>
      <c r="AH6244">
        <v>0</v>
      </c>
      <c r="AK6244">
        <v>0</v>
      </c>
    </row>
    <row r="6245" spans="32:37" x14ac:dyDescent="0.25">
      <c r="AF6245">
        <v>0</v>
      </c>
      <c r="AH6245">
        <v>0</v>
      </c>
      <c r="AK6245">
        <v>0</v>
      </c>
    </row>
    <row r="6246" spans="32:37" x14ac:dyDescent="0.25">
      <c r="AF6246">
        <v>0</v>
      </c>
      <c r="AH6246">
        <v>0</v>
      </c>
      <c r="AK6246">
        <v>0</v>
      </c>
    </row>
    <row r="6247" spans="32:37" x14ac:dyDescent="0.25">
      <c r="AF6247">
        <v>0</v>
      </c>
      <c r="AH6247">
        <v>0</v>
      </c>
      <c r="AK6247">
        <v>0</v>
      </c>
    </row>
    <row r="6248" spans="32:37" x14ac:dyDescent="0.25">
      <c r="AF6248">
        <v>0</v>
      </c>
      <c r="AH6248">
        <v>0</v>
      </c>
      <c r="AK6248">
        <v>0</v>
      </c>
    </row>
    <row r="6249" spans="32:37" x14ac:dyDescent="0.25">
      <c r="AF6249">
        <v>0</v>
      </c>
      <c r="AH6249">
        <v>0</v>
      </c>
      <c r="AK6249">
        <v>0</v>
      </c>
    </row>
    <row r="6250" spans="32:37" x14ac:dyDescent="0.25">
      <c r="AF6250">
        <v>0</v>
      </c>
      <c r="AH6250">
        <v>0</v>
      </c>
      <c r="AK6250">
        <v>0</v>
      </c>
    </row>
    <row r="6251" spans="32:37" x14ac:dyDescent="0.25">
      <c r="AF6251">
        <v>0</v>
      </c>
      <c r="AH6251">
        <v>0</v>
      </c>
      <c r="AK6251">
        <v>0</v>
      </c>
    </row>
    <row r="6252" spans="32:37" x14ac:dyDescent="0.25">
      <c r="AF6252">
        <v>0</v>
      </c>
      <c r="AH6252">
        <v>0</v>
      </c>
      <c r="AK6252">
        <v>0</v>
      </c>
    </row>
    <row r="6253" spans="32:37" x14ac:dyDescent="0.25">
      <c r="AF6253">
        <v>0</v>
      </c>
      <c r="AH6253">
        <v>0</v>
      </c>
      <c r="AK6253">
        <v>0</v>
      </c>
    </row>
    <row r="6254" spans="32:37" x14ac:dyDescent="0.25">
      <c r="AF6254">
        <v>0</v>
      </c>
      <c r="AH6254">
        <v>0</v>
      </c>
      <c r="AK6254">
        <v>0</v>
      </c>
    </row>
    <row r="6255" spans="32:37" x14ac:dyDescent="0.25">
      <c r="AF6255">
        <v>0</v>
      </c>
      <c r="AH6255">
        <v>0</v>
      </c>
      <c r="AK6255">
        <v>0</v>
      </c>
    </row>
    <row r="6256" spans="32:37" x14ac:dyDescent="0.25">
      <c r="AF6256">
        <v>0</v>
      </c>
      <c r="AH6256">
        <v>0</v>
      </c>
      <c r="AK6256">
        <v>0</v>
      </c>
    </row>
    <row r="6257" spans="32:37" x14ac:dyDescent="0.25">
      <c r="AF6257">
        <v>0</v>
      </c>
      <c r="AH6257">
        <v>0</v>
      </c>
      <c r="AK6257">
        <v>0</v>
      </c>
    </row>
    <row r="6258" spans="32:37" x14ac:dyDescent="0.25">
      <c r="AF6258">
        <v>0</v>
      </c>
      <c r="AH6258">
        <v>0</v>
      </c>
      <c r="AK6258">
        <v>0</v>
      </c>
    </row>
    <row r="6259" spans="32:37" x14ac:dyDescent="0.25">
      <c r="AF6259">
        <v>0</v>
      </c>
      <c r="AH6259">
        <v>0</v>
      </c>
      <c r="AK6259">
        <v>0</v>
      </c>
    </row>
    <row r="6260" spans="32:37" x14ac:dyDescent="0.25">
      <c r="AF6260">
        <v>0</v>
      </c>
      <c r="AH6260">
        <v>0</v>
      </c>
      <c r="AK6260">
        <v>0</v>
      </c>
    </row>
    <row r="6261" spans="32:37" x14ac:dyDescent="0.25">
      <c r="AF6261">
        <v>0</v>
      </c>
      <c r="AH6261">
        <v>0</v>
      </c>
      <c r="AK6261">
        <v>0</v>
      </c>
    </row>
    <row r="6262" spans="32:37" x14ac:dyDescent="0.25">
      <c r="AF6262">
        <v>0</v>
      </c>
      <c r="AH6262">
        <v>0</v>
      </c>
      <c r="AK6262">
        <v>0</v>
      </c>
    </row>
    <row r="6263" spans="32:37" x14ac:dyDescent="0.25">
      <c r="AF6263">
        <v>0</v>
      </c>
      <c r="AH6263">
        <v>0</v>
      </c>
      <c r="AK6263">
        <v>0</v>
      </c>
    </row>
    <row r="6264" spans="32:37" x14ac:dyDescent="0.25">
      <c r="AF6264">
        <v>0</v>
      </c>
      <c r="AH6264">
        <v>0</v>
      </c>
      <c r="AK6264">
        <v>0</v>
      </c>
    </row>
    <row r="6265" spans="32:37" x14ac:dyDescent="0.25">
      <c r="AF6265">
        <v>0</v>
      </c>
      <c r="AH6265">
        <v>0</v>
      </c>
      <c r="AK6265">
        <v>0</v>
      </c>
    </row>
    <row r="6266" spans="32:37" x14ac:dyDescent="0.25">
      <c r="AF6266">
        <v>0</v>
      </c>
      <c r="AH6266">
        <v>0</v>
      </c>
      <c r="AK6266">
        <v>0</v>
      </c>
    </row>
    <row r="6267" spans="32:37" x14ac:dyDescent="0.25">
      <c r="AF6267">
        <v>0</v>
      </c>
      <c r="AH6267">
        <v>0</v>
      </c>
      <c r="AK6267">
        <v>0</v>
      </c>
    </row>
    <row r="6268" spans="32:37" x14ac:dyDescent="0.25">
      <c r="AF6268">
        <v>0</v>
      </c>
      <c r="AH6268">
        <v>0</v>
      </c>
      <c r="AK6268">
        <v>0</v>
      </c>
    </row>
    <row r="6269" spans="32:37" x14ac:dyDescent="0.25">
      <c r="AF6269">
        <v>0</v>
      </c>
      <c r="AH6269">
        <v>0</v>
      </c>
      <c r="AK6269">
        <v>0</v>
      </c>
    </row>
    <row r="6270" spans="32:37" x14ac:dyDescent="0.25">
      <c r="AF6270">
        <v>0</v>
      </c>
      <c r="AH6270">
        <v>0</v>
      </c>
      <c r="AK6270">
        <v>0</v>
      </c>
    </row>
    <row r="6271" spans="32:37" x14ac:dyDescent="0.25">
      <c r="AF6271">
        <v>0</v>
      </c>
      <c r="AH6271">
        <v>0</v>
      </c>
      <c r="AK6271">
        <v>0</v>
      </c>
    </row>
    <row r="6272" spans="32:37" x14ac:dyDescent="0.25">
      <c r="AF6272">
        <v>0</v>
      </c>
      <c r="AH6272">
        <v>0</v>
      </c>
      <c r="AK6272">
        <v>0</v>
      </c>
    </row>
    <row r="6273" spans="32:37" x14ac:dyDescent="0.25">
      <c r="AF6273">
        <v>0</v>
      </c>
      <c r="AH6273">
        <v>0</v>
      </c>
      <c r="AK6273">
        <v>0</v>
      </c>
    </row>
    <row r="6274" spans="32:37" x14ac:dyDescent="0.25">
      <c r="AF6274">
        <v>0</v>
      </c>
      <c r="AH6274">
        <v>0</v>
      </c>
      <c r="AK6274">
        <v>0</v>
      </c>
    </row>
    <row r="6275" spans="32:37" x14ac:dyDescent="0.25">
      <c r="AF6275">
        <v>0</v>
      </c>
      <c r="AH6275">
        <v>0</v>
      </c>
      <c r="AK6275">
        <v>0</v>
      </c>
    </row>
    <row r="6276" spans="32:37" x14ac:dyDescent="0.25">
      <c r="AF6276">
        <v>0</v>
      </c>
      <c r="AH6276">
        <v>0</v>
      </c>
      <c r="AK6276">
        <v>0</v>
      </c>
    </row>
    <row r="6277" spans="32:37" x14ac:dyDescent="0.25">
      <c r="AF6277">
        <v>0</v>
      </c>
      <c r="AH6277">
        <v>0</v>
      </c>
      <c r="AK6277">
        <v>0</v>
      </c>
    </row>
    <row r="6278" spans="32:37" x14ac:dyDescent="0.25">
      <c r="AF6278">
        <v>0</v>
      </c>
      <c r="AH6278">
        <v>0</v>
      </c>
      <c r="AK6278">
        <v>0</v>
      </c>
    </row>
    <row r="6279" spans="32:37" x14ac:dyDescent="0.25">
      <c r="AF6279">
        <v>0</v>
      </c>
      <c r="AH6279">
        <v>0</v>
      </c>
      <c r="AK6279">
        <v>0</v>
      </c>
    </row>
    <row r="6280" spans="32:37" x14ac:dyDescent="0.25">
      <c r="AF6280">
        <v>0</v>
      </c>
      <c r="AH6280">
        <v>0</v>
      </c>
      <c r="AK6280">
        <v>0</v>
      </c>
    </row>
    <row r="6281" spans="32:37" x14ac:dyDescent="0.25">
      <c r="AF6281">
        <v>0</v>
      </c>
      <c r="AH6281">
        <v>0</v>
      </c>
      <c r="AK6281">
        <v>0</v>
      </c>
    </row>
    <row r="6282" spans="32:37" x14ac:dyDescent="0.25">
      <c r="AF6282">
        <v>0</v>
      </c>
      <c r="AH6282">
        <v>0</v>
      </c>
      <c r="AK6282">
        <v>0</v>
      </c>
    </row>
    <row r="6283" spans="32:37" x14ac:dyDescent="0.25">
      <c r="AF6283">
        <v>0</v>
      </c>
      <c r="AH6283">
        <v>0</v>
      </c>
      <c r="AK6283">
        <v>0</v>
      </c>
    </row>
    <row r="6284" spans="32:37" x14ac:dyDescent="0.25">
      <c r="AF6284">
        <v>0</v>
      </c>
      <c r="AH6284">
        <v>0</v>
      </c>
      <c r="AK6284">
        <v>0</v>
      </c>
    </row>
    <row r="6285" spans="32:37" x14ac:dyDescent="0.25">
      <c r="AF6285">
        <v>0</v>
      </c>
      <c r="AH6285">
        <v>0</v>
      </c>
      <c r="AK6285">
        <v>0</v>
      </c>
    </row>
    <row r="6286" spans="32:37" x14ac:dyDescent="0.25">
      <c r="AF6286">
        <v>0</v>
      </c>
      <c r="AH6286">
        <v>0</v>
      </c>
      <c r="AK6286">
        <v>0</v>
      </c>
    </row>
    <row r="6287" spans="32:37" x14ac:dyDescent="0.25">
      <c r="AF6287">
        <v>0</v>
      </c>
      <c r="AH6287">
        <v>0</v>
      </c>
      <c r="AK6287">
        <v>0</v>
      </c>
    </row>
    <row r="6288" spans="32:37" x14ac:dyDescent="0.25">
      <c r="AF6288">
        <v>0</v>
      </c>
      <c r="AH6288">
        <v>0</v>
      </c>
      <c r="AK6288">
        <v>0</v>
      </c>
    </row>
    <row r="6289" spans="32:37" x14ac:dyDescent="0.25">
      <c r="AF6289">
        <v>0</v>
      </c>
      <c r="AH6289">
        <v>0</v>
      </c>
      <c r="AK6289">
        <v>0</v>
      </c>
    </row>
    <row r="6290" spans="32:37" x14ac:dyDescent="0.25">
      <c r="AF6290">
        <v>0</v>
      </c>
      <c r="AH6290">
        <v>0</v>
      </c>
      <c r="AK6290">
        <v>0</v>
      </c>
    </row>
    <row r="6291" spans="32:37" x14ac:dyDescent="0.25">
      <c r="AF6291">
        <v>0</v>
      </c>
      <c r="AH6291">
        <v>0</v>
      </c>
      <c r="AK6291">
        <v>0</v>
      </c>
    </row>
    <row r="6292" spans="32:37" x14ac:dyDescent="0.25">
      <c r="AF6292">
        <v>0</v>
      </c>
      <c r="AH6292">
        <v>0</v>
      </c>
      <c r="AK6292">
        <v>0</v>
      </c>
    </row>
    <row r="6293" spans="32:37" x14ac:dyDescent="0.25">
      <c r="AF6293">
        <v>0</v>
      </c>
      <c r="AH6293">
        <v>0</v>
      </c>
      <c r="AK6293">
        <v>0</v>
      </c>
    </row>
    <row r="6294" spans="32:37" x14ac:dyDescent="0.25">
      <c r="AF6294">
        <v>0</v>
      </c>
      <c r="AH6294">
        <v>0</v>
      </c>
      <c r="AK6294">
        <v>0</v>
      </c>
    </row>
    <row r="6295" spans="32:37" x14ac:dyDescent="0.25">
      <c r="AF6295">
        <v>0</v>
      </c>
      <c r="AH6295">
        <v>0</v>
      </c>
      <c r="AK6295">
        <v>0</v>
      </c>
    </row>
    <row r="6296" spans="32:37" x14ac:dyDescent="0.25">
      <c r="AF6296">
        <v>0</v>
      </c>
      <c r="AH6296">
        <v>0</v>
      </c>
      <c r="AK6296">
        <v>0</v>
      </c>
    </row>
    <row r="6297" spans="32:37" x14ac:dyDescent="0.25">
      <c r="AF6297">
        <v>0</v>
      </c>
      <c r="AH6297">
        <v>0</v>
      </c>
      <c r="AK6297">
        <v>0</v>
      </c>
    </row>
    <row r="6298" spans="32:37" x14ac:dyDescent="0.25">
      <c r="AF6298">
        <v>0</v>
      </c>
      <c r="AH6298">
        <v>0</v>
      </c>
      <c r="AK6298">
        <v>0</v>
      </c>
    </row>
    <row r="6299" spans="32:37" x14ac:dyDescent="0.25">
      <c r="AF6299">
        <v>0</v>
      </c>
      <c r="AH6299">
        <v>0</v>
      </c>
      <c r="AK6299">
        <v>0</v>
      </c>
    </row>
    <row r="6300" spans="32:37" x14ac:dyDescent="0.25">
      <c r="AF6300">
        <v>0</v>
      </c>
      <c r="AH6300">
        <v>0</v>
      </c>
      <c r="AK6300">
        <v>0</v>
      </c>
    </row>
    <row r="6301" spans="32:37" x14ac:dyDescent="0.25">
      <c r="AF6301">
        <v>0</v>
      </c>
      <c r="AH6301">
        <v>0</v>
      </c>
      <c r="AK6301">
        <v>0</v>
      </c>
    </row>
    <row r="6302" spans="32:37" x14ac:dyDescent="0.25">
      <c r="AF6302">
        <v>0</v>
      </c>
      <c r="AH6302">
        <v>0</v>
      </c>
      <c r="AK6302">
        <v>0</v>
      </c>
    </row>
    <row r="6303" spans="32:37" x14ac:dyDescent="0.25">
      <c r="AF6303">
        <v>0</v>
      </c>
      <c r="AH6303">
        <v>0</v>
      </c>
      <c r="AK6303">
        <v>0</v>
      </c>
    </row>
    <row r="6304" spans="32:37" x14ac:dyDescent="0.25">
      <c r="AF6304">
        <v>0</v>
      </c>
      <c r="AH6304">
        <v>0</v>
      </c>
      <c r="AK6304">
        <v>0</v>
      </c>
    </row>
    <row r="6305" spans="32:37" x14ac:dyDescent="0.25">
      <c r="AF6305">
        <v>0</v>
      </c>
      <c r="AH6305">
        <v>0</v>
      </c>
      <c r="AK6305">
        <v>0</v>
      </c>
    </row>
    <row r="6306" spans="32:37" x14ac:dyDescent="0.25">
      <c r="AF6306">
        <v>0</v>
      </c>
      <c r="AH6306">
        <v>0</v>
      </c>
      <c r="AK6306">
        <v>0</v>
      </c>
    </row>
    <row r="6307" spans="32:37" x14ac:dyDescent="0.25">
      <c r="AF6307">
        <v>0</v>
      </c>
      <c r="AH6307">
        <v>0</v>
      </c>
      <c r="AK6307">
        <v>0</v>
      </c>
    </row>
    <row r="6308" spans="32:37" x14ac:dyDescent="0.25">
      <c r="AF6308">
        <v>0</v>
      </c>
      <c r="AH6308">
        <v>0</v>
      </c>
      <c r="AK6308">
        <v>0</v>
      </c>
    </row>
    <row r="6309" spans="32:37" x14ac:dyDescent="0.25">
      <c r="AF6309">
        <v>0</v>
      </c>
      <c r="AH6309">
        <v>0</v>
      </c>
      <c r="AK6309">
        <v>0</v>
      </c>
    </row>
    <row r="6310" spans="32:37" x14ac:dyDescent="0.25">
      <c r="AF6310">
        <v>0</v>
      </c>
      <c r="AH6310">
        <v>0</v>
      </c>
      <c r="AK6310">
        <v>0</v>
      </c>
    </row>
    <row r="6311" spans="32:37" x14ac:dyDescent="0.25">
      <c r="AF6311">
        <v>0</v>
      </c>
      <c r="AH6311">
        <v>0</v>
      </c>
      <c r="AK6311">
        <v>0</v>
      </c>
    </row>
    <row r="6312" spans="32:37" x14ac:dyDescent="0.25">
      <c r="AF6312">
        <v>0</v>
      </c>
      <c r="AH6312">
        <v>0</v>
      </c>
      <c r="AK6312">
        <v>0</v>
      </c>
    </row>
    <row r="6313" spans="32:37" x14ac:dyDescent="0.25">
      <c r="AF6313">
        <v>0</v>
      </c>
      <c r="AH6313">
        <v>0</v>
      </c>
      <c r="AK6313">
        <v>0</v>
      </c>
    </row>
    <row r="6314" spans="32:37" x14ac:dyDescent="0.25">
      <c r="AF6314">
        <v>0</v>
      </c>
      <c r="AH6314">
        <v>0</v>
      </c>
      <c r="AK6314">
        <v>0</v>
      </c>
    </row>
    <row r="6315" spans="32:37" x14ac:dyDescent="0.25">
      <c r="AF6315">
        <v>0</v>
      </c>
      <c r="AH6315">
        <v>0</v>
      </c>
      <c r="AK6315">
        <v>0</v>
      </c>
    </row>
    <row r="6316" spans="32:37" x14ac:dyDescent="0.25">
      <c r="AF6316">
        <v>0</v>
      </c>
      <c r="AH6316">
        <v>0</v>
      </c>
      <c r="AK6316">
        <v>0</v>
      </c>
    </row>
    <row r="6317" spans="32:37" x14ac:dyDescent="0.25">
      <c r="AF6317">
        <v>0</v>
      </c>
      <c r="AH6317">
        <v>0</v>
      </c>
      <c r="AK6317">
        <v>0</v>
      </c>
    </row>
    <row r="6318" spans="32:37" x14ac:dyDescent="0.25">
      <c r="AF6318">
        <v>0</v>
      </c>
      <c r="AH6318">
        <v>0</v>
      </c>
      <c r="AK6318">
        <v>0</v>
      </c>
    </row>
    <row r="6319" spans="32:37" x14ac:dyDescent="0.25">
      <c r="AF6319">
        <v>0</v>
      </c>
      <c r="AH6319">
        <v>0</v>
      </c>
      <c r="AK6319">
        <v>0</v>
      </c>
    </row>
    <row r="6320" spans="32:37" x14ac:dyDescent="0.25">
      <c r="AF6320">
        <v>0</v>
      </c>
      <c r="AH6320">
        <v>0</v>
      </c>
      <c r="AK6320">
        <v>0</v>
      </c>
    </row>
    <row r="6321" spans="32:37" x14ac:dyDescent="0.25">
      <c r="AF6321">
        <v>0</v>
      </c>
      <c r="AH6321">
        <v>0</v>
      </c>
      <c r="AK6321">
        <v>0</v>
      </c>
    </row>
    <row r="6322" spans="32:37" x14ac:dyDescent="0.25">
      <c r="AF6322">
        <v>0</v>
      </c>
      <c r="AH6322">
        <v>0</v>
      </c>
      <c r="AK6322">
        <v>0</v>
      </c>
    </row>
    <row r="6323" spans="32:37" x14ac:dyDescent="0.25">
      <c r="AF6323">
        <v>0</v>
      </c>
      <c r="AH6323">
        <v>0</v>
      </c>
      <c r="AK6323">
        <v>0</v>
      </c>
    </row>
    <row r="6324" spans="32:37" x14ac:dyDescent="0.25">
      <c r="AF6324">
        <v>0</v>
      </c>
      <c r="AH6324">
        <v>0</v>
      </c>
      <c r="AK6324">
        <v>0</v>
      </c>
    </row>
    <row r="6325" spans="32:37" x14ac:dyDescent="0.25">
      <c r="AF6325">
        <v>0</v>
      </c>
      <c r="AH6325">
        <v>0</v>
      </c>
      <c r="AK6325">
        <v>0</v>
      </c>
    </row>
    <row r="6326" spans="32:37" x14ac:dyDescent="0.25">
      <c r="AF6326">
        <v>0</v>
      </c>
      <c r="AH6326">
        <v>0</v>
      </c>
      <c r="AK6326">
        <v>0</v>
      </c>
    </row>
    <row r="6327" spans="32:37" x14ac:dyDescent="0.25">
      <c r="AF6327">
        <v>0</v>
      </c>
      <c r="AH6327">
        <v>0</v>
      </c>
      <c r="AK6327">
        <v>0</v>
      </c>
    </row>
    <row r="6328" spans="32:37" x14ac:dyDescent="0.25">
      <c r="AF6328">
        <v>0</v>
      </c>
      <c r="AH6328">
        <v>0</v>
      </c>
      <c r="AK6328">
        <v>0</v>
      </c>
    </row>
    <row r="6329" spans="32:37" x14ac:dyDescent="0.25">
      <c r="AF6329">
        <v>0</v>
      </c>
      <c r="AH6329">
        <v>0</v>
      </c>
      <c r="AK6329">
        <v>0</v>
      </c>
    </row>
    <row r="6330" spans="32:37" x14ac:dyDescent="0.25">
      <c r="AF6330">
        <v>0</v>
      </c>
      <c r="AH6330">
        <v>0</v>
      </c>
      <c r="AK6330">
        <v>0</v>
      </c>
    </row>
    <row r="6331" spans="32:37" x14ac:dyDescent="0.25">
      <c r="AF6331">
        <v>0</v>
      </c>
      <c r="AH6331">
        <v>0</v>
      </c>
      <c r="AK6331">
        <v>0</v>
      </c>
    </row>
    <row r="6332" spans="32:37" x14ac:dyDescent="0.25">
      <c r="AF6332">
        <v>0</v>
      </c>
      <c r="AH6332">
        <v>0</v>
      </c>
      <c r="AK6332">
        <v>0</v>
      </c>
    </row>
    <row r="6333" spans="32:37" x14ac:dyDescent="0.25">
      <c r="AF6333">
        <v>0</v>
      </c>
      <c r="AH6333">
        <v>0</v>
      </c>
      <c r="AK6333">
        <v>0</v>
      </c>
    </row>
    <row r="6334" spans="32:37" x14ac:dyDescent="0.25">
      <c r="AF6334">
        <v>0</v>
      </c>
      <c r="AH6334">
        <v>0</v>
      </c>
      <c r="AK6334">
        <v>0</v>
      </c>
    </row>
    <row r="6335" spans="32:37" x14ac:dyDescent="0.25">
      <c r="AF6335">
        <v>0</v>
      </c>
      <c r="AH6335">
        <v>0</v>
      </c>
      <c r="AK6335">
        <v>0</v>
      </c>
    </row>
    <row r="6336" spans="32:37" x14ac:dyDescent="0.25">
      <c r="AF6336">
        <v>0</v>
      </c>
      <c r="AH6336">
        <v>0</v>
      </c>
      <c r="AK6336">
        <v>0</v>
      </c>
    </row>
    <row r="6337" spans="32:37" x14ac:dyDescent="0.25">
      <c r="AF6337">
        <v>0</v>
      </c>
      <c r="AH6337">
        <v>0</v>
      </c>
      <c r="AK6337">
        <v>0</v>
      </c>
    </row>
    <row r="6338" spans="32:37" x14ac:dyDescent="0.25">
      <c r="AF6338">
        <v>0</v>
      </c>
      <c r="AH6338">
        <v>0</v>
      </c>
      <c r="AK6338">
        <v>0</v>
      </c>
    </row>
    <row r="6339" spans="32:37" x14ac:dyDescent="0.25">
      <c r="AF6339">
        <v>0</v>
      </c>
      <c r="AH6339">
        <v>0</v>
      </c>
      <c r="AK6339">
        <v>0</v>
      </c>
    </row>
    <row r="6340" spans="32:37" x14ac:dyDescent="0.25">
      <c r="AF6340">
        <v>0</v>
      </c>
      <c r="AH6340">
        <v>0</v>
      </c>
      <c r="AK6340">
        <v>0</v>
      </c>
    </row>
    <row r="6341" spans="32:37" x14ac:dyDescent="0.25">
      <c r="AF6341">
        <v>0</v>
      </c>
      <c r="AH6341">
        <v>0</v>
      </c>
      <c r="AK6341">
        <v>0</v>
      </c>
    </row>
    <row r="6342" spans="32:37" x14ac:dyDescent="0.25">
      <c r="AF6342">
        <v>0</v>
      </c>
      <c r="AH6342">
        <v>0</v>
      </c>
      <c r="AK6342">
        <v>0</v>
      </c>
    </row>
    <row r="6343" spans="32:37" x14ac:dyDescent="0.25">
      <c r="AF6343">
        <v>0</v>
      </c>
      <c r="AH6343">
        <v>0</v>
      </c>
      <c r="AK6343">
        <v>0</v>
      </c>
    </row>
    <row r="6344" spans="32:37" x14ac:dyDescent="0.25">
      <c r="AF6344">
        <v>0</v>
      </c>
      <c r="AH6344">
        <v>0</v>
      </c>
      <c r="AK6344">
        <v>0</v>
      </c>
    </row>
    <row r="6345" spans="32:37" x14ac:dyDescent="0.25">
      <c r="AF6345">
        <v>0</v>
      </c>
      <c r="AH6345">
        <v>0</v>
      </c>
      <c r="AK6345">
        <v>0</v>
      </c>
    </row>
    <row r="6346" spans="32:37" x14ac:dyDescent="0.25">
      <c r="AF6346">
        <v>0</v>
      </c>
      <c r="AH6346">
        <v>0</v>
      </c>
      <c r="AK6346">
        <v>0</v>
      </c>
    </row>
    <row r="6347" spans="32:37" x14ac:dyDescent="0.25">
      <c r="AF6347">
        <v>0</v>
      </c>
      <c r="AH6347">
        <v>0</v>
      </c>
      <c r="AK6347">
        <v>0</v>
      </c>
    </row>
    <row r="6348" spans="32:37" x14ac:dyDescent="0.25">
      <c r="AF6348">
        <v>0</v>
      </c>
      <c r="AH6348">
        <v>0</v>
      </c>
      <c r="AK6348">
        <v>0</v>
      </c>
    </row>
    <row r="6349" spans="32:37" x14ac:dyDescent="0.25">
      <c r="AF6349">
        <v>0</v>
      </c>
      <c r="AH6349">
        <v>0</v>
      </c>
      <c r="AK6349">
        <v>0</v>
      </c>
    </row>
    <row r="6350" spans="32:37" x14ac:dyDescent="0.25">
      <c r="AF6350">
        <v>0</v>
      </c>
      <c r="AH6350">
        <v>0</v>
      </c>
      <c r="AK6350">
        <v>0</v>
      </c>
    </row>
    <row r="6351" spans="32:37" x14ac:dyDescent="0.25">
      <c r="AF6351">
        <v>0</v>
      </c>
      <c r="AH6351">
        <v>0</v>
      </c>
      <c r="AK6351">
        <v>0</v>
      </c>
    </row>
    <row r="6352" spans="32:37" x14ac:dyDescent="0.25">
      <c r="AF6352">
        <v>0</v>
      </c>
      <c r="AH6352">
        <v>0</v>
      </c>
      <c r="AK6352">
        <v>0</v>
      </c>
    </row>
    <row r="6353" spans="32:37" x14ac:dyDescent="0.25">
      <c r="AF6353">
        <v>0</v>
      </c>
      <c r="AH6353">
        <v>0</v>
      </c>
      <c r="AK6353">
        <v>0</v>
      </c>
    </row>
    <row r="6354" spans="32:37" x14ac:dyDescent="0.25">
      <c r="AF6354">
        <v>0</v>
      </c>
      <c r="AH6354">
        <v>0</v>
      </c>
      <c r="AK6354">
        <v>0</v>
      </c>
    </row>
    <row r="6355" spans="32:37" x14ac:dyDescent="0.25">
      <c r="AF6355">
        <v>0</v>
      </c>
      <c r="AH6355">
        <v>0</v>
      </c>
      <c r="AK6355">
        <v>0</v>
      </c>
    </row>
    <row r="6356" spans="32:37" x14ac:dyDescent="0.25">
      <c r="AF6356">
        <v>0</v>
      </c>
      <c r="AH6356">
        <v>0</v>
      </c>
      <c r="AK6356">
        <v>0</v>
      </c>
    </row>
    <row r="6357" spans="32:37" x14ac:dyDescent="0.25">
      <c r="AF6357">
        <v>0</v>
      </c>
      <c r="AH6357">
        <v>0</v>
      </c>
      <c r="AK6357">
        <v>0</v>
      </c>
    </row>
    <row r="6358" spans="32:37" x14ac:dyDescent="0.25">
      <c r="AF6358">
        <v>0</v>
      </c>
      <c r="AH6358">
        <v>0</v>
      </c>
      <c r="AK6358">
        <v>0</v>
      </c>
    </row>
    <row r="6359" spans="32:37" x14ac:dyDescent="0.25">
      <c r="AF6359">
        <v>0</v>
      </c>
      <c r="AH6359">
        <v>0</v>
      </c>
      <c r="AK6359">
        <v>0</v>
      </c>
    </row>
    <row r="6360" spans="32:37" x14ac:dyDescent="0.25">
      <c r="AF6360">
        <v>0</v>
      </c>
      <c r="AH6360">
        <v>0</v>
      </c>
      <c r="AK6360">
        <v>0</v>
      </c>
    </row>
    <row r="6361" spans="32:37" x14ac:dyDescent="0.25">
      <c r="AF6361">
        <v>0</v>
      </c>
      <c r="AH6361">
        <v>0</v>
      </c>
      <c r="AK6361">
        <v>0</v>
      </c>
    </row>
    <row r="6362" spans="32:37" x14ac:dyDescent="0.25">
      <c r="AF6362">
        <v>0</v>
      </c>
      <c r="AH6362">
        <v>0</v>
      </c>
      <c r="AK6362">
        <v>0</v>
      </c>
    </row>
    <row r="6363" spans="32:37" x14ac:dyDescent="0.25">
      <c r="AF6363">
        <v>0</v>
      </c>
      <c r="AH6363">
        <v>0</v>
      </c>
      <c r="AK6363">
        <v>0</v>
      </c>
    </row>
    <row r="6364" spans="32:37" x14ac:dyDescent="0.25">
      <c r="AF6364">
        <v>0</v>
      </c>
      <c r="AH6364">
        <v>0</v>
      </c>
      <c r="AK6364">
        <v>0</v>
      </c>
    </row>
    <row r="6365" spans="32:37" x14ac:dyDescent="0.25">
      <c r="AF6365">
        <v>0</v>
      </c>
      <c r="AH6365">
        <v>0</v>
      </c>
      <c r="AK6365">
        <v>0</v>
      </c>
    </row>
    <row r="6366" spans="32:37" x14ac:dyDescent="0.25">
      <c r="AF6366">
        <v>0</v>
      </c>
      <c r="AH6366">
        <v>0</v>
      </c>
      <c r="AK6366">
        <v>0</v>
      </c>
    </row>
    <row r="6367" spans="32:37" x14ac:dyDescent="0.25">
      <c r="AF6367">
        <v>0</v>
      </c>
      <c r="AH6367">
        <v>0</v>
      </c>
      <c r="AK6367">
        <v>0</v>
      </c>
    </row>
    <row r="6368" spans="32:37" x14ac:dyDescent="0.25">
      <c r="AF6368">
        <v>0</v>
      </c>
      <c r="AH6368">
        <v>0</v>
      </c>
      <c r="AK6368">
        <v>0</v>
      </c>
    </row>
    <row r="6369" spans="32:37" x14ac:dyDescent="0.25">
      <c r="AF6369">
        <v>0</v>
      </c>
      <c r="AH6369">
        <v>0</v>
      </c>
      <c r="AK6369">
        <v>0</v>
      </c>
    </row>
    <row r="6370" spans="32:37" x14ac:dyDescent="0.25">
      <c r="AF6370">
        <v>0</v>
      </c>
      <c r="AH6370">
        <v>0</v>
      </c>
      <c r="AK6370">
        <v>0</v>
      </c>
    </row>
    <row r="6371" spans="32:37" x14ac:dyDescent="0.25">
      <c r="AF6371">
        <v>0</v>
      </c>
      <c r="AH6371">
        <v>0</v>
      </c>
      <c r="AK6371">
        <v>0</v>
      </c>
    </row>
    <row r="6372" spans="32:37" x14ac:dyDescent="0.25">
      <c r="AF6372">
        <v>0</v>
      </c>
      <c r="AH6372">
        <v>0</v>
      </c>
      <c r="AK6372">
        <v>0</v>
      </c>
    </row>
    <row r="6373" spans="32:37" x14ac:dyDescent="0.25">
      <c r="AF6373">
        <v>0</v>
      </c>
      <c r="AH6373">
        <v>0</v>
      </c>
      <c r="AK6373">
        <v>0</v>
      </c>
    </row>
    <row r="6374" spans="32:37" x14ac:dyDescent="0.25">
      <c r="AF6374">
        <v>0</v>
      </c>
      <c r="AH6374">
        <v>0</v>
      </c>
      <c r="AK6374">
        <v>0</v>
      </c>
    </row>
    <row r="6375" spans="32:37" x14ac:dyDescent="0.25">
      <c r="AF6375">
        <v>0</v>
      </c>
      <c r="AH6375">
        <v>0</v>
      </c>
      <c r="AK6375">
        <v>0</v>
      </c>
    </row>
    <row r="6376" spans="32:37" x14ac:dyDescent="0.25">
      <c r="AF6376">
        <v>0</v>
      </c>
      <c r="AH6376">
        <v>0</v>
      </c>
      <c r="AK6376">
        <v>0</v>
      </c>
    </row>
    <row r="6377" spans="32:37" x14ac:dyDescent="0.25">
      <c r="AF6377">
        <v>0</v>
      </c>
      <c r="AH6377">
        <v>0</v>
      </c>
      <c r="AK6377">
        <v>0</v>
      </c>
    </row>
    <row r="6378" spans="32:37" x14ac:dyDescent="0.25">
      <c r="AF6378">
        <v>0</v>
      </c>
      <c r="AH6378">
        <v>0</v>
      </c>
      <c r="AK6378">
        <v>0</v>
      </c>
    </row>
    <row r="6379" spans="32:37" x14ac:dyDescent="0.25">
      <c r="AF6379">
        <v>0</v>
      </c>
      <c r="AH6379">
        <v>0</v>
      </c>
      <c r="AK6379">
        <v>0</v>
      </c>
    </row>
    <row r="6380" spans="32:37" x14ac:dyDescent="0.25">
      <c r="AF6380">
        <v>0</v>
      </c>
      <c r="AH6380">
        <v>0</v>
      </c>
      <c r="AK6380">
        <v>0</v>
      </c>
    </row>
    <row r="6381" spans="32:37" x14ac:dyDescent="0.25">
      <c r="AF6381">
        <v>0</v>
      </c>
      <c r="AH6381">
        <v>0</v>
      </c>
      <c r="AK6381">
        <v>0</v>
      </c>
    </row>
    <row r="6382" spans="32:37" x14ac:dyDescent="0.25">
      <c r="AF6382">
        <v>0</v>
      </c>
      <c r="AH6382">
        <v>0</v>
      </c>
      <c r="AK6382">
        <v>0</v>
      </c>
    </row>
    <row r="6383" spans="32:37" x14ac:dyDescent="0.25">
      <c r="AF6383">
        <v>0</v>
      </c>
      <c r="AH6383">
        <v>0</v>
      </c>
      <c r="AK6383">
        <v>0</v>
      </c>
    </row>
    <row r="6384" spans="32:37" x14ac:dyDescent="0.25">
      <c r="AF6384">
        <v>0</v>
      </c>
      <c r="AH6384">
        <v>0</v>
      </c>
      <c r="AK6384">
        <v>0</v>
      </c>
    </row>
    <row r="6385" spans="32:37" x14ac:dyDescent="0.25">
      <c r="AF6385">
        <v>0</v>
      </c>
      <c r="AH6385">
        <v>0</v>
      </c>
      <c r="AK6385">
        <v>0</v>
      </c>
    </row>
    <row r="6386" spans="32:37" x14ac:dyDescent="0.25">
      <c r="AF6386">
        <v>0</v>
      </c>
      <c r="AH6386">
        <v>0</v>
      </c>
      <c r="AK6386">
        <v>0</v>
      </c>
    </row>
    <row r="6387" spans="32:37" x14ac:dyDescent="0.25">
      <c r="AF6387">
        <v>0</v>
      </c>
      <c r="AH6387">
        <v>0</v>
      </c>
      <c r="AK6387">
        <v>0</v>
      </c>
    </row>
    <row r="6388" spans="32:37" x14ac:dyDescent="0.25">
      <c r="AF6388">
        <v>0</v>
      </c>
      <c r="AH6388">
        <v>0</v>
      </c>
      <c r="AK6388">
        <v>0</v>
      </c>
    </row>
    <row r="6389" spans="32:37" x14ac:dyDescent="0.25">
      <c r="AF6389">
        <v>0</v>
      </c>
      <c r="AH6389">
        <v>0</v>
      </c>
      <c r="AK6389">
        <v>0</v>
      </c>
    </row>
    <row r="6390" spans="32:37" x14ac:dyDescent="0.25">
      <c r="AF6390">
        <v>0</v>
      </c>
      <c r="AH6390">
        <v>0</v>
      </c>
      <c r="AK6390">
        <v>0</v>
      </c>
    </row>
    <row r="6391" spans="32:37" x14ac:dyDescent="0.25">
      <c r="AF6391">
        <v>0</v>
      </c>
      <c r="AH6391">
        <v>0</v>
      </c>
      <c r="AK6391">
        <v>0</v>
      </c>
    </row>
    <row r="6392" spans="32:37" x14ac:dyDescent="0.25">
      <c r="AF6392">
        <v>0</v>
      </c>
      <c r="AH6392">
        <v>0</v>
      </c>
      <c r="AK6392">
        <v>0</v>
      </c>
    </row>
    <row r="6393" spans="32:37" x14ac:dyDescent="0.25">
      <c r="AF6393">
        <v>0</v>
      </c>
      <c r="AH6393">
        <v>0</v>
      </c>
      <c r="AK6393">
        <v>0</v>
      </c>
    </row>
    <row r="6394" spans="32:37" x14ac:dyDescent="0.25">
      <c r="AF6394">
        <v>0</v>
      </c>
      <c r="AH6394">
        <v>0</v>
      </c>
      <c r="AK6394">
        <v>0</v>
      </c>
    </row>
    <row r="6395" spans="32:37" x14ac:dyDescent="0.25">
      <c r="AF6395">
        <v>0</v>
      </c>
      <c r="AH6395">
        <v>0</v>
      </c>
      <c r="AK6395">
        <v>0</v>
      </c>
    </row>
    <row r="6396" spans="32:37" x14ac:dyDescent="0.25">
      <c r="AF6396">
        <v>0</v>
      </c>
      <c r="AH6396">
        <v>0</v>
      </c>
      <c r="AK6396">
        <v>0</v>
      </c>
    </row>
    <row r="6397" spans="32:37" x14ac:dyDescent="0.25">
      <c r="AF6397">
        <v>0</v>
      </c>
      <c r="AH6397">
        <v>0</v>
      </c>
      <c r="AK6397">
        <v>0</v>
      </c>
    </row>
    <row r="6398" spans="32:37" x14ac:dyDescent="0.25">
      <c r="AF6398">
        <v>0</v>
      </c>
      <c r="AH6398">
        <v>0</v>
      </c>
      <c r="AK6398">
        <v>0</v>
      </c>
    </row>
    <row r="6399" spans="32:37" x14ac:dyDescent="0.25">
      <c r="AF6399">
        <v>0</v>
      </c>
      <c r="AH6399">
        <v>0</v>
      </c>
      <c r="AK6399">
        <v>0</v>
      </c>
    </row>
    <row r="6400" spans="32:37" x14ac:dyDescent="0.25">
      <c r="AF6400">
        <v>0</v>
      </c>
      <c r="AH6400">
        <v>0</v>
      </c>
      <c r="AK6400">
        <v>0</v>
      </c>
    </row>
    <row r="6401" spans="32:37" x14ac:dyDescent="0.25">
      <c r="AF6401">
        <v>0</v>
      </c>
      <c r="AH6401">
        <v>0</v>
      </c>
      <c r="AK6401">
        <v>0</v>
      </c>
    </row>
    <row r="6402" spans="32:37" x14ac:dyDescent="0.25">
      <c r="AF6402">
        <v>0</v>
      </c>
      <c r="AH6402">
        <v>0</v>
      </c>
      <c r="AK6402">
        <v>0</v>
      </c>
    </row>
    <row r="6403" spans="32:37" x14ac:dyDescent="0.25">
      <c r="AF6403">
        <v>0</v>
      </c>
      <c r="AH6403">
        <v>0</v>
      </c>
      <c r="AK6403">
        <v>0</v>
      </c>
    </row>
    <row r="6404" spans="32:37" x14ac:dyDescent="0.25">
      <c r="AF6404">
        <v>0</v>
      </c>
      <c r="AH6404">
        <v>0</v>
      </c>
      <c r="AK6404">
        <v>0</v>
      </c>
    </row>
    <row r="6405" spans="32:37" x14ac:dyDescent="0.25">
      <c r="AF6405">
        <v>0</v>
      </c>
      <c r="AH6405">
        <v>0</v>
      </c>
      <c r="AK6405">
        <v>0</v>
      </c>
    </row>
    <row r="6406" spans="32:37" x14ac:dyDescent="0.25">
      <c r="AF6406">
        <v>0</v>
      </c>
      <c r="AH6406">
        <v>0</v>
      </c>
      <c r="AK6406">
        <v>0</v>
      </c>
    </row>
    <row r="6407" spans="32:37" x14ac:dyDescent="0.25">
      <c r="AF6407">
        <v>0</v>
      </c>
      <c r="AH6407">
        <v>0</v>
      </c>
      <c r="AK6407">
        <v>0</v>
      </c>
    </row>
    <row r="6408" spans="32:37" x14ac:dyDescent="0.25">
      <c r="AF6408">
        <v>0</v>
      </c>
      <c r="AH6408">
        <v>0</v>
      </c>
      <c r="AK6408">
        <v>0</v>
      </c>
    </row>
    <row r="6409" spans="32:37" x14ac:dyDescent="0.25">
      <c r="AF6409">
        <v>0</v>
      </c>
      <c r="AH6409">
        <v>0</v>
      </c>
      <c r="AK6409">
        <v>0</v>
      </c>
    </row>
    <row r="6410" spans="32:37" x14ac:dyDescent="0.25">
      <c r="AF6410">
        <v>0</v>
      </c>
      <c r="AH6410">
        <v>0</v>
      </c>
      <c r="AK6410">
        <v>0</v>
      </c>
    </row>
    <row r="6411" spans="32:37" x14ac:dyDescent="0.25">
      <c r="AF6411">
        <v>0</v>
      </c>
      <c r="AH6411">
        <v>0</v>
      </c>
      <c r="AK6411">
        <v>0</v>
      </c>
    </row>
    <row r="6412" spans="32:37" x14ac:dyDescent="0.25">
      <c r="AF6412">
        <v>0</v>
      </c>
      <c r="AH6412">
        <v>0</v>
      </c>
      <c r="AK6412">
        <v>0</v>
      </c>
    </row>
    <row r="6413" spans="32:37" x14ac:dyDescent="0.25">
      <c r="AF6413">
        <v>0</v>
      </c>
      <c r="AH6413">
        <v>0</v>
      </c>
      <c r="AK6413">
        <v>0</v>
      </c>
    </row>
    <row r="6414" spans="32:37" x14ac:dyDescent="0.25">
      <c r="AF6414">
        <v>0</v>
      </c>
      <c r="AH6414">
        <v>0</v>
      </c>
      <c r="AK6414">
        <v>0</v>
      </c>
    </row>
    <row r="6415" spans="32:37" x14ac:dyDescent="0.25">
      <c r="AF6415">
        <v>0</v>
      </c>
      <c r="AH6415">
        <v>0</v>
      </c>
      <c r="AK6415">
        <v>0</v>
      </c>
    </row>
    <row r="6416" spans="32:37" x14ac:dyDescent="0.25">
      <c r="AF6416">
        <v>0</v>
      </c>
      <c r="AH6416">
        <v>0</v>
      </c>
      <c r="AK6416">
        <v>0</v>
      </c>
    </row>
    <row r="6417" spans="32:37" x14ac:dyDescent="0.25">
      <c r="AF6417">
        <v>0</v>
      </c>
      <c r="AH6417">
        <v>0</v>
      </c>
      <c r="AK6417">
        <v>0</v>
      </c>
    </row>
    <row r="6418" spans="32:37" x14ac:dyDescent="0.25">
      <c r="AF6418">
        <v>0</v>
      </c>
      <c r="AH6418">
        <v>0</v>
      </c>
      <c r="AK6418">
        <v>0</v>
      </c>
    </row>
    <row r="6419" spans="32:37" x14ac:dyDescent="0.25">
      <c r="AF6419">
        <v>0</v>
      </c>
      <c r="AH6419">
        <v>0</v>
      </c>
      <c r="AK6419">
        <v>0</v>
      </c>
    </row>
    <row r="6420" spans="32:37" x14ac:dyDescent="0.25">
      <c r="AF6420">
        <v>0</v>
      </c>
      <c r="AH6420">
        <v>0</v>
      </c>
      <c r="AK6420">
        <v>0</v>
      </c>
    </row>
    <row r="6421" spans="32:37" x14ac:dyDescent="0.25">
      <c r="AF6421">
        <v>0</v>
      </c>
      <c r="AH6421">
        <v>0</v>
      </c>
      <c r="AK6421">
        <v>0</v>
      </c>
    </row>
    <row r="6422" spans="32:37" x14ac:dyDescent="0.25">
      <c r="AF6422">
        <v>0</v>
      </c>
      <c r="AH6422">
        <v>0</v>
      </c>
      <c r="AK6422">
        <v>0</v>
      </c>
    </row>
    <row r="6423" spans="32:37" x14ac:dyDescent="0.25">
      <c r="AF6423">
        <v>0</v>
      </c>
      <c r="AH6423">
        <v>0</v>
      </c>
      <c r="AK6423">
        <v>0</v>
      </c>
    </row>
    <row r="6424" spans="32:37" x14ac:dyDescent="0.25">
      <c r="AF6424">
        <v>0</v>
      </c>
      <c r="AH6424">
        <v>0</v>
      </c>
      <c r="AK6424">
        <v>0</v>
      </c>
    </row>
    <row r="6425" spans="32:37" x14ac:dyDescent="0.25">
      <c r="AF6425">
        <v>0</v>
      </c>
      <c r="AH6425">
        <v>0</v>
      </c>
      <c r="AK6425">
        <v>0</v>
      </c>
    </row>
    <row r="6426" spans="32:37" x14ac:dyDescent="0.25">
      <c r="AF6426">
        <v>0</v>
      </c>
      <c r="AH6426">
        <v>0</v>
      </c>
      <c r="AK6426">
        <v>0</v>
      </c>
    </row>
    <row r="6427" spans="32:37" x14ac:dyDescent="0.25">
      <c r="AF6427">
        <v>0</v>
      </c>
      <c r="AH6427">
        <v>0</v>
      </c>
      <c r="AK6427">
        <v>0</v>
      </c>
    </row>
    <row r="6428" spans="32:37" x14ac:dyDescent="0.25">
      <c r="AF6428">
        <v>0</v>
      </c>
      <c r="AH6428">
        <v>0</v>
      </c>
      <c r="AK6428">
        <v>0</v>
      </c>
    </row>
    <row r="6429" spans="32:37" x14ac:dyDescent="0.25">
      <c r="AF6429">
        <v>0</v>
      </c>
      <c r="AH6429">
        <v>0</v>
      </c>
      <c r="AK6429">
        <v>0</v>
      </c>
    </row>
    <row r="6430" spans="32:37" x14ac:dyDescent="0.25">
      <c r="AF6430">
        <v>0</v>
      </c>
      <c r="AH6430">
        <v>0</v>
      </c>
      <c r="AK6430">
        <v>0</v>
      </c>
    </row>
    <row r="6431" spans="32:37" x14ac:dyDescent="0.25">
      <c r="AF6431">
        <v>0</v>
      </c>
      <c r="AH6431">
        <v>0</v>
      </c>
      <c r="AK6431">
        <v>0</v>
      </c>
    </row>
    <row r="6432" spans="32:37" x14ac:dyDescent="0.25">
      <c r="AF6432">
        <v>0</v>
      </c>
      <c r="AH6432">
        <v>0</v>
      </c>
      <c r="AK6432">
        <v>0</v>
      </c>
    </row>
    <row r="6433" spans="32:37" x14ac:dyDescent="0.25">
      <c r="AF6433">
        <v>0</v>
      </c>
      <c r="AH6433">
        <v>0</v>
      </c>
      <c r="AK6433">
        <v>0</v>
      </c>
    </row>
    <row r="6434" spans="32:37" x14ac:dyDescent="0.25">
      <c r="AF6434">
        <v>0</v>
      </c>
      <c r="AH6434">
        <v>0</v>
      </c>
      <c r="AK6434">
        <v>0</v>
      </c>
    </row>
    <row r="6435" spans="32:37" x14ac:dyDescent="0.25">
      <c r="AF6435">
        <v>0</v>
      </c>
      <c r="AH6435">
        <v>0</v>
      </c>
      <c r="AK6435">
        <v>0</v>
      </c>
    </row>
    <row r="6436" spans="32:37" x14ac:dyDescent="0.25">
      <c r="AF6436">
        <v>0</v>
      </c>
      <c r="AH6436">
        <v>0</v>
      </c>
      <c r="AK6436">
        <v>0</v>
      </c>
    </row>
    <row r="6437" spans="32:37" x14ac:dyDescent="0.25">
      <c r="AF6437">
        <v>0</v>
      </c>
      <c r="AH6437">
        <v>0</v>
      </c>
      <c r="AK6437">
        <v>0</v>
      </c>
    </row>
    <row r="6438" spans="32:37" x14ac:dyDescent="0.25">
      <c r="AF6438">
        <v>0</v>
      </c>
      <c r="AH6438">
        <v>0</v>
      </c>
      <c r="AK6438">
        <v>0</v>
      </c>
    </row>
    <row r="6439" spans="32:37" x14ac:dyDescent="0.25">
      <c r="AF6439">
        <v>0</v>
      </c>
      <c r="AH6439">
        <v>0</v>
      </c>
      <c r="AK6439">
        <v>0</v>
      </c>
    </row>
    <row r="6440" spans="32:37" x14ac:dyDescent="0.25">
      <c r="AF6440">
        <v>0</v>
      </c>
      <c r="AH6440">
        <v>0</v>
      </c>
      <c r="AK6440">
        <v>0</v>
      </c>
    </row>
    <row r="6441" spans="32:37" x14ac:dyDescent="0.25">
      <c r="AF6441">
        <v>0</v>
      </c>
      <c r="AH6441">
        <v>0</v>
      </c>
      <c r="AK6441">
        <v>0</v>
      </c>
    </row>
    <row r="6442" spans="32:37" x14ac:dyDescent="0.25">
      <c r="AF6442">
        <v>0</v>
      </c>
      <c r="AH6442">
        <v>0</v>
      </c>
      <c r="AK6442">
        <v>0</v>
      </c>
    </row>
    <row r="6443" spans="32:37" x14ac:dyDescent="0.25">
      <c r="AF6443">
        <v>0</v>
      </c>
      <c r="AH6443">
        <v>0</v>
      </c>
      <c r="AK6443">
        <v>0</v>
      </c>
    </row>
    <row r="6444" spans="32:37" x14ac:dyDescent="0.25">
      <c r="AF6444">
        <v>0</v>
      </c>
      <c r="AH6444">
        <v>0</v>
      </c>
      <c r="AK6444">
        <v>0</v>
      </c>
    </row>
    <row r="6445" spans="32:37" x14ac:dyDescent="0.25">
      <c r="AF6445">
        <v>0</v>
      </c>
      <c r="AH6445">
        <v>0</v>
      </c>
      <c r="AK6445">
        <v>0</v>
      </c>
    </row>
    <row r="6446" spans="32:37" x14ac:dyDescent="0.25">
      <c r="AF6446">
        <v>0</v>
      </c>
      <c r="AH6446">
        <v>0</v>
      </c>
      <c r="AK6446">
        <v>0</v>
      </c>
    </row>
    <row r="6447" spans="32:37" x14ac:dyDescent="0.25">
      <c r="AF6447">
        <v>0</v>
      </c>
      <c r="AH6447">
        <v>0</v>
      </c>
      <c r="AK6447">
        <v>0</v>
      </c>
    </row>
    <row r="6448" spans="32:37" x14ac:dyDescent="0.25">
      <c r="AF6448">
        <v>0</v>
      </c>
      <c r="AH6448">
        <v>0</v>
      </c>
      <c r="AK6448">
        <v>0</v>
      </c>
    </row>
    <row r="6449" spans="32:37" x14ac:dyDescent="0.25">
      <c r="AF6449">
        <v>0</v>
      </c>
      <c r="AH6449">
        <v>0</v>
      </c>
      <c r="AK6449">
        <v>0</v>
      </c>
    </row>
    <row r="6450" spans="32:37" x14ac:dyDescent="0.25">
      <c r="AF6450">
        <v>0</v>
      </c>
      <c r="AH6450">
        <v>0</v>
      </c>
      <c r="AK6450">
        <v>0</v>
      </c>
    </row>
    <row r="6451" spans="32:37" x14ac:dyDescent="0.25">
      <c r="AF6451">
        <v>0</v>
      </c>
      <c r="AH6451">
        <v>0</v>
      </c>
      <c r="AK6451">
        <v>0</v>
      </c>
    </row>
    <row r="6452" spans="32:37" x14ac:dyDescent="0.25">
      <c r="AF6452">
        <v>0</v>
      </c>
      <c r="AH6452">
        <v>0</v>
      </c>
      <c r="AK6452">
        <v>0</v>
      </c>
    </row>
    <row r="6453" spans="32:37" x14ac:dyDescent="0.25">
      <c r="AF6453">
        <v>0</v>
      </c>
      <c r="AH6453">
        <v>0</v>
      </c>
      <c r="AK6453">
        <v>0</v>
      </c>
    </row>
    <row r="6454" spans="32:37" x14ac:dyDescent="0.25">
      <c r="AF6454">
        <v>0</v>
      </c>
      <c r="AH6454">
        <v>0</v>
      </c>
      <c r="AK6454">
        <v>0</v>
      </c>
    </row>
    <row r="6455" spans="32:37" x14ac:dyDescent="0.25">
      <c r="AF6455">
        <v>0</v>
      </c>
      <c r="AH6455">
        <v>0</v>
      </c>
      <c r="AK6455">
        <v>0</v>
      </c>
    </row>
    <row r="6456" spans="32:37" x14ac:dyDescent="0.25">
      <c r="AF6456">
        <v>0</v>
      </c>
      <c r="AH6456">
        <v>0</v>
      </c>
      <c r="AK6456">
        <v>0</v>
      </c>
    </row>
    <row r="6457" spans="32:37" x14ac:dyDescent="0.25">
      <c r="AF6457">
        <v>0</v>
      </c>
      <c r="AH6457">
        <v>0</v>
      </c>
      <c r="AK6457">
        <v>0</v>
      </c>
    </row>
    <row r="6458" spans="32:37" x14ac:dyDescent="0.25">
      <c r="AF6458">
        <v>0</v>
      </c>
      <c r="AH6458">
        <v>0</v>
      </c>
      <c r="AK6458">
        <v>0</v>
      </c>
    </row>
    <row r="6459" spans="32:37" x14ac:dyDescent="0.25">
      <c r="AF6459">
        <v>0</v>
      </c>
      <c r="AH6459">
        <v>0</v>
      </c>
      <c r="AK6459">
        <v>0</v>
      </c>
    </row>
    <row r="6460" spans="32:37" x14ac:dyDescent="0.25">
      <c r="AF6460">
        <v>0</v>
      </c>
      <c r="AH6460">
        <v>0</v>
      </c>
      <c r="AK6460">
        <v>0</v>
      </c>
    </row>
    <row r="6461" spans="32:37" x14ac:dyDescent="0.25">
      <c r="AF6461">
        <v>0</v>
      </c>
      <c r="AH6461">
        <v>0</v>
      </c>
      <c r="AK6461">
        <v>0</v>
      </c>
    </row>
    <row r="6462" spans="32:37" x14ac:dyDescent="0.25">
      <c r="AF6462">
        <v>0</v>
      </c>
      <c r="AH6462">
        <v>0</v>
      </c>
      <c r="AK6462">
        <v>0</v>
      </c>
    </row>
    <row r="6463" spans="32:37" x14ac:dyDescent="0.25">
      <c r="AF6463">
        <v>0</v>
      </c>
      <c r="AH6463">
        <v>0</v>
      </c>
      <c r="AK6463">
        <v>0</v>
      </c>
    </row>
    <row r="6464" spans="32:37" x14ac:dyDescent="0.25">
      <c r="AF6464">
        <v>0</v>
      </c>
      <c r="AH6464">
        <v>0</v>
      </c>
      <c r="AK6464">
        <v>0</v>
      </c>
    </row>
    <row r="6465" spans="32:37" x14ac:dyDescent="0.25">
      <c r="AF6465">
        <v>0</v>
      </c>
      <c r="AH6465">
        <v>0</v>
      </c>
      <c r="AK6465">
        <v>0</v>
      </c>
    </row>
    <row r="6466" spans="32:37" x14ac:dyDescent="0.25">
      <c r="AF6466">
        <v>0</v>
      </c>
      <c r="AH6466">
        <v>0</v>
      </c>
      <c r="AK6466">
        <v>0</v>
      </c>
    </row>
    <row r="6467" spans="32:37" x14ac:dyDescent="0.25">
      <c r="AF6467">
        <v>0</v>
      </c>
      <c r="AH6467">
        <v>0</v>
      </c>
      <c r="AK6467">
        <v>0</v>
      </c>
    </row>
    <row r="6468" spans="32:37" x14ac:dyDescent="0.25">
      <c r="AF6468">
        <v>0</v>
      </c>
      <c r="AH6468">
        <v>0</v>
      </c>
      <c r="AK6468">
        <v>0</v>
      </c>
    </row>
    <row r="6469" spans="32:37" x14ac:dyDescent="0.25">
      <c r="AF6469">
        <v>0</v>
      </c>
      <c r="AH6469">
        <v>0</v>
      </c>
      <c r="AK6469">
        <v>0</v>
      </c>
    </row>
    <row r="6470" spans="32:37" x14ac:dyDescent="0.25">
      <c r="AF6470">
        <v>0</v>
      </c>
      <c r="AH6470">
        <v>0</v>
      </c>
      <c r="AK6470">
        <v>0</v>
      </c>
    </row>
    <row r="6471" spans="32:37" x14ac:dyDescent="0.25">
      <c r="AF6471">
        <v>0</v>
      </c>
      <c r="AH6471">
        <v>0</v>
      </c>
      <c r="AK6471">
        <v>0</v>
      </c>
    </row>
    <row r="6472" spans="32:37" x14ac:dyDescent="0.25">
      <c r="AF6472">
        <v>0</v>
      </c>
      <c r="AH6472">
        <v>0</v>
      </c>
      <c r="AK6472">
        <v>0</v>
      </c>
    </row>
    <row r="6473" spans="32:37" x14ac:dyDescent="0.25">
      <c r="AF6473">
        <v>0</v>
      </c>
      <c r="AH6473">
        <v>0</v>
      </c>
      <c r="AK6473">
        <v>0</v>
      </c>
    </row>
    <row r="6474" spans="32:37" x14ac:dyDescent="0.25">
      <c r="AF6474">
        <v>0</v>
      </c>
      <c r="AH6474">
        <v>0</v>
      </c>
      <c r="AK6474">
        <v>0</v>
      </c>
    </row>
    <row r="6475" spans="32:37" x14ac:dyDescent="0.25">
      <c r="AF6475">
        <v>0</v>
      </c>
      <c r="AH6475">
        <v>0</v>
      </c>
      <c r="AK6475">
        <v>0</v>
      </c>
    </row>
    <row r="6476" spans="32:37" x14ac:dyDescent="0.25">
      <c r="AF6476">
        <v>0</v>
      </c>
      <c r="AH6476">
        <v>0</v>
      </c>
      <c r="AK6476">
        <v>0</v>
      </c>
    </row>
    <row r="6477" spans="32:37" x14ac:dyDescent="0.25">
      <c r="AF6477">
        <v>0</v>
      </c>
      <c r="AH6477">
        <v>0</v>
      </c>
      <c r="AK6477">
        <v>0</v>
      </c>
    </row>
    <row r="6478" spans="32:37" x14ac:dyDescent="0.25">
      <c r="AF6478">
        <v>0</v>
      </c>
      <c r="AH6478">
        <v>0</v>
      </c>
      <c r="AK6478">
        <v>0</v>
      </c>
    </row>
    <row r="6479" spans="32:37" x14ac:dyDescent="0.25">
      <c r="AF6479">
        <v>0</v>
      </c>
      <c r="AH6479">
        <v>0</v>
      </c>
      <c r="AK6479">
        <v>0</v>
      </c>
    </row>
    <row r="6480" spans="32:37" x14ac:dyDescent="0.25">
      <c r="AF6480">
        <v>0</v>
      </c>
      <c r="AH6480">
        <v>0</v>
      </c>
      <c r="AK6480">
        <v>0</v>
      </c>
    </row>
    <row r="6481" spans="32:37" x14ac:dyDescent="0.25">
      <c r="AF6481">
        <v>0</v>
      </c>
      <c r="AH6481">
        <v>0</v>
      </c>
      <c r="AK6481">
        <v>0</v>
      </c>
    </row>
    <row r="6482" spans="32:37" x14ac:dyDescent="0.25">
      <c r="AF6482">
        <v>0</v>
      </c>
      <c r="AH6482">
        <v>0</v>
      </c>
      <c r="AK6482">
        <v>0</v>
      </c>
    </row>
    <row r="6483" spans="32:37" x14ac:dyDescent="0.25">
      <c r="AF6483">
        <v>0</v>
      </c>
      <c r="AH6483">
        <v>0</v>
      </c>
      <c r="AK6483">
        <v>0</v>
      </c>
    </row>
    <row r="6484" spans="32:37" x14ac:dyDescent="0.25">
      <c r="AF6484">
        <v>0</v>
      </c>
      <c r="AH6484">
        <v>0</v>
      </c>
      <c r="AK6484">
        <v>0</v>
      </c>
    </row>
    <row r="6485" spans="32:37" x14ac:dyDescent="0.25">
      <c r="AF6485">
        <v>0</v>
      </c>
      <c r="AH6485">
        <v>0</v>
      </c>
      <c r="AK6485">
        <v>0</v>
      </c>
    </row>
    <row r="6486" spans="32:37" x14ac:dyDescent="0.25">
      <c r="AF6486">
        <v>0</v>
      </c>
      <c r="AH6486">
        <v>0</v>
      </c>
      <c r="AK6486">
        <v>0</v>
      </c>
    </row>
    <row r="6487" spans="32:37" x14ac:dyDescent="0.25">
      <c r="AF6487">
        <v>0</v>
      </c>
      <c r="AH6487">
        <v>0</v>
      </c>
      <c r="AK6487">
        <v>0</v>
      </c>
    </row>
    <row r="6488" spans="32:37" x14ac:dyDescent="0.25">
      <c r="AF6488">
        <v>0</v>
      </c>
      <c r="AH6488">
        <v>0</v>
      </c>
      <c r="AK6488">
        <v>0</v>
      </c>
    </row>
    <row r="6489" spans="32:37" x14ac:dyDescent="0.25">
      <c r="AF6489">
        <v>0</v>
      </c>
      <c r="AH6489">
        <v>0</v>
      </c>
      <c r="AK6489">
        <v>0</v>
      </c>
    </row>
    <row r="6490" spans="32:37" x14ac:dyDescent="0.25">
      <c r="AF6490">
        <v>0</v>
      </c>
      <c r="AH6490">
        <v>0</v>
      </c>
      <c r="AK6490">
        <v>0</v>
      </c>
    </row>
    <row r="6491" spans="32:37" x14ac:dyDescent="0.25">
      <c r="AF6491">
        <v>0</v>
      </c>
      <c r="AH6491">
        <v>0</v>
      </c>
      <c r="AK6491">
        <v>0</v>
      </c>
    </row>
    <row r="6492" spans="32:37" x14ac:dyDescent="0.25">
      <c r="AF6492">
        <v>0</v>
      </c>
      <c r="AH6492">
        <v>0</v>
      </c>
      <c r="AK6492">
        <v>0</v>
      </c>
    </row>
    <row r="6493" spans="32:37" x14ac:dyDescent="0.25">
      <c r="AF6493">
        <v>0</v>
      </c>
      <c r="AH6493">
        <v>0</v>
      </c>
      <c r="AK6493">
        <v>0</v>
      </c>
    </row>
    <row r="6494" spans="32:37" x14ac:dyDescent="0.25">
      <c r="AF6494">
        <v>0</v>
      </c>
      <c r="AH6494">
        <v>0</v>
      </c>
      <c r="AK6494">
        <v>0</v>
      </c>
    </row>
    <row r="6495" spans="32:37" x14ac:dyDescent="0.25">
      <c r="AF6495">
        <v>0</v>
      </c>
      <c r="AH6495">
        <v>0</v>
      </c>
      <c r="AK6495">
        <v>0</v>
      </c>
    </row>
    <row r="6496" spans="32:37" x14ac:dyDescent="0.25">
      <c r="AF6496">
        <v>0</v>
      </c>
      <c r="AH6496">
        <v>0</v>
      </c>
      <c r="AK6496">
        <v>0</v>
      </c>
    </row>
    <row r="6497" spans="32:37" x14ac:dyDescent="0.25">
      <c r="AF6497">
        <v>0</v>
      </c>
      <c r="AH6497">
        <v>0</v>
      </c>
      <c r="AK6497">
        <v>0</v>
      </c>
    </row>
    <row r="6498" spans="32:37" x14ac:dyDescent="0.25">
      <c r="AF6498">
        <v>0</v>
      </c>
      <c r="AH6498">
        <v>0</v>
      </c>
      <c r="AK6498">
        <v>0</v>
      </c>
    </row>
    <row r="6499" spans="32:37" x14ac:dyDescent="0.25">
      <c r="AF6499">
        <v>0</v>
      </c>
      <c r="AH6499">
        <v>0</v>
      </c>
      <c r="AK6499">
        <v>0</v>
      </c>
    </row>
    <row r="6500" spans="32:37" x14ac:dyDescent="0.25">
      <c r="AF6500">
        <v>0</v>
      </c>
      <c r="AH6500">
        <v>0</v>
      </c>
      <c r="AK6500">
        <v>0</v>
      </c>
    </row>
    <row r="6501" spans="32:37" x14ac:dyDescent="0.25">
      <c r="AF6501">
        <v>0</v>
      </c>
      <c r="AH6501">
        <v>0</v>
      </c>
      <c r="AK6501">
        <v>0</v>
      </c>
    </row>
    <row r="6502" spans="32:37" x14ac:dyDescent="0.25">
      <c r="AF6502">
        <v>0</v>
      </c>
      <c r="AH6502">
        <v>0</v>
      </c>
      <c r="AK6502">
        <v>0</v>
      </c>
    </row>
    <row r="6503" spans="32:37" x14ac:dyDescent="0.25">
      <c r="AF6503">
        <v>0</v>
      </c>
      <c r="AH6503">
        <v>0</v>
      </c>
      <c r="AK6503">
        <v>0</v>
      </c>
    </row>
    <row r="6504" spans="32:37" x14ac:dyDescent="0.25">
      <c r="AF6504">
        <v>0</v>
      </c>
      <c r="AH6504">
        <v>0</v>
      </c>
      <c r="AK6504">
        <v>0</v>
      </c>
    </row>
    <row r="6505" spans="32:37" x14ac:dyDescent="0.25">
      <c r="AF6505">
        <v>0</v>
      </c>
      <c r="AH6505">
        <v>0</v>
      </c>
      <c r="AK6505">
        <v>0</v>
      </c>
    </row>
    <row r="6506" spans="32:37" x14ac:dyDescent="0.25">
      <c r="AF6506">
        <v>0</v>
      </c>
      <c r="AH6506">
        <v>0</v>
      </c>
      <c r="AK6506">
        <v>0</v>
      </c>
    </row>
    <row r="6507" spans="32:37" x14ac:dyDescent="0.25">
      <c r="AF6507">
        <v>0</v>
      </c>
      <c r="AH6507">
        <v>0</v>
      </c>
      <c r="AK6507">
        <v>0</v>
      </c>
    </row>
    <row r="6508" spans="32:37" x14ac:dyDescent="0.25">
      <c r="AF6508">
        <v>0</v>
      </c>
      <c r="AH6508">
        <v>0</v>
      </c>
      <c r="AK6508">
        <v>0</v>
      </c>
    </row>
    <row r="6509" spans="32:37" x14ac:dyDescent="0.25">
      <c r="AF6509">
        <v>0</v>
      </c>
      <c r="AH6509">
        <v>0</v>
      </c>
      <c r="AK6509">
        <v>0</v>
      </c>
    </row>
    <row r="6510" spans="32:37" x14ac:dyDescent="0.25">
      <c r="AF6510">
        <v>0</v>
      </c>
      <c r="AH6510">
        <v>0</v>
      </c>
      <c r="AK6510">
        <v>0</v>
      </c>
    </row>
    <row r="6511" spans="32:37" x14ac:dyDescent="0.25">
      <c r="AF6511">
        <v>0</v>
      </c>
      <c r="AH6511">
        <v>0</v>
      </c>
      <c r="AK6511">
        <v>0</v>
      </c>
    </row>
    <row r="6512" spans="32:37" x14ac:dyDescent="0.25">
      <c r="AF6512">
        <v>0</v>
      </c>
      <c r="AH6512">
        <v>0</v>
      </c>
      <c r="AK6512">
        <v>0</v>
      </c>
    </row>
    <row r="6513" spans="32:37" x14ac:dyDescent="0.25">
      <c r="AF6513">
        <v>0</v>
      </c>
      <c r="AH6513">
        <v>0</v>
      </c>
      <c r="AK6513">
        <v>0</v>
      </c>
    </row>
    <row r="6514" spans="32:37" x14ac:dyDescent="0.25">
      <c r="AF6514">
        <v>0</v>
      </c>
      <c r="AH6514">
        <v>0</v>
      </c>
      <c r="AK6514">
        <v>0</v>
      </c>
    </row>
    <row r="6515" spans="32:37" x14ac:dyDescent="0.25">
      <c r="AF6515">
        <v>0</v>
      </c>
      <c r="AH6515">
        <v>0</v>
      </c>
      <c r="AK6515">
        <v>0</v>
      </c>
    </row>
    <row r="6516" spans="32:37" x14ac:dyDescent="0.25">
      <c r="AF6516">
        <v>0</v>
      </c>
      <c r="AH6516">
        <v>0</v>
      </c>
      <c r="AK6516">
        <v>0</v>
      </c>
    </row>
    <row r="6517" spans="32:37" x14ac:dyDescent="0.25">
      <c r="AF6517">
        <v>0</v>
      </c>
      <c r="AH6517">
        <v>0</v>
      </c>
      <c r="AK6517">
        <v>0</v>
      </c>
    </row>
    <row r="6518" spans="32:37" x14ac:dyDescent="0.25">
      <c r="AF6518">
        <v>0</v>
      </c>
      <c r="AH6518">
        <v>0</v>
      </c>
      <c r="AK6518">
        <v>0</v>
      </c>
    </row>
    <row r="6519" spans="32:37" x14ac:dyDescent="0.25">
      <c r="AF6519">
        <v>0</v>
      </c>
      <c r="AH6519">
        <v>0</v>
      </c>
      <c r="AK6519">
        <v>0</v>
      </c>
    </row>
    <row r="6520" spans="32:37" x14ac:dyDescent="0.25">
      <c r="AF6520">
        <v>0</v>
      </c>
      <c r="AH6520">
        <v>0</v>
      </c>
      <c r="AK6520">
        <v>0</v>
      </c>
    </row>
    <row r="6521" spans="32:37" x14ac:dyDescent="0.25">
      <c r="AF6521">
        <v>0</v>
      </c>
      <c r="AH6521">
        <v>0</v>
      </c>
      <c r="AK6521">
        <v>0</v>
      </c>
    </row>
    <row r="6522" spans="32:37" x14ac:dyDescent="0.25">
      <c r="AF6522">
        <v>0</v>
      </c>
      <c r="AH6522">
        <v>0</v>
      </c>
      <c r="AK6522">
        <v>0</v>
      </c>
    </row>
    <row r="6523" spans="32:37" x14ac:dyDescent="0.25">
      <c r="AF6523">
        <v>0</v>
      </c>
      <c r="AH6523">
        <v>0</v>
      </c>
      <c r="AK6523">
        <v>0</v>
      </c>
    </row>
    <row r="6524" spans="32:37" x14ac:dyDescent="0.25">
      <c r="AF6524">
        <v>0</v>
      </c>
      <c r="AH6524">
        <v>0</v>
      </c>
      <c r="AK6524">
        <v>0</v>
      </c>
    </row>
    <row r="6525" spans="32:37" x14ac:dyDescent="0.25">
      <c r="AF6525">
        <v>0</v>
      </c>
      <c r="AH6525">
        <v>0</v>
      </c>
      <c r="AK6525">
        <v>0</v>
      </c>
    </row>
    <row r="6526" spans="32:37" x14ac:dyDescent="0.25">
      <c r="AF6526">
        <v>0</v>
      </c>
      <c r="AH6526">
        <v>0</v>
      </c>
      <c r="AK6526">
        <v>0</v>
      </c>
    </row>
    <row r="6527" spans="32:37" x14ac:dyDescent="0.25">
      <c r="AF6527">
        <v>0</v>
      </c>
      <c r="AH6527">
        <v>0</v>
      </c>
      <c r="AK6527">
        <v>0</v>
      </c>
    </row>
    <row r="6528" spans="32:37" x14ac:dyDescent="0.25">
      <c r="AF6528">
        <v>0</v>
      </c>
      <c r="AH6528">
        <v>0</v>
      </c>
      <c r="AK6528">
        <v>0</v>
      </c>
    </row>
    <row r="6529" spans="32:37" x14ac:dyDescent="0.25">
      <c r="AF6529">
        <v>0</v>
      </c>
      <c r="AH6529">
        <v>0</v>
      </c>
      <c r="AK6529">
        <v>0</v>
      </c>
    </row>
    <row r="6530" spans="32:37" x14ac:dyDescent="0.25">
      <c r="AF6530">
        <v>0</v>
      </c>
      <c r="AH6530">
        <v>0</v>
      </c>
      <c r="AK6530">
        <v>0</v>
      </c>
    </row>
    <row r="6531" spans="32:37" x14ac:dyDescent="0.25">
      <c r="AF6531">
        <v>0</v>
      </c>
      <c r="AH6531">
        <v>0</v>
      </c>
      <c r="AK6531">
        <v>0</v>
      </c>
    </row>
    <row r="6532" spans="32:37" x14ac:dyDescent="0.25">
      <c r="AF6532">
        <v>0</v>
      </c>
      <c r="AH6532">
        <v>0</v>
      </c>
      <c r="AK6532">
        <v>0</v>
      </c>
    </row>
    <row r="6533" spans="32:37" x14ac:dyDescent="0.25">
      <c r="AF6533">
        <v>0</v>
      </c>
      <c r="AH6533">
        <v>0</v>
      </c>
      <c r="AK6533">
        <v>0</v>
      </c>
    </row>
    <row r="6534" spans="32:37" x14ac:dyDescent="0.25">
      <c r="AF6534">
        <v>0</v>
      </c>
      <c r="AH6534">
        <v>0</v>
      </c>
      <c r="AK6534">
        <v>0</v>
      </c>
    </row>
    <row r="6535" spans="32:37" x14ac:dyDescent="0.25">
      <c r="AF6535">
        <v>0</v>
      </c>
      <c r="AH6535">
        <v>0</v>
      </c>
      <c r="AK6535">
        <v>0</v>
      </c>
    </row>
    <row r="6536" spans="32:37" x14ac:dyDescent="0.25">
      <c r="AF6536">
        <v>0</v>
      </c>
      <c r="AH6536">
        <v>0</v>
      </c>
      <c r="AK6536">
        <v>0</v>
      </c>
    </row>
    <row r="6537" spans="32:37" x14ac:dyDescent="0.25">
      <c r="AF6537">
        <v>0</v>
      </c>
      <c r="AH6537">
        <v>0</v>
      </c>
      <c r="AK6537">
        <v>0</v>
      </c>
    </row>
    <row r="6538" spans="32:37" x14ac:dyDescent="0.25">
      <c r="AF6538">
        <v>0</v>
      </c>
      <c r="AH6538">
        <v>0</v>
      </c>
      <c r="AK6538">
        <v>0</v>
      </c>
    </row>
    <row r="6539" spans="32:37" x14ac:dyDescent="0.25">
      <c r="AF6539">
        <v>0</v>
      </c>
      <c r="AH6539">
        <v>0</v>
      </c>
      <c r="AK6539">
        <v>0</v>
      </c>
    </row>
    <row r="6540" spans="32:37" x14ac:dyDescent="0.25">
      <c r="AF6540">
        <v>0</v>
      </c>
      <c r="AH6540">
        <v>0</v>
      </c>
      <c r="AK6540">
        <v>0</v>
      </c>
    </row>
    <row r="6541" spans="32:37" x14ac:dyDescent="0.25">
      <c r="AF6541">
        <v>0</v>
      </c>
      <c r="AH6541">
        <v>0</v>
      </c>
      <c r="AK6541">
        <v>0</v>
      </c>
    </row>
    <row r="6542" spans="32:37" x14ac:dyDescent="0.25">
      <c r="AF6542">
        <v>0</v>
      </c>
      <c r="AH6542">
        <v>0</v>
      </c>
      <c r="AK6542">
        <v>0</v>
      </c>
    </row>
    <row r="6543" spans="32:37" x14ac:dyDescent="0.25">
      <c r="AF6543">
        <v>0</v>
      </c>
      <c r="AH6543">
        <v>0</v>
      </c>
      <c r="AK6543">
        <v>0</v>
      </c>
    </row>
    <row r="6544" spans="32:37" x14ac:dyDescent="0.25">
      <c r="AF6544">
        <v>0</v>
      </c>
      <c r="AH6544">
        <v>0</v>
      </c>
      <c r="AK6544">
        <v>0</v>
      </c>
    </row>
    <row r="6545" spans="32:37" x14ac:dyDescent="0.25">
      <c r="AF6545">
        <v>0</v>
      </c>
      <c r="AH6545">
        <v>0</v>
      </c>
      <c r="AK6545">
        <v>0</v>
      </c>
    </row>
    <row r="6546" spans="32:37" x14ac:dyDescent="0.25">
      <c r="AF6546">
        <v>0</v>
      </c>
      <c r="AH6546">
        <v>0</v>
      </c>
      <c r="AK6546">
        <v>0</v>
      </c>
    </row>
    <row r="6547" spans="32:37" x14ac:dyDescent="0.25">
      <c r="AF6547">
        <v>0</v>
      </c>
      <c r="AH6547">
        <v>0</v>
      </c>
      <c r="AK6547">
        <v>0</v>
      </c>
    </row>
    <row r="6548" spans="32:37" x14ac:dyDescent="0.25">
      <c r="AF6548">
        <v>0</v>
      </c>
      <c r="AH6548">
        <v>0</v>
      </c>
      <c r="AK6548">
        <v>0</v>
      </c>
    </row>
    <row r="6549" spans="32:37" x14ac:dyDescent="0.25">
      <c r="AF6549">
        <v>0</v>
      </c>
      <c r="AH6549">
        <v>0</v>
      </c>
      <c r="AK6549">
        <v>0</v>
      </c>
    </row>
    <row r="6550" spans="32:37" x14ac:dyDescent="0.25">
      <c r="AF6550">
        <v>0</v>
      </c>
      <c r="AH6550">
        <v>0</v>
      </c>
      <c r="AK6550">
        <v>0</v>
      </c>
    </row>
    <row r="6551" spans="32:37" x14ac:dyDescent="0.25">
      <c r="AF6551">
        <v>0</v>
      </c>
      <c r="AH6551">
        <v>0</v>
      </c>
      <c r="AK6551">
        <v>0</v>
      </c>
    </row>
    <row r="6552" spans="32:37" x14ac:dyDescent="0.25">
      <c r="AF6552">
        <v>0</v>
      </c>
      <c r="AH6552">
        <v>0</v>
      </c>
      <c r="AK6552">
        <v>0</v>
      </c>
    </row>
    <row r="6553" spans="32:37" x14ac:dyDescent="0.25">
      <c r="AF6553">
        <v>0</v>
      </c>
      <c r="AH6553">
        <v>0</v>
      </c>
      <c r="AK6553">
        <v>0</v>
      </c>
    </row>
    <row r="6554" spans="32:37" x14ac:dyDescent="0.25">
      <c r="AF6554">
        <v>0</v>
      </c>
      <c r="AH6554">
        <v>0</v>
      </c>
      <c r="AK6554">
        <v>0</v>
      </c>
    </row>
    <row r="6555" spans="32:37" x14ac:dyDescent="0.25">
      <c r="AF6555">
        <v>0</v>
      </c>
      <c r="AH6555">
        <v>0</v>
      </c>
      <c r="AK6555">
        <v>0</v>
      </c>
    </row>
    <row r="6556" spans="32:37" x14ac:dyDescent="0.25">
      <c r="AF6556">
        <v>0</v>
      </c>
      <c r="AH6556">
        <v>0</v>
      </c>
      <c r="AK6556">
        <v>0</v>
      </c>
    </row>
    <row r="6557" spans="32:37" x14ac:dyDescent="0.25">
      <c r="AF6557">
        <v>0</v>
      </c>
      <c r="AH6557">
        <v>0</v>
      </c>
      <c r="AK6557">
        <v>0</v>
      </c>
    </row>
    <row r="6558" spans="32:37" x14ac:dyDescent="0.25">
      <c r="AF6558">
        <v>0</v>
      </c>
      <c r="AH6558">
        <v>0</v>
      </c>
      <c r="AK6558">
        <v>0</v>
      </c>
    </row>
    <row r="6559" spans="32:37" x14ac:dyDescent="0.25">
      <c r="AF6559">
        <v>0</v>
      </c>
      <c r="AH6559">
        <v>0</v>
      </c>
      <c r="AK6559">
        <v>0</v>
      </c>
    </row>
    <row r="6560" spans="32:37" x14ac:dyDescent="0.25">
      <c r="AF6560">
        <v>0</v>
      </c>
      <c r="AH6560">
        <v>0</v>
      </c>
      <c r="AK6560">
        <v>0</v>
      </c>
    </row>
    <row r="6561" spans="32:37" x14ac:dyDescent="0.25">
      <c r="AF6561">
        <v>0</v>
      </c>
      <c r="AH6561">
        <v>0</v>
      </c>
      <c r="AK6561">
        <v>0</v>
      </c>
    </row>
    <row r="6562" spans="32:37" x14ac:dyDescent="0.25">
      <c r="AF6562">
        <v>0</v>
      </c>
      <c r="AH6562">
        <v>0</v>
      </c>
      <c r="AK6562">
        <v>0</v>
      </c>
    </row>
    <row r="6563" spans="32:37" x14ac:dyDescent="0.25">
      <c r="AF6563">
        <v>0</v>
      </c>
      <c r="AH6563">
        <v>0</v>
      </c>
      <c r="AK6563">
        <v>0</v>
      </c>
    </row>
    <row r="6564" spans="32:37" x14ac:dyDescent="0.25">
      <c r="AF6564">
        <v>0</v>
      </c>
      <c r="AH6564">
        <v>0</v>
      </c>
      <c r="AK6564">
        <v>0</v>
      </c>
    </row>
    <row r="6565" spans="32:37" x14ac:dyDescent="0.25">
      <c r="AF6565">
        <v>0</v>
      </c>
      <c r="AH6565">
        <v>0</v>
      </c>
      <c r="AK6565">
        <v>0</v>
      </c>
    </row>
    <row r="6566" spans="32:37" x14ac:dyDescent="0.25">
      <c r="AF6566">
        <v>0</v>
      </c>
      <c r="AH6566">
        <v>0</v>
      </c>
      <c r="AK6566">
        <v>0</v>
      </c>
    </row>
    <row r="6567" spans="32:37" x14ac:dyDescent="0.25">
      <c r="AF6567">
        <v>0</v>
      </c>
      <c r="AH6567">
        <v>0</v>
      </c>
      <c r="AK6567">
        <v>0</v>
      </c>
    </row>
    <row r="6568" spans="32:37" x14ac:dyDescent="0.25">
      <c r="AF6568">
        <v>0</v>
      </c>
      <c r="AH6568">
        <v>0</v>
      </c>
      <c r="AK6568">
        <v>0</v>
      </c>
    </row>
    <row r="6569" spans="32:37" x14ac:dyDescent="0.25">
      <c r="AF6569">
        <v>0</v>
      </c>
      <c r="AH6569">
        <v>0</v>
      </c>
      <c r="AK6569">
        <v>0</v>
      </c>
    </row>
    <row r="6570" spans="32:37" x14ac:dyDescent="0.25">
      <c r="AF6570">
        <v>0</v>
      </c>
      <c r="AH6570">
        <v>0</v>
      </c>
      <c r="AK6570">
        <v>0</v>
      </c>
    </row>
    <row r="6571" spans="32:37" x14ac:dyDescent="0.25">
      <c r="AF6571">
        <v>0</v>
      </c>
      <c r="AH6571">
        <v>0</v>
      </c>
      <c r="AK6571">
        <v>0</v>
      </c>
    </row>
    <row r="6572" spans="32:37" x14ac:dyDescent="0.25">
      <c r="AF6572">
        <v>0</v>
      </c>
      <c r="AH6572">
        <v>0</v>
      </c>
      <c r="AK6572">
        <v>0</v>
      </c>
    </row>
    <row r="6573" spans="32:37" x14ac:dyDescent="0.25">
      <c r="AF6573">
        <v>0</v>
      </c>
      <c r="AH6573">
        <v>0</v>
      </c>
      <c r="AK6573">
        <v>0</v>
      </c>
    </row>
    <row r="6574" spans="32:37" x14ac:dyDescent="0.25">
      <c r="AF6574">
        <v>0</v>
      </c>
      <c r="AH6574">
        <v>0</v>
      </c>
      <c r="AK6574">
        <v>0</v>
      </c>
    </row>
    <row r="6575" spans="32:37" x14ac:dyDescent="0.25">
      <c r="AF6575">
        <v>0</v>
      </c>
      <c r="AH6575">
        <v>0</v>
      </c>
      <c r="AK6575">
        <v>0</v>
      </c>
    </row>
    <row r="6576" spans="32:37" x14ac:dyDescent="0.25">
      <c r="AF6576">
        <v>0</v>
      </c>
      <c r="AH6576">
        <v>0</v>
      </c>
      <c r="AK6576">
        <v>0</v>
      </c>
    </row>
    <row r="6577" spans="32:37" x14ac:dyDescent="0.25">
      <c r="AF6577">
        <v>0</v>
      </c>
      <c r="AH6577">
        <v>0</v>
      </c>
      <c r="AK6577">
        <v>0</v>
      </c>
    </row>
    <row r="6578" spans="32:37" x14ac:dyDescent="0.25">
      <c r="AF6578">
        <v>0</v>
      </c>
      <c r="AH6578">
        <v>0</v>
      </c>
      <c r="AK6578">
        <v>0</v>
      </c>
    </row>
    <row r="6579" spans="32:37" x14ac:dyDescent="0.25">
      <c r="AF6579">
        <v>0</v>
      </c>
      <c r="AH6579">
        <v>0</v>
      </c>
      <c r="AK6579">
        <v>0</v>
      </c>
    </row>
    <row r="6580" spans="32:37" x14ac:dyDescent="0.25">
      <c r="AF6580">
        <v>0</v>
      </c>
      <c r="AH6580">
        <v>0</v>
      </c>
      <c r="AK6580">
        <v>0</v>
      </c>
    </row>
    <row r="6581" spans="32:37" x14ac:dyDescent="0.25">
      <c r="AF6581">
        <v>0</v>
      </c>
      <c r="AH6581">
        <v>0</v>
      </c>
      <c r="AK6581">
        <v>0</v>
      </c>
    </row>
    <row r="6582" spans="32:37" x14ac:dyDescent="0.25">
      <c r="AF6582">
        <v>0</v>
      </c>
      <c r="AH6582">
        <v>0</v>
      </c>
      <c r="AK6582">
        <v>0</v>
      </c>
    </row>
    <row r="6583" spans="32:37" x14ac:dyDescent="0.25">
      <c r="AF6583">
        <v>0</v>
      </c>
      <c r="AH6583">
        <v>0</v>
      </c>
      <c r="AK6583">
        <v>0</v>
      </c>
    </row>
    <row r="6584" spans="32:37" x14ac:dyDescent="0.25">
      <c r="AF6584">
        <v>0</v>
      </c>
      <c r="AH6584">
        <v>0</v>
      </c>
      <c r="AK6584">
        <v>0</v>
      </c>
    </row>
    <row r="6585" spans="32:37" x14ac:dyDescent="0.25">
      <c r="AF6585">
        <v>0</v>
      </c>
      <c r="AH6585">
        <v>0</v>
      </c>
      <c r="AK6585">
        <v>0</v>
      </c>
    </row>
    <row r="6586" spans="32:37" x14ac:dyDescent="0.25">
      <c r="AF6586">
        <v>0</v>
      </c>
      <c r="AH6586">
        <v>0</v>
      </c>
      <c r="AK6586">
        <v>0</v>
      </c>
    </row>
    <row r="6587" spans="32:37" x14ac:dyDescent="0.25">
      <c r="AF6587">
        <v>0</v>
      </c>
      <c r="AH6587">
        <v>0</v>
      </c>
      <c r="AK6587">
        <v>0</v>
      </c>
    </row>
    <row r="6588" spans="32:37" x14ac:dyDescent="0.25">
      <c r="AF6588">
        <v>0</v>
      </c>
      <c r="AH6588">
        <v>0</v>
      </c>
      <c r="AK6588">
        <v>0</v>
      </c>
    </row>
    <row r="6589" spans="32:37" x14ac:dyDescent="0.25">
      <c r="AF6589">
        <v>0</v>
      </c>
      <c r="AH6589">
        <v>0</v>
      </c>
      <c r="AK6589">
        <v>0</v>
      </c>
    </row>
    <row r="6590" spans="32:37" x14ac:dyDescent="0.25">
      <c r="AF6590">
        <v>0</v>
      </c>
      <c r="AH6590">
        <v>0</v>
      </c>
      <c r="AK6590">
        <v>0</v>
      </c>
    </row>
    <row r="6591" spans="32:37" x14ac:dyDescent="0.25">
      <c r="AF6591">
        <v>0</v>
      </c>
      <c r="AH6591">
        <v>0</v>
      </c>
      <c r="AK6591">
        <v>0</v>
      </c>
    </row>
    <row r="6592" spans="32:37" x14ac:dyDescent="0.25">
      <c r="AF6592">
        <v>0</v>
      </c>
      <c r="AH6592">
        <v>0</v>
      </c>
      <c r="AK6592">
        <v>0</v>
      </c>
    </row>
    <row r="6593" spans="32:37" x14ac:dyDescent="0.25">
      <c r="AF6593">
        <v>0</v>
      </c>
      <c r="AH6593">
        <v>0</v>
      </c>
      <c r="AK6593">
        <v>0</v>
      </c>
    </row>
    <row r="6594" spans="32:37" x14ac:dyDescent="0.25">
      <c r="AF6594">
        <v>0</v>
      </c>
      <c r="AH6594">
        <v>0</v>
      </c>
      <c r="AK6594">
        <v>0</v>
      </c>
    </row>
    <row r="6595" spans="32:37" x14ac:dyDescent="0.25">
      <c r="AF6595">
        <v>0</v>
      </c>
      <c r="AH6595">
        <v>0</v>
      </c>
      <c r="AK6595">
        <v>0</v>
      </c>
    </row>
    <row r="6596" spans="32:37" x14ac:dyDescent="0.25">
      <c r="AF6596">
        <v>0</v>
      </c>
      <c r="AH6596">
        <v>0</v>
      </c>
      <c r="AK6596">
        <v>0</v>
      </c>
    </row>
    <row r="6597" spans="32:37" x14ac:dyDescent="0.25">
      <c r="AF6597">
        <v>0</v>
      </c>
      <c r="AH6597">
        <v>0</v>
      </c>
      <c r="AK6597">
        <v>0</v>
      </c>
    </row>
    <row r="6598" spans="32:37" x14ac:dyDescent="0.25">
      <c r="AF6598">
        <v>0</v>
      </c>
      <c r="AH6598">
        <v>0</v>
      </c>
      <c r="AK6598">
        <v>0</v>
      </c>
    </row>
    <row r="6599" spans="32:37" x14ac:dyDescent="0.25">
      <c r="AF6599">
        <v>0</v>
      </c>
      <c r="AH6599">
        <v>0</v>
      </c>
      <c r="AK6599">
        <v>0</v>
      </c>
    </row>
    <row r="6600" spans="32:37" x14ac:dyDescent="0.25">
      <c r="AF6600">
        <v>0</v>
      </c>
      <c r="AH6600">
        <v>0</v>
      </c>
      <c r="AK6600">
        <v>0</v>
      </c>
    </row>
    <row r="6601" spans="32:37" x14ac:dyDescent="0.25">
      <c r="AF6601">
        <v>0</v>
      </c>
      <c r="AH6601">
        <v>0</v>
      </c>
      <c r="AK6601">
        <v>0</v>
      </c>
    </row>
    <row r="6602" spans="32:37" x14ac:dyDescent="0.25">
      <c r="AF6602">
        <v>0</v>
      </c>
      <c r="AH6602">
        <v>0</v>
      </c>
      <c r="AK6602">
        <v>0</v>
      </c>
    </row>
    <row r="6603" spans="32:37" x14ac:dyDescent="0.25">
      <c r="AF6603">
        <v>0</v>
      </c>
      <c r="AH6603">
        <v>0</v>
      </c>
      <c r="AK6603">
        <v>0</v>
      </c>
    </row>
    <row r="6604" spans="32:37" x14ac:dyDescent="0.25">
      <c r="AF6604">
        <v>0</v>
      </c>
      <c r="AH6604">
        <v>0</v>
      </c>
      <c r="AK6604">
        <v>0</v>
      </c>
    </row>
    <row r="6605" spans="32:37" x14ac:dyDescent="0.25">
      <c r="AF6605">
        <v>0</v>
      </c>
      <c r="AH6605">
        <v>0</v>
      </c>
      <c r="AK6605">
        <v>0</v>
      </c>
    </row>
    <row r="6606" spans="32:37" x14ac:dyDescent="0.25">
      <c r="AF6606">
        <v>0</v>
      </c>
      <c r="AH6606">
        <v>0</v>
      </c>
      <c r="AK6606">
        <v>0</v>
      </c>
    </row>
    <row r="6607" spans="32:37" x14ac:dyDescent="0.25">
      <c r="AF6607">
        <v>0</v>
      </c>
      <c r="AH6607">
        <v>0</v>
      </c>
      <c r="AK6607">
        <v>0</v>
      </c>
    </row>
    <row r="6608" spans="32:37" x14ac:dyDescent="0.25">
      <c r="AF6608">
        <v>0</v>
      </c>
      <c r="AH6608">
        <v>0</v>
      </c>
      <c r="AK6608">
        <v>0</v>
      </c>
    </row>
    <row r="6609" spans="32:37" x14ac:dyDescent="0.25">
      <c r="AF6609">
        <v>0</v>
      </c>
      <c r="AH6609">
        <v>0</v>
      </c>
      <c r="AK6609">
        <v>0</v>
      </c>
    </row>
    <row r="6610" spans="32:37" x14ac:dyDescent="0.25">
      <c r="AF6610">
        <v>0</v>
      </c>
      <c r="AH6610">
        <v>0</v>
      </c>
      <c r="AK6610">
        <v>0</v>
      </c>
    </row>
    <row r="6611" spans="32:37" x14ac:dyDescent="0.25">
      <c r="AF6611">
        <v>0</v>
      </c>
      <c r="AH6611">
        <v>0</v>
      </c>
      <c r="AK6611">
        <v>0</v>
      </c>
    </row>
    <row r="6612" spans="32:37" x14ac:dyDescent="0.25">
      <c r="AF6612">
        <v>0</v>
      </c>
      <c r="AH6612">
        <v>0</v>
      </c>
      <c r="AK6612">
        <v>0</v>
      </c>
    </row>
    <row r="6613" spans="32:37" x14ac:dyDescent="0.25">
      <c r="AF6613">
        <v>0</v>
      </c>
      <c r="AH6613">
        <v>0</v>
      </c>
      <c r="AK6613">
        <v>0</v>
      </c>
    </row>
    <row r="6614" spans="32:37" x14ac:dyDescent="0.25">
      <c r="AF6614">
        <v>0</v>
      </c>
      <c r="AH6614">
        <v>0</v>
      </c>
      <c r="AK6614">
        <v>0</v>
      </c>
    </row>
    <row r="6615" spans="32:37" x14ac:dyDescent="0.25">
      <c r="AF6615">
        <v>0</v>
      </c>
      <c r="AH6615">
        <v>0</v>
      </c>
      <c r="AK6615">
        <v>0</v>
      </c>
    </row>
    <row r="6616" spans="32:37" x14ac:dyDescent="0.25">
      <c r="AF6616">
        <v>0</v>
      </c>
      <c r="AH6616">
        <v>0</v>
      </c>
      <c r="AK6616">
        <v>0</v>
      </c>
    </row>
    <row r="6617" spans="32:37" x14ac:dyDescent="0.25">
      <c r="AF6617">
        <v>0</v>
      </c>
      <c r="AH6617">
        <v>0</v>
      </c>
      <c r="AK6617">
        <v>0</v>
      </c>
    </row>
    <row r="6618" spans="32:37" x14ac:dyDescent="0.25">
      <c r="AF6618">
        <v>0</v>
      </c>
      <c r="AH6618">
        <v>0</v>
      </c>
      <c r="AK6618">
        <v>0</v>
      </c>
    </row>
    <row r="6619" spans="32:37" x14ac:dyDescent="0.25">
      <c r="AF6619">
        <v>0</v>
      </c>
      <c r="AH6619">
        <v>0</v>
      </c>
      <c r="AK6619">
        <v>0</v>
      </c>
    </row>
    <row r="6620" spans="32:37" x14ac:dyDescent="0.25">
      <c r="AF6620">
        <v>0</v>
      </c>
      <c r="AH6620">
        <v>0</v>
      </c>
      <c r="AK6620">
        <v>0</v>
      </c>
    </row>
    <row r="6621" spans="32:37" x14ac:dyDescent="0.25">
      <c r="AF6621">
        <v>0</v>
      </c>
      <c r="AH6621">
        <v>0</v>
      </c>
      <c r="AK6621">
        <v>0</v>
      </c>
    </row>
    <row r="6622" spans="32:37" x14ac:dyDescent="0.25">
      <c r="AF6622">
        <v>0</v>
      </c>
      <c r="AH6622">
        <v>0</v>
      </c>
      <c r="AK6622">
        <v>0</v>
      </c>
    </row>
    <row r="6623" spans="32:37" x14ac:dyDescent="0.25">
      <c r="AF6623">
        <v>0</v>
      </c>
      <c r="AH6623">
        <v>0</v>
      </c>
      <c r="AK6623">
        <v>0</v>
      </c>
    </row>
    <row r="6624" spans="32:37" x14ac:dyDescent="0.25">
      <c r="AF6624">
        <v>0</v>
      </c>
      <c r="AH6624">
        <v>0</v>
      </c>
      <c r="AK6624">
        <v>0</v>
      </c>
    </row>
    <row r="6625" spans="32:37" x14ac:dyDescent="0.25">
      <c r="AF6625">
        <v>0</v>
      </c>
      <c r="AH6625">
        <v>0</v>
      </c>
      <c r="AK6625">
        <v>0</v>
      </c>
    </row>
    <row r="6626" spans="32:37" x14ac:dyDescent="0.25">
      <c r="AF6626">
        <v>0</v>
      </c>
      <c r="AH6626">
        <v>0</v>
      </c>
      <c r="AK6626">
        <v>0</v>
      </c>
    </row>
    <row r="6627" spans="32:37" x14ac:dyDescent="0.25">
      <c r="AF6627">
        <v>0</v>
      </c>
      <c r="AH6627">
        <v>0</v>
      </c>
      <c r="AK6627">
        <v>0</v>
      </c>
    </row>
    <row r="6628" spans="32:37" x14ac:dyDescent="0.25">
      <c r="AF6628">
        <v>0</v>
      </c>
      <c r="AH6628">
        <v>0</v>
      </c>
      <c r="AK6628">
        <v>0</v>
      </c>
    </row>
    <row r="6629" spans="32:37" x14ac:dyDescent="0.25">
      <c r="AF6629">
        <v>0</v>
      </c>
      <c r="AH6629">
        <v>0</v>
      </c>
      <c r="AK6629">
        <v>0</v>
      </c>
    </row>
    <row r="6630" spans="32:37" x14ac:dyDescent="0.25">
      <c r="AF6630">
        <v>0</v>
      </c>
      <c r="AH6630">
        <v>0</v>
      </c>
      <c r="AK6630">
        <v>0</v>
      </c>
    </row>
    <row r="6631" spans="32:37" x14ac:dyDescent="0.25">
      <c r="AF6631">
        <v>0</v>
      </c>
      <c r="AH6631">
        <v>0</v>
      </c>
      <c r="AK6631">
        <v>0</v>
      </c>
    </row>
    <row r="6632" spans="32:37" x14ac:dyDescent="0.25">
      <c r="AF6632">
        <v>0</v>
      </c>
      <c r="AH6632">
        <v>0</v>
      </c>
      <c r="AK6632">
        <v>0</v>
      </c>
    </row>
    <row r="6633" spans="32:37" x14ac:dyDescent="0.25">
      <c r="AF6633">
        <v>0</v>
      </c>
      <c r="AH6633">
        <v>0</v>
      </c>
      <c r="AK6633">
        <v>0</v>
      </c>
    </row>
    <row r="6634" spans="32:37" x14ac:dyDescent="0.25">
      <c r="AF6634">
        <v>0</v>
      </c>
      <c r="AH6634">
        <v>0</v>
      </c>
      <c r="AK6634">
        <v>0</v>
      </c>
    </row>
    <row r="6635" spans="32:37" x14ac:dyDescent="0.25">
      <c r="AF6635">
        <v>0</v>
      </c>
      <c r="AH6635">
        <v>0</v>
      </c>
      <c r="AK6635">
        <v>0</v>
      </c>
    </row>
    <row r="6636" spans="32:37" x14ac:dyDescent="0.25">
      <c r="AF6636">
        <v>0</v>
      </c>
      <c r="AH6636">
        <v>0</v>
      </c>
      <c r="AK6636">
        <v>0</v>
      </c>
    </row>
    <row r="6637" spans="32:37" x14ac:dyDescent="0.25">
      <c r="AF6637">
        <v>0</v>
      </c>
      <c r="AH6637">
        <v>0</v>
      </c>
      <c r="AK6637">
        <v>0</v>
      </c>
    </row>
    <row r="6638" spans="32:37" x14ac:dyDescent="0.25">
      <c r="AF6638">
        <v>0</v>
      </c>
      <c r="AH6638">
        <v>0</v>
      </c>
      <c r="AK6638">
        <v>0</v>
      </c>
    </row>
    <row r="6639" spans="32:37" x14ac:dyDescent="0.25">
      <c r="AF6639">
        <v>0</v>
      </c>
      <c r="AH6639">
        <v>0</v>
      </c>
      <c r="AK6639">
        <v>0</v>
      </c>
    </row>
    <row r="6640" spans="32:37" x14ac:dyDescent="0.25">
      <c r="AF6640">
        <v>0</v>
      </c>
      <c r="AH6640">
        <v>0</v>
      </c>
      <c r="AK6640">
        <v>0</v>
      </c>
    </row>
    <row r="6641" spans="32:37" x14ac:dyDescent="0.25">
      <c r="AF6641">
        <v>0</v>
      </c>
      <c r="AH6641">
        <v>0</v>
      </c>
      <c r="AK6641">
        <v>0</v>
      </c>
    </row>
    <row r="6642" spans="32:37" x14ac:dyDescent="0.25">
      <c r="AF6642">
        <v>0</v>
      </c>
      <c r="AH6642">
        <v>0</v>
      </c>
      <c r="AK6642">
        <v>0</v>
      </c>
    </row>
    <row r="6643" spans="32:37" x14ac:dyDescent="0.25">
      <c r="AF6643">
        <v>0</v>
      </c>
      <c r="AH6643">
        <v>0</v>
      </c>
      <c r="AK6643">
        <v>0</v>
      </c>
    </row>
    <row r="6644" spans="32:37" x14ac:dyDescent="0.25">
      <c r="AF6644">
        <v>0</v>
      </c>
      <c r="AH6644">
        <v>0</v>
      </c>
      <c r="AK6644">
        <v>0</v>
      </c>
    </row>
    <row r="6645" spans="32:37" x14ac:dyDescent="0.25">
      <c r="AF6645">
        <v>0</v>
      </c>
      <c r="AH6645">
        <v>0</v>
      </c>
      <c r="AK6645">
        <v>0</v>
      </c>
    </row>
    <row r="6646" spans="32:37" x14ac:dyDescent="0.25">
      <c r="AF6646">
        <v>0</v>
      </c>
      <c r="AH6646">
        <v>0</v>
      </c>
      <c r="AK6646">
        <v>0</v>
      </c>
    </row>
    <row r="6647" spans="32:37" x14ac:dyDescent="0.25">
      <c r="AF6647">
        <v>0</v>
      </c>
      <c r="AH6647">
        <v>0</v>
      </c>
      <c r="AK6647">
        <v>0</v>
      </c>
    </row>
    <row r="6648" spans="32:37" x14ac:dyDescent="0.25">
      <c r="AF6648">
        <v>0</v>
      </c>
      <c r="AH6648">
        <v>0</v>
      </c>
      <c r="AK6648">
        <v>0</v>
      </c>
    </row>
    <row r="6649" spans="32:37" x14ac:dyDescent="0.25">
      <c r="AF6649">
        <v>0</v>
      </c>
      <c r="AH6649">
        <v>0</v>
      </c>
      <c r="AK6649">
        <v>0</v>
      </c>
    </row>
    <row r="6650" spans="32:37" x14ac:dyDescent="0.25">
      <c r="AF6650">
        <v>0</v>
      </c>
      <c r="AH6650">
        <v>0</v>
      </c>
      <c r="AK6650">
        <v>0</v>
      </c>
    </row>
    <row r="6651" spans="32:37" x14ac:dyDescent="0.25">
      <c r="AF6651">
        <v>0</v>
      </c>
      <c r="AH6651">
        <v>0</v>
      </c>
      <c r="AK6651">
        <v>0</v>
      </c>
    </row>
    <row r="6652" spans="32:37" x14ac:dyDescent="0.25">
      <c r="AF6652">
        <v>0</v>
      </c>
      <c r="AH6652">
        <v>0</v>
      </c>
      <c r="AK6652">
        <v>0</v>
      </c>
    </row>
    <row r="6653" spans="32:37" x14ac:dyDescent="0.25">
      <c r="AF6653">
        <v>0</v>
      </c>
      <c r="AH6653">
        <v>0</v>
      </c>
      <c r="AK6653">
        <v>0</v>
      </c>
    </row>
    <row r="6654" spans="32:37" x14ac:dyDescent="0.25">
      <c r="AF6654">
        <v>0</v>
      </c>
      <c r="AH6654">
        <v>0</v>
      </c>
      <c r="AK6654">
        <v>0</v>
      </c>
    </row>
    <row r="6655" spans="32:37" x14ac:dyDescent="0.25">
      <c r="AF6655">
        <v>0</v>
      </c>
      <c r="AH6655">
        <v>0</v>
      </c>
      <c r="AK6655">
        <v>0</v>
      </c>
    </row>
    <row r="6656" spans="32:37" x14ac:dyDescent="0.25">
      <c r="AF6656">
        <v>0</v>
      </c>
      <c r="AH6656">
        <v>0</v>
      </c>
      <c r="AK6656">
        <v>0</v>
      </c>
    </row>
    <row r="6657" spans="32:37" x14ac:dyDescent="0.25">
      <c r="AF6657">
        <v>0</v>
      </c>
      <c r="AH6657">
        <v>0</v>
      </c>
      <c r="AK6657">
        <v>0</v>
      </c>
    </row>
    <row r="6658" spans="32:37" x14ac:dyDescent="0.25">
      <c r="AF6658">
        <v>0</v>
      </c>
      <c r="AH6658">
        <v>0</v>
      </c>
      <c r="AK6658">
        <v>0</v>
      </c>
    </row>
    <row r="6659" spans="32:37" x14ac:dyDescent="0.25">
      <c r="AF6659">
        <v>0</v>
      </c>
      <c r="AH6659">
        <v>0</v>
      </c>
      <c r="AK6659">
        <v>0</v>
      </c>
    </row>
    <row r="6660" spans="32:37" x14ac:dyDescent="0.25">
      <c r="AF6660">
        <v>0</v>
      </c>
      <c r="AH6660">
        <v>0</v>
      </c>
      <c r="AK6660">
        <v>0</v>
      </c>
    </row>
    <row r="6661" spans="32:37" x14ac:dyDescent="0.25">
      <c r="AF6661">
        <v>0</v>
      </c>
      <c r="AH6661">
        <v>0</v>
      </c>
      <c r="AK6661">
        <v>0</v>
      </c>
    </row>
    <row r="6662" spans="32:37" x14ac:dyDescent="0.25">
      <c r="AF6662">
        <v>0</v>
      </c>
      <c r="AH6662">
        <v>0</v>
      </c>
      <c r="AK6662">
        <v>0</v>
      </c>
    </row>
    <row r="6663" spans="32:37" x14ac:dyDescent="0.25">
      <c r="AF6663">
        <v>0</v>
      </c>
      <c r="AH6663">
        <v>0</v>
      </c>
      <c r="AK6663">
        <v>0</v>
      </c>
    </row>
    <row r="6664" spans="32:37" x14ac:dyDescent="0.25">
      <c r="AF6664">
        <v>0</v>
      </c>
      <c r="AH6664">
        <v>0</v>
      </c>
      <c r="AK6664">
        <v>0</v>
      </c>
    </row>
    <row r="6665" spans="32:37" x14ac:dyDescent="0.25">
      <c r="AF6665">
        <v>0</v>
      </c>
      <c r="AH6665">
        <v>0</v>
      </c>
      <c r="AK6665">
        <v>0</v>
      </c>
    </row>
    <row r="6666" spans="32:37" x14ac:dyDescent="0.25">
      <c r="AF6666">
        <v>0</v>
      </c>
      <c r="AH6666">
        <v>0</v>
      </c>
      <c r="AK6666">
        <v>0</v>
      </c>
    </row>
    <row r="6667" spans="32:37" x14ac:dyDescent="0.25">
      <c r="AF6667">
        <v>0</v>
      </c>
      <c r="AH6667">
        <v>0</v>
      </c>
      <c r="AK6667">
        <v>0</v>
      </c>
    </row>
    <row r="6668" spans="32:37" x14ac:dyDescent="0.25">
      <c r="AF6668">
        <v>0</v>
      </c>
      <c r="AH6668">
        <v>0</v>
      </c>
      <c r="AK6668">
        <v>0</v>
      </c>
    </row>
    <row r="6669" spans="32:37" x14ac:dyDescent="0.25">
      <c r="AF6669">
        <v>0</v>
      </c>
      <c r="AH6669">
        <v>0</v>
      </c>
      <c r="AK6669">
        <v>0</v>
      </c>
    </row>
    <row r="6670" spans="32:37" x14ac:dyDescent="0.25">
      <c r="AF6670">
        <v>0</v>
      </c>
      <c r="AH6670">
        <v>0</v>
      </c>
      <c r="AK6670">
        <v>0</v>
      </c>
    </row>
    <row r="6671" spans="32:37" x14ac:dyDescent="0.25">
      <c r="AF6671">
        <v>0</v>
      </c>
      <c r="AH6671">
        <v>0</v>
      </c>
      <c r="AK6671">
        <v>0</v>
      </c>
    </row>
    <row r="6672" spans="32:37" x14ac:dyDescent="0.25">
      <c r="AF6672">
        <v>0</v>
      </c>
      <c r="AH6672">
        <v>0</v>
      </c>
      <c r="AK6672">
        <v>0</v>
      </c>
    </row>
    <row r="6673" spans="32:37" x14ac:dyDescent="0.25">
      <c r="AF6673">
        <v>0</v>
      </c>
      <c r="AH6673">
        <v>0</v>
      </c>
      <c r="AK6673">
        <v>0</v>
      </c>
    </row>
    <row r="6674" spans="32:37" x14ac:dyDescent="0.25">
      <c r="AF6674">
        <v>0</v>
      </c>
      <c r="AH6674">
        <v>0</v>
      </c>
      <c r="AK6674">
        <v>0</v>
      </c>
    </row>
    <row r="6675" spans="32:37" x14ac:dyDescent="0.25">
      <c r="AF6675">
        <v>0</v>
      </c>
      <c r="AH6675">
        <v>0</v>
      </c>
      <c r="AK6675">
        <v>0</v>
      </c>
    </row>
    <row r="6676" spans="32:37" x14ac:dyDescent="0.25">
      <c r="AF6676">
        <v>0</v>
      </c>
      <c r="AH6676">
        <v>0</v>
      </c>
      <c r="AK6676">
        <v>0</v>
      </c>
    </row>
    <row r="6677" spans="32:37" x14ac:dyDescent="0.25">
      <c r="AF6677">
        <v>0</v>
      </c>
      <c r="AH6677">
        <v>0</v>
      </c>
      <c r="AK6677">
        <v>0</v>
      </c>
    </row>
    <row r="6678" spans="32:37" x14ac:dyDescent="0.25">
      <c r="AF6678">
        <v>0</v>
      </c>
      <c r="AH6678">
        <v>0</v>
      </c>
      <c r="AK6678">
        <v>0</v>
      </c>
    </row>
    <row r="6679" spans="32:37" x14ac:dyDescent="0.25">
      <c r="AF6679">
        <v>0</v>
      </c>
      <c r="AH6679">
        <v>0</v>
      </c>
      <c r="AK6679">
        <v>0</v>
      </c>
    </row>
    <row r="6680" spans="32:37" x14ac:dyDescent="0.25">
      <c r="AF6680">
        <v>0</v>
      </c>
      <c r="AH6680">
        <v>0</v>
      </c>
      <c r="AK6680">
        <v>0</v>
      </c>
    </row>
    <row r="6681" spans="32:37" x14ac:dyDescent="0.25">
      <c r="AF6681">
        <v>0</v>
      </c>
      <c r="AH6681">
        <v>0</v>
      </c>
      <c r="AK6681">
        <v>0</v>
      </c>
    </row>
    <row r="6682" spans="32:37" x14ac:dyDescent="0.25">
      <c r="AF6682">
        <v>0</v>
      </c>
      <c r="AH6682">
        <v>0</v>
      </c>
      <c r="AK6682">
        <v>0</v>
      </c>
    </row>
    <row r="6683" spans="32:37" x14ac:dyDescent="0.25">
      <c r="AF6683">
        <v>0</v>
      </c>
      <c r="AH6683">
        <v>0</v>
      </c>
      <c r="AK6683">
        <v>0</v>
      </c>
    </row>
    <row r="6684" spans="32:37" x14ac:dyDescent="0.25">
      <c r="AF6684">
        <v>0</v>
      </c>
      <c r="AH6684">
        <v>0</v>
      </c>
      <c r="AK6684">
        <v>0</v>
      </c>
    </row>
    <row r="6685" spans="32:37" x14ac:dyDescent="0.25">
      <c r="AF6685">
        <v>0</v>
      </c>
      <c r="AH6685">
        <v>0</v>
      </c>
      <c r="AK6685">
        <v>0</v>
      </c>
    </row>
    <row r="6686" spans="32:37" x14ac:dyDescent="0.25">
      <c r="AF6686">
        <v>0</v>
      </c>
      <c r="AH6686">
        <v>0</v>
      </c>
      <c r="AK6686">
        <v>0</v>
      </c>
    </row>
    <row r="6687" spans="32:37" x14ac:dyDescent="0.25">
      <c r="AF6687">
        <v>0</v>
      </c>
      <c r="AH6687">
        <v>0</v>
      </c>
      <c r="AK6687">
        <v>0</v>
      </c>
    </row>
    <row r="6688" spans="32:37" x14ac:dyDescent="0.25">
      <c r="AF6688">
        <v>0</v>
      </c>
      <c r="AH6688">
        <v>0</v>
      </c>
      <c r="AK6688">
        <v>0</v>
      </c>
    </row>
    <row r="6689" spans="32:37" x14ac:dyDescent="0.25">
      <c r="AF6689">
        <v>0</v>
      </c>
      <c r="AH6689">
        <v>0</v>
      </c>
      <c r="AK6689">
        <v>0</v>
      </c>
    </row>
    <row r="6690" spans="32:37" x14ac:dyDescent="0.25">
      <c r="AF6690">
        <v>0</v>
      </c>
      <c r="AH6690">
        <v>0</v>
      </c>
      <c r="AK6690">
        <v>0</v>
      </c>
    </row>
    <row r="6691" spans="32:37" x14ac:dyDescent="0.25">
      <c r="AF6691">
        <v>0</v>
      </c>
      <c r="AH6691">
        <v>0</v>
      </c>
      <c r="AK6691">
        <v>0</v>
      </c>
    </row>
    <row r="6692" spans="32:37" x14ac:dyDescent="0.25">
      <c r="AF6692">
        <v>0</v>
      </c>
      <c r="AH6692">
        <v>0</v>
      </c>
      <c r="AK6692">
        <v>0</v>
      </c>
    </row>
    <row r="6693" spans="32:37" x14ac:dyDescent="0.25">
      <c r="AF6693">
        <v>0</v>
      </c>
      <c r="AH6693">
        <v>0</v>
      </c>
      <c r="AK6693">
        <v>0</v>
      </c>
    </row>
    <row r="6694" spans="32:37" x14ac:dyDescent="0.25">
      <c r="AF6694">
        <v>0</v>
      </c>
      <c r="AH6694">
        <v>0</v>
      </c>
      <c r="AK6694">
        <v>0</v>
      </c>
    </row>
    <row r="6695" spans="32:37" x14ac:dyDescent="0.25">
      <c r="AF6695">
        <v>0</v>
      </c>
      <c r="AH6695">
        <v>0</v>
      </c>
      <c r="AK6695">
        <v>0</v>
      </c>
    </row>
    <row r="6696" spans="32:37" x14ac:dyDescent="0.25">
      <c r="AF6696">
        <v>0</v>
      </c>
      <c r="AH6696">
        <v>0</v>
      </c>
      <c r="AK6696">
        <v>0</v>
      </c>
    </row>
    <row r="6697" spans="32:37" x14ac:dyDescent="0.25">
      <c r="AF6697">
        <v>0</v>
      </c>
      <c r="AH6697">
        <v>0</v>
      </c>
      <c r="AK6697">
        <v>0</v>
      </c>
    </row>
    <row r="6698" spans="32:37" x14ac:dyDescent="0.25">
      <c r="AF6698">
        <v>0</v>
      </c>
      <c r="AH6698">
        <v>0</v>
      </c>
      <c r="AK6698">
        <v>0</v>
      </c>
    </row>
    <row r="6699" spans="32:37" x14ac:dyDescent="0.25">
      <c r="AF6699">
        <v>0</v>
      </c>
      <c r="AH6699">
        <v>0</v>
      </c>
      <c r="AK6699">
        <v>0</v>
      </c>
    </row>
    <row r="6700" spans="32:37" x14ac:dyDescent="0.25">
      <c r="AF6700">
        <v>0</v>
      </c>
      <c r="AH6700">
        <v>0</v>
      </c>
      <c r="AK6700">
        <v>0</v>
      </c>
    </row>
    <row r="6701" spans="32:37" x14ac:dyDescent="0.25">
      <c r="AF6701">
        <v>0</v>
      </c>
      <c r="AH6701">
        <v>0</v>
      </c>
      <c r="AK6701">
        <v>0</v>
      </c>
    </row>
    <row r="6702" spans="32:37" x14ac:dyDescent="0.25">
      <c r="AF6702">
        <v>0</v>
      </c>
      <c r="AH6702">
        <v>0</v>
      </c>
      <c r="AK6702">
        <v>0</v>
      </c>
    </row>
    <row r="6703" spans="32:37" x14ac:dyDescent="0.25">
      <c r="AF6703">
        <v>0</v>
      </c>
      <c r="AH6703">
        <v>0</v>
      </c>
      <c r="AK6703">
        <v>0</v>
      </c>
    </row>
    <row r="6704" spans="32:37" x14ac:dyDescent="0.25">
      <c r="AF6704">
        <v>0</v>
      </c>
      <c r="AH6704">
        <v>0</v>
      </c>
      <c r="AK6704">
        <v>0</v>
      </c>
    </row>
    <row r="6705" spans="32:37" x14ac:dyDescent="0.25">
      <c r="AF6705">
        <v>0</v>
      </c>
      <c r="AH6705">
        <v>0</v>
      </c>
      <c r="AK6705">
        <v>0</v>
      </c>
    </row>
    <row r="6706" spans="32:37" x14ac:dyDescent="0.25">
      <c r="AF6706">
        <v>0</v>
      </c>
      <c r="AH6706">
        <v>0</v>
      </c>
      <c r="AK6706">
        <v>0</v>
      </c>
    </row>
    <row r="6707" spans="32:37" x14ac:dyDescent="0.25">
      <c r="AF6707">
        <v>0</v>
      </c>
      <c r="AH6707">
        <v>0</v>
      </c>
      <c r="AK6707">
        <v>0</v>
      </c>
    </row>
    <row r="6708" spans="32:37" x14ac:dyDescent="0.25">
      <c r="AF6708">
        <v>0</v>
      </c>
      <c r="AH6708">
        <v>0</v>
      </c>
      <c r="AK6708">
        <v>0</v>
      </c>
    </row>
    <row r="6709" spans="32:37" x14ac:dyDescent="0.25">
      <c r="AF6709">
        <v>0</v>
      </c>
      <c r="AH6709">
        <v>0</v>
      </c>
      <c r="AK6709">
        <v>0</v>
      </c>
    </row>
    <row r="6710" spans="32:37" x14ac:dyDescent="0.25">
      <c r="AF6710">
        <v>0</v>
      </c>
      <c r="AH6710">
        <v>0</v>
      </c>
      <c r="AK6710">
        <v>0</v>
      </c>
    </row>
    <row r="6711" spans="32:37" x14ac:dyDescent="0.25">
      <c r="AF6711">
        <v>0</v>
      </c>
      <c r="AH6711">
        <v>0</v>
      </c>
      <c r="AK6711">
        <v>0</v>
      </c>
    </row>
    <row r="6712" spans="32:37" x14ac:dyDescent="0.25">
      <c r="AF6712">
        <v>0</v>
      </c>
      <c r="AH6712">
        <v>0</v>
      </c>
      <c r="AK6712">
        <v>0</v>
      </c>
    </row>
    <row r="6713" spans="32:37" x14ac:dyDescent="0.25">
      <c r="AF6713">
        <v>0</v>
      </c>
      <c r="AH6713">
        <v>0</v>
      </c>
      <c r="AK6713">
        <v>0</v>
      </c>
    </row>
    <row r="6714" spans="32:37" x14ac:dyDescent="0.25">
      <c r="AF6714">
        <v>0</v>
      </c>
      <c r="AH6714">
        <v>0</v>
      </c>
      <c r="AK6714">
        <v>0</v>
      </c>
    </row>
    <row r="6715" spans="32:37" x14ac:dyDescent="0.25">
      <c r="AF6715">
        <v>0</v>
      </c>
      <c r="AH6715">
        <v>0</v>
      </c>
      <c r="AK6715">
        <v>0</v>
      </c>
    </row>
    <row r="6716" spans="32:37" x14ac:dyDescent="0.25">
      <c r="AF6716">
        <v>0</v>
      </c>
      <c r="AH6716">
        <v>0</v>
      </c>
      <c r="AK6716">
        <v>0</v>
      </c>
    </row>
    <row r="6717" spans="32:37" x14ac:dyDescent="0.25">
      <c r="AF6717">
        <v>0</v>
      </c>
      <c r="AH6717">
        <v>0</v>
      </c>
      <c r="AK6717">
        <v>0</v>
      </c>
    </row>
    <row r="6718" spans="32:37" x14ac:dyDescent="0.25">
      <c r="AF6718">
        <v>0</v>
      </c>
      <c r="AH6718">
        <v>0</v>
      </c>
      <c r="AK6718">
        <v>0</v>
      </c>
    </row>
    <row r="6719" spans="32:37" x14ac:dyDescent="0.25">
      <c r="AF6719">
        <v>0</v>
      </c>
      <c r="AH6719">
        <v>0</v>
      </c>
      <c r="AK6719">
        <v>0</v>
      </c>
    </row>
    <row r="6720" spans="32:37" x14ac:dyDescent="0.25">
      <c r="AF6720">
        <v>0</v>
      </c>
      <c r="AH6720">
        <v>0</v>
      </c>
      <c r="AK6720">
        <v>0</v>
      </c>
    </row>
    <row r="6721" spans="32:37" x14ac:dyDescent="0.25">
      <c r="AF6721">
        <v>0</v>
      </c>
      <c r="AH6721">
        <v>0</v>
      </c>
      <c r="AK6721">
        <v>0</v>
      </c>
    </row>
    <row r="6722" spans="32:37" x14ac:dyDescent="0.25">
      <c r="AF6722">
        <v>0</v>
      </c>
      <c r="AH6722">
        <v>0</v>
      </c>
      <c r="AK6722">
        <v>0</v>
      </c>
    </row>
    <row r="6723" spans="32:37" x14ac:dyDescent="0.25">
      <c r="AF6723">
        <v>0</v>
      </c>
      <c r="AH6723">
        <v>0</v>
      </c>
      <c r="AK6723">
        <v>0</v>
      </c>
    </row>
    <row r="6724" spans="32:37" x14ac:dyDescent="0.25">
      <c r="AF6724">
        <v>0</v>
      </c>
      <c r="AH6724">
        <v>0</v>
      </c>
      <c r="AK6724">
        <v>0</v>
      </c>
    </row>
    <row r="6725" spans="32:37" x14ac:dyDescent="0.25">
      <c r="AF6725">
        <v>0</v>
      </c>
      <c r="AH6725">
        <v>0</v>
      </c>
      <c r="AK6725">
        <v>0</v>
      </c>
    </row>
    <row r="6726" spans="32:37" x14ac:dyDescent="0.25">
      <c r="AF6726">
        <v>0</v>
      </c>
      <c r="AH6726">
        <v>0</v>
      </c>
      <c r="AK6726">
        <v>0</v>
      </c>
    </row>
    <row r="6727" spans="32:37" x14ac:dyDescent="0.25">
      <c r="AF6727">
        <v>0</v>
      </c>
      <c r="AH6727">
        <v>0</v>
      </c>
      <c r="AK6727">
        <v>0</v>
      </c>
    </row>
    <row r="6728" spans="32:37" x14ac:dyDescent="0.25">
      <c r="AF6728">
        <v>0</v>
      </c>
      <c r="AH6728">
        <v>0</v>
      </c>
      <c r="AK6728">
        <v>0</v>
      </c>
    </row>
    <row r="6729" spans="32:37" x14ac:dyDescent="0.25">
      <c r="AF6729">
        <v>0</v>
      </c>
      <c r="AH6729">
        <v>0</v>
      </c>
      <c r="AK6729">
        <v>0</v>
      </c>
    </row>
    <row r="6730" spans="32:37" x14ac:dyDescent="0.25">
      <c r="AF6730">
        <v>0</v>
      </c>
      <c r="AH6730">
        <v>0</v>
      </c>
      <c r="AK6730">
        <v>0</v>
      </c>
    </row>
    <row r="6731" spans="32:37" x14ac:dyDescent="0.25">
      <c r="AF6731">
        <v>0</v>
      </c>
      <c r="AH6731">
        <v>0</v>
      </c>
      <c r="AK6731">
        <v>0</v>
      </c>
    </row>
    <row r="6732" spans="32:37" x14ac:dyDescent="0.25">
      <c r="AF6732">
        <v>0</v>
      </c>
      <c r="AH6732">
        <v>0</v>
      </c>
      <c r="AK6732">
        <v>0</v>
      </c>
    </row>
    <row r="6733" spans="32:37" x14ac:dyDescent="0.25">
      <c r="AF6733">
        <v>0</v>
      </c>
      <c r="AH6733">
        <v>0</v>
      </c>
      <c r="AK6733">
        <v>0</v>
      </c>
    </row>
    <row r="6734" spans="32:37" x14ac:dyDescent="0.25">
      <c r="AF6734">
        <v>0</v>
      </c>
      <c r="AH6734">
        <v>0</v>
      </c>
      <c r="AK6734">
        <v>0</v>
      </c>
    </row>
    <row r="6735" spans="32:37" x14ac:dyDescent="0.25">
      <c r="AF6735">
        <v>0</v>
      </c>
      <c r="AH6735">
        <v>0</v>
      </c>
      <c r="AK6735">
        <v>0</v>
      </c>
    </row>
    <row r="6736" spans="32:37" x14ac:dyDescent="0.25">
      <c r="AF6736">
        <v>0</v>
      </c>
      <c r="AH6736">
        <v>0</v>
      </c>
      <c r="AK6736">
        <v>0</v>
      </c>
    </row>
    <row r="6737" spans="19:37" x14ac:dyDescent="0.25">
      <c r="S6737" t="s">
        <v>6029</v>
      </c>
      <c r="AF6737">
        <v>0</v>
      </c>
      <c r="AH6737">
        <v>0</v>
      </c>
      <c r="AK6737">
        <v>0</v>
      </c>
    </row>
    <row r="6738" spans="19:37" x14ac:dyDescent="0.25">
      <c r="S6738" t="s">
        <v>6004</v>
      </c>
      <c r="AF6738">
        <v>0</v>
      </c>
      <c r="AH6738">
        <v>0</v>
      </c>
      <c r="AK6738">
        <v>0</v>
      </c>
    </row>
    <row r="6739" spans="19:37" x14ac:dyDescent="0.25">
      <c r="AF6739">
        <v>0</v>
      </c>
      <c r="AH6739">
        <v>0</v>
      </c>
      <c r="AK6739">
        <v>0</v>
      </c>
    </row>
    <row r="6740" spans="19:37" x14ac:dyDescent="0.25">
      <c r="AF6740">
        <v>0</v>
      </c>
      <c r="AH6740">
        <v>0</v>
      </c>
      <c r="AK6740">
        <v>0</v>
      </c>
    </row>
    <row r="6741" spans="19:37" x14ac:dyDescent="0.25">
      <c r="AF6741">
        <v>0</v>
      </c>
      <c r="AH6741">
        <v>0</v>
      </c>
      <c r="AK6741">
        <v>0</v>
      </c>
    </row>
    <row r="6742" spans="19:37" x14ac:dyDescent="0.25">
      <c r="AF6742">
        <v>0</v>
      </c>
      <c r="AH6742">
        <v>0</v>
      </c>
      <c r="AK6742">
        <v>0</v>
      </c>
    </row>
    <row r="6743" spans="19:37" x14ac:dyDescent="0.25">
      <c r="AF6743">
        <v>0</v>
      </c>
      <c r="AH6743">
        <v>0</v>
      </c>
      <c r="AK6743">
        <v>0</v>
      </c>
    </row>
    <row r="6744" spans="19:37" x14ac:dyDescent="0.25">
      <c r="AF6744">
        <v>0</v>
      </c>
      <c r="AH6744">
        <v>0</v>
      </c>
      <c r="AK6744">
        <v>0</v>
      </c>
    </row>
    <row r="6745" spans="19:37" x14ac:dyDescent="0.25">
      <c r="AF6745">
        <v>0</v>
      </c>
      <c r="AH6745">
        <v>0</v>
      </c>
      <c r="AK6745">
        <v>0</v>
      </c>
    </row>
    <row r="6746" spans="19:37" x14ac:dyDescent="0.25">
      <c r="AF6746">
        <v>0</v>
      </c>
      <c r="AH6746">
        <v>0</v>
      </c>
      <c r="AK6746">
        <v>0</v>
      </c>
    </row>
    <row r="6747" spans="19:37" x14ac:dyDescent="0.25">
      <c r="AF6747">
        <v>0</v>
      </c>
      <c r="AH6747">
        <v>0</v>
      </c>
      <c r="AK6747">
        <v>0</v>
      </c>
    </row>
    <row r="6748" spans="19:37" x14ac:dyDescent="0.25">
      <c r="AF6748">
        <v>0</v>
      </c>
      <c r="AH6748">
        <v>0</v>
      </c>
      <c r="AK6748">
        <v>0</v>
      </c>
    </row>
    <row r="6749" spans="19:37" x14ac:dyDescent="0.25">
      <c r="AF6749">
        <v>0</v>
      </c>
      <c r="AH6749">
        <v>0</v>
      </c>
      <c r="AK6749">
        <v>0</v>
      </c>
    </row>
    <row r="6750" spans="19:37" x14ac:dyDescent="0.25">
      <c r="AF6750">
        <v>0</v>
      </c>
      <c r="AH6750">
        <v>0</v>
      </c>
      <c r="AK6750">
        <v>0</v>
      </c>
    </row>
    <row r="6751" spans="19:37" x14ac:dyDescent="0.25">
      <c r="AF6751">
        <v>0</v>
      </c>
      <c r="AH6751">
        <v>0</v>
      </c>
      <c r="AK6751">
        <v>0</v>
      </c>
    </row>
    <row r="6752" spans="19:37" x14ac:dyDescent="0.25">
      <c r="AF6752">
        <v>0</v>
      </c>
      <c r="AH6752">
        <v>0</v>
      </c>
      <c r="AK6752">
        <v>0</v>
      </c>
    </row>
    <row r="6753" spans="32:37" x14ac:dyDescent="0.25">
      <c r="AF6753">
        <v>0</v>
      </c>
      <c r="AH6753">
        <v>0</v>
      </c>
      <c r="AK6753">
        <v>0</v>
      </c>
    </row>
    <row r="6754" spans="32:37" x14ac:dyDescent="0.25">
      <c r="AF6754">
        <v>0</v>
      </c>
      <c r="AH6754">
        <v>0</v>
      </c>
      <c r="AK6754">
        <v>0</v>
      </c>
    </row>
    <row r="6755" spans="32:37" x14ac:dyDescent="0.25">
      <c r="AF6755">
        <v>0</v>
      </c>
      <c r="AH6755">
        <v>0</v>
      </c>
      <c r="AK6755">
        <v>0</v>
      </c>
    </row>
    <row r="6756" spans="32:37" x14ac:dyDescent="0.25">
      <c r="AF6756">
        <v>0</v>
      </c>
      <c r="AH6756">
        <v>0</v>
      </c>
      <c r="AK6756">
        <v>0</v>
      </c>
    </row>
    <row r="6757" spans="32:37" x14ac:dyDescent="0.25">
      <c r="AF6757">
        <v>0</v>
      </c>
      <c r="AH6757">
        <v>0</v>
      </c>
      <c r="AK6757">
        <v>0</v>
      </c>
    </row>
    <row r="6758" spans="32:37" x14ac:dyDescent="0.25">
      <c r="AF6758">
        <v>0</v>
      </c>
      <c r="AH6758">
        <v>0</v>
      </c>
      <c r="AK6758">
        <v>0</v>
      </c>
    </row>
    <row r="6759" spans="32:37" x14ac:dyDescent="0.25">
      <c r="AF6759">
        <v>0</v>
      </c>
      <c r="AH6759">
        <v>0</v>
      </c>
      <c r="AK6759">
        <v>0</v>
      </c>
    </row>
    <row r="6760" spans="32:37" x14ac:dyDescent="0.25">
      <c r="AF6760">
        <v>0</v>
      </c>
      <c r="AH6760">
        <v>0</v>
      </c>
      <c r="AK6760">
        <v>0</v>
      </c>
    </row>
    <row r="6761" spans="32:37" x14ac:dyDescent="0.25">
      <c r="AF6761">
        <v>0</v>
      </c>
      <c r="AH6761">
        <v>0</v>
      </c>
      <c r="AK6761">
        <v>0</v>
      </c>
    </row>
    <row r="6762" spans="32:37" x14ac:dyDescent="0.25">
      <c r="AF6762">
        <v>0</v>
      </c>
      <c r="AH6762">
        <v>0</v>
      </c>
      <c r="AK6762">
        <v>0</v>
      </c>
    </row>
    <row r="6763" spans="32:37" x14ac:dyDescent="0.25">
      <c r="AF6763">
        <v>0</v>
      </c>
      <c r="AH6763">
        <v>0</v>
      </c>
      <c r="AK6763">
        <v>0</v>
      </c>
    </row>
    <row r="6764" spans="32:37" x14ac:dyDescent="0.25">
      <c r="AF6764">
        <v>0</v>
      </c>
      <c r="AH6764">
        <v>0</v>
      </c>
      <c r="AK6764">
        <v>0</v>
      </c>
    </row>
    <row r="6765" spans="32:37" x14ac:dyDescent="0.25">
      <c r="AF6765">
        <v>0</v>
      </c>
      <c r="AH6765">
        <v>0</v>
      </c>
      <c r="AK6765">
        <v>0</v>
      </c>
    </row>
    <row r="6766" spans="32:37" x14ac:dyDescent="0.25">
      <c r="AF6766">
        <v>0</v>
      </c>
      <c r="AH6766">
        <v>0</v>
      </c>
      <c r="AK6766">
        <v>0</v>
      </c>
    </row>
    <row r="6767" spans="32:37" x14ac:dyDescent="0.25">
      <c r="AF6767">
        <v>0</v>
      </c>
      <c r="AH6767">
        <v>0</v>
      </c>
      <c r="AK6767">
        <v>0</v>
      </c>
    </row>
    <row r="6768" spans="32:37" x14ac:dyDescent="0.25">
      <c r="AF6768">
        <v>0</v>
      </c>
      <c r="AH6768">
        <v>0</v>
      </c>
      <c r="AK6768">
        <v>0</v>
      </c>
    </row>
    <row r="6769" spans="32:37" x14ac:dyDescent="0.25">
      <c r="AF6769">
        <v>0</v>
      </c>
      <c r="AH6769">
        <v>0</v>
      </c>
      <c r="AK6769">
        <v>0</v>
      </c>
    </row>
    <row r="6770" spans="32:37" x14ac:dyDescent="0.25">
      <c r="AF6770">
        <v>0</v>
      </c>
      <c r="AH6770">
        <v>0</v>
      </c>
      <c r="AK6770">
        <v>0</v>
      </c>
    </row>
    <row r="6771" spans="32:37" x14ac:dyDescent="0.25">
      <c r="AF6771">
        <v>0</v>
      </c>
      <c r="AH6771">
        <v>0</v>
      </c>
      <c r="AK6771">
        <v>0</v>
      </c>
    </row>
    <row r="6772" spans="32:37" x14ac:dyDescent="0.25">
      <c r="AF6772">
        <v>0</v>
      </c>
      <c r="AH6772">
        <v>0</v>
      </c>
      <c r="AK6772">
        <v>0</v>
      </c>
    </row>
    <row r="6773" spans="32:37" x14ac:dyDescent="0.25">
      <c r="AF6773">
        <v>0</v>
      </c>
      <c r="AH6773">
        <v>0</v>
      </c>
      <c r="AK6773">
        <v>0</v>
      </c>
    </row>
    <row r="6774" spans="32:37" x14ac:dyDescent="0.25">
      <c r="AF6774">
        <v>0</v>
      </c>
      <c r="AH6774">
        <v>0</v>
      </c>
      <c r="AK6774">
        <v>0</v>
      </c>
    </row>
    <row r="6775" spans="32:37" x14ac:dyDescent="0.25">
      <c r="AF6775">
        <v>0</v>
      </c>
      <c r="AH6775">
        <v>0</v>
      </c>
      <c r="AK6775">
        <v>0</v>
      </c>
    </row>
    <row r="6776" spans="32:37" x14ac:dyDescent="0.25">
      <c r="AF6776">
        <v>0</v>
      </c>
      <c r="AH6776">
        <v>0</v>
      </c>
      <c r="AK6776">
        <v>0</v>
      </c>
    </row>
    <row r="6777" spans="32:37" x14ac:dyDescent="0.25">
      <c r="AF6777">
        <v>0</v>
      </c>
      <c r="AH6777">
        <v>0</v>
      </c>
      <c r="AK6777">
        <v>0</v>
      </c>
    </row>
    <row r="6778" spans="32:37" x14ac:dyDescent="0.25">
      <c r="AF6778">
        <v>0</v>
      </c>
      <c r="AH6778">
        <v>0</v>
      </c>
      <c r="AK6778">
        <v>0</v>
      </c>
    </row>
    <row r="6779" spans="32:37" x14ac:dyDescent="0.25">
      <c r="AF6779">
        <v>0</v>
      </c>
      <c r="AH6779">
        <v>0</v>
      </c>
      <c r="AK6779">
        <v>0</v>
      </c>
    </row>
    <row r="6780" spans="32:37" x14ac:dyDescent="0.25">
      <c r="AF6780">
        <v>0</v>
      </c>
      <c r="AH6780">
        <v>0</v>
      </c>
      <c r="AK6780">
        <v>0</v>
      </c>
    </row>
    <row r="6781" spans="32:37" x14ac:dyDescent="0.25">
      <c r="AF6781">
        <v>0</v>
      </c>
      <c r="AH6781">
        <v>0</v>
      </c>
      <c r="AK6781">
        <v>0</v>
      </c>
    </row>
    <row r="6782" spans="32:37" x14ac:dyDescent="0.25">
      <c r="AF6782">
        <v>0</v>
      </c>
      <c r="AH6782">
        <v>0</v>
      </c>
      <c r="AK6782">
        <v>0</v>
      </c>
    </row>
    <row r="6783" spans="32:37" x14ac:dyDescent="0.25">
      <c r="AF6783">
        <v>0</v>
      </c>
      <c r="AH6783">
        <v>0</v>
      </c>
      <c r="AK6783">
        <v>0</v>
      </c>
    </row>
    <row r="6784" spans="32:37" x14ac:dyDescent="0.25">
      <c r="AF6784">
        <v>0</v>
      </c>
      <c r="AH6784">
        <v>0</v>
      </c>
      <c r="AK6784">
        <v>0</v>
      </c>
    </row>
    <row r="6785" spans="32:37" x14ac:dyDescent="0.25">
      <c r="AF6785">
        <v>0</v>
      </c>
      <c r="AH6785">
        <v>0</v>
      </c>
      <c r="AK6785">
        <v>0</v>
      </c>
    </row>
    <row r="6786" spans="32:37" x14ac:dyDescent="0.25">
      <c r="AF6786">
        <v>0</v>
      </c>
      <c r="AH6786">
        <v>0</v>
      </c>
      <c r="AK6786">
        <v>0</v>
      </c>
    </row>
    <row r="6787" spans="32:37" x14ac:dyDescent="0.25">
      <c r="AF6787">
        <v>0</v>
      </c>
      <c r="AH6787">
        <v>0</v>
      </c>
      <c r="AK6787">
        <v>0</v>
      </c>
    </row>
    <row r="6788" spans="32:37" x14ac:dyDescent="0.25">
      <c r="AF6788">
        <v>0</v>
      </c>
      <c r="AH6788">
        <v>0</v>
      </c>
      <c r="AK6788">
        <v>0</v>
      </c>
    </row>
    <row r="6789" spans="32:37" x14ac:dyDescent="0.25">
      <c r="AF6789">
        <v>0</v>
      </c>
      <c r="AH6789">
        <v>0</v>
      </c>
      <c r="AK6789">
        <v>0</v>
      </c>
    </row>
    <row r="6790" spans="32:37" x14ac:dyDescent="0.25">
      <c r="AF6790">
        <v>0</v>
      </c>
      <c r="AH6790">
        <v>0</v>
      </c>
      <c r="AK6790">
        <v>0</v>
      </c>
    </row>
    <row r="6791" spans="32:37" x14ac:dyDescent="0.25">
      <c r="AF6791">
        <v>0</v>
      </c>
      <c r="AH6791">
        <v>0</v>
      </c>
      <c r="AK6791">
        <v>0</v>
      </c>
    </row>
    <row r="6792" spans="32:37" x14ac:dyDescent="0.25">
      <c r="AF6792">
        <v>0</v>
      </c>
      <c r="AH6792">
        <v>0</v>
      </c>
      <c r="AK6792">
        <v>0</v>
      </c>
    </row>
    <row r="6793" spans="32:37" x14ac:dyDescent="0.25">
      <c r="AF6793">
        <v>0</v>
      </c>
      <c r="AH6793">
        <v>0</v>
      </c>
      <c r="AK6793">
        <v>0</v>
      </c>
    </row>
    <row r="6794" spans="32:37" x14ac:dyDescent="0.25">
      <c r="AF6794">
        <v>0</v>
      </c>
      <c r="AH6794">
        <v>0</v>
      </c>
      <c r="AK6794">
        <v>0</v>
      </c>
    </row>
    <row r="6795" spans="32:37" x14ac:dyDescent="0.25">
      <c r="AF6795">
        <v>0</v>
      </c>
      <c r="AH6795">
        <v>0</v>
      </c>
      <c r="AK6795">
        <v>0</v>
      </c>
    </row>
    <row r="6796" spans="32:37" x14ac:dyDescent="0.25">
      <c r="AF6796">
        <v>0</v>
      </c>
      <c r="AH6796">
        <v>0</v>
      </c>
      <c r="AK6796">
        <v>0</v>
      </c>
    </row>
    <row r="6797" spans="32:37" x14ac:dyDescent="0.25">
      <c r="AF6797">
        <v>0</v>
      </c>
      <c r="AH6797">
        <v>0</v>
      </c>
      <c r="AK6797">
        <v>0</v>
      </c>
    </row>
    <row r="6798" spans="32:37" x14ac:dyDescent="0.25">
      <c r="AF6798">
        <v>0</v>
      </c>
      <c r="AH6798">
        <v>0</v>
      </c>
      <c r="AK6798">
        <v>0</v>
      </c>
    </row>
    <row r="6799" spans="32:37" x14ac:dyDescent="0.25">
      <c r="AF6799">
        <v>0</v>
      </c>
      <c r="AH6799">
        <v>0</v>
      </c>
      <c r="AK6799">
        <v>0</v>
      </c>
    </row>
    <row r="6800" spans="32:37" x14ac:dyDescent="0.25">
      <c r="AF6800">
        <v>0</v>
      </c>
      <c r="AH6800">
        <v>0</v>
      </c>
      <c r="AK6800">
        <v>0</v>
      </c>
    </row>
    <row r="6801" spans="32:37" x14ac:dyDescent="0.25">
      <c r="AF6801">
        <v>0</v>
      </c>
      <c r="AH6801">
        <v>0</v>
      </c>
      <c r="AK6801">
        <v>0</v>
      </c>
    </row>
    <row r="6802" spans="32:37" x14ac:dyDescent="0.25">
      <c r="AF6802">
        <v>0</v>
      </c>
      <c r="AH6802">
        <v>0</v>
      </c>
      <c r="AK6802">
        <v>0</v>
      </c>
    </row>
    <row r="6803" spans="32:37" x14ac:dyDescent="0.25">
      <c r="AF6803">
        <v>0</v>
      </c>
      <c r="AH6803">
        <v>0</v>
      </c>
      <c r="AK6803">
        <v>0</v>
      </c>
    </row>
    <row r="6804" spans="32:37" x14ac:dyDescent="0.25">
      <c r="AF6804">
        <v>0</v>
      </c>
      <c r="AH6804">
        <v>0</v>
      </c>
      <c r="AK6804">
        <v>0</v>
      </c>
    </row>
    <row r="6805" spans="32:37" x14ac:dyDescent="0.25">
      <c r="AF6805">
        <v>0</v>
      </c>
      <c r="AH6805">
        <v>0</v>
      </c>
      <c r="AK6805">
        <v>0</v>
      </c>
    </row>
    <row r="6806" spans="32:37" x14ac:dyDescent="0.25">
      <c r="AF6806">
        <v>0</v>
      </c>
      <c r="AH6806">
        <v>0</v>
      </c>
      <c r="AK6806">
        <v>0</v>
      </c>
    </row>
    <row r="6807" spans="32:37" x14ac:dyDescent="0.25">
      <c r="AF6807">
        <v>0</v>
      </c>
      <c r="AH6807">
        <v>0</v>
      </c>
      <c r="AK6807">
        <v>0</v>
      </c>
    </row>
    <row r="6808" spans="32:37" x14ac:dyDescent="0.25">
      <c r="AF6808">
        <v>0</v>
      </c>
      <c r="AH6808">
        <v>0</v>
      </c>
      <c r="AK6808">
        <v>0</v>
      </c>
    </row>
    <row r="6809" spans="32:37" x14ac:dyDescent="0.25">
      <c r="AF6809">
        <v>0</v>
      </c>
      <c r="AH6809">
        <v>0</v>
      </c>
      <c r="AK6809">
        <v>0</v>
      </c>
    </row>
    <row r="6810" spans="32:37" x14ac:dyDescent="0.25">
      <c r="AF6810">
        <v>0</v>
      </c>
      <c r="AH6810">
        <v>0</v>
      </c>
      <c r="AK6810">
        <v>0</v>
      </c>
    </row>
    <row r="6811" spans="32:37" x14ac:dyDescent="0.25">
      <c r="AF6811">
        <v>0</v>
      </c>
      <c r="AH6811">
        <v>0</v>
      </c>
      <c r="AK6811">
        <v>0</v>
      </c>
    </row>
    <row r="6812" spans="32:37" x14ac:dyDescent="0.25">
      <c r="AF6812">
        <v>0</v>
      </c>
      <c r="AH6812">
        <v>0</v>
      </c>
      <c r="AK6812">
        <v>0</v>
      </c>
    </row>
    <row r="6813" spans="32:37" x14ac:dyDescent="0.25">
      <c r="AF6813">
        <v>0</v>
      </c>
      <c r="AH6813">
        <v>0</v>
      </c>
      <c r="AK6813">
        <v>0</v>
      </c>
    </row>
    <row r="6814" spans="32:37" x14ac:dyDescent="0.25">
      <c r="AF6814">
        <v>0</v>
      </c>
      <c r="AH6814">
        <v>0</v>
      </c>
      <c r="AK6814">
        <v>0</v>
      </c>
    </row>
    <row r="6815" spans="32:37" x14ac:dyDescent="0.25">
      <c r="AF6815">
        <v>0</v>
      </c>
      <c r="AH6815">
        <v>0</v>
      </c>
      <c r="AK6815">
        <v>0</v>
      </c>
    </row>
    <row r="6816" spans="32:37" x14ac:dyDescent="0.25">
      <c r="AF6816">
        <v>0</v>
      </c>
      <c r="AH6816">
        <v>0</v>
      </c>
      <c r="AK6816">
        <v>0</v>
      </c>
    </row>
    <row r="6817" spans="32:37" x14ac:dyDescent="0.25">
      <c r="AF6817">
        <v>0</v>
      </c>
      <c r="AH6817">
        <v>0</v>
      </c>
      <c r="AK6817">
        <v>0</v>
      </c>
    </row>
    <row r="6818" spans="32:37" x14ac:dyDescent="0.25">
      <c r="AF6818">
        <v>0</v>
      </c>
      <c r="AH6818">
        <v>0</v>
      </c>
      <c r="AK6818">
        <v>0</v>
      </c>
    </row>
    <row r="6819" spans="32:37" x14ac:dyDescent="0.25">
      <c r="AF6819">
        <v>0</v>
      </c>
      <c r="AH6819">
        <v>0</v>
      </c>
      <c r="AK6819">
        <v>0</v>
      </c>
    </row>
    <row r="6820" spans="32:37" x14ac:dyDescent="0.25">
      <c r="AF6820">
        <v>0</v>
      </c>
      <c r="AH6820">
        <v>0</v>
      </c>
      <c r="AK6820">
        <v>0</v>
      </c>
    </row>
    <row r="6821" spans="32:37" x14ac:dyDescent="0.25">
      <c r="AF6821">
        <v>0</v>
      </c>
      <c r="AH6821">
        <v>0</v>
      </c>
      <c r="AK6821">
        <v>0</v>
      </c>
    </row>
    <row r="6822" spans="32:37" x14ac:dyDescent="0.25">
      <c r="AF6822">
        <v>0</v>
      </c>
      <c r="AH6822">
        <v>0</v>
      </c>
      <c r="AK6822">
        <v>0</v>
      </c>
    </row>
    <row r="6823" spans="32:37" x14ac:dyDescent="0.25">
      <c r="AF6823">
        <v>0</v>
      </c>
      <c r="AH6823">
        <v>0</v>
      </c>
      <c r="AK6823">
        <v>0</v>
      </c>
    </row>
    <row r="6824" spans="32:37" x14ac:dyDescent="0.25">
      <c r="AF6824">
        <v>0</v>
      </c>
      <c r="AH6824">
        <v>0</v>
      </c>
      <c r="AK6824">
        <v>0</v>
      </c>
    </row>
    <row r="6825" spans="32:37" x14ac:dyDescent="0.25">
      <c r="AF6825">
        <v>0</v>
      </c>
      <c r="AH6825">
        <v>0</v>
      </c>
      <c r="AK6825">
        <v>0</v>
      </c>
    </row>
    <row r="6826" spans="32:37" x14ac:dyDescent="0.25">
      <c r="AF6826">
        <v>0</v>
      </c>
      <c r="AH6826">
        <v>0</v>
      </c>
      <c r="AK6826">
        <v>0</v>
      </c>
    </row>
    <row r="6827" spans="32:37" x14ac:dyDescent="0.25">
      <c r="AF6827">
        <v>0</v>
      </c>
      <c r="AH6827">
        <v>0</v>
      </c>
      <c r="AK6827">
        <v>0</v>
      </c>
    </row>
    <row r="6828" spans="32:37" x14ac:dyDescent="0.25">
      <c r="AF6828">
        <v>0</v>
      </c>
      <c r="AH6828">
        <v>0</v>
      </c>
      <c r="AK6828">
        <v>0</v>
      </c>
    </row>
    <row r="6829" spans="32:37" x14ac:dyDescent="0.25">
      <c r="AF6829">
        <v>0</v>
      </c>
      <c r="AH6829">
        <v>0</v>
      </c>
      <c r="AK6829">
        <v>0</v>
      </c>
    </row>
    <row r="6830" spans="32:37" x14ac:dyDescent="0.25">
      <c r="AF6830">
        <v>0</v>
      </c>
      <c r="AH6830">
        <v>0</v>
      </c>
      <c r="AK6830">
        <v>0</v>
      </c>
    </row>
    <row r="6831" spans="32:37" x14ac:dyDescent="0.25">
      <c r="AF6831">
        <v>0</v>
      </c>
      <c r="AH6831">
        <v>0</v>
      </c>
      <c r="AK6831">
        <v>0</v>
      </c>
    </row>
    <row r="6832" spans="32:37" x14ac:dyDescent="0.25">
      <c r="AF6832">
        <v>0</v>
      </c>
      <c r="AH6832">
        <v>0</v>
      </c>
      <c r="AK6832">
        <v>0</v>
      </c>
    </row>
    <row r="6833" spans="32:37" x14ac:dyDescent="0.25">
      <c r="AF6833">
        <v>0</v>
      </c>
      <c r="AH6833">
        <v>0</v>
      </c>
      <c r="AK6833">
        <v>0</v>
      </c>
    </row>
    <row r="6834" spans="32:37" x14ac:dyDescent="0.25">
      <c r="AF6834">
        <v>0</v>
      </c>
      <c r="AH6834">
        <v>0</v>
      </c>
      <c r="AK6834">
        <v>0</v>
      </c>
    </row>
    <row r="6835" spans="32:37" x14ac:dyDescent="0.25">
      <c r="AF6835">
        <v>0</v>
      </c>
      <c r="AH6835">
        <v>0</v>
      </c>
      <c r="AK6835">
        <v>0</v>
      </c>
    </row>
    <row r="6836" spans="32:37" x14ac:dyDescent="0.25">
      <c r="AF6836">
        <v>0</v>
      </c>
      <c r="AH6836">
        <v>0</v>
      </c>
      <c r="AK6836">
        <v>0</v>
      </c>
    </row>
    <row r="6837" spans="32:37" x14ac:dyDescent="0.25">
      <c r="AF6837">
        <v>0</v>
      </c>
      <c r="AH6837">
        <v>0</v>
      </c>
      <c r="AK6837">
        <v>0</v>
      </c>
    </row>
    <row r="6838" spans="32:37" x14ac:dyDescent="0.25">
      <c r="AF6838">
        <v>0</v>
      </c>
      <c r="AH6838">
        <v>0</v>
      </c>
      <c r="AK6838">
        <v>0</v>
      </c>
    </row>
    <row r="6839" spans="32:37" x14ac:dyDescent="0.25">
      <c r="AF6839">
        <v>0</v>
      </c>
      <c r="AH6839">
        <v>0</v>
      </c>
      <c r="AK6839">
        <v>0</v>
      </c>
    </row>
    <row r="6840" spans="32:37" x14ac:dyDescent="0.25">
      <c r="AF6840">
        <v>0</v>
      </c>
      <c r="AH6840">
        <v>0</v>
      </c>
      <c r="AK6840">
        <v>0</v>
      </c>
    </row>
    <row r="6841" spans="32:37" x14ac:dyDescent="0.25">
      <c r="AF6841">
        <v>0</v>
      </c>
      <c r="AH6841">
        <v>0</v>
      </c>
      <c r="AK6841">
        <v>0</v>
      </c>
    </row>
    <row r="6842" spans="32:37" x14ac:dyDescent="0.25">
      <c r="AF6842">
        <v>0</v>
      </c>
      <c r="AH6842">
        <v>0</v>
      </c>
      <c r="AK6842">
        <v>0</v>
      </c>
    </row>
    <row r="6843" spans="32:37" x14ac:dyDescent="0.25">
      <c r="AF6843">
        <v>0</v>
      </c>
      <c r="AH6843">
        <v>0</v>
      </c>
      <c r="AK6843">
        <v>0</v>
      </c>
    </row>
    <row r="6844" spans="32:37" x14ac:dyDescent="0.25">
      <c r="AF6844">
        <v>0</v>
      </c>
      <c r="AH6844">
        <v>0</v>
      </c>
      <c r="AK6844">
        <v>0</v>
      </c>
    </row>
    <row r="6845" spans="32:37" x14ac:dyDescent="0.25">
      <c r="AF6845">
        <v>0</v>
      </c>
      <c r="AH6845">
        <v>0</v>
      </c>
      <c r="AK6845">
        <v>0</v>
      </c>
    </row>
    <row r="6846" spans="32:37" x14ac:dyDescent="0.25">
      <c r="AF6846">
        <v>0</v>
      </c>
      <c r="AH6846">
        <v>0</v>
      </c>
      <c r="AK6846">
        <v>0</v>
      </c>
    </row>
    <row r="6847" spans="32:37" x14ac:dyDescent="0.25">
      <c r="AF6847">
        <v>0</v>
      </c>
      <c r="AH6847">
        <v>0</v>
      </c>
      <c r="AK6847">
        <v>0</v>
      </c>
    </row>
    <row r="6848" spans="32:37" x14ac:dyDescent="0.25">
      <c r="AF6848">
        <v>0</v>
      </c>
      <c r="AH6848">
        <v>0</v>
      </c>
      <c r="AK6848">
        <v>0</v>
      </c>
    </row>
    <row r="6849" spans="32:37" x14ac:dyDescent="0.25">
      <c r="AF6849">
        <v>0</v>
      </c>
      <c r="AH6849">
        <v>0</v>
      </c>
      <c r="AK6849">
        <v>0</v>
      </c>
    </row>
    <row r="6850" spans="32:37" x14ac:dyDescent="0.25">
      <c r="AF6850">
        <v>0</v>
      </c>
      <c r="AH6850">
        <v>0</v>
      </c>
      <c r="AK6850">
        <v>0</v>
      </c>
    </row>
    <row r="6851" spans="32:37" x14ac:dyDescent="0.25">
      <c r="AF6851">
        <v>0</v>
      </c>
      <c r="AH6851">
        <v>0</v>
      </c>
      <c r="AK6851">
        <v>0</v>
      </c>
    </row>
    <row r="6852" spans="32:37" x14ac:dyDescent="0.25">
      <c r="AF6852">
        <v>0</v>
      </c>
      <c r="AH6852">
        <v>0</v>
      </c>
      <c r="AK6852">
        <v>0</v>
      </c>
    </row>
    <row r="6853" spans="32:37" x14ac:dyDescent="0.25">
      <c r="AF6853">
        <v>0</v>
      </c>
      <c r="AH6853">
        <v>0</v>
      </c>
      <c r="AK6853">
        <v>0</v>
      </c>
    </row>
    <row r="6854" spans="32:37" x14ac:dyDescent="0.25">
      <c r="AF6854">
        <v>0</v>
      </c>
      <c r="AH6854">
        <v>0</v>
      </c>
      <c r="AK6854">
        <v>0</v>
      </c>
    </row>
    <row r="6855" spans="32:37" x14ac:dyDescent="0.25">
      <c r="AF6855">
        <v>0</v>
      </c>
      <c r="AH6855">
        <v>0</v>
      </c>
      <c r="AK6855">
        <v>0</v>
      </c>
    </row>
    <row r="6856" spans="32:37" x14ac:dyDescent="0.25">
      <c r="AF6856">
        <v>0</v>
      </c>
      <c r="AH6856">
        <v>0</v>
      </c>
      <c r="AK6856">
        <v>0</v>
      </c>
    </row>
    <row r="6857" spans="32:37" x14ac:dyDescent="0.25">
      <c r="AF6857">
        <v>0</v>
      </c>
      <c r="AH6857">
        <v>0</v>
      </c>
      <c r="AK6857">
        <v>0</v>
      </c>
    </row>
    <row r="6858" spans="32:37" x14ac:dyDescent="0.25">
      <c r="AF6858">
        <v>0</v>
      </c>
      <c r="AH6858">
        <v>0</v>
      </c>
      <c r="AK6858">
        <v>0</v>
      </c>
    </row>
    <row r="6859" spans="32:37" x14ac:dyDescent="0.25">
      <c r="AF6859">
        <v>0</v>
      </c>
      <c r="AH6859">
        <v>0</v>
      </c>
      <c r="AK6859">
        <v>0</v>
      </c>
    </row>
    <row r="6860" spans="32:37" x14ac:dyDescent="0.25">
      <c r="AF6860">
        <v>0</v>
      </c>
      <c r="AH6860">
        <v>0</v>
      </c>
      <c r="AK6860">
        <v>0</v>
      </c>
    </row>
    <row r="6861" spans="32:37" x14ac:dyDescent="0.25">
      <c r="AF6861">
        <v>0</v>
      </c>
      <c r="AH6861">
        <v>0</v>
      </c>
      <c r="AK6861">
        <v>0</v>
      </c>
    </row>
    <row r="6862" spans="32:37" x14ac:dyDescent="0.25">
      <c r="AF6862">
        <v>0</v>
      </c>
      <c r="AH6862">
        <v>0</v>
      </c>
      <c r="AK6862">
        <v>0</v>
      </c>
    </row>
    <row r="6863" spans="32:37" x14ac:dyDescent="0.25">
      <c r="AF6863">
        <v>0</v>
      </c>
      <c r="AH6863">
        <v>0</v>
      </c>
      <c r="AK6863">
        <v>0</v>
      </c>
    </row>
    <row r="6864" spans="32:37" x14ac:dyDescent="0.25">
      <c r="AF6864">
        <v>0</v>
      </c>
      <c r="AH6864">
        <v>0</v>
      </c>
      <c r="AK6864">
        <v>0</v>
      </c>
    </row>
    <row r="6865" spans="32:37" x14ac:dyDescent="0.25">
      <c r="AF6865">
        <v>0</v>
      </c>
      <c r="AH6865">
        <v>0</v>
      </c>
      <c r="AK6865">
        <v>0</v>
      </c>
    </row>
    <row r="6866" spans="32:37" x14ac:dyDescent="0.25">
      <c r="AF6866">
        <v>0</v>
      </c>
      <c r="AH6866">
        <v>0</v>
      </c>
      <c r="AK6866">
        <v>0</v>
      </c>
    </row>
    <row r="6867" spans="32:37" x14ac:dyDescent="0.25">
      <c r="AF6867">
        <v>0</v>
      </c>
      <c r="AH6867">
        <v>0</v>
      </c>
      <c r="AK6867">
        <v>0</v>
      </c>
    </row>
    <row r="6868" spans="32:37" x14ac:dyDescent="0.25">
      <c r="AF6868">
        <v>0</v>
      </c>
      <c r="AH6868">
        <v>0</v>
      </c>
      <c r="AK6868">
        <v>0</v>
      </c>
    </row>
    <row r="6869" spans="32:37" x14ac:dyDescent="0.25">
      <c r="AF6869">
        <v>0</v>
      </c>
      <c r="AH6869">
        <v>0</v>
      </c>
      <c r="AK6869">
        <v>0</v>
      </c>
    </row>
    <row r="6870" spans="32:37" x14ac:dyDescent="0.25">
      <c r="AF6870">
        <v>0</v>
      </c>
      <c r="AH6870">
        <v>0</v>
      </c>
      <c r="AK6870">
        <v>0</v>
      </c>
    </row>
    <row r="6871" spans="32:37" x14ac:dyDescent="0.25">
      <c r="AF6871">
        <v>0</v>
      </c>
      <c r="AH6871">
        <v>0</v>
      </c>
      <c r="AK6871">
        <v>0</v>
      </c>
    </row>
    <row r="6872" spans="32:37" x14ac:dyDescent="0.25">
      <c r="AF6872">
        <v>0</v>
      </c>
      <c r="AH6872">
        <v>0</v>
      </c>
      <c r="AK6872">
        <v>0</v>
      </c>
    </row>
    <row r="6873" spans="32:37" x14ac:dyDescent="0.25">
      <c r="AK6873">
        <v>0</v>
      </c>
    </row>
    <row r="6874" spans="32:37" x14ac:dyDescent="0.25">
      <c r="AK6874">
        <v>0</v>
      </c>
    </row>
    <row r="6875" spans="32:37" x14ac:dyDescent="0.25">
      <c r="AK6875">
        <v>0</v>
      </c>
    </row>
    <row r="6876" spans="32:37" x14ac:dyDescent="0.25">
      <c r="AK6876">
        <v>0</v>
      </c>
    </row>
    <row r="6877" spans="32:37" x14ac:dyDescent="0.25">
      <c r="AK6877">
        <v>0</v>
      </c>
    </row>
    <row r="6878" spans="32:37" x14ac:dyDescent="0.25">
      <c r="AK6878">
        <v>0</v>
      </c>
    </row>
    <row r="6879" spans="32:37" x14ac:dyDescent="0.25">
      <c r="AK6879">
        <v>0</v>
      </c>
    </row>
    <row r="6880" spans="32:37" x14ac:dyDescent="0.25">
      <c r="AK6880">
        <v>0</v>
      </c>
    </row>
    <row r="6881" spans="37:37" x14ac:dyDescent="0.25">
      <c r="AK6881">
        <v>0</v>
      </c>
    </row>
    <row r="6882" spans="37:37" x14ac:dyDescent="0.25">
      <c r="AK6882">
        <v>0</v>
      </c>
    </row>
    <row r="6883" spans="37:37" x14ac:dyDescent="0.25">
      <c r="AK6883">
        <v>0</v>
      </c>
    </row>
    <row r="6884" spans="37:37" x14ac:dyDescent="0.25">
      <c r="AK6884">
        <v>0</v>
      </c>
    </row>
    <row r="6885" spans="37:37" x14ac:dyDescent="0.25">
      <c r="AK6885">
        <v>0</v>
      </c>
    </row>
    <row r="6886" spans="37:37" x14ac:dyDescent="0.25">
      <c r="AK6886">
        <v>0</v>
      </c>
    </row>
    <row r="6887" spans="37:37" x14ac:dyDescent="0.25">
      <c r="AK6887">
        <v>0</v>
      </c>
    </row>
    <row r="6888" spans="37:37" x14ac:dyDescent="0.25">
      <c r="AK6888">
        <v>0</v>
      </c>
    </row>
    <row r="6889" spans="37:37" x14ac:dyDescent="0.25">
      <c r="AK6889">
        <v>0</v>
      </c>
    </row>
    <row r="6890" spans="37:37" x14ac:dyDescent="0.25">
      <c r="AK6890">
        <v>0</v>
      </c>
    </row>
    <row r="6891" spans="37:37" x14ac:dyDescent="0.25">
      <c r="AK6891">
        <v>0</v>
      </c>
    </row>
    <row r="6892" spans="37:37" x14ac:dyDescent="0.25">
      <c r="AK6892">
        <v>0</v>
      </c>
    </row>
    <row r="6893" spans="37:37" x14ac:dyDescent="0.25">
      <c r="AK6893">
        <v>0</v>
      </c>
    </row>
    <row r="6894" spans="37:37" x14ac:dyDescent="0.25">
      <c r="AK6894">
        <v>0</v>
      </c>
    </row>
    <row r="6895" spans="37:37" x14ac:dyDescent="0.25">
      <c r="AK6895">
        <v>0</v>
      </c>
    </row>
    <row r="6896" spans="37:37" x14ac:dyDescent="0.25">
      <c r="AK6896">
        <v>0</v>
      </c>
    </row>
    <row r="6897" spans="37:37" x14ac:dyDescent="0.25">
      <c r="AK6897">
        <v>0</v>
      </c>
    </row>
    <row r="6898" spans="37:37" x14ac:dyDescent="0.25">
      <c r="AK6898">
        <v>0</v>
      </c>
    </row>
    <row r="6899" spans="37:37" x14ac:dyDescent="0.25">
      <c r="AK6899">
        <v>0</v>
      </c>
    </row>
    <row r="6900" spans="37:37" x14ac:dyDescent="0.25">
      <c r="AK6900">
        <v>0</v>
      </c>
    </row>
    <row r="6901" spans="37:37" x14ac:dyDescent="0.25">
      <c r="AK6901">
        <v>0</v>
      </c>
    </row>
    <row r="6902" spans="37:37" x14ac:dyDescent="0.25">
      <c r="AK6902">
        <v>0</v>
      </c>
    </row>
    <row r="6903" spans="37:37" x14ac:dyDescent="0.25">
      <c r="AK6903">
        <v>0</v>
      </c>
    </row>
    <row r="6904" spans="37:37" x14ac:dyDescent="0.25">
      <c r="AK6904">
        <v>0</v>
      </c>
    </row>
    <row r="6905" spans="37:37" x14ac:dyDescent="0.25">
      <c r="AK6905">
        <v>0</v>
      </c>
    </row>
    <row r="6906" spans="37:37" x14ac:dyDescent="0.25">
      <c r="AK6906">
        <v>0</v>
      </c>
    </row>
    <row r="6907" spans="37:37" x14ac:dyDescent="0.25">
      <c r="AK6907">
        <v>0</v>
      </c>
    </row>
    <row r="6908" spans="37:37" x14ac:dyDescent="0.25">
      <c r="AK6908">
        <v>0</v>
      </c>
    </row>
    <row r="6909" spans="37:37" x14ac:dyDescent="0.25">
      <c r="AK6909">
        <v>0</v>
      </c>
    </row>
    <row r="6910" spans="37:37" x14ac:dyDescent="0.25">
      <c r="AK6910">
        <v>0</v>
      </c>
    </row>
    <row r="6911" spans="37:37" x14ac:dyDescent="0.25">
      <c r="AK6911">
        <v>0</v>
      </c>
    </row>
    <row r="6912" spans="37:37" x14ac:dyDescent="0.25">
      <c r="AK6912">
        <v>0</v>
      </c>
    </row>
    <row r="6913" spans="37:37" x14ac:dyDescent="0.25">
      <c r="AK6913">
        <v>0</v>
      </c>
    </row>
    <row r="6914" spans="37:37" x14ac:dyDescent="0.25">
      <c r="AK6914">
        <v>0</v>
      </c>
    </row>
    <row r="6915" spans="37:37" x14ac:dyDescent="0.25">
      <c r="AK6915">
        <v>0</v>
      </c>
    </row>
    <row r="6916" spans="37:37" x14ac:dyDescent="0.25">
      <c r="AK6916">
        <v>0</v>
      </c>
    </row>
    <row r="6917" spans="37:37" x14ac:dyDescent="0.25">
      <c r="AK6917">
        <v>0</v>
      </c>
    </row>
    <row r="6918" spans="37:37" x14ac:dyDescent="0.25">
      <c r="AK6918">
        <v>0</v>
      </c>
    </row>
    <row r="6919" spans="37:37" x14ac:dyDescent="0.25">
      <c r="AK6919">
        <v>0</v>
      </c>
    </row>
    <row r="6920" spans="37:37" x14ac:dyDescent="0.25">
      <c r="AK6920">
        <v>0</v>
      </c>
    </row>
    <row r="6921" spans="37:37" x14ac:dyDescent="0.25">
      <c r="AK6921">
        <v>0</v>
      </c>
    </row>
    <row r="6922" spans="37:37" x14ac:dyDescent="0.25">
      <c r="AK6922">
        <v>0</v>
      </c>
    </row>
    <row r="6923" spans="37:37" x14ac:dyDescent="0.25">
      <c r="AK6923">
        <v>0</v>
      </c>
    </row>
    <row r="6924" spans="37:37" x14ac:dyDescent="0.25">
      <c r="AK6924">
        <v>0</v>
      </c>
    </row>
    <row r="6925" spans="37:37" x14ac:dyDescent="0.25">
      <c r="AK6925">
        <v>0</v>
      </c>
    </row>
    <row r="6926" spans="37:37" x14ac:dyDescent="0.25">
      <c r="AK6926">
        <v>0</v>
      </c>
    </row>
    <row r="6927" spans="37:37" x14ac:dyDescent="0.25">
      <c r="AK6927">
        <v>0</v>
      </c>
    </row>
    <row r="6928" spans="37:37" x14ac:dyDescent="0.25">
      <c r="AK6928">
        <v>0</v>
      </c>
    </row>
    <row r="6929" spans="37:37" x14ac:dyDescent="0.25">
      <c r="AK6929">
        <v>0</v>
      </c>
    </row>
    <row r="6930" spans="37:37" x14ac:dyDescent="0.25">
      <c r="AK6930">
        <v>0</v>
      </c>
    </row>
    <row r="6931" spans="37:37" x14ac:dyDescent="0.25">
      <c r="AK6931">
        <v>0</v>
      </c>
    </row>
    <row r="6932" spans="37:37" x14ac:dyDescent="0.25">
      <c r="AK6932">
        <v>0</v>
      </c>
    </row>
    <row r="6933" spans="37:37" x14ac:dyDescent="0.25">
      <c r="AK6933">
        <v>0</v>
      </c>
    </row>
    <row r="6934" spans="37:37" x14ac:dyDescent="0.25">
      <c r="AK6934">
        <v>0</v>
      </c>
    </row>
    <row r="6935" spans="37:37" x14ac:dyDescent="0.25">
      <c r="AK6935">
        <v>0</v>
      </c>
    </row>
    <row r="6936" spans="37:37" x14ac:dyDescent="0.25">
      <c r="AK6936">
        <v>0</v>
      </c>
    </row>
    <row r="6937" spans="37:37" x14ac:dyDescent="0.25">
      <c r="AK6937">
        <v>0</v>
      </c>
    </row>
    <row r="6938" spans="37:37" x14ac:dyDescent="0.25">
      <c r="AK6938">
        <v>0</v>
      </c>
    </row>
    <row r="6939" spans="37:37" x14ac:dyDescent="0.25">
      <c r="AK6939">
        <v>0</v>
      </c>
    </row>
    <row r="6940" spans="37:37" x14ac:dyDescent="0.25">
      <c r="AK6940">
        <v>0</v>
      </c>
    </row>
    <row r="6941" spans="37:37" x14ac:dyDescent="0.25">
      <c r="AK6941">
        <v>0</v>
      </c>
    </row>
    <row r="6942" spans="37:37" x14ac:dyDescent="0.25">
      <c r="AK6942">
        <v>0</v>
      </c>
    </row>
    <row r="6943" spans="37:37" x14ac:dyDescent="0.25">
      <c r="AK6943">
        <v>0</v>
      </c>
    </row>
    <row r="6944" spans="37:37" x14ac:dyDescent="0.25">
      <c r="AK6944">
        <v>0</v>
      </c>
    </row>
    <row r="6945" spans="37:37" x14ac:dyDescent="0.25">
      <c r="AK6945">
        <v>0</v>
      </c>
    </row>
    <row r="6946" spans="37:37" x14ac:dyDescent="0.25">
      <c r="AK6946">
        <v>0</v>
      </c>
    </row>
    <row r="6947" spans="37:37" x14ac:dyDescent="0.25">
      <c r="AK6947">
        <v>0</v>
      </c>
    </row>
    <row r="6948" spans="37:37" x14ac:dyDescent="0.25">
      <c r="AK6948">
        <v>0</v>
      </c>
    </row>
    <row r="6949" spans="37:37" x14ac:dyDescent="0.25">
      <c r="AK6949">
        <v>0</v>
      </c>
    </row>
    <row r="6950" spans="37:37" x14ac:dyDescent="0.25">
      <c r="AK6950">
        <v>0</v>
      </c>
    </row>
    <row r="6951" spans="37:37" x14ac:dyDescent="0.25">
      <c r="AK6951">
        <v>0</v>
      </c>
    </row>
    <row r="6952" spans="37:37" x14ac:dyDescent="0.25">
      <c r="AK6952">
        <v>0</v>
      </c>
    </row>
    <row r="6953" spans="37:37" x14ac:dyDescent="0.25">
      <c r="AK6953">
        <v>0</v>
      </c>
    </row>
    <row r="6954" spans="37:37" x14ac:dyDescent="0.25">
      <c r="AK6954">
        <v>0</v>
      </c>
    </row>
    <row r="6955" spans="37:37" x14ac:dyDescent="0.25">
      <c r="AK6955">
        <v>0</v>
      </c>
    </row>
    <row r="6956" spans="37:37" x14ac:dyDescent="0.25">
      <c r="AK6956">
        <v>0</v>
      </c>
    </row>
    <row r="6957" spans="37:37" x14ac:dyDescent="0.25">
      <c r="AK6957">
        <v>0</v>
      </c>
    </row>
    <row r="6958" spans="37:37" x14ac:dyDescent="0.25">
      <c r="AK6958">
        <v>0</v>
      </c>
    </row>
    <row r="6959" spans="37:37" x14ac:dyDescent="0.25">
      <c r="AK6959">
        <v>0</v>
      </c>
    </row>
    <row r="6960" spans="37:37" x14ac:dyDescent="0.25">
      <c r="AK6960">
        <v>0</v>
      </c>
    </row>
    <row r="6961" spans="37:37" x14ac:dyDescent="0.25">
      <c r="AK6961">
        <v>0</v>
      </c>
    </row>
    <row r="6962" spans="37:37" x14ac:dyDescent="0.25">
      <c r="AK6962">
        <v>0</v>
      </c>
    </row>
    <row r="6963" spans="37:37" x14ac:dyDescent="0.25">
      <c r="AK6963">
        <v>0</v>
      </c>
    </row>
    <row r="6964" spans="37:37" x14ac:dyDescent="0.25">
      <c r="AK6964">
        <v>0</v>
      </c>
    </row>
    <row r="6965" spans="37:37" x14ac:dyDescent="0.25">
      <c r="AK6965">
        <v>0</v>
      </c>
    </row>
    <row r="6966" spans="37:37" x14ac:dyDescent="0.25">
      <c r="AK6966">
        <v>0</v>
      </c>
    </row>
    <row r="6967" spans="37:37" x14ac:dyDescent="0.25">
      <c r="AK6967">
        <v>0</v>
      </c>
    </row>
    <row r="6968" spans="37:37" x14ac:dyDescent="0.25">
      <c r="AK6968">
        <v>0</v>
      </c>
    </row>
    <row r="6969" spans="37:37" x14ac:dyDescent="0.25">
      <c r="AK6969">
        <v>0</v>
      </c>
    </row>
    <row r="6970" spans="37:37" x14ac:dyDescent="0.25">
      <c r="AK6970">
        <v>0</v>
      </c>
    </row>
    <row r="6971" spans="37:37" x14ac:dyDescent="0.25">
      <c r="AK6971">
        <v>0</v>
      </c>
    </row>
    <row r="6972" spans="37:37" x14ac:dyDescent="0.25">
      <c r="AK6972">
        <v>0</v>
      </c>
    </row>
    <row r="6973" spans="37:37" x14ac:dyDescent="0.25">
      <c r="AK6973">
        <v>0</v>
      </c>
    </row>
    <row r="6974" spans="37:37" x14ac:dyDescent="0.25">
      <c r="AK6974">
        <v>0</v>
      </c>
    </row>
    <row r="6975" spans="37:37" x14ac:dyDescent="0.25">
      <c r="AK6975">
        <v>0</v>
      </c>
    </row>
    <row r="6976" spans="37:37" x14ac:dyDescent="0.25">
      <c r="AK6976">
        <v>0</v>
      </c>
    </row>
    <row r="6977" spans="37:37" x14ac:dyDescent="0.25">
      <c r="AK6977">
        <v>0</v>
      </c>
    </row>
    <row r="6978" spans="37:37" x14ac:dyDescent="0.25">
      <c r="AK6978">
        <v>0</v>
      </c>
    </row>
    <row r="6979" spans="37:37" x14ac:dyDescent="0.25">
      <c r="AK6979">
        <v>0</v>
      </c>
    </row>
    <row r="6980" spans="37:37" x14ac:dyDescent="0.25">
      <c r="AK6980">
        <v>0</v>
      </c>
    </row>
    <row r="6981" spans="37:37" x14ac:dyDescent="0.25">
      <c r="AK6981">
        <v>0</v>
      </c>
    </row>
    <row r="6982" spans="37:37" x14ac:dyDescent="0.25">
      <c r="AK6982">
        <v>0</v>
      </c>
    </row>
    <row r="6983" spans="37:37" x14ac:dyDescent="0.25">
      <c r="AK6983">
        <v>0</v>
      </c>
    </row>
    <row r="6984" spans="37:37" x14ac:dyDescent="0.25">
      <c r="AK6984">
        <v>0</v>
      </c>
    </row>
    <row r="6985" spans="37:37" x14ac:dyDescent="0.25">
      <c r="AK6985">
        <v>0</v>
      </c>
    </row>
    <row r="6986" spans="37:37" x14ac:dyDescent="0.25">
      <c r="AK6986">
        <v>0</v>
      </c>
    </row>
    <row r="6987" spans="37:37" x14ac:dyDescent="0.25">
      <c r="AK6987">
        <v>0</v>
      </c>
    </row>
    <row r="6988" spans="37:37" x14ac:dyDescent="0.25">
      <c r="AK6988">
        <v>0</v>
      </c>
    </row>
    <row r="6989" spans="37:37" x14ac:dyDescent="0.25">
      <c r="AK6989">
        <v>0</v>
      </c>
    </row>
    <row r="6990" spans="37:37" x14ac:dyDescent="0.25">
      <c r="AK6990">
        <v>0</v>
      </c>
    </row>
    <row r="6991" spans="37:37" x14ac:dyDescent="0.25">
      <c r="AK6991">
        <v>0</v>
      </c>
    </row>
    <row r="6992" spans="37:37" x14ac:dyDescent="0.25">
      <c r="AK6992">
        <v>0</v>
      </c>
    </row>
    <row r="6993" spans="37:37" x14ac:dyDescent="0.25">
      <c r="AK6993">
        <v>0</v>
      </c>
    </row>
    <row r="6994" spans="37:37" x14ac:dyDescent="0.25">
      <c r="AK6994">
        <v>0</v>
      </c>
    </row>
    <row r="6995" spans="37:37" x14ac:dyDescent="0.25">
      <c r="AK6995">
        <v>0</v>
      </c>
    </row>
    <row r="6996" spans="37:37" x14ac:dyDescent="0.25">
      <c r="AK6996">
        <v>0</v>
      </c>
    </row>
    <row r="6997" spans="37:37" x14ac:dyDescent="0.25">
      <c r="AK6997">
        <v>0</v>
      </c>
    </row>
    <row r="6998" spans="37:37" x14ac:dyDescent="0.25">
      <c r="AK6998">
        <v>0</v>
      </c>
    </row>
    <row r="6999" spans="37:37" x14ac:dyDescent="0.25">
      <c r="AK6999">
        <v>0</v>
      </c>
    </row>
    <row r="7000" spans="37:37" x14ac:dyDescent="0.25">
      <c r="AK7000">
        <v>0</v>
      </c>
    </row>
    <row r="7001" spans="37:37" x14ac:dyDescent="0.25">
      <c r="AK7001">
        <v>0</v>
      </c>
    </row>
    <row r="7002" spans="37:37" x14ac:dyDescent="0.25">
      <c r="AK7002">
        <v>0</v>
      </c>
    </row>
    <row r="7003" spans="37:37" x14ac:dyDescent="0.25">
      <c r="AK7003">
        <v>0</v>
      </c>
    </row>
    <row r="7004" spans="37:37" x14ac:dyDescent="0.25">
      <c r="AK7004">
        <v>0</v>
      </c>
    </row>
    <row r="7005" spans="37:37" x14ac:dyDescent="0.25">
      <c r="AK7005">
        <v>0</v>
      </c>
    </row>
    <row r="7006" spans="37:37" x14ac:dyDescent="0.25">
      <c r="AK7006">
        <v>0</v>
      </c>
    </row>
    <row r="7007" spans="37:37" x14ac:dyDescent="0.25">
      <c r="AK7007">
        <v>0</v>
      </c>
    </row>
    <row r="7008" spans="37:37" x14ac:dyDescent="0.25">
      <c r="AK7008">
        <v>0</v>
      </c>
    </row>
    <row r="7009" spans="37:37" x14ac:dyDescent="0.25">
      <c r="AK7009">
        <v>0</v>
      </c>
    </row>
    <row r="7010" spans="37:37" x14ac:dyDescent="0.25">
      <c r="AK7010">
        <v>0</v>
      </c>
    </row>
    <row r="7011" spans="37:37" x14ac:dyDescent="0.25">
      <c r="AK7011">
        <v>0</v>
      </c>
    </row>
    <row r="7012" spans="37:37" x14ac:dyDescent="0.25">
      <c r="AK7012">
        <v>0</v>
      </c>
    </row>
    <row r="7013" spans="37:37" x14ac:dyDescent="0.25">
      <c r="AK7013">
        <v>0</v>
      </c>
    </row>
    <row r="7014" spans="37:37" x14ac:dyDescent="0.25">
      <c r="AK7014">
        <v>0</v>
      </c>
    </row>
    <row r="7015" spans="37:37" x14ac:dyDescent="0.25">
      <c r="AK7015">
        <v>0</v>
      </c>
    </row>
    <row r="7016" spans="37:37" x14ac:dyDescent="0.25">
      <c r="AK7016">
        <v>0</v>
      </c>
    </row>
    <row r="7017" spans="37:37" x14ac:dyDescent="0.25">
      <c r="AK7017">
        <v>0</v>
      </c>
    </row>
    <row r="7018" spans="37:37" x14ac:dyDescent="0.25">
      <c r="AK7018">
        <v>0</v>
      </c>
    </row>
    <row r="7019" spans="37:37" x14ac:dyDescent="0.25">
      <c r="AK7019">
        <v>0</v>
      </c>
    </row>
    <row r="7020" spans="37:37" x14ac:dyDescent="0.25">
      <c r="AK7020">
        <v>0</v>
      </c>
    </row>
    <row r="7021" spans="37:37" x14ac:dyDescent="0.25">
      <c r="AK7021">
        <v>0</v>
      </c>
    </row>
    <row r="7022" spans="37:37" x14ac:dyDescent="0.25">
      <c r="AK7022">
        <v>0</v>
      </c>
    </row>
    <row r="7023" spans="37:37" x14ac:dyDescent="0.25">
      <c r="AK7023">
        <v>0</v>
      </c>
    </row>
    <row r="7024" spans="37:37" x14ac:dyDescent="0.25">
      <c r="AK7024">
        <v>0</v>
      </c>
    </row>
    <row r="7025" spans="37:37" x14ac:dyDescent="0.25">
      <c r="AK7025">
        <v>0</v>
      </c>
    </row>
    <row r="7026" spans="37:37" x14ac:dyDescent="0.25">
      <c r="AK7026">
        <v>0</v>
      </c>
    </row>
    <row r="7027" spans="37:37" x14ac:dyDescent="0.25">
      <c r="AK7027">
        <v>0</v>
      </c>
    </row>
    <row r="7028" spans="37:37" x14ac:dyDescent="0.25">
      <c r="AK7028">
        <v>0</v>
      </c>
    </row>
    <row r="7029" spans="37:37" x14ac:dyDescent="0.25">
      <c r="AK7029">
        <v>0</v>
      </c>
    </row>
    <row r="7030" spans="37:37" x14ac:dyDescent="0.25">
      <c r="AK7030">
        <v>0</v>
      </c>
    </row>
    <row r="7031" spans="37:37" x14ac:dyDescent="0.25">
      <c r="AK7031">
        <v>0</v>
      </c>
    </row>
    <row r="7032" spans="37:37" x14ac:dyDescent="0.25">
      <c r="AK7032">
        <v>0</v>
      </c>
    </row>
    <row r="7033" spans="37:37" x14ac:dyDescent="0.25">
      <c r="AK7033">
        <v>0</v>
      </c>
    </row>
    <row r="7034" spans="37:37" x14ac:dyDescent="0.25">
      <c r="AK7034">
        <v>0</v>
      </c>
    </row>
    <row r="7035" spans="37:37" x14ac:dyDescent="0.25">
      <c r="AK7035">
        <v>0</v>
      </c>
    </row>
    <row r="7036" spans="37:37" x14ac:dyDescent="0.25">
      <c r="AK7036">
        <v>0</v>
      </c>
    </row>
    <row r="7037" spans="37:37" x14ac:dyDescent="0.25">
      <c r="AK7037">
        <v>0</v>
      </c>
    </row>
    <row r="7038" spans="37:37" x14ac:dyDescent="0.25">
      <c r="AK7038">
        <v>0</v>
      </c>
    </row>
    <row r="7039" spans="37:37" x14ac:dyDescent="0.25">
      <c r="AK7039">
        <v>0</v>
      </c>
    </row>
    <row r="7040" spans="37:37" x14ac:dyDescent="0.25">
      <c r="AK7040">
        <v>0</v>
      </c>
    </row>
    <row r="7041" spans="37:37" x14ac:dyDescent="0.25">
      <c r="AK7041">
        <v>0</v>
      </c>
    </row>
    <row r="7042" spans="37:37" x14ac:dyDescent="0.25">
      <c r="AK7042">
        <v>0</v>
      </c>
    </row>
    <row r="7043" spans="37:37" x14ac:dyDescent="0.25">
      <c r="AK7043">
        <v>0</v>
      </c>
    </row>
    <row r="7044" spans="37:37" x14ac:dyDescent="0.25">
      <c r="AK7044">
        <v>0</v>
      </c>
    </row>
    <row r="7045" spans="37:37" x14ac:dyDescent="0.25">
      <c r="AK7045">
        <v>0</v>
      </c>
    </row>
    <row r="7046" spans="37:37" x14ac:dyDescent="0.25">
      <c r="AK7046">
        <v>0</v>
      </c>
    </row>
    <row r="7047" spans="37:37" x14ac:dyDescent="0.25">
      <c r="AK7047">
        <v>0</v>
      </c>
    </row>
    <row r="7048" spans="37:37" x14ac:dyDescent="0.25">
      <c r="AK7048">
        <v>0</v>
      </c>
    </row>
    <row r="7049" spans="37:37" x14ac:dyDescent="0.25">
      <c r="AK7049">
        <v>0</v>
      </c>
    </row>
    <row r="7050" spans="37:37" x14ac:dyDescent="0.25">
      <c r="AK7050">
        <v>0</v>
      </c>
    </row>
    <row r="7051" spans="37:37" x14ac:dyDescent="0.25">
      <c r="AK7051">
        <v>0</v>
      </c>
    </row>
    <row r="7052" spans="37:37" x14ac:dyDescent="0.25">
      <c r="AK7052">
        <v>0</v>
      </c>
    </row>
    <row r="7053" spans="37:37" x14ac:dyDescent="0.25">
      <c r="AK7053">
        <v>0</v>
      </c>
    </row>
    <row r="7054" spans="37:37" x14ac:dyDescent="0.25">
      <c r="AK7054">
        <v>0</v>
      </c>
    </row>
    <row r="7055" spans="37:37" x14ac:dyDescent="0.25">
      <c r="AK7055">
        <v>0</v>
      </c>
    </row>
    <row r="7056" spans="37:37" x14ac:dyDescent="0.25">
      <c r="AK7056">
        <v>0</v>
      </c>
    </row>
    <row r="7057" spans="37:37" x14ac:dyDescent="0.25">
      <c r="AK7057">
        <v>0</v>
      </c>
    </row>
    <row r="7058" spans="37:37" x14ac:dyDescent="0.25">
      <c r="AK7058">
        <v>0</v>
      </c>
    </row>
    <row r="7059" spans="37:37" x14ac:dyDescent="0.25">
      <c r="AK7059">
        <v>0</v>
      </c>
    </row>
    <row r="7060" spans="37:37" x14ac:dyDescent="0.25">
      <c r="AK7060">
        <v>0</v>
      </c>
    </row>
    <row r="7061" spans="37:37" x14ac:dyDescent="0.25">
      <c r="AK7061">
        <v>0</v>
      </c>
    </row>
    <row r="7062" spans="37:37" x14ac:dyDescent="0.25">
      <c r="AK7062">
        <v>0</v>
      </c>
    </row>
    <row r="7063" spans="37:37" x14ac:dyDescent="0.25">
      <c r="AK7063">
        <v>0</v>
      </c>
    </row>
    <row r="7064" spans="37:37" x14ac:dyDescent="0.25">
      <c r="AK7064">
        <v>0</v>
      </c>
    </row>
    <row r="7065" spans="37:37" x14ac:dyDescent="0.25">
      <c r="AK7065">
        <v>0</v>
      </c>
    </row>
    <row r="7066" spans="37:37" x14ac:dyDescent="0.25">
      <c r="AK7066">
        <v>0</v>
      </c>
    </row>
    <row r="7067" spans="37:37" x14ac:dyDescent="0.25">
      <c r="AK7067">
        <v>0</v>
      </c>
    </row>
    <row r="7068" spans="37:37" x14ac:dyDescent="0.25">
      <c r="AK7068">
        <v>0</v>
      </c>
    </row>
    <row r="7069" spans="37:37" x14ac:dyDescent="0.25">
      <c r="AK7069">
        <v>0</v>
      </c>
    </row>
    <row r="7070" spans="37:37" x14ac:dyDescent="0.25">
      <c r="AK7070">
        <v>0</v>
      </c>
    </row>
    <row r="7071" spans="37:37" x14ac:dyDescent="0.25">
      <c r="AK7071">
        <v>0</v>
      </c>
    </row>
    <row r="7072" spans="37:37" x14ac:dyDescent="0.25">
      <c r="AK7072">
        <v>0</v>
      </c>
    </row>
    <row r="7073" spans="37:37" x14ac:dyDescent="0.25">
      <c r="AK7073">
        <v>0</v>
      </c>
    </row>
    <row r="7074" spans="37:37" x14ac:dyDescent="0.25">
      <c r="AK7074">
        <v>0</v>
      </c>
    </row>
    <row r="7075" spans="37:37" x14ac:dyDescent="0.25">
      <c r="AK7075">
        <v>0</v>
      </c>
    </row>
    <row r="7076" spans="37:37" x14ac:dyDescent="0.25">
      <c r="AK7076">
        <v>0</v>
      </c>
    </row>
    <row r="7077" spans="37:37" x14ac:dyDescent="0.25">
      <c r="AK7077">
        <v>0</v>
      </c>
    </row>
    <row r="7078" spans="37:37" x14ac:dyDescent="0.25">
      <c r="AK7078">
        <v>0</v>
      </c>
    </row>
    <row r="7079" spans="37:37" x14ac:dyDescent="0.25">
      <c r="AK7079">
        <v>0</v>
      </c>
    </row>
    <row r="7080" spans="37:37" x14ac:dyDescent="0.25">
      <c r="AK7080">
        <v>0</v>
      </c>
    </row>
    <row r="7081" spans="37:37" x14ac:dyDescent="0.25">
      <c r="AK7081">
        <v>0</v>
      </c>
    </row>
    <row r="7082" spans="37:37" x14ac:dyDescent="0.25">
      <c r="AK7082">
        <v>0</v>
      </c>
    </row>
    <row r="7083" spans="37:37" x14ac:dyDescent="0.25">
      <c r="AK7083">
        <v>0</v>
      </c>
    </row>
    <row r="7084" spans="37:37" x14ac:dyDescent="0.25">
      <c r="AK7084">
        <v>0</v>
      </c>
    </row>
    <row r="7085" spans="37:37" x14ac:dyDescent="0.25">
      <c r="AK7085">
        <v>0</v>
      </c>
    </row>
    <row r="7086" spans="37:37" x14ac:dyDescent="0.25">
      <c r="AK7086">
        <v>0</v>
      </c>
    </row>
    <row r="7087" spans="37:37" x14ac:dyDescent="0.25">
      <c r="AK7087">
        <v>0</v>
      </c>
    </row>
    <row r="7088" spans="37:37" x14ac:dyDescent="0.25">
      <c r="AK7088">
        <v>0</v>
      </c>
    </row>
    <row r="7089" spans="37:37" x14ac:dyDescent="0.25">
      <c r="AK7089">
        <v>0</v>
      </c>
    </row>
    <row r="7090" spans="37:37" x14ac:dyDescent="0.25">
      <c r="AK7090">
        <v>0</v>
      </c>
    </row>
    <row r="7091" spans="37:37" x14ac:dyDescent="0.25">
      <c r="AK7091">
        <v>0</v>
      </c>
    </row>
    <row r="7092" spans="37:37" x14ac:dyDescent="0.25">
      <c r="AK7092">
        <v>0</v>
      </c>
    </row>
    <row r="7093" spans="37:37" x14ac:dyDescent="0.25">
      <c r="AK7093">
        <v>0</v>
      </c>
    </row>
    <row r="7094" spans="37:37" x14ac:dyDescent="0.25">
      <c r="AK7094">
        <v>0</v>
      </c>
    </row>
    <row r="7095" spans="37:37" x14ac:dyDescent="0.25">
      <c r="AK7095">
        <v>0</v>
      </c>
    </row>
    <row r="7096" spans="37:37" x14ac:dyDescent="0.25">
      <c r="AK7096">
        <v>0</v>
      </c>
    </row>
    <row r="7097" spans="37:37" x14ac:dyDescent="0.25">
      <c r="AK7097">
        <v>0</v>
      </c>
    </row>
    <row r="7098" spans="37:37" x14ac:dyDescent="0.25">
      <c r="AK7098">
        <v>0</v>
      </c>
    </row>
    <row r="7099" spans="37:37" x14ac:dyDescent="0.25">
      <c r="AK7099">
        <v>0</v>
      </c>
    </row>
    <row r="7100" spans="37:37" x14ac:dyDescent="0.25">
      <c r="AK7100">
        <v>0</v>
      </c>
    </row>
    <row r="7101" spans="37:37" x14ac:dyDescent="0.25">
      <c r="AK7101">
        <v>0</v>
      </c>
    </row>
    <row r="7102" spans="37:37" x14ac:dyDescent="0.25">
      <c r="AK7102">
        <v>0</v>
      </c>
    </row>
    <row r="7103" spans="37:37" x14ac:dyDescent="0.25">
      <c r="AK7103">
        <v>0</v>
      </c>
    </row>
    <row r="7104" spans="37:37" x14ac:dyDescent="0.25">
      <c r="AK7104">
        <v>0</v>
      </c>
    </row>
    <row r="7105" spans="37:37" x14ac:dyDescent="0.25">
      <c r="AK7105">
        <v>0</v>
      </c>
    </row>
    <row r="7106" spans="37:37" x14ac:dyDescent="0.25">
      <c r="AK7106">
        <v>0</v>
      </c>
    </row>
    <row r="7107" spans="37:37" x14ac:dyDescent="0.25">
      <c r="AK7107">
        <v>0</v>
      </c>
    </row>
    <row r="7108" spans="37:37" x14ac:dyDescent="0.25">
      <c r="AK7108">
        <v>0</v>
      </c>
    </row>
    <row r="7109" spans="37:37" x14ac:dyDescent="0.25">
      <c r="AK7109">
        <v>0</v>
      </c>
    </row>
    <row r="7110" spans="37:37" x14ac:dyDescent="0.25">
      <c r="AK7110">
        <v>0</v>
      </c>
    </row>
    <row r="7111" spans="37:37" x14ac:dyDescent="0.25">
      <c r="AK7111">
        <v>0</v>
      </c>
    </row>
    <row r="7112" spans="37:37" x14ac:dyDescent="0.25">
      <c r="AK7112">
        <v>0</v>
      </c>
    </row>
    <row r="7113" spans="37:37" x14ac:dyDescent="0.25">
      <c r="AK7113">
        <v>0</v>
      </c>
    </row>
    <row r="7114" spans="37:37" x14ac:dyDescent="0.25">
      <c r="AK7114">
        <v>0</v>
      </c>
    </row>
    <row r="7115" spans="37:37" x14ac:dyDescent="0.25">
      <c r="AK7115">
        <v>0</v>
      </c>
    </row>
    <row r="7116" spans="37:37" x14ac:dyDescent="0.25">
      <c r="AK7116">
        <v>0</v>
      </c>
    </row>
    <row r="7117" spans="37:37" x14ac:dyDescent="0.25">
      <c r="AK7117">
        <v>0</v>
      </c>
    </row>
    <row r="7118" spans="37:37" x14ac:dyDescent="0.25">
      <c r="AK7118">
        <v>0</v>
      </c>
    </row>
    <row r="7119" spans="37:37" x14ac:dyDescent="0.25">
      <c r="AK7119">
        <v>0</v>
      </c>
    </row>
    <row r="7120" spans="37:37" x14ac:dyDescent="0.25">
      <c r="AK7120">
        <v>0</v>
      </c>
    </row>
    <row r="7121" spans="37:37" x14ac:dyDescent="0.25">
      <c r="AK7121">
        <v>0</v>
      </c>
    </row>
    <row r="7122" spans="37:37" x14ac:dyDescent="0.25">
      <c r="AK7122">
        <v>0</v>
      </c>
    </row>
    <row r="7123" spans="37:37" x14ac:dyDescent="0.25">
      <c r="AK7123">
        <v>0</v>
      </c>
    </row>
    <row r="7124" spans="37:37" x14ac:dyDescent="0.25">
      <c r="AK7124">
        <v>0</v>
      </c>
    </row>
    <row r="7125" spans="37:37" x14ac:dyDescent="0.25">
      <c r="AK7125">
        <v>0</v>
      </c>
    </row>
    <row r="7126" spans="37:37" x14ac:dyDescent="0.25">
      <c r="AK7126">
        <v>0</v>
      </c>
    </row>
    <row r="7127" spans="37:37" x14ac:dyDescent="0.25">
      <c r="AK7127">
        <v>0</v>
      </c>
    </row>
    <row r="7128" spans="37:37" x14ac:dyDescent="0.25">
      <c r="AK7128">
        <v>0</v>
      </c>
    </row>
    <row r="7129" spans="37:37" x14ac:dyDescent="0.25">
      <c r="AK7129">
        <v>0</v>
      </c>
    </row>
    <row r="7130" spans="37:37" x14ac:dyDescent="0.25">
      <c r="AK7130">
        <v>0</v>
      </c>
    </row>
    <row r="7131" spans="37:37" x14ac:dyDescent="0.25">
      <c r="AK7131">
        <v>0</v>
      </c>
    </row>
    <row r="7132" spans="37:37" x14ac:dyDescent="0.25">
      <c r="AK7132">
        <v>0</v>
      </c>
    </row>
    <row r="7133" spans="37:37" x14ac:dyDescent="0.25">
      <c r="AK7133">
        <v>0</v>
      </c>
    </row>
    <row r="7134" spans="37:37" x14ac:dyDescent="0.25">
      <c r="AK7134">
        <v>0</v>
      </c>
    </row>
    <row r="7135" spans="37:37" x14ac:dyDescent="0.25">
      <c r="AK7135">
        <v>0</v>
      </c>
    </row>
    <row r="7136" spans="37:37" x14ac:dyDescent="0.25">
      <c r="AK7136">
        <v>0</v>
      </c>
    </row>
    <row r="7137" spans="37:37" x14ac:dyDescent="0.25">
      <c r="AK7137">
        <v>0</v>
      </c>
    </row>
    <row r="7138" spans="37:37" x14ac:dyDescent="0.25">
      <c r="AK7138">
        <v>0</v>
      </c>
    </row>
    <row r="7139" spans="37:37" x14ac:dyDescent="0.25">
      <c r="AK7139">
        <v>0</v>
      </c>
    </row>
    <row r="7140" spans="37:37" x14ac:dyDescent="0.25">
      <c r="AK7140">
        <v>0</v>
      </c>
    </row>
    <row r="7141" spans="37:37" x14ac:dyDescent="0.25">
      <c r="AK7141">
        <v>0</v>
      </c>
    </row>
    <row r="7142" spans="37:37" x14ac:dyDescent="0.25">
      <c r="AK7142">
        <v>0</v>
      </c>
    </row>
    <row r="7143" spans="37:37" x14ac:dyDescent="0.25">
      <c r="AK7143">
        <v>0</v>
      </c>
    </row>
    <row r="7144" spans="37:37" x14ac:dyDescent="0.25">
      <c r="AK7144">
        <v>0</v>
      </c>
    </row>
    <row r="7145" spans="37:37" x14ac:dyDescent="0.25">
      <c r="AK7145">
        <v>0</v>
      </c>
    </row>
    <row r="7146" spans="37:37" x14ac:dyDescent="0.25">
      <c r="AK7146">
        <v>0</v>
      </c>
    </row>
    <row r="7147" spans="37:37" x14ac:dyDescent="0.25">
      <c r="AK7147">
        <v>0</v>
      </c>
    </row>
    <row r="7148" spans="37:37" x14ac:dyDescent="0.25">
      <c r="AK7148">
        <v>0</v>
      </c>
    </row>
    <row r="7149" spans="37:37" x14ac:dyDescent="0.25">
      <c r="AK7149">
        <v>0</v>
      </c>
    </row>
    <row r="7150" spans="37:37" x14ac:dyDescent="0.25">
      <c r="AK7150">
        <v>0</v>
      </c>
    </row>
    <row r="7151" spans="37:37" x14ac:dyDescent="0.25">
      <c r="AK7151">
        <v>0</v>
      </c>
    </row>
    <row r="7152" spans="37:37" x14ac:dyDescent="0.25">
      <c r="AK7152">
        <v>0</v>
      </c>
    </row>
    <row r="7153" spans="37:37" x14ac:dyDescent="0.25">
      <c r="AK7153">
        <v>0</v>
      </c>
    </row>
    <row r="7154" spans="37:37" x14ac:dyDescent="0.25">
      <c r="AK7154">
        <v>0</v>
      </c>
    </row>
    <row r="7155" spans="37:37" x14ac:dyDescent="0.25">
      <c r="AK7155">
        <v>0</v>
      </c>
    </row>
    <row r="7156" spans="37:37" x14ac:dyDescent="0.25">
      <c r="AK7156">
        <v>0</v>
      </c>
    </row>
    <row r="7157" spans="37:37" x14ac:dyDescent="0.25">
      <c r="AK7157">
        <v>0</v>
      </c>
    </row>
    <row r="7158" spans="37:37" x14ac:dyDescent="0.25">
      <c r="AK7158">
        <v>0</v>
      </c>
    </row>
    <row r="7159" spans="37:37" x14ac:dyDescent="0.25">
      <c r="AK7159">
        <v>0</v>
      </c>
    </row>
    <row r="7160" spans="37:37" x14ac:dyDescent="0.25">
      <c r="AK7160">
        <v>0</v>
      </c>
    </row>
    <row r="7161" spans="37:37" x14ac:dyDescent="0.25">
      <c r="AK7161">
        <v>0</v>
      </c>
    </row>
    <row r="7162" spans="37:37" x14ac:dyDescent="0.25">
      <c r="AK7162">
        <v>0</v>
      </c>
    </row>
    <row r="7163" spans="37:37" x14ac:dyDescent="0.25">
      <c r="AK7163">
        <v>0</v>
      </c>
    </row>
    <row r="7164" spans="37:37" x14ac:dyDescent="0.25">
      <c r="AK7164">
        <v>0</v>
      </c>
    </row>
    <row r="7165" spans="37:37" x14ac:dyDescent="0.25">
      <c r="AK7165">
        <v>0</v>
      </c>
    </row>
    <row r="7166" spans="37:37" x14ac:dyDescent="0.25">
      <c r="AK7166">
        <v>0</v>
      </c>
    </row>
    <row r="7167" spans="37:37" x14ac:dyDescent="0.25">
      <c r="AK7167">
        <v>0</v>
      </c>
    </row>
    <row r="7168" spans="37:37" x14ac:dyDescent="0.25">
      <c r="AK7168">
        <v>0</v>
      </c>
    </row>
    <row r="7169" spans="37:37" x14ac:dyDescent="0.25">
      <c r="AK7169">
        <v>0</v>
      </c>
    </row>
    <row r="7170" spans="37:37" x14ac:dyDescent="0.25">
      <c r="AK7170">
        <v>0</v>
      </c>
    </row>
    <row r="7171" spans="37:37" x14ac:dyDescent="0.25">
      <c r="AK7171">
        <v>0</v>
      </c>
    </row>
    <row r="7172" spans="37:37" x14ac:dyDescent="0.25">
      <c r="AK7172">
        <v>0</v>
      </c>
    </row>
    <row r="7173" spans="37:37" x14ac:dyDescent="0.25">
      <c r="AK7173">
        <v>0</v>
      </c>
    </row>
    <row r="7174" spans="37:37" x14ac:dyDescent="0.25">
      <c r="AK7174">
        <v>0</v>
      </c>
    </row>
    <row r="7175" spans="37:37" x14ac:dyDescent="0.25">
      <c r="AK7175">
        <v>0</v>
      </c>
    </row>
    <row r="7176" spans="37:37" x14ac:dyDescent="0.25">
      <c r="AK7176">
        <v>0</v>
      </c>
    </row>
    <row r="7177" spans="37:37" x14ac:dyDescent="0.25">
      <c r="AK7177">
        <v>0</v>
      </c>
    </row>
    <row r="7178" spans="37:37" x14ac:dyDescent="0.25">
      <c r="AK7178">
        <v>0</v>
      </c>
    </row>
    <row r="7179" spans="37:37" x14ac:dyDescent="0.25">
      <c r="AK7179">
        <v>0</v>
      </c>
    </row>
    <row r="7180" spans="37:37" x14ac:dyDescent="0.25">
      <c r="AK7180">
        <v>0</v>
      </c>
    </row>
    <row r="7181" spans="37:37" x14ac:dyDescent="0.25">
      <c r="AK7181">
        <v>0</v>
      </c>
    </row>
    <row r="7182" spans="37:37" x14ac:dyDescent="0.25">
      <c r="AK7182">
        <v>0</v>
      </c>
    </row>
    <row r="7183" spans="37:37" x14ac:dyDescent="0.25">
      <c r="AK7183">
        <v>0</v>
      </c>
    </row>
    <row r="7184" spans="37:37" x14ac:dyDescent="0.25">
      <c r="AK7184">
        <v>0</v>
      </c>
    </row>
    <row r="7185" spans="37:37" x14ac:dyDescent="0.25">
      <c r="AK7185">
        <v>0</v>
      </c>
    </row>
    <row r="7186" spans="37:37" x14ac:dyDescent="0.25">
      <c r="AK7186">
        <v>0</v>
      </c>
    </row>
    <row r="7187" spans="37:37" x14ac:dyDescent="0.25">
      <c r="AK7187">
        <v>0</v>
      </c>
    </row>
    <row r="7188" spans="37:37" x14ac:dyDescent="0.25">
      <c r="AK7188">
        <v>0</v>
      </c>
    </row>
    <row r="7189" spans="37:37" x14ac:dyDescent="0.25">
      <c r="AK7189">
        <v>0</v>
      </c>
    </row>
    <row r="7190" spans="37:37" x14ac:dyDescent="0.25">
      <c r="AK7190">
        <v>0</v>
      </c>
    </row>
    <row r="7191" spans="37:37" x14ac:dyDescent="0.25">
      <c r="AK7191">
        <v>0</v>
      </c>
    </row>
    <row r="7192" spans="37:37" x14ac:dyDescent="0.25">
      <c r="AK7192">
        <v>0</v>
      </c>
    </row>
    <row r="7193" spans="37:37" x14ac:dyDescent="0.25">
      <c r="AK7193">
        <v>0</v>
      </c>
    </row>
    <row r="7194" spans="37:37" x14ac:dyDescent="0.25">
      <c r="AK7194">
        <v>0</v>
      </c>
    </row>
    <row r="7195" spans="37:37" x14ac:dyDescent="0.25">
      <c r="AK7195">
        <v>0</v>
      </c>
    </row>
    <row r="7196" spans="37:37" x14ac:dyDescent="0.25">
      <c r="AK7196">
        <v>0</v>
      </c>
    </row>
    <row r="7197" spans="37:37" x14ac:dyDescent="0.25">
      <c r="AK7197">
        <v>0</v>
      </c>
    </row>
    <row r="7198" spans="37:37" x14ac:dyDescent="0.25">
      <c r="AK7198">
        <v>0</v>
      </c>
    </row>
    <row r="7199" spans="37:37" x14ac:dyDescent="0.25">
      <c r="AK7199">
        <v>0</v>
      </c>
    </row>
    <row r="7200" spans="37:37" x14ac:dyDescent="0.25">
      <c r="AK7200">
        <v>0</v>
      </c>
    </row>
    <row r="7201" spans="37:37" x14ac:dyDescent="0.25">
      <c r="AK7201">
        <v>0</v>
      </c>
    </row>
    <row r="7202" spans="37:37" x14ac:dyDescent="0.25">
      <c r="AK7202">
        <v>0</v>
      </c>
    </row>
    <row r="7203" spans="37:37" x14ac:dyDescent="0.25">
      <c r="AK7203">
        <v>0</v>
      </c>
    </row>
    <row r="7204" spans="37:37" x14ac:dyDescent="0.25">
      <c r="AK7204">
        <v>0</v>
      </c>
    </row>
    <row r="7205" spans="37:37" x14ac:dyDescent="0.25">
      <c r="AK7205">
        <v>0</v>
      </c>
    </row>
    <row r="7206" spans="37:37" x14ac:dyDescent="0.25">
      <c r="AK7206">
        <v>0</v>
      </c>
    </row>
    <row r="7207" spans="37:37" x14ac:dyDescent="0.25">
      <c r="AK7207">
        <v>0</v>
      </c>
    </row>
    <row r="7208" spans="37:37" x14ac:dyDescent="0.25">
      <c r="AK7208">
        <v>0</v>
      </c>
    </row>
    <row r="7209" spans="37:37" x14ac:dyDescent="0.25">
      <c r="AK7209">
        <v>0</v>
      </c>
    </row>
    <row r="7210" spans="37:37" x14ac:dyDescent="0.25">
      <c r="AK7210">
        <v>0</v>
      </c>
    </row>
    <row r="7211" spans="37:37" x14ac:dyDescent="0.25">
      <c r="AK7211">
        <v>0</v>
      </c>
    </row>
    <row r="7212" spans="37:37" x14ac:dyDescent="0.25">
      <c r="AK7212">
        <v>0</v>
      </c>
    </row>
    <row r="7213" spans="37:37" x14ac:dyDescent="0.25">
      <c r="AK7213">
        <v>0</v>
      </c>
    </row>
    <row r="7214" spans="37:37" x14ac:dyDescent="0.25">
      <c r="AK7214">
        <v>0</v>
      </c>
    </row>
    <row r="7215" spans="37:37" x14ac:dyDescent="0.25">
      <c r="AK7215">
        <v>0</v>
      </c>
    </row>
    <row r="7216" spans="37:37" x14ac:dyDescent="0.25">
      <c r="AK7216">
        <v>0</v>
      </c>
    </row>
    <row r="7217" spans="37:37" x14ac:dyDescent="0.25">
      <c r="AK7217">
        <v>0</v>
      </c>
    </row>
    <row r="7218" spans="37:37" x14ac:dyDescent="0.25">
      <c r="AK7218">
        <v>0</v>
      </c>
    </row>
    <row r="7219" spans="37:37" x14ac:dyDescent="0.25">
      <c r="AK7219">
        <v>0</v>
      </c>
    </row>
    <row r="7220" spans="37:37" x14ac:dyDescent="0.25">
      <c r="AK7220">
        <v>0</v>
      </c>
    </row>
    <row r="7221" spans="37:37" x14ac:dyDescent="0.25">
      <c r="AK7221">
        <v>0</v>
      </c>
    </row>
    <row r="7222" spans="37:37" x14ac:dyDescent="0.25">
      <c r="AK7222">
        <v>0</v>
      </c>
    </row>
    <row r="7223" spans="37:37" x14ac:dyDescent="0.25">
      <c r="AK7223">
        <v>0</v>
      </c>
    </row>
    <row r="7224" spans="37:37" x14ac:dyDescent="0.25">
      <c r="AK7224">
        <v>0</v>
      </c>
    </row>
    <row r="7225" spans="37:37" x14ac:dyDescent="0.25">
      <c r="AK7225">
        <v>0</v>
      </c>
    </row>
    <row r="7226" spans="37:37" x14ac:dyDescent="0.25">
      <c r="AK7226">
        <v>0</v>
      </c>
    </row>
    <row r="7227" spans="37:37" x14ac:dyDescent="0.25">
      <c r="AK7227">
        <v>0</v>
      </c>
    </row>
    <row r="7228" spans="37:37" x14ac:dyDescent="0.25">
      <c r="AK7228">
        <v>0</v>
      </c>
    </row>
    <row r="7229" spans="37:37" x14ac:dyDescent="0.25">
      <c r="AK7229">
        <v>0</v>
      </c>
    </row>
    <row r="7230" spans="37:37" x14ac:dyDescent="0.25">
      <c r="AK7230">
        <v>0</v>
      </c>
    </row>
    <row r="7231" spans="37:37" x14ac:dyDescent="0.25">
      <c r="AK7231">
        <v>0</v>
      </c>
    </row>
    <row r="7232" spans="37:37" x14ac:dyDescent="0.25">
      <c r="AK7232">
        <v>0</v>
      </c>
    </row>
    <row r="7233" spans="37:37" x14ac:dyDescent="0.25">
      <c r="AK7233">
        <v>0</v>
      </c>
    </row>
    <row r="7234" spans="37:37" x14ac:dyDescent="0.25">
      <c r="AK7234">
        <v>0</v>
      </c>
    </row>
    <row r="7235" spans="37:37" x14ac:dyDescent="0.25">
      <c r="AK7235">
        <v>0</v>
      </c>
    </row>
    <row r="7236" spans="37:37" x14ac:dyDescent="0.25">
      <c r="AK7236">
        <v>0</v>
      </c>
    </row>
    <row r="7237" spans="37:37" x14ac:dyDescent="0.25">
      <c r="AK7237">
        <v>0</v>
      </c>
    </row>
    <row r="7238" spans="37:37" x14ac:dyDescent="0.25">
      <c r="AK7238">
        <v>0</v>
      </c>
    </row>
    <row r="7239" spans="37:37" x14ac:dyDescent="0.25">
      <c r="AK7239">
        <v>0</v>
      </c>
    </row>
    <row r="7240" spans="37:37" x14ac:dyDescent="0.25">
      <c r="AK7240">
        <v>0</v>
      </c>
    </row>
    <row r="7241" spans="37:37" x14ac:dyDescent="0.25">
      <c r="AK7241">
        <v>0</v>
      </c>
    </row>
    <row r="7242" spans="37:37" x14ac:dyDescent="0.25">
      <c r="AK7242">
        <v>0</v>
      </c>
    </row>
    <row r="7243" spans="37:37" x14ac:dyDescent="0.25">
      <c r="AK7243">
        <v>0</v>
      </c>
    </row>
    <row r="7244" spans="37:37" x14ac:dyDescent="0.25">
      <c r="AK7244">
        <v>0</v>
      </c>
    </row>
    <row r="7245" spans="37:37" x14ac:dyDescent="0.25">
      <c r="AK7245">
        <v>0</v>
      </c>
    </row>
    <row r="7246" spans="37:37" x14ac:dyDescent="0.25">
      <c r="AK7246">
        <v>0</v>
      </c>
    </row>
    <row r="7247" spans="37:37" x14ac:dyDescent="0.25">
      <c r="AK7247">
        <v>0</v>
      </c>
    </row>
    <row r="7248" spans="37:37" x14ac:dyDescent="0.25">
      <c r="AK7248">
        <v>0</v>
      </c>
    </row>
    <row r="7249" spans="37:37" x14ac:dyDescent="0.25">
      <c r="AK7249">
        <v>0</v>
      </c>
    </row>
    <row r="7250" spans="37:37" x14ac:dyDescent="0.25">
      <c r="AK7250">
        <v>0</v>
      </c>
    </row>
    <row r="7251" spans="37:37" x14ac:dyDescent="0.25">
      <c r="AK7251">
        <v>0</v>
      </c>
    </row>
    <row r="7252" spans="37:37" x14ac:dyDescent="0.25">
      <c r="AK7252">
        <v>0</v>
      </c>
    </row>
    <row r="7253" spans="37:37" x14ac:dyDescent="0.25">
      <c r="AK7253">
        <v>0</v>
      </c>
    </row>
    <row r="7254" spans="37:37" x14ac:dyDescent="0.25">
      <c r="AK7254">
        <v>0</v>
      </c>
    </row>
    <row r="7255" spans="37:37" x14ac:dyDescent="0.25">
      <c r="AK7255">
        <v>0</v>
      </c>
    </row>
    <row r="7256" spans="37:37" x14ac:dyDescent="0.25">
      <c r="AK7256">
        <v>0</v>
      </c>
    </row>
    <row r="7257" spans="37:37" x14ac:dyDescent="0.25">
      <c r="AK7257">
        <v>0</v>
      </c>
    </row>
    <row r="7258" spans="37:37" x14ac:dyDescent="0.25">
      <c r="AK7258">
        <v>0</v>
      </c>
    </row>
    <row r="7259" spans="37:37" x14ac:dyDescent="0.25">
      <c r="AK7259">
        <v>0</v>
      </c>
    </row>
    <row r="7260" spans="37:37" x14ac:dyDescent="0.25">
      <c r="AK7260">
        <v>0</v>
      </c>
    </row>
    <row r="7261" spans="37:37" x14ac:dyDescent="0.25">
      <c r="AK7261">
        <v>0</v>
      </c>
    </row>
    <row r="7262" spans="37:37" x14ac:dyDescent="0.25">
      <c r="AK7262">
        <v>0</v>
      </c>
    </row>
    <row r="7263" spans="37:37" x14ac:dyDescent="0.25">
      <c r="AK7263">
        <v>0</v>
      </c>
    </row>
    <row r="7264" spans="37:37" x14ac:dyDescent="0.25">
      <c r="AK7264">
        <v>0</v>
      </c>
    </row>
    <row r="7265" spans="37:37" x14ac:dyDescent="0.25">
      <c r="AK7265">
        <v>0</v>
      </c>
    </row>
    <row r="7266" spans="37:37" x14ac:dyDescent="0.25">
      <c r="AK7266">
        <v>0</v>
      </c>
    </row>
    <row r="7267" spans="37:37" x14ac:dyDescent="0.25">
      <c r="AK7267">
        <v>0</v>
      </c>
    </row>
    <row r="7268" spans="37:37" x14ac:dyDescent="0.25">
      <c r="AK7268">
        <v>0</v>
      </c>
    </row>
    <row r="7269" spans="37:37" x14ac:dyDescent="0.25">
      <c r="AK7269">
        <v>0</v>
      </c>
    </row>
    <row r="7270" spans="37:37" x14ac:dyDescent="0.25">
      <c r="AK7270">
        <v>0</v>
      </c>
    </row>
    <row r="7271" spans="37:37" x14ac:dyDescent="0.25">
      <c r="AK7271">
        <v>0</v>
      </c>
    </row>
    <row r="7272" spans="37:37" x14ac:dyDescent="0.25">
      <c r="AK7272">
        <v>0</v>
      </c>
    </row>
    <row r="7273" spans="37:37" x14ac:dyDescent="0.25">
      <c r="AK7273">
        <v>0</v>
      </c>
    </row>
    <row r="7274" spans="37:37" x14ac:dyDescent="0.25">
      <c r="AK7274">
        <v>0</v>
      </c>
    </row>
    <row r="7275" spans="37:37" x14ac:dyDescent="0.25">
      <c r="AK7275">
        <v>0</v>
      </c>
    </row>
    <row r="7276" spans="37:37" x14ac:dyDescent="0.25">
      <c r="AK7276">
        <v>0</v>
      </c>
    </row>
    <row r="7277" spans="37:37" x14ac:dyDescent="0.25">
      <c r="AK7277">
        <v>0</v>
      </c>
    </row>
    <row r="7278" spans="37:37" x14ac:dyDescent="0.25">
      <c r="AK7278">
        <v>0</v>
      </c>
    </row>
    <row r="7279" spans="37:37" x14ac:dyDescent="0.25">
      <c r="AK7279">
        <v>0</v>
      </c>
    </row>
    <row r="7280" spans="37:37" x14ac:dyDescent="0.25">
      <c r="AK7280">
        <v>0</v>
      </c>
    </row>
    <row r="7281" spans="37:37" x14ac:dyDescent="0.25">
      <c r="AK7281">
        <v>0</v>
      </c>
    </row>
    <row r="7282" spans="37:37" x14ac:dyDescent="0.25">
      <c r="AK7282">
        <v>0</v>
      </c>
    </row>
    <row r="7283" spans="37:37" x14ac:dyDescent="0.25">
      <c r="AK7283">
        <v>0</v>
      </c>
    </row>
    <row r="7284" spans="37:37" x14ac:dyDescent="0.25">
      <c r="AK7284">
        <v>0</v>
      </c>
    </row>
    <row r="7285" spans="37:37" x14ac:dyDescent="0.25">
      <c r="AK7285">
        <v>0</v>
      </c>
    </row>
    <row r="7286" spans="37:37" x14ac:dyDescent="0.25">
      <c r="AK7286">
        <v>0</v>
      </c>
    </row>
    <row r="7287" spans="37:37" x14ac:dyDescent="0.25">
      <c r="AK7287">
        <v>0</v>
      </c>
    </row>
    <row r="7288" spans="37:37" x14ac:dyDescent="0.25">
      <c r="AK7288">
        <v>0</v>
      </c>
    </row>
    <row r="7289" spans="37:37" x14ac:dyDescent="0.25">
      <c r="AK7289">
        <v>0</v>
      </c>
    </row>
    <row r="7290" spans="37:37" x14ac:dyDescent="0.25">
      <c r="AK7290">
        <v>0</v>
      </c>
    </row>
    <row r="7291" spans="37:37" x14ac:dyDescent="0.25">
      <c r="AK7291">
        <v>0</v>
      </c>
    </row>
    <row r="7292" spans="37:37" x14ac:dyDescent="0.25">
      <c r="AK7292">
        <v>0</v>
      </c>
    </row>
    <row r="7293" spans="37:37" x14ac:dyDescent="0.25">
      <c r="AK7293">
        <v>0</v>
      </c>
    </row>
    <row r="7294" spans="37:37" x14ac:dyDescent="0.25">
      <c r="AK7294">
        <v>0</v>
      </c>
    </row>
    <row r="7295" spans="37:37" x14ac:dyDescent="0.25">
      <c r="AK7295">
        <v>0</v>
      </c>
    </row>
    <row r="7296" spans="37:37" x14ac:dyDescent="0.25">
      <c r="AK7296">
        <v>0</v>
      </c>
    </row>
    <row r="7297" spans="37:37" x14ac:dyDescent="0.25">
      <c r="AK7297">
        <v>0</v>
      </c>
    </row>
    <row r="7298" spans="37:37" x14ac:dyDescent="0.25">
      <c r="AK7298">
        <v>0</v>
      </c>
    </row>
    <row r="7299" spans="37:37" x14ac:dyDescent="0.25">
      <c r="AK7299">
        <v>0</v>
      </c>
    </row>
    <row r="7300" spans="37:37" x14ac:dyDescent="0.25">
      <c r="AK7300">
        <v>0</v>
      </c>
    </row>
    <row r="7301" spans="37:37" x14ac:dyDescent="0.25">
      <c r="AK7301">
        <v>0</v>
      </c>
    </row>
    <row r="7302" spans="37:37" x14ac:dyDescent="0.25">
      <c r="AK7302">
        <v>0</v>
      </c>
    </row>
    <row r="7303" spans="37:37" x14ac:dyDescent="0.25">
      <c r="AK7303">
        <v>0</v>
      </c>
    </row>
    <row r="7304" spans="37:37" x14ac:dyDescent="0.25">
      <c r="AK7304">
        <v>0</v>
      </c>
    </row>
    <row r="7305" spans="37:37" x14ac:dyDescent="0.25">
      <c r="AK7305">
        <v>0</v>
      </c>
    </row>
    <row r="7306" spans="37:37" x14ac:dyDescent="0.25">
      <c r="AK7306">
        <v>0</v>
      </c>
    </row>
    <row r="7307" spans="37:37" x14ac:dyDescent="0.25">
      <c r="AK7307">
        <v>0</v>
      </c>
    </row>
    <row r="7308" spans="37:37" x14ac:dyDescent="0.25">
      <c r="AK7308">
        <v>0</v>
      </c>
    </row>
    <row r="7309" spans="37:37" x14ac:dyDescent="0.25">
      <c r="AK7309">
        <v>0</v>
      </c>
    </row>
    <row r="7310" spans="37:37" x14ac:dyDescent="0.25">
      <c r="AK7310">
        <v>0</v>
      </c>
    </row>
    <row r="7311" spans="37:37" x14ac:dyDescent="0.25">
      <c r="AK7311">
        <v>0</v>
      </c>
    </row>
    <row r="7312" spans="37:37" x14ac:dyDescent="0.25">
      <c r="AK7312">
        <v>0</v>
      </c>
    </row>
    <row r="7313" spans="37:37" x14ac:dyDescent="0.25">
      <c r="AK7313">
        <v>0</v>
      </c>
    </row>
    <row r="7314" spans="37:37" x14ac:dyDescent="0.25">
      <c r="AK7314">
        <v>0</v>
      </c>
    </row>
    <row r="7315" spans="37:37" x14ac:dyDescent="0.25">
      <c r="AK7315">
        <v>0</v>
      </c>
    </row>
    <row r="7316" spans="37:37" x14ac:dyDescent="0.25">
      <c r="AK7316">
        <v>0</v>
      </c>
    </row>
    <row r="7317" spans="37:37" x14ac:dyDescent="0.25">
      <c r="AK7317">
        <v>0</v>
      </c>
    </row>
    <row r="7318" spans="37:37" x14ac:dyDescent="0.25">
      <c r="AK7318">
        <v>0</v>
      </c>
    </row>
    <row r="7319" spans="37:37" x14ac:dyDescent="0.25">
      <c r="AK7319">
        <v>0</v>
      </c>
    </row>
    <row r="7320" spans="37:37" x14ac:dyDescent="0.25">
      <c r="AK7320">
        <v>0</v>
      </c>
    </row>
    <row r="7321" spans="37:37" x14ac:dyDescent="0.25">
      <c r="AK7321">
        <v>0</v>
      </c>
    </row>
    <row r="7322" spans="37:37" x14ac:dyDescent="0.25">
      <c r="AK7322">
        <v>0</v>
      </c>
    </row>
    <row r="7323" spans="37:37" x14ac:dyDescent="0.25">
      <c r="AK7323">
        <v>0</v>
      </c>
    </row>
    <row r="7324" spans="37:37" x14ac:dyDescent="0.25">
      <c r="AK7324">
        <v>0</v>
      </c>
    </row>
    <row r="7325" spans="37:37" x14ac:dyDescent="0.25">
      <c r="AK7325">
        <v>0</v>
      </c>
    </row>
    <row r="7326" spans="37:37" x14ac:dyDescent="0.25">
      <c r="AK7326">
        <v>0</v>
      </c>
    </row>
    <row r="7327" spans="37:37" x14ac:dyDescent="0.25">
      <c r="AK7327">
        <v>0</v>
      </c>
    </row>
    <row r="7328" spans="37:37" x14ac:dyDescent="0.25">
      <c r="AK7328">
        <v>0</v>
      </c>
    </row>
    <row r="7329" spans="37:37" x14ac:dyDescent="0.25">
      <c r="AK7329">
        <v>0</v>
      </c>
    </row>
    <row r="7330" spans="37:37" x14ac:dyDescent="0.25">
      <c r="AK7330">
        <v>0</v>
      </c>
    </row>
    <row r="7331" spans="37:37" x14ac:dyDescent="0.25">
      <c r="AK7331">
        <v>0</v>
      </c>
    </row>
    <row r="7332" spans="37:37" x14ac:dyDescent="0.25">
      <c r="AK7332">
        <v>0</v>
      </c>
    </row>
    <row r="7333" spans="37:37" x14ac:dyDescent="0.25">
      <c r="AK7333">
        <v>0</v>
      </c>
    </row>
    <row r="7334" spans="37:37" x14ac:dyDescent="0.25">
      <c r="AK7334">
        <v>0</v>
      </c>
    </row>
    <row r="7335" spans="37:37" x14ac:dyDescent="0.25">
      <c r="AK7335">
        <v>0</v>
      </c>
    </row>
    <row r="7336" spans="37:37" x14ac:dyDescent="0.25">
      <c r="AK7336">
        <v>0</v>
      </c>
    </row>
    <row r="7337" spans="37:37" x14ac:dyDescent="0.25">
      <c r="AK7337">
        <v>0</v>
      </c>
    </row>
    <row r="7338" spans="37:37" x14ac:dyDescent="0.25">
      <c r="AK7338">
        <v>0</v>
      </c>
    </row>
    <row r="7339" spans="37:37" x14ac:dyDescent="0.25">
      <c r="AK7339">
        <v>0</v>
      </c>
    </row>
    <row r="7340" spans="37:37" x14ac:dyDescent="0.25">
      <c r="AK7340">
        <v>0</v>
      </c>
    </row>
    <row r="7341" spans="37:37" x14ac:dyDescent="0.25">
      <c r="AK7341">
        <v>0</v>
      </c>
    </row>
    <row r="7342" spans="37:37" x14ac:dyDescent="0.25">
      <c r="AK7342">
        <v>0</v>
      </c>
    </row>
    <row r="7343" spans="37:37" x14ac:dyDescent="0.25">
      <c r="AK7343">
        <v>0</v>
      </c>
    </row>
    <row r="7344" spans="37:37" x14ac:dyDescent="0.25">
      <c r="AK7344">
        <v>0</v>
      </c>
    </row>
    <row r="7345" spans="37:37" x14ac:dyDescent="0.25">
      <c r="AK7345">
        <v>0</v>
      </c>
    </row>
    <row r="7346" spans="37:37" x14ac:dyDescent="0.25">
      <c r="AK7346">
        <v>0</v>
      </c>
    </row>
    <row r="7347" spans="37:37" x14ac:dyDescent="0.25">
      <c r="AK7347">
        <v>0</v>
      </c>
    </row>
    <row r="7348" spans="37:37" x14ac:dyDescent="0.25">
      <c r="AK7348">
        <v>0</v>
      </c>
    </row>
    <row r="7349" spans="37:37" x14ac:dyDescent="0.25">
      <c r="AK7349">
        <v>0</v>
      </c>
    </row>
    <row r="7350" spans="37:37" x14ac:dyDescent="0.25">
      <c r="AK7350">
        <v>0</v>
      </c>
    </row>
    <row r="7351" spans="37:37" x14ac:dyDescent="0.25">
      <c r="AK7351">
        <v>0</v>
      </c>
    </row>
    <row r="7352" spans="37:37" x14ac:dyDescent="0.25">
      <c r="AK7352">
        <v>0</v>
      </c>
    </row>
    <row r="7353" spans="37:37" x14ac:dyDescent="0.25">
      <c r="AK7353">
        <v>0</v>
      </c>
    </row>
    <row r="7354" spans="37:37" x14ac:dyDescent="0.25">
      <c r="AK7354">
        <v>0</v>
      </c>
    </row>
    <row r="7355" spans="37:37" x14ac:dyDescent="0.25">
      <c r="AK7355">
        <v>0</v>
      </c>
    </row>
    <row r="7356" spans="37:37" x14ac:dyDescent="0.25">
      <c r="AK7356">
        <v>0</v>
      </c>
    </row>
    <row r="7357" spans="37:37" x14ac:dyDescent="0.25">
      <c r="AK7357">
        <v>0</v>
      </c>
    </row>
    <row r="7358" spans="37:37" x14ac:dyDescent="0.25">
      <c r="AK7358">
        <v>0</v>
      </c>
    </row>
    <row r="7359" spans="37:37" x14ac:dyDescent="0.25">
      <c r="AK7359">
        <v>0</v>
      </c>
    </row>
    <row r="7360" spans="37:37" x14ac:dyDescent="0.25">
      <c r="AK7360">
        <v>0</v>
      </c>
    </row>
    <row r="7361" spans="37:37" x14ac:dyDescent="0.25">
      <c r="AK7361">
        <v>0</v>
      </c>
    </row>
    <row r="7362" spans="37:37" x14ac:dyDescent="0.25">
      <c r="AK7362">
        <v>0</v>
      </c>
    </row>
    <row r="7363" spans="37:37" x14ac:dyDescent="0.25">
      <c r="AK7363">
        <v>0</v>
      </c>
    </row>
    <row r="7364" spans="37:37" x14ac:dyDescent="0.25">
      <c r="AK7364">
        <v>0</v>
      </c>
    </row>
    <row r="7365" spans="37:37" x14ac:dyDescent="0.25">
      <c r="AK7365">
        <v>0</v>
      </c>
    </row>
    <row r="7366" spans="37:37" x14ac:dyDescent="0.25">
      <c r="AK7366">
        <v>0</v>
      </c>
    </row>
    <row r="7367" spans="37:37" x14ac:dyDescent="0.25">
      <c r="AK7367">
        <v>0</v>
      </c>
    </row>
    <row r="7368" spans="37:37" x14ac:dyDescent="0.25">
      <c r="AK7368">
        <v>0</v>
      </c>
    </row>
    <row r="7369" spans="37:37" x14ac:dyDescent="0.25">
      <c r="AK7369">
        <v>0</v>
      </c>
    </row>
    <row r="7370" spans="37:37" x14ac:dyDescent="0.25">
      <c r="AK7370">
        <v>0</v>
      </c>
    </row>
    <row r="7371" spans="37:37" x14ac:dyDescent="0.25">
      <c r="AK7371">
        <v>0</v>
      </c>
    </row>
    <row r="7372" spans="37:37" x14ac:dyDescent="0.25">
      <c r="AK7372">
        <v>0</v>
      </c>
    </row>
    <row r="7373" spans="37:37" x14ac:dyDescent="0.25">
      <c r="AK7373">
        <v>0</v>
      </c>
    </row>
    <row r="7374" spans="37:37" x14ac:dyDescent="0.25">
      <c r="AK7374">
        <v>0</v>
      </c>
    </row>
    <row r="7375" spans="37:37" x14ac:dyDescent="0.25">
      <c r="AK7375">
        <v>0</v>
      </c>
    </row>
    <row r="7376" spans="37:37" x14ac:dyDescent="0.25">
      <c r="AK7376">
        <v>0</v>
      </c>
    </row>
    <row r="7377" spans="37:37" x14ac:dyDescent="0.25">
      <c r="AK7377">
        <v>0</v>
      </c>
    </row>
    <row r="7378" spans="37:37" x14ac:dyDescent="0.25">
      <c r="AK7378">
        <v>0</v>
      </c>
    </row>
    <row r="7379" spans="37:37" x14ac:dyDescent="0.25">
      <c r="AK7379">
        <v>0</v>
      </c>
    </row>
    <row r="7380" spans="37:37" x14ac:dyDescent="0.25">
      <c r="AK7380">
        <v>0</v>
      </c>
    </row>
    <row r="7381" spans="37:37" x14ac:dyDescent="0.25">
      <c r="AK7381">
        <v>0</v>
      </c>
    </row>
    <row r="7382" spans="37:37" x14ac:dyDescent="0.25">
      <c r="AK7382">
        <v>0</v>
      </c>
    </row>
    <row r="7383" spans="37:37" x14ac:dyDescent="0.25">
      <c r="AK7383">
        <v>0</v>
      </c>
    </row>
    <row r="7384" spans="37:37" x14ac:dyDescent="0.25">
      <c r="AK7384">
        <v>0</v>
      </c>
    </row>
    <row r="7385" spans="37:37" x14ac:dyDescent="0.25">
      <c r="AK7385">
        <v>0</v>
      </c>
    </row>
    <row r="7386" spans="37:37" x14ac:dyDescent="0.25">
      <c r="AK7386">
        <v>0</v>
      </c>
    </row>
    <row r="7387" spans="37:37" x14ac:dyDescent="0.25">
      <c r="AK7387">
        <v>0</v>
      </c>
    </row>
    <row r="7388" spans="37:37" x14ac:dyDescent="0.25">
      <c r="AK7388">
        <v>0</v>
      </c>
    </row>
    <row r="7389" spans="37:37" x14ac:dyDescent="0.25">
      <c r="AK7389">
        <v>0</v>
      </c>
    </row>
    <row r="7390" spans="37:37" x14ac:dyDescent="0.25">
      <c r="AK7390">
        <v>0</v>
      </c>
    </row>
    <row r="7391" spans="37:37" x14ac:dyDescent="0.25">
      <c r="AK7391">
        <v>0</v>
      </c>
    </row>
    <row r="7392" spans="37:37" x14ac:dyDescent="0.25">
      <c r="AK7392">
        <v>0</v>
      </c>
    </row>
    <row r="7393" spans="37:37" x14ac:dyDescent="0.25">
      <c r="AK7393">
        <v>0</v>
      </c>
    </row>
    <row r="7394" spans="37:37" x14ac:dyDescent="0.25">
      <c r="AK7394">
        <v>0</v>
      </c>
    </row>
    <row r="7395" spans="37:37" x14ac:dyDescent="0.25">
      <c r="AK7395">
        <v>0</v>
      </c>
    </row>
    <row r="7396" spans="37:37" x14ac:dyDescent="0.25">
      <c r="AK7396">
        <v>0</v>
      </c>
    </row>
    <row r="7397" spans="37:37" x14ac:dyDescent="0.25">
      <c r="AK7397">
        <v>0</v>
      </c>
    </row>
    <row r="7398" spans="37:37" x14ac:dyDescent="0.25">
      <c r="AK7398">
        <v>0</v>
      </c>
    </row>
    <row r="7399" spans="37:37" x14ac:dyDescent="0.25">
      <c r="AK7399">
        <v>0</v>
      </c>
    </row>
    <row r="7400" spans="37:37" x14ac:dyDescent="0.25">
      <c r="AK7400">
        <v>0</v>
      </c>
    </row>
    <row r="7401" spans="37:37" x14ac:dyDescent="0.25">
      <c r="AK7401">
        <v>0</v>
      </c>
    </row>
    <row r="7402" spans="37:37" x14ac:dyDescent="0.25">
      <c r="AK7402">
        <v>0</v>
      </c>
    </row>
    <row r="7403" spans="37:37" x14ac:dyDescent="0.25">
      <c r="AK7403">
        <v>0</v>
      </c>
    </row>
    <row r="7404" spans="37:37" x14ac:dyDescent="0.25">
      <c r="AK7404">
        <v>0</v>
      </c>
    </row>
    <row r="7405" spans="37:37" x14ac:dyDescent="0.25">
      <c r="AK7405">
        <v>0</v>
      </c>
    </row>
    <row r="7406" spans="37:37" x14ac:dyDescent="0.25">
      <c r="AK7406">
        <v>0</v>
      </c>
    </row>
    <row r="7407" spans="37:37" x14ac:dyDescent="0.25">
      <c r="AK7407">
        <v>0</v>
      </c>
    </row>
    <row r="7408" spans="37:37" x14ac:dyDescent="0.25">
      <c r="AK7408">
        <v>0</v>
      </c>
    </row>
    <row r="7409" spans="37:37" x14ac:dyDescent="0.25">
      <c r="AK7409">
        <v>0</v>
      </c>
    </row>
    <row r="7410" spans="37:37" x14ac:dyDescent="0.25">
      <c r="AK7410">
        <v>0</v>
      </c>
    </row>
    <row r="7411" spans="37:37" x14ac:dyDescent="0.25">
      <c r="AK7411">
        <v>0</v>
      </c>
    </row>
    <row r="7412" spans="37:37" x14ac:dyDescent="0.25">
      <c r="AK7412">
        <v>0</v>
      </c>
    </row>
    <row r="7413" spans="37:37" x14ac:dyDescent="0.25">
      <c r="AK7413">
        <v>0</v>
      </c>
    </row>
    <row r="7414" spans="37:37" x14ac:dyDescent="0.25">
      <c r="AK7414">
        <v>0</v>
      </c>
    </row>
    <row r="7415" spans="37:37" x14ac:dyDescent="0.25">
      <c r="AK7415">
        <v>0</v>
      </c>
    </row>
    <row r="7416" spans="37:37" x14ac:dyDescent="0.25">
      <c r="AK7416">
        <v>0</v>
      </c>
    </row>
    <row r="7417" spans="37:37" x14ac:dyDescent="0.25">
      <c r="AK7417">
        <v>0</v>
      </c>
    </row>
    <row r="7418" spans="37:37" x14ac:dyDescent="0.25">
      <c r="AK7418">
        <v>0</v>
      </c>
    </row>
    <row r="7419" spans="37:37" x14ac:dyDescent="0.25">
      <c r="AK7419">
        <v>0</v>
      </c>
    </row>
    <row r="7420" spans="37:37" x14ac:dyDescent="0.25">
      <c r="AK7420">
        <v>0</v>
      </c>
    </row>
    <row r="7421" spans="37:37" x14ac:dyDescent="0.25">
      <c r="AK7421">
        <v>0</v>
      </c>
    </row>
    <row r="7422" spans="37:37" x14ac:dyDescent="0.25">
      <c r="AK7422">
        <v>0</v>
      </c>
    </row>
    <row r="7423" spans="37:37" x14ac:dyDescent="0.25">
      <c r="AK7423">
        <v>0</v>
      </c>
    </row>
    <row r="7424" spans="37:37" x14ac:dyDescent="0.25">
      <c r="AK7424">
        <v>0</v>
      </c>
    </row>
    <row r="7425" spans="37:37" x14ac:dyDescent="0.25">
      <c r="AK7425">
        <v>0</v>
      </c>
    </row>
    <row r="7426" spans="37:37" x14ac:dyDescent="0.25">
      <c r="AK7426">
        <v>0</v>
      </c>
    </row>
    <row r="7427" spans="37:37" x14ac:dyDescent="0.25">
      <c r="AK7427">
        <v>0</v>
      </c>
    </row>
    <row r="7428" spans="37:37" x14ac:dyDescent="0.25">
      <c r="AK7428">
        <v>0</v>
      </c>
    </row>
    <row r="7429" spans="37:37" x14ac:dyDescent="0.25">
      <c r="AK7429">
        <v>0</v>
      </c>
    </row>
    <row r="7430" spans="37:37" x14ac:dyDescent="0.25">
      <c r="AK7430">
        <v>0</v>
      </c>
    </row>
    <row r="7431" spans="37:37" x14ac:dyDescent="0.25">
      <c r="AK7431">
        <v>0</v>
      </c>
    </row>
    <row r="7432" spans="37:37" x14ac:dyDescent="0.25">
      <c r="AK7432">
        <v>0</v>
      </c>
    </row>
    <row r="7433" spans="37:37" x14ac:dyDescent="0.25">
      <c r="AK7433">
        <v>0</v>
      </c>
    </row>
    <row r="7434" spans="37:37" x14ac:dyDescent="0.25">
      <c r="AK7434">
        <v>0</v>
      </c>
    </row>
    <row r="7435" spans="37:37" x14ac:dyDescent="0.25">
      <c r="AK7435">
        <v>0</v>
      </c>
    </row>
    <row r="7436" spans="37:37" x14ac:dyDescent="0.25">
      <c r="AK7436">
        <v>0</v>
      </c>
    </row>
    <row r="7437" spans="37:37" x14ac:dyDescent="0.25">
      <c r="AK7437">
        <v>0</v>
      </c>
    </row>
    <row r="7438" spans="37:37" x14ac:dyDescent="0.25">
      <c r="AK7438">
        <v>0</v>
      </c>
    </row>
    <row r="7439" spans="37:37" x14ac:dyDescent="0.25">
      <c r="AK7439">
        <v>0</v>
      </c>
    </row>
    <row r="7440" spans="37:37" x14ac:dyDescent="0.25">
      <c r="AK7440">
        <v>0</v>
      </c>
    </row>
    <row r="7441" spans="37:37" x14ac:dyDescent="0.25">
      <c r="AK7441">
        <v>0</v>
      </c>
    </row>
    <row r="7442" spans="37:37" x14ac:dyDescent="0.25">
      <c r="AK7442">
        <v>0</v>
      </c>
    </row>
    <row r="7443" spans="37:37" x14ac:dyDescent="0.25">
      <c r="AK7443">
        <v>0</v>
      </c>
    </row>
    <row r="7444" spans="37:37" x14ac:dyDescent="0.25">
      <c r="AK7444">
        <v>0</v>
      </c>
    </row>
    <row r="7445" spans="37:37" x14ac:dyDescent="0.25">
      <c r="AK7445">
        <v>0</v>
      </c>
    </row>
    <row r="7446" spans="37:37" x14ac:dyDescent="0.25">
      <c r="AK7446">
        <v>0</v>
      </c>
    </row>
    <row r="7447" spans="37:37" x14ac:dyDescent="0.25">
      <c r="AK7447">
        <v>0</v>
      </c>
    </row>
    <row r="7448" spans="37:37" x14ac:dyDescent="0.25">
      <c r="AK7448">
        <v>0</v>
      </c>
    </row>
    <row r="7449" spans="37:37" x14ac:dyDescent="0.25">
      <c r="AK7449">
        <v>0</v>
      </c>
    </row>
    <row r="7450" spans="37:37" x14ac:dyDescent="0.25">
      <c r="AK7450">
        <v>0</v>
      </c>
    </row>
    <row r="7451" spans="37:37" x14ac:dyDescent="0.25">
      <c r="AK7451">
        <v>0</v>
      </c>
    </row>
    <row r="7452" spans="37:37" x14ac:dyDescent="0.25">
      <c r="AK7452">
        <v>0</v>
      </c>
    </row>
    <row r="7453" spans="37:37" x14ac:dyDescent="0.25">
      <c r="AK7453">
        <v>0</v>
      </c>
    </row>
    <row r="7454" spans="37:37" x14ac:dyDescent="0.25">
      <c r="AK7454">
        <v>0</v>
      </c>
    </row>
    <row r="7455" spans="37:37" x14ac:dyDescent="0.25">
      <c r="AK7455">
        <v>0</v>
      </c>
    </row>
    <row r="7456" spans="37:37" x14ac:dyDescent="0.25">
      <c r="AK7456">
        <v>0</v>
      </c>
    </row>
    <row r="7457" spans="37:37" x14ac:dyDescent="0.25">
      <c r="AK7457">
        <v>0</v>
      </c>
    </row>
    <row r="7458" spans="37:37" x14ac:dyDescent="0.25">
      <c r="AK7458">
        <v>0</v>
      </c>
    </row>
    <row r="7459" spans="37:37" x14ac:dyDescent="0.25">
      <c r="AK7459">
        <v>0</v>
      </c>
    </row>
    <row r="7460" spans="37:37" x14ac:dyDescent="0.25">
      <c r="AK7460">
        <v>0</v>
      </c>
    </row>
    <row r="7461" spans="37:37" x14ac:dyDescent="0.25">
      <c r="AK7461">
        <v>0</v>
      </c>
    </row>
    <row r="7462" spans="37:37" x14ac:dyDescent="0.25">
      <c r="AK7462">
        <v>0</v>
      </c>
    </row>
    <row r="7463" spans="37:37" x14ac:dyDescent="0.25">
      <c r="AK7463">
        <v>0</v>
      </c>
    </row>
    <row r="7464" spans="37:37" x14ac:dyDescent="0.25">
      <c r="AK7464">
        <v>0</v>
      </c>
    </row>
    <row r="7465" spans="37:37" x14ac:dyDescent="0.25">
      <c r="AK7465">
        <v>0</v>
      </c>
    </row>
    <row r="7466" spans="37:37" x14ac:dyDescent="0.25">
      <c r="AK7466">
        <v>0</v>
      </c>
    </row>
    <row r="7467" spans="37:37" x14ac:dyDescent="0.25">
      <c r="AK7467">
        <v>0</v>
      </c>
    </row>
    <row r="7468" spans="37:37" x14ac:dyDescent="0.25">
      <c r="AK7468">
        <v>0</v>
      </c>
    </row>
    <row r="7469" spans="37:37" x14ac:dyDescent="0.25">
      <c r="AK7469">
        <v>0</v>
      </c>
    </row>
    <row r="7470" spans="37:37" x14ac:dyDescent="0.25">
      <c r="AK7470">
        <v>0</v>
      </c>
    </row>
    <row r="7471" spans="37:37" x14ac:dyDescent="0.25">
      <c r="AK7471">
        <v>0</v>
      </c>
    </row>
    <row r="7472" spans="37:37" x14ac:dyDescent="0.25">
      <c r="AK7472">
        <v>0</v>
      </c>
    </row>
    <row r="7473" spans="37:37" x14ac:dyDescent="0.25">
      <c r="AK7473">
        <v>0</v>
      </c>
    </row>
    <row r="7474" spans="37:37" x14ac:dyDescent="0.25">
      <c r="AK7474">
        <v>0</v>
      </c>
    </row>
    <row r="7475" spans="37:37" x14ac:dyDescent="0.25">
      <c r="AK7475">
        <v>0</v>
      </c>
    </row>
    <row r="7476" spans="37:37" x14ac:dyDescent="0.25">
      <c r="AK7476">
        <v>0</v>
      </c>
    </row>
    <row r="7477" spans="37:37" x14ac:dyDescent="0.25">
      <c r="AK7477">
        <v>0</v>
      </c>
    </row>
    <row r="7478" spans="37:37" x14ac:dyDescent="0.25">
      <c r="AK7478">
        <v>0</v>
      </c>
    </row>
    <row r="7479" spans="37:37" x14ac:dyDescent="0.25">
      <c r="AK7479">
        <v>0</v>
      </c>
    </row>
    <row r="7480" spans="37:37" x14ac:dyDescent="0.25">
      <c r="AK7480">
        <v>0</v>
      </c>
    </row>
    <row r="7481" spans="37:37" x14ac:dyDescent="0.25">
      <c r="AK7481">
        <v>0</v>
      </c>
    </row>
    <row r="7482" spans="37:37" x14ac:dyDescent="0.25">
      <c r="AK7482">
        <v>0</v>
      </c>
    </row>
    <row r="7483" spans="37:37" x14ac:dyDescent="0.25">
      <c r="AK7483">
        <v>0</v>
      </c>
    </row>
    <row r="7484" spans="37:37" x14ac:dyDescent="0.25">
      <c r="AK7484">
        <v>0</v>
      </c>
    </row>
    <row r="7485" spans="37:37" x14ac:dyDescent="0.25">
      <c r="AK7485">
        <v>0</v>
      </c>
    </row>
    <row r="7486" spans="37:37" x14ac:dyDescent="0.25">
      <c r="AK7486">
        <v>0</v>
      </c>
    </row>
    <row r="7487" spans="37:37" x14ac:dyDescent="0.25">
      <c r="AK7487">
        <v>0</v>
      </c>
    </row>
    <row r="7488" spans="37:37" x14ac:dyDescent="0.25">
      <c r="AK7488">
        <v>0</v>
      </c>
    </row>
    <row r="7489" spans="37:37" x14ac:dyDescent="0.25">
      <c r="AK7489">
        <v>0</v>
      </c>
    </row>
    <row r="7490" spans="37:37" x14ac:dyDescent="0.25">
      <c r="AK7490">
        <v>0</v>
      </c>
    </row>
    <row r="7491" spans="37:37" x14ac:dyDescent="0.25">
      <c r="AK7491">
        <v>0</v>
      </c>
    </row>
    <row r="7492" spans="37:37" x14ac:dyDescent="0.25">
      <c r="AK7492">
        <v>0</v>
      </c>
    </row>
    <row r="7493" spans="37:37" x14ac:dyDescent="0.25">
      <c r="AK7493">
        <v>0</v>
      </c>
    </row>
    <row r="7494" spans="37:37" x14ac:dyDescent="0.25">
      <c r="AK7494">
        <v>0</v>
      </c>
    </row>
    <row r="7495" spans="37:37" x14ac:dyDescent="0.25">
      <c r="AK7495">
        <v>0</v>
      </c>
    </row>
    <row r="7496" spans="37:37" x14ac:dyDescent="0.25">
      <c r="AK7496">
        <v>0</v>
      </c>
    </row>
    <row r="7497" spans="37:37" x14ac:dyDescent="0.25">
      <c r="AK7497">
        <v>0</v>
      </c>
    </row>
    <row r="7498" spans="37:37" x14ac:dyDescent="0.25">
      <c r="AK7498">
        <v>0</v>
      </c>
    </row>
    <row r="7499" spans="37:37" x14ac:dyDescent="0.25">
      <c r="AK7499">
        <v>0</v>
      </c>
    </row>
    <row r="7500" spans="37:37" x14ac:dyDescent="0.25">
      <c r="AK7500">
        <v>0</v>
      </c>
    </row>
    <row r="7501" spans="37:37" x14ac:dyDescent="0.25">
      <c r="AK7501">
        <v>0</v>
      </c>
    </row>
    <row r="7502" spans="37:37" x14ac:dyDescent="0.25">
      <c r="AK7502">
        <v>0</v>
      </c>
    </row>
    <row r="7503" spans="37:37" x14ac:dyDescent="0.25">
      <c r="AK7503">
        <v>0</v>
      </c>
    </row>
    <row r="7504" spans="37:37" x14ac:dyDescent="0.25">
      <c r="AK7504">
        <v>0</v>
      </c>
    </row>
    <row r="7505" spans="37:37" x14ac:dyDescent="0.25">
      <c r="AK7505">
        <v>0</v>
      </c>
    </row>
    <row r="7506" spans="37:37" x14ac:dyDescent="0.25">
      <c r="AK7506">
        <v>0</v>
      </c>
    </row>
    <row r="7507" spans="37:37" x14ac:dyDescent="0.25">
      <c r="AK7507">
        <v>0</v>
      </c>
    </row>
    <row r="7508" spans="37:37" x14ac:dyDescent="0.25">
      <c r="AK7508">
        <v>0</v>
      </c>
    </row>
    <row r="7509" spans="37:37" x14ac:dyDescent="0.25">
      <c r="AK7509">
        <v>0</v>
      </c>
    </row>
    <row r="7510" spans="37:37" x14ac:dyDescent="0.25">
      <c r="AK7510">
        <v>0</v>
      </c>
    </row>
    <row r="7511" spans="37:37" x14ac:dyDescent="0.25">
      <c r="AK7511">
        <v>0</v>
      </c>
    </row>
    <row r="7512" spans="37:37" x14ac:dyDescent="0.25">
      <c r="AK7512">
        <v>0</v>
      </c>
    </row>
    <row r="7513" spans="37:37" x14ac:dyDescent="0.25">
      <c r="AK7513">
        <v>0</v>
      </c>
    </row>
    <row r="7514" spans="37:37" x14ac:dyDescent="0.25">
      <c r="AK7514">
        <v>0</v>
      </c>
    </row>
    <row r="7515" spans="37:37" x14ac:dyDescent="0.25">
      <c r="AK7515">
        <v>0</v>
      </c>
    </row>
    <row r="7516" spans="37:37" x14ac:dyDescent="0.25">
      <c r="AK7516">
        <v>0</v>
      </c>
    </row>
    <row r="7517" spans="37:37" x14ac:dyDescent="0.25">
      <c r="AK7517">
        <v>0</v>
      </c>
    </row>
    <row r="7518" spans="37:37" x14ac:dyDescent="0.25">
      <c r="AK7518">
        <v>0</v>
      </c>
    </row>
    <row r="7519" spans="37:37" x14ac:dyDescent="0.25">
      <c r="AK7519">
        <v>0</v>
      </c>
    </row>
    <row r="7520" spans="37:37" x14ac:dyDescent="0.25">
      <c r="AK7520">
        <v>0</v>
      </c>
    </row>
    <row r="7521" spans="37:37" x14ac:dyDescent="0.25">
      <c r="AK7521">
        <v>0</v>
      </c>
    </row>
    <row r="7522" spans="37:37" x14ac:dyDescent="0.25">
      <c r="AK7522">
        <v>0</v>
      </c>
    </row>
    <row r="7523" spans="37:37" x14ac:dyDescent="0.25">
      <c r="AK7523">
        <v>0</v>
      </c>
    </row>
    <row r="7524" spans="37:37" x14ac:dyDescent="0.25">
      <c r="AK7524">
        <v>0</v>
      </c>
    </row>
    <row r="7525" spans="37:37" x14ac:dyDescent="0.25">
      <c r="AK7525">
        <v>0</v>
      </c>
    </row>
    <row r="7526" spans="37:37" x14ac:dyDescent="0.25">
      <c r="AK7526">
        <v>0</v>
      </c>
    </row>
    <row r="7527" spans="37:37" x14ac:dyDescent="0.25">
      <c r="AK7527">
        <v>0</v>
      </c>
    </row>
    <row r="7528" spans="37:37" x14ac:dyDescent="0.25">
      <c r="AK7528">
        <v>0</v>
      </c>
    </row>
    <row r="7529" spans="37:37" x14ac:dyDescent="0.25">
      <c r="AK7529">
        <v>0</v>
      </c>
    </row>
    <row r="7530" spans="37:37" x14ac:dyDescent="0.25">
      <c r="AK7530">
        <v>0</v>
      </c>
    </row>
    <row r="7531" spans="37:37" x14ac:dyDescent="0.25">
      <c r="AK7531">
        <v>0</v>
      </c>
    </row>
    <row r="7532" spans="37:37" x14ac:dyDescent="0.25">
      <c r="AK7532">
        <v>0</v>
      </c>
    </row>
    <row r="7533" spans="37:37" x14ac:dyDescent="0.25">
      <c r="AK7533">
        <v>0</v>
      </c>
    </row>
    <row r="7534" spans="37:37" x14ac:dyDescent="0.25">
      <c r="AK7534">
        <v>0</v>
      </c>
    </row>
    <row r="7535" spans="37:37" x14ac:dyDescent="0.25">
      <c r="AK7535">
        <v>0</v>
      </c>
    </row>
    <row r="7536" spans="37:37" x14ac:dyDescent="0.25">
      <c r="AK7536">
        <v>0</v>
      </c>
    </row>
    <row r="7537" spans="37:37" x14ac:dyDescent="0.25">
      <c r="AK7537">
        <v>0</v>
      </c>
    </row>
    <row r="7538" spans="37:37" x14ac:dyDescent="0.25">
      <c r="AK7538">
        <v>0</v>
      </c>
    </row>
    <row r="7539" spans="37:37" x14ac:dyDescent="0.25">
      <c r="AK7539">
        <v>0</v>
      </c>
    </row>
    <row r="7540" spans="37:37" x14ac:dyDescent="0.25">
      <c r="AK7540">
        <v>0</v>
      </c>
    </row>
    <row r="7541" spans="37:37" x14ac:dyDescent="0.25">
      <c r="AK7541">
        <v>0</v>
      </c>
    </row>
    <row r="7542" spans="37:37" x14ac:dyDescent="0.25">
      <c r="AK7542">
        <v>0</v>
      </c>
    </row>
    <row r="7543" spans="37:37" x14ac:dyDescent="0.25">
      <c r="AK7543">
        <v>0</v>
      </c>
    </row>
    <row r="7544" spans="37:37" x14ac:dyDescent="0.25">
      <c r="AK7544">
        <v>0</v>
      </c>
    </row>
    <row r="7545" spans="37:37" x14ac:dyDescent="0.25">
      <c r="AK7545">
        <v>0</v>
      </c>
    </row>
    <row r="7546" spans="37:37" x14ac:dyDescent="0.25">
      <c r="AK7546">
        <v>0</v>
      </c>
    </row>
    <row r="7547" spans="37:37" x14ac:dyDescent="0.25">
      <c r="AK7547">
        <v>0</v>
      </c>
    </row>
    <row r="7548" spans="37:37" x14ac:dyDescent="0.25">
      <c r="AK7548">
        <v>0</v>
      </c>
    </row>
    <row r="7549" spans="37:37" x14ac:dyDescent="0.25">
      <c r="AK7549">
        <v>0</v>
      </c>
    </row>
    <row r="7550" spans="37:37" x14ac:dyDescent="0.25">
      <c r="AK7550">
        <v>0</v>
      </c>
    </row>
    <row r="7551" spans="37:37" x14ac:dyDescent="0.25">
      <c r="AK7551">
        <v>0</v>
      </c>
    </row>
    <row r="7552" spans="37:37" x14ac:dyDescent="0.25">
      <c r="AK7552">
        <v>0</v>
      </c>
    </row>
    <row r="7553" spans="37:37" x14ac:dyDescent="0.25">
      <c r="AK7553">
        <v>0</v>
      </c>
    </row>
    <row r="7554" spans="37:37" x14ac:dyDescent="0.25">
      <c r="AK7554">
        <v>0</v>
      </c>
    </row>
    <row r="7555" spans="37:37" x14ac:dyDescent="0.25">
      <c r="AK7555">
        <v>0</v>
      </c>
    </row>
    <row r="7556" spans="37:37" x14ac:dyDescent="0.25">
      <c r="AK7556">
        <v>0</v>
      </c>
    </row>
    <row r="7557" spans="37:37" x14ac:dyDescent="0.25">
      <c r="AK7557">
        <v>0</v>
      </c>
    </row>
    <row r="7558" spans="37:37" x14ac:dyDescent="0.25">
      <c r="AK7558">
        <v>0</v>
      </c>
    </row>
    <row r="7559" spans="37:37" x14ac:dyDescent="0.25">
      <c r="AK7559">
        <v>0</v>
      </c>
    </row>
    <row r="7560" spans="37:37" x14ac:dyDescent="0.25">
      <c r="AK7560">
        <v>0</v>
      </c>
    </row>
    <row r="7561" spans="37:37" x14ac:dyDescent="0.25">
      <c r="AK7561">
        <v>0</v>
      </c>
    </row>
    <row r="7562" spans="37:37" x14ac:dyDescent="0.25">
      <c r="AK7562">
        <v>0</v>
      </c>
    </row>
    <row r="7563" spans="37:37" x14ac:dyDescent="0.25">
      <c r="AK7563">
        <v>0</v>
      </c>
    </row>
    <row r="7564" spans="37:37" x14ac:dyDescent="0.25">
      <c r="AK7564">
        <v>0</v>
      </c>
    </row>
    <row r="7565" spans="37:37" x14ac:dyDescent="0.25">
      <c r="AK7565">
        <v>0</v>
      </c>
    </row>
    <row r="7566" spans="37:37" x14ac:dyDescent="0.25">
      <c r="AK7566">
        <v>0</v>
      </c>
    </row>
    <row r="7567" spans="37:37" x14ac:dyDescent="0.25">
      <c r="AK7567">
        <v>0</v>
      </c>
    </row>
    <row r="7568" spans="37:37" x14ac:dyDescent="0.25">
      <c r="AK7568">
        <v>0</v>
      </c>
    </row>
    <row r="7569" spans="37:37" x14ac:dyDescent="0.25">
      <c r="AK7569">
        <v>0</v>
      </c>
    </row>
    <row r="7570" spans="37:37" x14ac:dyDescent="0.25">
      <c r="AK7570">
        <v>0</v>
      </c>
    </row>
    <row r="7571" spans="37:37" x14ac:dyDescent="0.25">
      <c r="AK7571">
        <v>0</v>
      </c>
    </row>
    <row r="7572" spans="37:37" x14ac:dyDescent="0.25">
      <c r="AK7572">
        <v>0</v>
      </c>
    </row>
    <row r="7573" spans="37:37" x14ac:dyDescent="0.25">
      <c r="AK7573">
        <v>0</v>
      </c>
    </row>
    <row r="7574" spans="37:37" x14ac:dyDescent="0.25">
      <c r="AK7574">
        <v>0</v>
      </c>
    </row>
    <row r="7575" spans="37:37" x14ac:dyDescent="0.25">
      <c r="AK7575">
        <v>0</v>
      </c>
    </row>
    <row r="7576" spans="37:37" x14ac:dyDescent="0.25">
      <c r="AK7576">
        <v>0</v>
      </c>
    </row>
    <row r="7577" spans="37:37" x14ac:dyDescent="0.25">
      <c r="AK7577">
        <v>0</v>
      </c>
    </row>
    <row r="7578" spans="37:37" x14ac:dyDescent="0.25">
      <c r="AK7578">
        <v>0</v>
      </c>
    </row>
    <row r="7579" spans="37:37" x14ac:dyDescent="0.25">
      <c r="AK7579">
        <v>0</v>
      </c>
    </row>
    <row r="7580" spans="37:37" x14ac:dyDescent="0.25">
      <c r="AK7580">
        <v>0</v>
      </c>
    </row>
    <row r="7581" spans="37:37" x14ac:dyDescent="0.25">
      <c r="AK7581">
        <v>0</v>
      </c>
    </row>
    <row r="7582" spans="37:37" x14ac:dyDescent="0.25">
      <c r="AK7582">
        <v>0</v>
      </c>
    </row>
    <row r="7583" spans="37:37" x14ac:dyDescent="0.25">
      <c r="AK7583">
        <v>0</v>
      </c>
    </row>
    <row r="7584" spans="37:37" x14ac:dyDescent="0.25">
      <c r="AK7584">
        <v>0</v>
      </c>
    </row>
    <row r="7585" spans="37:37" x14ac:dyDescent="0.25">
      <c r="AK7585">
        <v>0</v>
      </c>
    </row>
    <row r="7586" spans="37:37" x14ac:dyDescent="0.25">
      <c r="AK7586">
        <v>0</v>
      </c>
    </row>
    <row r="7587" spans="37:37" x14ac:dyDescent="0.25">
      <c r="AK7587">
        <v>0</v>
      </c>
    </row>
    <row r="7588" spans="37:37" x14ac:dyDescent="0.25">
      <c r="AK7588">
        <v>0</v>
      </c>
    </row>
    <row r="7589" spans="37:37" x14ac:dyDescent="0.25">
      <c r="AK7589">
        <v>0</v>
      </c>
    </row>
    <row r="7590" spans="37:37" x14ac:dyDescent="0.25">
      <c r="AK7590">
        <v>0</v>
      </c>
    </row>
    <row r="7591" spans="37:37" x14ac:dyDescent="0.25">
      <c r="AK7591">
        <v>0</v>
      </c>
    </row>
    <row r="7592" spans="37:37" x14ac:dyDescent="0.25">
      <c r="AK7592">
        <v>0</v>
      </c>
    </row>
    <row r="7593" spans="37:37" x14ac:dyDescent="0.25">
      <c r="AK7593">
        <v>0</v>
      </c>
    </row>
    <row r="7594" spans="37:37" x14ac:dyDescent="0.25">
      <c r="AK7594">
        <v>0</v>
      </c>
    </row>
    <row r="7595" spans="37:37" x14ac:dyDescent="0.25">
      <c r="AK7595">
        <v>0</v>
      </c>
    </row>
    <row r="7596" spans="37:37" x14ac:dyDescent="0.25">
      <c r="AK7596">
        <v>0</v>
      </c>
    </row>
    <row r="7597" spans="37:37" x14ac:dyDescent="0.25">
      <c r="AK7597">
        <v>0</v>
      </c>
    </row>
    <row r="7598" spans="37:37" x14ac:dyDescent="0.25">
      <c r="AK7598">
        <v>0</v>
      </c>
    </row>
    <row r="7599" spans="37:37" x14ac:dyDescent="0.25">
      <c r="AK7599">
        <v>0</v>
      </c>
    </row>
    <row r="7600" spans="37:37" x14ac:dyDescent="0.25">
      <c r="AK7600">
        <v>0</v>
      </c>
    </row>
    <row r="7601" spans="37:37" x14ac:dyDescent="0.25">
      <c r="AK7601">
        <v>0</v>
      </c>
    </row>
    <row r="7602" spans="37:37" x14ac:dyDescent="0.25">
      <c r="AK7602">
        <v>0</v>
      </c>
    </row>
    <row r="7603" spans="37:37" x14ac:dyDescent="0.25">
      <c r="AK7603">
        <v>0</v>
      </c>
    </row>
    <row r="7604" spans="37:37" x14ac:dyDescent="0.25">
      <c r="AK7604">
        <v>0</v>
      </c>
    </row>
    <row r="7605" spans="37:37" x14ac:dyDescent="0.25">
      <c r="AK7605">
        <v>0</v>
      </c>
    </row>
    <row r="7606" spans="37:37" x14ac:dyDescent="0.25">
      <c r="AK7606">
        <v>0</v>
      </c>
    </row>
    <row r="7607" spans="37:37" x14ac:dyDescent="0.25">
      <c r="AK7607">
        <v>0</v>
      </c>
    </row>
    <row r="7608" spans="37:37" x14ac:dyDescent="0.25">
      <c r="AK7608">
        <v>0</v>
      </c>
    </row>
    <row r="7609" spans="37:37" x14ac:dyDescent="0.25">
      <c r="AK7609">
        <v>0</v>
      </c>
    </row>
    <row r="7610" spans="37:37" x14ac:dyDescent="0.25">
      <c r="AK7610">
        <v>0</v>
      </c>
    </row>
    <row r="7611" spans="37:37" x14ac:dyDescent="0.25">
      <c r="AK7611">
        <v>0</v>
      </c>
    </row>
    <row r="7612" spans="37:37" x14ac:dyDescent="0.25">
      <c r="AK7612">
        <v>0</v>
      </c>
    </row>
    <row r="7613" spans="37:37" x14ac:dyDescent="0.25">
      <c r="AK7613">
        <v>0</v>
      </c>
    </row>
    <row r="7614" spans="37:37" x14ac:dyDescent="0.25">
      <c r="AK7614">
        <v>0</v>
      </c>
    </row>
    <row r="7615" spans="37:37" x14ac:dyDescent="0.25">
      <c r="AK7615">
        <v>0</v>
      </c>
    </row>
    <row r="7616" spans="37:37" x14ac:dyDescent="0.25">
      <c r="AK7616">
        <v>0</v>
      </c>
    </row>
    <row r="7617" spans="37:37" x14ac:dyDescent="0.25">
      <c r="AK7617">
        <v>0</v>
      </c>
    </row>
    <row r="7618" spans="37:37" x14ac:dyDescent="0.25">
      <c r="AK7618">
        <v>0</v>
      </c>
    </row>
    <row r="7619" spans="37:37" x14ac:dyDescent="0.25">
      <c r="AK7619">
        <v>0</v>
      </c>
    </row>
    <row r="7620" spans="37:37" x14ac:dyDescent="0.25">
      <c r="AK7620">
        <v>0</v>
      </c>
    </row>
    <row r="7621" spans="37:37" x14ac:dyDescent="0.25">
      <c r="AK7621">
        <v>0</v>
      </c>
    </row>
    <row r="7622" spans="37:37" x14ac:dyDescent="0.25">
      <c r="AK7622">
        <v>0</v>
      </c>
    </row>
    <row r="7623" spans="37:37" x14ac:dyDescent="0.25">
      <c r="AK7623">
        <v>0</v>
      </c>
    </row>
    <row r="7624" spans="37:37" x14ac:dyDescent="0.25">
      <c r="AK7624">
        <v>0</v>
      </c>
    </row>
    <row r="7625" spans="37:37" x14ac:dyDescent="0.25">
      <c r="AK7625">
        <v>0</v>
      </c>
    </row>
    <row r="7626" spans="37:37" x14ac:dyDescent="0.25">
      <c r="AK7626">
        <v>0</v>
      </c>
    </row>
    <row r="7627" spans="37:37" x14ac:dyDescent="0.25">
      <c r="AK7627">
        <v>0</v>
      </c>
    </row>
    <row r="7628" spans="37:37" x14ac:dyDescent="0.25">
      <c r="AK7628">
        <v>0</v>
      </c>
    </row>
    <row r="7629" spans="37:37" x14ac:dyDescent="0.25">
      <c r="AK7629">
        <v>0</v>
      </c>
    </row>
    <row r="7630" spans="37:37" x14ac:dyDescent="0.25">
      <c r="AK7630">
        <v>0</v>
      </c>
    </row>
    <row r="7631" spans="37:37" x14ac:dyDescent="0.25">
      <c r="AK7631">
        <v>0</v>
      </c>
    </row>
    <row r="7632" spans="37:37" x14ac:dyDescent="0.25">
      <c r="AK7632">
        <v>0</v>
      </c>
    </row>
    <row r="7633" spans="37:37" x14ac:dyDescent="0.25">
      <c r="AK7633">
        <v>0</v>
      </c>
    </row>
    <row r="7634" spans="37:37" x14ac:dyDescent="0.25">
      <c r="AK7634">
        <v>0</v>
      </c>
    </row>
    <row r="7635" spans="37:37" x14ac:dyDescent="0.25">
      <c r="AK7635">
        <v>0</v>
      </c>
    </row>
    <row r="7636" spans="37:37" x14ac:dyDescent="0.25">
      <c r="AK7636">
        <v>0</v>
      </c>
    </row>
    <row r="7637" spans="37:37" x14ac:dyDescent="0.25">
      <c r="AK7637">
        <v>0</v>
      </c>
    </row>
    <row r="7638" spans="37:37" x14ac:dyDescent="0.25">
      <c r="AK7638">
        <v>0</v>
      </c>
    </row>
    <row r="7639" spans="37:37" x14ac:dyDescent="0.25">
      <c r="AK7639">
        <v>0</v>
      </c>
    </row>
    <row r="7640" spans="37:37" x14ac:dyDescent="0.25">
      <c r="AK7640">
        <v>0</v>
      </c>
    </row>
    <row r="7641" spans="37:37" x14ac:dyDescent="0.25">
      <c r="AK7641">
        <v>0</v>
      </c>
    </row>
    <row r="7642" spans="37:37" x14ac:dyDescent="0.25">
      <c r="AK7642">
        <v>0</v>
      </c>
    </row>
    <row r="7643" spans="37:37" x14ac:dyDescent="0.25">
      <c r="AK7643">
        <v>0</v>
      </c>
    </row>
    <row r="7644" spans="37:37" x14ac:dyDescent="0.25">
      <c r="AK7644">
        <v>0</v>
      </c>
    </row>
    <row r="7645" spans="37:37" x14ac:dyDescent="0.25">
      <c r="AK7645">
        <v>0</v>
      </c>
    </row>
    <row r="7646" spans="37:37" x14ac:dyDescent="0.25">
      <c r="AK7646">
        <v>0</v>
      </c>
    </row>
    <row r="7647" spans="37:37" x14ac:dyDescent="0.25">
      <c r="AK7647">
        <v>0</v>
      </c>
    </row>
    <row r="7648" spans="37:37" x14ac:dyDescent="0.25">
      <c r="AK7648">
        <v>0</v>
      </c>
    </row>
    <row r="7649" spans="37:37" x14ac:dyDescent="0.25">
      <c r="AK7649">
        <v>0</v>
      </c>
    </row>
    <row r="7650" spans="37:37" x14ac:dyDescent="0.25">
      <c r="AK7650">
        <v>0</v>
      </c>
    </row>
    <row r="7651" spans="37:37" x14ac:dyDescent="0.25">
      <c r="AK7651">
        <v>0</v>
      </c>
    </row>
    <row r="7652" spans="37:37" x14ac:dyDescent="0.25">
      <c r="AK7652">
        <v>0</v>
      </c>
    </row>
    <row r="7653" spans="37:37" x14ac:dyDescent="0.25">
      <c r="AK7653">
        <v>0</v>
      </c>
    </row>
    <row r="7654" spans="37:37" x14ac:dyDescent="0.25">
      <c r="AK7654">
        <v>0</v>
      </c>
    </row>
    <row r="7655" spans="37:37" x14ac:dyDescent="0.25">
      <c r="AK7655">
        <v>0</v>
      </c>
    </row>
    <row r="7656" spans="37:37" x14ac:dyDescent="0.25">
      <c r="AK7656">
        <v>0</v>
      </c>
    </row>
    <row r="7657" spans="37:37" x14ac:dyDescent="0.25">
      <c r="AK7657">
        <v>0</v>
      </c>
    </row>
    <row r="7658" spans="37:37" x14ac:dyDescent="0.25">
      <c r="AK7658">
        <v>0</v>
      </c>
    </row>
    <row r="7659" spans="37:37" x14ac:dyDescent="0.25">
      <c r="AK7659">
        <v>0</v>
      </c>
    </row>
    <row r="7660" spans="37:37" x14ac:dyDescent="0.25">
      <c r="AK7660">
        <v>0</v>
      </c>
    </row>
    <row r="7661" spans="37:37" x14ac:dyDescent="0.25">
      <c r="AK7661">
        <v>0</v>
      </c>
    </row>
    <row r="7662" spans="37:37" x14ac:dyDescent="0.25">
      <c r="AK7662">
        <v>0</v>
      </c>
    </row>
    <row r="7663" spans="37:37" x14ac:dyDescent="0.25">
      <c r="AK7663">
        <v>0</v>
      </c>
    </row>
    <row r="7664" spans="37:37" x14ac:dyDescent="0.25">
      <c r="AK7664">
        <v>0</v>
      </c>
    </row>
    <row r="7665" spans="37:37" x14ac:dyDescent="0.25">
      <c r="AK7665">
        <v>0</v>
      </c>
    </row>
    <row r="7666" spans="37:37" x14ac:dyDescent="0.25">
      <c r="AK7666">
        <v>0</v>
      </c>
    </row>
    <row r="7667" spans="37:37" x14ac:dyDescent="0.25">
      <c r="AK7667">
        <v>0</v>
      </c>
    </row>
    <row r="7668" spans="37:37" x14ac:dyDescent="0.25">
      <c r="AK7668">
        <v>0</v>
      </c>
    </row>
    <row r="7669" spans="37:37" x14ac:dyDescent="0.25">
      <c r="AK7669">
        <v>0</v>
      </c>
    </row>
    <row r="7670" spans="37:37" x14ac:dyDescent="0.25">
      <c r="AK7670">
        <v>0</v>
      </c>
    </row>
    <row r="7671" spans="37:37" x14ac:dyDescent="0.25">
      <c r="AK7671">
        <v>0</v>
      </c>
    </row>
    <row r="7672" spans="37:37" x14ac:dyDescent="0.25">
      <c r="AK7672">
        <v>0</v>
      </c>
    </row>
    <row r="7673" spans="37:37" x14ac:dyDescent="0.25">
      <c r="AK7673">
        <v>0</v>
      </c>
    </row>
    <row r="7674" spans="37:37" x14ac:dyDescent="0.25">
      <c r="AK7674">
        <v>0</v>
      </c>
    </row>
    <row r="7675" spans="37:37" x14ac:dyDescent="0.25">
      <c r="AK7675">
        <v>0</v>
      </c>
    </row>
    <row r="7676" spans="37:37" x14ac:dyDescent="0.25">
      <c r="AK7676">
        <v>0</v>
      </c>
    </row>
    <row r="7677" spans="37:37" x14ac:dyDescent="0.25">
      <c r="AK7677">
        <v>0</v>
      </c>
    </row>
    <row r="7678" spans="37:37" x14ac:dyDescent="0.25">
      <c r="AK7678">
        <v>0</v>
      </c>
    </row>
    <row r="7679" spans="37:37" x14ac:dyDescent="0.25">
      <c r="AK7679">
        <v>0</v>
      </c>
    </row>
    <row r="7680" spans="37:37" x14ac:dyDescent="0.25">
      <c r="AK7680">
        <v>0</v>
      </c>
    </row>
    <row r="7681" spans="37:37" x14ac:dyDescent="0.25">
      <c r="AK7681">
        <v>0</v>
      </c>
    </row>
    <row r="7682" spans="37:37" x14ac:dyDescent="0.25">
      <c r="AK7682">
        <v>0</v>
      </c>
    </row>
    <row r="7683" spans="37:37" x14ac:dyDescent="0.25">
      <c r="AK7683">
        <v>0</v>
      </c>
    </row>
    <row r="7684" spans="37:37" x14ac:dyDescent="0.25">
      <c r="AK7684">
        <v>0</v>
      </c>
    </row>
    <row r="7685" spans="37:37" x14ac:dyDescent="0.25">
      <c r="AK7685">
        <v>0</v>
      </c>
    </row>
    <row r="7686" spans="37:37" x14ac:dyDescent="0.25">
      <c r="AK7686">
        <v>0</v>
      </c>
    </row>
    <row r="7687" spans="37:37" x14ac:dyDescent="0.25">
      <c r="AK7687">
        <v>0</v>
      </c>
    </row>
    <row r="7688" spans="37:37" x14ac:dyDescent="0.25">
      <c r="AK7688">
        <v>0</v>
      </c>
    </row>
    <row r="7689" spans="37:37" x14ac:dyDescent="0.25">
      <c r="AK7689">
        <v>0</v>
      </c>
    </row>
    <row r="7690" spans="37:37" x14ac:dyDescent="0.25">
      <c r="AK7690">
        <v>0</v>
      </c>
    </row>
    <row r="7691" spans="37:37" x14ac:dyDescent="0.25">
      <c r="AK7691">
        <v>0</v>
      </c>
    </row>
    <row r="7692" spans="37:37" x14ac:dyDescent="0.25">
      <c r="AK7692">
        <v>0</v>
      </c>
    </row>
    <row r="7693" spans="37:37" x14ac:dyDescent="0.25">
      <c r="AK7693">
        <v>0</v>
      </c>
    </row>
    <row r="7694" spans="37:37" x14ac:dyDescent="0.25">
      <c r="AK7694">
        <v>0</v>
      </c>
    </row>
    <row r="7695" spans="37:37" x14ac:dyDescent="0.25">
      <c r="AK7695">
        <v>0</v>
      </c>
    </row>
    <row r="7696" spans="37:37" x14ac:dyDescent="0.25">
      <c r="AK7696">
        <v>0</v>
      </c>
    </row>
    <row r="7697" spans="37:37" x14ac:dyDescent="0.25">
      <c r="AK7697">
        <v>0</v>
      </c>
    </row>
    <row r="7698" spans="37:37" x14ac:dyDescent="0.25">
      <c r="AK7698">
        <v>0</v>
      </c>
    </row>
    <row r="7699" spans="37:37" x14ac:dyDescent="0.25">
      <c r="AK7699">
        <v>0</v>
      </c>
    </row>
    <row r="7700" spans="37:37" x14ac:dyDescent="0.25">
      <c r="AK7700">
        <v>0</v>
      </c>
    </row>
    <row r="7701" spans="37:37" x14ac:dyDescent="0.25">
      <c r="AK7701">
        <v>0</v>
      </c>
    </row>
    <row r="7702" spans="37:37" x14ac:dyDescent="0.25">
      <c r="AK7702">
        <v>0</v>
      </c>
    </row>
    <row r="7703" spans="37:37" x14ac:dyDescent="0.25">
      <c r="AK7703">
        <v>0</v>
      </c>
    </row>
    <row r="7704" spans="37:37" x14ac:dyDescent="0.25">
      <c r="AK7704">
        <v>0</v>
      </c>
    </row>
    <row r="7705" spans="37:37" x14ac:dyDescent="0.25">
      <c r="AK7705">
        <v>0</v>
      </c>
    </row>
    <row r="7706" spans="37:37" x14ac:dyDescent="0.25">
      <c r="AK7706">
        <v>0</v>
      </c>
    </row>
    <row r="7707" spans="37:37" x14ac:dyDescent="0.25">
      <c r="AK7707">
        <v>0</v>
      </c>
    </row>
    <row r="7708" spans="37:37" x14ac:dyDescent="0.25">
      <c r="AK7708">
        <v>0</v>
      </c>
    </row>
    <row r="7709" spans="37:37" x14ac:dyDescent="0.25">
      <c r="AK7709">
        <v>0</v>
      </c>
    </row>
    <row r="7710" spans="37:37" x14ac:dyDescent="0.25">
      <c r="AK7710">
        <v>0</v>
      </c>
    </row>
    <row r="7711" spans="37:37" x14ac:dyDescent="0.25">
      <c r="AK7711">
        <v>0</v>
      </c>
    </row>
    <row r="7712" spans="37:37" x14ac:dyDescent="0.25">
      <c r="AK7712">
        <v>0</v>
      </c>
    </row>
    <row r="7713" spans="37:37" x14ac:dyDescent="0.25">
      <c r="AK7713">
        <v>0</v>
      </c>
    </row>
    <row r="7714" spans="37:37" x14ac:dyDescent="0.25">
      <c r="AK7714">
        <v>0</v>
      </c>
    </row>
    <row r="7715" spans="37:37" x14ac:dyDescent="0.25">
      <c r="AK7715">
        <v>0</v>
      </c>
    </row>
    <row r="7716" spans="37:37" x14ac:dyDescent="0.25">
      <c r="AK7716">
        <v>0</v>
      </c>
    </row>
    <row r="7717" spans="37:37" x14ac:dyDescent="0.25">
      <c r="AK7717">
        <v>0</v>
      </c>
    </row>
    <row r="7718" spans="37:37" x14ac:dyDescent="0.25">
      <c r="AK7718">
        <v>0</v>
      </c>
    </row>
    <row r="7719" spans="37:37" x14ac:dyDescent="0.25">
      <c r="AK7719">
        <v>0</v>
      </c>
    </row>
    <row r="7720" spans="37:37" x14ac:dyDescent="0.25">
      <c r="AK7720">
        <v>0</v>
      </c>
    </row>
    <row r="7721" spans="37:37" x14ac:dyDescent="0.25">
      <c r="AK7721">
        <v>0</v>
      </c>
    </row>
    <row r="7722" spans="37:37" x14ac:dyDescent="0.25">
      <c r="AK7722">
        <v>0</v>
      </c>
    </row>
    <row r="7723" spans="37:37" x14ac:dyDescent="0.25">
      <c r="AK7723">
        <v>0</v>
      </c>
    </row>
    <row r="7724" spans="37:37" x14ac:dyDescent="0.25">
      <c r="AK7724">
        <v>0</v>
      </c>
    </row>
    <row r="7725" spans="37:37" x14ac:dyDescent="0.25">
      <c r="AK7725">
        <v>0</v>
      </c>
    </row>
    <row r="7726" spans="37:37" x14ac:dyDescent="0.25">
      <c r="AK7726">
        <v>0</v>
      </c>
    </row>
    <row r="7727" spans="37:37" x14ac:dyDescent="0.25">
      <c r="AK7727">
        <v>0</v>
      </c>
    </row>
    <row r="7728" spans="37:37" x14ac:dyDescent="0.25">
      <c r="AK7728">
        <v>0</v>
      </c>
    </row>
    <row r="7729" spans="37:37" x14ac:dyDescent="0.25">
      <c r="AK7729">
        <v>0</v>
      </c>
    </row>
    <row r="7730" spans="37:37" x14ac:dyDescent="0.25">
      <c r="AK7730">
        <v>0</v>
      </c>
    </row>
    <row r="7731" spans="37:37" x14ac:dyDescent="0.25">
      <c r="AK7731">
        <v>0</v>
      </c>
    </row>
    <row r="7732" spans="37:37" x14ac:dyDescent="0.25">
      <c r="AK7732">
        <v>0</v>
      </c>
    </row>
    <row r="7733" spans="37:37" x14ac:dyDescent="0.25">
      <c r="AK7733">
        <v>0</v>
      </c>
    </row>
    <row r="7734" spans="37:37" x14ac:dyDescent="0.25">
      <c r="AK7734">
        <v>0</v>
      </c>
    </row>
    <row r="7735" spans="37:37" x14ac:dyDescent="0.25">
      <c r="AK7735">
        <v>0</v>
      </c>
    </row>
    <row r="7736" spans="37:37" x14ac:dyDescent="0.25">
      <c r="AK7736">
        <v>0</v>
      </c>
    </row>
    <row r="7737" spans="37:37" x14ac:dyDescent="0.25">
      <c r="AK7737">
        <v>0</v>
      </c>
    </row>
    <row r="7738" spans="37:37" x14ac:dyDescent="0.25">
      <c r="AK7738">
        <v>0</v>
      </c>
    </row>
    <row r="7739" spans="37:37" x14ac:dyDescent="0.25">
      <c r="AK7739">
        <v>0</v>
      </c>
    </row>
    <row r="7740" spans="37:37" x14ac:dyDescent="0.25">
      <c r="AK7740">
        <v>0</v>
      </c>
    </row>
    <row r="7741" spans="37:37" x14ac:dyDescent="0.25">
      <c r="AK7741">
        <v>0</v>
      </c>
    </row>
    <row r="7742" spans="37:37" x14ac:dyDescent="0.25">
      <c r="AK7742">
        <v>0</v>
      </c>
    </row>
    <row r="7743" spans="37:37" x14ac:dyDescent="0.25">
      <c r="AK7743">
        <v>0</v>
      </c>
    </row>
    <row r="7744" spans="37:37" x14ac:dyDescent="0.25">
      <c r="AK7744">
        <v>0</v>
      </c>
    </row>
    <row r="7745" spans="37:37" x14ac:dyDescent="0.25">
      <c r="AK7745">
        <v>0</v>
      </c>
    </row>
    <row r="7746" spans="37:37" x14ac:dyDescent="0.25">
      <c r="AK7746">
        <v>0</v>
      </c>
    </row>
    <row r="7747" spans="37:37" x14ac:dyDescent="0.25">
      <c r="AK7747">
        <v>0</v>
      </c>
    </row>
    <row r="7748" spans="37:37" x14ac:dyDescent="0.25">
      <c r="AK7748">
        <v>0</v>
      </c>
    </row>
    <row r="7749" spans="37:37" x14ac:dyDescent="0.25">
      <c r="AK7749">
        <v>0</v>
      </c>
    </row>
    <row r="7750" spans="37:37" x14ac:dyDescent="0.25">
      <c r="AK7750">
        <v>0</v>
      </c>
    </row>
    <row r="7751" spans="37:37" x14ac:dyDescent="0.25">
      <c r="AK7751">
        <v>0</v>
      </c>
    </row>
    <row r="7752" spans="37:37" x14ac:dyDescent="0.25">
      <c r="AK7752">
        <v>0</v>
      </c>
    </row>
    <row r="7753" spans="37:37" x14ac:dyDescent="0.25">
      <c r="AK7753">
        <v>0</v>
      </c>
    </row>
    <row r="7754" spans="37:37" x14ac:dyDescent="0.25">
      <c r="AK7754">
        <v>0</v>
      </c>
    </row>
    <row r="7755" spans="37:37" x14ac:dyDescent="0.25">
      <c r="AK7755">
        <v>0</v>
      </c>
    </row>
    <row r="7756" spans="37:37" x14ac:dyDescent="0.25">
      <c r="AK7756">
        <v>0</v>
      </c>
    </row>
    <row r="7757" spans="37:37" x14ac:dyDescent="0.25">
      <c r="AK7757">
        <v>0</v>
      </c>
    </row>
    <row r="7758" spans="37:37" x14ac:dyDescent="0.25">
      <c r="AK7758">
        <v>0</v>
      </c>
    </row>
    <row r="7759" spans="37:37" x14ac:dyDescent="0.25">
      <c r="AK7759">
        <v>0</v>
      </c>
    </row>
    <row r="7760" spans="37:37" x14ac:dyDescent="0.25">
      <c r="AK7760">
        <v>0</v>
      </c>
    </row>
    <row r="7761" spans="37:37" x14ac:dyDescent="0.25">
      <c r="AK7761">
        <v>0</v>
      </c>
    </row>
    <row r="7762" spans="37:37" x14ac:dyDescent="0.25">
      <c r="AK7762">
        <v>0</v>
      </c>
    </row>
    <row r="7763" spans="37:37" x14ac:dyDescent="0.25">
      <c r="AK7763">
        <v>0</v>
      </c>
    </row>
    <row r="7764" spans="37:37" x14ac:dyDescent="0.25">
      <c r="AK7764">
        <v>0</v>
      </c>
    </row>
    <row r="7765" spans="37:37" x14ac:dyDescent="0.25">
      <c r="AK7765">
        <v>0</v>
      </c>
    </row>
    <row r="7766" spans="37:37" x14ac:dyDescent="0.25">
      <c r="AK7766">
        <v>0</v>
      </c>
    </row>
    <row r="7767" spans="37:37" x14ac:dyDescent="0.25">
      <c r="AK7767">
        <v>0</v>
      </c>
    </row>
    <row r="7768" spans="37:37" x14ac:dyDescent="0.25">
      <c r="AK7768">
        <v>0</v>
      </c>
    </row>
    <row r="7769" spans="37:37" x14ac:dyDescent="0.25">
      <c r="AK7769">
        <v>0</v>
      </c>
    </row>
    <row r="7770" spans="37:37" x14ac:dyDescent="0.25">
      <c r="AK7770">
        <v>0</v>
      </c>
    </row>
    <row r="7771" spans="37:37" x14ac:dyDescent="0.25">
      <c r="AK7771">
        <v>0</v>
      </c>
    </row>
    <row r="7772" spans="37:37" x14ac:dyDescent="0.25">
      <c r="AK7772">
        <v>0</v>
      </c>
    </row>
    <row r="7773" spans="37:37" x14ac:dyDescent="0.25">
      <c r="AK7773">
        <v>0</v>
      </c>
    </row>
    <row r="7774" spans="37:37" x14ac:dyDescent="0.25">
      <c r="AK7774">
        <v>0</v>
      </c>
    </row>
    <row r="7775" spans="37:37" x14ac:dyDescent="0.25">
      <c r="AK7775">
        <v>0</v>
      </c>
    </row>
    <row r="7776" spans="37:37" x14ac:dyDescent="0.25">
      <c r="AK7776">
        <v>0</v>
      </c>
    </row>
    <row r="7777" spans="37:37" x14ac:dyDescent="0.25">
      <c r="AK7777">
        <v>0</v>
      </c>
    </row>
    <row r="7778" spans="37:37" x14ac:dyDescent="0.25">
      <c r="AK7778">
        <v>0</v>
      </c>
    </row>
    <row r="7779" spans="37:37" x14ac:dyDescent="0.25">
      <c r="AK7779">
        <v>0</v>
      </c>
    </row>
    <row r="7780" spans="37:37" x14ac:dyDescent="0.25">
      <c r="AK7780">
        <v>0</v>
      </c>
    </row>
    <row r="7781" spans="37:37" x14ac:dyDescent="0.25">
      <c r="AK7781">
        <v>0</v>
      </c>
    </row>
    <row r="7782" spans="37:37" x14ac:dyDescent="0.25">
      <c r="AK7782">
        <v>0</v>
      </c>
    </row>
    <row r="7783" spans="37:37" x14ac:dyDescent="0.25">
      <c r="AK7783">
        <v>0</v>
      </c>
    </row>
    <row r="7784" spans="37:37" x14ac:dyDescent="0.25">
      <c r="AK7784">
        <v>0</v>
      </c>
    </row>
    <row r="7785" spans="37:37" x14ac:dyDescent="0.25">
      <c r="AK7785">
        <v>0</v>
      </c>
    </row>
    <row r="7786" spans="37:37" x14ac:dyDescent="0.25">
      <c r="AK7786">
        <v>0</v>
      </c>
    </row>
    <row r="7787" spans="37:37" x14ac:dyDescent="0.25">
      <c r="AK7787">
        <v>0</v>
      </c>
    </row>
    <row r="7788" spans="37:37" x14ac:dyDescent="0.25">
      <c r="AK7788">
        <v>0</v>
      </c>
    </row>
    <row r="7789" spans="37:37" x14ac:dyDescent="0.25">
      <c r="AK7789">
        <v>0</v>
      </c>
    </row>
    <row r="7790" spans="37:37" x14ac:dyDescent="0.25">
      <c r="AK7790">
        <v>0</v>
      </c>
    </row>
    <row r="7791" spans="37:37" x14ac:dyDescent="0.25">
      <c r="AK7791">
        <v>0</v>
      </c>
    </row>
    <row r="7792" spans="37:37" x14ac:dyDescent="0.25">
      <c r="AK7792">
        <v>0</v>
      </c>
    </row>
    <row r="7793" spans="37:37" x14ac:dyDescent="0.25">
      <c r="AK7793">
        <v>0</v>
      </c>
    </row>
    <row r="7794" spans="37:37" x14ac:dyDescent="0.25">
      <c r="AK7794">
        <v>0</v>
      </c>
    </row>
    <row r="7795" spans="37:37" x14ac:dyDescent="0.25">
      <c r="AK7795">
        <v>0</v>
      </c>
    </row>
    <row r="7796" spans="37:37" x14ac:dyDescent="0.25">
      <c r="AK7796">
        <v>0</v>
      </c>
    </row>
    <row r="7797" spans="37:37" x14ac:dyDescent="0.25">
      <c r="AK7797">
        <v>0</v>
      </c>
    </row>
    <row r="7798" spans="37:37" x14ac:dyDescent="0.25">
      <c r="AK7798">
        <v>0</v>
      </c>
    </row>
    <row r="7799" spans="37:37" x14ac:dyDescent="0.25">
      <c r="AK7799">
        <v>0</v>
      </c>
    </row>
    <row r="7800" spans="37:37" x14ac:dyDescent="0.25">
      <c r="AK7800">
        <v>0</v>
      </c>
    </row>
    <row r="7801" spans="37:37" x14ac:dyDescent="0.25">
      <c r="AK7801">
        <v>0</v>
      </c>
    </row>
    <row r="7802" spans="37:37" x14ac:dyDescent="0.25">
      <c r="AK7802">
        <v>0</v>
      </c>
    </row>
    <row r="7803" spans="37:37" x14ac:dyDescent="0.25">
      <c r="AK7803">
        <v>0</v>
      </c>
    </row>
    <row r="7804" spans="37:37" x14ac:dyDescent="0.25">
      <c r="AK7804">
        <v>0</v>
      </c>
    </row>
    <row r="7805" spans="37:37" x14ac:dyDescent="0.25">
      <c r="AK7805">
        <v>0</v>
      </c>
    </row>
    <row r="7806" spans="37:37" x14ac:dyDescent="0.25">
      <c r="AK7806">
        <v>0</v>
      </c>
    </row>
    <row r="7807" spans="37:37" x14ac:dyDescent="0.25">
      <c r="AK7807">
        <v>0</v>
      </c>
    </row>
    <row r="7808" spans="37:37" x14ac:dyDescent="0.25">
      <c r="AK7808">
        <v>0</v>
      </c>
    </row>
    <row r="7809" spans="37:37" x14ac:dyDescent="0.25">
      <c r="AK7809">
        <v>0</v>
      </c>
    </row>
    <row r="7810" spans="37:37" x14ac:dyDescent="0.25">
      <c r="AK7810">
        <v>0</v>
      </c>
    </row>
    <row r="7811" spans="37:37" x14ac:dyDescent="0.25">
      <c r="AK7811">
        <v>0</v>
      </c>
    </row>
    <row r="7812" spans="37:37" x14ac:dyDescent="0.25">
      <c r="AK7812">
        <v>0</v>
      </c>
    </row>
    <row r="7813" spans="37:37" x14ac:dyDescent="0.25">
      <c r="AK7813">
        <v>0</v>
      </c>
    </row>
    <row r="7814" spans="37:37" x14ac:dyDescent="0.25">
      <c r="AK7814">
        <v>0</v>
      </c>
    </row>
    <row r="7815" spans="37:37" x14ac:dyDescent="0.25">
      <c r="AK7815">
        <v>0</v>
      </c>
    </row>
    <row r="7816" spans="37:37" x14ac:dyDescent="0.25">
      <c r="AK7816">
        <v>0</v>
      </c>
    </row>
    <row r="7817" spans="37:37" x14ac:dyDescent="0.25">
      <c r="AK7817">
        <v>0</v>
      </c>
    </row>
    <row r="7818" spans="37:37" x14ac:dyDescent="0.25">
      <c r="AK7818">
        <v>0</v>
      </c>
    </row>
    <row r="7819" spans="37:37" x14ac:dyDescent="0.25">
      <c r="AK7819">
        <v>0</v>
      </c>
    </row>
    <row r="7820" spans="37:37" x14ac:dyDescent="0.25">
      <c r="AK7820">
        <v>0</v>
      </c>
    </row>
    <row r="7821" spans="37:37" x14ac:dyDescent="0.25">
      <c r="AK7821">
        <v>0</v>
      </c>
    </row>
    <row r="7822" spans="37:37" x14ac:dyDescent="0.25">
      <c r="AK7822">
        <v>0</v>
      </c>
    </row>
    <row r="7823" spans="37:37" x14ac:dyDescent="0.25">
      <c r="AK7823">
        <v>0</v>
      </c>
    </row>
    <row r="7824" spans="37:37" x14ac:dyDescent="0.25">
      <c r="AK7824">
        <v>0</v>
      </c>
    </row>
    <row r="7825" spans="37:37" x14ac:dyDescent="0.25">
      <c r="AK7825">
        <v>0</v>
      </c>
    </row>
    <row r="7826" spans="37:37" x14ac:dyDescent="0.25">
      <c r="AK7826">
        <v>0</v>
      </c>
    </row>
    <row r="7827" spans="37:37" x14ac:dyDescent="0.25">
      <c r="AK7827">
        <v>0</v>
      </c>
    </row>
    <row r="7828" spans="37:37" x14ac:dyDescent="0.25">
      <c r="AK7828">
        <v>0</v>
      </c>
    </row>
    <row r="7829" spans="37:37" x14ac:dyDescent="0.25">
      <c r="AK7829">
        <v>0</v>
      </c>
    </row>
    <row r="7830" spans="37:37" x14ac:dyDescent="0.25">
      <c r="AK7830">
        <v>0</v>
      </c>
    </row>
    <row r="7831" spans="37:37" x14ac:dyDescent="0.25">
      <c r="AK7831">
        <v>0</v>
      </c>
    </row>
    <row r="7832" spans="37:37" x14ac:dyDescent="0.25">
      <c r="AK7832">
        <v>0</v>
      </c>
    </row>
    <row r="7833" spans="37:37" x14ac:dyDescent="0.25">
      <c r="AK7833">
        <v>0</v>
      </c>
    </row>
    <row r="7834" spans="37:37" x14ac:dyDescent="0.25">
      <c r="AK7834">
        <v>0</v>
      </c>
    </row>
    <row r="7835" spans="37:37" x14ac:dyDescent="0.25">
      <c r="AK7835">
        <v>0</v>
      </c>
    </row>
    <row r="7836" spans="37:37" x14ac:dyDescent="0.25">
      <c r="AK7836">
        <v>0</v>
      </c>
    </row>
    <row r="7837" spans="37:37" x14ac:dyDescent="0.25">
      <c r="AK7837">
        <v>0</v>
      </c>
    </row>
    <row r="7838" spans="37:37" x14ac:dyDescent="0.25">
      <c r="AK7838">
        <v>0</v>
      </c>
    </row>
    <row r="7839" spans="37:37" x14ac:dyDescent="0.25">
      <c r="AK7839">
        <v>0</v>
      </c>
    </row>
    <row r="7840" spans="37:37" x14ac:dyDescent="0.25">
      <c r="AK7840">
        <v>0</v>
      </c>
    </row>
    <row r="7841" spans="37:37" x14ac:dyDescent="0.25">
      <c r="AK7841">
        <v>0</v>
      </c>
    </row>
    <row r="7842" spans="37:37" x14ac:dyDescent="0.25">
      <c r="AK7842">
        <v>0</v>
      </c>
    </row>
    <row r="7843" spans="37:37" x14ac:dyDescent="0.25">
      <c r="AK7843">
        <v>0</v>
      </c>
    </row>
    <row r="7844" spans="37:37" x14ac:dyDescent="0.25">
      <c r="AK7844">
        <v>0</v>
      </c>
    </row>
    <row r="7845" spans="37:37" x14ac:dyDescent="0.25">
      <c r="AK7845">
        <v>0</v>
      </c>
    </row>
    <row r="7846" spans="37:37" x14ac:dyDescent="0.25">
      <c r="AK7846">
        <v>0</v>
      </c>
    </row>
    <row r="7847" spans="37:37" x14ac:dyDescent="0.25">
      <c r="AK7847">
        <v>0</v>
      </c>
    </row>
    <row r="7848" spans="37:37" x14ac:dyDescent="0.25">
      <c r="AK7848">
        <v>0</v>
      </c>
    </row>
    <row r="7849" spans="37:37" x14ac:dyDescent="0.25">
      <c r="AK7849">
        <v>0</v>
      </c>
    </row>
    <row r="7850" spans="37:37" x14ac:dyDescent="0.25">
      <c r="AK7850">
        <v>0</v>
      </c>
    </row>
    <row r="7851" spans="37:37" x14ac:dyDescent="0.25">
      <c r="AK7851">
        <v>0</v>
      </c>
    </row>
    <row r="7852" spans="37:37" x14ac:dyDescent="0.25">
      <c r="AK7852">
        <v>0</v>
      </c>
    </row>
    <row r="7853" spans="37:37" x14ac:dyDescent="0.25">
      <c r="AK7853">
        <v>0</v>
      </c>
    </row>
    <row r="7854" spans="37:37" x14ac:dyDescent="0.25">
      <c r="AK7854">
        <v>0</v>
      </c>
    </row>
    <row r="7855" spans="37:37" x14ac:dyDescent="0.25">
      <c r="AK7855">
        <v>0</v>
      </c>
    </row>
    <row r="7856" spans="37:37" x14ac:dyDescent="0.25">
      <c r="AK7856">
        <v>0</v>
      </c>
    </row>
    <row r="7857" spans="37:37" x14ac:dyDescent="0.25">
      <c r="AK7857">
        <v>0</v>
      </c>
    </row>
    <row r="7858" spans="37:37" x14ac:dyDescent="0.25">
      <c r="AK7858">
        <v>0</v>
      </c>
    </row>
    <row r="7859" spans="37:37" x14ac:dyDescent="0.25">
      <c r="AK7859">
        <v>0</v>
      </c>
    </row>
    <row r="7860" spans="37:37" x14ac:dyDescent="0.25">
      <c r="AK7860">
        <v>0</v>
      </c>
    </row>
    <row r="7861" spans="37:37" x14ac:dyDescent="0.25">
      <c r="AK7861">
        <v>0</v>
      </c>
    </row>
    <row r="7862" spans="37:37" x14ac:dyDescent="0.25">
      <c r="AK7862">
        <v>0</v>
      </c>
    </row>
    <row r="7863" spans="37:37" x14ac:dyDescent="0.25">
      <c r="AK7863">
        <v>0</v>
      </c>
    </row>
    <row r="7864" spans="37:37" x14ac:dyDescent="0.25">
      <c r="AK7864">
        <v>0</v>
      </c>
    </row>
    <row r="7865" spans="37:37" x14ac:dyDescent="0.25">
      <c r="AK7865">
        <v>0</v>
      </c>
    </row>
    <row r="7866" spans="37:37" x14ac:dyDescent="0.25">
      <c r="AK7866">
        <v>0</v>
      </c>
    </row>
    <row r="7867" spans="37:37" x14ac:dyDescent="0.25">
      <c r="AK7867">
        <v>0</v>
      </c>
    </row>
    <row r="7868" spans="37:37" x14ac:dyDescent="0.25">
      <c r="AK7868">
        <v>0</v>
      </c>
    </row>
    <row r="7869" spans="37:37" x14ac:dyDescent="0.25">
      <c r="AK7869">
        <v>0</v>
      </c>
    </row>
    <row r="7870" spans="37:37" x14ac:dyDescent="0.25">
      <c r="AK7870">
        <v>0</v>
      </c>
    </row>
    <row r="7871" spans="37:37" x14ac:dyDescent="0.25">
      <c r="AK7871">
        <v>0</v>
      </c>
    </row>
    <row r="7872" spans="37:37" x14ac:dyDescent="0.25">
      <c r="AK7872">
        <v>0</v>
      </c>
    </row>
    <row r="7873" spans="37:37" x14ac:dyDescent="0.25">
      <c r="AK7873">
        <v>0</v>
      </c>
    </row>
    <row r="7874" spans="37:37" x14ac:dyDescent="0.25">
      <c r="AK7874">
        <v>0</v>
      </c>
    </row>
    <row r="7875" spans="37:37" x14ac:dyDescent="0.25">
      <c r="AK7875">
        <v>0</v>
      </c>
    </row>
    <row r="7876" spans="37:37" x14ac:dyDescent="0.25">
      <c r="AK7876">
        <v>0</v>
      </c>
    </row>
    <row r="7877" spans="37:37" x14ac:dyDescent="0.25">
      <c r="AK7877">
        <v>0</v>
      </c>
    </row>
    <row r="7878" spans="37:37" x14ac:dyDescent="0.25">
      <c r="AK7878">
        <v>0</v>
      </c>
    </row>
    <row r="7879" spans="37:37" x14ac:dyDescent="0.25">
      <c r="AK7879">
        <v>0</v>
      </c>
    </row>
    <row r="7880" spans="37:37" x14ac:dyDescent="0.25">
      <c r="AK7880">
        <v>0</v>
      </c>
    </row>
    <row r="7881" spans="37:37" x14ac:dyDescent="0.25">
      <c r="AK7881">
        <v>0</v>
      </c>
    </row>
    <row r="7882" spans="37:37" x14ac:dyDescent="0.25">
      <c r="AK7882">
        <v>0</v>
      </c>
    </row>
    <row r="7883" spans="37:37" x14ac:dyDescent="0.25">
      <c r="AK7883">
        <v>0</v>
      </c>
    </row>
    <row r="7884" spans="37:37" x14ac:dyDescent="0.25">
      <c r="AK7884">
        <v>0</v>
      </c>
    </row>
    <row r="7885" spans="37:37" x14ac:dyDescent="0.25">
      <c r="AK7885">
        <v>0</v>
      </c>
    </row>
    <row r="7886" spans="37:37" x14ac:dyDescent="0.25">
      <c r="AK7886">
        <v>0</v>
      </c>
    </row>
    <row r="7887" spans="37:37" x14ac:dyDescent="0.25">
      <c r="AK7887">
        <v>0</v>
      </c>
    </row>
    <row r="7888" spans="37:37" x14ac:dyDescent="0.25">
      <c r="AK7888">
        <v>0</v>
      </c>
    </row>
    <row r="7889" spans="37:37" x14ac:dyDescent="0.25">
      <c r="AK7889">
        <v>0</v>
      </c>
    </row>
    <row r="7890" spans="37:37" x14ac:dyDescent="0.25">
      <c r="AK7890">
        <v>0</v>
      </c>
    </row>
    <row r="7891" spans="37:37" x14ac:dyDescent="0.25">
      <c r="AK7891">
        <v>0</v>
      </c>
    </row>
    <row r="7892" spans="37:37" x14ac:dyDescent="0.25">
      <c r="AK7892">
        <v>0</v>
      </c>
    </row>
    <row r="7893" spans="37:37" x14ac:dyDescent="0.25">
      <c r="AK7893">
        <v>0</v>
      </c>
    </row>
    <row r="7894" spans="37:37" x14ac:dyDescent="0.25">
      <c r="AK7894">
        <v>0</v>
      </c>
    </row>
    <row r="7895" spans="37:37" x14ac:dyDescent="0.25">
      <c r="AK7895">
        <v>0</v>
      </c>
    </row>
    <row r="7896" spans="37:37" x14ac:dyDescent="0.25">
      <c r="AK7896">
        <v>0</v>
      </c>
    </row>
    <row r="7897" spans="37:37" x14ac:dyDescent="0.25">
      <c r="AK7897">
        <v>0</v>
      </c>
    </row>
    <row r="7898" spans="37:37" x14ac:dyDescent="0.25">
      <c r="AK7898">
        <v>0</v>
      </c>
    </row>
    <row r="7899" spans="37:37" x14ac:dyDescent="0.25">
      <c r="AK7899">
        <v>0</v>
      </c>
    </row>
    <row r="7900" spans="37:37" x14ac:dyDescent="0.25">
      <c r="AK7900">
        <v>0</v>
      </c>
    </row>
    <row r="7901" spans="37:37" x14ac:dyDescent="0.25">
      <c r="AK7901">
        <v>0</v>
      </c>
    </row>
    <row r="7902" spans="37:37" x14ac:dyDescent="0.25">
      <c r="AK7902">
        <v>0</v>
      </c>
    </row>
    <row r="7903" spans="37:37" x14ac:dyDescent="0.25">
      <c r="AK7903">
        <v>0</v>
      </c>
    </row>
    <row r="7904" spans="37:37" x14ac:dyDescent="0.25">
      <c r="AK7904">
        <v>0</v>
      </c>
    </row>
    <row r="7905" spans="37:37" x14ac:dyDescent="0.25">
      <c r="AK7905">
        <v>0</v>
      </c>
    </row>
    <row r="7906" spans="37:37" x14ac:dyDescent="0.25">
      <c r="AK7906">
        <v>0</v>
      </c>
    </row>
    <row r="7907" spans="37:37" x14ac:dyDescent="0.25">
      <c r="AK7907">
        <v>0</v>
      </c>
    </row>
    <row r="7908" spans="37:37" x14ac:dyDescent="0.25">
      <c r="AK7908">
        <v>0</v>
      </c>
    </row>
    <row r="7909" spans="37:37" x14ac:dyDescent="0.25">
      <c r="AK7909">
        <v>0</v>
      </c>
    </row>
    <row r="7910" spans="37:37" x14ac:dyDescent="0.25">
      <c r="AK7910">
        <v>0</v>
      </c>
    </row>
    <row r="7911" spans="37:37" x14ac:dyDescent="0.25">
      <c r="AK7911">
        <v>0</v>
      </c>
    </row>
    <row r="7912" spans="37:37" x14ac:dyDescent="0.25">
      <c r="AK7912">
        <v>0</v>
      </c>
    </row>
    <row r="7913" spans="37:37" x14ac:dyDescent="0.25">
      <c r="AK7913">
        <v>0</v>
      </c>
    </row>
    <row r="7914" spans="37:37" x14ac:dyDescent="0.25">
      <c r="AK7914">
        <v>0</v>
      </c>
    </row>
    <row r="7915" spans="37:37" x14ac:dyDescent="0.25">
      <c r="AK7915">
        <v>0</v>
      </c>
    </row>
    <row r="7916" spans="37:37" x14ac:dyDescent="0.25">
      <c r="AK7916">
        <v>0</v>
      </c>
    </row>
    <row r="7917" spans="37:37" x14ac:dyDescent="0.25">
      <c r="AK7917">
        <v>0</v>
      </c>
    </row>
    <row r="7918" spans="37:37" x14ac:dyDescent="0.25">
      <c r="AK7918">
        <v>0</v>
      </c>
    </row>
    <row r="7919" spans="37:37" x14ac:dyDescent="0.25">
      <c r="AK7919">
        <v>0</v>
      </c>
    </row>
    <row r="7920" spans="37:37" x14ac:dyDescent="0.25">
      <c r="AK7920">
        <v>0</v>
      </c>
    </row>
    <row r="7921" spans="37:37" x14ac:dyDescent="0.25">
      <c r="AK7921">
        <v>0</v>
      </c>
    </row>
    <row r="7922" spans="37:37" x14ac:dyDescent="0.25">
      <c r="AK7922">
        <v>0</v>
      </c>
    </row>
    <row r="7923" spans="37:37" x14ac:dyDescent="0.25">
      <c r="AK7923">
        <v>0</v>
      </c>
    </row>
    <row r="7924" spans="37:37" x14ac:dyDescent="0.25">
      <c r="AK7924">
        <v>0</v>
      </c>
    </row>
    <row r="7925" spans="37:37" x14ac:dyDescent="0.25">
      <c r="AK7925">
        <v>0</v>
      </c>
    </row>
    <row r="7926" spans="37:37" x14ac:dyDescent="0.25">
      <c r="AK7926">
        <v>0</v>
      </c>
    </row>
    <row r="7927" spans="37:37" x14ac:dyDescent="0.25">
      <c r="AK7927">
        <v>0</v>
      </c>
    </row>
    <row r="7928" spans="37:37" x14ac:dyDescent="0.25">
      <c r="AK7928">
        <v>0</v>
      </c>
    </row>
    <row r="7929" spans="37:37" x14ac:dyDescent="0.25">
      <c r="AK7929">
        <v>0</v>
      </c>
    </row>
    <row r="7930" spans="37:37" x14ac:dyDescent="0.25">
      <c r="AK7930">
        <v>0</v>
      </c>
    </row>
    <row r="7931" spans="37:37" x14ac:dyDescent="0.25">
      <c r="AK7931">
        <v>0</v>
      </c>
    </row>
    <row r="7932" spans="37:37" x14ac:dyDescent="0.25">
      <c r="AK7932">
        <v>0</v>
      </c>
    </row>
    <row r="7933" spans="37:37" x14ac:dyDescent="0.25">
      <c r="AK7933">
        <v>0</v>
      </c>
    </row>
    <row r="7934" spans="37:37" x14ac:dyDescent="0.25">
      <c r="AK7934">
        <v>0</v>
      </c>
    </row>
    <row r="7935" spans="37:37" x14ac:dyDescent="0.25">
      <c r="AK7935">
        <v>0</v>
      </c>
    </row>
    <row r="7936" spans="37:37" x14ac:dyDescent="0.25">
      <c r="AK7936">
        <v>0</v>
      </c>
    </row>
    <row r="7937" spans="37:37" x14ac:dyDescent="0.25">
      <c r="AK7937">
        <v>0</v>
      </c>
    </row>
    <row r="7938" spans="37:37" x14ac:dyDescent="0.25">
      <c r="AK7938">
        <v>0</v>
      </c>
    </row>
    <row r="7939" spans="37:37" x14ac:dyDescent="0.25">
      <c r="AK7939">
        <v>0</v>
      </c>
    </row>
    <row r="7940" spans="37:37" x14ac:dyDescent="0.25">
      <c r="AK7940">
        <v>0</v>
      </c>
    </row>
    <row r="7941" spans="37:37" x14ac:dyDescent="0.25">
      <c r="AK7941">
        <v>0</v>
      </c>
    </row>
    <row r="7942" spans="37:37" x14ac:dyDescent="0.25">
      <c r="AK7942">
        <v>0</v>
      </c>
    </row>
    <row r="7943" spans="37:37" x14ac:dyDescent="0.25">
      <c r="AK7943">
        <v>0</v>
      </c>
    </row>
    <row r="7944" spans="37:37" x14ac:dyDescent="0.25">
      <c r="AK7944">
        <v>0</v>
      </c>
    </row>
    <row r="7945" spans="37:37" x14ac:dyDescent="0.25">
      <c r="AK7945">
        <v>0</v>
      </c>
    </row>
    <row r="7946" spans="37:37" x14ac:dyDescent="0.25">
      <c r="AK7946">
        <v>0</v>
      </c>
    </row>
    <row r="7947" spans="37:37" x14ac:dyDescent="0.25">
      <c r="AK7947">
        <v>0</v>
      </c>
    </row>
    <row r="7948" spans="37:37" x14ac:dyDescent="0.25">
      <c r="AK7948">
        <v>0</v>
      </c>
    </row>
    <row r="7949" spans="37:37" x14ac:dyDescent="0.25">
      <c r="AK7949">
        <v>0</v>
      </c>
    </row>
    <row r="7950" spans="37:37" x14ac:dyDescent="0.25">
      <c r="AK7950">
        <v>0</v>
      </c>
    </row>
    <row r="7951" spans="37:37" x14ac:dyDescent="0.25">
      <c r="AK7951">
        <v>0</v>
      </c>
    </row>
    <row r="7952" spans="37:37" x14ac:dyDescent="0.25">
      <c r="AK7952">
        <v>0</v>
      </c>
    </row>
    <row r="7953" spans="37:37" x14ac:dyDescent="0.25">
      <c r="AK7953">
        <v>0</v>
      </c>
    </row>
    <row r="7954" spans="37:37" x14ac:dyDescent="0.25">
      <c r="AK7954">
        <v>0</v>
      </c>
    </row>
    <row r="7955" spans="37:37" x14ac:dyDescent="0.25">
      <c r="AK7955">
        <v>0</v>
      </c>
    </row>
    <row r="7956" spans="37:37" x14ac:dyDescent="0.25">
      <c r="AK7956">
        <v>0</v>
      </c>
    </row>
    <row r="7957" spans="37:37" x14ac:dyDescent="0.25">
      <c r="AK7957">
        <v>0</v>
      </c>
    </row>
    <row r="7958" spans="37:37" x14ac:dyDescent="0.25">
      <c r="AK7958">
        <v>0</v>
      </c>
    </row>
    <row r="7959" spans="37:37" x14ac:dyDescent="0.25">
      <c r="AK7959">
        <v>0</v>
      </c>
    </row>
    <row r="7960" spans="37:37" x14ac:dyDescent="0.25">
      <c r="AK7960">
        <v>0</v>
      </c>
    </row>
    <row r="7961" spans="37:37" x14ac:dyDescent="0.25">
      <c r="AK7961">
        <v>0</v>
      </c>
    </row>
    <row r="7962" spans="37:37" x14ac:dyDescent="0.25">
      <c r="AK7962">
        <v>0</v>
      </c>
    </row>
    <row r="7963" spans="37:37" x14ac:dyDescent="0.25">
      <c r="AK7963">
        <v>0</v>
      </c>
    </row>
    <row r="7964" spans="37:37" x14ac:dyDescent="0.25">
      <c r="AK7964">
        <v>0</v>
      </c>
    </row>
    <row r="7965" spans="37:37" x14ac:dyDescent="0.25">
      <c r="AK7965">
        <v>0</v>
      </c>
    </row>
    <row r="7966" spans="37:37" x14ac:dyDescent="0.25">
      <c r="AK7966">
        <v>0</v>
      </c>
    </row>
    <row r="7967" spans="37:37" x14ac:dyDescent="0.25">
      <c r="AK7967">
        <v>0</v>
      </c>
    </row>
    <row r="7968" spans="37:37" x14ac:dyDescent="0.25">
      <c r="AK7968">
        <v>0</v>
      </c>
    </row>
    <row r="7969" spans="37:37" x14ac:dyDescent="0.25">
      <c r="AK7969">
        <v>0</v>
      </c>
    </row>
    <row r="7970" spans="37:37" x14ac:dyDescent="0.25">
      <c r="AK7970">
        <v>0</v>
      </c>
    </row>
    <row r="7971" spans="37:37" x14ac:dyDescent="0.25">
      <c r="AK7971">
        <v>0</v>
      </c>
    </row>
    <row r="7972" spans="37:37" x14ac:dyDescent="0.25">
      <c r="AK7972">
        <v>0</v>
      </c>
    </row>
    <row r="7973" spans="37:37" x14ac:dyDescent="0.25">
      <c r="AK7973">
        <v>0</v>
      </c>
    </row>
    <row r="7974" spans="37:37" x14ac:dyDescent="0.25">
      <c r="AK7974">
        <v>0</v>
      </c>
    </row>
    <row r="7975" spans="37:37" x14ac:dyDescent="0.25">
      <c r="AK7975">
        <v>0</v>
      </c>
    </row>
    <row r="7976" spans="37:37" x14ac:dyDescent="0.25">
      <c r="AK7976">
        <v>0</v>
      </c>
    </row>
    <row r="7977" spans="37:37" x14ac:dyDescent="0.25">
      <c r="AK7977">
        <v>0</v>
      </c>
    </row>
    <row r="7978" spans="37:37" x14ac:dyDescent="0.25">
      <c r="AK7978">
        <v>0</v>
      </c>
    </row>
    <row r="7979" spans="37:37" x14ac:dyDescent="0.25">
      <c r="AK7979">
        <v>0</v>
      </c>
    </row>
    <row r="7980" spans="37:37" x14ac:dyDescent="0.25">
      <c r="AK7980">
        <v>0</v>
      </c>
    </row>
    <row r="7981" spans="37:37" x14ac:dyDescent="0.25">
      <c r="AK7981">
        <v>0</v>
      </c>
    </row>
    <row r="7982" spans="37:37" x14ac:dyDescent="0.25">
      <c r="AK7982">
        <v>0</v>
      </c>
    </row>
    <row r="7983" spans="37:37" x14ac:dyDescent="0.25">
      <c r="AK7983">
        <v>0</v>
      </c>
    </row>
    <row r="7984" spans="37:37" x14ac:dyDescent="0.25">
      <c r="AK7984">
        <v>0</v>
      </c>
    </row>
    <row r="7985" spans="37:37" x14ac:dyDescent="0.25">
      <c r="AK7985">
        <v>0</v>
      </c>
    </row>
    <row r="7986" spans="37:37" x14ac:dyDescent="0.25">
      <c r="AK7986">
        <v>0</v>
      </c>
    </row>
    <row r="7987" spans="37:37" x14ac:dyDescent="0.25">
      <c r="AK7987">
        <v>0</v>
      </c>
    </row>
    <row r="7988" spans="37:37" x14ac:dyDescent="0.25">
      <c r="AK7988">
        <v>0</v>
      </c>
    </row>
    <row r="7989" spans="37:37" x14ac:dyDescent="0.25">
      <c r="AK7989">
        <v>0</v>
      </c>
    </row>
    <row r="7990" spans="37:37" x14ac:dyDescent="0.25">
      <c r="AK7990">
        <v>0</v>
      </c>
    </row>
    <row r="7991" spans="37:37" x14ac:dyDescent="0.25">
      <c r="AK7991">
        <v>0</v>
      </c>
    </row>
    <row r="7992" spans="37:37" x14ac:dyDescent="0.25">
      <c r="AK7992">
        <v>0</v>
      </c>
    </row>
    <row r="7993" spans="37:37" x14ac:dyDescent="0.25">
      <c r="AK7993">
        <v>0</v>
      </c>
    </row>
    <row r="7994" spans="37:37" x14ac:dyDescent="0.25">
      <c r="AK7994">
        <v>0</v>
      </c>
    </row>
    <row r="7995" spans="37:37" x14ac:dyDescent="0.25">
      <c r="AK7995">
        <v>0</v>
      </c>
    </row>
    <row r="7996" spans="37:37" x14ac:dyDescent="0.25">
      <c r="AK7996">
        <v>0</v>
      </c>
    </row>
    <row r="7997" spans="37:37" x14ac:dyDescent="0.25">
      <c r="AK7997">
        <v>0</v>
      </c>
    </row>
    <row r="7998" spans="37:37" x14ac:dyDescent="0.25">
      <c r="AK7998">
        <v>0</v>
      </c>
    </row>
    <row r="7999" spans="37:37" x14ac:dyDescent="0.25">
      <c r="AK7999">
        <v>0</v>
      </c>
    </row>
    <row r="8000" spans="37:37" x14ac:dyDescent="0.25">
      <c r="AK8000">
        <v>0</v>
      </c>
    </row>
    <row r="8001" spans="37:37" x14ac:dyDescent="0.25">
      <c r="AK8001">
        <v>0</v>
      </c>
    </row>
    <row r="8002" spans="37:37" x14ac:dyDescent="0.25">
      <c r="AK8002">
        <v>0</v>
      </c>
    </row>
    <row r="8003" spans="37:37" x14ac:dyDescent="0.25">
      <c r="AK8003">
        <v>0</v>
      </c>
    </row>
    <row r="8004" spans="37:37" x14ac:dyDescent="0.25">
      <c r="AK8004">
        <v>0</v>
      </c>
    </row>
    <row r="8005" spans="37:37" x14ac:dyDescent="0.25">
      <c r="AK8005">
        <v>0</v>
      </c>
    </row>
    <row r="8006" spans="37:37" x14ac:dyDescent="0.25">
      <c r="AK8006">
        <v>0</v>
      </c>
    </row>
    <row r="8007" spans="37:37" x14ac:dyDescent="0.25">
      <c r="AK8007">
        <v>0</v>
      </c>
    </row>
    <row r="8008" spans="37:37" x14ac:dyDescent="0.25">
      <c r="AK8008">
        <v>0</v>
      </c>
    </row>
    <row r="8009" spans="37:37" x14ac:dyDescent="0.25">
      <c r="AK8009">
        <v>0</v>
      </c>
    </row>
    <row r="8010" spans="37:37" x14ac:dyDescent="0.25">
      <c r="AK8010">
        <v>0</v>
      </c>
    </row>
    <row r="8011" spans="37:37" x14ac:dyDescent="0.25">
      <c r="AK8011">
        <v>0</v>
      </c>
    </row>
    <row r="8012" spans="37:37" x14ac:dyDescent="0.25">
      <c r="AK8012">
        <v>0</v>
      </c>
    </row>
    <row r="8013" spans="37:37" x14ac:dyDescent="0.25">
      <c r="AK8013">
        <v>0</v>
      </c>
    </row>
    <row r="8014" spans="37:37" x14ac:dyDescent="0.25">
      <c r="AK8014">
        <v>0</v>
      </c>
    </row>
    <row r="8015" spans="37:37" x14ac:dyDescent="0.25">
      <c r="AK8015">
        <v>0</v>
      </c>
    </row>
    <row r="8016" spans="37:37" x14ac:dyDescent="0.25">
      <c r="AK8016">
        <v>0</v>
      </c>
    </row>
    <row r="8017" spans="37:37" x14ac:dyDescent="0.25">
      <c r="AK8017">
        <v>0</v>
      </c>
    </row>
    <row r="8018" spans="37:37" x14ac:dyDescent="0.25">
      <c r="AK8018">
        <v>0</v>
      </c>
    </row>
    <row r="8019" spans="37:37" x14ac:dyDescent="0.25">
      <c r="AK8019">
        <v>0</v>
      </c>
    </row>
    <row r="8020" spans="37:37" x14ac:dyDescent="0.25">
      <c r="AK8020">
        <v>0</v>
      </c>
    </row>
    <row r="8021" spans="37:37" x14ac:dyDescent="0.25">
      <c r="AK8021">
        <v>0</v>
      </c>
    </row>
    <row r="8022" spans="37:37" x14ac:dyDescent="0.25">
      <c r="AK8022">
        <v>0</v>
      </c>
    </row>
    <row r="8023" spans="37:37" x14ac:dyDescent="0.25">
      <c r="AK8023">
        <v>0</v>
      </c>
    </row>
    <row r="8024" spans="37:37" x14ac:dyDescent="0.25">
      <c r="AK8024">
        <v>0</v>
      </c>
    </row>
    <row r="8025" spans="37:37" x14ac:dyDescent="0.25">
      <c r="AK8025">
        <v>0</v>
      </c>
    </row>
    <row r="8026" spans="37:37" x14ac:dyDescent="0.25">
      <c r="AK8026">
        <v>0</v>
      </c>
    </row>
    <row r="8027" spans="37:37" x14ac:dyDescent="0.25">
      <c r="AK8027">
        <v>0</v>
      </c>
    </row>
    <row r="8028" spans="37:37" x14ac:dyDescent="0.25">
      <c r="AK8028">
        <v>0</v>
      </c>
    </row>
    <row r="8029" spans="37:37" x14ac:dyDescent="0.25">
      <c r="AK8029">
        <v>0</v>
      </c>
    </row>
    <row r="8030" spans="37:37" x14ac:dyDescent="0.25">
      <c r="AK8030">
        <v>0</v>
      </c>
    </row>
    <row r="8031" spans="37:37" x14ac:dyDescent="0.25">
      <c r="AK8031">
        <v>0</v>
      </c>
    </row>
    <row r="8032" spans="37:37" x14ac:dyDescent="0.25">
      <c r="AK8032">
        <v>0</v>
      </c>
    </row>
    <row r="8033" spans="37:37" x14ac:dyDescent="0.25">
      <c r="AK8033">
        <v>0</v>
      </c>
    </row>
    <row r="8034" spans="37:37" x14ac:dyDescent="0.25">
      <c r="AK8034">
        <v>0</v>
      </c>
    </row>
    <row r="8035" spans="37:37" x14ac:dyDescent="0.25">
      <c r="AK8035">
        <v>0</v>
      </c>
    </row>
    <row r="8036" spans="37:37" x14ac:dyDescent="0.25">
      <c r="AK8036">
        <v>0</v>
      </c>
    </row>
    <row r="8037" spans="37:37" x14ac:dyDescent="0.25">
      <c r="AK8037">
        <v>0</v>
      </c>
    </row>
    <row r="8038" spans="37:37" x14ac:dyDescent="0.25">
      <c r="AK8038">
        <v>0</v>
      </c>
    </row>
    <row r="8039" spans="37:37" x14ac:dyDescent="0.25">
      <c r="AK8039">
        <v>0</v>
      </c>
    </row>
    <row r="8040" spans="37:37" x14ac:dyDescent="0.25">
      <c r="AK8040">
        <v>0</v>
      </c>
    </row>
    <row r="8041" spans="37:37" x14ac:dyDescent="0.25">
      <c r="AK8041">
        <v>0</v>
      </c>
    </row>
    <row r="8042" spans="37:37" x14ac:dyDescent="0.25">
      <c r="AK8042">
        <v>0</v>
      </c>
    </row>
    <row r="8043" spans="37:37" x14ac:dyDescent="0.25">
      <c r="AK8043">
        <v>0</v>
      </c>
    </row>
    <row r="8044" spans="37:37" x14ac:dyDescent="0.25">
      <c r="AK8044">
        <v>0</v>
      </c>
    </row>
    <row r="8045" spans="37:37" x14ac:dyDescent="0.25">
      <c r="AK8045">
        <v>0</v>
      </c>
    </row>
    <row r="8046" spans="37:37" x14ac:dyDescent="0.25">
      <c r="AK8046">
        <v>0</v>
      </c>
    </row>
    <row r="8047" spans="37:37" x14ac:dyDescent="0.25">
      <c r="AK8047">
        <v>0</v>
      </c>
    </row>
    <row r="8048" spans="37:37" x14ac:dyDescent="0.25">
      <c r="AK8048">
        <v>0</v>
      </c>
    </row>
    <row r="8049" spans="37:37" x14ac:dyDescent="0.25">
      <c r="AK8049">
        <v>0</v>
      </c>
    </row>
    <row r="8050" spans="37:37" x14ac:dyDescent="0.25">
      <c r="AK8050">
        <v>0</v>
      </c>
    </row>
    <row r="8051" spans="37:37" x14ac:dyDescent="0.25">
      <c r="AK8051">
        <v>0</v>
      </c>
    </row>
    <row r="8052" spans="37:37" x14ac:dyDescent="0.25">
      <c r="AK8052">
        <v>0</v>
      </c>
    </row>
    <row r="8053" spans="37:37" x14ac:dyDescent="0.25">
      <c r="AK8053">
        <v>0</v>
      </c>
    </row>
    <row r="8054" spans="37:37" x14ac:dyDescent="0.25">
      <c r="AK8054">
        <v>0</v>
      </c>
    </row>
    <row r="8055" spans="37:37" x14ac:dyDescent="0.25">
      <c r="AK8055">
        <v>0</v>
      </c>
    </row>
    <row r="8056" spans="37:37" x14ac:dyDescent="0.25">
      <c r="AK8056">
        <v>0</v>
      </c>
    </row>
    <row r="8057" spans="37:37" x14ac:dyDescent="0.25">
      <c r="AK8057">
        <v>0</v>
      </c>
    </row>
    <row r="8058" spans="37:37" x14ac:dyDescent="0.25">
      <c r="AK8058">
        <v>0</v>
      </c>
    </row>
    <row r="8059" spans="37:37" x14ac:dyDescent="0.25">
      <c r="AK8059">
        <v>0</v>
      </c>
    </row>
    <row r="8060" spans="37:37" x14ac:dyDescent="0.25">
      <c r="AK8060">
        <v>0</v>
      </c>
    </row>
    <row r="8061" spans="37:37" x14ac:dyDescent="0.25">
      <c r="AK8061">
        <v>0</v>
      </c>
    </row>
    <row r="8062" spans="37:37" x14ac:dyDescent="0.25">
      <c r="AK8062">
        <v>0</v>
      </c>
    </row>
    <row r="8063" spans="37:37" x14ac:dyDescent="0.25">
      <c r="AK8063">
        <v>0</v>
      </c>
    </row>
    <row r="8064" spans="37:37" x14ac:dyDescent="0.25">
      <c r="AK8064">
        <v>0</v>
      </c>
    </row>
    <row r="8065" spans="37:37" x14ac:dyDescent="0.25">
      <c r="AK8065">
        <v>0</v>
      </c>
    </row>
    <row r="8066" spans="37:37" x14ac:dyDescent="0.25">
      <c r="AK8066">
        <v>0</v>
      </c>
    </row>
    <row r="8067" spans="37:37" x14ac:dyDescent="0.25">
      <c r="AK8067">
        <v>0</v>
      </c>
    </row>
    <row r="8068" spans="37:37" x14ac:dyDescent="0.25">
      <c r="AK8068">
        <v>0</v>
      </c>
    </row>
    <row r="8069" spans="37:37" x14ac:dyDescent="0.25">
      <c r="AK8069">
        <v>0</v>
      </c>
    </row>
    <row r="8070" spans="37:37" x14ac:dyDescent="0.25">
      <c r="AK8070">
        <v>0</v>
      </c>
    </row>
    <row r="8071" spans="37:37" x14ac:dyDescent="0.25">
      <c r="AK8071">
        <v>0</v>
      </c>
    </row>
    <row r="8072" spans="37:37" x14ac:dyDescent="0.25">
      <c r="AK8072">
        <v>0</v>
      </c>
    </row>
    <row r="8073" spans="37:37" x14ac:dyDescent="0.25">
      <c r="AK8073">
        <v>0</v>
      </c>
    </row>
    <row r="8074" spans="37:37" x14ac:dyDescent="0.25">
      <c r="AK8074">
        <v>0</v>
      </c>
    </row>
    <row r="8075" spans="37:37" x14ac:dyDescent="0.25">
      <c r="AK8075">
        <v>0</v>
      </c>
    </row>
    <row r="8076" spans="37:37" x14ac:dyDescent="0.25">
      <c r="AK8076">
        <v>0</v>
      </c>
    </row>
    <row r="8077" spans="37:37" x14ac:dyDescent="0.25">
      <c r="AK8077">
        <v>0</v>
      </c>
    </row>
    <row r="8078" spans="37:37" x14ac:dyDescent="0.25">
      <c r="AK8078">
        <v>0</v>
      </c>
    </row>
    <row r="8079" spans="37:37" x14ac:dyDescent="0.25">
      <c r="AK8079">
        <v>0</v>
      </c>
    </row>
    <row r="8080" spans="37:37" x14ac:dyDescent="0.25">
      <c r="AK8080">
        <v>0</v>
      </c>
    </row>
    <row r="8081" spans="37:37" x14ac:dyDescent="0.25">
      <c r="AK8081">
        <v>0</v>
      </c>
    </row>
    <row r="8082" spans="37:37" x14ac:dyDescent="0.25">
      <c r="AK8082">
        <v>0</v>
      </c>
    </row>
    <row r="8083" spans="37:37" x14ac:dyDescent="0.25">
      <c r="AK8083">
        <v>0</v>
      </c>
    </row>
    <row r="8084" spans="37:37" x14ac:dyDescent="0.25">
      <c r="AK8084">
        <v>0</v>
      </c>
    </row>
    <row r="8085" spans="37:37" x14ac:dyDescent="0.25">
      <c r="AK8085">
        <v>0</v>
      </c>
    </row>
    <row r="8086" spans="37:37" x14ac:dyDescent="0.25">
      <c r="AK8086">
        <v>0</v>
      </c>
    </row>
    <row r="8087" spans="37:37" x14ac:dyDescent="0.25">
      <c r="AK8087">
        <v>0</v>
      </c>
    </row>
    <row r="8088" spans="37:37" x14ac:dyDescent="0.25">
      <c r="AK8088">
        <v>0</v>
      </c>
    </row>
    <row r="8089" spans="37:37" x14ac:dyDescent="0.25">
      <c r="AK8089">
        <v>0</v>
      </c>
    </row>
    <row r="8090" spans="37:37" x14ac:dyDescent="0.25">
      <c r="AK8090">
        <v>0</v>
      </c>
    </row>
    <row r="8091" spans="37:37" x14ac:dyDescent="0.25">
      <c r="AK8091">
        <v>0</v>
      </c>
    </row>
    <row r="8092" spans="37:37" x14ac:dyDescent="0.25">
      <c r="AK8092">
        <v>0</v>
      </c>
    </row>
    <row r="8093" spans="37:37" x14ac:dyDescent="0.25">
      <c r="AK8093">
        <v>0</v>
      </c>
    </row>
    <row r="8094" spans="37:37" x14ac:dyDescent="0.25">
      <c r="AK8094">
        <v>0</v>
      </c>
    </row>
    <row r="8095" spans="37:37" x14ac:dyDescent="0.25">
      <c r="AK8095">
        <v>0</v>
      </c>
    </row>
    <row r="8096" spans="37:37" x14ac:dyDescent="0.25">
      <c r="AK8096">
        <v>0</v>
      </c>
    </row>
    <row r="8097" spans="37:37" x14ac:dyDescent="0.25">
      <c r="AK8097">
        <v>0</v>
      </c>
    </row>
    <row r="8098" spans="37:37" x14ac:dyDescent="0.25">
      <c r="AK8098">
        <v>0</v>
      </c>
    </row>
    <row r="8099" spans="37:37" x14ac:dyDescent="0.25">
      <c r="AK8099">
        <v>0</v>
      </c>
    </row>
    <row r="8100" spans="37:37" x14ac:dyDescent="0.25">
      <c r="AK8100">
        <v>0</v>
      </c>
    </row>
    <row r="8101" spans="37:37" x14ac:dyDescent="0.25">
      <c r="AK8101">
        <v>0</v>
      </c>
    </row>
    <row r="8102" spans="37:37" x14ac:dyDescent="0.25">
      <c r="AK8102">
        <v>0</v>
      </c>
    </row>
    <row r="8103" spans="37:37" x14ac:dyDescent="0.25">
      <c r="AK8103">
        <v>0</v>
      </c>
    </row>
    <row r="8104" spans="37:37" x14ac:dyDescent="0.25">
      <c r="AK8104">
        <v>0</v>
      </c>
    </row>
    <row r="8105" spans="37:37" x14ac:dyDescent="0.25">
      <c r="AK8105">
        <v>0</v>
      </c>
    </row>
    <row r="8106" spans="37:37" x14ac:dyDescent="0.25">
      <c r="AK8106">
        <v>0</v>
      </c>
    </row>
    <row r="8107" spans="37:37" x14ac:dyDescent="0.25">
      <c r="AK8107">
        <v>0</v>
      </c>
    </row>
    <row r="8108" spans="37:37" x14ac:dyDescent="0.25">
      <c r="AK8108">
        <v>0</v>
      </c>
    </row>
    <row r="8109" spans="37:37" x14ac:dyDescent="0.25">
      <c r="AK8109">
        <v>0</v>
      </c>
    </row>
    <row r="8110" spans="37:37" x14ac:dyDescent="0.25">
      <c r="AK8110">
        <v>0</v>
      </c>
    </row>
    <row r="8111" spans="37:37" x14ac:dyDescent="0.25">
      <c r="AK8111">
        <v>0</v>
      </c>
    </row>
    <row r="8112" spans="37:37" x14ac:dyDescent="0.25">
      <c r="AK8112">
        <v>0</v>
      </c>
    </row>
    <row r="8113" spans="37:37" x14ac:dyDescent="0.25">
      <c r="AK8113">
        <v>0</v>
      </c>
    </row>
    <row r="8114" spans="37:37" x14ac:dyDescent="0.25">
      <c r="AK8114">
        <v>0</v>
      </c>
    </row>
    <row r="8115" spans="37:37" x14ac:dyDescent="0.25">
      <c r="AK8115">
        <v>0</v>
      </c>
    </row>
    <row r="8116" spans="37:37" x14ac:dyDescent="0.25">
      <c r="AK8116">
        <v>0</v>
      </c>
    </row>
    <row r="8117" spans="37:37" x14ac:dyDescent="0.25">
      <c r="AK8117">
        <v>0</v>
      </c>
    </row>
    <row r="8118" spans="37:37" x14ac:dyDescent="0.25">
      <c r="AK8118">
        <v>0</v>
      </c>
    </row>
    <row r="8119" spans="37:37" x14ac:dyDescent="0.25">
      <c r="AK8119">
        <v>0</v>
      </c>
    </row>
    <row r="8120" spans="37:37" x14ac:dyDescent="0.25">
      <c r="AK8120">
        <v>0</v>
      </c>
    </row>
    <row r="8121" spans="37:37" x14ac:dyDescent="0.25">
      <c r="AK8121">
        <v>0</v>
      </c>
    </row>
    <row r="8122" spans="37:37" x14ac:dyDescent="0.25">
      <c r="AK8122">
        <v>0</v>
      </c>
    </row>
    <row r="8123" spans="37:37" x14ac:dyDescent="0.25">
      <c r="AK8123">
        <v>0</v>
      </c>
    </row>
    <row r="8124" spans="37:37" x14ac:dyDescent="0.25">
      <c r="AK8124">
        <v>0</v>
      </c>
    </row>
    <row r="8125" spans="37:37" x14ac:dyDescent="0.25">
      <c r="AK8125">
        <v>0</v>
      </c>
    </row>
    <row r="8126" spans="37:37" x14ac:dyDescent="0.25">
      <c r="AK8126">
        <v>0</v>
      </c>
    </row>
    <row r="8127" spans="37:37" x14ac:dyDescent="0.25">
      <c r="AK8127">
        <v>0</v>
      </c>
    </row>
    <row r="8128" spans="37:37" x14ac:dyDescent="0.25">
      <c r="AK8128">
        <v>0</v>
      </c>
    </row>
    <row r="8129" spans="37:37" x14ac:dyDescent="0.25">
      <c r="AK8129">
        <v>0</v>
      </c>
    </row>
    <row r="8130" spans="37:37" x14ac:dyDescent="0.25">
      <c r="AK8130">
        <v>0</v>
      </c>
    </row>
    <row r="8131" spans="37:37" x14ac:dyDescent="0.25">
      <c r="AK8131">
        <v>0</v>
      </c>
    </row>
    <row r="8132" spans="37:37" x14ac:dyDescent="0.25">
      <c r="AK8132">
        <v>0</v>
      </c>
    </row>
    <row r="8133" spans="37:37" x14ac:dyDescent="0.25">
      <c r="AK8133">
        <v>0</v>
      </c>
    </row>
    <row r="8134" spans="37:37" x14ac:dyDescent="0.25">
      <c r="AK8134">
        <v>0</v>
      </c>
    </row>
    <row r="8135" spans="37:37" x14ac:dyDescent="0.25">
      <c r="AK8135">
        <v>0</v>
      </c>
    </row>
    <row r="8136" spans="37:37" x14ac:dyDescent="0.25">
      <c r="AK8136">
        <v>0</v>
      </c>
    </row>
    <row r="8137" spans="37:37" x14ac:dyDescent="0.25">
      <c r="AK8137">
        <v>0</v>
      </c>
    </row>
    <row r="8138" spans="37:37" x14ac:dyDescent="0.25">
      <c r="AK8138">
        <v>0</v>
      </c>
    </row>
    <row r="8139" spans="37:37" x14ac:dyDescent="0.25">
      <c r="AK8139">
        <v>0</v>
      </c>
    </row>
    <row r="8140" spans="37:37" x14ac:dyDescent="0.25">
      <c r="AK8140">
        <v>0</v>
      </c>
    </row>
    <row r="8141" spans="37:37" x14ac:dyDescent="0.25">
      <c r="AK8141">
        <v>0</v>
      </c>
    </row>
    <row r="8142" spans="37:37" x14ac:dyDescent="0.25">
      <c r="AK8142">
        <v>0</v>
      </c>
    </row>
    <row r="8143" spans="37:37" x14ac:dyDescent="0.25">
      <c r="AK8143">
        <v>0</v>
      </c>
    </row>
    <row r="8144" spans="37:37" x14ac:dyDescent="0.25">
      <c r="AK8144">
        <v>0</v>
      </c>
    </row>
    <row r="8145" spans="37:37" x14ac:dyDescent="0.25">
      <c r="AK8145">
        <v>0</v>
      </c>
    </row>
    <row r="8146" spans="37:37" x14ac:dyDescent="0.25">
      <c r="AK8146">
        <v>0</v>
      </c>
    </row>
    <row r="8147" spans="37:37" x14ac:dyDescent="0.25">
      <c r="AK8147">
        <v>0</v>
      </c>
    </row>
    <row r="8148" spans="37:37" x14ac:dyDescent="0.25">
      <c r="AK8148">
        <v>0</v>
      </c>
    </row>
    <row r="8149" spans="37:37" x14ac:dyDescent="0.25">
      <c r="AK8149">
        <v>0</v>
      </c>
    </row>
    <row r="8150" spans="37:37" x14ac:dyDescent="0.25">
      <c r="AK8150">
        <v>0</v>
      </c>
    </row>
    <row r="8151" spans="37:37" x14ac:dyDescent="0.25">
      <c r="AK8151">
        <v>0</v>
      </c>
    </row>
    <row r="8152" spans="37:37" x14ac:dyDescent="0.25">
      <c r="AK8152">
        <v>0</v>
      </c>
    </row>
    <row r="8153" spans="37:37" x14ac:dyDescent="0.25">
      <c r="AK8153">
        <v>0</v>
      </c>
    </row>
    <row r="8154" spans="37:37" x14ac:dyDescent="0.25">
      <c r="AK8154">
        <v>0</v>
      </c>
    </row>
    <row r="8155" spans="37:37" x14ac:dyDescent="0.25">
      <c r="AK8155">
        <v>0</v>
      </c>
    </row>
    <row r="8156" spans="37:37" x14ac:dyDescent="0.25">
      <c r="AK8156">
        <v>0</v>
      </c>
    </row>
    <row r="8157" spans="37:37" x14ac:dyDescent="0.25">
      <c r="AK8157">
        <v>0</v>
      </c>
    </row>
    <row r="8158" spans="37:37" x14ac:dyDescent="0.25">
      <c r="AK8158">
        <v>0</v>
      </c>
    </row>
    <row r="8159" spans="37:37" x14ac:dyDescent="0.25">
      <c r="AK8159">
        <v>0</v>
      </c>
    </row>
    <row r="8160" spans="37:37" x14ac:dyDescent="0.25">
      <c r="AK8160">
        <v>0</v>
      </c>
    </row>
    <row r="8161" spans="37:37" x14ac:dyDescent="0.25">
      <c r="AK8161">
        <v>0</v>
      </c>
    </row>
    <row r="8162" spans="37:37" x14ac:dyDescent="0.25">
      <c r="AK8162">
        <v>0</v>
      </c>
    </row>
    <row r="8163" spans="37:37" x14ac:dyDescent="0.25">
      <c r="AK8163">
        <v>0</v>
      </c>
    </row>
    <row r="8164" spans="37:37" x14ac:dyDescent="0.25">
      <c r="AK8164">
        <v>0</v>
      </c>
    </row>
    <row r="8165" spans="37:37" x14ac:dyDescent="0.25">
      <c r="AK8165">
        <v>0</v>
      </c>
    </row>
    <row r="8166" spans="37:37" x14ac:dyDescent="0.25">
      <c r="AK8166">
        <v>0</v>
      </c>
    </row>
    <row r="8167" spans="37:37" x14ac:dyDescent="0.25">
      <c r="AK8167">
        <v>0</v>
      </c>
    </row>
    <row r="8168" spans="37:37" x14ac:dyDescent="0.25">
      <c r="AK8168">
        <v>0</v>
      </c>
    </row>
    <row r="8169" spans="37:37" x14ac:dyDescent="0.25">
      <c r="AK8169">
        <v>0</v>
      </c>
    </row>
    <row r="8170" spans="37:37" x14ac:dyDescent="0.25">
      <c r="AK8170">
        <v>0</v>
      </c>
    </row>
    <row r="8171" spans="37:37" x14ac:dyDescent="0.25">
      <c r="AK8171">
        <v>0</v>
      </c>
    </row>
    <row r="8172" spans="37:37" x14ac:dyDescent="0.25">
      <c r="AK8172">
        <v>0</v>
      </c>
    </row>
    <row r="8173" spans="37:37" x14ac:dyDescent="0.25">
      <c r="AK8173">
        <v>0</v>
      </c>
    </row>
    <row r="8174" spans="37:37" x14ac:dyDescent="0.25">
      <c r="AK8174">
        <v>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6537E-600A-46A2-85FA-B7041591625D}">
  <sheetPr codeName="Planilha2"/>
  <dimension ref="B2:D31"/>
  <sheetViews>
    <sheetView zoomScaleNormal="100" workbookViewId="0">
      <selection activeCell="E23" sqref="E23"/>
    </sheetView>
  </sheetViews>
  <sheetFormatPr defaultRowHeight="15" x14ac:dyDescent="0.25"/>
  <cols>
    <col min="1" max="1" width="2.85546875" customWidth="1"/>
    <col min="3" max="3" width="28.28515625" customWidth="1"/>
    <col min="4" max="4" width="15.85546875" customWidth="1"/>
  </cols>
  <sheetData>
    <row r="2" spans="2:4" x14ac:dyDescent="0.25">
      <c r="B2" s="1" cm="1">
        <f t="array" ref="B2">IFERROR(INDEX('ORÇ#1'!$A$1:$V$9999,SMALL(IF('ORÇ#1'!$A$1:$A$9999="n1",ROW('ORÇ#1'!$A$1:$A$9999)),ROW(A1)),6),"")</f>
        <v>1</v>
      </c>
      <c r="C2" s="2" t="str" cm="1">
        <f t="array" ref="C2">IFERROR(INDEX('ORÇ#1'!$A$1:$V$9999,SMALL(IF('ORÇ#1'!$A$1:$A$9999="n1",ROW('ORÇ#1'!$A$1:$A$9999)),ROW(A1)),16),"")</f>
        <v>CUSTOS INDIRETOS</v>
      </c>
      <c r="D2" s="3" cm="1">
        <f t="array" ref="D2">IFERROR(INDEX('ORÇ#1'!$A$1:$V$9999,SMALL(IF('ORÇ#1'!$A$1:$A$9999="n1",ROW('ORÇ#1'!$A$1:$A$9999)),ROW(A1)),22)*1,"")</f>
        <v>224917.9</v>
      </c>
    </row>
    <row r="3" spans="2:4" x14ac:dyDescent="0.25">
      <c r="B3" s="1" cm="1">
        <f t="array" ref="B3">IFERROR(INDEX('ORÇ#1'!$A$1:$V$9999,SMALL(IF('ORÇ#1'!$A$1:$A$9999="n1",ROW('ORÇ#1'!$A$1:$A$9999)),ROW(A2)),6),"")</f>
        <v>2</v>
      </c>
      <c r="C3" s="2" t="str" cm="1">
        <f t="array" ref="C3">IFERROR(INDEX('ORÇ#1'!$A$1:$V$9999,SMALL(IF('ORÇ#1'!$A$1:$A$9999="n1",ROW('ORÇ#1'!$A$1:$A$9999)),ROW(A2)),16),"")</f>
        <v>SERVIÇOS PRELIMINARES</v>
      </c>
      <c r="D3" s="3" cm="1">
        <f t="array" ref="D3">IFERROR(INDEX('ORÇ#1'!$A$1:$V$9999,SMALL(IF('ORÇ#1'!$A$1:$A$9999="n1",ROW('ORÇ#1'!$A$1:$A$9999)),ROW(A2)),22)*1,"")</f>
        <v>79014.27</v>
      </c>
    </row>
    <row r="4" spans="2:4" x14ac:dyDescent="0.25">
      <c r="B4" s="1" cm="1">
        <f t="array" ref="B4">IFERROR(INDEX('ORÇ#1'!$A$1:$V$9999,SMALL(IF('ORÇ#1'!$A$1:$A$9999="n1",ROW('ORÇ#1'!$A$1:$A$9999)),ROW(A3)),6),"")</f>
        <v>3</v>
      </c>
      <c r="C4" s="2" t="str" cm="1">
        <f t="array" ref="C4">IFERROR(INDEX('ORÇ#1'!$A$1:$V$9999,SMALL(IF('ORÇ#1'!$A$1:$A$9999="n1",ROW('ORÇ#1'!$A$1:$A$9999)),ROW(A3)),16),"")</f>
        <v>MOVIMENTAÇÃO DE TERRA</v>
      </c>
      <c r="D4" s="3" cm="1">
        <f t="array" ref="D4">IFERROR(INDEX('ORÇ#1'!$A$1:$V$9999,SMALL(IF('ORÇ#1'!$A$1:$A$9999="n1",ROW('ORÇ#1'!$A$1:$A$9999)),ROW(A3)),22)*1,"")</f>
        <v>3576.3</v>
      </c>
    </row>
    <row r="5" spans="2:4" x14ac:dyDescent="0.25">
      <c r="B5" s="1" cm="1">
        <f t="array" ref="B5">IFERROR(INDEX('ORÇ#1'!$A$1:$V$9999,SMALL(IF('ORÇ#1'!$A$1:$A$9999="n1",ROW('ORÇ#1'!$A$1:$A$9999)),ROW(A4)),6),"")</f>
        <v>4</v>
      </c>
      <c r="C5" s="2" t="str" cm="1">
        <f t="array" ref="C5">IFERROR(INDEX('ORÇ#1'!$A$1:$V$9999,SMALL(IF('ORÇ#1'!$A$1:$A$9999="n1",ROW('ORÇ#1'!$A$1:$A$9999)),ROW(A4)),16),"")</f>
        <v>CONTENÇÕES</v>
      </c>
      <c r="D5" s="3" cm="1">
        <f t="array" ref="D5">IFERROR(INDEX('ORÇ#1'!$A$1:$V$9999,SMALL(IF('ORÇ#1'!$A$1:$A$9999="n1",ROW('ORÇ#1'!$A$1:$A$9999)),ROW(A4)),22)*1,"")</f>
        <v>18143.650000000001</v>
      </c>
    </row>
    <row r="6" spans="2:4" x14ac:dyDescent="0.25">
      <c r="B6" s="1" cm="1">
        <f t="array" ref="B6">IFERROR(INDEX('ORÇ#1'!$A$1:$V$9999,SMALL(IF('ORÇ#1'!$A$1:$A$9999="n1",ROW('ORÇ#1'!$A$1:$A$9999)),ROW(A5)),6),"")</f>
        <v>5</v>
      </c>
      <c r="C6" s="2" t="str" cm="1">
        <f t="array" ref="C6">IFERROR(INDEX('ORÇ#1'!$A$1:$V$9999,SMALL(IF('ORÇ#1'!$A$1:$A$9999="n1",ROW('ORÇ#1'!$A$1:$A$9999)),ROW(A5)),16),"")</f>
        <v>FUNDAÇÕES</v>
      </c>
      <c r="D6" s="3" cm="1">
        <f t="array" ref="D6">IFERROR(INDEX('ORÇ#1'!$A$1:$V$9999,SMALL(IF('ORÇ#1'!$A$1:$A$9999="n1",ROW('ORÇ#1'!$A$1:$A$9999)),ROW(A5)),22)*1,"")</f>
        <v>142139.32769999999</v>
      </c>
    </row>
    <row r="7" spans="2:4" x14ac:dyDescent="0.25">
      <c r="B7" s="1" cm="1">
        <f t="array" ref="B7">IFERROR(INDEX('ORÇ#1'!$A$1:$V$9999,SMALL(IF('ORÇ#1'!$A$1:$A$9999="n1",ROW('ORÇ#1'!$A$1:$A$9999)),ROW(A6)),6),"")</f>
        <v>6</v>
      </c>
      <c r="C7" s="2" t="str" cm="1">
        <f t="array" ref="C7">IFERROR(INDEX('ORÇ#1'!$A$1:$V$9999,SMALL(IF('ORÇ#1'!$A$1:$A$9999="n1",ROW('ORÇ#1'!$A$1:$A$9999)),ROW(A6)),16),"")</f>
        <v>ESTRUTURA</v>
      </c>
      <c r="D7" s="3" cm="1">
        <f t="array" ref="D7">IFERROR(INDEX('ORÇ#1'!$A$1:$V$9999,SMALL(IF('ORÇ#1'!$A$1:$A$9999="n1",ROW('ORÇ#1'!$A$1:$A$9999)),ROW(A6)),22)*1,"")</f>
        <v>1436404</v>
      </c>
    </row>
    <row r="8" spans="2:4" x14ac:dyDescent="0.25">
      <c r="B8" s="1" cm="1">
        <f t="array" ref="B8">IFERROR(INDEX('ORÇ#1'!$A$1:$V$9999,SMALL(IF('ORÇ#1'!$A$1:$A$9999="n1",ROW('ORÇ#1'!$A$1:$A$9999)),ROW(A7)),6),"")</f>
        <v>7</v>
      </c>
      <c r="C8" s="2" t="str" cm="1">
        <f t="array" ref="C8">IFERROR(INDEX('ORÇ#1'!$A$1:$V$9999,SMALL(IF('ORÇ#1'!$A$1:$A$9999="n1",ROW('ORÇ#1'!$A$1:$A$9999)),ROW(A7)),16),"")</f>
        <v>ALVENARIAS</v>
      </c>
      <c r="D8" s="3" cm="1">
        <f t="array" ref="D8">IFERROR(INDEX('ORÇ#1'!$A$1:$V$9999,SMALL(IF('ORÇ#1'!$A$1:$A$9999="n1",ROW('ORÇ#1'!$A$1:$A$9999)),ROW(A7)),22)*1,"")</f>
        <v>324261.22899999999</v>
      </c>
    </row>
    <row r="9" spans="2:4" x14ac:dyDescent="0.25">
      <c r="B9" s="1" cm="1">
        <f t="array" ref="B9">IFERROR(INDEX('ORÇ#1'!$A$1:$V$9999,SMALL(IF('ORÇ#1'!$A$1:$A$9999="n1",ROW('ORÇ#1'!$A$1:$A$9999)),ROW(A8)),6),"")</f>
        <v>8</v>
      </c>
      <c r="C9" s="2" t="str" cm="1">
        <f t="array" ref="C9">IFERROR(INDEX('ORÇ#1'!$A$1:$V$9999,SMALL(IF('ORÇ#1'!$A$1:$A$9999="n1",ROW('ORÇ#1'!$A$1:$A$9999)),ROW(A8)),16),"")</f>
        <v>INSTALAÇÕES PREDIAIS</v>
      </c>
      <c r="D9" s="3" cm="1">
        <f t="array" ref="D9">IFERROR(INDEX('ORÇ#1'!$A$1:$V$9999,SMALL(IF('ORÇ#1'!$A$1:$A$9999="n1",ROW('ORÇ#1'!$A$1:$A$9999)),ROW(A8)),22)*1,"")</f>
        <v>2032618</v>
      </c>
    </row>
    <row r="10" spans="2:4" x14ac:dyDescent="0.25">
      <c r="B10" s="1" cm="1">
        <f t="array" ref="B10">IFERROR(INDEX('ORÇ#1'!$A$1:$V$9999,SMALL(IF('ORÇ#1'!$A$1:$A$9999="n1",ROW('ORÇ#1'!$A$1:$A$9999)),ROW(A9)),6),"")</f>
        <v>9</v>
      </c>
      <c r="C10" s="2" t="str" cm="1">
        <f t="array" ref="C10">IFERROR(INDEX('ORÇ#1'!$A$1:$V$9999,SMALL(IF('ORÇ#1'!$A$1:$A$9999="n1",ROW('ORÇ#1'!$A$1:$A$9999)),ROW(A9)),16),"")</f>
        <v>PAVIMENTAÇÕES</v>
      </c>
      <c r="D10" s="3" cm="1">
        <f t="array" ref="D10">IFERROR(INDEX('ORÇ#1'!$A$1:$V$9999,SMALL(IF('ORÇ#1'!$A$1:$A$9999="n1",ROW('ORÇ#1'!$A$1:$A$9999)),ROW(A9)),22)*1,"")</f>
        <v>86827.513900000005</v>
      </c>
    </row>
    <row r="11" spans="2:4" x14ac:dyDescent="0.25">
      <c r="B11" s="1" cm="1">
        <f t="array" ref="B11">IFERROR(INDEX('ORÇ#1'!$A$1:$V$9999,SMALL(IF('ORÇ#1'!$A$1:$A$9999="n1",ROW('ORÇ#1'!$A$1:$A$9999)),ROW(A10)),6),"")</f>
        <v>10</v>
      </c>
      <c r="C11" s="2" t="str" cm="1">
        <f t="array" ref="C11">IFERROR(INDEX('ORÇ#1'!$A$1:$V$9999,SMALL(IF('ORÇ#1'!$A$1:$A$9999="n1",ROW('ORÇ#1'!$A$1:$A$9999)),ROW(A10)),16),"")</f>
        <v>REVESTIMENTOS</v>
      </c>
      <c r="D11" s="3" cm="1">
        <f t="array" ref="D11">IFERROR(INDEX('ORÇ#1'!$A$1:$V$9999,SMALL(IF('ORÇ#1'!$A$1:$A$9999="n1",ROW('ORÇ#1'!$A$1:$A$9999)),ROW(A10)),22)*1,"")</f>
        <v>826939.34069999994</v>
      </c>
    </row>
    <row r="12" spans="2:4" x14ac:dyDescent="0.25">
      <c r="B12" s="1" cm="1">
        <f t="array" ref="B12">IFERROR(INDEX('ORÇ#1'!$A$1:$V$9999,SMALL(IF('ORÇ#1'!$A$1:$A$9999="n1",ROW('ORÇ#1'!$A$1:$A$9999)),ROW(A11)),6),"")</f>
        <v>11</v>
      </c>
      <c r="C12" s="2" t="str" cm="1">
        <f t="array" ref="C12">IFERROR(INDEX('ORÇ#1'!$A$1:$V$9999,SMALL(IF('ORÇ#1'!$A$1:$A$9999="n1",ROW('ORÇ#1'!$A$1:$A$9999)),ROW(A11)),16),"")</f>
        <v>IMPERMEABILIZAÇÕES</v>
      </c>
      <c r="D12" s="3" cm="1">
        <f t="array" ref="D12">IFERROR(INDEX('ORÇ#1'!$A$1:$V$9999,SMALL(IF('ORÇ#1'!$A$1:$A$9999="n1",ROW('ORÇ#1'!$A$1:$A$9999)),ROW(A11)),22)*1,"")</f>
        <v>135014.2868</v>
      </c>
    </row>
    <row r="13" spans="2:4" x14ac:dyDescent="0.25">
      <c r="B13" s="1" cm="1">
        <f t="array" ref="B13">IFERROR(INDEX('ORÇ#1'!$A$1:$V$9999,SMALL(IF('ORÇ#1'!$A$1:$A$9999="n1",ROW('ORÇ#1'!$A$1:$A$9999)),ROW(A12)),6),"")</f>
        <v>12</v>
      </c>
      <c r="C13" s="2" t="str" cm="1">
        <f t="array" ref="C13">IFERROR(INDEX('ORÇ#1'!$A$1:$V$9999,SMALL(IF('ORÇ#1'!$A$1:$A$9999="n1",ROW('ORÇ#1'!$A$1:$A$9999)),ROW(A12)),16),"")</f>
        <v>GRANITOS</v>
      </c>
      <c r="D13" s="3" cm="1">
        <f t="array" ref="D13">IFERROR(INDEX('ORÇ#1'!$A$1:$V$9999,SMALL(IF('ORÇ#1'!$A$1:$A$9999="n1",ROW('ORÇ#1'!$A$1:$A$9999)),ROW(A12)),22)*1,"")</f>
        <v>107778.4734</v>
      </c>
    </row>
    <row r="14" spans="2:4" x14ac:dyDescent="0.25">
      <c r="B14" s="1" cm="1">
        <f t="array" ref="B14">IFERROR(INDEX('ORÇ#1'!$A$1:$V$9999,SMALL(IF('ORÇ#1'!$A$1:$A$9999="n1",ROW('ORÇ#1'!$A$1:$A$9999)),ROW(A13)),6),"")</f>
        <v>13</v>
      </c>
      <c r="C14" s="2" t="str" cm="1">
        <f t="array" ref="C14">IFERROR(INDEX('ORÇ#1'!$A$1:$V$9999,SMALL(IF('ORÇ#1'!$A$1:$A$9999="n1",ROW('ORÇ#1'!$A$1:$A$9999)),ROW(A13)),16),"")</f>
        <v>LOUÇAS E METAIS</v>
      </c>
      <c r="D14" s="3" cm="1">
        <f t="array" ref="D14">IFERROR(INDEX('ORÇ#1'!$A$1:$V$9999,SMALL(IF('ORÇ#1'!$A$1:$A$9999="n1",ROW('ORÇ#1'!$A$1:$A$9999)),ROW(A13)),22)*1,"")</f>
        <v>84710.27</v>
      </c>
    </row>
    <row r="15" spans="2:4" x14ac:dyDescent="0.25">
      <c r="B15" s="1" cm="1">
        <f t="array" ref="B15">IFERROR(INDEX('ORÇ#1'!$A$1:$V$9999,SMALL(IF('ORÇ#1'!$A$1:$A$9999="n1",ROW('ORÇ#1'!$A$1:$A$9999)),ROW(A14)),6),"")</f>
        <v>14</v>
      </c>
      <c r="C15" s="2" t="str" cm="1">
        <f t="array" ref="C15">IFERROR(INDEX('ORÇ#1'!$A$1:$V$9999,SMALL(IF('ORÇ#1'!$A$1:$A$9999="n1",ROW('ORÇ#1'!$A$1:$A$9999)),ROW(A14)),16),"")</f>
        <v>ESQUADRIAS</v>
      </c>
      <c r="D15" s="3" cm="1">
        <f t="array" ref="D15">IFERROR(INDEX('ORÇ#1'!$A$1:$V$9999,SMALL(IF('ORÇ#1'!$A$1:$A$9999="n1",ROW('ORÇ#1'!$A$1:$A$9999)),ROW(A14)),22)*1,"")</f>
        <v>369064.13299999997</v>
      </c>
    </row>
    <row r="16" spans="2:4" x14ac:dyDescent="0.25">
      <c r="B16" s="1" cm="1">
        <f t="array" ref="B16">IFERROR(INDEX('ORÇ#1'!$A$1:$V$9999,SMALL(IF('ORÇ#1'!$A$1:$A$9999="n1",ROW('ORÇ#1'!$A$1:$A$9999)),ROW(A15)),6),"")</f>
        <v>15</v>
      </c>
      <c r="C16" s="2" t="str" cm="1">
        <f t="array" ref="C16">IFERROR(INDEX('ORÇ#1'!$A$1:$V$9999,SMALL(IF('ORÇ#1'!$A$1:$A$9999="n1",ROW('ORÇ#1'!$A$1:$A$9999)),ROW(A15)),16),"")</f>
        <v>PINTURAS</v>
      </c>
      <c r="D16" s="3" cm="1">
        <f t="array" ref="D16">IFERROR(INDEX('ORÇ#1'!$A$1:$V$9999,SMALL(IF('ORÇ#1'!$A$1:$A$9999="n1",ROW('ORÇ#1'!$A$1:$A$9999)),ROW(A15)),22)*1,"")</f>
        <v>166057.48869999999</v>
      </c>
    </row>
    <row r="17" spans="2:4" x14ac:dyDescent="0.25">
      <c r="B17" s="1" cm="1">
        <f t="array" ref="B17">IFERROR(INDEX('ORÇ#1'!$A$1:$V$9999,SMALL(IF('ORÇ#1'!$A$1:$A$9999="n1",ROW('ORÇ#1'!$A$1:$A$9999)),ROW(A16)),6),"")</f>
        <v>16</v>
      </c>
      <c r="C17" s="2" t="str" cm="1">
        <f t="array" ref="C17">IFERROR(INDEX('ORÇ#1'!$A$1:$V$9999,SMALL(IF('ORÇ#1'!$A$1:$A$9999="n1",ROW('ORÇ#1'!$A$1:$A$9999)),ROW(A16)),16),"")</f>
        <v>COBERTURA</v>
      </c>
      <c r="D17" s="3" cm="1">
        <f t="array" ref="D17">IFERROR(INDEX('ORÇ#1'!$A$1:$V$9999,SMALL(IF('ORÇ#1'!$A$1:$A$9999="n1",ROW('ORÇ#1'!$A$1:$A$9999)),ROW(A16)),22)*1,"")</f>
        <v>36344.698400000001</v>
      </c>
    </row>
    <row r="18" spans="2:4" x14ac:dyDescent="0.25">
      <c r="B18" s="1" cm="1">
        <f t="array" ref="B18">IFERROR(INDEX('ORÇ#1'!$A$1:$V$9999,SMALL(IF('ORÇ#1'!$A$1:$A$9999="n1",ROW('ORÇ#1'!$A$1:$A$9999)),ROW(A17)),6),"")</f>
        <v>17</v>
      </c>
      <c r="C18" s="2" t="str" cm="1">
        <f t="array" ref="C18">IFERROR(INDEX('ORÇ#1'!$A$1:$V$9999,SMALL(IF('ORÇ#1'!$A$1:$A$9999="n1",ROW('ORÇ#1'!$A$1:$A$9999)),ROW(A17)),16),"")</f>
        <v>COMPLEMENTOS</v>
      </c>
      <c r="D18" s="3" cm="1">
        <f t="array" ref="D18">IFERROR(INDEX('ORÇ#1'!$A$1:$V$9999,SMALL(IF('ORÇ#1'!$A$1:$A$9999="n1",ROW('ORÇ#1'!$A$1:$A$9999)),ROW(A17)),22)*1,"")</f>
        <v>96743.18</v>
      </c>
    </row>
    <row r="19" spans="2:4" x14ac:dyDescent="0.25">
      <c r="B19" s="1" cm="1">
        <f t="array" ref="B19">IFERROR(INDEX('ORÇ#1'!$A$1:$V$9999,SMALL(IF('ORÇ#1'!$A$1:$A$9999="n1",ROW('ORÇ#1'!$A$1:$A$9999)),ROW(A18)),6),"")</f>
        <v>18</v>
      </c>
      <c r="C19" s="2" t="str" cm="1">
        <f t="array" ref="C19">IFERROR(INDEX('ORÇ#1'!$A$1:$V$9999,SMALL(IF('ORÇ#1'!$A$1:$A$9999="n1",ROW('ORÇ#1'!$A$1:$A$9999)),ROW(A18)),16),"")</f>
        <v>LIMPEZA</v>
      </c>
      <c r="D19" s="3" cm="1">
        <f t="array" ref="D19">IFERROR(INDEX('ORÇ#1'!$A$1:$V$9999,SMALL(IF('ORÇ#1'!$A$1:$A$9999="n1",ROW('ORÇ#1'!$A$1:$A$9999)),ROW(A18)),22)*1,"")</f>
        <v>28191.268100000001</v>
      </c>
    </row>
    <row r="20" spans="2:4" x14ac:dyDescent="0.25">
      <c r="B20" s="1" cm="1">
        <f t="array" ref="B20">IFERROR(INDEX('ORÇ#1'!$A$1:$V$9999,SMALL(IF('ORÇ#1'!$A$1:$A$9999="n1",ROW('ORÇ#1'!$A$1:$A$9999)),ROW(A19)),6),"")</f>
        <v>19</v>
      </c>
      <c r="C20" s="2" cm="1">
        <f t="array" ref="C20">IFERROR(INDEX('ORÇ#1'!$A$1:$V$9999,SMALL(IF('ORÇ#1'!$A$1:$A$9999="n1",ROW('ORÇ#1'!$A$1:$A$9999)),ROW(A19)),16),"")</f>
        <v>0</v>
      </c>
      <c r="D20" s="3" cm="1">
        <f t="array" ref="D20">IFERROR(INDEX('ORÇ#1'!$A$1:$V$9999,SMALL(IF('ORÇ#1'!$A$1:$A$9999="n1",ROW('ORÇ#1'!$A$1:$A$9999)),ROW(A19)),22)*1,"")</f>
        <v>0</v>
      </c>
    </row>
    <row r="21" spans="2:4" x14ac:dyDescent="0.25">
      <c r="B21" s="1" cm="1">
        <f t="array" ref="B21">IFERROR(INDEX('ORÇ#1'!$A$1:$V$9999,SMALL(IF('ORÇ#1'!$A$1:$A$9999="n1",ROW('ORÇ#1'!$A$1:$A$9999)),ROW(A20)),6),"")</f>
        <v>20</v>
      </c>
      <c r="C21" s="2" cm="1">
        <f t="array" ref="C21">IFERROR(INDEX('ORÇ#1'!$A$1:$V$9999,SMALL(IF('ORÇ#1'!$A$1:$A$9999="n1",ROW('ORÇ#1'!$A$1:$A$9999)),ROW(A20)),16),"")</f>
        <v>0</v>
      </c>
      <c r="D21" s="3" cm="1">
        <f t="array" ref="D21">IFERROR(INDEX('ORÇ#1'!$A$1:$V$9999,SMALL(IF('ORÇ#1'!$A$1:$A$9999="n1",ROW('ORÇ#1'!$A$1:$A$9999)),ROW(A20)),22)*1,"")</f>
        <v>0</v>
      </c>
    </row>
    <row r="22" spans="2:4" x14ac:dyDescent="0.25">
      <c r="B22" s="1" t="str" cm="1">
        <f t="array" ref="B22">IFERROR(INDEX('ORÇ#1'!$A$1:$V$9999,SMALL(IF('ORÇ#1'!$A$1:$A$9999="n1",ROW('ORÇ#1'!$A$1:$A$9999)),ROW(A21)),6),"")</f>
        <v/>
      </c>
      <c r="C22" s="2" t="str" cm="1">
        <f t="array" ref="C22">IFERROR(INDEX('ORÇ#1'!$A$1:$V$9999,SMALL(IF('ORÇ#1'!$A$1:$A$9999="n1",ROW('ORÇ#1'!$A$1:$A$9999)),ROW(A21)),16),"")</f>
        <v/>
      </c>
      <c r="D22" s="3" t="str" cm="1">
        <f t="array" ref="D22">IFERROR(INDEX('ORÇ#1'!$A$1:$V$9999,SMALL(IF('ORÇ#1'!$A$1:$A$9999="n1",ROW('ORÇ#1'!$A$1:$A$9999)),ROW(A21)),22)*1,"")</f>
        <v/>
      </c>
    </row>
    <row r="23" spans="2:4" x14ac:dyDescent="0.25">
      <c r="B23" s="1" t="str" cm="1">
        <f t="array" ref="B23">IFERROR(INDEX('ORÇ#1'!$A$1:$V$9999,SMALL(IF('ORÇ#1'!$A$1:$A$9999="n1",ROW('ORÇ#1'!$A$1:$A$9999)),ROW(A22)),6),"")</f>
        <v/>
      </c>
      <c r="C23" s="2" t="str" cm="1">
        <f t="array" ref="C23">IFERROR(INDEX('ORÇ#1'!$A$1:$V$9999,SMALL(IF('ORÇ#1'!$A$1:$A$9999="n1",ROW('ORÇ#1'!$A$1:$A$9999)),ROW(A22)),16),"")</f>
        <v/>
      </c>
      <c r="D23" s="3" t="str" cm="1">
        <f t="array" ref="D23">IFERROR(INDEX('ORÇ#1'!$A$1:$V$9999,SMALL(IF('ORÇ#1'!$A$1:$A$9999="n1",ROW('ORÇ#1'!$A$1:$A$9999)),ROW(A22)),22)*1,"")</f>
        <v/>
      </c>
    </row>
    <row r="24" spans="2:4" x14ac:dyDescent="0.25">
      <c r="B24" s="1" t="str" cm="1">
        <f t="array" ref="B24">IFERROR(INDEX('ORÇ#1'!$A$1:$V$9999,SMALL(IF('ORÇ#1'!$A$1:$A$9999="n1",ROW('ORÇ#1'!$A$1:$A$9999)),ROW(A23)),6),"")</f>
        <v/>
      </c>
      <c r="C24" s="2" t="str" cm="1">
        <f t="array" ref="C24">IFERROR(INDEX('ORÇ#1'!$A$1:$V$9999,SMALL(IF('ORÇ#1'!$A$1:$A$9999="n1",ROW('ORÇ#1'!$A$1:$A$9999)),ROW(A23)),16),"")</f>
        <v/>
      </c>
      <c r="D24" s="3" t="str" cm="1">
        <f t="array" ref="D24">IFERROR(INDEX('ORÇ#1'!$A$1:$V$9999,SMALL(IF('ORÇ#1'!$A$1:$A$9999="n1",ROW('ORÇ#1'!$A$1:$A$9999)),ROW(A23)),22)*1,"")</f>
        <v/>
      </c>
    </row>
    <row r="25" spans="2:4" x14ac:dyDescent="0.25">
      <c r="B25" s="1" t="str" cm="1">
        <f t="array" ref="B25">IFERROR(INDEX('ORÇ#1'!$A$1:$V$9999,SMALL(IF('ORÇ#1'!$A$1:$A$9999="n1",ROW('ORÇ#1'!$A$1:$A$9999)),ROW(A24)),6),"")</f>
        <v/>
      </c>
      <c r="C25" s="2" t="str" cm="1">
        <f t="array" ref="C25">IFERROR(INDEX('ORÇ#1'!$A$1:$V$9999,SMALL(IF('ORÇ#1'!$A$1:$A$9999="n1",ROW('ORÇ#1'!$A$1:$A$9999)),ROW(A24)),16),"")</f>
        <v/>
      </c>
      <c r="D25" s="3" t="str" cm="1">
        <f t="array" ref="D25">IFERROR(INDEX('ORÇ#1'!$A$1:$V$9999,SMALL(IF('ORÇ#1'!$A$1:$A$9999="n1",ROW('ORÇ#1'!$A$1:$A$9999)),ROW(A24)),22)*1,"")</f>
        <v/>
      </c>
    </row>
    <row r="26" spans="2:4" x14ac:dyDescent="0.25">
      <c r="B26" s="1" t="str" cm="1">
        <f t="array" ref="B26">IFERROR(INDEX('ORÇ#1'!$A$1:$V$9999,SMALL(IF('ORÇ#1'!$A$1:$A$9999="n1",ROW('ORÇ#1'!$A$1:$A$9999)),ROW(A25)),6),"")</f>
        <v/>
      </c>
      <c r="C26" s="2" t="str" cm="1">
        <f t="array" ref="C26">IFERROR(INDEX('ORÇ#1'!$A$1:$V$9999,SMALL(IF('ORÇ#1'!$A$1:$A$9999="n1",ROW('ORÇ#1'!$A$1:$A$9999)),ROW(A25)),16),"")</f>
        <v/>
      </c>
      <c r="D26" s="3" t="str" cm="1">
        <f t="array" ref="D26">IFERROR(INDEX('ORÇ#1'!$A$1:$V$9999,SMALL(IF('ORÇ#1'!$A$1:$A$9999="n1",ROW('ORÇ#1'!$A$1:$A$9999)),ROW(A25)),22)*1,"")</f>
        <v/>
      </c>
    </row>
    <row r="27" spans="2:4" x14ac:dyDescent="0.25">
      <c r="B27" s="1" t="str" cm="1">
        <f t="array" ref="B27">IFERROR(INDEX('ORÇ#1'!$A$1:$V$9999,SMALL(IF('ORÇ#1'!$A$1:$A$9999="n1",ROW('ORÇ#1'!$A$1:$A$9999)),ROW(A26)),6),"")</f>
        <v/>
      </c>
      <c r="C27" s="2" t="str" cm="1">
        <f t="array" ref="C27">IFERROR(INDEX('ORÇ#1'!$A$1:$V$9999,SMALL(IF('ORÇ#1'!$A$1:$A$9999="n1",ROW('ORÇ#1'!$A$1:$A$9999)),ROW(A26)),16),"")</f>
        <v/>
      </c>
      <c r="D27" s="3" t="str" cm="1">
        <f t="array" ref="D27">IFERROR(INDEX('ORÇ#1'!$A$1:$V$9999,SMALL(IF('ORÇ#1'!$A$1:$A$9999="n1",ROW('ORÇ#1'!$A$1:$A$9999)),ROW(A26)),22)*1,"")</f>
        <v/>
      </c>
    </row>
    <row r="28" spans="2:4" x14ac:dyDescent="0.25">
      <c r="B28" s="1" t="str" cm="1">
        <f t="array" ref="B28">IFERROR(INDEX('ORÇ#1'!$A$1:$V$9999,SMALL(IF('ORÇ#1'!$A$1:$A$9999="n1",ROW('ORÇ#1'!$A$1:$A$9999)),ROW(A27)),6),"")</f>
        <v/>
      </c>
      <c r="C28" s="2" t="str" cm="1">
        <f t="array" ref="C28">IFERROR(INDEX('ORÇ#1'!$A$1:$V$9999,SMALL(IF('ORÇ#1'!$A$1:$A$9999="n1",ROW('ORÇ#1'!$A$1:$A$9999)),ROW(A27)),16),"")</f>
        <v/>
      </c>
      <c r="D28" s="3" t="str" cm="1">
        <f t="array" ref="D28">IFERROR(INDEX('ORÇ#1'!$A$1:$V$9999,SMALL(IF('ORÇ#1'!$A$1:$A$9999="n1",ROW('ORÇ#1'!$A$1:$A$9999)),ROW(A27)),22)*1,"")</f>
        <v/>
      </c>
    </row>
    <row r="29" spans="2:4" x14ac:dyDescent="0.25">
      <c r="B29" s="1" t="str" cm="1">
        <f t="array" ref="B29">IFERROR(INDEX('ORÇ#1'!$A$1:$V$9999,SMALL(IF('ORÇ#1'!$A$1:$A$9999="n1",ROW('ORÇ#1'!$A$1:$A$9999)),ROW(A28)),6),"")</f>
        <v/>
      </c>
      <c r="C29" s="2" t="str" cm="1">
        <f t="array" ref="C29">IFERROR(INDEX('ORÇ#1'!$A$1:$V$9999,SMALL(IF('ORÇ#1'!$A$1:$A$9999="n1",ROW('ORÇ#1'!$A$1:$A$9999)),ROW(A28)),16),"")</f>
        <v/>
      </c>
      <c r="D29" s="3" t="str" cm="1">
        <f t="array" ref="D29">IFERROR(INDEX('ORÇ#1'!$A$1:$V$9999,SMALL(IF('ORÇ#1'!$A$1:$A$9999="n1",ROW('ORÇ#1'!$A$1:$A$9999)),ROW(A28)),22)*1,"")</f>
        <v/>
      </c>
    </row>
    <row r="30" spans="2:4" x14ac:dyDescent="0.25">
      <c r="B30" s="1" t="str" cm="1">
        <f t="array" ref="B30">IFERROR(INDEX('ORÇ#1'!$A$1:$V$9999,SMALL(IF('ORÇ#1'!$A$1:$A$9999="n1",ROW('ORÇ#1'!$A$1:$A$9999)),ROW(A29)),6),"")</f>
        <v/>
      </c>
      <c r="C30" s="2" t="str" cm="1">
        <f t="array" ref="C30">IFERROR(INDEX('ORÇ#1'!$A$1:$V$9999,SMALL(IF('ORÇ#1'!$A$1:$A$9999="n1",ROW('ORÇ#1'!$A$1:$A$9999)),ROW(A29)),16),"")</f>
        <v/>
      </c>
      <c r="D30" s="3" t="str" cm="1">
        <f t="array" ref="D30">IFERROR(INDEX('ORÇ#1'!$A$1:$V$9999,SMALL(IF('ORÇ#1'!$A$1:$A$9999="n1",ROW('ORÇ#1'!$A$1:$A$9999)),ROW(A29)),22)*1,"")</f>
        <v/>
      </c>
    </row>
    <row r="31" spans="2:4" x14ac:dyDescent="0.25">
      <c r="B31" s="1" t="str" cm="1">
        <f t="array" ref="B31">IFERROR(INDEX('ORÇ#1'!$A$1:$V$9999,SMALL(IF('ORÇ#1'!$A$1:$A$9999="n1",ROW('ORÇ#1'!$A$1:$A$9999)),ROW(A30)),6),"")</f>
        <v/>
      </c>
      <c r="C31" s="2" t="str" cm="1">
        <f t="array" ref="C31">IFERROR(INDEX('ORÇ#1'!$A$1:$V$9999,SMALL(IF('ORÇ#1'!$A$1:$A$9999="n1",ROW('ORÇ#1'!$A$1:$A$9999)),ROW(A30)),16),"")</f>
        <v/>
      </c>
      <c r="D31" s="3" t="str" cm="1">
        <f t="array" ref="D31">IFERROR(INDEX('ORÇ#1'!$A$1:$V$9999,SMALL(IF('ORÇ#1'!$A$1:$A$9999="n1",ROW('ORÇ#1'!$A$1:$A$9999)),ROW(A30)),22)*1,"")</f>
        <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95020-9A6F-4430-8FAC-ED76D404EF3B}">
  <sheetPr codeName="Planilha3">
    <pageSetUpPr fitToPage="1"/>
  </sheetPr>
  <dimension ref="A1:BK302"/>
  <sheetViews>
    <sheetView showGridLines="0" showRowColHeaders="0" tabSelected="1" zoomScaleNormal="100" workbookViewId="0">
      <selection activeCell="H10" sqref="H10:S10"/>
    </sheetView>
  </sheetViews>
  <sheetFormatPr defaultColWidth="0" defaultRowHeight="15" zeroHeight="1" x14ac:dyDescent="0.25"/>
  <cols>
    <col min="1" max="1" width="2.85546875" customWidth="1"/>
    <col min="2" max="49" width="4.28515625" customWidth="1"/>
    <col min="50" max="50" width="2.85546875" customWidth="1"/>
    <col min="51" max="52" width="10" hidden="1" customWidth="1"/>
    <col min="53" max="53" width="10.7109375" hidden="1" customWidth="1"/>
    <col min="54" max="57" width="4.28515625" hidden="1" customWidth="1"/>
    <col min="58" max="16384" width="9.140625" hidden="1"/>
  </cols>
  <sheetData>
    <row r="1" spans="1:63" s="46" customFormat="1" ht="15" customHeight="1" x14ac:dyDescent="0.25">
      <c r="A1" s="9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row>
    <row r="2" spans="1:63" s="46" customFormat="1" ht="15" customHeight="1" x14ac:dyDescent="0.25">
      <c r="A2" s="96"/>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row>
    <row r="3" spans="1:63" s="46" customFormat="1" ht="15" customHeight="1" x14ac:dyDescent="0.25">
      <c r="A3" s="96"/>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row>
    <row r="4" spans="1:63" ht="30"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3" ht="15" customHeight="1" x14ac:dyDescent="0.25"/>
    <row r="6" spans="1:63" ht="37.5" customHeight="1" x14ac:dyDescent="0.25">
      <c r="B6" s="387" t="s">
        <v>6237</v>
      </c>
      <c r="C6" s="387"/>
      <c r="D6" s="387"/>
      <c r="E6" s="387"/>
      <c r="F6" s="387"/>
      <c r="G6" s="387"/>
      <c r="H6" s="387"/>
      <c r="I6" s="387"/>
      <c r="J6" s="387"/>
      <c r="K6" s="387"/>
      <c r="L6" s="387"/>
      <c r="M6" s="387"/>
      <c r="N6" s="387"/>
      <c r="O6" s="387"/>
      <c r="P6" s="387"/>
      <c r="Q6" s="387"/>
      <c r="R6" s="387"/>
      <c r="S6" s="387"/>
      <c r="T6" s="89"/>
      <c r="U6" s="89"/>
      <c r="V6" s="89"/>
      <c r="W6" s="89"/>
      <c r="X6" s="89"/>
      <c r="Y6" s="89"/>
      <c r="Z6" s="89"/>
      <c r="AA6" s="89"/>
      <c r="AB6" s="89"/>
      <c r="AC6" s="89"/>
      <c r="AD6" s="89"/>
      <c r="AE6" s="89"/>
      <c r="AF6" s="89"/>
      <c r="AG6" s="89"/>
      <c r="AH6" s="89"/>
      <c r="AI6" s="89"/>
      <c r="AJ6" s="89"/>
      <c r="AK6" s="89"/>
      <c r="AL6" s="89"/>
      <c r="AM6" s="89"/>
      <c r="AN6" s="89"/>
      <c r="AO6" s="89"/>
      <c r="AP6" s="89"/>
      <c r="AQ6" s="89"/>
      <c r="AR6" s="108" t="s">
        <v>6231</v>
      </c>
      <c r="AS6" s="108"/>
      <c r="AT6" s="108"/>
      <c r="AU6" s="108"/>
      <c r="AV6" s="108"/>
      <c r="AW6" s="108"/>
    </row>
    <row r="7" spans="1:63" ht="22.5" customHeight="1" x14ac:dyDescent="0.3">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row>
    <row r="8" spans="1:63" ht="22.5" customHeight="1" x14ac:dyDescent="0.25">
      <c r="B8" s="93" t="s">
        <v>6050</v>
      </c>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row>
    <row r="9" spans="1:63" ht="3.75" customHeight="1" x14ac:dyDescent="0.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row>
    <row r="10" spans="1:63" ht="22.5" customHeight="1" x14ac:dyDescent="0.25">
      <c r="B10" s="109" t="s">
        <v>6030</v>
      </c>
      <c r="C10" s="110"/>
      <c r="D10" s="110"/>
      <c r="E10" s="110"/>
      <c r="F10" s="110"/>
      <c r="G10" s="110"/>
      <c r="H10" s="219" t="s">
        <v>6058</v>
      </c>
      <c r="I10" s="219"/>
      <c r="J10" s="219"/>
      <c r="K10" s="219"/>
      <c r="L10" s="219"/>
      <c r="M10" s="219"/>
      <c r="N10" s="219"/>
      <c r="O10" s="219"/>
      <c r="P10" s="219"/>
      <c r="Q10" s="219"/>
      <c r="R10" s="219"/>
      <c r="S10" s="219"/>
      <c r="T10" s="110" t="s">
        <v>6051</v>
      </c>
      <c r="U10" s="110"/>
      <c r="V10" s="110"/>
      <c r="W10" s="110"/>
      <c r="X10" s="110"/>
      <c r="Y10" s="110"/>
      <c r="Z10" s="186" t="s">
        <v>6059</v>
      </c>
      <c r="AA10" s="186"/>
      <c r="AB10" s="186"/>
      <c r="AC10" s="186"/>
      <c r="AD10" s="186"/>
      <c r="AE10" s="186"/>
      <c r="AF10" s="186"/>
      <c r="AG10" s="186"/>
      <c r="AH10" s="186"/>
      <c r="AI10" s="110" t="s">
        <v>6057</v>
      </c>
      <c r="AJ10" s="110"/>
      <c r="AK10" s="110"/>
      <c r="AL10" s="110"/>
      <c r="AM10" s="110"/>
      <c r="AN10" s="110"/>
      <c r="AO10" s="184">
        <v>6682.9331513685102</v>
      </c>
      <c r="AP10" s="184"/>
      <c r="AQ10" s="184"/>
      <c r="AR10" s="184"/>
      <c r="AS10" s="184"/>
      <c r="AT10" s="184"/>
      <c r="AU10" s="184"/>
      <c r="AV10" s="184"/>
      <c r="AW10" s="185"/>
    </row>
    <row r="11" spans="1:63" ht="22.5" customHeight="1" x14ac:dyDescent="0.25">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U11" s="28"/>
    </row>
    <row r="12" spans="1:63" ht="26.25" customHeight="1" x14ac:dyDescent="0.25">
      <c r="B12" s="93" t="s">
        <v>6052</v>
      </c>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row>
    <row r="13" spans="1:63" ht="3.75" customHeight="1" x14ac:dyDescent="0.25">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row>
    <row r="14" spans="1:63" ht="22.5" customHeight="1" thickBot="1" x14ac:dyDescent="0.3">
      <c r="B14" s="134" t="s">
        <v>6053</v>
      </c>
      <c r="C14" s="134"/>
      <c r="D14" s="134"/>
      <c r="E14" s="134"/>
      <c r="F14" s="134"/>
      <c r="G14" s="134"/>
      <c r="H14" s="134"/>
      <c r="I14" s="134"/>
      <c r="J14" s="135"/>
      <c r="K14" s="135" t="s">
        <v>6054</v>
      </c>
      <c r="L14" s="135"/>
      <c r="M14" s="135"/>
      <c r="N14" s="135"/>
      <c r="O14" s="135"/>
      <c r="P14" s="135"/>
      <c r="Q14" s="135"/>
      <c r="R14" s="135"/>
      <c r="S14" s="135"/>
      <c r="T14" s="136" t="s">
        <v>43</v>
      </c>
      <c r="U14" s="174"/>
      <c r="V14" s="174"/>
      <c r="W14" s="174"/>
      <c r="X14" s="174"/>
      <c r="Y14" s="134"/>
      <c r="Z14" s="135" t="s">
        <v>6057</v>
      </c>
      <c r="AA14" s="135"/>
      <c r="AB14" s="135"/>
      <c r="AC14" s="135"/>
      <c r="AD14" s="135"/>
      <c r="AE14" s="135"/>
      <c r="AF14" s="135"/>
      <c r="AG14" s="135"/>
      <c r="AH14" s="135"/>
      <c r="AI14" s="135" t="s">
        <v>6055</v>
      </c>
      <c r="AJ14" s="135"/>
      <c r="AK14" s="135"/>
      <c r="AL14" s="135"/>
      <c r="AM14" s="135"/>
      <c r="AN14" s="135"/>
      <c r="AO14" s="135"/>
      <c r="AP14" s="135"/>
      <c r="AQ14" s="135"/>
      <c r="AR14" s="136" t="s">
        <v>6056</v>
      </c>
      <c r="AS14" s="174"/>
      <c r="AT14" s="174"/>
      <c r="AU14" s="174"/>
      <c r="AV14" s="174"/>
      <c r="AW14" s="174"/>
    </row>
    <row r="15" spans="1:63" ht="22.5" customHeight="1" thickBot="1" x14ac:dyDescent="0.3">
      <c r="B15" s="187" t="s">
        <v>6060</v>
      </c>
      <c r="C15" s="187"/>
      <c r="D15" s="187"/>
      <c r="E15" s="187"/>
      <c r="F15" s="187"/>
      <c r="G15" s="187"/>
      <c r="H15" s="187"/>
      <c r="I15" s="187"/>
      <c r="J15" s="188"/>
      <c r="K15" s="155">
        <v>73</v>
      </c>
      <c r="L15" s="155"/>
      <c r="M15" s="155"/>
      <c r="N15" s="155"/>
      <c r="O15" s="155"/>
      <c r="P15" s="155"/>
      <c r="Q15" s="155"/>
      <c r="R15" s="155"/>
      <c r="S15" s="155"/>
      <c r="T15" s="191">
        <v>2</v>
      </c>
      <c r="U15" s="192"/>
      <c r="V15" s="192"/>
      <c r="W15" s="192"/>
      <c r="X15" s="192"/>
      <c r="Y15" s="193"/>
      <c r="Z15" s="133">
        <f t="shared" ref="Z15:Z26" si="0">IF(B15&lt;&gt;"",$AO$10,"")</f>
        <v>6682.9331513685102</v>
      </c>
      <c r="AA15" s="133"/>
      <c r="AB15" s="133"/>
      <c r="AC15" s="133"/>
      <c r="AD15" s="133"/>
      <c r="AE15" s="133"/>
      <c r="AF15" s="133"/>
      <c r="AG15" s="133"/>
      <c r="AH15" s="133"/>
      <c r="AI15" s="133">
        <f>IF(K15=""," ",IF(Z15=""," ",Z15*K15))</f>
        <v>487854.12004990125</v>
      </c>
      <c r="AJ15" s="133"/>
      <c r="AK15" s="133"/>
      <c r="AL15" s="133"/>
      <c r="AM15" s="133"/>
      <c r="AN15" s="133"/>
      <c r="AO15" s="133"/>
      <c r="AP15" s="133"/>
      <c r="AQ15" s="133"/>
      <c r="AR15" s="191"/>
      <c r="AS15" s="192"/>
      <c r="AT15" s="192"/>
      <c r="AU15" s="192"/>
      <c r="AV15" s="192"/>
      <c r="AW15" s="192"/>
    </row>
    <row r="16" spans="1:63" ht="22.5" customHeight="1" thickBot="1" x14ac:dyDescent="0.3">
      <c r="B16" s="187" t="s">
        <v>6061</v>
      </c>
      <c r="C16" s="187"/>
      <c r="D16" s="187"/>
      <c r="E16" s="187"/>
      <c r="F16" s="187"/>
      <c r="G16" s="187"/>
      <c r="H16" s="187"/>
      <c r="I16" s="187"/>
      <c r="J16" s="188"/>
      <c r="K16" s="155">
        <v>70</v>
      </c>
      <c r="L16" s="155"/>
      <c r="M16" s="155"/>
      <c r="N16" s="155"/>
      <c r="O16" s="155"/>
      <c r="P16" s="155"/>
      <c r="Q16" s="155"/>
      <c r="R16" s="155"/>
      <c r="S16" s="155"/>
      <c r="T16" s="191">
        <v>2</v>
      </c>
      <c r="U16" s="192"/>
      <c r="V16" s="192"/>
      <c r="W16" s="192"/>
      <c r="X16" s="192"/>
      <c r="Y16" s="193"/>
      <c r="Z16" s="133">
        <f t="shared" si="0"/>
        <v>6682.9331513685102</v>
      </c>
      <c r="AA16" s="133"/>
      <c r="AB16" s="133"/>
      <c r="AC16" s="133"/>
      <c r="AD16" s="133"/>
      <c r="AE16" s="133"/>
      <c r="AF16" s="133"/>
      <c r="AG16" s="133"/>
      <c r="AH16" s="133"/>
      <c r="AI16" s="133">
        <f t="shared" ref="AI16:AI26" si="1">IF(K16=""," ",IF(Z16=""," ",Z16*K16))</f>
        <v>467805.3205957957</v>
      </c>
      <c r="AJ16" s="133"/>
      <c r="AK16" s="133"/>
      <c r="AL16" s="133"/>
      <c r="AM16" s="133"/>
      <c r="AN16" s="133"/>
      <c r="AO16" s="133"/>
      <c r="AP16" s="133"/>
      <c r="AQ16" s="133"/>
      <c r="AR16" s="191"/>
      <c r="AS16" s="192"/>
      <c r="AT16" s="192"/>
      <c r="AU16" s="192"/>
      <c r="AV16" s="192"/>
      <c r="AW16" s="192"/>
    </row>
    <row r="17" spans="2:49" ht="22.5" customHeight="1" thickBot="1" x14ac:dyDescent="0.3">
      <c r="B17" s="187" t="s">
        <v>6062</v>
      </c>
      <c r="C17" s="187"/>
      <c r="D17" s="187"/>
      <c r="E17" s="187"/>
      <c r="F17" s="187"/>
      <c r="G17" s="187"/>
      <c r="H17" s="187"/>
      <c r="I17" s="187"/>
      <c r="J17" s="188"/>
      <c r="K17" s="155">
        <v>73</v>
      </c>
      <c r="L17" s="155"/>
      <c r="M17" s="155"/>
      <c r="N17" s="155"/>
      <c r="O17" s="155"/>
      <c r="P17" s="155"/>
      <c r="Q17" s="155"/>
      <c r="R17" s="155"/>
      <c r="S17" s="155"/>
      <c r="T17" s="191">
        <v>2</v>
      </c>
      <c r="U17" s="192"/>
      <c r="V17" s="192"/>
      <c r="W17" s="192"/>
      <c r="X17" s="192"/>
      <c r="Y17" s="193"/>
      <c r="Z17" s="133">
        <f t="shared" si="0"/>
        <v>6682.9331513685102</v>
      </c>
      <c r="AA17" s="133"/>
      <c r="AB17" s="133"/>
      <c r="AC17" s="133"/>
      <c r="AD17" s="133"/>
      <c r="AE17" s="133"/>
      <c r="AF17" s="133"/>
      <c r="AG17" s="133"/>
      <c r="AH17" s="133"/>
      <c r="AI17" s="133">
        <f t="shared" si="1"/>
        <v>487854.12004990125</v>
      </c>
      <c r="AJ17" s="133"/>
      <c r="AK17" s="133"/>
      <c r="AL17" s="133"/>
      <c r="AM17" s="133"/>
      <c r="AN17" s="133"/>
      <c r="AO17" s="133"/>
      <c r="AP17" s="133"/>
      <c r="AQ17" s="133"/>
      <c r="AR17" s="191"/>
      <c r="AS17" s="192"/>
      <c r="AT17" s="192"/>
      <c r="AU17" s="192"/>
      <c r="AV17" s="192"/>
      <c r="AW17" s="192"/>
    </row>
    <row r="18" spans="2:49" ht="22.5" customHeight="1" thickBot="1" x14ac:dyDescent="0.3">
      <c r="B18" s="187" t="s">
        <v>6063</v>
      </c>
      <c r="C18" s="187"/>
      <c r="D18" s="187"/>
      <c r="E18" s="187"/>
      <c r="F18" s="187"/>
      <c r="G18" s="187"/>
      <c r="H18" s="187"/>
      <c r="I18" s="187"/>
      <c r="J18" s="188"/>
      <c r="K18" s="155">
        <v>70</v>
      </c>
      <c r="L18" s="155"/>
      <c r="M18" s="155"/>
      <c r="N18" s="155"/>
      <c r="O18" s="155"/>
      <c r="P18" s="155"/>
      <c r="Q18" s="155"/>
      <c r="R18" s="155"/>
      <c r="S18" s="155"/>
      <c r="T18" s="191">
        <v>2</v>
      </c>
      <c r="U18" s="192"/>
      <c r="V18" s="192"/>
      <c r="W18" s="192"/>
      <c r="X18" s="192"/>
      <c r="Y18" s="193"/>
      <c r="Z18" s="133">
        <f t="shared" si="0"/>
        <v>6682.9331513685102</v>
      </c>
      <c r="AA18" s="133"/>
      <c r="AB18" s="133"/>
      <c r="AC18" s="133"/>
      <c r="AD18" s="133"/>
      <c r="AE18" s="133"/>
      <c r="AF18" s="133"/>
      <c r="AG18" s="133"/>
      <c r="AH18" s="133"/>
      <c r="AI18" s="133">
        <f t="shared" si="1"/>
        <v>467805.3205957957</v>
      </c>
      <c r="AJ18" s="133"/>
      <c r="AK18" s="133"/>
      <c r="AL18" s="133"/>
      <c r="AM18" s="133"/>
      <c r="AN18" s="133"/>
      <c r="AO18" s="133"/>
      <c r="AP18" s="133"/>
      <c r="AQ18" s="133"/>
      <c r="AR18" s="191"/>
      <c r="AS18" s="192"/>
      <c r="AT18" s="192"/>
      <c r="AU18" s="192"/>
      <c r="AV18" s="192"/>
      <c r="AW18" s="192"/>
    </row>
    <row r="19" spans="2:49" ht="22.5" customHeight="1" thickBot="1" x14ac:dyDescent="0.3">
      <c r="B19" s="187" t="s">
        <v>6064</v>
      </c>
      <c r="C19" s="187"/>
      <c r="D19" s="187"/>
      <c r="E19" s="187"/>
      <c r="F19" s="187"/>
      <c r="G19" s="187"/>
      <c r="H19" s="187"/>
      <c r="I19" s="187"/>
      <c r="J19" s="188"/>
      <c r="K19" s="155">
        <v>73</v>
      </c>
      <c r="L19" s="155"/>
      <c r="M19" s="155"/>
      <c r="N19" s="155"/>
      <c r="O19" s="155"/>
      <c r="P19" s="155"/>
      <c r="Q19" s="155"/>
      <c r="R19" s="155"/>
      <c r="S19" s="155"/>
      <c r="T19" s="191">
        <v>2</v>
      </c>
      <c r="U19" s="192"/>
      <c r="V19" s="192"/>
      <c r="W19" s="192"/>
      <c r="X19" s="192"/>
      <c r="Y19" s="193"/>
      <c r="Z19" s="133">
        <f t="shared" si="0"/>
        <v>6682.9331513685102</v>
      </c>
      <c r="AA19" s="133"/>
      <c r="AB19" s="133"/>
      <c r="AC19" s="133"/>
      <c r="AD19" s="133"/>
      <c r="AE19" s="133"/>
      <c r="AF19" s="133"/>
      <c r="AG19" s="133"/>
      <c r="AH19" s="133"/>
      <c r="AI19" s="133">
        <f t="shared" si="1"/>
        <v>487854.12004990125</v>
      </c>
      <c r="AJ19" s="133"/>
      <c r="AK19" s="133"/>
      <c r="AL19" s="133"/>
      <c r="AM19" s="133"/>
      <c r="AN19" s="133"/>
      <c r="AO19" s="133"/>
      <c r="AP19" s="133"/>
      <c r="AQ19" s="133"/>
      <c r="AR19" s="191"/>
      <c r="AS19" s="192"/>
      <c r="AT19" s="192"/>
      <c r="AU19" s="192"/>
      <c r="AV19" s="192"/>
      <c r="AW19" s="192"/>
    </row>
    <row r="20" spans="2:49" ht="22.5" customHeight="1" thickBot="1" x14ac:dyDescent="0.3">
      <c r="B20" s="187" t="s">
        <v>6065</v>
      </c>
      <c r="C20" s="187"/>
      <c r="D20" s="187"/>
      <c r="E20" s="187"/>
      <c r="F20" s="187"/>
      <c r="G20" s="187"/>
      <c r="H20" s="187"/>
      <c r="I20" s="187"/>
      <c r="J20" s="188"/>
      <c r="K20" s="155">
        <v>70</v>
      </c>
      <c r="L20" s="155"/>
      <c r="M20" s="155"/>
      <c r="N20" s="155"/>
      <c r="O20" s="155"/>
      <c r="P20" s="155"/>
      <c r="Q20" s="155"/>
      <c r="R20" s="155"/>
      <c r="S20" s="155"/>
      <c r="T20" s="191">
        <v>2</v>
      </c>
      <c r="U20" s="192"/>
      <c r="V20" s="192"/>
      <c r="W20" s="192"/>
      <c r="X20" s="192"/>
      <c r="Y20" s="193"/>
      <c r="Z20" s="133">
        <f t="shared" si="0"/>
        <v>6682.9331513685102</v>
      </c>
      <c r="AA20" s="133"/>
      <c r="AB20" s="133"/>
      <c r="AC20" s="133"/>
      <c r="AD20" s="133"/>
      <c r="AE20" s="133"/>
      <c r="AF20" s="133"/>
      <c r="AG20" s="133"/>
      <c r="AH20" s="133"/>
      <c r="AI20" s="133">
        <f t="shared" si="1"/>
        <v>467805.3205957957</v>
      </c>
      <c r="AJ20" s="133"/>
      <c r="AK20" s="133"/>
      <c r="AL20" s="133"/>
      <c r="AM20" s="133"/>
      <c r="AN20" s="133"/>
      <c r="AO20" s="133"/>
      <c r="AP20" s="133"/>
      <c r="AQ20" s="133"/>
      <c r="AR20" s="191"/>
      <c r="AS20" s="192"/>
      <c r="AT20" s="192"/>
      <c r="AU20" s="192"/>
      <c r="AV20" s="192"/>
      <c r="AW20" s="192"/>
    </row>
    <row r="21" spans="2:49" ht="22.5" customHeight="1" thickBot="1" x14ac:dyDescent="0.3">
      <c r="B21" s="187" t="s">
        <v>6066</v>
      </c>
      <c r="C21" s="187"/>
      <c r="D21" s="187"/>
      <c r="E21" s="187"/>
      <c r="F21" s="187"/>
      <c r="G21" s="187"/>
      <c r="H21" s="187"/>
      <c r="I21" s="187"/>
      <c r="J21" s="188"/>
      <c r="K21" s="155">
        <v>73</v>
      </c>
      <c r="L21" s="155"/>
      <c r="M21" s="155"/>
      <c r="N21" s="155"/>
      <c r="O21" s="155"/>
      <c r="P21" s="155"/>
      <c r="Q21" s="155"/>
      <c r="R21" s="155"/>
      <c r="S21" s="155"/>
      <c r="T21" s="191">
        <v>2</v>
      </c>
      <c r="U21" s="192"/>
      <c r="V21" s="192"/>
      <c r="W21" s="192"/>
      <c r="X21" s="192"/>
      <c r="Y21" s="193"/>
      <c r="Z21" s="133">
        <f t="shared" si="0"/>
        <v>6682.9331513685102</v>
      </c>
      <c r="AA21" s="133"/>
      <c r="AB21" s="133"/>
      <c r="AC21" s="133"/>
      <c r="AD21" s="133"/>
      <c r="AE21" s="133"/>
      <c r="AF21" s="133"/>
      <c r="AG21" s="133"/>
      <c r="AH21" s="133"/>
      <c r="AI21" s="133">
        <f t="shared" si="1"/>
        <v>487854.12004990125</v>
      </c>
      <c r="AJ21" s="133"/>
      <c r="AK21" s="133"/>
      <c r="AL21" s="133"/>
      <c r="AM21" s="133"/>
      <c r="AN21" s="133"/>
      <c r="AO21" s="133"/>
      <c r="AP21" s="133"/>
      <c r="AQ21" s="133"/>
      <c r="AR21" s="191"/>
      <c r="AS21" s="192"/>
      <c r="AT21" s="192"/>
      <c r="AU21" s="192"/>
      <c r="AV21" s="192"/>
      <c r="AW21" s="192"/>
    </row>
    <row r="22" spans="2:49" ht="22.5" customHeight="1" thickBot="1" x14ac:dyDescent="0.3">
      <c r="B22" s="187" t="s">
        <v>6067</v>
      </c>
      <c r="C22" s="187"/>
      <c r="D22" s="187"/>
      <c r="E22" s="187"/>
      <c r="F22" s="187"/>
      <c r="G22" s="187"/>
      <c r="H22" s="187"/>
      <c r="I22" s="187"/>
      <c r="J22" s="188"/>
      <c r="K22" s="155">
        <v>70</v>
      </c>
      <c r="L22" s="155"/>
      <c r="M22" s="155"/>
      <c r="N22" s="155"/>
      <c r="O22" s="155"/>
      <c r="P22" s="155"/>
      <c r="Q22" s="155"/>
      <c r="R22" s="155"/>
      <c r="S22" s="155"/>
      <c r="T22" s="191">
        <v>2</v>
      </c>
      <c r="U22" s="192"/>
      <c r="V22" s="192"/>
      <c r="W22" s="192"/>
      <c r="X22" s="192"/>
      <c r="Y22" s="193"/>
      <c r="Z22" s="133">
        <f t="shared" si="0"/>
        <v>6682.9331513685102</v>
      </c>
      <c r="AA22" s="133"/>
      <c r="AB22" s="133"/>
      <c r="AC22" s="133"/>
      <c r="AD22" s="133"/>
      <c r="AE22" s="133"/>
      <c r="AF22" s="133"/>
      <c r="AG22" s="133"/>
      <c r="AH22" s="133"/>
      <c r="AI22" s="133">
        <f t="shared" si="1"/>
        <v>467805.3205957957</v>
      </c>
      <c r="AJ22" s="133"/>
      <c r="AK22" s="133"/>
      <c r="AL22" s="133"/>
      <c r="AM22" s="133"/>
      <c r="AN22" s="133"/>
      <c r="AO22" s="133"/>
      <c r="AP22" s="133"/>
      <c r="AQ22" s="133"/>
      <c r="AR22" s="191"/>
      <c r="AS22" s="192"/>
      <c r="AT22" s="192"/>
      <c r="AU22" s="192"/>
      <c r="AV22" s="192"/>
      <c r="AW22" s="192"/>
    </row>
    <row r="23" spans="2:49" ht="22.5" customHeight="1" thickBot="1" x14ac:dyDescent="0.3">
      <c r="B23" s="187" t="s">
        <v>6068</v>
      </c>
      <c r="C23" s="187"/>
      <c r="D23" s="187"/>
      <c r="E23" s="187"/>
      <c r="F23" s="187"/>
      <c r="G23" s="187"/>
      <c r="H23" s="187"/>
      <c r="I23" s="187"/>
      <c r="J23" s="188"/>
      <c r="K23" s="155">
        <v>73</v>
      </c>
      <c r="L23" s="155"/>
      <c r="M23" s="155"/>
      <c r="N23" s="155"/>
      <c r="O23" s="155"/>
      <c r="P23" s="155"/>
      <c r="Q23" s="155"/>
      <c r="R23" s="155"/>
      <c r="S23" s="155"/>
      <c r="T23" s="191">
        <v>2</v>
      </c>
      <c r="U23" s="192"/>
      <c r="V23" s="192"/>
      <c r="W23" s="192"/>
      <c r="X23" s="192"/>
      <c r="Y23" s="193"/>
      <c r="Z23" s="133">
        <f t="shared" si="0"/>
        <v>6682.9331513685102</v>
      </c>
      <c r="AA23" s="133"/>
      <c r="AB23" s="133"/>
      <c r="AC23" s="133"/>
      <c r="AD23" s="133"/>
      <c r="AE23" s="133"/>
      <c r="AF23" s="133"/>
      <c r="AG23" s="133"/>
      <c r="AH23" s="133"/>
      <c r="AI23" s="133">
        <f t="shared" si="1"/>
        <v>487854.12004990125</v>
      </c>
      <c r="AJ23" s="133"/>
      <c r="AK23" s="133"/>
      <c r="AL23" s="133"/>
      <c r="AM23" s="133"/>
      <c r="AN23" s="133"/>
      <c r="AO23" s="133"/>
      <c r="AP23" s="133"/>
      <c r="AQ23" s="133"/>
      <c r="AR23" s="191"/>
      <c r="AS23" s="192"/>
      <c r="AT23" s="192"/>
      <c r="AU23" s="192"/>
      <c r="AV23" s="192"/>
      <c r="AW23" s="192"/>
    </row>
    <row r="24" spans="2:49" ht="22.5" customHeight="1" thickBot="1" x14ac:dyDescent="0.3">
      <c r="B24" s="187" t="s">
        <v>6069</v>
      </c>
      <c r="C24" s="187"/>
      <c r="D24" s="187"/>
      <c r="E24" s="187"/>
      <c r="F24" s="187"/>
      <c r="G24" s="187"/>
      <c r="H24" s="187"/>
      <c r="I24" s="187"/>
      <c r="J24" s="188"/>
      <c r="K24" s="155">
        <v>70</v>
      </c>
      <c r="L24" s="155"/>
      <c r="M24" s="155"/>
      <c r="N24" s="155"/>
      <c r="O24" s="155"/>
      <c r="P24" s="155"/>
      <c r="Q24" s="155"/>
      <c r="R24" s="155"/>
      <c r="S24" s="155"/>
      <c r="T24" s="191">
        <v>2</v>
      </c>
      <c r="U24" s="192"/>
      <c r="V24" s="192"/>
      <c r="W24" s="192"/>
      <c r="X24" s="192"/>
      <c r="Y24" s="193"/>
      <c r="Z24" s="133">
        <f t="shared" si="0"/>
        <v>6682.9331513685102</v>
      </c>
      <c r="AA24" s="133"/>
      <c r="AB24" s="133"/>
      <c r="AC24" s="133"/>
      <c r="AD24" s="133"/>
      <c r="AE24" s="133"/>
      <c r="AF24" s="133"/>
      <c r="AG24" s="133"/>
      <c r="AH24" s="133"/>
      <c r="AI24" s="133">
        <f t="shared" si="1"/>
        <v>467805.3205957957</v>
      </c>
      <c r="AJ24" s="133"/>
      <c r="AK24" s="133"/>
      <c r="AL24" s="133"/>
      <c r="AM24" s="133"/>
      <c r="AN24" s="133"/>
      <c r="AO24" s="133"/>
      <c r="AP24" s="133"/>
      <c r="AQ24" s="133"/>
      <c r="AR24" s="191"/>
      <c r="AS24" s="192"/>
      <c r="AT24" s="192"/>
      <c r="AU24" s="192"/>
      <c r="AV24" s="192"/>
      <c r="AW24" s="192"/>
    </row>
    <row r="25" spans="2:49" ht="22.5" customHeight="1" thickBot="1" x14ac:dyDescent="0.3">
      <c r="B25" s="187"/>
      <c r="C25" s="187"/>
      <c r="D25" s="187"/>
      <c r="E25" s="187"/>
      <c r="F25" s="187"/>
      <c r="G25" s="187"/>
      <c r="H25" s="187"/>
      <c r="I25" s="187"/>
      <c r="J25" s="188"/>
      <c r="K25" s="155"/>
      <c r="L25" s="155"/>
      <c r="M25" s="155"/>
      <c r="N25" s="155"/>
      <c r="O25" s="155"/>
      <c r="P25" s="155"/>
      <c r="Q25" s="155"/>
      <c r="R25" s="155"/>
      <c r="S25" s="155"/>
      <c r="T25" s="191"/>
      <c r="U25" s="192"/>
      <c r="V25" s="192"/>
      <c r="W25" s="192"/>
      <c r="X25" s="192"/>
      <c r="Y25" s="193"/>
      <c r="Z25" s="133" t="str">
        <f t="shared" si="0"/>
        <v/>
      </c>
      <c r="AA25" s="133"/>
      <c r="AB25" s="133"/>
      <c r="AC25" s="133"/>
      <c r="AD25" s="133"/>
      <c r="AE25" s="133"/>
      <c r="AF25" s="133"/>
      <c r="AG25" s="133"/>
      <c r="AH25" s="133"/>
      <c r="AI25" s="133" t="str">
        <f t="shared" si="1"/>
        <v xml:space="preserve"> </v>
      </c>
      <c r="AJ25" s="133"/>
      <c r="AK25" s="133"/>
      <c r="AL25" s="133"/>
      <c r="AM25" s="133"/>
      <c r="AN25" s="133"/>
      <c r="AO25" s="133"/>
      <c r="AP25" s="133"/>
      <c r="AQ25" s="133"/>
      <c r="AR25" s="191"/>
      <c r="AS25" s="192"/>
      <c r="AT25" s="192"/>
      <c r="AU25" s="192"/>
      <c r="AV25" s="192"/>
      <c r="AW25" s="192"/>
    </row>
    <row r="26" spans="2:49" ht="22.5" customHeight="1" x14ac:dyDescent="0.25">
      <c r="B26" s="189"/>
      <c r="C26" s="189"/>
      <c r="D26" s="189"/>
      <c r="E26" s="189"/>
      <c r="F26" s="189"/>
      <c r="G26" s="189"/>
      <c r="H26" s="189"/>
      <c r="I26" s="189"/>
      <c r="J26" s="190"/>
      <c r="K26" s="170"/>
      <c r="L26" s="170"/>
      <c r="M26" s="170"/>
      <c r="N26" s="170"/>
      <c r="O26" s="170"/>
      <c r="P26" s="170"/>
      <c r="Q26" s="170"/>
      <c r="R26" s="170"/>
      <c r="S26" s="170"/>
      <c r="T26" s="194"/>
      <c r="U26" s="195"/>
      <c r="V26" s="195"/>
      <c r="W26" s="195"/>
      <c r="X26" s="195"/>
      <c r="Y26" s="196"/>
      <c r="Z26" s="115" t="str">
        <f t="shared" si="0"/>
        <v/>
      </c>
      <c r="AA26" s="115"/>
      <c r="AB26" s="115"/>
      <c r="AC26" s="115"/>
      <c r="AD26" s="115"/>
      <c r="AE26" s="115"/>
      <c r="AF26" s="115"/>
      <c r="AG26" s="115"/>
      <c r="AH26" s="115"/>
      <c r="AI26" s="115" t="str">
        <f t="shared" si="1"/>
        <v xml:space="preserve"> </v>
      </c>
      <c r="AJ26" s="115"/>
      <c r="AK26" s="115"/>
      <c r="AL26" s="115"/>
      <c r="AM26" s="115"/>
      <c r="AN26" s="115"/>
      <c r="AO26" s="115"/>
      <c r="AP26" s="115"/>
      <c r="AQ26" s="115"/>
      <c r="AR26" s="194"/>
      <c r="AS26" s="195"/>
      <c r="AT26" s="195"/>
      <c r="AU26" s="195"/>
      <c r="AV26" s="195"/>
      <c r="AW26" s="195"/>
    </row>
    <row r="27" spans="2:49" ht="22.5" customHeight="1" x14ac:dyDescent="0.25"/>
    <row r="28" spans="2:49" ht="26.25" customHeight="1" x14ac:dyDescent="0.25">
      <c r="B28" s="93" t="s">
        <v>6070</v>
      </c>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241" t="s">
        <v>6086</v>
      </c>
      <c r="AJ28" s="241"/>
      <c r="AK28" s="241"/>
      <c r="AL28" s="241"/>
      <c r="AM28" s="241"/>
      <c r="AN28" s="241"/>
      <c r="AO28" s="241"/>
      <c r="AP28" s="241"/>
      <c r="AQ28" s="241"/>
      <c r="AR28" s="238" t="s">
        <v>6087</v>
      </c>
      <c r="AS28" s="239"/>
      <c r="AT28" s="239"/>
      <c r="AU28" s="239"/>
      <c r="AV28" s="239"/>
      <c r="AW28" s="240"/>
    </row>
    <row r="29" spans="2:49" ht="3.75" customHeight="1" x14ac:dyDescent="0.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row>
    <row r="30" spans="2:49" ht="22.5" customHeight="1" x14ac:dyDescent="0.25">
      <c r="B30" s="205" t="s">
        <v>6071</v>
      </c>
      <c r="C30" s="205"/>
      <c r="D30" s="205"/>
      <c r="E30" s="109"/>
      <c r="F30" s="220">
        <v>45170</v>
      </c>
      <c r="G30" s="221"/>
      <c r="H30" s="221"/>
      <c r="I30" s="222"/>
      <c r="J30" s="210">
        <f>IF(F30="","",F30)</f>
        <v>45170</v>
      </c>
      <c r="K30" s="208">
        <f>IFERROR(DATE(YEAR(J30),IF($AR$28="MENSAL",MONTH(J30)+1,MONTH(J30)+2),1),"")</f>
        <v>45200</v>
      </c>
      <c r="L30" s="208">
        <f t="shared" ref="L30:AW30" si="2">IFERROR(DATE(YEAR(K30),IF($AR$28="MENSAL",MONTH(K30)+1,MONTH(K30)+2),1),"")</f>
        <v>45231</v>
      </c>
      <c r="M30" s="208">
        <f t="shared" si="2"/>
        <v>45261</v>
      </c>
      <c r="N30" s="208">
        <f t="shared" si="2"/>
        <v>45292</v>
      </c>
      <c r="O30" s="208">
        <f t="shared" si="2"/>
        <v>45323</v>
      </c>
      <c r="P30" s="208">
        <f t="shared" si="2"/>
        <v>45352</v>
      </c>
      <c r="Q30" s="208">
        <f t="shared" si="2"/>
        <v>45383</v>
      </c>
      <c r="R30" s="208">
        <f t="shared" si="2"/>
        <v>45413</v>
      </c>
      <c r="S30" s="208">
        <f t="shared" si="2"/>
        <v>45444</v>
      </c>
      <c r="T30" s="208">
        <f t="shared" si="2"/>
        <v>45474</v>
      </c>
      <c r="U30" s="208">
        <f t="shared" si="2"/>
        <v>45505</v>
      </c>
      <c r="V30" s="208">
        <f t="shared" si="2"/>
        <v>45536</v>
      </c>
      <c r="W30" s="208">
        <f t="shared" si="2"/>
        <v>45566</v>
      </c>
      <c r="X30" s="208">
        <f t="shared" si="2"/>
        <v>45597</v>
      </c>
      <c r="Y30" s="208">
        <f t="shared" si="2"/>
        <v>45627</v>
      </c>
      <c r="Z30" s="208">
        <f t="shared" si="2"/>
        <v>45658</v>
      </c>
      <c r="AA30" s="208">
        <f t="shared" si="2"/>
        <v>45689</v>
      </c>
      <c r="AB30" s="208">
        <f t="shared" si="2"/>
        <v>45717</v>
      </c>
      <c r="AC30" s="208">
        <f t="shared" si="2"/>
        <v>45748</v>
      </c>
      <c r="AD30" s="208">
        <f t="shared" si="2"/>
        <v>45778</v>
      </c>
      <c r="AE30" s="208">
        <f t="shared" si="2"/>
        <v>45809</v>
      </c>
      <c r="AF30" s="208">
        <f t="shared" si="2"/>
        <v>45839</v>
      </c>
      <c r="AG30" s="208">
        <f t="shared" si="2"/>
        <v>45870</v>
      </c>
      <c r="AH30" s="208">
        <f t="shared" si="2"/>
        <v>45901</v>
      </c>
      <c r="AI30" s="208">
        <f t="shared" si="2"/>
        <v>45931</v>
      </c>
      <c r="AJ30" s="208">
        <f t="shared" si="2"/>
        <v>45962</v>
      </c>
      <c r="AK30" s="208">
        <f t="shared" si="2"/>
        <v>45992</v>
      </c>
      <c r="AL30" s="208">
        <f t="shared" si="2"/>
        <v>46023</v>
      </c>
      <c r="AM30" s="208">
        <f t="shared" si="2"/>
        <v>46054</v>
      </c>
      <c r="AN30" s="208">
        <f t="shared" si="2"/>
        <v>46082</v>
      </c>
      <c r="AO30" s="208">
        <f t="shared" si="2"/>
        <v>46113</v>
      </c>
      <c r="AP30" s="208">
        <f t="shared" si="2"/>
        <v>46143</v>
      </c>
      <c r="AQ30" s="208">
        <f t="shared" si="2"/>
        <v>46174</v>
      </c>
      <c r="AR30" s="208">
        <f t="shared" si="2"/>
        <v>46204</v>
      </c>
      <c r="AS30" s="208">
        <f t="shared" si="2"/>
        <v>46235</v>
      </c>
      <c r="AT30" s="208">
        <f t="shared" si="2"/>
        <v>46266</v>
      </c>
      <c r="AU30" s="208">
        <f t="shared" si="2"/>
        <v>46296</v>
      </c>
      <c r="AV30" s="208">
        <f t="shared" si="2"/>
        <v>46327</v>
      </c>
      <c r="AW30" s="251">
        <f t="shared" si="2"/>
        <v>46357</v>
      </c>
    </row>
    <row r="31" spans="2:49" ht="3.75" customHeight="1" x14ac:dyDescent="0.3">
      <c r="B31" s="55"/>
      <c r="C31" s="55"/>
      <c r="D31" s="55"/>
      <c r="E31" s="55"/>
      <c r="F31" s="71"/>
      <c r="G31" s="71"/>
      <c r="H31" s="71"/>
      <c r="I31" s="72"/>
      <c r="J31" s="210"/>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51"/>
    </row>
    <row r="32" spans="2:49" ht="22.5" customHeight="1" x14ac:dyDescent="0.25">
      <c r="B32" s="205" t="s">
        <v>6072</v>
      </c>
      <c r="C32" s="205"/>
      <c r="D32" s="205"/>
      <c r="E32" s="109"/>
      <c r="F32" s="223">
        <v>6</v>
      </c>
      <c r="G32" s="224"/>
      <c r="H32" s="224"/>
      <c r="I32" s="225"/>
      <c r="J32" s="210"/>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51"/>
    </row>
    <row r="33" spans="2:53" ht="3.75" customHeight="1" x14ac:dyDescent="0.3">
      <c r="B33" s="55"/>
      <c r="C33" s="55"/>
      <c r="D33" s="55"/>
      <c r="E33" s="55"/>
      <c r="F33" s="53"/>
      <c r="G33" s="53"/>
      <c r="H33" s="53"/>
      <c r="I33" s="56"/>
      <c r="J33" s="210"/>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51"/>
    </row>
    <row r="34" spans="2:53" ht="22.5" customHeight="1" thickBot="1" x14ac:dyDescent="0.3">
      <c r="B34" s="134" t="s">
        <v>6031</v>
      </c>
      <c r="C34" s="135"/>
      <c r="D34" s="135"/>
      <c r="E34" s="135"/>
      <c r="F34" s="135" t="s">
        <v>6078</v>
      </c>
      <c r="G34" s="135"/>
      <c r="H34" s="135"/>
      <c r="I34" s="226"/>
      <c r="J34" s="211"/>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52"/>
      <c r="AY34" s="49" t="s">
        <v>6079</v>
      </c>
      <c r="AZ34" s="49" t="s">
        <v>6080</v>
      </c>
    </row>
    <row r="35" spans="2:53" ht="22.5" customHeight="1" thickBot="1" x14ac:dyDescent="0.3">
      <c r="B35" s="206" t="s">
        <v>6073</v>
      </c>
      <c r="C35" s="207"/>
      <c r="D35" s="207"/>
      <c r="E35" s="207"/>
      <c r="F35" s="227">
        <v>2</v>
      </c>
      <c r="G35" s="227"/>
      <c r="H35" s="227"/>
      <c r="I35" s="228"/>
      <c r="J35" s="57">
        <f>IF(AND(J$30&gt;=$AY35,J$30&lt;=$AZ35),1,0)</f>
        <v>1</v>
      </c>
      <c r="K35" s="58">
        <f t="shared" ref="K35:Z39" si="3">IF(AND(K$30&gt;=$AY35,K$30&lt;=$AZ35),1,0)</f>
        <v>1</v>
      </c>
      <c r="L35" s="58">
        <f t="shared" si="3"/>
        <v>0</v>
      </c>
      <c r="M35" s="58">
        <f t="shared" si="3"/>
        <v>0</v>
      </c>
      <c r="N35" s="58">
        <f t="shared" si="3"/>
        <v>0</v>
      </c>
      <c r="O35" s="58">
        <f t="shared" si="3"/>
        <v>0</v>
      </c>
      <c r="P35" s="58">
        <f t="shared" si="3"/>
        <v>0</v>
      </c>
      <c r="Q35" s="58">
        <f t="shared" si="3"/>
        <v>0</v>
      </c>
      <c r="R35" s="58">
        <f t="shared" si="3"/>
        <v>0</v>
      </c>
      <c r="S35" s="58">
        <f t="shared" si="3"/>
        <v>0</v>
      </c>
      <c r="T35" s="58">
        <f t="shared" si="3"/>
        <v>0</v>
      </c>
      <c r="U35" s="58">
        <f t="shared" si="3"/>
        <v>0</v>
      </c>
      <c r="V35" s="58">
        <f t="shared" si="3"/>
        <v>0</v>
      </c>
      <c r="W35" s="58">
        <f t="shared" si="3"/>
        <v>0</v>
      </c>
      <c r="X35" s="58">
        <f t="shared" si="3"/>
        <v>0</v>
      </c>
      <c r="Y35" s="58">
        <f t="shared" si="3"/>
        <v>0</v>
      </c>
      <c r="Z35" s="58">
        <f t="shared" si="3"/>
        <v>0</v>
      </c>
      <c r="AA35" s="58">
        <f t="shared" ref="AA35:AP39" si="4">IF(AND(AA$30&gt;=$AY35,AA$30&lt;=$AZ35),1,0)</f>
        <v>0</v>
      </c>
      <c r="AB35" s="58">
        <f t="shared" si="4"/>
        <v>0</v>
      </c>
      <c r="AC35" s="58">
        <f t="shared" si="4"/>
        <v>0</v>
      </c>
      <c r="AD35" s="58">
        <f t="shared" si="4"/>
        <v>0</v>
      </c>
      <c r="AE35" s="58">
        <f t="shared" si="4"/>
        <v>0</v>
      </c>
      <c r="AF35" s="58">
        <f t="shared" si="4"/>
        <v>0</v>
      </c>
      <c r="AG35" s="58">
        <f t="shared" si="4"/>
        <v>0</v>
      </c>
      <c r="AH35" s="58">
        <f t="shared" si="4"/>
        <v>0</v>
      </c>
      <c r="AI35" s="58">
        <f t="shared" si="4"/>
        <v>0</v>
      </c>
      <c r="AJ35" s="58">
        <f t="shared" si="4"/>
        <v>0</v>
      </c>
      <c r="AK35" s="58">
        <f t="shared" si="4"/>
        <v>0</v>
      </c>
      <c r="AL35" s="58">
        <f t="shared" si="4"/>
        <v>0</v>
      </c>
      <c r="AM35" s="58">
        <f t="shared" si="4"/>
        <v>0</v>
      </c>
      <c r="AN35" s="58">
        <f t="shared" si="4"/>
        <v>0</v>
      </c>
      <c r="AO35" s="58">
        <f t="shared" si="4"/>
        <v>0</v>
      </c>
      <c r="AP35" s="58">
        <f t="shared" si="4"/>
        <v>0</v>
      </c>
      <c r="AQ35" s="58">
        <f t="shared" ref="AQ35:AW39" si="5">IF(AND(AQ$30&gt;=$AY35,AQ$30&lt;=$AZ35),1,0)</f>
        <v>0</v>
      </c>
      <c r="AR35" s="58">
        <f t="shared" si="5"/>
        <v>0</v>
      </c>
      <c r="AS35" s="58">
        <f t="shared" si="5"/>
        <v>0</v>
      </c>
      <c r="AT35" s="58">
        <f t="shared" si="5"/>
        <v>0</v>
      </c>
      <c r="AU35" s="58">
        <f t="shared" si="5"/>
        <v>0</v>
      </c>
      <c r="AV35" s="58">
        <f t="shared" si="5"/>
        <v>0</v>
      </c>
      <c r="AW35" s="59">
        <f t="shared" si="5"/>
        <v>0</v>
      </c>
      <c r="AY35" s="50">
        <f>F30</f>
        <v>45170</v>
      </c>
      <c r="AZ35" s="50">
        <f>DATE(YEAR(AY35),MONTH(AY35)+F35-1,1)</f>
        <v>45200</v>
      </c>
      <c r="BA35" s="51"/>
    </row>
    <row r="36" spans="2:53" ht="22.5" customHeight="1" thickBot="1" x14ac:dyDescent="0.3">
      <c r="B36" s="201" t="s">
        <v>6074</v>
      </c>
      <c r="C36" s="202"/>
      <c r="D36" s="202"/>
      <c r="E36" s="202"/>
      <c r="F36" s="197">
        <v>2</v>
      </c>
      <c r="G36" s="197"/>
      <c r="H36" s="197"/>
      <c r="I36" s="198"/>
      <c r="J36" s="57">
        <f t="shared" ref="J36:J39" si="6">IF(AND(J$30&gt;=$AY36,J$30&lt;=$AZ36),1,0)</f>
        <v>0</v>
      </c>
      <c r="K36" s="58">
        <f t="shared" si="3"/>
        <v>0</v>
      </c>
      <c r="L36" s="58">
        <f t="shared" si="3"/>
        <v>1</v>
      </c>
      <c r="M36" s="58">
        <f t="shared" si="3"/>
        <v>1</v>
      </c>
      <c r="N36" s="58">
        <f t="shared" si="3"/>
        <v>0</v>
      </c>
      <c r="O36" s="58">
        <f t="shared" si="3"/>
        <v>0</v>
      </c>
      <c r="P36" s="58">
        <f t="shared" si="3"/>
        <v>0</v>
      </c>
      <c r="Q36" s="58">
        <f t="shared" si="3"/>
        <v>0</v>
      </c>
      <c r="R36" s="58">
        <f t="shared" si="3"/>
        <v>0</v>
      </c>
      <c r="S36" s="58">
        <f t="shared" si="3"/>
        <v>0</v>
      </c>
      <c r="T36" s="58">
        <f t="shared" si="3"/>
        <v>0</v>
      </c>
      <c r="U36" s="58">
        <f t="shared" si="3"/>
        <v>0</v>
      </c>
      <c r="V36" s="58">
        <f t="shared" si="3"/>
        <v>0</v>
      </c>
      <c r="W36" s="58">
        <f t="shared" si="3"/>
        <v>0</v>
      </c>
      <c r="X36" s="58">
        <f t="shared" si="3"/>
        <v>0</v>
      </c>
      <c r="Y36" s="58">
        <f t="shared" si="3"/>
        <v>0</v>
      </c>
      <c r="Z36" s="58">
        <f t="shared" si="3"/>
        <v>0</v>
      </c>
      <c r="AA36" s="58">
        <f t="shared" si="4"/>
        <v>0</v>
      </c>
      <c r="AB36" s="58">
        <f t="shared" si="4"/>
        <v>0</v>
      </c>
      <c r="AC36" s="58">
        <f t="shared" si="4"/>
        <v>0</v>
      </c>
      <c r="AD36" s="58">
        <f t="shared" si="4"/>
        <v>0</v>
      </c>
      <c r="AE36" s="58">
        <f t="shared" si="4"/>
        <v>0</v>
      </c>
      <c r="AF36" s="58">
        <f t="shared" si="4"/>
        <v>0</v>
      </c>
      <c r="AG36" s="58">
        <f t="shared" si="4"/>
        <v>0</v>
      </c>
      <c r="AH36" s="58">
        <f t="shared" si="4"/>
        <v>0</v>
      </c>
      <c r="AI36" s="58">
        <f t="shared" si="4"/>
        <v>0</v>
      </c>
      <c r="AJ36" s="58">
        <f t="shared" si="4"/>
        <v>0</v>
      </c>
      <c r="AK36" s="58">
        <f t="shared" si="4"/>
        <v>0</v>
      </c>
      <c r="AL36" s="58">
        <f t="shared" si="4"/>
        <v>0</v>
      </c>
      <c r="AM36" s="58">
        <f t="shared" si="4"/>
        <v>0</v>
      </c>
      <c r="AN36" s="58">
        <f t="shared" si="4"/>
        <v>0</v>
      </c>
      <c r="AO36" s="58">
        <f t="shared" si="4"/>
        <v>0</v>
      </c>
      <c r="AP36" s="58">
        <f t="shared" si="4"/>
        <v>0</v>
      </c>
      <c r="AQ36" s="58">
        <f t="shared" si="5"/>
        <v>0</v>
      </c>
      <c r="AR36" s="58">
        <f t="shared" si="5"/>
        <v>0</v>
      </c>
      <c r="AS36" s="58">
        <f t="shared" si="5"/>
        <v>0</v>
      </c>
      <c r="AT36" s="58">
        <f t="shared" si="5"/>
        <v>0</v>
      </c>
      <c r="AU36" s="58">
        <f t="shared" si="5"/>
        <v>0</v>
      </c>
      <c r="AV36" s="58">
        <f t="shared" si="5"/>
        <v>0</v>
      </c>
      <c r="AW36" s="59">
        <f t="shared" si="5"/>
        <v>0</v>
      </c>
      <c r="AY36" s="50">
        <f>DATE(YEAR(AZ35),MONTH(AZ35)+1,1)</f>
        <v>45231</v>
      </c>
      <c r="AZ36" s="50">
        <f t="shared" ref="AZ36" si="7">DATE(YEAR(AY36),MONTH(AY36)+F36-1,1)</f>
        <v>45261</v>
      </c>
    </row>
    <row r="37" spans="2:53" ht="22.5" customHeight="1" thickBot="1" x14ac:dyDescent="0.3">
      <c r="B37" s="201" t="s">
        <v>6075</v>
      </c>
      <c r="C37" s="202"/>
      <c r="D37" s="202"/>
      <c r="E37" s="202"/>
      <c r="F37" s="197">
        <v>30</v>
      </c>
      <c r="G37" s="197"/>
      <c r="H37" s="197"/>
      <c r="I37" s="198"/>
      <c r="J37" s="57">
        <f t="shared" si="6"/>
        <v>0</v>
      </c>
      <c r="K37" s="58">
        <f t="shared" si="3"/>
        <v>0</v>
      </c>
      <c r="L37" s="58">
        <f t="shared" si="3"/>
        <v>0</v>
      </c>
      <c r="M37" s="58">
        <f t="shared" si="3"/>
        <v>0</v>
      </c>
      <c r="N37" s="58">
        <f t="shared" si="3"/>
        <v>1</v>
      </c>
      <c r="O37" s="58">
        <f t="shared" si="3"/>
        <v>1</v>
      </c>
      <c r="P37" s="58">
        <f t="shared" si="3"/>
        <v>1</v>
      </c>
      <c r="Q37" s="58">
        <f t="shared" si="3"/>
        <v>1</v>
      </c>
      <c r="R37" s="58">
        <f t="shared" si="3"/>
        <v>1</v>
      </c>
      <c r="S37" s="58">
        <f t="shared" si="3"/>
        <v>1</v>
      </c>
      <c r="T37" s="58">
        <f t="shared" si="3"/>
        <v>1</v>
      </c>
      <c r="U37" s="58">
        <f t="shared" si="3"/>
        <v>1</v>
      </c>
      <c r="V37" s="58">
        <f t="shared" si="3"/>
        <v>1</v>
      </c>
      <c r="W37" s="58">
        <f t="shared" si="3"/>
        <v>1</v>
      </c>
      <c r="X37" s="58">
        <f t="shared" si="3"/>
        <v>1</v>
      </c>
      <c r="Y37" s="58">
        <f t="shared" si="3"/>
        <v>1</v>
      </c>
      <c r="Z37" s="58">
        <f t="shared" si="3"/>
        <v>1</v>
      </c>
      <c r="AA37" s="58">
        <f t="shared" si="4"/>
        <v>1</v>
      </c>
      <c r="AB37" s="58">
        <f t="shared" si="4"/>
        <v>1</v>
      </c>
      <c r="AC37" s="58">
        <f t="shared" si="4"/>
        <v>1</v>
      </c>
      <c r="AD37" s="58">
        <f t="shared" si="4"/>
        <v>1</v>
      </c>
      <c r="AE37" s="58">
        <f t="shared" si="4"/>
        <v>1</v>
      </c>
      <c r="AF37" s="58">
        <f t="shared" si="4"/>
        <v>1</v>
      </c>
      <c r="AG37" s="58">
        <f t="shared" si="4"/>
        <v>1</v>
      </c>
      <c r="AH37" s="58">
        <f t="shared" si="4"/>
        <v>1</v>
      </c>
      <c r="AI37" s="58">
        <f t="shared" si="4"/>
        <v>1</v>
      </c>
      <c r="AJ37" s="58">
        <f t="shared" si="4"/>
        <v>1</v>
      </c>
      <c r="AK37" s="58">
        <f t="shared" si="4"/>
        <v>1</v>
      </c>
      <c r="AL37" s="58">
        <f t="shared" si="4"/>
        <v>1</v>
      </c>
      <c r="AM37" s="58">
        <f t="shared" si="4"/>
        <v>1</v>
      </c>
      <c r="AN37" s="58">
        <f t="shared" si="4"/>
        <v>1</v>
      </c>
      <c r="AO37" s="58">
        <f t="shared" si="4"/>
        <v>1</v>
      </c>
      <c r="AP37" s="58">
        <f t="shared" si="4"/>
        <v>1</v>
      </c>
      <c r="AQ37" s="58">
        <f t="shared" si="5"/>
        <v>1</v>
      </c>
      <c r="AR37" s="58">
        <f t="shared" si="5"/>
        <v>0</v>
      </c>
      <c r="AS37" s="58">
        <f t="shared" si="5"/>
        <v>0</v>
      </c>
      <c r="AT37" s="58">
        <f t="shared" si="5"/>
        <v>0</v>
      </c>
      <c r="AU37" s="58">
        <f t="shared" si="5"/>
        <v>0</v>
      </c>
      <c r="AV37" s="58">
        <f t="shared" si="5"/>
        <v>0</v>
      </c>
      <c r="AW37" s="59">
        <f t="shared" si="5"/>
        <v>0</v>
      </c>
      <c r="AY37" s="50">
        <f>DATE(YEAR(AZ36),MONTH(AZ36)+1,1)</f>
        <v>45292</v>
      </c>
      <c r="AZ37" s="50">
        <f t="shared" ref="AZ37:AZ38" si="8">DATE(YEAR(AY37),MONTH(AY37)+F37-1,1)</f>
        <v>46174</v>
      </c>
    </row>
    <row r="38" spans="2:53" ht="22.5" customHeight="1" thickBot="1" x14ac:dyDescent="0.3">
      <c r="B38" s="201" t="s">
        <v>6076</v>
      </c>
      <c r="C38" s="202"/>
      <c r="D38" s="202"/>
      <c r="E38" s="202"/>
      <c r="F38" s="197">
        <v>24</v>
      </c>
      <c r="G38" s="197"/>
      <c r="H38" s="197"/>
      <c r="I38" s="198"/>
      <c r="J38" s="57">
        <f t="shared" si="6"/>
        <v>0</v>
      </c>
      <c r="K38" s="58">
        <f t="shared" si="3"/>
        <v>0</v>
      </c>
      <c r="L38" s="58">
        <f t="shared" si="3"/>
        <v>0</v>
      </c>
      <c r="M38" s="58">
        <f t="shared" si="3"/>
        <v>0</v>
      </c>
      <c r="N38" s="58">
        <f t="shared" si="3"/>
        <v>0</v>
      </c>
      <c r="O38" s="58">
        <f t="shared" si="3"/>
        <v>0</v>
      </c>
      <c r="P38" s="58">
        <f t="shared" si="3"/>
        <v>0</v>
      </c>
      <c r="Q38" s="58">
        <f t="shared" si="3"/>
        <v>0</v>
      </c>
      <c r="R38" s="58">
        <f t="shared" si="3"/>
        <v>0</v>
      </c>
      <c r="S38" s="58">
        <f t="shared" si="3"/>
        <v>0</v>
      </c>
      <c r="T38" s="58">
        <f t="shared" si="3"/>
        <v>1</v>
      </c>
      <c r="U38" s="58">
        <f t="shared" si="3"/>
        <v>1</v>
      </c>
      <c r="V38" s="58">
        <f t="shared" si="3"/>
        <v>1</v>
      </c>
      <c r="W38" s="58">
        <f t="shared" si="3"/>
        <v>1</v>
      </c>
      <c r="X38" s="58">
        <f t="shared" si="3"/>
        <v>1</v>
      </c>
      <c r="Y38" s="58">
        <f t="shared" si="3"/>
        <v>1</v>
      </c>
      <c r="Z38" s="58">
        <f t="shared" si="3"/>
        <v>1</v>
      </c>
      <c r="AA38" s="58">
        <f t="shared" si="4"/>
        <v>1</v>
      </c>
      <c r="AB38" s="58">
        <f t="shared" si="4"/>
        <v>1</v>
      </c>
      <c r="AC38" s="58">
        <f t="shared" si="4"/>
        <v>1</v>
      </c>
      <c r="AD38" s="58">
        <f t="shared" si="4"/>
        <v>1</v>
      </c>
      <c r="AE38" s="58">
        <f t="shared" si="4"/>
        <v>1</v>
      </c>
      <c r="AF38" s="58">
        <f t="shared" si="4"/>
        <v>1</v>
      </c>
      <c r="AG38" s="58">
        <f t="shared" si="4"/>
        <v>1</v>
      </c>
      <c r="AH38" s="58">
        <f t="shared" si="4"/>
        <v>1</v>
      </c>
      <c r="AI38" s="58">
        <f t="shared" si="4"/>
        <v>1</v>
      </c>
      <c r="AJ38" s="58">
        <f t="shared" si="4"/>
        <v>1</v>
      </c>
      <c r="AK38" s="58">
        <f t="shared" si="4"/>
        <v>1</v>
      </c>
      <c r="AL38" s="58">
        <f t="shared" si="4"/>
        <v>1</v>
      </c>
      <c r="AM38" s="58">
        <f t="shared" si="4"/>
        <v>1</v>
      </c>
      <c r="AN38" s="58">
        <f t="shared" si="4"/>
        <v>1</v>
      </c>
      <c r="AO38" s="58">
        <f t="shared" si="4"/>
        <v>1</v>
      </c>
      <c r="AP38" s="58">
        <f t="shared" si="4"/>
        <v>1</v>
      </c>
      <c r="AQ38" s="58">
        <f t="shared" si="5"/>
        <v>1</v>
      </c>
      <c r="AR38" s="58">
        <f t="shared" si="5"/>
        <v>0</v>
      </c>
      <c r="AS38" s="58">
        <f t="shared" si="5"/>
        <v>0</v>
      </c>
      <c r="AT38" s="58">
        <f t="shared" si="5"/>
        <v>0</v>
      </c>
      <c r="AU38" s="58">
        <f t="shared" si="5"/>
        <v>0</v>
      </c>
      <c r="AV38" s="58">
        <f t="shared" si="5"/>
        <v>0</v>
      </c>
      <c r="AW38" s="59">
        <f t="shared" si="5"/>
        <v>0</v>
      </c>
      <c r="AY38" s="50">
        <f>DATE(YEAR(AY37),MONTH(AY37)+F32,1)</f>
        <v>45474</v>
      </c>
      <c r="AZ38" s="50">
        <f t="shared" si="8"/>
        <v>46174</v>
      </c>
    </row>
    <row r="39" spans="2:53" ht="22.5" customHeight="1" x14ac:dyDescent="0.25">
      <c r="B39" s="203" t="s">
        <v>6077</v>
      </c>
      <c r="C39" s="204"/>
      <c r="D39" s="204"/>
      <c r="E39" s="204"/>
      <c r="F39" s="199">
        <v>2</v>
      </c>
      <c r="G39" s="199"/>
      <c r="H39" s="199"/>
      <c r="I39" s="200"/>
      <c r="J39" s="60">
        <f t="shared" si="6"/>
        <v>0</v>
      </c>
      <c r="K39" s="61">
        <f t="shared" si="3"/>
        <v>0</v>
      </c>
      <c r="L39" s="61">
        <f t="shared" si="3"/>
        <v>0</v>
      </c>
      <c r="M39" s="61">
        <f t="shared" si="3"/>
        <v>0</v>
      </c>
      <c r="N39" s="61">
        <f t="shared" si="3"/>
        <v>0</v>
      </c>
      <c r="O39" s="61">
        <f t="shared" si="3"/>
        <v>0</v>
      </c>
      <c r="P39" s="61">
        <f t="shared" si="3"/>
        <v>0</v>
      </c>
      <c r="Q39" s="61">
        <f t="shared" si="3"/>
        <v>0</v>
      </c>
      <c r="R39" s="61">
        <f t="shared" si="3"/>
        <v>0</v>
      </c>
      <c r="S39" s="61">
        <f t="shared" si="3"/>
        <v>0</v>
      </c>
      <c r="T39" s="61">
        <f t="shared" si="3"/>
        <v>0</v>
      </c>
      <c r="U39" s="61">
        <f t="shared" si="3"/>
        <v>0</v>
      </c>
      <c r="V39" s="61">
        <f t="shared" si="3"/>
        <v>0</v>
      </c>
      <c r="W39" s="61">
        <f t="shared" si="3"/>
        <v>0</v>
      </c>
      <c r="X39" s="61">
        <f t="shared" si="3"/>
        <v>0</v>
      </c>
      <c r="Y39" s="61">
        <f t="shared" si="3"/>
        <v>0</v>
      </c>
      <c r="Z39" s="61">
        <f t="shared" si="3"/>
        <v>0</v>
      </c>
      <c r="AA39" s="61">
        <f t="shared" si="4"/>
        <v>0</v>
      </c>
      <c r="AB39" s="61">
        <f t="shared" si="4"/>
        <v>0</v>
      </c>
      <c r="AC39" s="61">
        <f t="shared" si="4"/>
        <v>0</v>
      </c>
      <c r="AD39" s="61">
        <f t="shared" si="4"/>
        <v>0</v>
      </c>
      <c r="AE39" s="61">
        <f t="shared" si="4"/>
        <v>0</v>
      </c>
      <c r="AF39" s="61">
        <f t="shared" si="4"/>
        <v>0</v>
      </c>
      <c r="AG39" s="61">
        <f t="shared" si="4"/>
        <v>0</v>
      </c>
      <c r="AH39" s="61">
        <f t="shared" si="4"/>
        <v>0</v>
      </c>
      <c r="AI39" s="61">
        <f t="shared" si="4"/>
        <v>0</v>
      </c>
      <c r="AJ39" s="61">
        <f t="shared" si="4"/>
        <v>0</v>
      </c>
      <c r="AK39" s="61">
        <f t="shared" si="4"/>
        <v>0</v>
      </c>
      <c r="AL39" s="61">
        <f t="shared" si="4"/>
        <v>0</v>
      </c>
      <c r="AM39" s="61">
        <f t="shared" si="4"/>
        <v>0</v>
      </c>
      <c r="AN39" s="61">
        <f t="shared" si="4"/>
        <v>0</v>
      </c>
      <c r="AO39" s="61">
        <f t="shared" si="4"/>
        <v>0</v>
      </c>
      <c r="AP39" s="61">
        <f t="shared" si="4"/>
        <v>0</v>
      </c>
      <c r="AQ39" s="61">
        <f t="shared" si="5"/>
        <v>0</v>
      </c>
      <c r="AR39" s="61">
        <f t="shared" si="5"/>
        <v>1</v>
      </c>
      <c r="AS39" s="61">
        <f t="shared" si="5"/>
        <v>1</v>
      </c>
      <c r="AT39" s="61">
        <f t="shared" si="5"/>
        <v>0</v>
      </c>
      <c r="AU39" s="61">
        <f t="shared" si="5"/>
        <v>0</v>
      </c>
      <c r="AV39" s="61">
        <f t="shared" si="5"/>
        <v>0</v>
      </c>
      <c r="AW39" s="62">
        <f t="shared" si="5"/>
        <v>0</v>
      </c>
      <c r="AY39" s="50">
        <f>DATE(YEAR(AZ38),MONTH(AZ38)+1,1)</f>
        <v>46204</v>
      </c>
      <c r="AZ39" s="50">
        <f t="shared" ref="AZ39" si="9">DATE(YEAR(AY39),MONTH(AY39)+F39-1,1)</f>
        <v>46235</v>
      </c>
    </row>
    <row r="40" spans="2:53" ht="22.5" customHeight="1" x14ac:dyDescent="0.25"/>
    <row r="41" spans="2:53" ht="26.25" customHeight="1" x14ac:dyDescent="0.25">
      <c r="B41" s="94" t="s">
        <v>6081</v>
      </c>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row>
    <row r="42" spans="2:53" ht="3.75" customHeight="1" x14ac:dyDescent="0.25"/>
    <row r="43" spans="2:53" ht="22.5" customHeight="1" thickBot="1" x14ac:dyDescent="0.3">
      <c r="B43" s="66"/>
      <c r="C43" s="67"/>
      <c r="D43" s="67"/>
      <c r="E43" s="67"/>
      <c r="F43" s="67"/>
      <c r="G43" s="67"/>
      <c r="H43" s="67"/>
      <c r="I43" s="68"/>
      <c r="J43" s="216" t="s">
        <v>6082</v>
      </c>
      <c r="K43" s="217"/>
      <c r="L43" s="217"/>
      <c r="M43" s="217"/>
      <c r="N43" s="217"/>
      <c r="O43" s="217"/>
      <c r="P43" s="217"/>
      <c r="Q43" s="218"/>
      <c r="R43" s="216" t="s">
        <v>6054</v>
      </c>
      <c r="S43" s="217"/>
      <c r="T43" s="217"/>
      <c r="U43" s="217"/>
      <c r="V43" s="217"/>
      <c r="W43" s="217"/>
      <c r="X43" s="217"/>
      <c r="Y43" s="217"/>
      <c r="Z43" s="217"/>
      <c r="AA43" s="217"/>
      <c r="AB43" s="217"/>
      <c r="AC43" s="217"/>
      <c r="AD43" s="217"/>
      <c r="AE43" s="217"/>
      <c r="AF43" s="217"/>
      <c r="AG43" s="218"/>
      <c r="AH43" s="242" t="s">
        <v>6083</v>
      </c>
      <c r="AI43" s="217"/>
      <c r="AJ43" s="217"/>
      <c r="AK43" s="217"/>
      <c r="AL43" s="217"/>
      <c r="AM43" s="217"/>
      <c r="AN43" s="217"/>
      <c r="AO43" s="217"/>
      <c r="AP43" s="217"/>
      <c r="AQ43" s="217"/>
      <c r="AR43" s="217"/>
      <c r="AS43" s="217"/>
      <c r="AT43" s="217"/>
      <c r="AU43" s="217"/>
      <c r="AV43" s="217"/>
      <c r="AW43" s="243"/>
    </row>
    <row r="44" spans="2:53" ht="22.5" customHeight="1" thickBot="1" x14ac:dyDescent="0.3">
      <c r="B44" s="212" t="s">
        <v>6084</v>
      </c>
      <c r="C44" s="213"/>
      <c r="D44" s="213"/>
      <c r="E44" s="213"/>
      <c r="F44" s="213"/>
      <c r="G44" s="213"/>
      <c r="H44" s="213"/>
      <c r="I44" s="214"/>
      <c r="J44" s="244">
        <f>J46-J45</f>
        <v>20</v>
      </c>
      <c r="K44" s="245"/>
      <c r="L44" s="245"/>
      <c r="M44" s="245"/>
      <c r="N44" s="245"/>
      <c r="O44" s="245"/>
      <c r="P44" s="245"/>
      <c r="Q44" s="246"/>
      <c r="R44" s="247">
        <f>R46-R45</f>
        <v>1430</v>
      </c>
      <c r="S44" s="166"/>
      <c r="T44" s="166"/>
      <c r="U44" s="166"/>
      <c r="V44" s="166"/>
      <c r="W44" s="166"/>
      <c r="X44" s="166"/>
      <c r="Y44" s="166"/>
      <c r="Z44" s="166"/>
      <c r="AA44" s="166"/>
      <c r="AB44" s="229">
        <f>IFERROR(R44/R46,"")</f>
        <v>1</v>
      </c>
      <c r="AC44" s="229"/>
      <c r="AD44" s="229"/>
      <c r="AE44" s="229"/>
      <c r="AF44" s="229"/>
      <c r="AG44" s="248"/>
      <c r="AH44" s="249">
        <f>AH46-AH45</f>
        <v>9556594.4064569678</v>
      </c>
      <c r="AI44" s="245"/>
      <c r="AJ44" s="245"/>
      <c r="AK44" s="245"/>
      <c r="AL44" s="245"/>
      <c r="AM44" s="245"/>
      <c r="AN44" s="245"/>
      <c r="AO44" s="245"/>
      <c r="AP44" s="245"/>
      <c r="AQ44" s="245"/>
      <c r="AR44" s="229">
        <f>IFERROR(AH44/AH46,"")</f>
        <v>1</v>
      </c>
      <c r="AS44" s="229"/>
      <c r="AT44" s="229"/>
      <c r="AU44" s="229"/>
      <c r="AV44" s="229"/>
      <c r="AW44" s="230"/>
    </row>
    <row r="45" spans="2:53" ht="22.5" customHeight="1" thickBot="1" x14ac:dyDescent="0.3">
      <c r="B45" s="212" t="s">
        <v>6085</v>
      </c>
      <c r="C45" s="213"/>
      <c r="D45" s="213"/>
      <c r="E45" s="213"/>
      <c r="F45" s="213"/>
      <c r="G45" s="213"/>
      <c r="H45" s="213"/>
      <c r="I45" s="214"/>
      <c r="J45" s="244">
        <f>SUM(AR15:AW26)</f>
        <v>0</v>
      </c>
      <c r="K45" s="245"/>
      <c r="L45" s="245"/>
      <c r="M45" s="245"/>
      <c r="N45" s="245"/>
      <c r="O45" s="245"/>
      <c r="P45" s="245"/>
      <c r="Q45" s="246"/>
      <c r="R45" s="247">
        <f>SUMPRODUCT(K15:K26,AR15:AR26)</f>
        <v>0</v>
      </c>
      <c r="S45" s="166"/>
      <c r="T45" s="166"/>
      <c r="U45" s="166"/>
      <c r="V45" s="166"/>
      <c r="W45" s="166"/>
      <c r="X45" s="166"/>
      <c r="Y45" s="166"/>
      <c r="Z45" s="166"/>
      <c r="AA45" s="166"/>
      <c r="AB45" s="229">
        <f>IFERROR(R45/R46,"")</f>
        <v>0</v>
      </c>
      <c r="AC45" s="229"/>
      <c r="AD45" s="229"/>
      <c r="AE45" s="229"/>
      <c r="AF45" s="229"/>
      <c r="AG45" s="248"/>
      <c r="AH45" s="249">
        <f>SUMPRODUCT(K15:K26,AR15:AR26,Z15:Z26)</f>
        <v>0</v>
      </c>
      <c r="AI45" s="250"/>
      <c r="AJ45" s="250"/>
      <c r="AK45" s="250"/>
      <c r="AL45" s="250"/>
      <c r="AM45" s="250"/>
      <c r="AN45" s="250"/>
      <c r="AO45" s="250"/>
      <c r="AP45" s="250"/>
      <c r="AQ45" s="250"/>
      <c r="AR45" s="229">
        <f>IFERROR(AH45/AH46,"")</f>
        <v>0</v>
      </c>
      <c r="AS45" s="229"/>
      <c r="AT45" s="229"/>
      <c r="AU45" s="229"/>
      <c r="AV45" s="229"/>
      <c r="AW45" s="230"/>
    </row>
    <row r="46" spans="2:53" ht="22.5" customHeight="1" x14ac:dyDescent="0.25">
      <c r="B46" s="162" t="s">
        <v>6037</v>
      </c>
      <c r="C46" s="163"/>
      <c r="D46" s="163"/>
      <c r="E46" s="163"/>
      <c r="F46" s="163"/>
      <c r="G46" s="163"/>
      <c r="H46" s="163"/>
      <c r="I46" s="215"/>
      <c r="J46" s="231">
        <f>SUM(T15:Y26)</f>
        <v>20</v>
      </c>
      <c r="K46" s="232"/>
      <c r="L46" s="232"/>
      <c r="M46" s="232"/>
      <c r="N46" s="232"/>
      <c r="O46" s="232"/>
      <c r="P46" s="232"/>
      <c r="Q46" s="233"/>
      <c r="R46" s="234">
        <f>SUMPRODUCT(K15:K26,T15:T26)</f>
        <v>1430</v>
      </c>
      <c r="S46" s="235"/>
      <c r="T46" s="235"/>
      <c r="U46" s="235"/>
      <c r="V46" s="235"/>
      <c r="W46" s="235"/>
      <c r="X46" s="235"/>
      <c r="Y46" s="235"/>
      <c r="Z46" s="235"/>
      <c r="AA46" s="235"/>
      <c r="AB46" s="235"/>
      <c r="AC46" s="235"/>
      <c r="AD46" s="235"/>
      <c r="AE46" s="235"/>
      <c r="AF46" s="235"/>
      <c r="AG46" s="236"/>
      <c r="AH46" s="237">
        <f>SUMPRODUCT(K15:K26,T15:T26,Z15:Z26)</f>
        <v>9556594.4064569678</v>
      </c>
      <c r="AI46" s="237"/>
      <c r="AJ46" s="237"/>
      <c r="AK46" s="237"/>
      <c r="AL46" s="237"/>
      <c r="AM46" s="237"/>
      <c r="AN46" s="237"/>
      <c r="AO46" s="237"/>
      <c r="AP46" s="237"/>
      <c r="AQ46" s="237"/>
      <c r="AR46" s="237"/>
      <c r="AS46" s="237"/>
      <c r="AT46" s="237"/>
      <c r="AU46" s="237"/>
      <c r="AV46" s="237"/>
      <c r="AW46" s="237"/>
    </row>
    <row r="47" spans="2:53" ht="22.5" customHeight="1" x14ac:dyDescent="0.25">
      <c r="I47" s="48"/>
      <c r="AG47" s="48"/>
    </row>
    <row r="48" spans="2:53" ht="22.5" customHeight="1" thickBot="1" x14ac:dyDescent="0.3">
      <c r="B48" s="134" t="s">
        <v>6088</v>
      </c>
      <c r="C48" s="135"/>
      <c r="D48" s="135"/>
      <c r="E48" s="135"/>
      <c r="F48" s="135"/>
      <c r="G48" s="135"/>
      <c r="H48" s="135"/>
      <c r="I48" s="135"/>
      <c r="J48" s="257">
        <v>500</v>
      </c>
      <c r="K48" s="257"/>
      <c r="L48" s="257"/>
      <c r="M48" s="257"/>
      <c r="N48" s="257"/>
      <c r="O48" s="257"/>
      <c r="P48" s="257"/>
      <c r="Q48" s="258"/>
      <c r="Z48" s="134" t="s">
        <v>6091</v>
      </c>
      <c r="AA48" s="135"/>
      <c r="AB48" s="135"/>
      <c r="AC48" s="135"/>
      <c r="AD48" s="135"/>
      <c r="AE48" s="135"/>
      <c r="AF48" s="135"/>
      <c r="AG48" s="135"/>
      <c r="AH48" s="135" t="s">
        <v>6092</v>
      </c>
      <c r="AI48" s="135"/>
      <c r="AJ48" s="135"/>
      <c r="AK48" s="135"/>
      <c r="AL48" s="135"/>
      <c r="AM48" s="135"/>
      <c r="AN48" s="135"/>
      <c r="AO48" s="136"/>
    </row>
    <row r="49" spans="2:49" ht="22.5" customHeight="1" thickBot="1" x14ac:dyDescent="0.3">
      <c r="B49" s="159" t="s">
        <v>6089</v>
      </c>
      <c r="C49" s="160"/>
      <c r="D49" s="160"/>
      <c r="E49" s="160"/>
      <c r="F49" s="160"/>
      <c r="G49" s="160"/>
      <c r="H49" s="160"/>
      <c r="I49" s="160"/>
      <c r="J49" s="155">
        <v>2399.77</v>
      </c>
      <c r="K49" s="155"/>
      <c r="L49" s="155"/>
      <c r="M49" s="155"/>
      <c r="N49" s="155"/>
      <c r="O49" s="155"/>
      <c r="P49" s="155"/>
      <c r="Q49" s="259"/>
      <c r="Z49" s="253">
        <f>IFERROR(R46/J49,"")</f>
        <v>0.59589043950045217</v>
      </c>
      <c r="AA49" s="254"/>
      <c r="AB49" s="254"/>
      <c r="AC49" s="254"/>
      <c r="AD49" s="254"/>
      <c r="AE49" s="254"/>
      <c r="AF49" s="254"/>
      <c r="AG49" s="254"/>
      <c r="AH49" s="255">
        <f>IFERROR(J50/J48,"")</f>
        <v>2.9550000000000001</v>
      </c>
      <c r="AI49" s="255"/>
      <c r="AJ49" s="255"/>
      <c r="AK49" s="255"/>
      <c r="AL49" s="255"/>
      <c r="AM49" s="255"/>
      <c r="AN49" s="255"/>
      <c r="AO49" s="256"/>
    </row>
    <row r="50" spans="2:49" ht="22.5" customHeight="1" x14ac:dyDescent="0.25">
      <c r="B50" s="162" t="s">
        <v>6090</v>
      </c>
      <c r="C50" s="163"/>
      <c r="D50" s="163"/>
      <c r="E50" s="163"/>
      <c r="F50" s="163"/>
      <c r="G50" s="163"/>
      <c r="H50" s="163"/>
      <c r="I50" s="163"/>
      <c r="J50" s="170">
        <v>1477.5</v>
      </c>
      <c r="K50" s="170"/>
      <c r="L50" s="170"/>
      <c r="M50" s="170"/>
      <c r="N50" s="170"/>
      <c r="O50" s="170"/>
      <c r="P50" s="170"/>
      <c r="Q50" s="260"/>
    </row>
    <row r="51" spans="2:49" ht="22.5" customHeight="1" x14ac:dyDescent="0.25">
      <c r="J51" s="69"/>
      <c r="K51" s="69"/>
      <c r="L51" s="69"/>
      <c r="M51" s="69"/>
      <c r="N51" s="69"/>
      <c r="O51" s="69"/>
      <c r="P51" s="69"/>
      <c r="Q51" s="69"/>
    </row>
    <row r="52" spans="2:49" ht="26.25" customHeight="1" x14ac:dyDescent="0.25">
      <c r="B52" s="94" t="s">
        <v>6018</v>
      </c>
      <c r="C52" s="47"/>
      <c r="D52" s="47"/>
      <c r="E52" s="47"/>
      <c r="F52" s="47"/>
      <c r="G52" s="47"/>
      <c r="H52" s="47"/>
      <c r="I52" s="47"/>
      <c r="J52" s="70"/>
      <c r="K52" s="70"/>
      <c r="L52" s="70"/>
      <c r="M52" s="70"/>
      <c r="N52" s="70"/>
      <c r="O52" s="70"/>
      <c r="P52" s="70"/>
      <c r="Q52" s="70"/>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row>
    <row r="53" spans="2:49" ht="3.75" customHeight="1" x14ac:dyDescent="0.25">
      <c r="J53" s="69"/>
      <c r="K53" s="69"/>
      <c r="L53" s="69"/>
      <c r="M53" s="69"/>
      <c r="N53" s="69"/>
      <c r="O53" s="69"/>
      <c r="P53" s="69"/>
      <c r="Q53" s="69"/>
    </row>
    <row r="54" spans="2:49" ht="22.5" customHeight="1" thickBot="1" x14ac:dyDescent="0.3">
      <c r="B54" s="134" t="s">
        <v>6056</v>
      </c>
      <c r="C54" s="135"/>
      <c r="D54" s="135"/>
      <c r="E54" s="135"/>
      <c r="F54" s="135"/>
      <c r="G54" s="135"/>
      <c r="H54" s="135"/>
      <c r="I54" s="135"/>
      <c r="J54" s="178">
        <f>AH45</f>
        <v>0</v>
      </c>
      <c r="K54" s="178"/>
      <c r="L54" s="178"/>
      <c r="M54" s="178"/>
      <c r="N54" s="178"/>
      <c r="O54" s="178"/>
      <c r="P54" s="178"/>
      <c r="Q54" s="179"/>
    </row>
    <row r="55" spans="2:49" ht="22.5" customHeight="1" thickBot="1" x14ac:dyDescent="0.3">
      <c r="B55" s="159" t="s">
        <v>6100</v>
      </c>
      <c r="C55" s="160"/>
      <c r="D55" s="160"/>
      <c r="E55" s="160"/>
      <c r="F55" s="160"/>
      <c r="G55" s="160"/>
      <c r="H55" s="160"/>
      <c r="I55" s="160"/>
      <c r="J55" s="145">
        <v>800000</v>
      </c>
      <c r="K55" s="145"/>
      <c r="L55" s="145"/>
      <c r="M55" s="145"/>
      <c r="N55" s="145"/>
      <c r="O55" s="145"/>
      <c r="P55" s="145"/>
      <c r="Q55" s="183"/>
      <c r="Z55" s="174" t="s">
        <v>6093</v>
      </c>
      <c r="AA55" s="174"/>
      <c r="AB55" s="174"/>
      <c r="AC55" s="174"/>
      <c r="AD55" s="174"/>
      <c r="AE55" s="174"/>
      <c r="AF55" s="174"/>
      <c r="AG55" s="174"/>
      <c r="AH55" s="174"/>
      <c r="AI55" s="174"/>
      <c r="AJ55" s="174"/>
      <c r="AK55" s="174"/>
      <c r="AL55" s="174"/>
      <c r="AM55" s="174"/>
      <c r="AN55" s="174"/>
      <c r="AO55" s="174"/>
    </row>
    <row r="56" spans="2:49" ht="22.5" customHeight="1" thickBot="1" x14ac:dyDescent="0.3">
      <c r="B56" s="159" t="s">
        <v>6101</v>
      </c>
      <c r="C56" s="160"/>
      <c r="D56" s="160"/>
      <c r="E56" s="160"/>
      <c r="F56" s="160"/>
      <c r="G56" s="160"/>
      <c r="H56" s="160"/>
      <c r="I56" s="160"/>
      <c r="J56" s="145">
        <v>0</v>
      </c>
      <c r="K56" s="145"/>
      <c r="L56" s="145"/>
      <c r="M56" s="145"/>
      <c r="N56" s="145"/>
      <c r="O56" s="145"/>
      <c r="P56" s="145"/>
      <c r="Q56" s="183"/>
      <c r="Z56" s="175">
        <f>SUM(J54:Q57)</f>
        <v>800000</v>
      </c>
      <c r="AA56" s="176"/>
      <c r="AB56" s="176"/>
      <c r="AC56" s="176"/>
      <c r="AD56" s="176"/>
      <c r="AE56" s="176"/>
      <c r="AF56" s="176"/>
      <c r="AG56" s="176"/>
      <c r="AH56" s="176"/>
      <c r="AI56" s="176"/>
      <c r="AJ56" s="176"/>
      <c r="AK56" s="176"/>
      <c r="AL56" s="176"/>
      <c r="AM56" s="176"/>
      <c r="AN56" s="176"/>
      <c r="AO56" s="176"/>
    </row>
    <row r="57" spans="2:49" ht="22.5" customHeight="1" thickBot="1" x14ac:dyDescent="0.3">
      <c r="B57" s="159" t="s">
        <v>6102</v>
      </c>
      <c r="C57" s="160"/>
      <c r="D57" s="160"/>
      <c r="E57" s="160"/>
      <c r="F57" s="160"/>
      <c r="G57" s="160"/>
      <c r="H57" s="160"/>
      <c r="I57" s="160"/>
      <c r="J57" s="145">
        <v>0</v>
      </c>
      <c r="K57" s="145"/>
      <c r="L57" s="145"/>
      <c r="M57" s="145"/>
      <c r="N57" s="145"/>
      <c r="O57" s="145"/>
      <c r="P57" s="145"/>
      <c r="Q57" s="183"/>
      <c r="Z57" s="173">
        <f>IFERROR(Z56/J48,"")</f>
        <v>1600</v>
      </c>
      <c r="AA57" s="173"/>
      <c r="AB57" s="173"/>
      <c r="AC57" s="173"/>
      <c r="AD57" s="173"/>
      <c r="AE57" s="173"/>
      <c r="AF57" s="173"/>
      <c r="AG57" s="173"/>
      <c r="AH57" s="173"/>
      <c r="AI57" s="173"/>
      <c r="AJ57" s="173"/>
      <c r="AK57" s="173"/>
      <c r="AL57" s="173"/>
      <c r="AM57" s="173"/>
      <c r="AN57" s="173"/>
      <c r="AO57" s="173"/>
    </row>
    <row r="58" spans="2:49" ht="22.5" customHeight="1" x14ac:dyDescent="0.25">
      <c r="B58" s="162" t="s">
        <v>6103</v>
      </c>
      <c r="C58" s="163"/>
      <c r="D58" s="163"/>
      <c r="E58" s="163"/>
      <c r="F58" s="163"/>
      <c r="G58" s="163"/>
      <c r="H58" s="163"/>
      <c r="I58" s="163"/>
      <c r="J58" s="181">
        <v>0</v>
      </c>
      <c r="K58" s="182"/>
      <c r="L58" s="182"/>
      <c r="M58" s="154"/>
      <c r="N58" s="116">
        <f>(SUM(J54:K57))*J58</f>
        <v>0</v>
      </c>
      <c r="O58" s="180"/>
      <c r="P58" s="180"/>
      <c r="Q58" s="180"/>
    </row>
    <row r="59" spans="2:49" ht="22.5" customHeight="1" x14ac:dyDescent="0.25"/>
    <row r="60" spans="2:49" ht="22.5" customHeight="1" thickBot="1" x14ac:dyDescent="0.3">
      <c r="B60" s="134" t="s">
        <v>6095</v>
      </c>
      <c r="C60" s="135"/>
      <c r="D60" s="135"/>
      <c r="E60" s="135"/>
      <c r="F60" s="135"/>
      <c r="G60" s="135"/>
      <c r="H60" s="135"/>
      <c r="I60" s="135"/>
      <c r="J60" s="177">
        <v>400</v>
      </c>
      <c r="K60" s="177"/>
      <c r="L60" s="177"/>
      <c r="M60" s="177"/>
      <c r="N60" s="178">
        <f>J60*J48</f>
        <v>200000</v>
      </c>
      <c r="O60" s="178"/>
      <c r="P60" s="178"/>
      <c r="Q60" s="179"/>
    </row>
    <row r="61" spans="2:49" ht="22.5" customHeight="1" thickBot="1" x14ac:dyDescent="0.3">
      <c r="B61" s="162" t="s">
        <v>6094</v>
      </c>
      <c r="C61" s="163"/>
      <c r="D61" s="163"/>
      <c r="E61" s="163"/>
      <c r="F61" s="163"/>
      <c r="G61" s="163"/>
      <c r="H61" s="163"/>
      <c r="I61" s="163"/>
      <c r="J61" s="114">
        <v>0.02</v>
      </c>
      <c r="K61" s="114"/>
      <c r="L61" s="114"/>
      <c r="M61" s="114"/>
      <c r="N61" s="115">
        <f>N60*J61</f>
        <v>4000</v>
      </c>
      <c r="O61" s="115"/>
      <c r="P61" s="115"/>
      <c r="Q61" s="116"/>
      <c r="Z61" s="174" t="s">
        <v>6098</v>
      </c>
      <c r="AA61" s="174"/>
      <c r="AB61" s="174"/>
      <c r="AC61" s="174"/>
      <c r="AD61" s="174"/>
      <c r="AE61" s="174"/>
      <c r="AF61" s="174"/>
      <c r="AG61" s="174"/>
      <c r="AH61" s="174"/>
      <c r="AI61" s="174"/>
      <c r="AJ61" s="174"/>
      <c r="AK61" s="174"/>
      <c r="AL61" s="174"/>
      <c r="AM61" s="174"/>
      <c r="AN61" s="174"/>
      <c r="AO61" s="174"/>
    </row>
    <row r="62" spans="2:49" ht="22.5" customHeight="1" thickBot="1" x14ac:dyDescent="0.3">
      <c r="Z62" s="175">
        <f>SUM(J54:Q57,N58,N61,J63:Q64)</f>
        <v>804000</v>
      </c>
      <c r="AA62" s="175"/>
      <c r="AB62" s="175"/>
      <c r="AC62" s="175"/>
      <c r="AD62" s="175"/>
      <c r="AE62" s="175"/>
      <c r="AF62" s="175"/>
      <c r="AG62" s="175"/>
      <c r="AH62" s="175"/>
      <c r="AI62" s="175"/>
      <c r="AJ62" s="175"/>
      <c r="AK62" s="175"/>
      <c r="AL62" s="175"/>
      <c r="AM62" s="175"/>
      <c r="AN62" s="175"/>
      <c r="AO62" s="175"/>
    </row>
    <row r="63" spans="2:49" ht="22.5" customHeight="1" thickBot="1" x14ac:dyDescent="0.3">
      <c r="B63" s="134" t="s">
        <v>6096</v>
      </c>
      <c r="C63" s="135"/>
      <c r="D63" s="135"/>
      <c r="E63" s="135"/>
      <c r="F63" s="135"/>
      <c r="G63" s="135"/>
      <c r="H63" s="135"/>
      <c r="I63" s="135"/>
      <c r="J63" s="261">
        <v>0</v>
      </c>
      <c r="K63" s="261"/>
      <c r="L63" s="261"/>
      <c r="M63" s="261"/>
      <c r="N63" s="261"/>
      <c r="O63" s="261"/>
      <c r="P63" s="261"/>
      <c r="Q63" s="262"/>
      <c r="Z63" s="173">
        <f>IFERROR(Z62/J48,"")</f>
        <v>1608</v>
      </c>
      <c r="AA63" s="173"/>
      <c r="AB63" s="173"/>
      <c r="AC63" s="173"/>
      <c r="AD63" s="173"/>
      <c r="AE63" s="173"/>
      <c r="AF63" s="173"/>
      <c r="AG63" s="173"/>
      <c r="AH63" s="173"/>
      <c r="AI63" s="173"/>
      <c r="AJ63" s="173"/>
      <c r="AK63" s="173"/>
      <c r="AL63" s="173"/>
      <c r="AM63" s="173"/>
      <c r="AN63" s="173"/>
      <c r="AO63" s="173"/>
    </row>
    <row r="64" spans="2:49" ht="22.5" customHeight="1" x14ac:dyDescent="0.25">
      <c r="B64" s="162" t="s">
        <v>6097</v>
      </c>
      <c r="C64" s="163"/>
      <c r="D64" s="163"/>
      <c r="E64" s="163"/>
      <c r="F64" s="163"/>
      <c r="G64" s="163"/>
      <c r="H64" s="163"/>
      <c r="I64" s="163"/>
      <c r="J64" s="129">
        <v>0</v>
      </c>
      <c r="K64" s="129"/>
      <c r="L64" s="129"/>
      <c r="M64" s="129"/>
      <c r="N64" s="129"/>
      <c r="O64" s="129"/>
      <c r="P64" s="129"/>
      <c r="Q64" s="130"/>
    </row>
    <row r="65" spans="2:49" ht="22.5" customHeight="1" x14ac:dyDescent="0.25"/>
    <row r="66" spans="2:49" ht="26.25" customHeight="1" x14ac:dyDescent="0.25">
      <c r="B66" s="94" t="s">
        <v>6099</v>
      </c>
      <c r="C66" s="47"/>
      <c r="D66" s="47"/>
      <c r="E66" s="47"/>
      <c r="F66" s="47"/>
      <c r="G66" s="47"/>
      <c r="H66" s="47"/>
      <c r="I66" s="47"/>
      <c r="J66" s="70"/>
      <c r="K66" s="70"/>
      <c r="L66" s="70"/>
      <c r="M66" s="70"/>
      <c r="N66" s="70"/>
      <c r="O66" s="70"/>
      <c r="P66" s="70"/>
      <c r="Q66" s="70"/>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row>
    <row r="67" spans="2:49" ht="3.75" customHeight="1" x14ac:dyDescent="0.25">
      <c r="J67" s="69"/>
      <c r="K67" s="69"/>
      <c r="L67" s="69"/>
      <c r="M67" s="69"/>
      <c r="N67" s="69"/>
      <c r="O67" s="69"/>
      <c r="P67" s="69"/>
      <c r="Q67" s="69"/>
    </row>
    <row r="68" spans="2:49" ht="22.5" customHeight="1" thickBot="1" x14ac:dyDescent="0.3">
      <c r="B68" s="134" t="s">
        <v>6105</v>
      </c>
      <c r="C68" s="135"/>
      <c r="D68" s="135"/>
      <c r="E68" s="135"/>
      <c r="F68" s="135"/>
      <c r="G68" s="135"/>
      <c r="H68" s="135"/>
      <c r="I68" s="135"/>
      <c r="J68" s="135"/>
      <c r="K68" s="135"/>
      <c r="L68" s="135"/>
      <c r="M68" s="135"/>
      <c r="N68" s="135"/>
      <c r="O68" s="135"/>
      <c r="P68" s="135"/>
      <c r="Q68" s="135"/>
      <c r="R68" s="125" t="s">
        <v>6158</v>
      </c>
      <c r="S68" s="125"/>
      <c r="T68" s="125"/>
      <c r="U68" s="125"/>
      <c r="V68" s="126"/>
    </row>
    <row r="69" spans="2:49" ht="22.5" customHeight="1" thickBot="1" x14ac:dyDescent="0.3">
      <c r="B69" s="159" t="s">
        <v>6106</v>
      </c>
      <c r="C69" s="160"/>
      <c r="D69" s="160"/>
      <c r="E69" s="160"/>
      <c r="F69" s="160"/>
      <c r="G69" s="160"/>
      <c r="H69" s="160"/>
      <c r="I69" s="160"/>
      <c r="J69" s="160"/>
      <c r="K69" s="160"/>
      <c r="L69" s="160"/>
      <c r="M69" s="160"/>
      <c r="N69" s="160"/>
      <c r="O69" s="160"/>
      <c r="P69" s="160"/>
      <c r="Q69" s="160"/>
      <c r="R69" s="127">
        <v>45108</v>
      </c>
      <c r="S69" s="127"/>
      <c r="T69" s="127"/>
      <c r="U69" s="127"/>
      <c r="V69" s="128"/>
    </row>
    <row r="70" spans="2:49" ht="22.5" customHeight="1" x14ac:dyDescent="0.25">
      <c r="B70" s="162" t="s">
        <v>6107</v>
      </c>
      <c r="C70" s="163"/>
      <c r="D70" s="163"/>
      <c r="E70" s="163"/>
      <c r="F70" s="163"/>
      <c r="G70" s="163"/>
      <c r="H70" s="163"/>
      <c r="I70" s="163"/>
      <c r="J70" s="163"/>
      <c r="K70" s="163"/>
      <c r="L70" s="163"/>
      <c r="M70" s="163"/>
      <c r="N70" s="163"/>
      <c r="O70" s="163"/>
      <c r="P70" s="163"/>
      <c r="Q70" s="163"/>
      <c r="R70" s="129">
        <v>1825.1</v>
      </c>
      <c r="S70" s="129"/>
      <c r="T70" s="129"/>
      <c r="U70" s="129"/>
      <c r="V70" s="130"/>
    </row>
    <row r="71" spans="2:49" ht="3.75" customHeight="1" thickBot="1" x14ac:dyDescent="0.3">
      <c r="R71" s="131"/>
      <c r="S71" s="131"/>
      <c r="T71" s="131"/>
      <c r="U71" s="131"/>
      <c r="V71" s="131"/>
    </row>
    <row r="72" spans="2:49" ht="22.5" customHeight="1" x14ac:dyDescent="0.25">
      <c r="B72" s="109" t="s">
        <v>6108</v>
      </c>
      <c r="C72" s="110"/>
      <c r="D72" s="110"/>
      <c r="E72" s="110"/>
      <c r="F72" s="110"/>
      <c r="G72" s="110"/>
      <c r="H72" s="110"/>
      <c r="I72" s="110"/>
      <c r="J72" s="110"/>
      <c r="K72" s="110"/>
      <c r="L72" s="110"/>
      <c r="M72" s="110"/>
      <c r="N72" s="110"/>
      <c r="O72" s="110"/>
      <c r="P72" s="110"/>
      <c r="Q72" s="110"/>
      <c r="R72" s="129"/>
      <c r="S72" s="129"/>
      <c r="T72" s="129"/>
      <c r="U72" s="129"/>
      <c r="V72" s="130"/>
    </row>
    <row r="73" spans="2:49" ht="22.5" customHeight="1" x14ac:dyDescent="0.25"/>
    <row r="74" spans="2:49" ht="22.5" customHeight="1" thickBot="1" x14ac:dyDescent="0.3">
      <c r="B74" s="134" t="s">
        <v>6044</v>
      </c>
      <c r="C74" s="135"/>
      <c r="D74" s="135"/>
      <c r="E74" s="135"/>
      <c r="F74" s="135"/>
      <c r="G74" s="135"/>
      <c r="H74" s="135"/>
      <c r="I74" s="135"/>
      <c r="J74" s="135"/>
      <c r="K74" s="135"/>
      <c r="L74" s="135"/>
      <c r="M74" s="135" t="s">
        <v>6104</v>
      </c>
      <c r="N74" s="135"/>
      <c r="O74" s="135"/>
      <c r="P74" s="135"/>
      <c r="Q74" s="135"/>
      <c r="R74" s="135" t="s">
        <v>6130</v>
      </c>
      <c r="S74" s="135"/>
      <c r="T74" s="135"/>
      <c r="U74" s="135"/>
      <c r="V74" s="135"/>
      <c r="W74" s="135" t="s">
        <v>6109</v>
      </c>
      <c r="X74" s="135"/>
      <c r="Y74" s="135"/>
      <c r="Z74" s="135"/>
      <c r="AA74" s="135"/>
      <c r="AB74" s="135" t="s">
        <v>6132</v>
      </c>
      <c r="AC74" s="135"/>
      <c r="AD74" s="135"/>
      <c r="AE74" s="135"/>
      <c r="AF74" s="135"/>
      <c r="AG74" s="135" t="s">
        <v>6111</v>
      </c>
      <c r="AH74" s="135"/>
      <c r="AI74" s="135"/>
      <c r="AJ74" s="135"/>
      <c r="AK74" s="135"/>
      <c r="AL74" s="135"/>
      <c r="AM74" s="135"/>
      <c r="AN74" s="135"/>
      <c r="AO74" s="135"/>
      <c r="AP74" s="135"/>
      <c r="AQ74" s="135"/>
      <c r="AR74" s="135"/>
      <c r="AS74" s="135"/>
      <c r="AT74" s="135"/>
      <c r="AU74" s="135"/>
      <c r="AV74" s="135"/>
      <c r="AW74" s="136"/>
    </row>
    <row r="75" spans="2:49" ht="22.5" customHeight="1" thickBot="1" x14ac:dyDescent="0.3">
      <c r="B75" s="142" t="s">
        <v>6112</v>
      </c>
      <c r="C75" s="133"/>
      <c r="D75" s="133"/>
      <c r="E75" s="133"/>
      <c r="F75" s="133"/>
      <c r="G75" s="133"/>
      <c r="H75" s="133"/>
      <c r="I75" s="133"/>
      <c r="J75" s="133"/>
      <c r="K75" s="133"/>
      <c r="L75" s="133"/>
      <c r="M75" s="155">
        <v>469.52</v>
      </c>
      <c r="N75" s="155"/>
      <c r="O75" s="155"/>
      <c r="P75" s="155"/>
      <c r="Q75" s="155"/>
      <c r="R75" s="133" t="s">
        <v>6113</v>
      </c>
      <c r="S75" s="133"/>
      <c r="T75" s="133"/>
      <c r="U75" s="133"/>
      <c r="V75" s="133"/>
      <c r="W75" s="143">
        <v>0.75</v>
      </c>
      <c r="X75" s="143"/>
      <c r="Y75" s="143"/>
      <c r="Z75" s="143"/>
      <c r="AA75" s="143"/>
      <c r="AB75" s="171">
        <f>IF(M75="","",IF(W75="","",W75*M75))</f>
        <v>352.14</v>
      </c>
      <c r="AC75" s="171"/>
      <c r="AD75" s="171"/>
      <c r="AE75" s="171"/>
      <c r="AF75" s="171"/>
      <c r="AG75" s="121"/>
      <c r="AH75" s="121"/>
      <c r="AI75" s="121"/>
      <c r="AJ75" s="121"/>
      <c r="AK75" s="121"/>
      <c r="AL75" s="121"/>
      <c r="AM75" s="121"/>
      <c r="AN75" s="121"/>
      <c r="AO75" s="121"/>
      <c r="AP75" s="121"/>
      <c r="AQ75" s="121"/>
      <c r="AR75" s="121"/>
      <c r="AS75" s="121"/>
      <c r="AT75" s="121"/>
      <c r="AU75" s="121"/>
      <c r="AV75" s="121"/>
      <c r="AW75" s="122"/>
    </row>
    <row r="76" spans="2:49" ht="22.5" customHeight="1" thickBot="1" x14ac:dyDescent="0.3">
      <c r="B76" s="142" t="s">
        <v>6134</v>
      </c>
      <c r="C76" s="133"/>
      <c r="D76" s="133"/>
      <c r="E76" s="133"/>
      <c r="F76" s="133"/>
      <c r="G76" s="133"/>
      <c r="H76" s="133"/>
      <c r="I76" s="133"/>
      <c r="J76" s="133"/>
      <c r="K76" s="133"/>
      <c r="L76" s="133"/>
      <c r="M76" s="155">
        <v>296.18</v>
      </c>
      <c r="N76" s="155"/>
      <c r="O76" s="155"/>
      <c r="P76" s="155"/>
      <c r="Q76" s="155"/>
      <c r="R76" s="133" t="s">
        <v>6113</v>
      </c>
      <c r="S76" s="133"/>
      <c r="T76" s="133"/>
      <c r="U76" s="133"/>
      <c r="V76" s="133"/>
      <c r="W76" s="143">
        <v>0.75</v>
      </c>
      <c r="X76" s="143"/>
      <c r="Y76" s="143"/>
      <c r="Z76" s="143"/>
      <c r="AA76" s="143"/>
      <c r="AB76" s="171">
        <f t="shared" ref="AB76:AB88" si="10">IF(M76="","",IF(W76="","",W76*M76))</f>
        <v>222.13499999999999</v>
      </c>
      <c r="AC76" s="171"/>
      <c r="AD76" s="171"/>
      <c r="AE76" s="171"/>
      <c r="AF76" s="171"/>
      <c r="AG76" s="121"/>
      <c r="AH76" s="121"/>
      <c r="AI76" s="121"/>
      <c r="AJ76" s="121"/>
      <c r="AK76" s="121"/>
      <c r="AL76" s="121"/>
      <c r="AM76" s="121"/>
      <c r="AN76" s="121"/>
      <c r="AO76" s="121"/>
      <c r="AP76" s="121"/>
      <c r="AQ76" s="121"/>
      <c r="AR76" s="121"/>
      <c r="AS76" s="121"/>
      <c r="AT76" s="121"/>
      <c r="AU76" s="121"/>
      <c r="AV76" s="121"/>
      <c r="AW76" s="122"/>
    </row>
    <row r="77" spans="2:49" ht="22.5" customHeight="1" thickBot="1" x14ac:dyDescent="0.3">
      <c r="B77" s="142" t="s">
        <v>6114</v>
      </c>
      <c r="C77" s="133"/>
      <c r="D77" s="133"/>
      <c r="E77" s="133"/>
      <c r="F77" s="133"/>
      <c r="G77" s="133"/>
      <c r="H77" s="133"/>
      <c r="I77" s="133"/>
      <c r="J77" s="133"/>
      <c r="K77" s="133"/>
      <c r="L77" s="133"/>
      <c r="M77" s="155"/>
      <c r="N77" s="155"/>
      <c r="O77" s="155"/>
      <c r="P77" s="155"/>
      <c r="Q77" s="155"/>
      <c r="R77" s="133" t="s">
        <v>6113</v>
      </c>
      <c r="S77" s="133"/>
      <c r="T77" s="133"/>
      <c r="U77" s="133"/>
      <c r="V77" s="133"/>
      <c r="W77" s="143"/>
      <c r="X77" s="143"/>
      <c r="Y77" s="143"/>
      <c r="Z77" s="143"/>
      <c r="AA77" s="143"/>
      <c r="AB77" s="171" t="str">
        <f t="shared" si="10"/>
        <v/>
      </c>
      <c r="AC77" s="171"/>
      <c r="AD77" s="171"/>
      <c r="AE77" s="171"/>
      <c r="AF77" s="171"/>
      <c r="AG77" s="121"/>
      <c r="AH77" s="121"/>
      <c r="AI77" s="121"/>
      <c r="AJ77" s="121"/>
      <c r="AK77" s="121"/>
      <c r="AL77" s="121"/>
      <c r="AM77" s="121"/>
      <c r="AN77" s="121"/>
      <c r="AO77" s="121"/>
      <c r="AP77" s="121"/>
      <c r="AQ77" s="121"/>
      <c r="AR77" s="121"/>
      <c r="AS77" s="121"/>
      <c r="AT77" s="121"/>
      <c r="AU77" s="121"/>
      <c r="AV77" s="121"/>
      <c r="AW77" s="122"/>
    </row>
    <row r="78" spans="2:49" ht="22.5" customHeight="1" thickBot="1" x14ac:dyDescent="0.3">
      <c r="B78" s="142" t="s">
        <v>6115</v>
      </c>
      <c r="C78" s="133"/>
      <c r="D78" s="133"/>
      <c r="E78" s="133"/>
      <c r="F78" s="133"/>
      <c r="G78" s="133"/>
      <c r="H78" s="133"/>
      <c r="I78" s="133"/>
      <c r="J78" s="133"/>
      <c r="K78" s="133"/>
      <c r="L78" s="133"/>
      <c r="M78" s="155"/>
      <c r="N78" s="155"/>
      <c r="O78" s="155"/>
      <c r="P78" s="155"/>
      <c r="Q78" s="155"/>
      <c r="R78" s="133" t="s">
        <v>6113</v>
      </c>
      <c r="S78" s="133"/>
      <c r="T78" s="133"/>
      <c r="U78" s="133"/>
      <c r="V78" s="133"/>
      <c r="W78" s="143"/>
      <c r="X78" s="143"/>
      <c r="Y78" s="143"/>
      <c r="Z78" s="143"/>
      <c r="AA78" s="143"/>
      <c r="AB78" s="171" t="str">
        <f t="shared" si="10"/>
        <v/>
      </c>
      <c r="AC78" s="171"/>
      <c r="AD78" s="171"/>
      <c r="AE78" s="171"/>
      <c r="AF78" s="171"/>
      <c r="AG78" s="121"/>
      <c r="AH78" s="121"/>
      <c r="AI78" s="121"/>
      <c r="AJ78" s="121"/>
      <c r="AK78" s="121"/>
      <c r="AL78" s="121"/>
      <c r="AM78" s="121"/>
      <c r="AN78" s="121"/>
      <c r="AO78" s="121"/>
      <c r="AP78" s="121"/>
      <c r="AQ78" s="121"/>
      <c r="AR78" s="121"/>
      <c r="AS78" s="121"/>
      <c r="AT78" s="121"/>
      <c r="AU78" s="121"/>
      <c r="AV78" s="121"/>
      <c r="AW78" s="122"/>
    </row>
    <row r="79" spans="2:49" ht="22.5" customHeight="1" thickBot="1" x14ac:dyDescent="0.3">
      <c r="B79" s="142" t="s">
        <v>6116</v>
      </c>
      <c r="C79" s="133"/>
      <c r="D79" s="133"/>
      <c r="E79" s="133"/>
      <c r="F79" s="133"/>
      <c r="G79" s="133"/>
      <c r="H79" s="133"/>
      <c r="I79" s="133"/>
      <c r="J79" s="133"/>
      <c r="K79" s="133"/>
      <c r="L79" s="133"/>
      <c r="M79" s="155"/>
      <c r="N79" s="155"/>
      <c r="O79" s="155"/>
      <c r="P79" s="155"/>
      <c r="Q79" s="155"/>
      <c r="R79" s="133" t="s">
        <v>6113</v>
      </c>
      <c r="S79" s="133"/>
      <c r="T79" s="133"/>
      <c r="U79" s="133"/>
      <c r="V79" s="133"/>
      <c r="W79" s="143"/>
      <c r="X79" s="143"/>
      <c r="Y79" s="143"/>
      <c r="Z79" s="143"/>
      <c r="AA79" s="143"/>
      <c r="AB79" s="171" t="str">
        <f t="shared" si="10"/>
        <v/>
      </c>
      <c r="AC79" s="171"/>
      <c r="AD79" s="171"/>
      <c r="AE79" s="171"/>
      <c r="AF79" s="171"/>
      <c r="AG79" s="121"/>
      <c r="AH79" s="121"/>
      <c r="AI79" s="121"/>
      <c r="AJ79" s="121"/>
      <c r="AK79" s="121"/>
      <c r="AL79" s="121"/>
      <c r="AM79" s="121"/>
      <c r="AN79" s="121"/>
      <c r="AO79" s="121"/>
      <c r="AP79" s="121"/>
      <c r="AQ79" s="121"/>
      <c r="AR79" s="121"/>
      <c r="AS79" s="121"/>
      <c r="AT79" s="121"/>
      <c r="AU79" s="121"/>
      <c r="AV79" s="121"/>
      <c r="AW79" s="122"/>
    </row>
    <row r="80" spans="2:49" ht="22.5" customHeight="1" thickBot="1" x14ac:dyDescent="0.3">
      <c r="B80" s="142" t="s">
        <v>6117</v>
      </c>
      <c r="C80" s="133"/>
      <c r="D80" s="133"/>
      <c r="E80" s="133"/>
      <c r="F80" s="133"/>
      <c r="G80" s="133"/>
      <c r="H80" s="133"/>
      <c r="I80" s="133"/>
      <c r="J80" s="133"/>
      <c r="K80" s="133"/>
      <c r="L80" s="133"/>
      <c r="M80" s="155"/>
      <c r="N80" s="155"/>
      <c r="O80" s="155"/>
      <c r="P80" s="155"/>
      <c r="Q80" s="155"/>
      <c r="R80" s="133" t="s">
        <v>6118</v>
      </c>
      <c r="S80" s="133"/>
      <c r="T80" s="133"/>
      <c r="U80" s="133"/>
      <c r="V80" s="133"/>
      <c r="W80" s="143"/>
      <c r="X80" s="143"/>
      <c r="Y80" s="143"/>
      <c r="Z80" s="143"/>
      <c r="AA80" s="143"/>
      <c r="AB80" s="171" t="str">
        <f t="shared" si="10"/>
        <v/>
      </c>
      <c r="AC80" s="171"/>
      <c r="AD80" s="171"/>
      <c r="AE80" s="171"/>
      <c r="AF80" s="171"/>
      <c r="AG80" s="121"/>
      <c r="AH80" s="121"/>
      <c r="AI80" s="121"/>
      <c r="AJ80" s="121"/>
      <c r="AK80" s="121"/>
      <c r="AL80" s="121"/>
      <c r="AM80" s="121"/>
      <c r="AN80" s="121"/>
      <c r="AO80" s="121"/>
      <c r="AP80" s="121"/>
      <c r="AQ80" s="121"/>
      <c r="AR80" s="121"/>
      <c r="AS80" s="121"/>
      <c r="AT80" s="121"/>
      <c r="AU80" s="121"/>
      <c r="AV80" s="121"/>
      <c r="AW80" s="122"/>
    </row>
    <row r="81" spans="2:53" ht="22.5" customHeight="1" thickBot="1" x14ac:dyDescent="0.3">
      <c r="B81" s="142" t="s">
        <v>6119</v>
      </c>
      <c r="C81" s="133"/>
      <c r="D81" s="133"/>
      <c r="E81" s="133"/>
      <c r="F81" s="133"/>
      <c r="G81" s="133"/>
      <c r="H81" s="133"/>
      <c r="I81" s="133"/>
      <c r="J81" s="133"/>
      <c r="K81" s="133"/>
      <c r="L81" s="133"/>
      <c r="M81" s="155"/>
      <c r="N81" s="155"/>
      <c r="O81" s="155"/>
      <c r="P81" s="155"/>
      <c r="Q81" s="155"/>
      <c r="R81" s="133" t="s">
        <v>6120</v>
      </c>
      <c r="S81" s="133"/>
      <c r="T81" s="133"/>
      <c r="U81" s="133"/>
      <c r="V81" s="133"/>
      <c r="W81" s="143"/>
      <c r="X81" s="143"/>
      <c r="Y81" s="143"/>
      <c r="Z81" s="143"/>
      <c r="AA81" s="143"/>
      <c r="AB81" s="171" t="str">
        <f t="shared" si="10"/>
        <v/>
      </c>
      <c r="AC81" s="171"/>
      <c r="AD81" s="171"/>
      <c r="AE81" s="171"/>
      <c r="AF81" s="171"/>
      <c r="AG81" s="121"/>
      <c r="AH81" s="121"/>
      <c r="AI81" s="121"/>
      <c r="AJ81" s="121"/>
      <c r="AK81" s="121"/>
      <c r="AL81" s="121"/>
      <c r="AM81" s="121"/>
      <c r="AN81" s="121"/>
      <c r="AO81" s="121"/>
      <c r="AP81" s="121"/>
      <c r="AQ81" s="121"/>
      <c r="AR81" s="121"/>
      <c r="AS81" s="121"/>
      <c r="AT81" s="121"/>
      <c r="AU81" s="121"/>
      <c r="AV81" s="121"/>
      <c r="AW81" s="122"/>
    </row>
    <row r="82" spans="2:53" ht="22.5" customHeight="1" thickBot="1" x14ac:dyDescent="0.3">
      <c r="B82" s="142" t="s">
        <v>6121</v>
      </c>
      <c r="C82" s="133"/>
      <c r="D82" s="133"/>
      <c r="E82" s="133"/>
      <c r="F82" s="133"/>
      <c r="G82" s="133"/>
      <c r="H82" s="133"/>
      <c r="I82" s="133"/>
      <c r="J82" s="133"/>
      <c r="K82" s="133"/>
      <c r="L82" s="133"/>
      <c r="M82" s="155"/>
      <c r="N82" s="155"/>
      <c r="O82" s="155"/>
      <c r="P82" s="155"/>
      <c r="Q82" s="155"/>
      <c r="R82" s="133" t="s">
        <v>6122</v>
      </c>
      <c r="S82" s="133"/>
      <c r="T82" s="133"/>
      <c r="U82" s="133"/>
      <c r="V82" s="133"/>
      <c r="W82" s="143"/>
      <c r="X82" s="143"/>
      <c r="Y82" s="143"/>
      <c r="Z82" s="143"/>
      <c r="AA82" s="143"/>
      <c r="AB82" s="171" t="str">
        <f t="shared" si="10"/>
        <v/>
      </c>
      <c r="AC82" s="171"/>
      <c r="AD82" s="171"/>
      <c r="AE82" s="171"/>
      <c r="AF82" s="171"/>
      <c r="AG82" s="121"/>
      <c r="AH82" s="121"/>
      <c r="AI82" s="121"/>
      <c r="AJ82" s="121"/>
      <c r="AK82" s="121"/>
      <c r="AL82" s="121"/>
      <c r="AM82" s="121"/>
      <c r="AN82" s="121"/>
      <c r="AO82" s="121"/>
      <c r="AP82" s="121"/>
      <c r="AQ82" s="121"/>
      <c r="AR82" s="121"/>
      <c r="AS82" s="121"/>
      <c r="AT82" s="121"/>
      <c r="AU82" s="121"/>
      <c r="AV82" s="121"/>
      <c r="AW82" s="122"/>
    </row>
    <row r="83" spans="2:53" ht="22.5" customHeight="1" thickBot="1" x14ac:dyDescent="0.3">
      <c r="B83" s="142" t="s">
        <v>6123</v>
      </c>
      <c r="C83" s="133"/>
      <c r="D83" s="133"/>
      <c r="E83" s="133"/>
      <c r="F83" s="133"/>
      <c r="G83" s="133"/>
      <c r="H83" s="133"/>
      <c r="I83" s="133"/>
      <c r="J83" s="133"/>
      <c r="K83" s="133"/>
      <c r="L83" s="133"/>
      <c r="M83" s="155">
        <v>155.87</v>
      </c>
      <c r="N83" s="155"/>
      <c r="O83" s="155"/>
      <c r="P83" s="155"/>
      <c r="Q83" s="155"/>
      <c r="R83" s="133" t="s">
        <v>6124</v>
      </c>
      <c r="S83" s="133"/>
      <c r="T83" s="133"/>
      <c r="U83" s="133"/>
      <c r="V83" s="133"/>
      <c r="W83" s="143">
        <v>0.6</v>
      </c>
      <c r="X83" s="143"/>
      <c r="Y83" s="143"/>
      <c r="Z83" s="143"/>
      <c r="AA83" s="143"/>
      <c r="AB83" s="171">
        <f t="shared" si="10"/>
        <v>93.522000000000006</v>
      </c>
      <c r="AC83" s="171"/>
      <c r="AD83" s="171"/>
      <c r="AE83" s="171"/>
      <c r="AF83" s="171"/>
      <c r="AG83" s="121" t="s">
        <v>6131</v>
      </c>
      <c r="AH83" s="121"/>
      <c r="AI83" s="121"/>
      <c r="AJ83" s="121"/>
      <c r="AK83" s="121"/>
      <c r="AL83" s="121"/>
      <c r="AM83" s="121"/>
      <c r="AN83" s="121"/>
      <c r="AO83" s="121"/>
      <c r="AP83" s="121"/>
      <c r="AQ83" s="121"/>
      <c r="AR83" s="121"/>
      <c r="AS83" s="121"/>
      <c r="AT83" s="121"/>
      <c r="AU83" s="121"/>
      <c r="AV83" s="121"/>
      <c r="AW83" s="122"/>
    </row>
    <row r="84" spans="2:53" ht="22.5" customHeight="1" thickBot="1" x14ac:dyDescent="0.3">
      <c r="B84" s="142" t="s">
        <v>6125</v>
      </c>
      <c r="C84" s="133"/>
      <c r="D84" s="133"/>
      <c r="E84" s="133"/>
      <c r="F84" s="133"/>
      <c r="G84" s="133"/>
      <c r="H84" s="133"/>
      <c r="I84" s="133"/>
      <c r="J84" s="133"/>
      <c r="K84" s="133"/>
      <c r="L84" s="133"/>
      <c r="M84" s="155">
        <v>61.5</v>
      </c>
      <c r="N84" s="155"/>
      <c r="O84" s="155"/>
      <c r="P84" s="155"/>
      <c r="Q84" s="155"/>
      <c r="R84" s="133" t="s">
        <v>6126</v>
      </c>
      <c r="S84" s="133"/>
      <c r="T84" s="133"/>
      <c r="U84" s="133"/>
      <c r="V84" s="133"/>
      <c r="W84" s="143">
        <v>0.1</v>
      </c>
      <c r="X84" s="143"/>
      <c r="Y84" s="143"/>
      <c r="Z84" s="143"/>
      <c r="AA84" s="143"/>
      <c r="AB84" s="171">
        <f t="shared" si="10"/>
        <v>6.15</v>
      </c>
      <c r="AC84" s="171"/>
      <c r="AD84" s="171"/>
      <c r="AE84" s="171"/>
      <c r="AF84" s="171"/>
      <c r="AG84" s="121"/>
      <c r="AH84" s="121"/>
      <c r="AI84" s="121"/>
      <c r="AJ84" s="121"/>
      <c r="AK84" s="121"/>
      <c r="AL84" s="121"/>
      <c r="AM84" s="121"/>
      <c r="AN84" s="121"/>
      <c r="AO84" s="121"/>
      <c r="AP84" s="121"/>
      <c r="AQ84" s="121"/>
      <c r="AR84" s="121"/>
      <c r="AS84" s="121"/>
      <c r="AT84" s="121"/>
      <c r="AU84" s="121"/>
      <c r="AV84" s="121"/>
      <c r="AW84" s="122"/>
    </row>
    <row r="85" spans="2:53" ht="22.5" customHeight="1" thickBot="1" x14ac:dyDescent="0.3">
      <c r="B85" s="142" t="s">
        <v>6127</v>
      </c>
      <c r="C85" s="133"/>
      <c r="D85" s="133"/>
      <c r="E85" s="133"/>
      <c r="F85" s="133"/>
      <c r="G85" s="133"/>
      <c r="H85" s="133"/>
      <c r="I85" s="133"/>
      <c r="J85" s="133"/>
      <c r="K85" s="133"/>
      <c r="L85" s="133"/>
      <c r="M85" s="155">
        <v>21.6</v>
      </c>
      <c r="N85" s="155"/>
      <c r="O85" s="155"/>
      <c r="P85" s="155"/>
      <c r="Q85" s="155"/>
      <c r="R85" s="133" t="s">
        <v>6113</v>
      </c>
      <c r="S85" s="133"/>
      <c r="T85" s="133"/>
      <c r="U85" s="133"/>
      <c r="V85" s="133"/>
      <c r="W85" s="143">
        <v>0.75</v>
      </c>
      <c r="X85" s="143"/>
      <c r="Y85" s="143"/>
      <c r="Z85" s="143"/>
      <c r="AA85" s="143"/>
      <c r="AB85" s="171">
        <f t="shared" si="10"/>
        <v>16.200000000000003</v>
      </c>
      <c r="AC85" s="171"/>
      <c r="AD85" s="171"/>
      <c r="AE85" s="171"/>
      <c r="AF85" s="171"/>
      <c r="AG85" s="121"/>
      <c r="AH85" s="121"/>
      <c r="AI85" s="121"/>
      <c r="AJ85" s="121"/>
      <c r="AK85" s="121"/>
      <c r="AL85" s="121"/>
      <c r="AM85" s="121"/>
      <c r="AN85" s="121"/>
      <c r="AO85" s="121"/>
      <c r="AP85" s="121"/>
      <c r="AQ85" s="121"/>
      <c r="AR85" s="121"/>
      <c r="AS85" s="121"/>
      <c r="AT85" s="121"/>
      <c r="AU85" s="121"/>
      <c r="AV85" s="121"/>
      <c r="AW85" s="122"/>
    </row>
    <row r="86" spans="2:53" ht="22.5" customHeight="1" thickBot="1" x14ac:dyDescent="0.3">
      <c r="B86" s="142" t="s">
        <v>6128</v>
      </c>
      <c r="C86" s="133"/>
      <c r="D86" s="133"/>
      <c r="E86" s="133"/>
      <c r="F86" s="133"/>
      <c r="G86" s="133"/>
      <c r="H86" s="133"/>
      <c r="I86" s="133"/>
      <c r="J86" s="133"/>
      <c r="K86" s="133"/>
      <c r="L86" s="133"/>
      <c r="M86" s="155"/>
      <c r="N86" s="155"/>
      <c r="O86" s="155"/>
      <c r="P86" s="155"/>
      <c r="Q86" s="155"/>
      <c r="R86" s="133" t="s">
        <v>6113</v>
      </c>
      <c r="S86" s="133"/>
      <c r="T86" s="133"/>
      <c r="U86" s="133"/>
      <c r="V86" s="133"/>
      <c r="W86" s="143"/>
      <c r="X86" s="143"/>
      <c r="Y86" s="143"/>
      <c r="Z86" s="143"/>
      <c r="AA86" s="143"/>
      <c r="AB86" s="171" t="str">
        <f t="shared" si="10"/>
        <v/>
      </c>
      <c r="AC86" s="171"/>
      <c r="AD86" s="171"/>
      <c r="AE86" s="171"/>
      <c r="AF86" s="171"/>
      <c r="AG86" s="121"/>
      <c r="AH86" s="121"/>
      <c r="AI86" s="121"/>
      <c r="AJ86" s="121"/>
      <c r="AK86" s="121"/>
      <c r="AL86" s="121"/>
      <c r="AM86" s="121"/>
      <c r="AN86" s="121"/>
      <c r="AO86" s="121"/>
      <c r="AP86" s="121"/>
      <c r="AQ86" s="121"/>
      <c r="AR86" s="121"/>
      <c r="AS86" s="121"/>
      <c r="AT86" s="121"/>
      <c r="AU86" s="121"/>
      <c r="AV86" s="121"/>
      <c r="AW86" s="122"/>
    </row>
    <row r="87" spans="2:53" ht="22.5" customHeight="1" thickBot="1" x14ac:dyDescent="0.3">
      <c r="B87" s="142" t="s">
        <v>6129</v>
      </c>
      <c r="C87" s="133"/>
      <c r="D87" s="133"/>
      <c r="E87" s="133"/>
      <c r="F87" s="133"/>
      <c r="G87" s="133"/>
      <c r="H87" s="133"/>
      <c r="I87" s="133"/>
      <c r="J87" s="133"/>
      <c r="K87" s="133"/>
      <c r="L87" s="133"/>
      <c r="M87" s="155"/>
      <c r="N87" s="155"/>
      <c r="O87" s="155"/>
      <c r="P87" s="155"/>
      <c r="Q87" s="155"/>
      <c r="R87" s="133" t="s">
        <v>6113</v>
      </c>
      <c r="S87" s="133"/>
      <c r="T87" s="133"/>
      <c r="U87" s="133"/>
      <c r="V87" s="133"/>
      <c r="W87" s="143"/>
      <c r="X87" s="143"/>
      <c r="Y87" s="143"/>
      <c r="Z87" s="143"/>
      <c r="AA87" s="143"/>
      <c r="AB87" s="171" t="str">
        <f t="shared" si="10"/>
        <v/>
      </c>
      <c r="AC87" s="171"/>
      <c r="AD87" s="171"/>
      <c r="AE87" s="171"/>
      <c r="AF87" s="171"/>
      <c r="AG87" s="121"/>
      <c r="AH87" s="121"/>
      <c r="AI87" s="121"/>
      <c r="AJ87" s="121"/>
      <c r="AK87" s="121"/>
      <c r="AL87" s="121"/>
      <c r="AM87" s="121"/>
      <c r="AN87" s="121"/>
      <c r="AO87" s="121"/>
      <c r="AP87" s="121"/>
      <c r="AQ87" s="121"/>
      <c r="AR87" s="121"/>
      <c r="AS87" s="121"/>
      <c r="AT87" s="121"/>
      <c r="AU87" s="121"/>
      <c r="AV87" s="121"/>
      <c r="AW87" s="122"/>
    </row>
    <row r="88" spans="2:53" ht="22.5" customHeight="1" x14ac:dyDescent="0.25">
      <c r="B88" s="172" t="s">
        <v>6133</v>
      </c>
      <c r="C88" s="115"/>
      <c r="D88" s="115"/>
      <c r="E88" s="115"/>
      <c r="F88" s="115"/>
      <c r="G88" s="115"/>
      <c r="H88" s="115"/>
      <c r="I88" s="115"/>
      <c r="J88" s="115"/>
      <c r="K88" s="115"/>
      <c r="L88" s="115"/>
      <c r="M88" s="170"/>
      <c r="N88" s="170"/>
      <c r="O88" s="170"/>
      <c r="P88" s="170"/>
      <c r="Q88" s="170"/>
      <c r="R88" s="115" t="s">
        <v>6113</v>
      </c>
      <c r="S88" s="115"/>
      <c r="T88" s="115"/>
      <c r="U88" s="115"/>
      <c r="V88" s="115"/>
      <c r="W88" s="150"/>
      <c r="X88" s="150"/>
      <c r="Y88" s="150"/>
      <c r="Z88" s="150"/>
      <c r="AA88" s="150"/>
      <c r="AB88" s="161" t="str">
        <f t="shared" si="10"/>
        <v/>
      </c>
      <c r="AC88" s="161"/>
      <c r="AD88" s="161"/>
      <c r="AE88" s="161"/>
      <c r="AF88" s="161"/>
      <c r="AG88" s="123"/>
      <c r="AH88" s="123"/>
      <c r="AI88" s="123"/>
      <c r="AJ88" s="123"/>
      <c r="AK88" s="123"/>
      <c r="AL88" s="123"/>
      <c r="AM88" s="123"/>
      <c r="AN88" s="123"/>
      <c r="AO88" s="123"/>
      <c r="AP88" s="123"/>
      <c r="AQ88" s="123"/>
      <c r="AR88" s="123"/>
      <c r="AS88" s="123"/>
      <c r="AT88" s="123"/>
      <c r="AU88" s="123"/>
      <c r="AV88" s="123"/>
      <c r="AW88" s="124"/>
    </row>
    <row r="89" spans="2:53" ht="3.75" customHeight="1" x14ac:dyDescent="0.25"/>
    <row r="90" spans="2:53" ht="22.5" customHeight="1" thickBot="1" x14ac:dyDescent="0.3">
      <c r="R90" s="134" t="s">
        <v>6110</v>
      </c>
      <c r="S90" s="135"/>
      <c r="T90" s="135"/>
      <c r="U90" s="135"/>
      <c r="V90" s="135"/>
      <c r="W90" s="135"/>
      <c r="X90" s="135"/>
      <c r="Y90" s="135"/>
      <c r="Z90" s="135"/>
      <c r="AA90" s="135"/>
      <c r="AB90" s="164">
        <f>SUM(AB75:AF88)</f>
        <v>690.14700000000005</v>
      </c>
      <c r="AC90" s="164"/>
      <c r="AD90" s="164"/>
      <c r="AE90" s="164"/>
      <c r="AF90" s="165"/>
    </row>
    <row r="91" spans="2:53" ht="22.5" customHeight="1" thickBot="1" x14ac:dyDescent="0.3">
      <c r="R91" s="159" t="s">
        <v>6135</v>
      </c>
      <c r="S91" s="160"/>
      <c r="T91" s="160"/>
      <c r="U91" s="160"/>
      <c r="V91" s="160"/>
      <c r="W91" s="160"/>
      <c r="X91" s="160"/>
      <c r="Y91" s="160"/>
      <c r="Z91" s="160"/>
      <c r="AA91" s="160"/>
      <c r="AB91" s="166">
        <f>J49-(SUM(M75:Q88)-M84-M88)</f>
        <v>1456.6</v>
      </c>
      <c r="AC91" s="166"/>
      <c r="AD91" s="166"/>
      <c r="AE91" s="166"/>
      <c r="AF91" s="167"/>
    </row>
    <row r="92" spans="2:53" ht="22.5" customHeight="1" x14ac:dyDescent="0.25">
      <c r="R92" s="162" t="s">
        <v>6136</v>
      </c>
      <c r="S92" s="163"/>
      <c r="T92" s="163"/>
      <c r="U92" s="163"/>
      <c r="V92" s="163"/>
      <c r="W92" s="163"/>
      <c r="X92" s="163"/>
      <c r="Y92" s="163"/>
      <c r="Z92" s="163"/>
      <c r="AA92" s="163"/>
      <c r="AB92" s="385">
        <f>AB90+AB91</f>
        <v>2146.7469999999998</v>
      </c>
      <c r="AC92" s="385"/>
      <c r="AD92" s="385"/>
      <c r="AE92" s="385"/>
      <c r="AF92" s="386"/>
    </row>
    <row r="93" spans="2:53" ht="22.5" customHeight="1" x14ac:dyDescent="0.25"/>
    <row r="94" spans="2:53" ht="22.5" customHeight="1" thickBot="1" x14ac:dyDescent="0.3">
      <c r="B94" s="134" t="s">
        <v>6137</v>
      </c>
      <c r="C94" s="135"/>
      <c r="D94" s="135"/>
      <c r="E94" s="135"/>
      <c r="F94" s="135"/>
      <c r="G94" s="135"/>
      <c r="H94" s="135"/>
      <c r="I94" s="135"/>
      <c r="J94" s="135"/>
      <c r="K94" s="135"/>
      <c r="L94" s="135"/>
      <c r="M94" s="135"/>
      <c r="N94" s="135"/>
      <c r="O94" s="135"/>
      <c r="P94" s="135"/>
      <c r="Q94" s="135"/>
      <c r="R94" s="135" t="s">
        <v>6138</v>
      </c>
      <c r="S94" s="135"/>
      <c r="T94" s="135"/>
      <c r="U94" s="135"/>
      <c r="V94" s="135"/>
      <c r="W94" s="135" t="s">
        <v>6139</v>
      </c>
      <c r="X94" s="135"/>
      <c r="Y94" s="135"/>
      <c r="Z94" s="135"/>
      <c r="AA94" s="135"/>
      <c r="AB94" s="135" t="s">
        <v>6140</v>
      </c>
      <c r="AC94" s="135"/>
      <c r="AD94" s="135"/>
      <c r="AE94" s="135"/>
      <c r="AF94" s="135"/>
      <c r="AG94" s="135" t="s">
        <v>6141</v>
      </c>
      <c r="AH94" s="135"/>
      <c r="AI94" s="135"/>
      <c r="AJ94" s="135"/>
      <c r="AK94" s="135"/>
      <c r="AL94" s="135" t="s">
        <v>6111</v>
      </c>
      <c r="AM94" s="135"/>
      <c r="AN94" s="135"/>
      <c r="AO94" s="135"/>
      <c r="AP94" s="135"/>
      <c r="AQ94" s="135"/>
      <c r="AR94" s="135"/>
      <c r="AS94" s="135"/>
      <c r="AT94" s="135"/>
      <c r="AU94" s="135"/>
      <c r="AV94" s="135"/>
      <c r="AW94" s="136"/>
      <c r="AY94" s="75"/>
      <c r="AZ94" s="65"/>
      <c r="BA94" s="65"/>
    </row>
    <row r="95" spans="2:53" ht="22.5" customHeight="1" thickBot="1" x14ac:dyDescent="0.3">
      <c r="B95" s="146" t="s">
        <v>6155</v>
      </c>
      <c r="C95" s="147"/>
      <c r="D95" s="147"/>
      <c r="E95" s="147"/>
      <c r="F95" s="147"/>
      <c r="G95" s="147"/>
      <c r="H95" s="147"/>
      <c r="I95" s="147"/>
      <c r="J95" s="147"/>
      <c r="K95" s="147"/>
      <c r="L95" s="147"/>
      <c r="M95" s="147"/>
      <c r="N95" s="147"/>
      <c r="O95" s="147"/>
      <c r="P95" s="147"/>
      <c r="Q95" s="147"/>
      <c r="R95" s="143">
        <v>1</v>
      </c>
      <c r="S95" s="143"/>
      <c r="T95" s="143"/>
      <c r="U95" s="143"/>
      <c r="V95" s="143"/>
      <c r="W95" s="144" t="s">
        <v>6142</v>
      </c>
      <c r="X95" s="144"/>
      <c r="Y95" s="144"/>
      <c r="Z95" s="144"/>
      <c r="AA95" s="144"/>
      <c r="AB95" s="145">
        <v>216283.9</v>
      </c>
      <c r="AC95" s="145"/>
      <c r="AD95" s="145"/>
      <c r="AE95" s="145"/>
      <c r="AF95" s="145"/>
      <c r="AG95" s="133">
        <f>IF(R95="","",IF(AB95="","",AB95*R95))</f>
        <v>216283.9</v>
      </c>
      <c r="AH95" s="133"/>
      <c r="AI95" s="133"/>
      <c r="AJ95" s="133"/>
      <c r="AK95" s="133"/>
      <c r="AL95" s="121"/>
      <c r="AM95" s="121"/>
      <c r="AN95" s="121"/>
      <c r="AO95" s="121"/>
      <c r="AP95" s="121"/>
      <c r="AQ95" s="121"/>
      <c r="AR95" s="121"/>
      <c r="AS95" s="121"/>
      <c r="AT95" s="121"/>
      <c r="AU95" s="121"/>
      <c r="AV95" s="121"/>
      <c r="AW95" s="122"/>
      <c r="AY95" s="91"/>
      <c r="AZ95" s="73"/>
      <c r="BA95" s="73"/>
    </row>
    <row r="96" spans="2:53" ht="22.5" customHeight="1" thickBot="1" x14ac:dyDescent="0.3">
      <c r="B96" s="146" t="s">
        <v>6143</v>
      </c>
      <c r="C96" s="147"/>
      <c r="D96" s="147"/>
      <c r="E96" s="147"/>
      <c r="F96" s="147"/>
      <c r="G96" s="147"/>
      <c r="H96" s="147"/>
      <c r="I96" s="147"/>
      <c r="J96" s="147"/>
      <c r="K96" s="147"/>
      <c r="L96" s="147"/>
      <c r="M96" s="147"/>
      <c r="N96" s="147"/>
      <c r="O96" s="147"/>
      <c r="P96" s="147"/>
      <c r="Q96" s="147"/>
      <c r="R96" s="143">
        <v>1</v>
      </c>
      <c r="S96" s="143"/>
      <c r="T96" s="143"/>
      <c r="U96" s="143"/>
      <c r="V96" s="143"/>
      <c r="W96" s="144" t="s">
        <v>6142</v>
      </c>
      <c r="X96" s="144"/>
      <c r="Y96" s="144"/>
      <c r="Z96" s="144"/>
      <c r="AA96" s="144"/>
      <c r="AB96" s="145">
        <v>210000</v>
      </c>
      <c r="AC96" s="145"/>
      <c r="AD96" s="145"/>
      <c r="AE96" s="145"/>
      <c r="AF96" s="145"/>
      <c r="AG96" s="133">
        <f t="shared" ref="AG96:AG109" si="11">IF(R96="","",IF(AB96="","",AB96*R96))</f>
        <v>210000</v>
      </c>
      <c r="AH96" s="133"/>
      <c r="AI96" s="133"/>
      <c r="AJ96" s="133"/>
      <c r="AK96" s="133"/>
      <c r="AL96" s="121"/>
      <c r="AM96" s="121"/>
      <c r="AN96" s="121"/>
      <c r="AO96" s="121"/>
      <c r="AP96" s="121"/>
      <c r="AQ96" s="121"/>
      <c r="AR96" s="121"/>
      <c r="AS96" s="121"/>
      <c r="AT96" s="121"/>
      <c r="AU96" s="121"/>
      <c r="AV96" s="121"/>
      <c r="AW96" s="122"/>
      <c r="AY96" s="91"/>
      <c r="AZ96" s="73"/>
      <c r="BA96" s="73"/>
    </row>
    <row r="97" spans="2:53" ht="22.5" customHeight="1" thickBot="1" x14ac:dyDescent="0.3">
      <c r="B97" s="146" t="s">
        <v>6144</v>
      </c>
      <c r="C97" s="147"/>
      <c r="D97" s="147"/>
      <c r="E97" s="147"/>
      <c r="F97" s="147"/>
      <c r="G97" s="147"/>
      <c r="H97" s="147"/>
      <c r="I97" s="147"/>
      <c r="J97" s="147"/>
      <c r="K97" s="147"/>
      <c r="L97" s="147"/>
      <c r="M97" s="147"/>
      <c r="N97" s="147"/>
      <c r="O97" s="147"/>
      <c r="P97" s="147"/>
      <c r="Q97" s="147"/>
      <c r="R97" s="143"/>
      <c r="S97" s="143"/>
      <c r="T97" s="143"/>
      <c r="U97" s="143"/>
      <c r="V97" s="143"/>
      <c r="W97" s="144"/>
      <c r="X97" s="144"/>
      <c r="Y97" s="144"/>
      <c r="Z97" s="144"/>
      <c r="AA97" s="144"/>
      <c r="AB97" s="145"/>
      <c r="AC97" s="145"/>
      <c r="AD97" s="145"/>
      <c r="AE97" s="145"/>
      <c r="AF97" s="145"/>
      <c r="AG97" s="133" t="str">
        <f t="shared" si="11"/>
        <v/>
      </c>
      <c r="AH97" s="133"/>
      <c r="AI97" s="133"/>
      <c r="AJ97" s="133"/>
      <c r="AK97" s="133"/>
      <c r="AL97" s="121"/>
      <c r="AM97" s="121"/>
      <c r="AN97" s="121"/>
      <c r="AO97" s="121"/>
      <c r="AP97" s="121"/>
      <c r="AQ97" s="121"/>
      <c r="AR97" s="121"/>
      <c r="AS97" s="121"/>
      <c r="AT97" s="121"/>
      <c r="AU97" s="121"/>
      <c r="AV97" s="121"/>
      <c r="AW97" s="122"/>
      <c r="AY97" s="91"/>
      <c r="AZ97" s="73"/>
      <c r="BA97" s="73"/>
    </row>
    <row r="98" spans="2:53" ht="22.5" customHeight="1" thickBot="1" x14ac:dyDescent="0.3">
      <c r="B98" s="146" t="s">
        <v>6145</v>
      </c>
      <c r="C98" s="147"/>
      <c r="D98" s="147"/>
      <c r="E98" s="147"/>
      <c r="F98" s="147"/>
      <c r="G98" s="147"/>
      <c r="H98" s="147"/>
      <c r="I98" s="147"/>
      <c r="J98" s="147"/>
      <c r="K98" s="147"/>
      <c r="L98" s="147"/>
      <c r="M98" s="147"/>
      <c r="N98" s="147"/>
      <c r="O98" s="147"/>
      <c r="P98" s="147"/>
      <c r="Q98" s="147"/>
      <c r="R98" s="143"/>
      <c r="S98" s="143"/>
      <c r="T98" s="143"/>
      <c r="U98" s="143"/>
      <c r="V98" s="143"/>
      <c r="W98" s="144"/>
      <c r="X98" s="144"/>
      <c r="Y98" s="144"/>
      <c r="Z98" s="144"/>
      <c r="AA98" s="144"/>
      <c r="AB98" s="145"/>
      <c r="AC98" s="145"/>
      <c r="AD98" s="145"/>
      <c r="AE98" s="145"/>
      <c r="AF98" s="145"/>
      <c r="AG98" s="133" t="str">
        <f t="shared" si="11"/>
        <v/>
      </c>
      <c r="AH98" s="133"/>
      <c r="AI98" s="133"/>
      <c r="AJ98" s="133"/>
      <c r="AK98" s="133"/>
      <c r="AL98" s="121"/>
      <c r="AM98" s="121"/>
      <c r="AN98" s="121"/>
      <c r="AO98" s="121"/>
      <c r="AP98" s="121"/>
      <c r="AQ98" s="121"/>
      <c r="AR98" s="121"/>
      <c r="AS98" s="121"/>
      <c r="AT98" s="121"/>
      <c r="AU98" s="121"/>
      <c r="AV98" s="121"/>
      <c r="AW98" s="122"/>
      <c r="AY98" s="91"/>
      <c r="AZ98" s="73"/>
      <c r="BA98" s="73"/>
    </row>
    <row r="99" spans="2:53" ht="22.5" customHeight="1" thickBot="1" x14ac:dyDescent="0.3">
      <c r="B99" s="146" t="s">
        <v>6146</v>
      </c>
      <c r="C99" s="147"/>
      <c r="D99" s="147"/>
      <c r="E99" s="147"/>
      <c r="F99" s="147"/>
      <c r="G99" s="147"/>
      <c r="H99" s="147"/>
      <c r="I99" s="147"/>
      <c r="J99" s="147"/>
      <c r="K99" s="147"/>
      <c r="L99" s="147"/>
      <c r="M99" s="147"/>
      <c r="N99" s="147"/>
      <c r="O99" s="147"/>
      <c r="P99" s="147"/>
      <c r="Q99" s="147"/>
      <c r="R99" s="143">
        <v>1</v>
      </c>
      <c r="S99" s="143"/>
      <c r="T99" s="143"/>
      <c r="U99" s="143"/>
      <c r="V99" s="143"/>
      <c r="W99" s="144" t="s">
        <v>6142</v>
      </c>
      <c r="X99" s="144"/>
      <c r="Y99" s="144"/>
      <c r="Z99" s="144"/>
      <c r="AA99" s="144"/>
      <c r="AB99" s="145">
        <v>6000</v>
      </c>
      <c r="AC99" s="145"/>
      <c r="AD99" s="145"/>
      <c r="AE99" s="145"/>
      <c r="AF99" s="145"/>
      <c r="AG99" s="133">
        <f t="shared" si="11"/>
        <v>6000</v>
      </c>
      <c r="AH99" s="133"/>
      <c r="AI99" s="133"/>
      <c r="AJ99" s="133"/>
      <c r="AK99" s="133"/>
      <c r="AL99" s="121"/>
      <c r="AM99" s="121"/>
      <c r="AN99" s="121"/>
      <c r="AO99" s="121"/>
      <c r="AP99" s="121"/>
      <c r="AQ99" s="121"/>
      <c r="AR99" s="121"/>
      <c r="AS99" s="121"/>
      <c r="AT99" s="121"/>
      <c r="AU99" s="121"/>
      <c r="AV99" s="121"/>
      <c r="AW99" s="122"/>
      <c r="AY99" s="91"/>
      <c r="AZ99" s="73"/>
      <c r="BA99" s="73"/>
    </row>
    <row r="100" spans="2:53" ht="22.5" customHeight="1" thickBot="1" x14ac:dyDescent="0.3">
      <c r="B100" s="146" t="s">
        <v>6147</v>
      </c>
      <c r="C100" s="147"/>
      <c r="D100" s="147"/>
      <c r="E100" s="147"/>
      <c r="F100" s="147"/>
      <c r="G100" s="147"/>
      <c r="H100" s="147"/>
      <c r="I100" s="147"/>
      <c r="J100" s="147"/>
      <c r="K100" s="147"/>
      <c r="L100" s="147"/>
      <c r="M100" s="147"/>
      <c r="N100" s="147"/>
      <c r="O100" s="147"/>
      <c r="P100" s="147"/>
      <c r="Q100" s="147"/>
      <c r="R100" s="143"/>
      <c r="S100" s="143"/>
      <c r="T100" s="143"/>
      <c r="U100" s="143"/>
      <c r="V100" s="143"/>
      <c r="W100" s="144"/>
      <c r="X100" s="144"/>
      <c r="Y100" s="144"/>
      <c r="Z100" s="144"/>
      <c r="AA100" s="144"/>
      <c r="AB100" s="145"/>
      <c r="AC100" s="145"/>
      <c r="AD100" s="145"/>
      <c r="AE100" s="145"/>
      <c r="AF100" s="145"/>
      <c r="AG100" s="133" t="str">
        <f t="shared" si="11"/>
        <v/>
      </c>
      <c r="AH100" s="133"/>
      <c r="AI100" s="133"/>
      <c r="AJ100" s="133"/>
      <c r="AK100" s="133"/>
      <c r="AL100" s="121"/>
      <c r="AM100" s="121"/>
      <c r="AN100" s="121"/>
      <c r="AO100" s="121"/>
      <c r="AP100" s="121"/>
      <c r="AQ100" s="121"/>
      <c r="AR100" s="121"/>
      <c r="AS100" s="121"/>
      <c r="AT100" s="121"/>
      <c r="AU100" s="121"/>
      <c r="AV100" s="121"/>
      <c r="AW100" s="122"/>
      <c r="AY100" s="91"/>
      <c r="AZ100" s="73"/>
      <c r="BA100" s="73"/>
    </row>
    <row r="101" spans="2:53" ht="22.5" customHeight="1" thickBot="1" x14ac:dyDescent="0.3">
      <c r="B101" s="146" t="s">
        <v>6148</v>
      </c>
      <c r="C101" s="147"/>
      <c r="D101" s="147"/>
      <c r="E101" s="147"/>
      <c r="F101" s="147"/>
      <c r="G101" s="147"/>
      <c r="H101" s="147"/>
      <c r="I101" s="147"/>
      <c r="J101" s="147"/>
      <c r="K101" s="147"/>
      <c r="L101" s="147"/>
      <c r="M101" s="147"/>
      <c r="N101" s="147"/>
      <c r="O101" s="147"/>
      <c r="P101" s="147"/>
      <c r="Q101" s="147"/>
      <c r="R101" s="143">
        <v>63</v>
      </c>
      <c r="S101" s="143"/>
      <c r="T101" s="143"/>
      <c r="U101" s="143"/>
      <c r="V101" s="143"/>
      <c r="W101" s="144" t="s">
        <v>6142</v>
      </c>
      <c r="X101" s="144"/>
      <c r="Y101" s="144"/>
      <c r="Z101" s="144"/>
      <c r="AA101" s="144"/>
      <c r="AB101" s="145">
        <v>1000</v>
      </c>
      <c r="AC101" s="145"/>
      <c r="AD101" s="145"/>
      <c r="AE101" s="145"/>
      <c r="AF101" s="145"/>
      <c r="AG101" s="133">
        <f t="shared" si="11"/>
        <v>63000</v>
      </c>
      <c r="AH101" s="133"/>
      <c r="AI101" s="133"/>
      <c r="AJ101" s="133"/>
      <c r="AK101" s="133"/>
      <c r="AL101" s="121"/>
      <c r="AM101" s="121"/>
      <c r="AN101" s="121"/>
      <c r="AO101" s="121"/>
      <c r="AP101" s="121"/>
      <c r="AQ101" s="121"/>
      <c r="AR101" s="121"/>
      <c r="AS101" s="121"/>
      <c r="AT101" s="121"/>
      <c r="AU101" s="121"/>
      <c r="AV101" s="121"/>
      <c r="AW101" s="122"/>
      <c r="AY101" s="91"/>
      <c r="AZ101" s="73"/>
      <c r="BA101" s="73"/>
    </row>
    <row r="102" spans="2:53" ht="22.5" customHeight="1" thickBot="1" x14ac:dyDescent="0.3">
      <c r="B102" s="146" t="s">
        <v>6149</v>
      </c>
      <c r="C102" s="147"/>
      <c r="D102" s="147"/>
      <c r="E102" s="147"/>
      <c r="F102" s="147"/>
      <c r="G102" s="147"/>
      <c r="H102" s="147"/>
      <c r="I102" s="147"/>
      <c r="J102" s="147"/>
      <c r="K102" s="147"/>
      <c r="L102" s="147"/>
      <c r="M102" s="147"/>
      <c r="N102" s="147"/>
      <c r="O102" s="147"/>
      <c r="P102" s="147"/>
      <c r="Q102" s="147"/>
      <c r="R102" s="143"/>
      <c r="S102" s="143"/>
      <c r="T102" s="143"/>
      <c r="U102" s="143"/>
      <c r="V102" s="143"/>
      <c r="W102" s="144"/>
      <c r="X102" s="144"/>
      <c r="Y102" s="144"/>
      <c r="Z102" s="144"/>
      <c r="AA102" s="144"/>
      <c r="AB102" s="145"/>
      <c r="AC102" s="145"/>
      <c r="AD102" s="145"/>
      <c r="AE102" s="145"/>
      <c r="AF102" s="145"/>
      <c r="AG102" s="133" t="str">
        <f t="shared" si="11"/>
        <v/>
      </c>
      <c r="AH102" s="133"/>
      <c r="AI102" s="133"/>
      <c r="AJ102" s="133"/>
      <c r="AK102" s="133"/>
      <c r="AL102" s="121"/>
      <c r="AM102" s="121"/>
      <c r="AN102" s="121"/>
      <c r="AO102" s="121"/>
      <c r="AP102" s="121"/>
      <c r="AQ102" s="121"/>
      <c r="AR102" s="121"/>
      <c r="AS102" s="121"/>
      <c r="AT102" s="121"/>
      <c r="AU102" s="121"/>
      <c r="AV102" s="121"/>
      <c r="AW102" s="122"/>
      <c r="AY102" s="91"/>
      <c r="AZ102" s="73"/>
      <c r="BA102" s="73"/>
    </row>
    <row r="103" spans="2:53" ht="22.5" customHeight="1" thickBot="1" x14ac:dyDescent="0.3">
      <c r="B103" s="146" t="s">
        <v>6150</v>
      </c>
      <c r="C103" s="147"/>
      <c r="D103" s="147"/>
      <c r="E103" s="147"/>
      <c r="F103" s="147"/>
      <c r="G103" s="147"/>
      <c r="H103" s="147"/>
      <c r="I103" s="147"/>
      <c r="J103" s="147"/>
      <c r="K103" s="147"/>
      <c r="L103" s="147"/>
      <c r="M103" s="147"/>
      <c r="N103" s="147"/>
      <c r="O103" s="147"/>
      <c r="P103" s="147"/>
      <c r="Q103" s="147"/>
      <c r="R103" s="143">
        <v>10</v>
      </c>
      <c r="S103" s="143"/>
      <c r="T103" s="143"/>
      <c r="U103" s="143"/>
      <c r="V103" s="143"/>
      <c r="W103" s="144" t="s">
        <v>6142</v>
      </c>
      <c r="X103" s="144"/>
      <c r="Y103" s="144"/>
      <c r="Z103" s="144"/>
      <c r="AA103" s="144"/>
      <c r="AB103" s="145">
        <v>500</v>
      </c>
      <c r="AC103" s="145"/>
      <c r="AD103" s="145"/>
      <c r="AE103" s="145"/>
      <c r="AF103" s="145"/>
      <c r="AG103" s="133">
        <f t="shared" si="11"/>
        <v>5000</v>
      </c>
      <c r="AH103" s="133"/>
      <c r="AI103" s="133"/>
      <c r="AJ103" s="133"/>
      <c r="AK103" s="133"/>
      <c r="AL103" s="121"/>
      <c r="AM103" s="121"/>
      <c r="AN103" s="121"/>
      <c r="AO103" s="121"/>
      <c r="AP103" s="121"/>
      <c r="AQ103" s="121"/>
      <c r="AR103" s="121"/>
      <c r="AS103" s="121"/>
      <c r="AT103" s="121"/>
      <c r="AU103" s="121"/>
      <c r="AV103" s="121"/>
      <c r="AW103" s="122"/>
      <c r="AY103" s="91"/>
      <c r="AZ103" s="73"/>
      <c r="BA103" s="73"/>
    </row>
    <row r="104" spans="2:53" ht="22.5" customHeight="1" thickBot="1" x14ac:dyDescent="0.3">
      <c r="B104" s="146" t="s">
        <v>6156</v>
      </c>
      <c r="C104" s="147"/>
      <c r="D104" s="147"/>
      <c r="E104" s="147"/>
      <c r="F104" s="147"/>
      <c r="G104" s="147"/>
      <c r="H104" s="147"/>
      <c r="I104" s="147"/>
      <c r="J104" s="147"/>
      <c r="K104" s="147"/>
      <c r="L104" s="147"/>
      <c r="M104" s="147"/>
      <c r="N104" s="147"/>
      <c r="O104" s="147"/>
      <c r="P104" s="147"/>
      <c r="Q104" s="147"/>
      <c r="R104" s="143"/>
      <c r="S104" s="143"/>
      <c r="T104" s="143"/>
      <c r="U104" s="143"/>
      <c r="V104" s="143"/>
      <c r="W104" s="144"/>
      <c r="X104" s="144"/>
      <c r="Y104" s="144"/>
      <c r="Z104" s="144"/>
      <c r="AA104" s="144"/>
      <c r="AB104" s="145"/>
      <c r="AC104" s="145"/>
      <c r="AD104" s="145"/>
      <c r="AE104" s="145"/>
      <c r="AF104" s="145"/>
      <c r="AG104" s="133" t="str">
        <f t="shared" si="11"/>
        <v/>
      </c>
      <c r="AH104" s="133"/>
      <c r="AI104" s="133"/>
      <c r="AJ104" s="133"/>
      <c r="AK104" s="133"/>
      <c r="AL104" s="121"/>
      <c r="AM104" s="121"/>
      <c r="AN104" s="121"/>
      <c r="AO104" s="121"/>
      <c r="AP104" s="121"/>
      <c r="AQ104" s="121"/>
      <c r="AR104" s="121"/>
      <c r="AS104" s="121"/>
      <c r="AT104" s="121"/>
      <c r="AU104" s="121"/>
      <c r="AV104" s="121"/>
      <c r="AW104" s="122"/>
      <c r="AY104" s="91"/>
      <c r="AZ104" s="73"/>
      <c r="BA104" s="73"/>
    </row>
    <row r="105" spans="2:53" ht="22.5" customHeight="1" thickBot="1" x14ac:dyDescent="0.3">
      <c r="B105" s="146" t="s">
        <v>6151</v>
      </c>
      <c r="C105" s="147"/>
      <c r="D105" s="147"/>
      <c r="E105" s="147"/>
      <c r="F105" s="147"/>
      <c r="G105" s="147"/>
      <c r="H105" s="147"/>
      <c r="I105" s="147"/>
      <c r="J105" s="147"/>
      <c r="K105" s="147"/>
      <c r="L105" s="147"/>
      <c r="M105" s="147"/>
      <c r="N105" s="147"/>
      <c r="O105" s="147"/>
      <c r="P105" s="147"/>
      <c r="Q105" s="147"/>
      <c r="R105" s="143"/>
      <c r="S105" s="143"/>
      <c r="T105" s="143"/>
      <c r="U105" s="143"/>
      <c r="V105" s="143"/>
      <c r="W105" s="144"/>
      <c r="X105" s="144"/>
      <c r="Y105" s="144"/>
      <c r="Z105" s="144"/>
      <c r="AA105" s="144"/>
      <c r="AB105" s="145"/>
      <c r="AC105" s="145"/>
      <c r="AD105" s="145"/>
      <c r="AE105" s="145"/>
      <c r="AF105" s="145"/>
      <c r="AG105" s="133" t="str">
        <f t="shared" si="11"/>
        <v/>
      </c>
      <c r="AH105" s="133"/>
      <c r="AI105" s="133"/>
      <c r="AJ105" s="133"/>
      <c r="AK105" s="133"/>
      <c r="AL105" s="121"/>
      <c r="AM105" s="121"/>
      <c r="AN105" s="121"/>
      <c r="AO105" s="121"/>
      <c r="AP105" s="121"/>
      <c r="AQ105" s="121"/>
      <c r="AR105" s="121"/>
      <c r="AS105" s="121"/>
      <c r="AT105" s="121"/>
      <c r="AU105" s="121"/>
      <c r="AV105" s="121"/>
      <c r="AW105" s="122"/>
      <c r="AY105" s="91"/>
      <c r="AZ105" s="73"/>
      <c r="BA105" s="73"/>
    </row>
    <row r="106" spans="2:53" ht="22.5" customHeight="1" thickBot="1" x14ac:dyDescent="0.3">
      <c r="B106" s="146" t="s">
        <v>6157</v>
      </c>
      <c r="C106" s="147"/>
      <c r="D106" s="147"/>
      <c r="E106" s="147"/>
      <c r="F106" s="147"/>
      <c r="G106" s="147"/>
      <c r="H106" s="147"/>
      <c r="I106" s="147"/>
      <c r="J106" s="147"/>
      <c r="K106" s="147"/>
      <c r="L106" s="147"/>
      <c r="M106" s="147"/>
      <c r="N106" s="147"/>
      <c r="O106" s="147"/>
      <c r="P106" s="147"/>
      <c r="Q106" s="147"/>
      <c r="R106" s="143"/>
      <c r="S106" s="143"/>
      <c r="T106" s="143"/>
      <c r="U106" s="143"/>
      <c r="V106" s="143"/>
      <c r="W106" s="144"/>
      <c r="X106" s="144"/>
      <c r="Y106" s="144"/>
      <c r="Z106" s="144"/>
      <c r="AA106" s="144"/>
      <c r="AB106" s="145"/>
      <c r="AC106" s="145"/>
      <c r="AD106" s="145"/>
      <c r="AE106" s="145"/>
      <c r="AF106" s="145"/>
      <c r="AG106" s="133" t="str">
        <f t="shared" si="11"/>
        <v/>
      </c>
      <c r="AH106" s="133"/>
      <c r="AI106" s="133"/>
      <c r="AJ106" s="133"/>
      <c r="AK106" s="133"/>
      <c r="AL106" s="121"/>
      <c r="AM106" s="121"/>
      <c r="AN106" s="121"/>
      <c r="AO106" s="121"/>
      <c r="AP106" s="121"/>
      <c r="AQ106" s="121"/>
      <c r="AR106" s="121"/>
      <c r="AS106" s="121"/>
      <c r="AT106" s="121"/>
      <c r="AU106" s="121"/>
      <c r="AV106" s="121"/>
      <c r="AW106" s="122"/>
      <c r="AY106" s="91"/>
      <c r="AZ106" s="73"/>
      <c r="BA106" s="73"/>
    </row>
    <row r="107" spans="2:53" ht="22.5" customHeight="1" thickBot="1" x14ac:dyDescent="0.3">
      <c r="B107" s="146" t="s">
        <v>6152</v>
      </c>
      <c r="C107" s="147"/>
      <c r="D107" s="147"/>
      <c r="E107" s="147"/>
      <c r="F107" s="147"/>
      <c r="G107" s="147"/>
      <c r="H107" s="147"/>
      <c r="I107" s="147"/>
      <c r="J107" s="147"/>
      <c r="K107" s="147"/>
      <c r="L107" s="147"/>
      <c r="M107" s="147"/>
      <c r="N107" s="147"/>
      <c r="O107" s="147"/>
      <c r="P107" s="147"/>
      <c r="Q107" s="147"/>
      <c r="R107" s="143">
        <v>1</v>
      </c>
      <c r="S107" s="143"/>
      <c r="T107" s="143"/>
      <c r="U107" s="143"/>
      <c r="V107" s="143"/>
      <c r="W107" s="144" t="s">
        <v>6142</v>
      </c>
      <c r="X107" s="144"/>
      <c r="Y107" s="144"/>
      <c r="Z107" s="144"/>
      <c r="AA107" s="144"/>
      <c r="AB107" s="145">
        <v>5000</v>
      </c>
      <c r="AC107" s="145"/>
      <c r="AD107" s="145"/>
      <c r="AE107" s="145"/>
      <c r="AF107" s="145"/>
      <c r="AG107" s="133">
        <f t="shared" si="11"/>
        <v>5000</v>
      </c>
      <c r="AH107" s="133"/>
      <c r="AI107" s="133"/>
      <c r="AJ107" s="133"/>
      <c r="AK107" s="133"/>
      <c r="AL107" s="121"/>
      <c r="AM107" s="121"/>
      <c r="AN107" s="121"/>
      <c r="AO107" s="121"/>
      <c r="AP107" s="121"/>
      <c r="AQ107" s="121"/>
      <c r="AR107" s="121"/>
      <c r="AS107" s="121"/>
      <c r="AT107" s="121"/>
      <c r="AU107" s="121"/>
      <c r="AV107" s="121"/>
      <c r="AW107" s="122"/>
      <c r="AY107" s="91"/>
      <c r="AZ107" s="73"/>
      <c r="BA107" s="73"/>
    </row>
    <row r="108" spans="2:53" ht="22.5" customHeight="1" thickBot="1" x14ac:dyDescent="0.3">
      <c r="B108" s="146" t="s">
        <v>6153</v>
      </c>
      <c r="C108" s="147"/>
      <c r="D108" s="147"/>
      <c r="E108" s="147"/>
      <c r="F108" s="147"/>
      <c r="G108" s="147"/>
      <c r="H108" s="147"/>
      <c r="I108" s="147"/>
      <c r="J108" s="147"/>
      <c r="K108" s="147"/>
      <c r="L108" s="147"/>
      <c r="M108" s="147"/>
      <c r="N108" s="147"/>
      <c r="O108" s="147"/>
      <c r="P108" s="147"/>
      <c r="Q108" s="147"/>
      <c r="R108" s="143">
        <v>1</v>
      </c>
      <c r="S108" s="143"/>
      <c r="T108" s="143"/>
      <c r="U108" s="143"/>
      <c r="V108" s="143"/>
      <c r="W108" s="144" t="s">
        <v>6142</v>
      </c>
      <c r="X108" s="144"/>
      <c r="Y108" s="144"/>
      <c r="Z108" s="144"/>
      <c r="AA108" s="144"/>
      <c r="AB108" s="145">
        <v>10000</v>
      </c>
      <c r="AC108" s="145"/>
      <c r="AD108" s="145"/>
      <c r="AE108" s="145"/>
      <c r="AF108" s="145"/>
      <c r="AG108" s="133">
        <f t="shared" si="11"/>
        <v>10000</v>
      </c>
      <c r="AH108" s="133"/>
      <c r="AI108" s="133"/>
      <c r="AJ108" s="133"/>
      <c r="AK108" s="133"/>
      <c r="AL108" s="121"/>
      <c r="AM108" s="121"/>
      <c r="AN108" s="121"/>
      <c r="AO108" s="121"/>
      <c r="AP108" s="121"/>
      <c r="AQ108" s="121"/>
      <c r="AR108" s="121"/>
      <c r="AS108" s="121"/>
      <c r="AT108" s="121"/>
      <c r="AU108" s="121"/>
      <c r="AV108" s="121"/>
      <c r="AW108" s="122"/>
      <c r="AY108" s="92"/>
      <c r="AZ108" s="74"/>
      <c r="BA108" s="74"/>
    </row>
    <row r="109" spans="2:53" ht="22.5" customHeight="1" x14ac:dyDescent="0.25">
      <c r="B109" s="148" t="s">
        <v>6154</v>
      </c>
      <c r="C109" s="149"/>
      <c r="D109" s="149"/>
      <c r="E109" s="149"/>
      <c r="F109" s="149"/>
      <c r="G109" s="149"/>
      <c r="H109" s="149"/>
      <c r="I109" s="149"/>
      <c r="J109" s="149"/>
      <c r="K109" s="149"/>
      <c r="L109" s="149"/>
      <c r="M109" s="149"/>
      <c r="N109" s="149"/>
      <c r="O109" s="149"/>
      <c r="P109" s="149"/>
      <c r="Q109" s="149"/>
      <c r="R109" s="150"/>
      <c r="S109" s="150"/>
      <c r="T109" s="150"/>
      <c r="U109" s="150"/>
      <c r="V109" s="150"/>
      <c r="W109" s="151"/>
      <c r="X109" s="151"/>
      <c r="Y109" s="151"/>
      <c r="Z109" s="151"/>
      <c r="AA109" s="151"/>
      <c r="AB109" s="129"/>
      <c r="AC109" s="129"/>
      <c r="AD109" s="129"/>
      <c r="AE109" s="129"/>
      <c r="AF109" s="129"/>
      <c r="AG109" s="115" t="str">
        <f t="shared" si="11"/>
        <v/>
      </c>
      <c r="AH109" s="115"/>
      <c r="AI109" s="115"/>
      <c r="AJ109" s="115"/>
      <c r="AK109" s="115"/>
      <c r="AL109" s="123"/>
      <c r="AM109" s="123"/>
      <c r="AN109" s="123"/>
      <c r="AO109" s="123"/>
      <c r="AP109" s="123"/>
      <c r="AQ109" s="123"/>
      <c r="AR109" s="123"/>
      <c r="AS109" s="123"/>
      <c r="AT109" s="123"/>
      <c r="AU109" s="123"/>
      <c r="AV109" s="123"/>
      <c r="AW109" s="124"/>
    </row>
    <row r="110" spans="2:53" ht="3.75" customHeight="1" x14ac:dyDescent="0.25"/>
    <row r="111" spans="2:53" ht="22.5" customHeight="1" x14ac:dyDescent="0.25">
      <c r="AB111" s="109" t="s">
        <v>6037</v>
      </c>
      <c r="AC111" s="110"/>
      <c r="AD111" s="110"/>
      <c r="AE111" s="110"/>
      <c r="AF111" s="110"/>
      <c r="AG111" s="383">
        <f>SUM(AG95:AK109)</f>
        <v>515283.9</v>
      </c>
      <c r="AH111" s="383"/>
      <c r="AI111" s="383"/>
      <c r="AJ111" s="383"/>
      <c r="AK111" s="384"/>
    </row>
    <row r="112" spans="2:53" ht="22.5" customHeight="1" x14ac:dyDescent="0.25"/>
    <row r="113" spans="2:49" ht="22.5" customHeight="1" thickBot="1" x14ac:dyDescent="0.3">
      <c r="H113" s="134" t="s">
        <v>5994</v>
      </c>
      <c r="I113" s="135"/>
      <c r="J113" s="135"/>
      <c r="K113" s="135"/>
      <c r="L113" s="135"/>
      <c r="M113" s="135"/>
      <c r="N113" s="135"/>
      <c r="O113" s="135"/>
      <c r="P113" s="135"/>
      <c r="Q113" s="135"/>
      <c r="R113" s="135"/>
      <c r="S113" s="135"/>
      <c r="T113" s="135"/>
      <c r="U113" s="135"/>
      <c r="V113" s="136"/>
      <c r="AC113" s="134" t="s">
        <v>6159</v>
      </c>
      <c r="AD113" s="135"/>
      <c r="AE113" s="135"/>
      <c r="AF113" s="135"/>
      <c r="AG113" s="135"/>
      <c r="AH113" s="135"/>
      <c r="AI113" s="135"/>
      <c r="AJ113" s="135"/>
      <c r="AK113" s="135"/>
      <c r="AL113" s="135"/>
      <c r="AM113" s="135"/>
      <c r="AN113" s="135"/>
      <c r="AO113" s="135"/>
      <c r="AP113" s="135"/>
      <c r="AQ113" s="136"/>
    </row>
    <row r="114" spans="2:49" ht="22.5" customHeight="1" thickBot="1" x14ac:dyDescent="0.3">
      <c r="H114" s="156" t="s">
        <v>6163</v>
      </c>
      <c r="I114" s="157"/>
      <c r="J114" s="157"/>
      <c r="K114" s="157"/>
      <c r="L114" s="157"/>
      <c r="M114" s="158" cm="1">
        <f t="array" ref="M114">IFERROR(_xlfn.IFS(H114="Selecione","",H114="Custo Histórico",R72,H114="CUB Ajustado",(AG111/AB92)+R70),"")</f>
        <v>2065.1301013580082</v>
      </c>
      <c r="N114" s="158"/>
      <c r="O114" s="158"/>
      <c r="P114" s="158"/>
      <c r="Q114" s="158"/>
      <c r="R114" s="115" cm="1">
        <f t="array" ref="R114">IFERROR(_xlfn.IFS(H114="Selecione","",H114="Custo Histórico",M114*J49,H114="CUB Ajustado",M114*AB92),"")</f>
        <v>4433311.8497000001</v>
      </c>
      <c r="S114" s="115"/>
      <c r="T114" s="115"/>
      <c r="U114" s="115"/>
      <c r="V114" s="116"/>
      <c r="AC114" s="118" t="s">
        <v>6160</v>
      </c>
      <c r="AD114" s="152"/>
      <c r="AE114" s="152"/>
      <c r="AF114" s="152"/>
      <c r="AG114" s="152"/>
      <c r="AH114" s="152" t="s">
        <v>6161</v>
      </c>
      <c r="AI114" s="152"/>
      <c r="AJ114" s="152"/>
      <c r="AK114" s="152"/>
      <c r="AL114" s="152"/>
      <c r="AM114" s="152" t="s">
        <v>6162</v>
      </c>
      <c r="AN114" s="152"/>
      <c r="AO114" s="152"/>
      <c r="AP114" s="152"/>
      <c r="AQ114" s="153"/>
    </row>
    <row r="115" spans="2:49" ht="22.5" customHeight="1" x14ac:dyDescent="0.25">
      <c r="AC115" s="154">
        <v>0.1</v>
      </c>
      <c r="AD115" s="114"/>
      <c r="AE115" s="114"/>
      <c r="AF115" s="114"/>
      <c r="AG115" s="114"/>
      <c r="AH115" s="115">
        <f>IFERROR(AM115/F38,"")</f>
        <v>18472.132707083336</v>
      </c>
      <c r="AI115" s="115"/>
      <c r="AJ115" s="115"/>
      <c r="AK115" s="115"/>
      <c r="AL115" s="115"/>
      <c r="AM115" s="115">
        <f>IFERROR(R114*AC115,"")</f>
        <v>443331.18497000006</v>
      </c>
      <c r="AN115" s="115"/>
      <c r="AO115" s="115"/>
      <c r="AP115" s="115"/>
      <c r="AQ115" s="116"/>
    </row>
    <row r="116" spans="2:49" ht="22.5" customHeight="1" x14ac:dyDescent="0.25"/>
    <row r="117" spans="2:49" ht="26.25" customHeight="1" x14ac:dyDescent="0.25">
      <c r="B117" s="94" t="s">
        <v>6164</v>
      </c>
      <c r="C117" s="47"/>
      <c r="D117" s="47"/>
      <c r="E117" s="47"/>
      <c r="F117" s="47"/>
      <c r="G117" s="47"/>
      <c r="H117" s="47"/>
      <c r="I117" s="47"/>
      <c r="J117" s="70"/>
      <c r="K117" s="70"/>
      <c r="L117" s="70"/>
      <c r="M117" s="70"/>
      <c r="N117" s="70"/>
      <c r="O117" s="70"/>
      <c r="P117" s="70"/>
      <c r="Q117" s="70"/>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row>
    <row r="118" spans="2:49" ht="3.75" customHeight="1" x14ac:dyDescent="0.25">
      <c r="J118" s="69"/>
      <c r="K118" s="69"/>
      <c r="L118" s="69"/>
      <c r="M118" s="69"/>
      <c r="N118" s="69"/>
      <c r="O118" s="69"/>
      <c r="P118" s="69"/>
      <c r="Q118" s="69"/>
    </row>
    <row r="119" spans="2:49" ht="22.5" customHeight="1" thickBot="1" x14ac:dyDescent="0.3">
      <c r="B119" s="134" t="s">
        <v>6165</v>
      </c>
      <c r="C119" s="135"/>
      <c r="D119" s="135"/>
      <c r="E119" s="135"/>
      <c r="F119" s="135"/>
      <c r="G119" s="135"/>
      <c r="H119" s="135"/>
      <c r="I119" s="135"/>
      <c r="J119" s="135"/>
      <c r="K119" s="135"/>
      <c r="L119" s="135" t="s">
        <v>6166</v>
      </c>
      <c r="M119" s="135"/>
      <c r="N119" s="135"/>
      <c r="O119" s="135"/>
      <c r="P119" s="135"/>
      <c r="Q119" s="135"/>
      <c r="R119" s="135"/>
      <c r="S119" s="135"/>
      <c r="T119" s="135"/>
      <c r="U119" s="135" t="s">
        <v>6099</v>
      </c>
      <c r="V119" s="135"/>
      <c r="W119" s="135"/>
      <c r="X119" s="135"/>
      <c r="Y119" s="135"/>
      <c r="Z119" s="135"/>
      <c r="AA119" s="135"/>
      <c r="AB119" s="135"/>
      <c r="AC119" s="135"/>
      <c r="AD119" s="135"/>
      <c r="AE119" s="135" t="s">
        <v>6167</v>
      </c>
      <c r="AF119" s="135"/>
      <c r="AG119" s="135"/>
      <c r="AH119" s="135"/>
      <c r="AI119" s="135"/>
      <c r="AJ119" s="135"/>
      <c r="AK119" s="135"/>
      <c r="AL119" s="135"/>
      <c r="AM119" s="135"/>
      <c r="AN119" s="135" t="s">
        <v>6168</v>
      </c>
      <c r="AO119" s="135"/>
      <c r="AP119" s="135"/>
      <c r="AQ119" s="135"/>
      <c r="AR119" s="135"/>
      <c r="AS119" s="135"/>
      <c r="AT119" s="135"/>
      <c r="AU119" s="135"/>
      <c r="AV119" s="135"/>
      <c r="AW119" s="136"/>
    </row>
    <row r="120" spans="2:49" ht="22.5" customHeight="1" x14ac:dyDescent="0.25">
      <c r="B120" s="137">
        <f>Z56</f>
        <v>800000</v>
      </c>
      <c r="C120" s="106"/>
      <c r="D120" s="106"/>
      <c r="E120" s="106"/>
      <c r="F120" s="106"/>
      <c r="G120" s="106"/>
      <c r="H120" s="106"/>
      <c r="I120" s="106"/>
      <c r="J120" s="106"/>
      <c r="K120" s="106"/>
      <c r="L120" s="106">
        <f>Z62</f>
        <v>804000</v>
      </c>
      <c r="M120" s="106"/>
      <c r="N120" s="106"/>
      <c r="O120" s="106"/>
      <c r="P120" s="106"/>
      <c r="Q120" s="106"/>
      <c r="R120" s="106"/>
      <c r="S120" s="106"/>
      <c r="T120" s="106"/>
      <c r="U120" s="106">
        <f>R114</f>
        <v>4433311.8497000001</v>
      </c>
      <c r="V120" s="106"/>
      <c r="W120" s="106"/>
      <c r="X120" s="106"/>
      <c r="Y120" s="106"/>
      <c r="Z120" s="106"/>
      <c r="AA120" s="106"/>
      <c r="AB120" s="106"/>
      <c r="AC120" s="106"/>
      <c r="AD120" s="106"/>
      <c r="AE120" s="106">
        <f>AH44</f>
        <v>9556594.4064569678</v>
      </c>
      <c r="AF120" s="106"/>
      <c r="AG120" s="106"/>
      <c r="AH120" s="106"/>
      <c r="AI120" s="106"/>
      <c r="AJ120" s="106"/>
      <c r="AK120" s="106"/>
      <c r="AL120" s="106"/>
      <c r="AM120" s="106"/>
      <c r="AN120" s="106">
        <f>AH46</f>
        <v>9556594.4064569678</v>
      </c>
      <c r="AO120" s="106"/>
      <c r="AP120" s="106"/>
      <c r="AQ120" s="106"/>
      <c r="AR120" s="106"/>
      <c r="AS120" s="106"/>
      <c r="AT120" s="106"/>
      <c r="AU120" s="106"/>
      <c r="AV120" s="106"/>
      <c r="AW120" s="107"/>
    </row>
    <row r="121" spans="2:49" ht="22.5" customHeight="1" x14ac:dyDescent="0.25"/>
    <row r="122" spans="2:49" ht="22.5" customHeight="1" thickBot="1" x14ac:dyDescent="0.3">
      <c r="B122" s="134" t="s">
        <v>6169</v>
      </c>
      <c r="C122" s="135"/>
      <c r="D122" s="135"/>
      <c r="E122" s="135"/>
      <c r="F122" s="135"/>
      <c r="G122" s="135"/>
      <c r="H122" s="135"/>
      <c r="I122" s="135"/>
      <c r="J122" s="135"/>
      <c r="K122" s="135"/>
      <c r="L122" s="135" t="s">
        <v>6170</v>
      </c>
      <c r="M122" s="135"/>
      <c r="N122" s="135"/>
      <c r="O122" s="135"/>
      <c r="P122" s="135"/>
      <c r="Q122" s="135"/>
      <c r="R122" s="135"/>
      <c r="S122" s="135"/>
      <c r="T122" s="135"/>
      <c r="U122" s="135" t="s">
        <v>6171</v>
      </c>
      <c r="V122" s="135"/>
      <c r="W122" s="135"/>
      <c r="X122" s="135"/>
      <c r="Y122" s="135"/>
      <c r="Z122" s="135" t="s">
        <v>6172</v>
      </c>
      <c r="AA122" s="135"/>
      <c r="AB122" s="135"/>
      <c r="AC122" s="135"/>
      <c r="AD122" s="136"/>
    </row>
    <row r="123" spans="2:49" ht="22.5" customHeight="1" thickBot="1" x14ac:dyDescent="0.3">
      <c r="B123" s="142" t="s">
        <v>6176</v>
      </c>
      <c r="C123" s="133"/>
      <c r="D123" s="133"/>
      <c r="E123" s="133"/>
      <c r="F123" s="133"/>
      <c r="G123" s="133"/>
      <c r="H123" s="133"/>
      <c r="I123" s="133"/>
      <c r="J123" s="133"/>
      <c r="K123" s="133"/>
      <c r="L123" s="132" t="s">
        <v>6186</v>
      </c>
      <c r="M123" s="132"/>
      <c r="N123" s="132"/>
      <c r="O123" s="132"/>
      <c r="P123" s="132"/>
      <c r="Q123" s="132"/>
      <c r="R123" s="132"/>
      <c r="S123" s="132"/>
      <c r="T123" s="132"/>
      <c r="U123" s="113">
        <v>1.39850301765249E-2</v>
      </c>
      <c r="V123" s="113"/>
      <c r="W123" s="113"/>
      <c r="X123" s="113"/>
      <c r="Y123" s="113"/>
      <c r="Z123" s="133">
        <f>IF(U123="","",_xlfn.XLOOKUP(L123,$B$119:$AW$119,$B$120:$AW$120)*U123)</f>
        <v>61999.99999999992</v>
      </c>
      <c r="AA123" s="133"/>
      <c r="AB123" s="133"/>
      <c r="AC123" s="133"/>
      <c r="AD123" s="119"/>
      <c r="AI123" s="134" t="s">
        <v>6173</v>
      </c>
      <c r="AJ123" s="135"/>
      <c r="AK123" s="135"/>
      <c r="AL123" s="135"/>
      <c r="AM123" s="135"/>
      <c r="AN123" s="135"/>
      <c r="AO123" s="135"/>
      <c r="AP123" s="135"/>
      <c r="AQ123" s="135"/>
      <c r="AR123" s="136"/>
    </row>
    <row r="124" spans="2:49" ht="22.5" customHeight="1" thickBot="1" x14ac:dyDescent="0.3">
      <c r="B124" s="142" t="s">
        <v>6177</v>
      </c>
      <c r="C124" s="133"/>
      <c r="D124" s="133"/>
      <c r="E124" s="133"/>
      <c r="F124" s="133"/>
      <c r="G124" s="133"/>
      <c r="H124" s="133"/>
      <c r="I124" s="133"/>
      <c r="J124" s="133"/>
      <c r="K124" s="133"/>
      <c r="L124" s="132" t="s">
        <v>6186</v>
      </c>
      <c r="M124" s="132"/>
      <c r="N124" s="132"/>
      <c r="O124" s="132"/>
      <c r="P124" s="132"/>
      <c r="Q124" s="132"/>
      <c r="R124" s="132"/>
      <c r="S124" s="132"/>
      <c r="T124" s="132"/>
      <c r="U124" s="113">
        <v>1.8045200227774084E-3</v>
      </c>
      <c r="V124" s="113"/>
      <c r="W124" s="113"/>
      <c r="X124" s="113"/>
      <c r="Y124" s="113"/>
      <c r="Z124" s="133">
        <f t="shared" ref="Z124:Z133" si="12">IF(U124="","",_xlfn.XLOOKUP(L124,$B$119:$AW$119,$B$120:$AW$120)*U124)</f>
        <v>7999.9999999999991</v>
      </c>
      <c r="AA124" s="133"/>
      <c r="AB124" s="133"/>
      <c r="AC124" s="133"/>
      <c r="AD124" s="119"/>
      <c r="AI124" s="117" t="s">
        <v>6188</v>
      </c>
      <c r="AJ124" s="117"/>
      <c r="AK124" s="117"/>
      <c r="AL124" s="117"/>
      <c r="AM124" s="118"/>
      <c r="AN124" s="140" t="s">
        <v>6194</v>
      </c>
      <c r="AO124" s="141"/>
      <c r="AP124" s="141"/>
      <c r="AQ124" s="141"/>
      <c r="AR124" s="141"/>
    </row>
    <row r="125" spans="2:49" ht="22.5" customHeight="1" thickBot="1" x14ac:dyDescent="0.3">
      <c r="B125" s="142" t="s">
        <v>6178</v>
      </c>
      <c r="C125" s="133"/>
      <c r="D125" s="133"/>
      <c r="E125" s="133"/>
      <c r="F125" s="133"/>
      <c r="G125" s="133"/>
      <c r="H125" s="133"/>
      <c r="I125" s="133"/>
      <c r="J125" s="133"/>
      <c r="K125" s="133"/>
      <c r="L125" s="132" t="s">
        <v>6186</v>
      </c>
      <c r="M125" s="132"/>
      <c r="N125" s="132"/>
      <c r="O125" s="132"/>
      <c r="P125" s="132"/>
      <c r="Q125" s="132"/>
      <c r="R125" s="132"/>
      <c r="S125" s="132"/>
      <c r="T125" s="132"/>
      <c r="U125" s="113"/>
      <c r="V125" s="113"/>
      <c r="W125" s="113"/>
      <c r="X125" s="113"/>
      <c r="Y125" s="113"/>
      <c r="Z125" s="133" t="str">
        <f t="shared" si="12"/>
        <v/>
      </c>
      <c r="AA125" s="133"/>
      <c r="AB125" s="133"/>
      <c r="AC125" s="133"/>
      <c r="AD125" s="119"/>
      <c r="AI125" s="117" t="s">
        <v>6160</v>
      </c>
      <c r="AJ125" s="117"/>
      <c r="AK125" s="117"/>
      <c r="AL125" s="117"/>
      <c r="AM125" s="118"/>
      <c r="AN125" s="138">
        <v>0</v>
      </c>
      <c r="AO125" s="139"/>
      <c r="AP125" s="139"/>
      <c r="AQ125" s="139"/>
      <c r="AR125" s="139"/>
    </row>
    <row r="126" spans="2:49" ht="22.5" customHeight="1" thickBot="1" x14ac:dyDescent="0.3">
      <c r="B126" s="142" t="s">
        <v>6179</v>
      </c>
      <c r="C126" s="133"/>
      <c r="D126" s="133"/>
      <c r="E126" s="133"/>
      <c r="F126" s="133"/>
      <c r="G126" s="133"/>
      <c r="H126" s="133"/>
      <c r="I126" s="133"/>
      <c r="J126" s="133"/>
      <c r="K126" s="133"/>
      <c r="L126" s="132" t="s">
        <v>6186</v>
      </c>
      <c r="M126" s="132"/>
      <c r="N126" s="132"/>
      <c r="O126" s="132"/>
      <c r="P126" s="132"/>
      <c r="Q126" s="132"/>
      <c r="R126" s="132"/>
      <c r="S126" s="132"/>
      <c r="T126" s="132"/>
      <c r="U126" s="113"/>
      <c r="V126" s="113"/>
      <c r="W126" s="113"/>
      <c r="X126" s="113"/>
      <c r="Y126" s="113"/>
      <c r="Z126" s="133" t="str">
        <f t="shared" si="12"/>
        <v/>
      </c>
      <c r="AA126" s="133"/>
      <c r="AB126" s="133"/>
      <c r="AC126" s="133"/>
      <c r="AD126" s="119"/>
      <c r="AI126" s="117" t="s">
        <v>6190</v>
      </c>
      <c r="AJ126" s="117"/>
      <c r="AK126" s="117"/>
      <c r="AL126" s="117"/>
      <c r="AM126" s="118"/>
      <c r="AN126" s="119">
        <f>IFERROR(AN127/F38,"")</f>
        <v>0</v>
      </c>
      <c r="AO126" s="120"/>
      <c r="AP126" s="120"/>
      <c r="AQ126" s="120"/>
      <c r="AR126" s="120"/>
    </row>
    <row r="127" spans="2:49" ht="22.5" customHeight="1" thickBot="1" x14ac:dyDescent="0.3">
      <c r="B127" s="142" t="s">
        <v>6180</v>
      </c>
      <c r="C127" s="133"/>
      <c r="D127" s="133"/>
      <c r="E127" s="133"/>
      <c r="F127" s="133"/>
      <c r="G127" s="133"/>
      <c r="H127" s="133"/>
      <c r="I127" s="133"/>
      <c r="J127" s="133"/>
      <c r="K127" s="133"/>
      <c r="L127" s="132" t="s">
        <v>6186</v>
      </c>
      <c r="M127" s="132"/>
      <c r="N127" s="132"/>
      <c r="O127" s="132"/>
      <c r="P127" s="132"/>
      <c r="Q127" s="132"/>
      <c r="R127" s="132"/>
      <c r="S127" s="132"/>
      <c r="T127" s="132"/>
      <c r="U127" s="113"/>
      <c r="V127" s="113"/>
      <c r="W127" s="113"/>
      <c r="X127" s="113"/>
      <c r="Y127" s="113"/>
      <c r="Z127" s="133" t="str">
        <f t="shared" si="12"/>
        <v/>
      </c>
      <c r="AA127" s="133"/>
      <c r="AB127" s="133"/>
      <c r="AC127" s="133"/>
      <c r="AD127" s="119"/>
      <c r="AI127" s="291" t="s">
        <v>6162</v>
      </c>
      <c r="AJ127" s="291"/>
      <c r="AK127" s="291"/>
      <c r="AL127" s="291"/>
      <c r="AM127" s="292"/>
      <c r="AN127" s="116">
        <f>IF(AN125="","",_xlfn.XLOOKUP(AN124,$B$119:$AW$119,$B$120:$AW$120)*AN125)</f>
        <v>0</v>
      </c>
      <c r="AO127" s="180"/>
      <c r="AP127" s="180"/>
      <c r="AQ127" s="180"/>
      <c r="AR127" s="180"/>
    </row>
    <row r="128" spans="2:49" ht="22.5" customHeight="1" thickBot="1" x14ac:dyDescent="0.3">
      <c r="B128" s="142" t="s">
        <v>6181</v>
      </c>
      <c r="C128" s="133"/>
      <c r="D128" s="133"/>
      <c r="E128" s="133"/>
      <c r="F128" s="133"/>
      <c r="G128" s="133"/>
      <c r="H128" s="133"/>
      <c r="I128" s="133"/>
      <c r="J128" s="133"/>
      <c r="K128" s="133"/>
      <c r="L128" s="132" t="s">
        <v>6186</v>
      </c>
      <c r="M128" s="132"/>
      <c r="N128" s="132"/>
      <c r="O128" s="132"/>
      <c r="P128" s="132"/>
      <c r="Q128" s="132"/>
      <c r="R128" s="132"/>
      <c r="S128" s="132"/>
      <c r="T128" s="132"/>
      <c r="U128" s="113"/>
      <c r="V128" s="113"/>
      <c r="W128" s="113"/>
      <c r="X128" s="113"/>
      <c r="Y128" s="113"/>
      <c r="Z128" s="133" t="str">
        <f t="shared" si="12"/>
        <v/>
      </c>
      <c r="AA128" s="133"/>
      <c r="AB128" s="133"/>
      <c r="AC128" s="133"/>
      <c r="AD128" s="119"/>
    </row>
    <row r="129" spans="2:49" ht="22.5" customHeight="1" thickBot="1" x14ac:dyDescent="0.3">
      <c r="B129" s="142" t="s">
        <v>6182</v>
      </c>
      <c r="C129" s="133"/>
      <c r="D129" s="133"/>
      <c r="E129" s="133"/>
      <c r="F129" s="133"/>
      <c r="G129" s="133"/>
      <c r="H129" s="133"/>
      <c r="I129" s="133"/>
      <c r="J129" s="133"/>
      <c r="K129" s="133"/>
      <c r="L129" s="132" t="s">
        <v>6187</v>
      </c>
      <c r="M129" s="132"/>
      <c r="N129" s="132"/>
      <c r="O129" s="132"/>
      <c r="P129" s="132"/>
      <c r="Q129" s="132"/>
      <c r="R129" s="132"/>
      <c r="S129" s="132"/>
      <c r="T129" s="132"/>
      <c r="U129" s="113">
        <v>0.03</v>
      </c>
      <c r="V129" s="113"/>
      <c r="W129" s="113"/>
      <c r="X129" s="113"/>
      <c r="Y129" s="113"/>
      <c r="Z129" s="133">
        <f t="shared" si="12"/>
        <v>286697.83219370904</v>
      </c>
      <c r="AA129" s="133"/>
      <c r="AB129" s="133"/>
      <c r="AC129" s="133"/>
      <c r="AD129" s="119"/>
      <c r="AI129" s="174" t="s">
        <v>6174</v>
      </c>
      <c r="AJ129" s="174"/>
      <c r="AK129" s="174"/>
      <c r="AL129" s="174"/>
      <c r="AM129" s="174"/>
      <c r="AN129" s="174"/>
      <c r="AO129" s="174"/>
      <c r="AP129" s="174"/>
      <c r="AQ129" s="174"/>
      <c r="AR129" s="174"/>
    </row>
    <row r="130" spans="2:49" ht="22.5" customHeight="1" thickBot="1" x14ac:dyDescent="0.3">
      <c r="B130" s="142" t="s">
        <v>6183</v>
      </c>
      <c r="C130" s="133"/>
      <c r="D130" s="133"/>
      <c r="E130" s="133"/>
      <c r="F130" s="133"/>
      <c r="G130" s="133"/>
      <c r="H130" s="133"/>
      <c r="I130" s="133"/>
      <c r="J130" s="133"/>
      <c r="K130" s="133"/>
      <c r="L130" s="132" t="s">
        <v>6186</v>
      </c>
      <c r="M130" s="132"/>
      <c r="N130" s="132"/>
      <c r="O130" s="132"/>
      <c r="P130" s="132"/>
      <c r="Q130" s="132"/>
      <c r="R130" s="132"/>
      <c r="S130" s="132"/>
      <c r="T130" s="132"/>
      <c r="U130" s="113"/>
      <c r="V130" s="113"/>
      <c r="W130" s="113"/>
      <c r="X130" s="113"/>
      <c r="Y130" s="113"/>
      <c r="Z130" s="133" t="str">
        <f t="shared" si="12"/>
        <v/>
      </c>
      <c r="AA130" s="133"/>
      <c r="AB130" s="133"/>
      <c r="AC130" s="133"/>
      <c r="AD130" s="119"/>
      <c r="AI130" s="117" t="s">
        <v>6188</v>
      </c>
      <c r="AJ130" s="117"/>
      <c r="AK130" s="117"/>
      <c r="AL130" s="117"/>
      <c r="AM130" s="118"/>
      <c r="AN130" s="119">
        <f>N60</f>
        <v>200000</v>
      </c>
      <c r="AO130" s="120"/>
      <c r="AP130" s="120"/>
      <c r="AQ130" s="120"/>
      <c r="AR130" s="120"/>
    </row>
    <row r="131" spans="2:49" ht="22.5" customHeight="1" thickBot="1" x14ac:dyDescent="0.3">
      <c r="B131" s="142" t="s">
        <v>6184</v>
      </c>
      <c r="C131" s="133"/>
      <c r="D131" s="133"/>
      <c r="E131" s="133"/>
      <c r="F131" s="133"/>
      <c r="G131" s="133"/>
      <c r="H131" s="133"/>
      <c r="I131" s="133"/>
      <c r="J131" s="133"/>
      <c r="K131" s="133"/>
      <c r="L131" s="132" t="s">
        <v>6186</v>
      </c>
      <c r="M131" s="132"/>
      <c r="N131" s="132"/>
      <c r="O131" s="132"/>
      <c r="P131" s="132"/>
      <c r="Q131" s="132"/>
      <c r="R131" s="132"/>
      <c r="S131" s="132"/>
      <c r="T131" s="132"/>
      <c r="U131" s="113">
        <v>0.01</v>
      </c>
      <c r="V131" s="113"/>
      <c r="W131" s="113"/>
      <c r="X131" s="113"/>
      <c r="Y131" s="113"/>
      <c r="Z131" s="133">
        <f t="shared" si="12"/>
        <v>44333.118497000003</v>
      </c>
      <c r="AA131" s="133"/>
      <c r="AB131" s="133"/>
      <c r="AC131" s="133"/>
      <c r="AD131" s="119"/>
      <c r="AI131" s="117" t="s">
        <v>6160</v>
      </c>
      <c r="AJ131" s="117"/>
      <c r="AK131" s="117"/>
      <c r="AL131" s="117"/>
      <c r="AM131" s="118"/>
      <c r="AN131" s="293">
        <v>1.95E-2</v>
      </c>
      <c r="AO131" s="294"/>
      <c r="AP131" s="294"/>
      <c r="AQ131" s="294"/>
      <c r="AR131" s="294"/>
    </row>
    <row r="132" spans="2:49" ht="22.5" customHeight="1" thickBot="1" x14ac:dyDescent="0.3">
      <c r="B132" s="172" t="s">
        <v>6249</v>
      </c>
      <c r="C132" s="115"/>
      <c r="D132" s="115"/>
      <c r="E132" s="115"/>
      <c r="F132" s="115"/>
      <c r="G132" s="115"/>
      <c r="H132" s="115"/>
      <c r="I132" s="115"/>
      <c r="J132" s="115"/>
      <c r="K132" s="115"/>
      <c r="L132" s="263" t="s">
        <v>6186</v>
      </c>
      <c r="M132" s="263"/>
      <c r="N132" s="263"/>
      <c r="O132" s="263"/>
      <c r="P132" s="263"/>
      <c r="Q132" s="263"/>
      <c r="R132" s="263"/>
      <c r="S132" s="263"/>
      <c r="T132" s="263"/>
      <c r="U132" s="114"/>
      <c r="V132" s="114"/>
      <c r="W132" s="114"/>
      <c r="X132" s="114"/>
      <c r="Y132" s="114"/>
      <c r="Z132" s="115" t="str">
        <f t="shared" ref="Z132" si="13">IF(U132="","",_xlfn.XLOOKUP(L132,$B$119:$AW$119,$B$120:$AW$120)*U132)</f>
        <v/>
      </c>
      <c r="AA132" s="115"/>
      <c r="AB132" s="115"/>
      <c r="AC132" s="115"/>
      <c r="AD132" s="116"/>
      <c r="AI132" s="117" t="s">
        <v>6189</v>
      </c>
      <c r="AJ132" s="117"/>
      <c r="AK132" s="117"/>
      <c r="AL132" s="117"/>
      <c r="AM132" s="118"/>
      <c r="AN132" s="119">
        <f>(POWER(1+AN131,1/12)-1)*AN130</f>
        <v>322.13099325923974</v>
      </c>
      <c r="AO132" s="120"/>
      <c r="AP132" s="120"/>
      <c r="AQ132" s="120"/>
      <c r="AR132" s="120"/>
    </row>
    <row r="133" spans="2:49" ht="22.5" customHeight="1" x14ac:dyDescent="0.25">
      <c r="B133" s="172" t="s">
        <v>6185</v>
      </c>
      <c r="C133" s="115"/>
      <c r="D133" s="115"/>
      <c r="E133" s="115"/>
      <c r="F133" s="115"/>
      <c r="G133" s="115"/>
      <c r="H133" s="115"/>
      <c r="I133" s="115"/>
      <c r="J133" s="115"/>
      <c r="K133" s="115"/>
      <c r="L133" s="263" t="s">
        <v>6186</v>
      </c>
      <c r="M133" s="263"/>
      <c r="N133" s="263"/>
      <c r="O133" s="263"/>
      <c r="P133" s="263"/>
      <c r="Q133" s="263"/>
      <c r="R133" s="263"/>
      <c r="S133" s="263"/>
      <c r="T133" s="263"/>
      <c r="U133" s="114">
        <v>5.8646900740265788E-2</v>
      </c>
      <c r="V133" s="114"/>
      <c r="W133" s="114"/>
      <c r="X133" s="114"/>
      <c r="Y133" s="114"/>
      <c r="Z133" s="115">
        <f t="shared" si="12"/>
        <v>260000.00000000003</v>
      </c>
      <c r="AA133" s="115"/>
      <c r="AB133" s="115"/>
      <c r="AC133" s="115"/>
      <c r="AD133" s="116"/>
      <c r="AI133" s="291" t="s">
        <v>6162</v>
      </c>
      <c r="AJ133" s="291"/>
      <c r="AK133" s="291"/>
      <c r="AL133" s="291"/>
      <c r="AM133" s="292"/>
      <c r="AN133" s="116">
        <f>AN132*(F32+F38+F39)</f>
        <v>10308.191784295672</v>
      </c>
      <c r="AO133" s="180"/>
      <c r="AP133" s="180"/>
      <c r="AQ133" s="180"/>
      <c r="AR133" s="180"/>
    </row>
    <row r="134" spans="2:49" ht="3.75" customHeight="1" x14ac:dyDescent="0.25"/>
    <row r="135" spans="2:49" ht="22.5" customHeight="1" x14ac:dyDescent="0.25">
      <c r="U135" s="109" t="s">
        <v>6037</v>
      </c>
      <c r="V135" s="110"/>
      <c r="W135" s="110"/>
      <c r="X135" s="110"/>
      <c r="Y135" s="110"/>
      <c r="Z135" s="383">
        <f>SUM(Z123:AD133)</f>
        <v>661030.95069070905</v>
      </c>
      <c r="AA135" s="383"/>
      <c r="AB135" s="383"/>
      <c r="AC135" s="383"/>
      <c r="AD135" s="384"/>
    </row>
    <row r="136" spans="2:49" ht="22.5" customHeight="1" x14ac:dyDescent="0.25"/>
    <row r="137" spans="2:49" ht="26.25" customHeight="1" x14ac:dyDescent="0.25">
      <c r="B137" s="94" t="s">
        <v>6175</v>
      </c>
      <c r="C137" s="47"/>
      <c r="D137" s="47"/>
      <c r="E137" s="47"/>
      <c r="F137" s="47"/>
      <c r="G137" s="47"/>
      <c r="H137" s="47"/>
      <c r="I137" s="47"/>
      <c r="J137" s="70"/>
      <c r="K137" s="70"/>
      <c r="L137" s="70"/>
      <c r="M137" s="70"/>
      <c r="N137" s="70"/>
      <c r="O137" s="70"/>
      <c r="P137" s="70"/>
      <c r="Q137" s="70"/>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row>
    <row r="138" spans="2:49" ht="3.75" customHeight="1" x14ac:dyDescent="0.25">
      <c r="J138" s="69"/>
      <c r="K138" s="69"/>
      <c r="L138" s="69"/>
      <c r="M138" s="69"/>
      <c r="N138" s="69"/>
      <c r="O138" s="69"/>
      <c r="P138" s="69"/>
      <c r="Q138" s="69"/>
    </row>
    <row r="139" spans="2:49" ht="22.5" customHeight="1" thickBot="1" x14ac:dyDescent="0.3">
      <c r="B139" s="134" t="s">
        <v>6169</v>
      </c>
      <c r="C139" s="135"/>
      <c r="D139" s="135"/>
      <c r="E139" s="135"/>
      <c r="F139" s="135"/>
      <c r="G139" s="135"/>
      <c r="H139" s="135"/>
      <c r="I139" s="135"/>
      <c r="J139" s="135"/>
      <c r="K139" s="135"/>
      <c r="L139" s="135" t="s">
        <v>6170</v>
      </c>
      <c r="M139" s="135"/>
      <c r="N139" s="135"/>
      <c r="O139" s="135"/>
      <c r="P139" s="135"/>
      <c r="Q139" s="135"/>
      <c r="R139" s="135"/>
      <c r="S139" s="135"/>
      <c r="T139" s="135"/>
      <c r="U139" s="135" t="s">
        <v>6171</v>
      </c>
      <c r="V139" s="135"/>
      <c r="W139" s="135"/>
      <c r="X139" s="135"/>
      <c r="Y139" s="135"/>
      <c r="Z139" s="135" t="s">
        <v>6172</v>
      </c>
      <c r="AA139" s="135"/>
      <c r="AB139" s="135"/>
      <c r="AC139" s="135"/>
      <c r="AD139" s="136"/>
    </row>
    <row r="140" spans="2:49" ht="22.5" customHeight="1" thickBot="1" x14ac:dyDescent="0.3">
      <c r="B140" s="142" t="s">
        <v>6192</v>
      </c>
      <c r="C140" s="133"/>
      <c r="D140" s="133"/>
      <c r="E140" s="133"/>
      <c r="F140" s="133"/>
      <c r="G140" s="133"/>
      <c r="H140" s="133"/>
      <c r="I140" s="133"/>
      <c r="J140" s="133"/>
      <c r="K140" s="133"/>
      <c r="L140" s="132" t="s">
        <v>6186</v>
      </c>
      <c r="M140" s="132"/>
      <c r="N140" s="132"/>
      <c r="O140" s="132"/>
      <c r="P140" s="132"/>
      <c r="Q140" s="132"/>
      <c r="R140" s="132"/>
      <c r="S140" s="132"/>
      <c r="T140" s="132"/>
      <c r="U140" s="113">
        <v>3.3834750427076399E-3</v>
      </c>
      <c r="V140" s="113"/>
      <c r="W140" s="113"/>
      <c r="X140" s="113"/>
      <c r="Y140" s="113"/>
      <c r="Z140" s="133">
        <f>IF(U140="","",_xlfn.XLOOKUP(L140,$B$119:$AW$119,$B$120:$AW$120)*U140)</f>
        <v>14999.999999999995</v>
      </c>
      <c r="AA140" s="133"/>
      <c r="AB140" s="133"/>
      <c r="AC140" s="133"/>
      <c r="AD140" s="119"/>
    </row>
    <row r="141" spans="2:49" ht="22.5" customHeight="1" x14ac:dyDescent="0.25">
      <c r="B141" s="172" t="s">
        <v>6193</v>
      </c>
      <c r="C141" s="115"/>
      <c r="D141" s="115"/>
      <c r="E141" s="115"/>
      <c r="F141" s="115"/>
      <c r="G141" s="115"/>
      <c r="H141" s="115"/>
      <c r="I141" s="115"/>
      <c r="J141" s="115"/>
      <c r="K141" s="115"/>
      <c r="L141" s="263" t="s">
        <v>6186</v>
      </c>
      <c r="M141" s="263"/>
      <c r="N141" s="263"/>
      <c r="O141" s="263"/>
      <c r="P141" s="263"/>
      <c r="Q141" s="263"/>
      <c r="R141" s="263"/>
      <c r="S141" s="263"/>
      <c r="T141" s="263"/>
      <c r="U141" s="114">
        <v>4.4653863006139799E-3</v>
      </c>
      <c r="V141" s="114"/>
      <c r="W141" s="114"/>
      <c r="X141" s="114"/>
      <c r="Y141" s="114"/>
      <c r="Z141" s="115">
        <f>IF(U141="","",_xlfn.XLOOKUP(L141,$B$119:$AW$119,$B$120:$AW$120)*U141)</f>
        <v>19796.450000000004</v>
      </c>
      <c r="AA141" s="115"/>
      <c r="AB141" s="115"/>
      <c r="AC141" s="115"/>
      <c r="AD141" s="116"/>
    </row>
    <row r="142" spans="2:49" ht="22.5" customHeight="1" x14ac:dyDescent="0.25"/>
    <row r="143" spans="2:49" ht="26.25" customHeight="1" x14ac:dyDescent="0.25">
      <c r="B143" s="94" t="s">
        <v>6191</v>
      </c>
      <c r="C143" s="47"/>
      <c r="D143" s="47"/>
      <c r="E143" s="47"/>
      <c r="F143" s="47"/>
      <c r="G143" s="47"/>
      <c r="H143" s="47"/>
      <c r="I143" s="47"/>
      <c r="J143" s="70"/>
      <c r="K143" s="70"/>
      <c r="L143" s="70"/>
      <c r="M143" s="70"/>
      <c r="N143" s="70"/>
      <c r="O143" s="70"/>
      <c r="P143" s="70"/>
      <c r="Q143" s="70"/>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row>
    <row r="144" spans="2:49" ht="3.75" customHeight="1" x14ac:dyDescent="0.25">
      <c r="J144" s="69"/>
      <c r="K144" s="69"/>
      <c r="L144" s="69"/>
      <c r="M144" s="69"/>
      <c r="N144" s="69"/>
      <c r="O144" s="69"/>
      <c r="P144" s="69"/>
      <c r="Q144" s="69"/>
    </row>
    <row r="145" spans="2:49" ht="22.5" customHeight="1" thickBot="1" x14ac:dyDescent="0.3">
      <c r="B145" s="134" t="s">
        <v>6169</v>
      </c>
      <c r="C145" s="135"/>
      <c r="D145" s="135"/>
      <c r="E145" s="135"/>
      <c r="F145" s="135"/>
      <c r="G145" s="135"/>
      <c r="H145" s="135"/>
      <c r="I145" s="135"/>
      <c r="J145" s="135"/>
      <c r="K145" s="135"/>
      <c r="L145" s="135" t="s">
        <v>6170</v>
      </c>
      <c r="M145" s="135"/>
      <c r="N145" s="135"/>
      <c r="O145" s="135"/>
      <c r="P145" s="135"/>
      <c r="Q145" s="135"/>
      <c r="R145" s="135"/>
      <c r="S145" s="135"/>
      <c r="T145" s="135"/>
      <c r="U145" s="135" t="s">
        <v>6171</v>
      </c>
      <c r="V145" s="135"/>
      <c r="W145" s="135"/>
      <c r="X145" s="135"/>
      <c r="Y145" s="135"/>
      <c r="Z145" s="135" t="s">
        <v>6172</v>
      </c>
      <c r="AA145" s="135"/>
      <c r="AB145" s="135"/>
      <c r="AC145" s="135"/>
      <c r="AD145" s="136"/>
    </row>
    <row r="146" spans="2:49" ht="22.5" customHeight="1" thickBot="1" x14ac:dyDescent="0.3">
      <c r="B146" s="142" t="s">
        <v>6196</v>
      </c>
      <c r="C146" s="133"/>
      <c r="D146" s="133"/>
      <c r="E146" s="133"/>
      <c r="F146" s="133"/>
      <c r="G146" s="133"/>
      <c r="H146" s="133"/>
      <c r="I146" s="133"/>
      <c r="J146" s="133"/>
      <c r="K146" s="133"/>
      <c r="L146" s="132" t="s">
        <v>6195</v>
      </c>
      <c r="M146" s="132"/>
      <c r="N146" s="132"/>
      <c r="O146" s="132"/>
      <c r="P146" s="132"/>
      <c r="Q146" s="132"/>
      <c r="R146" s="132"/>
      <c r="S146" s="132"/>
      <c r="T146" s="132"/>
      <c r="U146" s="113">
        <v>0.05</v>
      </c>
      <c r="V146" s="113"/>
      <c r="W146" s="113"/>
      <c r="X146" s="113"/>
      <c r="Y146" s="113"/>
      <c r="Z146" s="133">
        <f>IF(U146="","",_xlfn.XLOOKUP(L146,$B$119:$AW$119,$B$120:$AW$120)*U146)</f>
        <v>477829.72032284841</v>
      </c>
      <c r="AA146" s="133"/>
      <c r="AB146" s="133"/>
      <c r="AC146" s="133"/>
      <c r="AD146" s="119"/>
      <c r="AI146" s="134" t="s">
        <v>6250</v>
      </c>
      <c r="AJ146" s="135"/>
      <c r="AK146" s="135"/>
      <c r="AL146" s="135"/>
      <c r="AM146" s="135"/>
      <c r="AN146" s="135"/>
      <c r="AO146" s="135"/>
      <c r="AP146" s="135"/>
      <c r="AQ146" s="135"/>
      <c r="AR146" s="135"/>
      <c r="AS146" s="136"/>
    </row>
    <row r="147" spans="2:49" ht="22.5" customHeight="1" thickBot="1" x14ac:dyDescent="0.3">
      <c r="B147" s="142" t="s">
        <v>6197</v>
      </c>
      <c r="C147" s="133"/>
      <c r="D147" s="133"/>
      <c r="E147" s="133"/>
      <c r="F147" s="133"/>
      <c r="G147" s="133"/>
      <c r="H147" s="133"/>
      <c r="I147" s="133"/>
      <c r="J147" s="133"/>
      <c r="K147" s="133"/>
      <c r="L147" s="132" t="s">
        <v>6195</v>
      </c>
      <c r="M147" s="132"/>
      <c r="N147" s="132"/>
      <c r="O147" s="132"/>
      <c r="P147" s="132"/>
      <c r="Q147" s="132"/>
      <c r="R147" s="132"/>
      <c r="S147" s="132"/>
      <c r="T147" s="132"/>
      <c r="U147" s="113">
        <v>0.01</v>
      </c>
      <c r="V147" s="113"/>
      <c r="W147" s="113"/>
      <c r="X147" s="113"/>
      <c r="Y147" s="113"/>
      <c r="Z147" s="133">
        <f t="shared" ref="Z147:Z152" si="14">IF(U147="","",_xlfn.XLOOKUP(L147,$B$119:$AW$119,$B$120:$AW$120)*U147)</f>
        <v>95565.944064569674</v>
      </c>
      <c r="AA147" s="133"/>
      <c r="AB147" s="133"/>
      <c r="AC147" s="133"/>
      <c r="AD147" s="119"/>
      <c r="AI147" s="118" t="s">
        <v>6188</v>
      </c>
      <c r="AJ147" s="152"/>
      <c r="AK147" s="152"/>
      <c r="AL147" s="152"/>
      <c r="AM147" s="152"/>
      <c r="AN147" s="264" t="s">
        <v>6195</v>
      </c>
      <c r="AO147" s="264"/>
      <c r="AP147" s="264"/>
      <c r="AQ147" s="264"/>
      <c r="AR147" s="264"/>
      <c r="AS147" s="140"/>
    </row>
    <row r="148" spans="2:49" ht="22.5" customHeight="1" thickBot="1" x14ac:dyDescent="0.3">
      <c r="B148" s="142" t="s">
        <v>6198</v>
      </c>
      <c r="C148" s="133"/>
      <c r="D148" s="133"/>
      <c r="E148" s="133"/>
      <c r="F148" s="133"/>
      <c r="G148" s="133"/>
      <c r="H148" s="133"/>
      <c r="I148" s="133"/>
      <c r="J148" s="133"/>
      <c r="K148" s="133"/>
      <c r="L148" s="132" t="s">
        <v>6195</v>
      </c>
      <c r="M148" s="132"/>
      <c r="N148" s="132"/>
      <c r="O148" s="132"/>
      <c r="P148" s="132"/>
      <c r="Q148" s="132"/>
      <c r="R148" s="132"/>
      <c r="S148" s="132"/>
      <c r="T148" s="132"/>
      <c r="U148" s="113">
        <v>5.0000000000000001E-3</v>
      </c>
      <c r="V148" s="113"/>
      <c r="W148" s="113"/>
      <c r="X148" s="113"/>
      <c r="Y148" s="113"/>
      <c r="Z148" s="133">
        <f t="shared" si="14"/>
        <v>47782.972032284837</v>
      </c>
      <c r="AA148" s="133"/>
      <c r="AB148" s="133"/>
      <c r="AC148" s="133"/>
      <c r="AD148" s="119"/>
      <c r="AI148" s="118" t="s">
        <v>6204</v>
      </c>
      <c r="AJ148" s="152"/>
      <c r="AK148" s="152"/>
      <c r="AL148" s="152"/>
      <c r="AM148" s="152"/>
      <c r="AN148" s="113">
        <v>0</v>
      </c>
      <c r="AO148" s="113"/>
      <c r="AP148" s="133">
        <f>IF(AN148="","",_xlfn.XLOOKUP(AN147,$B$119:$AW$119,$B$120:$AW$120)*AN148)</f>
        <v>0</v>
      </c>
      <c r="AQ148" s="133"/>
      <c r="AR148" s="133"/>
      <c r="AS148" s="119"/>
    </row>
    <row r="149" spans="2:49" ht="22.5" customHeight="1" thickBot="1" x14ac:dyDescent="0.3">
      <c r="B149" s="142" t="s">
        <v>6199</v>
      </c>
      <c r="C149" s="133"/>
      <c r="D149" s="133"/>
      <c r="E149" s="133"/>
      <c r="F149" s="133"/>
      <c r="G149" s="133"/>
      <c r="H149" s="133"/>
      <c r="I149" s="133"/>
      <c r="J149" s="133"/>
      <c r="K149" s="133"/>
      <c r="L149" s="132" t="s">
        <v>6195</v>
      </c>
      <c r="M149" s="132"/>
      <c r="N149" s="132"/>
      <c r="O149" s="132"/>
      <c r="P149" s="132"/>
      <c r="Q149" s="132"/>
      <c r="R149" s="132"/>
      <c r="S149" s="132"/>
      <c r="T149" s="132"/>
      <c r="U149" s="113"/>
      <c r="V149" s="113"/>
      <c r="W149" s="113"/>
      <c r="X149" s="113"/>
      <c r="Y149" s="113"/>
      <c r="Z149" s="133" t="str">
        <f t="shared" si="14"/>
        <v/>
      </c>
      <c r="AA149" s="133"/>
      <c r="AB149" s="133"/>
      <c r="AC149" s="133"/>
      <c r="AD149" s="119"/>
      <c r="AI149" s="118" t="s">
        <v>6196</v>
      </c>
      <c r="AJ149" s="152"/>
      <c r="AK149" s="152"/>
      <c r="AL149" s="152"/>
      <c r="AM149" s="152"/>
      <c r="AN149" s="113">
        <v>0.05</v>
      </c>
      <c r="AO149" s="113"/>
      <c r="AP149" s="133">
        <f>IF(AN149="","",AN149*AP148)</f>
        <v>0</v>
      </c>
      <c r="AQ149" s="133"/>
      <c r="AR149" s="133"/>
      <c r="AS149" s="119"/>
    </row>
    <row r="150" spans="2:49" ht="22.5" customHeight="1" thickBot="1" x14ac:dyDescent="0.3">
      <c r="B150" s="142" t="s">
        <v>6200</v>
      </c>
      <c r="C150" s="133"/>
      <c r="D150" s="133"/>
      <c r="E150" s="133"/>
      <c r="F150" s="133"/>
      <c r="G150" s="133"/>
      <c r="H150" s="133"/>
      <c r="I150" s="133"/>
      <c r="J150" s="133"/>
      <c r="K150" s="133"/>
      <c r="L150" s="132" t="s">
        <v>6195</v>
      </c>
      <c r="M150" s="132"/>
      <c r="N150" s="132"/>
      <c r="O150" s="132"/>
      <c r="P150" s="132"/>
      <c r="Q150" s="132"/>
      <c r="R150" s="132"/>
      <c r="S150" s="132"/>
      <c r="T150" s="132"/>
      <c r="U150" s="113"/>
      <c r="V150" s="113"/>
      <c r="W150" s="113"/>
      <c r="X150" s="113"/>
      <c r="Y150" s="113"/>
      <c r="Z150" s="133" t="str">
        <f t="shared" si="14"/>
        <v/>
      </c>
      <c r="AA150" s="133"/>
      <c r="AB150" s="133"/>
      <c r="AC150" s="133"/>
      <c r="AD150" s="119"/>
      <c r="AI150" s="118" t="s">
        <v>6205</v>
      </c>
      <c r="AJ150" s="152"/>
      <c r="AK150" s="152"/>
      <c r="AL150" s="152"/>
      <c r="AM150" s="152"/>
      <c r="AN150" s="113">
        <v>0.1</v>
      </c>
      <c r="AO150" s="113"/>
      <c r="AP150" s="133">
        <f>IF(AN150="","",AN150*AP148)</f>
        <v>0</v>
      </c>
      <c r="AQ150" s="133"/>
      <c r="AR150" s="133"/>
      <c r="AS150" s="119"/>
    </row>
    <row r="151" spans="2:49" ht="22.5" customHeight="1" thickBot="1" x14ac:dyDescent="0.3">
      <c r="B151" s="142" t="s">
        <v>6201</v>
      </c>
      <c r="C151" s="133"/>
      <c r="D151" s="133"/>
      <c r="E151" s="133"/>
      <c r="F151" s="133"/>
      <c r="G151" s="133"/>
      <c r="H151" s="133"/>
      <c r="I151" s="133"/>
      <c r="J151" s="133"/>
      <c r="K151" s="133"/>
      <c r="L151" s="132" t="s">
        <v>6195</v>
      </c>
      <c r="M151" s="132"/>
      <c r="N151" s="132"/>
      <c r="O151" s="132"/>
      <c r="P151" s="132"/>
      <c r="Q151" s="132"/>
      <c r="R151" s="132"/>
      <c r="S151" s="132"/>
      <c r="T151" s="132"/>
      <c r="U151" s="113"/>
      <c r="V151" s="113"/>
      <c r="W151" s="113"/>
      <c r="X151" s="113"/>
      <c r="Y151" s="113"/>
      <c r="Z151" s="133" t="str">
        <f t="shared" si="14"/>
        <v/>
      </c>
      <c r="AA151" s="133"/>
      <c r="AB151" s="133"/>
      <c r="AC151" s="133"/>
      <c r="AD151" s="119"/>
      <c r="AI151" s="118" t="s">
        <v>6206</v>
      </c>
      <c r="AJ151" s="152"/>
      <c r="AK151" s="152"/>
      <c r="AL151" s="152"/>
      <c r="AM151" s="152"/>
      <c r="AN151" s="113">
        <v>0.15</v>
      </c>
      <c r="AO151" s="113"/>
      <c r="AP151" s="133">
        <f>IF(AN150="","",AN151*AP150)</f>
        <v>0</v>
      </c>
      <c r="AQ151" s="133"/>
      <c r="AR151" s="133"/>
      <c r="AS151" s="119"/>
    </row>
    <row r="152" spans="2:49" ht="22.5" customHeight="1" x14ac:dyDescent="0.25">
      <c r="B152" s="172" t="s">
        <v>6202</v>
      </c>
      <c r="C152" s="115"/>
      <c r="D152" s="115"/>
      <c r="E152" s="115"/>
      <c r="F152" s="115"/>
      <c r="G152" s="115"/>
      <c r="H152" s="115"/>
      <c r="I152" s="115"/>
      <c r="J152" s="115"/>
      <c r="K152" s="115"/>
      <c r="L152" s="263" t="s">
        <v>6195</v>
      </c>
      <c r="M152" s="263"/>
      <c r="N152" s="263"/>
      <c r="O152" s="263"/>
      <c r="P152" s="263"/>
      <c r="Q152" s="263"/>
      <c r="R152" s="263"/>
      <c r="S152" s="263"/>
      <c r="T152" s="263"/>
      <c r="U152" s="114"/>
      <c r="V152" s="114"/>
      <c r="W152" s="114"/>
      <c r="X152" s="114"/>
      <c r="Y152" s="114"/>
      <c r="Z152" s="115" t="str">
        <f t="shared" si="14"/>
        <v/>
      </c>
      <c r="AA152" s="115"/>
      <c r="AB152" s="115"/>
      <c r="AC152" s="115"/>
      <c r="AD152" s="116"/>
      <c r="AI152" s="162" t="s">
        <v>6037</v>
      </c>
      <c r="AJ152" s="163"/>
      <c r="AK152" s="163"/>
      <c r="AL152" s="163"/>
      <c r="AM152" s="163"/>
      <c r="AN152" s="381">
        <f>SUM(AP148:AS151)</f>
        <v>0</v>
      </c>
      <c r="AO152" s="381"/>
      <c r="AP152" s="381"/>
      <c r="AQ152" s="381"/>
      <c r="AR152" s="381"/>
      <c r="AS152" s="382"/>
    </row>
    <row r="153" spans="2:49" ht="3.75" customHeight="1" x14ac:dyDescent="0.25"/>
    <row r="154" spans="2:49" ht="22.5" customHeight="1" x14ac:dyDescent="0.25">
      <c r="U154" s="109" t="s">
        <v>6037</v>
      </c>
      <c r="V154" s="110"/>
      <c r="W154" s="110"/>
      <c r="X154" s="110"/>
      <c r="Y154" s="110"/>
      <c r="Z154" s="383">
        <f>SUM(Z146:AD152)</f>
        <v>621178.6364197029</v>
      </c>
      <c r="AA154" s="383"/>
      <c r="AB154" s="383"/>
      <c r="AC154" s="383"/>
      <c r="AD154" s="384"/>
    </row>
    <row r="155" spans="2:49" ht="22.5" customHeight="1" x14ac:dyDescent="0.25"/>
    <row r="156" spans="2:49" ht="26.25" customHeight="1" x14ac:dyDescent="0.25">
      <c r="B156" s="94" t="s">
        <v>6203</v>
      </c>
      <c r="C156" s="47"/>
      <c r="D156" s="47"/>
      <c r="E156" s="47"/>
      <c r="F156" s="47"/>
      <c r="G156" s="47"/>
      <c r="H156" s="47"/>
      <c r="I156" s="47"/>
      <c r="J156" s="70"/>
      <c r="K156" s="70"/>
      <c r="L156" s="70"/>
      <c r="M156" s="70"/>
      <c r="N156" s="70"/>
      <c r="O156" s="70"/>
      <c r="P156" s="70"/>
      <c r="Q156" s="70"/>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row>
    <row r="157" spans="2:49" ht="3.75" customHeight="1" x14ac:dyDescent="0.25">
      <c r="J157" s="69"/>
      <c r="K157" s="69"/>
      <c r="L157" s="69"/>
      <c r="M157" s="69"/>
      <c r="N157" s="69"/>
      <c r="O157" s="69"/>
      <c r="P157" s="69"/>
      <c r="Q157" s="69"/>
    </row>
    <row r="158" spans="2:49" ht="22.5" customHeight="1" thickBot="1" x14ac:dyDescent="0.3">
      <c r="B158" s="134" t="s">
        <v>6169</v>
      </c>
      <c r="C158" s="135"/>
      <c r="D158" s="135"/>
      <c r="E158" s="135"/>
      <c r="F158" s="135"/>
      <c r="G158" s="135"/>
      <c r="H158" s="135"/>
      <c r="I158" s="135"/>
      <c r="J158" s="135"/>
      <c r="K158" s="135"/>
      <c r="L158" s="135" t="s">
        <v>6170</v>
      </c>
      <c r="M158" s="135"/>
      <c r="N158" s="135"/>
      <c r="O158" s="135"/>
      <c r="P158" s="135"/>
      <c r="Q158" s="135"/>
      <c r="R158" s="135"/>
      <c r="S158" s="135"/>
      <c r="T158" s="135"/>
      <c r="U158" s="135" t="s">
        <v>6171</v>
      </c>
      <c r="V158" s="135"/>
      <c r="W158" s="135"/>
      <c r="X158" s="135"/>
      <c r="Y158" s="135"/>
      <c r="Z158" s="135" t="s">
        <v>6172</v>
      </c>
      <c r="AA158" s="135"/>
      <c r="AB158" s="135"/>
      <c r="AC158" s="135"/>
      <c r="AD158" s="136"/>
    </row>
    <row r="159" spans="2:49" ht="22.5" customHeight="1" thickBot="1" x14ac:dyDescent="0.3">
      <c r="B159" s="142" t="s">
        <v>6207</v>
      </c>
      <c r="C159" s="133"/>
      <c r="D159" s="133"/>
      <c r="E159" s="133"/>
      <c r="F159" s="133"/>
      <c r="G159" s="133"/>
      <c r="H159" s="133"/>
      <c r="I159" s="133"/>
      <c r="J159" s="133"/>
      <c r="K159" s="133"/>
      <c r="L159" s="132" t="s">
        <v>6186</v>
      </c>
      <c r="M159" s="132"/>
      <c r="N159" s="132"/>
      <c r="O159" s="132"/>
      <c r="P159" s="132"/>
      <c r="Q159" s="132"/>
      <c r="R159" s="132"/>
      <c r="S159" s="132"/>
      <c r="T159" s="132"/>
      <c r="U159" s="113">
        <v>8.0000000000000004E-4</v>
      </c>
      <c r="V159" s="113"/>
      <c r="W159" s="113"/>
      <c r="X159" s="113"/>
      <c r="Y159" s="113"/>
      <c r="Z159" s="133">
        <f>IF(U159="","",_xlfn.XLOOKUP(L159,$B$119:$AW$119,$B$120:$AW$120)*U159)</f>
        <v>3546.6494797600003</v>
      </c>
      <c r="AA159" s="133"/>
      <c r="AB159" s="133"/>
      <c r="AC159" s="133"/>
      <c r="AD159" s="119"/>
    </row>
    <row r="160" spans="2:49" ht="22.5" customHeight="1" thickBot="1" x14ac:dyDescent="0.3">
      <c r="B160" s="142" t="s">
        <v>6184</v>
      </c>
      <c r="C160" s="133"/>
      <c r="D160" s="133"/>
      <c r="E160" s="133"/>
      <c r="F160" s="133"/>
      <c r="G160" s="133"/>
      <c r="H160" s="133"/>
      <c r="I160" s="133"/>
      <c r="J160" s="133"/>
      <c r="K160" s="133"/>
      <c r="L160" s="132" t="s">
        <v>6186</v>
      </c>
      <c r="M160" s="132"/>
      <c r="N160" s="132"/>
      <c r="O160" s="132"/>
      <c r="P160" s="132"/>
      <c r="Q160" s="132"/>
      <c r="R160" s="132"/>
      <c r="S160" s="132"/>
      <c r="T160" s="132"/>
      <c r="U160" s="113">
        <v>8.0000000000000004E-4</v>
      </c>
      <c r="V160" s="113"/>
      <c r="W160" s="113"/>
      <c r="X160" s="113"/>
      <c r="Y160" s="113"/>
      <c r="Z160" s="133">
        <f t="shared" ref="Z160:Z162" si="15">IF(U160="","",_xlfn.XLOOKUP(L160,$B$119:$AW$119,$B$120:$AW$120)*U160)</f>
        <v>3546.6494797600003</v>
      </c>
      <c r="AA160" s="133"/>
      <c r="AB160" s="133"/>
      <c r="AC160" s="133"/>
      <c r="AD160" s="119"/>
    </row>
    <row r="161" spans="2:49" ht="22.5" customHeight="1" thickBot="1" x14ac:dyDescent="0.3">
      <c r="B161" s="142" t="s">
        <v>6208</v>
      </c>
      <c r="C161" s="133"/>
      <c r="D161" s="133"/>
      <c r="E161" s="133"/>
      <c r="F161" s="133"/>
      <c r="G161" s="133"/>
      <c r="H161" s="133"/>
      <c r="I161" s="133"/>
      <c r="J161" s="133"/>
      <c r="K161" s="133"/>
      <c r="L161" s="132" t="s">
        <v>6186</v>
      </c>
      <c r="M161" s="132"/>
      <c r="N161" s="132"/>
      <c r="O161" s="132"/>
      <c r="P161" s="132"/>
      <c r="Q161" s="132"/>
      <c r="R161" s="132"/>
      <c r="S161" s="132"/>
      <c r="T161" s="132"/>
      <c r="U161" s="113">
        <v>8.0000000000000004E-4</v>
      </c>
      <c r="V161" s="113"/>
      <c r="W161" s="113"/>
      <c r="X161" s="113"/>
      <c r="Y161" s="113"/>
      <c r="Z161" s="133">
        <f t="shared" si="15"/>
        <v>3546.6494797600003</v>
      </c>
      <c r="AA161" s="133"/>
      <c r="AB161" s="133"/>
      <c r="AC161" s="133"/>
      <c r="AD161" s="119"/>
    </row>
    <row r="162" spans="2:49" ht="22.5" customHeight="1" thickBot="1" x14ac:dyDescent="0.3">
      <c r="B162" s="142" t="s">
        <v>6202</v>
      </c>
      <c r="C162" s="133"/>
      <c r="D162" s="133"/>
      <c r="E162" s="133"/>
      <c r="F162" s="133"/>
      <c r="G162" s="133"/>
      <c r="H162" s="133"/>
      <c r="I162" s="133"/>
      <c r="J162" s="133"/>
      <c r="K162" s="133"/>
      <c r="L162" s="132" t="s">
        <v>6186</v>
      </c>
      <c r="M162" s="132"/>
      <c r="N162" s="132"/>
      <c r="O162" s="132"/>
      <c r="P162" s="132"/>
      <c r="Q162" s="132"/>
      <c r="R162" s="132"/>
      <c r="S162" s="132"/>
      <c r="T162" s="132"/>
      <c r="U162" s="113"/>
      <c r="V162" s="113"/>
      <c r="W162" s="113"/>
      <c r="X162" s="113"/>
      <c r="Y162" s="113"/>
      <c r="Z162" s="133" t="str">
        <f t="shared" si="15"/>
        <v/>
      </c>
      <c r="AA162" s="133"/>
      <c r="AB162" s="133"/>
      <c r="AC162" s="133"/>
      <c r="AD162" s="119"/>
    </row>
    <row r="163" spans="2:49" ht="3.75" customHeight="1" x14ac:dyDescent="0.25"/>
    <row r="164" spans="2:49" ht="22.5" customHeight="1" x14ac:dyDescent="0.25">
      <c r="U164" s="109" t="s">
        <v>6037</v>
      </c>
      <c r="V164" s="110"/>
      <c r="W164" s="110"/>
      <c r="X164" s="110"/>
      <c r="Y164" s="110"/>
      <c r="Z164" s="383">
        <f>SUM(Z159:AD162)</f>
        <v>10639.94843928</v>
      </c>
      <c r="AA164" s="383"/>
      <c r="AB164" s="383"/>
      <c r="AC164" s="383"/>
      <c r="AD164" s="384"/>
    </row>
    <row r="165" spans="2:49" ht="22.5" customHeight="1" x14ac:dyDescent="0.25"/>
    <row r="166" spans="2:49" ht="26.25" customHeight="1" x14ac:dyDescent="0.25">
      <c r="B166" s="94" t="s">
        <v>6013</v>
      </c>
      <c r="C166" s="47"/>
      <c r="D166" s="47"/>
      <c r="E166" s="47"/>
      <c r="F166" s="47"/>
      <c r="G166" s="47"/>
      <c r="H166" s="47"/>
      <c r="I166" s="47"/>
      <c r="J166" s="70"/>
      <c r="K166" s="70"/>
      <c r="L166" s="70"/>
      <c r="M166" s="70"/>
      <c r="N166" s="70"/>
      <c r="O166" s="70"/>
      <c r="P166" s="70"/>
      <c r="Q166" s="70"/>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row>
    <row r="167" spans="2:49" ht="3.75" customHeight="1" x14ac:dyDescent="0.25">
      <c r="J167" s="69"/>
      <c r="K167" s="69"/>
      <c r="L167" s="69"/>
      <c r="M167" s="69"/>
      <c r="N167" s="69"/>
      <c r="O167" s="69"/>
      <c r="P167" s="69"/>
      <c r="Q167" s="69"/>
    </row>
    <row r="168" spans="2:49" ht="22.5" customHeight="1" thickBot="1" x14ac:dyDescent="0.3">
      <c r="B168" s="134" t="s">
        <v>6167</v>
      </c>
      <c r="C168" s="135"/>
      <c r="D168" s="135"/>
      <c r="E168" s="135"/>
      <c r="F168" s="135"/>
      <c r="G168" s="135"/>
      <c r="H168" s="135"/>
      <c r="I168" s="135"/>
      <c r="J168" s="135"/>
      <c r="K168" s="135"/>
      <c r="L168" s="135" t="s">
        <v>6021</v>
      </c>
      <c r="M168" s="135"/>
      <c r="N168" s="135"/>
      <c r="O168" s="135"/>
      <c r="P168" s="135"/>
      <c r="Q168" s="135"/>
      <c r="R168" s="135"/>
      <c r="S168" s="135"/>
      <c r="T168" s="135"/>
      <c r="U168" s="135" t="s">
        <v>6209</v>
      </c>
      <c r="V168" s="135"/>
      <c r="W168" s="135"/>
      <c r="X168" s="135"/>
      <c r="Y168" s="135"/>
      <c r="Z168" s="135"/>
      <c r="AA168" s="135"/>
      <c r="AB168" s="135"/>
      <c r="AC168" s="135"/>
      <c r="AD168" s="136"/>
    </row>
    <row r="169" spans="2:49" ht="22.5" customHeight="1" x14ac:dyDescent="0.25">
      <c r="B169" s="137">
        <f>AE120</f>
        <v>9556594.4064569678</v>
      </c>
      <c r="C169" s="106"/>
      <c r="D169" s="106"/>
      <c r="E169" s="106"/>
      <c r="F169" s="106"/>
      <c r="G169" s="106"/>
      <c r="H169" s="106"/>
      <c r="I169" s="106"/>
      <c r="J169" s="106"/>
      <c r="K169" s="106"/>
      <c r="L169" s="106">
        <f>IF(Z146="",0,Z146)</f>
        <v>477829.72032284841</v>
      </c>
      <c r="M169" s="106"/>
      <c r="N169" s="106"/>
      <c r="O169" s="106"/>
      <c r="P169" s="106"/>
      <c r="Q169" s="106"/>
      <c r="R169" s="106"/>
      <c r="S169" s="106"/>
      <c r="T169" s="106"/>
      <c r="U169" s="106">
        <f>IF(Z147="",0,Z147)</f>
        <v>95565.944064569674</v>
      </c>
      <c r="V169" s="106"/>
      <c r="W169" s="106"/>
      <c r="X169" s="106"/>
      <c r="Y169" s="106"/>
      <c r="Z169" s="106"/>
      <c r="AA169" s="106"/>
      <c r="AB169" s="106"/>
      <c r="AC169" s="106"/>
      <c r="AD169" s="107"/>
    </row>
    <row r="170" spans="2:49" ht="22.5" customHeight="1" x14ac:dyDescent="0.25"/>
    <row r="171" spans="2:49" ht="22.5" customHeight="1" thickBot="1" x14ac:dyDescent="0.3">
      <c r="B171" s="134" t="s">
        <v>6170</v>
      </c>
      <c r="C171" s="135"/>
      <c r="D171" s="135"/>
      <c r="E171" s="135"/>
      <c r="F171" s="135"/>
      <c r="G171" s="135"/>
      <c r="H171" s="135"/>
      <c r="I171" s="135"/>
      <c r="J171" s="135"/>
      <c r="K171" s="135"/>
      <c r="L171" s="135" t="s">
        <v>6171</v>
      </c>
      <c r="M171" s="135"/>
      <c r="N171" s="135"/>
      <c r="O171" s="135"/>
      <c r="P171" s="135"/>
      <c r="Q171" s="135"/>
      <c r="R171" s="135"/>
      <c r="S171" s="135"/>
      <c r="T171" s="135"/>
      <c r="U171" s="135" t="s">
        <v>6172</v>
      </c>
      <c r="V171" s="135"/>
      <c r="W171" s="135"/>
      <c r="X171" s="135"/>
      <c r="Y171" s="135"/>
      <c r="Z171" s="135"/>
      <c r="AA171" s="135"/>
      <c r="AB171" s="135"/>
      <c r="AC171" s="135"/>
      <c r="AD171" s="136"/>
    </row>
    <row r="172" spans="2:49" ht="22.5" customHeight="1" x14ac:dyDescent="0.25">
      <c r="B172" s="269" t="s">
        <v>6211</v>
      </c>
      <c r="C172" s="263"/>
      <c r="D172" s="263"/>
      <c r="E172" s="263"/>
      <c r="F172" s="263"/>
      <c r="G172" s="263"/>
      <c r="H172" s="263"/>
      <c r="I172" s="263"/>
      <c r="J172" s="263"/>
      <c r="K172" s="263"/>
      <c r="L172" s="114">
        <v>0.04</v>
      </c>
      <c r="M172" s="114"/>
      <c r="N172" s="114"/>
      <c r="O172" s="114"/>
      <c r="P172" s="114"/>
      <c r="Q172" s="114"/>
      <c r="R172" s="114"/>
      <c r="S172" s="114"/>
      <c r="T172" s="114"/>
      <c r="U172" s="115">
        <f>IF(L172="","",IF(B172="VGV Nominal",B169*L172,IF(B172="Sem Corretagem",((B169-L169)*L172),(B169-L169-U169)*L172)))</f>
        <v>359327.94968278194</v>
      </c>
      <c r="V172" s="115"/>
      <c r="W172" s="115"/>
      <c r="X172" s="115"/>
      <c r="Y172" s="115"/>
      <c r="Z172" s="115"/>
      <c r="AA172" s="115"/>
      <c r="AB172" s="115"/>
      <c r="AC172" s="115"/>
      <c r="AD172" s="116"/>
    </row>
    <row r="173" spans="2:49" ht="22.5" customHeight="1" x14ac:dyDescent="0.25"/>
    <row r="174" spans="2:49" ht="26.25" customHeight="1" x14ac:dyDescent="0.25">
      <c r="B174" s="94" t="s">
        <v>6210</v>
      </c>
      <c r="C174" s="47"/>
      <c r="D174" s="47"/>
      <c r="E174" s="47"/>
      <c r="F174" s="47"/>
      <c r="G174" s="47"/>
      <c r="H174" s="47"/>
      <c r="I174" s="47"/>
      <c r="J174" s="70"/>
      <c r="K174" s="70"/>
      <c r="L174" s="70"/>
      <c r="M174" s="70"/>
      <c r="N174" s="70"/>
      <c r="O174" s="70"/>
      <c r="P174" s="70"/>
      <c r="Q174" s="70"/>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row>
    <row r="175" spans="2:49" ht="3.75" customHeight="1" x14ac:dyDescent="0.25">
      <c r="J175" s="69"/>
      <c r="K175" s="69"/>
      <c r="L175" s="69"/>
      <c r="M175" s="69"/>
      <c r="N175" s="69"/>
      <c r="O175" s="69"/>
      <c r="P175" s="69"/>
      <c r="Q175" s="69"/>
    </row>
    <row r="176" spans="2:49" ht="22.5" customHeight="1" thickBot="1" x14ac:dyDescent="0.3">
      <c r="B176" s="134" t="s">
        <v>6170</v>
      </c>
      <c r="C176" s="135"/>
      <c r="D176" s="135"/>
      <c r="E176" s="135"/>
      <c r="F176" s="135"/>
      <c r="G176" s="135"/>
      <c r="H176" s="135"/>
      <c r="I176" s="135"/>
      <c r="J176" s="135"/>
      <c r="K176" s="135"/>
      <c r="L176" s="135" t="s">
        <v>6212</v>
      </c>
      <c r="M176" s="135"/>
      <c r="N176" s="135"/>
      <c r="O176" s="135"/>
      <c r="P176" s="135"/>
      <c r="Q176" s="135"/>
      <c r="R176" s="135"/>
      <c r="S176" s="135"/>
      <c r="T176" s="135"/>
      <c r="U176" s="135" t="s">
        <v>6213</v>
      </c>
      <c r="V176" s="135"/>
      <c r="W176" s="135"/>
      <c r="X176" s="135"/>
      <c r="Y176" s="135"/>
      <c r="Z176" s="135" t="s">
        <v>6098</v>
      </c>
      <c r="AA176" s="135"/>
      <c r="AB176" s="135"/>
      <c r="AC176" s="135"/>
      <c r="AD176" s="136"/>
    </row>
    <row r="177" spans="2:49" ht="22.5" customHeight="1" x14ac:dyDescent="0.25">
      <c r="B177" s="267">
        <v>1354000</v>
      </c>
      <c r="C177" s="268"/>
      <c r="D177" s="268"/>
      <c r="E177" s="268"/>
      <c r="F177" s="268"/>
      <c r="G177" s="268"/>
      <c r="H177" s="268"/>
      <c r="I177" s="268"/>
      <c r="J177" s="268"/>
      <c r="K177" s="268"/>
      <c r="L177" s="265">
        <v>2.5000000000000001E-2</v>
      </c>
      <c r="M177" s="265"/>
      <c r="N177" s="265"/>
      <c r="O177" s="265"/>
      <c r="P177" s="265"/>
      <c r="Q177" s="265"/>
      <c r="R177" s="265"/>
      <c r="S177" s="265"/>
      <c r="T177" s="265"/>
      <c r="U177" s="266">
        <v>12</v>
      </c>
      <c r="V177" s="266"/>
      <c r="W177" s="266"/>
      <c r="X177" s="266"/>
      <c r="Y177" s="266"/>
      <c r="Z177" s="115">
        <f>(-FV(L177,U177,,B177))-B177</f>
        <v>466979.46802948695</v>
      </c>
      <c r="AA177" s="115"/>
      <c r="AB177" s="115"/>
      <c r="AC177" s="115"/>
      <c r="AD177" s="116"/>
    </row>
    <row r="178" spans="2:49" ht="22.5" customHeight="1" x14ac:dyDescent="0.25"/>
    <row r="179" spans="2:49" ht="26.25" customHeight="1" x14ac:dyDescent="0.25">
      <c r="B179" s="78" t="s">
        <v>6214</v>
      </c>
      <c r="C179" s="76"/>
      <c r="D179" s="76"/>
      <c r="E179" s="76"/>
      <c r="F179" s="76"/>
      <c r="G179" s="76"/>
      <c r="H179" s="76"/>
      <c r="I179" s="76"/>
      <c r="J179" s="77"/>
      <c r="K179" s="77"/>
      <c r="L179" s="77"/>
      <c r="M179" s="77"/>
      <c r="N179" s="77"/>
      <c r="O179" s="77"/>
      <c r="P179" s="77"/>
      <c r="Q179" s="77"/>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row>
    <row r="180" spans="2:49" ht="3.75" customHeight="1" x14ac:dyDescent="0.25">
      <c r="J180" s="69"/>
      <c r="K180" s="69"/>
      <c r="L180" s="69"/>
      <c r="M180" s="69"/>
      <c r="N180" s="69"/>
      <c r="O180" s="69"/>
      <c r="P180" s="69"/>
      <c r="Q180" s="69"/>
    </row>
    <row r="181" spans="2:49" ht="22.5" customHeight="1" thickBot="1" x14ac:dyDescent="0.3">
      <c r="B181" s="79"/>
      <c r="C181" s="79"/>
      <c r="D181" s="271" t="s">
        <v>6229</v>
      </c>
      <c r="E181" s="271"/>
      <c r="F181" s="271"/>
      <c r="G181" s="271"/>
      <c r="H181" s="271"/>
      <c r="I181" s="271"/>
      <c r="J181" s="271"/>
      <c r="K181" s="271"/>
      <c r="L181" s="271"/>
      <c r="M181" s="271"/>
      <c r="N181" s="271"/>
      <c r="O181" s="88"/>
      <c r="P181" s="88"/>
      <c r="Q181" s="88"/>
      <c r="R181" s="88"/>
      <c r="S181" s="88"/>
      <c r="T181" s="88"/>
      <c r="U181" s="88"/>
      <c r="V181" s="88"/>
      <c r="W181" s="88"/>
      <c r="X181" s="88"/>
      <c r="Y181" s="88"/>
      <c r="Z181" s="88"/>
      <c r="AA181" s="88"/>
      <c r="AB181" s="88"/>
      <c r="AC181" s="88"/>
      <c r="AD181" s="88"/>
      <c r="AE181" s="88"/>
      <c r="AF181" s="88"/>
      <c r="AG181" s="88"/>
      <c r="AH181" s="278">
        <f>AH46</f>
        <v>9556594.4064569678</v>
      </c>
      <c r="AI181" s="279"/>
      <c r="AJ181" s="279"/>
      <c r="AK181" s="279"/>
      <c r="AL181" s="279"/>
      <c r="AM181" s="279"/>
      <c r="AN181" s="278">
        <f>IFERROR(AH181/$J$46,"")</f>
        <v>477829.72032284841</v>
      </c>
      <c r="AO181" s="278"/>
      <c r="AP181" s="278"/>
      <c r="AQ181" s="278"/>
      <c r="AR181" s="278"/>
      <c r="AS181" s="88"/>
      <c r="AT181" s="174" t="s">
        <v>6033</v>
      </c>
      <c r="AU181" s="174"/>
      <c r="AV181" s="174"/>
      <c r="AW181" s="174"/>
    </row>
    <row r="182" spans="2:49" ht="22.5" customHeight="1" x14ac:dyDescent="0.25">
      <c r="B182" s="273" t="s">
        <v>6219</v>
      </c>
      <c r="C182" s="273"/>
      <c r="D182" s="270" t="s">
        <v>6220</v>
      </c>
      <c r="E182" s="270"/>
      <c r="F182" s="270"/>
      <c r="G182" s="270"/>
      <c r="H182" s="270"/>
      <c r="I182" s="270"/>
      <c r="J182" s="270"/>
      <c r="K182" s="270"/>
      <c r="L182" s="270"/>
      <c r="M182" s="270"/>
      <c r="N182" s="270"/>
      <c r="O182" s="82"/>
      <c r="P182" s="82"/>
      <c r="Q182" s="82"/>
      <c r="R182" s="82"/>
      <c r="S182" s="82"/>
      <c r="T182" s="82"/>
      <c r="U182" s="82"/>
      <c r="V182" s="82"/>
      <c r="W182" s="82"/>
      <c r="X182" s="82"/>
      <c r="Y182" s="82"/>
      <c r="Z182" s="82"/>
      <c r="AA182" s="82"/>
      <c r="AB182" s="82"/>
      <c r="AC182" s="82"/>
      <c r="AD182" s="82"/>
      <c r="AE182" s="82"/>
      <c r="AF182" s="82"/>
      <c r="AG182" s="82"/>
      <c r="AH182" s="280">
        <f>IFERROR(-Z56,0)</f>
        <v>-800000</v>
      </c>
      <c r="AI182" s="280"/>
      <c r="AJ182" s="280"/>
      <c r="AK182" s="280"/>
      <c r="AL182" s="280"/>
      <c r="AM182" s="280"/>
      <c r="AN182" s="280">
        <f>IFERROR(AH182/$J$46,"")</f>
        <v>-40000</v>
      </c>
      <c r="AO182" s="280"/>
      <c r="AP182" s="280"/>
      <c r="AQ182" s="280"/>
      <c r="AR182" s="280"/>
      <c r="AS182" s="82"/>
      <c r="AT182" s="286">
        <f>IFERROR(ABS(AH182/$AH$181),"")</f>
        <v>8.3711829337391921E-2</v>
      </c>
      <c r="AU182" s="286"/>
      <c r="AV182" s="286"/>
      <c r="AW182" s="286"/>
    </row>
    <row r="183" spans="2:49" ht="22.5" customHeight="1" x14ac:dyDescent="0.25">
      <c r="B183" s="273"/>
      <c r="C183" s="273"/>
      <c r="D183" s="270" t="s">
        <v>6221</v>
      </c>
      <c r="E183" s="270"/>
      <c r="F183" s="270"/>
      <c r="G183" s="270"/>
      <c r="H183" s="270"/>
      <c r="I183" s="270"/>
      <c r="J183" s="270"/>
      <c r="K183" s="270"/>
      <c r="L183" s="270"/>
      <c r="M183" s="270"/>
      <c r="N183" s="270"/>
      <c r="O183" s="83"/>
      <c r="P183" s="83"/>
      <c r="Q183" s="83"/>
      <c r="R183" s="83"/>
      <c r="S183" s="83"/>
      <c r="T183" s="83"/>
      <c r="U183" s="83"/>
      <c r="V183" s="83"/>
      <c r="W183" s="83"/>
      <c r="X183" s="83"/>
      <c r="Y183" s="83"/>
      <c r="Z183" s="83"/>
      <c r="AA183" s="83"/>
      <c r="AB183" s="83"/>
      <c r="AC183" s="83"/>
      <c r="AD183" s="83"/>
      <c r="AE183" s="83"/>
      <c r="AF183" s="83"/>
      <c r="AG183" s="83"/>
      <c r="AH183" s="281">
        <f>IFERROR(-(N58+N61),0)</f>
        <v>-4000</v>
      </c>
      <c r="AI183" s="281"/>
      <c r="AJ183" s="281"/>
      <c r="AK183" s="281"/>
      <c r="AL183" s="281"/>
      <c r="AM183" s="281"/>
      <c r="AN183" s="281">
        <f t="shared" ref="AN183:AN213" si="16">IFERROR(AH183/$J$46,"")</f>
        <v>-200</v>
      </c>
      <c r="AO183" s="281"/>
      <c r="AP183" s="281"/>
      <c r="AQ183" s="281"/>
      <c r="AR183" s="281"/>
      <c r="AS183" s="83"/>
      <c r="AT183" s="287">
        <f t="shared" ref="AT183:AT213" si="17">IFERROR(ABS(AH183/$AH$181),"")</f>
        <v>4.1855914668695966E-4</v>
      </c>
      <c r="AU183" s="287"/>
      <c r="AV183" s="287"/>
      <c r="AW183" s="287"/>
    </row>
    <row r="184" spans="2:49" ht="22.5" customHeight="1" x14ac:dyDescent="0.25">
      <c r="B184" s="273"/>
      <c r="C184" s="273"/>
      <c r="D184" s="270" t="s">
        <v>6222</v>
      </c>
      <c r="E184" s="270"/>
      <c r="F184" s="270"/>
      <c r="G184" s="270"/>
      <c r="H184" s="270"/>
      <c r="I184" s="270"/>
      <c r="J184" s="270"/>
      <c r="K184" s="270"/>
      <c r="L184" s="270"/>
      <c r="M184" s="270"/>
      <c r="N184" s="270"/>
      <c r="O184" s="83"/>
      <c r="P184" s="83"/>
      <c r="Q184" s="83"/>
      <c r="R184" s="83"/>
      <c r="S184" s="83"/>
      <c r="T184" s="83"/>
      <c r="U184" s="83"/>
      <c r="V184" s="83"/>
      <c r="W184" s="83"/>
      <c r="X184" s="83"/>
      <c r="Y184" s="83"/>
      <c r="Z184" s="83"/>
      <c r="AA184" s="83"/>
      <c r="AB184" s="83"/>
      <c r="AC184" s="83"/>
      <c r="AD184" s="83"/>
      <c r="AE184" s="83"/>
      <c r="AF184" s="83"/>
      <c r="AG184" s="83"/>
      <c r="AH184" s="281">
        <f>IFERROR(-J63,0)</f>
        <v>0</v>
      </c>
      <c r="AI184" s="281"/>
      <c r="AJ184" s="281"/>
      <c r="AK184" s="281"/>
      <c r="AL184" s="281"/>
      <c r="AM184" s="281"/>
      <c r="AN184" s="281">
        <f t="shared" si="16"/>
        <v>0</v>
      </c>
      <c r="AO184" s="281"/>
      <c r="AP184" s="281"/>
      <c r="AQ184" s="281"/>
      <c r="AR184" s="281"/>
      <c r="AS184" s="83"/>
      <c r="AT184" s="287">
        <f t="shared" si="17"/>
        <v>0</v>
      </c>
      <c r="AU184" s="287"/>
      <c r="AV184" s="287"/>
      <c r="AW184" s="287"/>
    </row>
    <row r="185" spans="2:49" ht="22.5" customHeight="1" thickBot="1" x14ac:dyDescent="0.3">
      <c r="B185" s="274"/>
      <c r="C185" s="274"/>
      <c r="D185" s="272" t="s">
        <v>6097</v>
      </c>
      <c r="E185" s="272"/>
      <c r="F185" s="272"/>
      <c r="G185" s="272"/>
      <c r="H185" s="272"/>
      <c r="I185" s="272"/>
      <c r="J185" s="272"/>
      <c r="K185" s="272"/>
      <c r="L185" s="272"/>
      <c r="M185" s="272"/>
      <c r="N185" s="272"/>
      <c r="O185" s="84"/>
      <c r="P185" s="84"/>
      <c r="Q185" s="84"/>
      <c r="R185" s="84"/>
      <c r="S185" s="84"/>
      <c r="T185" s="84"/>
      <c r="U185" s="84"/>
      <c r="V185" s="84"/>
      <c r="W185" s="84"/>
      <c r="X185" s="84"/>
      <c r="Y185" s="84"/>
      <c r="Z185" s="84"/>
      <c r="AA185" s="84"/>
      <c r="AB185" s="84"/>
      <c r="AC185" s="84"/>
      <c r="AD185" s="84"/>
      <c r="AE185" s="84"/>
      <c r="AF185" s="84"/>
      <c r="AG185" s="84"/>
      <c r="AH185" s="282">
        <f>IFERROR(-J64,0)</f>
        <v>0</v>
      </c>
      <c r="AI185" s="282"/>
      <c r="AJ185" s="282"/>
      <c r="AK185" s="282"/>
      <c r="AL185" s="282"/>
      <c r="AM185" s="282"/>
      <c r="AN185" s="282">
        <f t="shared" si="16"/>
        <v>0</v>
      </c>
      <c r="AO185" s="282"/>
      <c r="AP185" s="282"/>
      <c r="AQ185" s="282"/>
      <c r="AR185" s="282"/>
      <c r="AS185" s="84"/>
      <c r="AT185" s="288">
        <f t="shared" si="17"/>
        <v>0</v>
      </c>
      <c r="AU185" s="288"/>
      <c r="AV185" s="288"/>
      <c r="AW185" s="288"/>
    </row>
    <row r="186" spans="2:49" ht="22.5" customHeight="1" x14ac:dyDescent="0.25">
      <c r="B186" s="273" t="s">
        <v>6218</v>
      </c>
      <c r="C186" s="273"/>
      <c r="D186" s="270" t="s">
        <v>6186</v>
      </c>
      <c r="E186" s="270"/>
      <c r="F186" s="270"/>
      <c r="G186" s="270"/>
      <c r="H186" s="270"/>
      <c r="I186" s="270"/>
      <c r="J186" s="270"/>
      <c r="K186" s="270"/>
      <c r="L186" s="270"/>
      <c r="M186" s="270"/>
      <c r="N186" s="270"/>
      <c r="O186" s="82"/>
      <c r="P186" s="82"/>
      <c r="Q186" s="82"/>
      <c r="R186" s="82"/>
      <c r="S186" s="82"/>
      <c r="T186" s="82"/>
      <c r="U186" s="82"/>
      <c r="V186" s="82"/>
      <c r="W186" s="82"/>
      <c r="X186" s="82"/>
      <c r="Y186" s="82"/>
      <c r="Z186" s="82"/>
      <c r="AA186" s="82"/>
      <c r="AB186" s="82"/>
      <c r="AC186" s="82"/>
      <c r="AD186" s="82"/>
      <c r="AE186" s="82"/>
      <c r="AF186" s="82"/>
      <c r="AG186" s="82"/>
      <c r="AH186" s="280">
        <f>IFERROR(-R114,0)</f>
        <v>-4433311.8497000001</v>
      </c>
      <c r="AI186" s="280"/>
      <c r="AJ186" s="280"/>
      <c r="AK186" s="280"/>
      <c r="AL186" s="280"/>
      <c r="AM186" s="280"/>
      <c r="AN186" s="280">
        <f t="shared" si="16"/>
        <v>-221665.592485</v>
      </c>
      <c r="AO186" s="280"/>
      <c r="AP186" s="280"/>
      <c r="AQ186" s="280"/>
      <c r="AR186" s="280"/>
      <c r="AS186" s="82"/>
      <c r="AT186" s="286">
        <f t="shared" si="17"/>
        <v>0.46390080620190466</v>
      </c>
      <c r="AU186" s="286"/>
      <c r="AV186" s="286"/>
      <c r="AW186" s="286"/>
    </row>
    <row r="187" spans="2:49" ht="22.5" customHeight="1" thickBot="1" x14ac:dyDescent="0.3">
      <c r="B187" s="274"/>
      <c r="C187" s="274"/>
      <c r="D187" s="272" t="s">
        <v>6223</v>
      </c>
      <c r="E187" s="272"/>
      <c r="F187" s="272"/>
      <c r="G187" s="272"/>
      <c r="H187" s="272"/>
      <c r="I187" s="272"/>
      <c r="J187" s="272"/>
      <c r="K187" s="272"/>
      <c r="L187" s="272"/>
      <c r="M187" s="272"/>
      <c r="N187" s="272"/>
      <c r="O187" s="84"/>
      <c r="P187" s="84"/>
      <c r="Q187" s="84"/>
      <c r="R187" s="84"/>
      <c r="S187" s="84"/>
      <c r="T187" s="84"/>
      <c r="U187" s="84"/>
      <c r="V187" s="84"/>
      <c r="W187" s="84"/>
      <c r="X187" s="84"/>
      <c r="Y187" s="84"/>
      <c r="Z187" s="84"/>
      <c r="AA187" s="84"/>
      <c r="AB187" s="84"/>
      <c r="AC187" s="84"/>
      <c r="AD187" s="84"/>
      <c r="AE187" s="84"/>
      <c r="AF187" s="84"/>
      <c r="AG187" s="84"/>
      <c r="AH187" s="282">
        <f>IFERROR(-AM115,0)</f>
        <v>-443331.18497000006</v>
      </c>
      <c r="AI187" s="282"/>
      <c r="AJ187" s="282"/>
      <c r="AK187" s="282"/>
      <c r="AL187" s="282"/>
      <c r="AM187" s="282"/>
      <c r="AN187" s="282">
        <f t="shared" si="16"/>
        <v>-22166.559248500002</v>
      </c>
      <c r="AO187" s="282"/>
      <c r="AP187" s="282"/>
      <c r="AQ187" s="282"/>
      <c r="AR187" s="282"/>
      <c r="AS187" s="84"/>
      <c r="AT187" s="288">
        <f t="shared" si="17"/>
        <v>4.6390080620190476E-2</v>
      </c>
      <c r="AU187" s="288"/>
      <c r="AV187" s="288"/>
      <c r="AW187" s="288"/>
    </row>
    <row r="188" spans="2:49" ht="22.5" customHeight="1" x14ac:dyDescent="0.25">
      <c r="B188" s="273" t="s">
        <v>6217</v>
      </c>
      <c r="C188" s="273"/>
      <c r="D188" s="270" t="s">
        <v>6176</v>
      </c>
      <c r="E188" s="270"/>
      <c r="F188" s="270"/>
      <c r="G188" s="270"/>
      <c r="H188" s="270"/>
      <c r="I188" s="270"/>
      <c r="J188" s="270"/>
      <c r="K188" s="270"/>
      <c r="L188" s="270"/>
      <c r="M188" s="270"/>
      <c r="N188" s="270"/>
      <c r="O188" s="82"/>
      <c r="P188" s="82"/>
      <c r="Q188" s="82"/>
      <c r="R188" s="82"/>
      <c r="S188" s="82"/>
      <c r="T188" s="82"/>
      <c r="U188" s="82"/>
      <c r="V188" s="82"/>
      <c r="W188" s="82"/>
      <c r="X188" s="82"/>
      <c r="Y188" s="82"/>
      <c r="Z188" s="82"/>
      <c r="AA188" s="82"/>
      <c r="AB188" s="82"/>
      <c r="AC188" s="82"/>
      <c r="AD188" s="82"/>
      <c r="AE188" s="82"/>
      <c r="AF188" s="82"/>
      <c r="AG188" s="82"/>
      <c r="AH188" s="280">
        <f t="shared" ref="AH188:AH196" si="18">IFERROR(-Z123,0)</f>
        <v>-61999.99999999992</v>
      </c>
      <c r="AI188" s="280"/>
      <c r="AJ188" s="280"/>
      <c r="AK188" s="280"/>
      <c r="AL188" s="280"/>
      <c r="AM188" s="280"/>
      <c r="AN188" s="280">
        <f t="shared" si="16"/>
        <v>-3099.9999999999959</v>
      </c>
      <c r="AO188" s="280"/>
      <c r="AP188" s="280"/>
      <c r="AQ188" s="280"/>
      <c r="AR188" s="280"/>
      <c r="AS188" s="82"/>
      <c r="AT188" s="286">
        <f t="shared" si="17"/>
        <v>6.4876667736478658E-3</v>
      </c>
      <c r="AU188" s="286"/>
      <c r="AV188" s="286"/>
      <c r="AW188" s="286"/>
    </row>
    <row r="189" spans="2:49" ht="22.5" customHeight="1" x14ac:dyDescent="0.25">
      <c r="B189" s="273"/>
      <c r="C189" s="273"/>
      <c r="D189" s="270" t="s">
        <v>6177</v>
      </c>
      <c r="E189" s="270"/>
      <c r="F189" s="270"/>
      <c r="G189" s="270"/>
      <c r="H189" s="270"/>
      <c r="I189" s="270"/>
      <c r="J189" s="270"/>
      <c r="K189" s="270"/>
      <c r="L189" s="270"/>
      <c r="M189" s="270"/>
      <c r="N189" s="270"/>
      <c r="O189" s="83"/>
      <c r="P189" s="83"/>
      <c r="Q189" s="83"/>
      <c r="R189" s="83"/>
      <c r="S189" s="83"/>
      <c r="T189" s="83"/>
      <c r="U189" s="83"/>
      <c r="V189" s="83"/>
      <c r="W189" s="83"/>
      <c r="X189" s="83"/>
      <c r="Y189" s="83"/>
      <c r="Z189" s="83"/>
      <c r="AA189" s="83"/>
      <c r="AB189" s="83"/>
      <c r="AC189" s="83"/>
      <c r="AD189" s="83"/>
      <c r="AE189" s="83"/>
      <c r="AF189" s="83"/>
      <c r="AG189" s="83"/>
      <c r="AH189" s="281">
        <f t="shared" si="18"/>
        <v>-7999.9999999999991</v>
      </c>
      <c r="AI189" s="281"/>
      <c r="AJ189" s="281"/>
      <c r="AK189" s="281"/>
      <c r="AL189" s="281"/>
      <c r="AM189" s="281"/>
      <c r="AN189" s="281">
        <f t="shared" si="16"/>
        <v>-399.99999999999994</v>
      </c>
      <c r="AO189" s="281"/>
      <c r="AP189" s="281"/>
      <c r="AQ189" s="281"/>
      <c r="AR189" s="281"/>
      <c r="AS189" s="83"/>
      <c r="AT189" s="287">
        <f t="shared" si="17"/>
        <v>8.3711829337391921E-4</v>
      </c>
      <c r="AU189" s="287"/>
      <c r="AV189" s="287"/>
      <c r="AW189" s="287"/>
    </row>
    <row r="190" spans="2:49" ht="22.5" customHeight="1" x14ac:dyDescent="0.25">
      <c r="B190" s="273"/>
      <c r="C190" s="273"/>
      <c r="D190" s="270" t="s">
        <v>6178</v>
      </c>
      <c r="E190" s="270"/>
      <c r="F190" s="270"/>
      <c r="G190" s="270"/>
      <c r="H190" s="270"/>
      <c r="I190" s="270"/>
      <c r="J190" s="270"/>
      <c r="K190" s="270"/>
      <c r="L190" s="270"/>
      <c r="M190" s="270"/>
      <c r="N190" s="270"/>
      <c r="O190" s="83"/>
      <c r="P190" s="83"/>
      <c r="Q190" s="83"/>
      <c r="R190" s="83"/>
      <c r="S190" s="83"/>
      <c r="T190" s="83"/>
      <c r="U190" s="83"/>
      <c r="V190" s="83"/>
      <c r="W190" s="83"/>
      <c r="X190" s="83"/>
      <c r="Y190" s="83"/>
      <c r="Z190" s="83"/>
      <c r="AA190" s="83"/>
      <c r="AB190" s="83"/>
      <c r="AC190" s="83"/>
      <c r="AD190" s="83"/>
      <c r="AE190" s="83"/>
      <c r="AF190" s="83"/>
      <c r="AG190" s="83"/>
      <c r="AH190" s="281">
        <f t="shared" si="18"/>
        <v>0</v>
      </c>
      <c r="AI190" s="281"/>
      <c r="AJ190" s="281"/>
      <c r="AK190" s="281"/>
      <c r="AL190" s="281"/>
      <c r="AM190" s="281"/>
      <c r="AN190" s="281">
        <f t="shared" si="16"/>
        <v>0</v>
      </c>
      <c r="AO190" s="281"/>
      <c r="AP190" s="281"/>
      <c r="AQ190" s="281"/>
      <c r="AR190" s="281"/>
      <c r="AS190" s="83"/>
      <c r="AT190" s="287">
        <f t="shared" si="17"/>
        <v>0</v>
      </c>
      <c r="AU190" s="287"/>
      <c r="AV190" s="287"/>
      <c r="AW190" s="287"/>
    </row>
    <row r="191" spans="2:49" ht="22.5" customHeight="1" x14ac:dyDescent="0.25">
      <c r="B191" s="273"/>
      <c r="C191" s="273"/>
      <c r="D191" s="270" t="s">
        <v>6179</v>
      </c>
      <c r="E191" s="270"/>
      <c r="F191" s="270"/>
      <c r="G191" s="270"/>
      <c r="H191" s="270"/>
      <c r="I191" s="270"/>
      <c r="J191" s="270"/>
      <c r="K191" s="270"/>
      <c r="L191" s="270"/>
      <c r="M191" s="270"/>
      <c r="N191" s="270"/>
      <c r="O191" s="83"/>
      <c r="P191" s="83"/>
      <c r="Q191" s="83"/>
      <c r="R191" s="83"/>
      <c r="S191" s="83"/>
      <c r="T191" s="83"/>
      <c r="U191" s="83"/>
      <c r="V191" s="83"/>
      <c r="W191" s="83"/>
      <c r="X191" s="83"/>
      <c r="Y191" s="83"/>
      <c r="Z191" s="83"/>
      <c r="AA191" s="83"/>
      <c r="AB191" s="83"/>
      <c r="AC191" s="83"/>
      <c r="AD191" s="83"/>
      <c r="AE191" s="83"/>
      <c r="AF191" s="83"/>
      <c r="AG191" s="83"/>
      <c r="AH191" s="281">
        <f t="shared" si="18"/>
        <v>0</v>
      </c>
      <c r="AI191" s="281"/>
      <c r="AJ191" s="281"/>
      <c r="AK191" s="281"/>
      <c r="AL191" s="281"/>
      <c r="AM191" s="281"/>
      <c r="AN191" s="281">
        <f t="shared" si="16"/>
        <v>0</v>
      </c>
      <c r="AO191" s="281"/>
      <c r="AP191" s="281"/>
      <c r="AQ191" s="281"/>
      <c r="AR191" s="281"/>
      <c r="AS191" s="83"/>
      <c r="AT191" s="287">
        <f t="shared" si="17"/>
        <v>0</v>
      </c>
      <c r="AU191" s="287"/>
      <c r="AV191" s="287"/>
      <c r="AW191" s="287"/>
    </row>
    <row r="192" spans="2:49" ht="22.5" customHeight="1" x14ac:dyDescent="0.25">
      <c r="B192" s="273"/>
      <c r="C192" s="273"/>
      <c r="D192" s="270" t="s">
        <v>6180</v>
      </c>
      <c r="E192" s="270"/>
      <c r="F192" s="270"/>
      <c r="G192" s="270"/>
      <c r="H192" s="270"/>
      <c r="I192" s="270"/>
      <c r="J192" s="270"/>
      <c r="K192" s="270"/>
      <c r="L192" s="270"/>
      <c r="M192" s="270"/>
      <c r="N192" s="270"/>
      <c r="O192" s="83"/>
      <c r="P192" s="83"/>
      <c r="Q192" s="83"/>
      <c r="R192" s="83"/>
      <c r="S192" s="83"/>
      <c r="T192" s="83"/>
      <c r="U192" s="83"/>
      <c r="V192" s="83"/>
      <c r="W192" s="83"/>
      <c r="X192" s="83"/>
      <c r="Y192" s="83"/>
      <c r="Z192" s="83"/>
      <c r="AA192" s="83"/>
      <c r="AB192" s="83"/>
      <c r="AC192" s="83"/>
      <c r="AD192" s="83"/>
      <c r="AE192" s="83"/>
      <c r="AF192" s="83"/>
      <c r="AG192" s="83"/>
      <c r="AH192" s="281">
        <f t="shared" si="18"/>
        <v>0</v>
      </c>
      <c r="AI192" s="281"/>
      <c r="AJ192" s="281"/>
      <c r="AK192" s="281"/>
      <c r="AL192" s="281"/>
      <c r="AM192" s="281"/>
      <c r="AN192" s="281">
        <f t="shared" si="16"/>
        <v>0</v>
      </c>
      <c r="AO192" s="281"/>
      <c r="AP192" s="281"/>
      <c r="AQ192" s="281"/>
      <c r="AR192" s="281"/>
      <c r="AS192" s="83"/>
      <c r="AT192" s="287">
        <f t="shared" si="17"/>
        <v>0</v>
      </c>
      <c r="AU192" s="287"/>
      <c r="AV192" s="287"/>
      <c r="AW192" s="287"/>
    </row>
    <row r="193" spans="2:49" ht="22.5" customHeight="1" x14ac:dyDescent="0.25">
      <c r="B193" s="273"/>
      <c r="C193" s="273"/>
      <c r="D193" s="270" t="s">
        <v>6181</v>
      </c>
      <c r="E193" s="270"/>
      <c r="F193" s="270"/>
      <c r="G193" s="270"/>
      <c r="H193" s="270"/>
      <c r="I193" s="270"/>
      <c r="J193" s="270"/>
      <c r="K193" s="270"/>
      <c r="L193" s="270"/>
      <c r="M193" s="270"/>
      <c r="N193" s="270"/>
      <c r="O193" s="83"/>
      <c r="P193" s="83"/>
      <c r="Q193" s="83"/>
      <c r="R193" s="83"/>
      <c r="S193" s="83"/>
      <c r="T193" s="83"/>
      <c r="U193" s="83"/>
      <c r="V193" s="83"/>
      <c r="W193" s="83"/>
      <c r="X193" s="83"/>
      <c r="Y193" s="83"/>
      <c r="Z193" s="83"/>
      <c r="AA193" s="83"/>
      <c r="AB193" s="83"/>
      <c r="AC193" s="83"/>
      <c r="AD193" s="83"/>
      <c r="AE193" s="83"/>
      <c r="AF193" s="83"/>
      <c r="AG193" s="83"/>
      <c r="AH193" s="281">
        <f t="shared" si="18"/>
        <v>0</v>
      </c>
      <c r="AI193" s="281"/>
      <c r="AJ193" s="281"/>
      <c r="AK193" s="281"/>
      <c r="AL193" s="281"/>
      <c r="AM193" s="281"/>
      <c r="AN193" s="281">
        <f t="shared" si="16"/>
        <v>0</v>
      </c>
      <c r="AO193" s="281"/>
      <c r="AP193" s="281"/>
      <c r="AQ193" s="281"/>
      <c r="AR193" s="281"/>
      <c r="AS193" s="83"/>
      <c r="AT193" s="287">
        <f t="shared" si="17"/>
        <v>0</v>
      </c>
      <c r="AU193" s="287"/>
      <c r="AV193" s="287"/>
      <c r="AW193" s="287"/>
    </row>
    <row r="194" spans="2:49" ht="22.5" customHeight="1" x14ac:dyDescent="0.25">
      <c r="B194" s="273"/>
      <c r="C194" s="273"/>
      <c r="D194" s="270" t="s">
        <v>6182</v>
      </c>
      <c r="E194" s="270"/>
      <c r="F194" s="270"/>
      <c r="G194" s="270"/>
      <c r="H194" s="270"/>
      <c r="I194" s="270"/>
      <c r="J194" s="270"/>
      <c r="K194" s="270"/>
      <c r="L194" s="270"/>
      <c r="M194" s="270"/>
      <c r="N194" s="270"/>
      <c r="O194" s="83"/>
      <c r="P194" s="83"/>
      <c r="Q194" s="83"/>
      <c r="R194" s="83"/>
      <c r="S194" s="83"/>
      <c r="T194" s="83"/>
      <c r="U194" s="83"/>
      <c r="V194" s="83"/>
      <c r="W194" s="83"/>
      <c r="X194" s="83"/>
      <c r="Y194" s="83"/>
      <c r="Z194" s="83"/>
      <c r="AA194" s="83"/>
      <c r="AB194" s="83"/>
      <c r="AC194" s="83"/>
      <c r="AD194" s="83"/>
      <c r="AE194" s="83"/>
      <c r="AF194" s="83"/>
      <c r="AG194" s="83"/>
      <c r="AH194" s="281">
        <f t="shared" si="18"/>
        <v>-286697.83219370904</v>
      </c>
      <c r="AI194" s="281"/>
      <c r="AJ194" s="281"/>
      <c r="AK194" s="281"/>
      <c r="AL194" s="281"/>
      <c r="AM194" s="281"/>
      <c r="AN194" s="281">
        <f t="shared" si="16"/>
        <v>-14334.891609685452</v>
      </c>
      <c r="AO194" s="281"/>
      <c r="AP194" s="281"/>
      <c r="AQ194" s="281"/>
      <c r="AR194" s="281"/>
      <c r="AS194" s="83"/>
      <c r="AT194" s="287">
        <f t="shared" si="17"/>
        <v>0.03</v>
      </c>
      <c r="AU194" s="287"/>
      <c r="AV194" s="287"/>
      <c r="AW194" s="287"/>
    </row>
    <row r="195" spans="2:49" ht="22.5" customHeight="1" x14ac:dyDescent="0.25">
      <c r="B195" s="273"/>
      <c r="C195" s="273"/>
      <c r="D195" s="270" t="s">
        <v>6183</v>
      </c>
      <c r="E195" s="270"/>
      <c r="F195" s="270"/>
      <c r="G195" s="270"/>
      <c r="H195" s="270"/>
      <c r="I195" s="270"/>
      <c r="J195" s="270"/>
      <c r="K195" s="270"/>
      <c r="L195" s="270"/>
      <c r="M195" s="270"/>
      <c r="N195" s="270"/>
      <c r="O195" s="83"/>
      <c r="P195" s="83"/>
      <c r="Q195" s="83"/>
      <c r="R195" s="83"/>
      <c r="S195" s="83"/>
      <c r="T195" s="83"/>
      <c r="U195" s="83"/>
      <c r="V195" s="83"/>
      <c r="W195" s="83"/>
      <c r="X195" s="83"/>
      <c r="Y195" s="83"/>
      <c r="Z195" s="83"/>
      <c r="AA195" s="83"/>
      <c r="AB195" s="83"/>
      <c r="AC195" s="83"/>
      <c r="AD195" s="83"/>
      <c r="AE195" s="83"/>
      <c r="AF195" s="83"/>
      <c r="AG195" s="83"/>
      <c r="AH195" s="281">
        <f t="shared" si="18"/>
        <v>0</v>
      </c>
      <c r="AI195" s="281"/>
      <c r="AJ195" s="281"/>
      <c r="AK195" s="281"/>
      <c r="AL195" s="281"/>
      <c r="AM195" s="281"/>
      <c r="AN195" s="281">
        <f t="shared" si="16"/>
        <v>0</v>
      </c>
      <c r="AO195" s="281"/>
      <c r="AP195" s="281"/>
      <c r="AQ195" s="281"/>
      <c r="AR195" s="281"/>
      <c r="AS195" s="83"/>
      <c r="AT195" s="287">
        <f t="shared" si="17"/>
        <v>0</v>
      </c>
      <c r="AU195" s="287"/>
      <c r="AV195" s="287"/>
      <c r="AW195" s="287"/>
    </row>
    <row r="196" spans="2:49" ht="22.5" customHeight="1" x14ac:dyDescent="0.25">
      <c r="B196" s="273"/>
      <c r="C196" s="273"/>
      <c r="D196" s="270" t="s">
        <v>6184</v>
      </c>
      <c r="E196" s="270"/>
      <c r="F196" s="270"/>
      <c r="G196" s="270"/>
      <c r="H196" s="270"/>
      <c r="I196" s="270"/>
      <c r="J196" s="270"/>
      <c r="K196" s="270"/>
      <c r="L196" s="270"/>
      <c r="M196" s="270"/>
      <c r="N196" s="270"/>
      <c r="O196" s="83"/>
      <c r="P196" s="83"/>
      <c r="Q196" s="83"/>
      <c r="R196" s="83"/>
      <c r="S196" s="83"/>
      <c r="T196" s="83"/>
      <c r="U196" s="83"/>
      <c r="V196" s="83"/>
      <c r="W196" s="83"/>
      <c r="X196" s="83"/>
      <c r="Y196" s="83"/>
      <c r="Z196" s="83"/>
      <c r="AA196" s="83"/>
      <c r="AB196" s="83"/>
      <c r="AC196" s="83"/>
      <c r="AD196" s="83"/>
      <c r="AE196" s="83"/>
      <c r="AF196" s="83"/>
      <c r="AG196" s="83"/>
      <c r="AH196" s="281">
        <f t="shared" si="18"/>
        <v>-44333.118497000003</v>
      </c>
      <c r="AI196" s="281"/>
      <c r="AJ196" s="281"/>
      <c r="AK196" s="281"/>
      <c r="AL196" s="281"/>
      <c r="AM196" s="281"/>
      <c r="AN196" s="281">
        <f t="shared" si="16"/>
        <v>-2216.6559248500002</v>
      </c>
      <c r="AO196" s="281"/>
      <c r="AP196" s="281"/>
      <c r="AQ196" s="281"/>
      <c r="AR196" s="281"/>
      <c r="AS196" s="83"/>
      <c r="AT196" s="287">
        <f t="shared" si="17"/>
        <v>4.639008062019047E-3</v>
      </c>
      <c r="AU196" s="287"/>
      <c r="AV196" s="287"/>
      <c r="AW196" s="287"/>
    </row>
    <row r="197" spans="2:49" ht="22.5" customHeight="1" x14ac:dyDescent="0.25">
      <c r="B197" s="273"/>
      <c r="C197" s="273"/>
      <c r="D197" s="270" t="s">
        <v>6224</v>
      </c>
      <c r="E197" s="270"/>
      <c r="F197" s="270"/>
      <c r="G197" s="270"/>
      <c r="H197" s="270"/>
      <c r="I197" s="270"/>
      <c r="J197" s="270"/>
      <c r="K197" s="270"/>
      <c r="L197" s="270"/>
      <c r="M197" s="270"/>
      <c r="N197" s="270"/>
      <c r="O197" s="83"/>
      <c r="P197" s="83"/>
      <c r="Q197" s="83"/>
      <c r="R197" s="83"/>
      <c r="S197" s="83"/>
      <c r="T197" s="83"/>
      <c r="U197" s="83"/>
      <c r="V197" s="83"/>
      <c r="W197" s="83"/>
      <c r="X197" s="83"/>
      <c r="Y197" s="83"/>
      <c r="Z197" s="83"/>
      <c r="AA197" s="83"/>
      <c r="AB197" s="83"/>
      <c r="AC197" s="83"/>
      <c r="AD197" s="83"/>
      <c r="AE197" s="83"/>
      <c r="AF197" s="83"/>
      <c r="AG197" s="83"/>
      <c r="AH197" s="281">
        <f>IFERROR(-AN127,0)</f>
        <v>0</v>
      </c>
      <c r="AI197" s="281"/>
      <c r="AJ197" s="281"/>
      <c r="AK197" s="281"/>
      <c r="AL197" s="281"/>
      <c r="AM197" s="281"/>
      <c r="AN197" s="281">
        <f t="shared" si="16"/>
        <v>0</v>
      </c>
      <c r="AO197" s="281"/>
      <c r="AP197" s="281"/>
      <c r="AQ197" s="281"/>
      <c r="AR197" s="281"/>
      <c r="AS197" s="83"/>
      <c r="AT197" s="287">
        <f t="shared" si="17"/>
        <v>0</v>
      </c>
      <c r="AU197" s="287"/>
      <c r="AV197" s="287"/>
      <c r="AW197" s="287"/>
    </row>
    <row r="198" spans="2:49" ht="22.5" customHeight="1" x14ac:dyDescent="0.25">
      <c r="B198" s="273"/>
      <c r="C198" s="273"/>
      <c r="D198" s="270" t="s">
        <v>6174</v>
      </c>
      <c r="E198" s="270"/>
      <c r="F198" s="270"/>
      <c r="G198" s="270"/>
      <c r="H198" s="270"/>
      <c r="I198" s="270"/>
      <c r="J198" s="270"/>
      <c r="K198" s="270"/>
      <c r="L198" s="270"/>
      <c r="M198" s="270"/>
      <c r="N198" s="270"/>
      <c r="O198" s="83"/>
      <c r="P198" s="83"/>
      <c r="Q198" s="83"/>
      <c r="R198" s="83"/>
      <c r="S198" s="83"/>
      <c r="T198" s="83"/>
      <c r="U198" s="83"/>
      <c r="V198" s="83"/>
      <c r="W198" s="83"/>
      <c r="X198" s="83"/>
      <c r="Y198" s="83"/>
      <c r="Z198" s="83"/>
      <c r="AA198" s="83"/>
      <c r="AB198" s="83"/>
      <c r="AC198" s="83"/>
      <c r="AD198" s="83"/>
      <c r="AE198" s="83"/>
      <c r="AF198" s="83"/>
      <c r="AG198" s="83"/>
      <c r="AH198" s="281">
        <f>IFERROR(-#REF!,0)</f>
        <v>0</v>
      </c>
      <c r="AI198" s="281"/>
      <c r="AJ198" s="281"/>
      <c r="AK198" s="281"/>
      <c r="AL198" s="281"/>
      <c r="AM198" s="281"/>
      <c r="AN198" s="281">
        <f t="shared" si="16"/>
        <v>0</v>
      </c>
      <c r="AO198" s="281"/>
      <c r="AP198" s="281"/>
      <c r="AQ198" s="281"/>
      <c r="AR198" s="281"/>
      <c r="AS198" s="83"/>
      <c r="AT198" s="287">
        <f t="shared" si="17"/>
        <v>0</v>
      </c>
      <c r="AU198" s="287"/>
      <c r="AV198" s="287"/>
      <c r="AW198" s="287"/>
    </row>
    <row r="199" spans="2:49" ht="22.5" customHeight="1" thickBot="1" x14ac:dyDescent="0.3">
      <c r="B199" s="274"/>
      <c r="C199" s="274"/>
      <c r="D199" s="272" t="s">
        <v>6202</v>
      </c>
      <c r="E199" s="272"/>
      <c r="F199" s="272"/>
      <c r="G199" s="272"/>
      <c r="H199" s="272"/>
      <c r="I199" s="272"/>
      <c r="J199" s="272"/>
      <c r="K199" s="272"/>
      <c r="L199" s="272"/>
      <c r="M199" s="272"/>
      <c r="N199" s="272"/>
      <c r="O199" s="84"/>
      <c r="P199" s="84"/>
      <c r="Q199" s="84"/>
      <c r="R199" s="84"/>
      <c r="S199" s="84"/>
      <c r="T199" s="84"/>
      <c r="U199" s="84"/>
      <c r="V199" s="84"/>
      <c r="W199" s="84"/>
      <c r="X199" s="84"/>
      <c r="Y199" s="84"/>
      <c r="Z199" s="84"/>
      <c r="AA199" s="84"/>
      <c r="AB199" s="84"/>
      <c r="AC199" s="84"/>
      <c r="AD199" s="84"/>
      <c r="AE199" s="84"/>
      <c r="AF199" s="84"/>
      <c r="AG199" s="84"/>
      <c r="AH199" s="282">
        <f>IFERROR(-Z133,0)</f>
        <v>-260000.00000000003</v>
      </c>
      <c r="AI199" s="282"/>
      <c r="AJ199" s="282"/>
      <c r="AK199" s="282"/>
      <c r="AL199" s="282"/>
      <c r="AM199" s="282"/>
      <c r="AN199" s="282">
        <f t="shared" si="16"/>
        <v>-13000.000000000002</v>
      </c>
      <c r="AO199" s="282"/>
      <c r="AP199" s="282"/>
      <c r="AQ199" s="282"/>
      <c r="AR199" s="282"/>
      <c r="AS199" s="84"/>
      <c r="AT199" s="288">
        <f t="shared" si="17"/>
        <v>2.7206344534652378E-2</v>
      </c>
      <c r="AU199" s="288"/>
      <c r="AV199" s="288"/>
      <c r="AW199" s="288"/>
    </row>
    <row r="200" spans="2:49" ht="22.5" customHeight="1" thickBot="1" x14ac:dyDescent="0.3">
      <c r="B200" s="276"/>
      <c r="C200" s="276"/>
      <c r="D200" s="277" t="s">
        <v>6225</v>
      </c>
      <c r="E200" s="277"/>
      <c r="F200" s="277"/>
      <c r="G200" s="277"/>
      <c r="H200" s="277"/>
      <c r="I200" s="277"/>
      <c r="J200" s="277"/>
      <c r="K200" s="277"/>
      <c r="L200" s="277"/>
      <c r="M200" s="277"/>
      <c r="N200" s="277"/>
      <c r="O200" s="85"/>
      <c r="P200" s="85"/>
      <c r="Q200" s="85"/>
      <c r="R200" s="85"/>
      <c r="S200" s="85"/>
      <c r="T200" s="85"/>
      <c r="U200" s="85"/>
      <c r="V200" s="85"/>
      <c r="W200" s="85"/>
      <c r="X200" s="85"/>
      <c r="Y200" s="85"/>
      <c r="Z200" s="85"/>
      <c r="AA200" s="85"/>
      <c r="AB200" s="85"/>
      <c r="AC200" s="85"/>
      <c r="AD200" s="85"/>
      <c r="AE200" s="85"/>
      <c r="AF200" s="85"/>
      <c r="AG200" s="85"/>
      <c r="AH200" s="285">
        <f>IFERROR(-SUM(Z140:AD141),0)</f>
        <v>-34796.449999999997</v>
      </c>
      <c r="AI200" s="285"/>
      <c r="AJ200" s="285"/>
      <c r="AK200" s="285"/>
      <c r="AL200" s="285"/>
      <c r="AM200" s="285"/>
      <c r="AN200" s="285">
        <f t="shared" si="16"/>
        <v>-1739.8224999999998</v>
      </c>
      <c r="AO200" s="285"/>
      <c r="AP200" s="285"/>
      <c r="AQ200" s="285"/>
      <c r="AR200" s="285"/>
      <c r="AS200" s="85"/>
      <c r="AT200" s="290">
        <f t="shared" si="17"/>
        <v>3.6410931049338639E-3</v>
      </c>
      <c r="AU200" s="290"/>
      <c r="AV200" s="290"/>
      <c r="AW200" s="290"/>
    </row>
    <row r="201" spans="2:49" ht="22.5" customHeight="1" x14ac:dyDescent="0.25">
      <c r="B201" s="273" t="s">
        <v>6215</v>
      </c>
      <c r="C201" s="273"/>
      <c r="D201" s="270" t="s">
        <v>6196</v>
      </c>
      <c r="E201" s="270"/>
      <c r="F201" s="270"/>
      <c r="G201" s="270"/>
      <c r="H201" s="270"/>
      <c r="I201" s="270"/>
      <c r="J201" s="270"/>
      <c r="K201" s="270"/>
      <c r="L201" s="270"/>
      <c r="M201" s="270"/>
      <c r="N201" s="270"/>
      <c r="O201" s="82"/>
      <c r="P201" s="82"/>
      <c r="Q201" s="82"/>
      <c r="R201" s="82"/>
      <c r="S201" s="82"/>
      <c r="T201" s="82"/>
      <c r="U201" s="82"/>
      <c r="V201" s="82"/>
      <c r="W201" s="82"/>
      <c r="X201" s="82"/>
      <c r="Y201" s="82"/>
      <c r="Z201" s="82"/>
      <c r="AA201" s="82"/>
      <c r="AB201" s="82"/>
      <c r="AC201" s="82"/>
      <c r="AD201" s="82"/>
      <c r="AE201" s="82"/>
      <c r="AF201" s="82"/>
      <c r="AG201" s="82"/>
      <c r="AH201" s="280">
        <f>IFERROR(-Z146,0)</f>
        <v>-477829.72032284841</v>
      </c>
      <c r="AI201" s="280"/>
      <c r="AJ201" s="280"/>
      <c r="AK201" s="280"/>
      <c r="AL201" s="280"/>
      <c r="AM201" s="280"/>
      <c r="AN201" s="280">
        <f t="shared" si="16"/>
        <v>-23891.486016142422</v>
      </c>
      <c r="AO201" s="280"/>
      <c r="AP201" s="280"/>
      <c r="AQ201" s="280"/>
      <c r="AR201" s="280"/>
      <c r="AS201" s="82"/>
      <c r="AT201" s="286">
        <f t="shared" si="17"/>
        <v>0.05</v>
      </c>
      <c r="AU201" s="286"/>
      <c r="AV201" s="286"/>
      <c r="AW201" s="286"/>
    </row>
    <row r="202" spans="2:49" ht="22.5" customHeight="1" x14ac:dyDescent="0.25">
      <c r="B202" s="273"/>
      <c r="C202" s="273"/>
      <c r="D202" s="270" t="s">
        <v>6197</v>
      </c>
      <c r="E202" s="270"/>
      <c r="F202" s="270"/>
      <c r="G202" s="270"/>
      <c r="H202" s="270"/>
      <c r="I202" s="270"/>
      <c r="J202" s="270"/>
      <c r="K202" s="270"/>
      <c r="L202" s="270"/>
      <c r="M202" s="270"/>
      <c r="N202" s="270"/>
      <c r="O202" s="83"/>
      <c r="P202" s="83"/>
      <c r="Q202" s="83"/>
      <c r="R202" s="83"/>
      <c r="S202" s="83"/>
      <c r="T202" s="83"/>
      <c r="U202" s="83"/>
      <c r="V202" s="83"/>
      <c r="W202" s="83"/>
      <c r="X202" s="83"/>
      <c r="Y202" s="83"/>
      <c r="Z202" s="83"/>
      <c r="AA202" s="83"/>
      <c r="AB202" s="83"/>
      <c r="AC202" s="83"/>
      <c r="AD202" s="83"/>
      <c r="AE202" s="83"/>
      <c r="AF202" s="83"/>
      <c r="AG202" s="83"/>
      <c r="AH202" s="281">
        <f>IFERROR(-Z147,0)</f>
        <v>-95565.944064569674</v>
      </c>
      <c r="AI202" s="281"/>
      <c r="AJ202" s="281"/>
      <c r="AK202" s="281"/>
      <c r="AL202" s="281"/>
      <c r="AM202" s="281"/>
      <c r="AN202" s="281">
        <f t="shared" si="16"/>
        <v>-4778.2972032284833</v>
      </c>
      <c r="AO202" s="281"/>
      <c r="AP202" s="281"/>
      <c r="AQ202" s="281"/>
      <c r="AR202" s="281"/>
      <c r="AS202" s="83"/>
      <c r="AT202" s="287">
        <f t="shared" si="17"/>
        <v>0.01</v>
      </c>
      <c r="AU202" s="287"/>
      <c r="AV202" s="287"/>
      <c r="AW202" s="287"/>
    </row>
    <row r="203" spans="2:49" ht="22.5" customHeight="1" x14ac:dyDescent="0.25">
      <c r="B203" s="273"/>
      <c r="C203" s="273"/>
      <c r="D203" s="270" t="s">
        <v>6198</v>
      </c>
      <c r="E203" s="270"/>
      <c r="F203" s="270"/>
      <c r="G203" s="270"/>
      <c r="H203" s="270"/>
      <c r="I203" s="270"/>
      <c r="J203" s="270"/>
      <c r="K203" s="270"/>
      <c r="L203" s="270"/>
      <c r="M203" s="270"/>
      <c r="N203" s="270"/>
      <c r="O203" s="83"/>
      <c r="P203" s="83"/>
      <c r="Q203" s="83"/>
      <c r="R203" s="83"/>
      <c r="S203" s="83"/>
      <c r="T203" s="83"/>
      <c r="U203" s="83"/>
      <c r="V203" s="83"/>
      <c r="W203" s="83"/>
      <c r="X203" s="83"/>
      <c r="Y203" s="83"/>
      <c r="Z203" s="83"/>
      <c r="AA203" s="83"/>
      <c r="AB203" s="83"/>
      <c r="AC203" s="83"/>
      <c r="AD203" s="83"/>
      <c r="AE203" s="83"/>
      <c r="AF203" s="83"/>
      <c r="AG203" s="83"/>
      <c r="AH203" s="281">
        <f>IFERROR(-Z148,0)</f>
        <v>-47782.972032284837</v>
      </c>
      <c r="AI203" s="281"/>
      <c r="AJ203" s="281"/>
      <c r="AK203" s="281"/>
      <c r="AL203" s="281"/>
      <c r="AM203" s="281"/>
      <c r="AN203" s="281">
        <f t="shared" si="16"/>
        <v>-2389.1486016142417</v>
      </c>
      <c r="AO203" s="281"/>
      <c r="AP203" s="281"/>
      <c r="AQ203" s="281"/>
      <c r="AR203" s="281"/>
      <c r="AS203" s="83"/>
      <c r="AT203" s="287">
        <f t="shared" si="17"/>
        <v>5.0000000000000001E-3</v>
      </c>
      <c r="AU203" s="287"/>
      <c r="AV203" s="287"/>
      <c r="AW203" s="287"/>
    </row>
    <row r="204" spans="2:49" ht="22.5" customHeight="1" x14ac:dyDescent="0.25">
      <c r="B204" s="273"/>
      <c r="C204" s="273"/>
      <c r="D204" s="270" t="s">
        <v>6199</v>
      </c>
      <c r="E204" s="270"/>
      <c r="F204" s="270"/>
      <c r="G204" s="270"/>
      <c r="H204" s="270"/>
      <c r="I204" s="270"/>
      <c r="J204" s="270"/>
      <c r="K204" s="270"/>
      <c r="L204" s="270"/>
      <c r="M204" s="270"/>
      <c r="N204" s="270"/>
      <c r="O204" s="83"/>
      <c r="P204" s="83"/>
      <c r="Q204" s="83"/>
      <c r="R204" s="83"/>
      <c r="S204" s="83"/>
      <c r="T204" s="83"/>
      <c r="U204" s="83"/>
      <c r="V204" s="83"/>
      <c r="W204" s="83"/>
      <c r="X204" s="83"/>
      <c r="Y204" s="83"/>
      <c r="Z204" s="83"/>
      <c r="AA204" s="83"/>
      <c r="AB204" s="83"/>
      <c r="AC204" s="83"/>
      <c r="AD204" s="83"/>
      <c r="AE204" s="83"/>
      <c r="AF204" s="83"/>
      <c r="AG204" s="83"/>
      <c r="AH204" s="281">
        <f>IFERROR(-Z149,0)</f>
        <v>0</v>
      </c>
      <c r="AI204" s="281"/>
      <c r="AJ204" s="281"/>
      <c r="AK204" s="281"/>
      <c r="AL204" s="281"/>
      <c r="AM204" s="281"/>
      <c r="AN204" s="281">
        <f t="shared" si="16"/>
        <v>0</v>
      </c>
      <c r="AO204" s="281"/>
      <c r="AP204" s="281"/>
      <c r="AQ204" s="281"/>
      <c r="AR204" s="281"/>
      <c r="AS204" s="83"/>
      <c r="AT204" s="287">
        <f t="shared" si="17"/>
        <v>0</v>
      </c>
      <c r="AU204" s="287"/>
      <c r="AV204" s="287"/>
      <c r="AW204" s="287"/>
    </row>
    <row r="205" spans="2:49" ht="22.5" customHeight="1" x14ac:dyDescent="0.25">
      <c r="B205" s="273"/>
      <c r="C205" s="273"/>
      <c r="D205" s="270" t="s">
        <v>6200</v>
      </c>
      <c r="E205" s="270"/>
      <c r="F205" s="270"/>
      <c r="G205" s="270"/>
      <c r="H205" s="270"/>
      <c r="I205" s="270"/>
      <c r="J205" s="270"/>
      <c r="K205" s="270"/>
      <c r="L205" s="270"/>
      <c r="M205" s="270"/>
      <c r="N205" s="270"/>
      <c r="O205" s="83"/>
      <c r="P205" s="83"/>
      <c r="Q205" s="83"/>
      <c r="R205" s="83"/>
      <c r="S205" s="83"/>
      <c r="T205" s="83"/>
      <c r="U205" s="83"/>
      <c r="V205" s="83"/>
      <c r="W205" s="83"/>
      <c r="X205" s="83"/>
      <c r="Y205" s="83"/>
      <c r="Z205" s="83"/>
      <c r="AA205" s="83"/>
      <c r="AB205" s="83"/>
      <c r="AC205" s="83"/>
      <c r="AD205" s="83"/>
      <c r="AE205" s="83"/>
      <c r="AF205" s="83"/>
      <c r="AG205" s="83"/>
      <c r="AH205" s="281">
        <f>IFERROR(-Z150,0)</f>
        <v>0</v>
      </c>
      <c r="AI205" s="281"/>
      <c r="AJ205" s="281"/>
      <c r="AK205" s="281"/>
      <c r="AL205" s="281"/>
      <c r="AM205" s="281"/>
      <c r="AN205" s="281">
        <f t="shared" si="16"/>
        <v>0</v>
      </c>
      <c r="AO205" s="281"/>
      <c r="AP205" s="281"/>
      <c r="AQ205" s="281"/>
      <c r="AR205" s="281"/>
      <c r="AS205" s="83"/>
      <c r="AT205" s="287">
        <f t="shared" si="17"/>
        <v>0</v>
      </c>
      <c r="AU205" s="287"/>
      <c r="AV205" s="287"/>
      <c r="AW205" s="287"/>
    </row>
    <row r="206" spans="2:49" ht="22.5" customHeight="1" x14ac:dyDescent="0.25">
      <c r="B206" s="273"/>
      <c r="C206" s="273"/>
      <c r="D206" s="270" t="s">
        <v>6226</v>
      </c>
      <c r="E206" s="270"/>
      <c r="F206" s="270"/>
      <c r="G206" s="270"/>
      <c r="H206" s="270"/>
      <c r="I206" s="270"/>
      <c r="J206" s="270"/>
      <c r="K206" s="270"/>
      <c r="L206" s="270"/>
      <c r="M206" s="270"/>
      <c r="N206" s="270"/>
      <c r="O206" s="83"/>
      <c r="P206" s="83"/>
      <c r="Q206" s="83"/>
      <c r="R206" s="83"/>
      <c r="S206" s="83"/>
      <c r="T206" s="83"/>
      <c r="U206" s="83"/>
      <c r="V206" s="83"/>
      <c r="W206" s="83"/>
      <c r="X206" s="83"/>
      <c r="Y206" s="83"/>
      <c r="Z206" s="83"/>
      <c r="AA206" s="83"/>
      <c r="AB206" s="83"/>
      <c r="AC206" s="83"/>
      <c r="AD206" s="83"/>
      <c r="AE206" s="83"/>
      <c r="AF206" s="83"/>
      <c r="AG206" s="83"/>
      <c r="AH206" s="281">
        <f>IFERROR(-AP149+AP151,0)</f>
        <v>0</v>
      </c>
      <c r="AI206" s="281"/>
      <c r="AJ206" s="281"/>
      <c r="AK206" s="281"/>
      <c r="AL206" s="281"/>
      <c r="AM206" s="281"/>
      <c r="AN206" s="281">
        <f t="shared" si="16"/>
        <v>0</v>
      </c>
      <c r="AO206" s="281"/>
      <c r="AP206" s="281"/>
      <c r="AQ206" s="281"/>
      <c r="AR206" s="281"/>
      <c r="AS206" s="83"/>
      <c r="AT206" s="287">
        <f t="shared" si="17"/>
        <v>0</v>
      </c>
      <c r="AU206" s="287"/>
      <c r="AV206" s="287"/>
      <c r="AW206" s="287"/>
    </row>
    <row r="207" spans="2:49" ht="22.5" customHeight="1" thickBot="1" x14ac:dyDescent="0.3">
      <c r="B207" s="274"/>
      <c r="C207" s="274"/>
      <c r="D207" s="272" t="s">
        <v>6202</v>
      </c>
      <c r="E207" s="272"/>
      <c r="F207" s="272"/>
      <c r="G207" s="272"/>
      <c r="H207" s="272"/>
      <c r="I207" s="272"/>
      <c r="J207" s="272"/>
      <c r="K207" s="272"/>
      <c r="L207" s="272"/>
      <c r="M207" s="272"/>
      <c r="N207" s="272"/>
      <c r="O207" s="84"/>
      <c r="P207" s="84"/>
      <c r="Q207" s="84"/>
      <c r="R207" s="84"/>
      <c r="S207" s="84"/>
      <c r="T207" s="84"/>
      <c r="U207" s="84"/>
      <c r="V207" s="84"/>
      <c r="W207" s="84"/>
      <c r="X207" s="84"/>
      <c r="Y207" s="84"/>
      <c r="Z207" s="84"/>
      <c r="AA207" s="84"/>
      <c r="AB207" s="84"/>
      <c r="AC207" s="84"/>
      <c r="AD207" s="84"/>
      <c r="AE207" s="84"/>
      <c r="AF207" s="84"/>
      <c r="AG207" s="84"/>
      <c r="AH207" s="282">
        <f>IFERROR(-Z152,0)</f>
        <v>0</v>
      </c>
      <c r="AI207" s="282"/>
      <c r="AJ207" s="282"/>
      <c r="AK207" s="282"/>
      <c r="AL207" s="282"/>
      <c r="AM207" s="282"/>
      <c r="AN207" s="282">
        <f t="shared" si="16"/>
        <v>0</v>
      </c>
      <c r="AO207" s="282"/>
      <c r="AP207" s="282"/>
      <c r="AQ207" s="282"/>
      <c r="AR207" s="282"/>
      <c r="AS207" s="84"/>
      <c r="AT207" s="288">
        <f t="shared" si="17"/>
        <v>0</v>
      </c>
      <c r="AU207" s="288"/>
      <c r="AV207" s="288"/>
      <c r="AW207" s="288"/>
    </row>
    <row r="208" spans="2:49" ht="22.5" customHeight="1" x14ac:dyDescent="0.25">
      <c r="B208" s="273" t="s">
        <v>6216</v>
      </c>
      <c r="C208" s="273"/>
      <c r="D208" s="270" t="s">
        <v>6207</v>
      </c>
      <c r="E208" s="270"/>
      <c r="F208" s="270"/>
      <c r="G208" s="270"/>
      <c r="H208" s="270"/>
      <c r="I208" s="270"/>
      <c r="J208" s="270"/>
      <c r="K208" s="270"/>
      <c r="L208" s="270"/>
      <c r="M208" s="270"/>
      <c r="N208" s="270"/>
      <c r="O208" s="82"/>
      <c r="P208" s="82"/>
      <c r="Q208" s="82"/>
      <c r="R208" s="82"/>
      <c r="S208" s="82"/>
      <c r="T208" s="82"/>
      <c r="U208" s="82"/>
      <c r="V208" s="82"/>
      <c r="W208" s="82"/>
      <c r="X208" s="82"/>
      <c r="Y208" s="82"/>
      <c r="Z208" s="82"/>
      <c r="AA208" s="82"/>
      <c r="AB208" s="82"/>
      <c r="AC208" s="82"/>
      <c r="AD208" s="82"/>
      <c r="AE208" s="82"/>
      <c r="AF208" s="82"/>
      <c r="AG208" s="82"/>
      <c r="AH208" s="280">
        <f>IFERROR(-Z159,0)</f>
        <v>-3546.6494797600003</v>
      </c>
      <c r="AI208" s="280"/>
      <c r="AJ208" s="280"/>
      <c r="AK208" s="280"/>
      <c r="AL208" s="280"/>
      <c r="AM208" s="280"/>
      <c r="AN208" s="280">
        <f t="shared" si="16"/>
        <v>-177.332473988</v>
      </c>
      <c r="AO208" s="280"/>
      <c r="AP208" s="280"/>
      <c r="AQ208" s="280"/>
      <c r="AR208" s="280"/>
      <c r="AS208" s="82"/>
      <c r="AT208" s="286">
        <f t="shared" si="17"/>
        <v>3.7112064496152376E-4</v>
      </c>
      <c r="AU208" s="286"/>
      <c r="AV208" s="286"/>
      <c r="AW208" s="286"/>
    </row>
    <row r="209" spans="2:49" ht="22.5" customHeight="1" x14ac:dyDescent="0.25">
      <c r="B209" s="273"/>
      <c r="C209" s="273"/>
      <c r="D209" s="270" t="s">
        <v>6184</v>
      </c>
      <c r="E209" s="270"/>
      <c r="F209" s="270"/>
      <c r="G209" s="270"/>
      <c r="H209" s="270"/>
      <c r="I209" s="270"/>
      <c r="J209" s="270"/>
      <c r="K209" s="270"/>
      <c r="L209" s="270"/>
      <c r="M209" s="270"/>
      <c r="N209" s="270"/>
      <c r="O209" s="83"/>
      <c r="P209" s="83"/>
      <c r="Q209" s="83"/>
      <c r="R209" s="83"/>
      <c r="S209" s="83"/>
      <c r="T209" s="83"/>
      <c r="U209" s="83"/>
      <c r="V209" s="83"/>
      <c r="W209" s="83"/>
      <c r="X209" s="83"/>
      <c r="Y209" s="83"/>
      <c r="Z209" s="83"/>
      <c r="AA209" s="83"/>
      <c r="AB209" s="83"/>
      <c r="AC209" s="83"/>
      <c r="AD209" s="83"/>
      <c r="AE209" s="83"/>
      <c r="AF209" s="83"/>
      <c r="AG209" s="83"/>
      <c r="AH209" s="281">
        <f>IFERROR(-Z160,0)</f>
        <v>-3546.6494797600003</v>
      </c>
      <c r="AI209" s="281"/>
      <c r="AJ209" s="281"/>
      <c r="AK209" s="281"/>
      <c r="AL209" s="281"/>
      <c r="AM209" s="281"/>
      <c r="AN209" s="281">
        <f t="shared" si="16"/>
        <v>-177.332473988</v>
      </c>
      <c r="AO209" s="281"/>
      <c r="AP209" s="281"/>
      <c r="AQ209" s="281"/>
      <c r="AR209" s="281"/>
      <c r="AS209" s="83"/>
      <c r="AT209" s="287">
        <f t="shared" si="17"/>
        <v>3.7112064496152376E-4</v>
      </c>
      <c r="AU209" s="287"/>
      <c r="AV209" s="287"/>
      <c r="AW209" s="287"/>
    </row>
    <row r="210" spans="2:49" ht="22.5" customHeight="1" x14ac:dyDescent="0.25">
      <c r="B210" s="273"/>
      <c r="C210" s="273"/>
      <c r="D210" s="270" t="s">
        <v>6208</v>
      </c>
      <c r="E210" s="270"/>
      <c r="F210" s="270"/>
      <c r="G210" s="270"/>
      <c r="H210" s="270"/>
      <c r="I210" s="270"/>
      <c r="J210" s="270"/>
      <c r="K210" s="270"/>
      <c r="L210" s="270"/>
      <c r="M210" s="270"/>
      <c r="N210" s="270"/>
      <c r="O210" s="83"/>
      <c r="P210" s="83"/>
      <c r="Q210" s="83"/>
      <c r="R210" s="83"/>
      <c r="S210" s="83"/>
      <c r="T210" s="83"/>
      <c r="U210" s="83"/>
      <c r="V210" s="83"/>
      <c r="W210" s="83"/>
      <c r="X210" s="83"/>
      <c r="Y210" s="83"/>
      <c r="Z210" s="83"/>
      <c r="AA210" s="83"/>
      <c r="AB210" s="83"/>
      <c r="AC210" s="83"/>
      <c r="AD210" s="83"/>
      <c r="AE210" s="83"/>
      <c r="AF210" s="83"/>
      <c r="AG210" s="83"/>
      <c r="AH210" s="281">
        <f>IFERROR(-Z161,0)</f>
        <v>-3546.6494797600003</v>
      </c>
      <c r="AI210" s="281"/>
      <c r="AJ210" s="281"/>
      <c r="AK210" s="281"/>
      <c r="AL210" s="281"/>
      <c r="AM210" s="281"/>
      <c r="AN210" s="281">
        <f t="shared" si="16"/>
        <v>-177.332473988</v>
      </c>
      <c r="AO210" s="281"/>
      <c r="AP210" s="281"/>
      <c r="AQ210" s="281"/>
      <c r="AR210" s="281"/>
      <c r="AS210" s="83"/>
      <c r="AT210" s="287">
        <f t="shared" si="17"/>
        <v>3.7112064496152376E-4</v>
      </c>
      <c r="AU210" s="287"/>
      <c r="AV210" s="287"/>
      <c r="AW210" s="287"/>
    </row>
    <row r="211" spans="2:49" ht="22.5" customHeight="1" thickBot="1" x14ac:dyDescent="0.3">
      <c r="B211" s="274"/>
      <c r="C211" s="274"/>
      <c r="D211" s="272" t="s">
        <v>6202</v>
      </c>
      <c r="E211" s="272"/>
      <c r="F211" s="272"/>
      <c r="G211" s="272"/>
      <c r="H211" s="272"/>
      <c r="I211" s="272"/>
      <c r="J211" s="272"/>
      <c r="K211" s="272"/>
      <c r="L211" s="272"/>
      <c r="M211" s="272"/>
      <c r="N211" s="272"/>
      <c r="O211" s="84"/>
      <c r="P211" s="84"/>
      <c r="Q211" s="84"/>
      <c r="R211" s="84"/>
      <c r="S211" s="84"/>
      <c r="T211" s="84"/>
      <c r="U211" s="84"/>
      <c r="V211" s="84"/>
      <c r="W211" s="84"/>
      <c r="X211" s="84"/>
      <c r="Y211" s="84"/>
      <c r="Z211" s="84"/>
      <c r="AA211" s="84"/>
      <c r="AB211" s="84"/>
      <c r="AC211" s="84"/>
      <c r="AD211" s="84"/>
      <c r="AE211" s="84"/>
      <c r="AF211" s="84"/>
      <c r="AG211" s="84"/>
      <c r="AH211" s="282">
        <f>IFERROR(-Z162,0)</f>
        <v>0</v>
      </c>
      <c r="AI211" s="282"/>
      <c r="AJ211" s="282"/>
      <c r="AK211" s="282"/>
      <c r="AL211" s="282"/>
      <c r="AM211" s="282"/>
      <c r="AN211" s="282">
        <f t="shared" si="16"/>
        <v>0</v>
      </c>
      <c r="AO211" s="282"/>
      <c r="AP211" s="282"/>
      <c r="AQ211" s="282"/>
      <c r="AR211" s="282"/>
      <c r="AS211" s="84"/>
      <c r="AT211" s="288">
        <f t="shared" si="17"/>
        <v>0</v>
      </c>
      <c r="AU211" s="288"/>
      <c r="AV211" s="288"/>
      <c r="AW211" s="288"/>
    </row>
    <row r="212" spans="2:49" ht="22.5" customHeight="1" x14ac:dyDescent="0.25">
      <c r="B212" s="80"/>
      <c r="C212" s="80"/>
      <c r="D212" s="270" t="s">
        <v>6227</v>
      </c>
      <c r="E212" s="270"/>
      <c r="F212" s="270"/>
      <c r="G212" s="270"/>
      <c r="H212" s="270"/>
      <c r="I212" s="270"/>
      <c r="J212" s="270"/>
      <c r="K212" s="270"/>
      <c r="L212" s="270"/>
      <c r="M212" s="270"/>
      <c r="N212" s="270"/>
      <c r="O212" s="82"/>
      <c r="P212" s="82"/>
      <c r="Q212" s="82"/>
      <c r="R212" s="82"/>
      <c r="S212" s="82"/>
      <c r="T212" s="82"/>
      <c r="U212" s="82"/>
      <c r="V212" s="82"/>
      <c r="W212" s="82"/>
      <c r="X212" s="82"/>
      <c r="Y212" s="82"/>
      <c r="Z212" s="82"/>
      <c r="AA212" s="82"/>
      <c r="AB212" s="82"/>
      <c r="AC212" s="82"/>
      <c r="AD212" s="82"/>
      <c r="AE212" s="82"/>
      <c r="AF212" s="82"/>
      <c r="AG212" s="82"/>
      <c r="AH212" s="280">
        <f>IFERROR(-U172,0)</f>
        <v>-359327.94968278194</v>
      </c>
      <c r="AI212" s="280"/>
      <c r="AJ212" s="280"/>
      <c r="AK212" s="280"/>
      <c r="AL212" s="280"/>
      <c r="AM212" s="280"/>
      <c r="AN212" s="280">
        <f t="shared" si="16"/>
        <v>-17966.397484139095</v>
      </c>
      <c r="AO212" s="280"/>
      <c r="AP212" s="280"/>
      <c r="AQ212" s="280"/>
      <c r="AR212" s="280"/>
      <c r="AS212" s="82"/>
      <c r="AT212" s="286">
        <f t="shared" si="17"/>
        <v>3.7599999999999995E-2</v>
      </c>
      <c r="AU212" s="286"/>
      <c r="AV212" s="286"/>
      <c r="AW212" s="286"/>
    </row>
    <row r="213" spans="2:49" ht="22.5" customHeight="1" thickBot="1" x14ac:dyDescent="0.3">
      <c r="B213" s="81"/>
      <c r="C213" s="81"/>
      <c r="D213" s="272" t="s">
        <v>6228</v>
      </c>
      <c r="E213" s="272"/>
      <c r="F213" s="272"/>
      <c r="G213" s="272"/>
      <c r="H213" s="272"/>
      <c r="I213" s="272"/>
      <c r="J213" s="272"/>
      <c r="K213" s="272"/>
      <c r="L213" s="272"/>
      <c r="M213" s="272"/>
      <c r="N213" s="272"/>
      <c r="O213" s="84"/>
      <c r="P213" s="84"/>
      <c r="Q213" s="84"/>
      <c r="R213" s="84"/>
      <c r="S213" s="84"/>
      <c r="T213" s="84"/>
      <c r="U213" s="84"/>
      <c r="V213" s="84"/>
      <c r="W213" s="84"/>
      <c r="X213" s="84"/>
      <c r="Y213" s="84"/>
      <c r="Z213" s="84"/>
      <c r="AA213" s="84"/>
      <c r="AB213" s="84"/>
      <c r="AC213" s="84"/>
      <c r="AD213" s="84"/>
      <c r="AE213" s="84"/>
      <c r="AF213" s="84"/>
      <c r="AG213" s="84"/>
      <c r="AH213" s="282">
        <f>IFERROR(-Z177,0)</f>
        <v>-466979.46802948695</v>
      </c>
      <c r="AI213" s="282"/>
      <c r="AJ213" s="282"/>
      <c r="AK213" s="282"/>
      <c r="AL213" s="282"/>
      <c r="AM213" s="282"/>
      <c r="AN213" s="282">
        <f t="shared" si="16"/>
        <v>-23348.973401474348</v>
      </c>
      <c r="AO213" s="282"/>
      <c r="AP213" s="282"/>
      <c r="AQ213" s="282"/>
      <c r="AR213" s="282"/>
      <c r="AS213" s="84"/>
      <c r="AT213" s="288">
        <f t="shared" si="17"/>
        <v>4.8864631914688102E-2</v>
      </c>
      <c r="AU213" s="288"/>
      <c r="AV213" s="288"/>
      <c r="AW213" s="288"/>
    </row>
    <row r="214" spans="2:49" ht="22.5" customHeight="1" x14ac:dyDescent="0.25">
      <c r="B214" s="86"/>
      <c r="C214" s="86"/>
      <c r="D214" s="275" t="s">
        <v>6230</v>
      </c>
      <c r="E214" s="275"/>
      <c r="F214" s="275"/>
      <c r="G214" s="275"/>
      <c r="H214" s="275"/>
      <c r="I214" s="275"/>
      <c r="J214" s="275"/>
      <c r="K214" s="275"/>
      <c r="L214" s="275"/>
      <c r="M214" s="275"/>
      <c r="N214" s="275"/>
      <c r="O214" s="87"/>
      <c r="P214" s="87"/>
      <c r="Q214" s="87"/>
      <c r="R214" s="87"/>
      <c r="S214" s="87"/>
      <c r="T214" s="87"/>
      <c r="U214" s="87"/>
      <c r="V214" s="87"/>
      <c r="W214" s="87"/>
      <c r="X214" s="87"/>
      <c r="Y214" s="87"/>
      <c r="Z214" s="87"/>
      <c r="AA214" s="87"/>
      <c r="AB214" s="87"/>
      <c r="AC214" s="87"/>
      <c r="AD214" s="87"/>
      <c r="AE214" s="87"/>
      <c r="AF214" s="87"/>
      <c r="AG214" s="87"/>
      <c r="AH214" s="283">
        <f>SUM(AH181:AM213)</f>
        <v>1721997.9685250074</v>
      </c>
      <c r="AI214" s="284"/>
      <c r="AJ214" s="284"/>
      <c r="AK214" s="284"/>
      <c r="AL214" s="284"/>
      <c r="AM214" s="284"/>
      <c r="AN214" s="283">
        <f t="shared" ref="AN214" si="19">IFERROR(AH214/$J$46,"")</f>
        <v>86099.898426250365</v>
      </c>
      <c r="AO214" s="283"/>
      <c r="AP214" s="283"/>
      <c r="AQ214" s="283"/>
      <c r="AR214" s="283"/>
      <c r="AS214" s="87"/>
      <c r="AT214" s="289">
        <f>IFERROR(AH214/AH181,"")</f>
        <v>0.18018950007562626</v>
      </c>
      <c r="AU214" s="289"/>
      <c r="AV214" s="289"/>
      <c r="AW214" s="289"/>
    </row>
    <row r="215" spans="2:49" ht="22.5" customHeight="1" x14ac:dyDescent="0.25"/>
    <row r="216" spans="2:49" ht="18.75" customHeight="1" x14ac:dyDescent="0.25"/>
    <row r="217" spans="2:49" ht="18.75" customHeight="1" x14ac:dyDescent="0.25"/>
    <row r="218" spans="2:49" ht="18.75" customHeight="1" x14ac:dyDescent="0.25"/>
    <row r="219" spans="2:49" x14ac:dyDescent="0.25"/>
    <row r="220" spans="2:49" x14ac:dyDescent="0.25"/>
    <row r="221" spans="2:49" x14ac:dyDescent="0.25"/>
    <row r="222" spans="2:49" x14ac:dyDescent="0.25"/>
    <row r="223" spans="2:49" x14ac:dyDescent="0.25"/>
    <row r="224" spans="2:49"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spans="1:29" x14ac:dyDescent="0.25"/>
    <row r="242" spans="1:29" x14ac:dyDescent="0.25"/>
    <row r="243" spans="1:29" x14ac:dyDescent="0.25"/>
    <row r="244" spans="1:29" x14ac:dyDescent="0.25"/>
    <row r="245" spans="1:29" x14ac:dyDescent="0.25"/>
    <row r="246" spans="1:29" x14ac:dyDescent="0.25"/>
    <row r="247" spans="1:29" x14ac:dyDescent="0.25"/>
    <row r="248" spans="1:29" x14ac:dyDescent="0.25"/>
    <row r="249" spans="1:29" x14ac:dyDescent="0.25"/>
    <row r="250" spans="1:29" x14ac:dyDescent="0.25">
      <c r="AA250" s="388"/>
      <c r="AB250" s="388"/>
      <c r="AC250" s="388"/>
    </row>
    <row r="251" spans="1:29" x14ac:dyDescent="0.25"/>
    <row r="252" spans="1:29" x14ac:dyDescent="0.25"/>
    <row r="253" spans="1:29" x14ac:dyDescent="0.25">
      <c r="B253" s="102"/>
      <c r="C253" s="102"/>
      <c r="D253" s="102"/>
      <c r="E253" s="102"/>
      <c r="F253" s="102"/>
      <c r="G253" s="102"/>
      <c r="H253" s="102"/>
      <c r="I253" s="102"/>
      <c r="J253" s="102"/>
      <c r="K253" s="102"/>
    </row>
    <row r="254" spans="1:29" x14ac:dyDescent="0.25">
      <c r="A254" s="6"/>
      <c r="B254" s="6"/>
      <c r="C254" s="6"/>
      <c r="D254" s="6"/>
      <c r="E254" s="6"/>
      <c r="F254" s="6"/>
      <c r="G254" s="6"/>
      <c r="H254" s="102"/>
      <c r="I254" s="102"/>
      <c r="J254" s="102"/>
      <c r="K254" s="102"/>
    </row>
    <row r="255" spans="1:29" x14ac:dyDescent="0.25">
      <c r="A255" s="6"/>
      <c r="B255" s="377" t="s">
        <v>6251</v>
      </c>
      <c r="C255" s="378">
        <v>0.15</v>
      </c>
      <c r="D255" s="378">
        <v>0</v>
      </c>
      <c r="E255" s="378">
        <v>0.16</v>
      </c>
      <c r="F255" s="6"/>
      <c r="G255" s="6"/>
      <c r="H255" s="102"/>
      <c r="I255" s="102"/>
      <c r="J255" s="102"/>
      <c r="K255" s="102"/>
    </row>
    <row r="256" spans="1:29" x14ac:dyDescent="0.25">
      <c r="A256" s="6"/>
      <c r="B256" s="6" t="s">
        <v>6252</v>
      </c>
      <c r="C256" s="378">
        <v>0.03</v>
      </c>
      <c r="D256" s="378">
        <v>0.16</v>
      </c>
      <c r="E256" s="378">
        <v>0.18</v>
      </c>
      <c r="F256" s="6"/>
      <c r="G256" s="6"/>
      <c r="H256" s="102"/>
      <c r="I256" s="102"/>
      <c r="J256" s="102"/>
      <c r="K256" s="102"/>
    </row>
    <row r="257" spans="1:11" x14ac:dyDescent="0.25">
      <c r="A257" s="6"/>
      <c r="B257" s="6" t="s">
        <v>6253</v>
      </c>
      <c r="C257" s="378">
        <v>0.10999999999999999</v>
      </c>
      <c r="D257" s="378">
        <v>0.18</v>
      </c>
      <c r="E257" s="378">
        <v>0.28999999999999998</v>
      </c>
      <c r="F257" s="6"/>
      <c r="G257" s="6"/>
      <c r="H257" s="102"/>
      <c r="I257" s="102"/>
      <c r="J257" s="102"/>
      <c r="K257" s="102"/>
    </row>
    <row r="258" spans="1:11" x14ac:dyDescent="0.25">
      <c r="A258" s="6"/>
      <c r="B258" s="6" t="s">
        <v>6254</v>
      </c>
      <c r="C258" s="378">
        <v>0.06</v>
      </c>
      <c r="D258" s="378">
        <v>0.28999999999999998</v>
      </c>
      <c r="E258" s="378">
        <v>0.35</v>
      </c>
      <c r="F258" s="6"/>
      <c r="G258" s="6"/>
      <c r="H258" s="102"/>
      <c r="I258" s="102"/>
      <c r="J258" s="102"/>
      <c r="K258" s="102"/>
    </row>
    <row r="259" spans="1:11" x14ac:dyDescent="0.25">
      <c r="A259" s="6"/>
      <c r="B259" s="6" t="s">
        <v>6256</v>
      </c>
      <c r="C259" s="378">
        <v>0.15000000000000002</v>
      </c>
      <c r="D259" s="378">
        <v>0.35</v>
      </c>
      <c r="E259" s="378">
        <v>0.5</v>
      </c>
      <c r="F259" s="6"/>
      <c r="G259" s="6"/>
      <c r="H259" s="102"/>
      <c r="I259" s="102"/>
      <c r="J259" s="102"/>
      <c r="K259" s="102"/>
    </row>
    <row r="260" spans="1:11" x14ac:dyDescent="0.25">
      <c r="A260" s="6"/>
      <c r="B260" s="6" t="s">
        <v>6255</v>
      </c>
      <c r="C260" s="378">
        <f>SUM(C255:C259)</f>
        <v>0.5</v>
      </c>
      <c r="D260" s="6"/>
      <c r="E260" s="6"/>
      <c r="F260" s="6"/>
      <c r="G260" s="6"/>
      <c r="H260" s="102"/>
      <c r="I260" s="102"/>
      <c r="J260" s="102"/>
      <c r="K260" s="102"/>
    </row>
    <row r="261" spans="1:11" x14ac:dyDescent="0.25">
      <c r="A261" s="6"/>
      <c r="B261" s="6"/>
      <c r="C261" s="378"/>
      <c r="D261" s="6"/>
      <c r="E261" s="6"/>
      <c r="F261" s="6"/>
      <c r="G261" s="6"/>
      <c r="H261" s="102"/>
      <c r="I261" s="102"/>
      <c r="J261" s="102"/>
      <c r="K261" s="102"/>
    </row>
    <row r="262" spans="1:11" x14ac:dyDescent="0.25">
      <c r="A262" s="6"/>
      <c r="B262" s="6"/>
      <c r="C262" s="6"/>
      <c r="D262" s="6"/>
      <c r="E262" s="6"/>
      <c r="F262" s="6"/>
      <c r="G262" s="6"/>
      <c r="H262" s="102"/>
      <c r="I262" s="102"/>
      <c r="J262" s="102"/>
      <c r="K262" s="102"/>
    </row>
    <row r="263" spans="1:11" x14ac:dyDescent="0.25">
      <c r="A263" s="6"/>
      <c r="B263" s="6" t="s">
        <v>6245</v>
      </c>
      <c r="C263" s="379">
        <f>E263</f>
        <v>0.18018950007562626</v>
      </c>
      <c r="D263" s="6" t="str">
        <f>_xlfn.XLOOKUP(E263,E255:E259,B255:B259,0,1)</f>
        <v>Normal</v>
      </c>
      <c r="E263" s="380">
        <f>AT214</f>
        <v>0.18018950007562626</v>
      </c>
      <c r="F263" s="6"/>
      <c r="G263" s="6"/>
      <c r="H263" s="102"/>
      <c r="I263" s="102"/>
      <c r="J263" s="102"/>
      <c r="K263" s="102"/>
    </row>
    <row r="264" spans="1:11" x14ac:dyDescent="0.25">
      <c r="A264" s="6"/>
      <c r="B264" s="6" t="s">
        <v>6257</v>
      </c>
      <c r="C264" s="379">
        <f>1%*C255</f>
        <v>1.5E-3</v>
      </c>
      <c r="D264" s="6"/>
      <c r="E264" s="6"/>
      <c r="F264" s="6"/>
      <c r="G264" s="6"/>
      <c r="H264" s="102"/>
      <c r="I264" s="102"/>
      <c r="J264" s="102"/>
      <c r="K264" s="102"/>
    </row>
    <row r="265" spans="1:11" x14ac:dyDescent="0.25">
      <c r="A265" s="6"/>
      <c r="B265" s="6" t="s">
        <v>6258</v>
      </c>
      <c r="C265" s="379">
        <f>SUM(C255:C260)-C263-C264</f>
        <v>0.81831049992437377</v>
      </c>
      <c r="D265" s="6"/>
      <c r="E265" s="6"/>
      <c r="F265" s="6"/>
      <c r="G265" s="6"/>
      <c r="H265" s="102"/>
      <c r="I265" s="102"/>
      <c r="J265" s="102"/>
      <c r="K265" s="102"/>
    </row>
    <row r="267" spans="1:11" hidden="1" x14ac:dyDescent="0.25">
      <c r="B267" s="375"/>
      <c r="C267" s="376"/>
      <c r="D267" s="376"/>
      <c r="E267" s="376"/>
    </row>
    <row r="268" spans="1:11" hidden="1" x14ac:dyDescent="0.25">
      <c r="C268" s="376"/>
      <c r="D268" s="376"/>
      <c r="E268" s="376"/>
    </row>
    <row r="269" spans="1:11" hidden="1" x14ac:dyDescent="0.25">
      <c r="C269" s="376"/>
      <c r="D269" s="376"/>
      <c r="E269" s="376"/>
    </row>
    <row r="270" spans="1:11" hidden="1" x14ac:dyDescent="0.25">
      <c r="C270" s="376"/>
    </row>
    <row r="271" spans="1:11" hidden="1" x14ac:dyDescent="0.25">
      <c r="C271" s="376"/>
      <c r="D271" s="376"/>
      <c r="E271" s="376"/>
    </row>
    <row r="272" spans="1:11" hidden="1" x14ac:dyDescent="0.25">
      <c r="C272" s="376"/>
      <c r="D272" s="376"/>
      <c r="E272" s="376"/>
    </row>
    <row r="273" spans="2:5" hidden="1" x14ac:dyDescent="0.25">
      <c r="C273" s="376"/>
      <c r="D273" s="376"/>
      <c r="E273" s="376"/>
    </row>
    <row r="274" spans="2:5" hidden="1" x14ac:dyDescent="0.25">
      <c r="C274" s="376"/>
      <c r="D274" s="376"/>
      <c r="E274" s="376"/>
    </row>
    <row r="275" spans="2:5" hidden="1" x14ac:dyDescent="0.25">
      <c r="B275" s="375"/>
      <c r="C275" s="376"/>
      <c r="D275" s="376"/>
      <c r="E275" s="376"/>
    </row>
    <row r="289" customFormat="1" hidden="1" x14ac:dyDescent="0.25"/>
    <row r="290" customFormat="1" hidden="1" x14ac:dyDescent="0.25"/>
    <row r="291" customFormat="1" hidden="1" x14ac:dyDescent="0.25"/>
    <row r="292" customFormat="1" hidden="1" x14ac:dyDescent="0.25"/>
    <row r="293" customFormat="1" hidden="1" x14ac:dyDescent="0.25"/>
    <row r="294" customFormat="1" hidden="1" x14ac:dyDescent="0.25"/>
    <row r="295" customFormat="1" hidden="1" x14ac:dyDescent="0.25"/>
    <row r="296" customFormat="1" hidden="1" x14ac:dyDescent="0.25"/>
    <row r="297" customFormat="1" hidden="1" x14ac:dyDescent="0.25"/>
    <row r="298" customFormat="1" hidden="1" x14ac:dyDescent="0.25"/>
    <row r="299" customFormat="1" hidden="1" x14ac:dyDescent="0.25"/>
    <row r="300" customFormat="1" hidden="1" x14ac:dyDescent="0.25"/>
    <row r="301" customFormat="1" hidden="1" x14ac:dyDescent="0.25"/>
    <row r="302" customFormat="1" hidden="1" x14ac:dyDescent="0.25"/>
  </sheetData>
  <sheetProtection sheet="1" objects="1" scenarios="1" selectLockedCells="1"/>
  <mergeCells count="739">
    <mergeCell ref="B6:S6"/>
    <mergeCell ref="B132:K132"/>
    <mergeCell ref="L132:T132"/>
    <mergeCell ref="U132:Y132"/>
    <mergeCell ref="Z132:AD132"/>
    <mergeCell ref="AI133:AM133"/>
    <mergeCell ref="AN133:AR133"/>
    <mergeCell ref="AI129:AR129"/>
    <mergeCell ref="AN127:AR127"/>
    <mergeCell ref="AN126:AR126"/>
    <mergeCell ref="AI127:AM127"/>
    <mergeCell ref="AI126:AM126"/>
    <mergeCell ref="AN132:AR132"/>
    <mergeCell ref="AI132:AM132"/>
    <mergeCell ref="AN131:AR131"/>
    <mergeCell ref="AI131:AM131"/>
    <mergeCell ref="L133:T133"/>
    <mergeCell ref="B126:K126"/>
    <mergeCell ref="B127:K127"/>
    <mergeCell ref="B128:K128"/>
    <mergeCell ref="B129:K129"/>
    <mergeCell ref="B130:K130"/>
    <mergeCell ref="B131:K131"/>
    <mergeCell ref="B133:K133"/>
    <mergeCell ref="L126:T126"/>
    <mergeCell ref="AT213:AW213"/>
    <mergeCell ref="AT214:AW214"/>
    <mergeCell ref="AT181:AW181"/>
    <mergeCell ref="AT182:AW182"/>
    <mergeCell ref="AT183:AW183"/>
    <mergeCell ref="AT184:AW184"/>
    <mergeCell ref="AT185:AW185"/>
    <mergeCell ref="AT186:AW186"/>
    <mergeCell ref="AT187:AW187"/>
    <mergeCell ref="AT188:AW188"/>
    <mergeCell ref="AT189:AW189"/>
    <mergeCell ref="AT190:AW190"/>
    <mergeCell ref="AT191:AW191"/>
    <mergeCell ref="AT192:AW192"/>
    <mergeCell ref="AT193:AW193"/>
    <mergeCell ref="AT194:AW194"/>
    <mergeCell ref="AT195:AW195"/>
    <mergeCell ref="AT196:AW196"/>
    <mergeCell ref="AT197:AW197"/>
    <mergeCell ref="AT198:AW198"/>
    <mergeCell ref="AT199:AW199"/>
    <mergeCell ref="AT200:AW200"/>
    <mergeCell ref="AN201:AR201"/>
    <mergeCell ref="AN202:AR202"/>
    <mergeCell ref="AN203:AR203"/>
    <mergeCell ref="AN204:AR204"/>
    <mergeCell ref="AT208:AW208"/>
    <mergeCell ref="AT209:AW209"/>
    <mergeCell ref="AT210:AW210"/>
    <mergeCell ref="AT211:AW211"/>
    <mergeCell ref="AT212:AW212"/>
    <mergeCell ref="AN205:AR205"/>
    <mergeCell ref="AN206:AR206"/>
    <mergeCell ref="AN207:AR207"/>
    <mergeCell ref="AT205:AW205"/>
    <mergeCell ref="AT206:AW206"/>
    <mergeCell ref="AT207:AW207"/>
    <mergeCell ref="AT201:AW201"/>
    <mergeCell ref="AT202:AW202"/>
    <mergeCell ref="AT203:AW203"/>
    <mergeCell ref="AT204:AW204"/>
    <mergeCell ref="AN192:AR192"/>
    <mergeCell ref="AN193:AR193"/>
    <mergeCell ref="AN194:AR194"/>
    <mergeCell ref="AN195:AR195"/>
    <mergeCell ref="AN196:AR196"/>
    <mergeCell ref="AN197:AR197"/>
    <mergeCell ref="AN198:AR198"/>
    <mergeCell ref="AN199:AR199"/>
    <mergeCell ref="AN200:AR200"/>
    <mergeCell ref="AN181:AR181"/>
    <mergeCell ref="AN182:AR182"/>
    <mergeCell ref="AN183:AR183"/>
    <mergeCell ref="AN184:AR184"/>
    <mergeCell ref="AN185:AR185"/>
    <mergeCell ref="AN186:AR186"/>
    <mergeCell ref="AN187:AR187"/>
    <mergeCell ref="AN188:AR188"/>
    <mergeCell ref="AN189:AR189"/>
    <mergeCell ref="AN190:AR190"/>
    <mergeCell ref="AN191:AR191"/>
    <mergeCell ref="AH214:AM214"/>
    <mergeCell ref="AN208:AR208"/>
    <mergeCell ref="AN209:AR209"/>
    <mergeCell ref="AN210:AR210"/>
    <mergeCell ref="AN211:AR211"/>
    <mergeCell ref="AN212:AR212"/>
    <mergeCell ref="AN213:AR213"/>
    <mergeCell ref="AN214:AR214"/>
    <mergeCell ref="AH208:AM208"/>
    <mergeCell ref="AH209:AM209"/>
    <mergeCell ref="AH210:AM210"/>
    <mergeCell ref="AH211:AM211"/>
    <mergeCell ref="AH212:AM212"/>
    <mergeCell ref="AH213:AM213"/>
    <mergeCell ref="AH199:AM199"/>
    <mergeCell ref="AH200:AM200"/>
    <mergeCell ref="AH201:AM201"/>
    <mergeCell ref="AH202:AM202"/>
    <mergeCell ref="AH203:AM203"/>
    <mergeCell ref="AH204:AM204"/>
    <mergeCell ref="AH205:AM205"/>
    <mergeCell ref="AH206:AM206"/>
    <mergeCell ref="AH207:AM207"/>
    <mergeCell ref="AH190:AM190"/>
    <mergeCell ref="AH191:AM191"/>
    <mergeCell ref="AH192:AM192"/>
    <mergeCell ref="AH193:AM193"/>
    <mergeCell ref="AH194:AM194"/>
    <mergeCell ref="AH195:AM195"/>
    <mergeCell ref="AH196:AM196"/>
    <mergeCell ref="AH197:AM197"/>
    <mergeCell ref="AH198:AM198"/>
    <mergeCell ref="AH181:AM181"/>
    <mergeCell ref="AH182:AM182"/>
    <mergeCell ref="AH183:AM183"/>
    <mergeCell ref="AH184:AM184"/>
    <mergeCell ref="AH185:AM185"/>
    <mergeCell ref="AH186:AM186"/>
    <mergeCell ref="AH187:AM187"/>
    <mergeCell ref="AH188:AM188"/>
    <mergeCell ref="AH189:AM189"/>
    <mergeCell ref="B201:C207"/>
    <mergeCell ref="B208:C211"/>
    <mergeCell ref="D214:N214"/>
    <mergeCell ref="B200:C200"/>
    <mergeCell ref="D208:N208"/>
    <mergeCell ref="D209:N209"/>
    <mergeCell ref="D210:N210"/>
    <mergeCell ref="D211:N211"/>
    <mergeCell ref="D212:N212"/>
    <mergeCell ref="D213:N213"/>
    <mergeCell ref="D200:N200"/>
    <mergeCell ref="D201:N201"/>
    <mergeCell ref="D202:N202"/>
    <mergeCell ref="D203:N203"/>
    <mergeCell ref="D204:N204"/>
    <mergeCell ref="D205:N205"/>
    <mergeCell ref="D206:N206"/>
    <mergeCell ref="D207:N207"/>
    <mergeCell ref="B171:K171"/>
    <mergeCell ref="B172:K172"/>
    <mergeCell ref="D192:N192"/>
    <mergeCell ref="D193:N193"/>
    <mergeCell ref="D194:N194"/>
    <mergeCell ref="D195:N195"/>
    <mergeCell ref="D196:N196"/>
    <mergeCell ref="D197:N197"/>
    <mergeCell ref="D198:N198"/>
    <mergeCell ref="D181:N181"/>
    <mergeCell ref="D182:N182"/>
    <mergeCell ref="D183:N183"/>
    <mergeCell ref="D184:N184"/>
    <mergeCell ref="D185:N185"/>
    <mergeCell ref="D186:N186"/>
    <mergeCell ref="D187:N187"/>
    <mergeCell ref="D188:N188"/>
    <mergeCell ref="D189:N189"/>
    <mergeCell ref="B182:C185"/>
    <mergeCell ref="B186:C187"/>
    <mergeCell ref="B188:C199"/>
    <mergeCell ref="D199:N199"/>
    <mergeCell ref="D190:N190"/>
    <mergeCell ref="D191:N191"/>
    <mergeCell ref="B162:K162"/>
    <mergeCell ref="L162:T162"/>
    <mergeCell ref="U162:Y162"/>
    <mergeCell ref="Z162:AD162"/>
    <mergeCell ref="U164:Y164"/>
    <mergeCell ref="Z164:AD164"/>
    <mergeCell ref="L176:T176"/>
    <mergeCell ref="L177:T177"/>
    <mergeCell ref="U176:Y176"/>
    <mergeCell ref="U177:Y177"/>
    <mergeCell ref="Z176:AD176"/>
    <mergeCell ref="Z177:AD177"/>
    <mergeCell ref="B176:K176"/>
    <mergeCell ref="B177:K177"/>
    <mergeCell ref="B168:K168"/>
    <mergeCell ref="L168:T168"/>
    <mergeCell ref="U168:AD168"/>
    <mergeCell ref="B169:K169"/>
    <mergeCell ref="L169:T169"/>
    <mergeCell ref="U169:AD169"/>
    <mergeCell ref="U171:AD171"/>
    <mergeCell ref="U172:AD172"/>
    <mergeCell ref="L171:T171"/>
    <mergeCell ref="L172:T172"/>
    <mergeCell ref="B159:K159"/>
    <mergeCell ref="L159:T159"/>
    <mergeCell ref="U159:Y159"/>
    <mergeCell ref="Z159:AD159"/>
    <mergeCell ref="B160:K160"/>
    <mergeCell ref="L160:T160"/>
    <mergeCell ref="U160:Y160"/>
    <mergeCell ref="Z160:AD160"/>
    <mergeCell ref="B161:K161"/>
    <mergeCell ref="L161:T161"/>
    <mergeCell ref="U161:Y161"/>
    <mergeCell ref="Z161:AD161"/>
    <mergeCell ref="AI146:AS146"/>
    <mergeCell ref="AN147:AS147"/>
    <mergeCell ref="AP148:AS148"/>
    <mergeCell ref="AP149:AS149"/>
    <mergeCell ref="AP150:AS150"/>
    <mergeCell ref="AI148:AM148"/>
    <mergeCell ref="AI149:AM149"/>
    <mergeCell ref="AI150:AM150"/>
    <mergeCell ref="B158:K158"/>
    <mergeCell ref="L158:T158"/>
    <mergeCell ref="U158:Y158"/>
    <mergeCell ref="Z158:AD158"/>
    <mergeCell ref="AI151:AM151"/>
    <mergeCell ref="AN151:AO151"/>
    <mergeCell ref="AP151:AS151"/>
    <mergeCell ref="B152:K152"/>
    <mergeCell ref="L152:T152"/>
    <mergeCell ref="U152:Y152"/>
    <mergeCell ref="Z152:AD152"/>
    <mergeCell ref="AI147:AM147"/>
    <mergeCell ref="AN148:AO148"/>
    <mergeCell ref="AN149:AO149"/>
    <mergeCell ref="AN150:AO150"/>
    <mergeCell ref="AI152:AM152"/>
    <mergeCell ref="Z139:AD139"/>
    <mergeCell ref="Z140:AD140"/>
    <mergeCell ref="Z141:AD141"/>
    <mergeCell ref="U154:Y154"/>
    <mergeCell ref="Z154:AD154"/>
    <mergeCell ref="B149:K149"/>
    <mergeCell ref="L149:T149"/>
    <mergeCell ref="U149:Y149"/>
    <mergeCell ref="Z149:AD149"/>
    <mergeCell ref="B150:K150"/>
    <mergeCell ref="L150:T150"/>
    <mergeCell ref="U150:Y150"/>
    <mergeCell ref="Z150:AD150"/>
    <mergeCell ref="B151:K151"/>
    <mergeCell ref="L151:T151"/>
    <mergeCell ref="U151:Y151"/>
    <mergeCell ref="Z151:AD151"/>
    <mergeCell ref="B146:K146"/>
    <mergeCell ref="L146:T146"/>
    <mergeCell ref="U146:Y146"/>
    <mergeCell ref="Z146:AD146"/>
    <mergeCell ref="B147:K147"/>
    <mergeCell ref="L147:T147"/>
    <mergeCell ref="B145:K145"/>
    <mergeCell ref="L145:T145"/>
    <mergeCell ref="U145:Y145"/>
    <mergeCell ref="Z145:AD145"/>
    <mergeCell ref="B141:K141"/>
    <mergeCell ref="L141:T141"/>
    <mergeCell ref="U147:Y147"/>
    <mergeCell ref="Z147:AD147"/>
    <mergeCell ref="B148:K148"/>
    <mergeCell ref="L148:T148"/>
    <mergeCell ref="U148:Y148"/>
    <mergeCell ref="Z148:AD148"/>
    <mergeCell ref="U141:Y141"/>
    <mergeCell ref="B139:K139"/>
    <mergeCell ref="L139:T139"/>
    <mergeCell ref="U139:Y139"/>
    <mergeCell ref="B140:K140"/>
    <mergeCell ref="L140:T140"/>
    <mergeCell ref="U140:Y140"/>
    <mergeCell ref="Z48:AG48"/>
    <mergeCell ref="AH48:AO48"/>
    <mergeCell ref="Z49:AG49"/>
    <mergeCell ref="AH49:AO49"/>
    <mergeCell ref="B48:I48"/>
    <mergeCell ref="B49:I49"/>
    <mergeCell ref="B50:I50"/>
    <mergeCell ref="J48:Q48"/>
    <mergeCell ref="J49:Q49"/>
    <mergeCell ref="J50:Q50"/>
    <mergeCell ref="J57:Q57"/>
    <mergeCell ref="B58:I58"/>
    <mergeCell ref="B63:I63"/>
    <mergeCell ref="J63:Q63"/>
    <mergeCell ref="B64:I64"/>
    <mergeCell ref="J64:Q64"/>
    <mergeCell ref="Z61:AO61"/>
    <mergeCell ref="Z62:AO62"/>
    <mergeCell ref="AR45:AW45"/>
    <mergeCell ref="J46:Q46"/>
    <mergeCell ref="R46:AG46"/>
    <mergeCell ref="AH46:AW46"/>
    <mergeCell ref="AR28:AW28"/>
    <mergeCell ref="AI28:AQ28"/>
    <mergeCell ref="AH43:AW43"/>
    <mergeCell ref="J44:Q44"/>
    <mergeCell ref="J45:Q45"/>
    <mergeCell ref="R44:AA44"/>
    <mergeCell ref="AB44:AG44"/>
    <mergeCell ref="AH44:AQ44"/>
    <mergeCell ref="AR44:AW44"/>
    <mergeCell ref="R45:AA45"/>
    <mergeCell ref="AB45:AG45"/>
    <mergeCell ref="AH45:AQ45"/>
    <mergeCell ref="AR30:AR34"/>
    <mergeCell ref="AU30:AU34"/>
    <mergeCell ref="AV30:AV34"/>
    <mergeCell ref="AW30:AW34"/>
    <mergeCell ref="AS30:AS34"/>
    <mergeCell ref="AT30:AT34"/>
    <mergeCell ref="AK30:AK34"/>
    <mergeCell ref="AM30:AM34"/>
    <mergeCell ref="B45:I45"/>
    <mergeCell ref="B46:I46"/>
    <mergeCell ref="J43:Q43"/>
    <mergeCell ref="R43:AG43"/>
    <mergeCell ref="B10:G10"/>
    <mergeCell ref="H10:S10"/>
    <mergeCell ref="B44:I44"/>
    <mergeCell ref="F30:I30"/>
    <mergeCell ref="F32:I32"/>
    <mergeCell ref="F34:I34"/>
    <mergeCell ref="F35:I35"/>
    <mergeCell ref="F36:I36"/>
    <mergeCell ref="F37:I37"/>
    <mergeCell ref="X30:X34"/>
    <mergeCell ref="Y30:Y34"/>
    <mergeCell ref="Z30:Z34"/>
    <mergeCell ref="AA30:AA34"/>
    <mergeCell ref="AB30:AB34"/>
    <mergeCell ref="AD30:AD34"/>
    <mergeCell ref="AC30:AC34"/>
    <mergeCell ref="P30:P34"/>
    <mergeCell ref="Q30:Q34"/>
    <mergeCell ref="R30:R34"/>
    <mergeCell ref="S30:S34"/>
    <mergeCell ref="AN30:AN34"/>
    <mergeCell ref="AO30:AO34"/>
    <mergeCell ref="AP30:AP34"/>
    <mergeCell ref="AQ30:AQ34"/>
    <mergeCell ref="AL30:AL34"/>
    <mergeCell ref="AE30:AE34"/>
    <mergeCell ref="AF30:AF34"/>
    <mergeCell ref="AG30:AG34"/>
    <mergeCell ref="AH30:AH34"/>
    <mergeCell ref="AI30:AI34"/>
    <mergeCell ref="AJ30:AJ34"/>
    <mergeCell ref="F38:I38"/>
    <mergeCell ref="F39:I39"/>
    <mergeCell ref="B37:E37"/>
    <mergeCell ref="B38:E38"/>
    <mergeCell ref="B39:E39"/>
    <mergeCell ref="B34:E34"/>
    <mergeCell ref="B30:E30"/>
    <mergeCell ref="AR24:AW24"/>
    <mergeCell ref="AR25:AW25"/>
    <mergeCell ref="AR26:AW26"/>
    <mergeCell ref="B35:E35"/>
    <mergeCell ref="B36:E36"/>
    <mergeCell ref="B32:E32"/>
    <mergeCell ref="K26:S26"/>
    <mergeCell ref="T30:T34"/>
    <mergeCell ref="W30:W34"/>
    <mergeCell ref="U30:U34"/>
    <mergeCell ref="V30:V34"/>
    <mergeCell ref="J30:J34"/>
    <mergeCell ref="K30:K34"/>
    <mergeCell ref="M30:M34"/>
    <mergeCell ref="O30:O34"/>
    <mergeCell ref="N30:N34"/>
    <mergeCell ref="L30:L34"/>
    <mergeCell ref="AR18:AW18"/>
    <mergeCell ref="AR19:AW19"/>
    <mergeCell ref="AR20:AW20"/>
    <mergeCell ref="AR21:AW21"/>
    <mergeCell ref="AR22:AW22"/>
    <mergeCell ref="AR23:AW23"/>
    <mergeCell ref="T25:Y25"/>
    <mergeCell ref="T26:Y26"/>
    <mergeCell ref="T10:Y10"/>
    <mergeCell ref="AR14:AW14"/>
    <mergeCell ref="AR15:AW15"/>
    <mergeCell ref="AR16:AW16"/>
    <mergeCell ref="AR17:AW17"/>
    <mergeCell ref="T19:Y19"/>
    <mergeCell ref="T20:Y20"/>
    <mergeCell ref="T21:Y21"/>
    <mergeCell ref="T22:Y22"/>
    <mergeCell ref="T23:Y23"/>
    <mergeCell ref="T24:Y24"/>
    <mergeCell ref="T14:Y14"/>
    <mergeCell ref="AI24:AQ24"/>
    <mergeCell ref="AI25:AQ25"/>
    <mergeCell ref="AI26:AQ26"/>
    <mergeCell ref="Z26:AH26"/>
    <mergeCell ref="AI15:AQ15"/>
    <mergeCell ref="AI16:AQ16"/>
    <mergeCell ref="AI17:AQ17"/>
    <mergeCell ref="AI18:AQ18"/>
    <mergeCell ref="AI19:AQ19"/>
    <mergeCell ref="AI20:AQ20"/>
    <mergeCell ref="AI21:AQ21"/>
    <mergeCell ref="AI22:AQ22"/>
    <mergeCell ref="AI23:AQ23"/>
    <mergeCell ref="Z20:AH20"/>
    <mergeCell ref="Z21:AH21"/>
    <mergeCell ref="Z22:AH22"/>
    <mergeCell ref="Z23:AH23"/>
    <mergeCell ref="Z24:AH24"/>
    <mergeCell ref="Z25:AH25"/>
    <mergeCell ref="Z15:AH15"/>
    <mergeCell ref="Z16:AH16"/>
    <mergeCell ref="Z17:AH17"/>
    <mergeCell ref="Z18:AH18"/>
    <mergeCell ref="Z19:AH19"/>
    <mergeCell ref="T18:Y18"/>
    <mergeCell ref="K21:S21"/>
    <mergeCell ref="K22:S22"/>
    <mergeCell ref="K23:S23"/>
    <mergeCell ref="K24:S24"/>
    <mergeCell ref="K25:S25"/>
    <mergeCell ref="K15:S15"/>
    <mergeCell ref="K16:S16"/>
    <mergeCell ref="K17:S17"/>
    <mergeCell ref="K18:S18"/>
    <mergeCell ref="K19:S19"/>
    <mergeCell ref="K20:S20"/>
    <mergeCell ref="B14:J14"/>
    <mergeCell ref="K14:S14"/>
    <mergeCell ref="Z14:AH14"/>
    <mergeCell ref="AI14:AQ14"/>
    <mergeCell ref="AI10:AN10"/>
    <mergeCell ref="AO10:AW10"/>
    <mergeCell ref="Z10:AH10"/>
    <mergeCell ref="B54:I54"/>
    <mergeCell ref="J54:Q54"/>
    <mergeCell ref="B21:J21"/>
    <mergeCell ref="B22:J22"/>
    <mergeCell ref="B23:J23"/>
    <mergeCell ref="B24:J24"/>
    <mergeCell ref="B25:J25"/>
    <mergeCell ref="B26:J26"/>
    <mergeCell ref="B15:J15"/>
    <mergeCell ref="B16:J16"/>
    <mergeCell ref="B17:J17"/>
    <mergeCell ref="B18:J18"/>
    <mergeCell ref="B19:J19"/>
    <mergeCell ref="B20:J20"/>
    <mergeCell ref="T15:Y15"/>
    <mergeCell ref="T16:Y16"/>
    <mergeCell ref="T17:Y17"/>
    <mergeCell ref="B85:L85"/>
    <mergeCell ref="B86:L86"/>
    <mergeCell ref="B87:L87"/>
    <mergeCell ref="Z63:AO63"/>
    <mergeCell ref="B68:Q68"/>
    <mergeCell ref="Z55:AO55"/>
    <mergeCell ref="Z56:AO56"/>
    <mergeCell ref="Z57:AO57"/>
    <mergeCell ref="B60:I60"/>
    <mergeCell ref="B61:I61"/>
    <mergeCell ref="J60:M60"/>
    <mergeCell ref="N60:Q60"/>
    <mergeCell ref="N58:Q58"/>
    <mergeCell ref="J58:M58"/>
    <mergeCell ref="J61:M61"/>
    <mergeCell ref="N61:Q61"/>
    <mergeCell ref="B55:I55"/>
    <mergeCell ref="J55:Q55"/>
    <mergeCell ref="B56:I56"/>
    <mergeCell ref="J56:Q56"/>
    <mergeCell ref="B57:I57"/>
    <mergeCell ref="M81:Q81"/>
    <mergeCell ref="M82:Q82"/>
    <mergeCell ref="M83:Q83"/>
    <mergeCell ref="B88:L88"/>
    <mergeCell ref="R90:AA90"/>
    <mergeCell ref="B69:Q69"/>
    <mergeCell ref="B70:Q70"/>
    <mergeCell ref="B72:Q72"/>
    <mergeCell ref="M74:Q74"/>
    <mergeCell ref="B74:L74"/>
    <mergeCell ref="B75:L75"/>
    <mergeCell ref="B76:L76"/>
    <mergeCell ref="B77:L77"/>
    <mergeCell ref="B78:L78"/>
    <mergeCell ref="M84:Q84"/>
    <mergeCell ref="M85:Q85"/>
    <mergeCell ref="M86:Q86"/>
    <mergeCell ref="M87:Q87"/>
    <mergeCell ref="B79:L79"/>
    <mergeCell ref="B80:L80"/>
    <mergeCell ref="B81:L81"/>
    <mergeCell ref="B82:L82"/>
    <mergeCell ref="B83:L83"/>
    <mergeCell ref="B84:L84"/>
    <mergeCell ref="W79:AA79"/>
    <mergeCell ref="W80:AA80"/>
    <mergeCell ref="W81:AA81"/>
    <mergeCell ref="M75:Q75"/>
    <mergeCell ref="M76:Q76"/>
    <mergeCell ref="M77:Q77"/>
    <mergeCell ref="M78:Q78"/>
    <mergeCell ref="W74:AA74"/>
    <mergeCell ref="W75:AA75"/>
    <mergeCell ref="W76:AA76"/>
    <mergeCell ref="W77:AA77"/>
    <mergeCell ref="W78:AA78"/>
    <mergeCell ref="AG88:AW88"/>
    <mergeCell ref="W87:AA87"/>
    <mergeCell ref="W88:AA88"/>
    <mergeCell ref="R74:V74"/>
    <mergeCell ref="R75:V75"/>
    <mergeCell ref="AB79:AF79"/>
    <mergeCell ref="AB80:AF80"/>
    <mergeCell ref="AB81:AF81"/>
    <mergeCell ref="AB82:AF82"/>
    <mergeCell ref="R80:V80"/>
    <mergeCell ref="R81:V81"/>
    <mergeCell ref="R82:V82"/>
    <mergeCell ref="R83:V83"/>
    <mergeCell ref="R84:V84"/>
    <mergeCell ref="AB83:AF83"/>
    <mergeCell ref="AB84:AF84"/>
    <mergeCell ref="AB85:AF85"/>
    <mergeCell ref="AB86:AF86"/>
    <mergeCell ref="AB87:AF87"/>
    <mergeCell ref="AB74:AF74"/>
    <mergeCell ref="AB75:AF75"/>
    <mergeCell ref="AB76:AF76"/>
    <mergeCell ref="AB77:AF77"/>
    <mergeCell ref="AB78:AF78"/>
    <mergeCell ref="B104:Q104"/>
    <mergeCell ref="B105:Q105"/>
    <mergeCell ref="R76:V76"/>
    <mergeCell ref="R77:V77"/>
    <mergeCell ref="R78:V78"/>
    <mergeCell ref="R79:V79"/>
    <mergeCell ref="R92:AA92"/>
    <mergeCell ref="AB90:AF90"/>
    <mergeCell ref="AB91:AF91"/>
    <mergeCell ref="AB92:AF92"/>
    <mergeCell ref="R94:V94"/>
    <mergeCell ref="W94:AA94"/>
    <mergeCell ref="AB94:AF94"/>
    <mergeCell ref="R85:V85"/>
    <mergeCell ref="R86:V86"/>
    <mergeCell ref="R87:V87"/>
    <mergeCell ref="R88:V88"/>
    <mergeCell ref="M88:Q88"/>
    <mergeCell ref="W83:AA83"/>
    <mergeCell ref="W84:AA84"/>
    <mergeCell ref="W85:AA85"/>
    <mergeCell ref="W86:AA86"/>
    <mergeCell ref="M79:Q79"/>
    <mergeCell ref="W82:AA82"/>
    <mergeCell ref="M80:Q80"/>
    <mergeCell ref="H114:L114"/>
    <mergeCell ref="M114:Q114"/>
    <mergeCell ref="R114:V114"/>
    <mergeCell ref="H113:V113"/>
    <mergeCell ref="AG94:AK94"/>
    <mergeCell ref="B94:Q94"/>
    <mergeCell ref="R91:AA91"/>
    <mergeCell ref="B95:Q95"/>
    <mergeCell ref="B96:Q96"/>
    <mergeCell ref="B97:Q97"/>
    <mergeCell ref="B98:Q98"/>
    <mergeCell ref="W106:AA106"/>
    <mergeCell ref="B99:Q99"/>
    <mergeCell ref="B100:Q100"/>
    <mergeCell ref="B101:Q101"/>
    <mergeCell ref="B102:Q102"/>
    <mergeCell ref="B103:Q103"/>
    <mergeCell ref="AG100:AK100"/>
    <mergeCell ref="R101:V101"/>
    <mergeCell ref="W101:AA101"/>
    <mergeCell ref="AB101:AF101"/>
    <mergeCell ref="AG101:AK101"/>
    <mergeCell ref="R102:V102"/>
    <mergeCell ref="AC113:AQ113"/>
    <mergeCell ref="AC114:AG114"/>
    <mergeCell ref="AH114:AL114"/>
    <mergeCell ref="AM114:AQ114"/>
    <mergeCell ref="AC115:AG115"/>
    <mergeCell ref="AH115:AL115"/>
    <mergeCell ref="AM115:AQ115"/>
    <mergeCell ref="AB106:AF106"/>
    <mergeCell ref="AG106:AK106"/>
    <mergeCell ref="AB107:AF107"/>
    <mergeCell ref="AG107:AK107"/>
    <mergeCell ref="AB108:AF108"/>
    <mergeCell ref="AG108:AK108"/>
    <mergeCell ref="AG109:AK109"/>
    <mergeCell ref="R95:V95"/>
    <mergeCell ref="W95:AA95"/>
    <mergeCell ref="AB95:AF95"/>
    <mergeCell ref="AG95:AK95"/>
    <mergeCell ref="R96:V96"/>
    <mergeCell ref="W96:AA96"/>
    <mergeCell ref="AB96:AF96"/>
    <mergeCell ref="AG96:AK96"/>
    <mergeCell ref="R97:V97"/>
    <mergeCell ref="W97:AA97"/>
    <mergeCell ref="AB97:AF97"/>
    <mergeCell ref="W102:AA102"/>
    <mergeCell ref="R107:V107"/>
    <mergeCell ref="W107:AA107"/>
    <mergeCell ref="R108:V108"/>
    <mergeCell ref="W108:AA108"/>
    <mergeCell ref="R106:V106"/>
    <mergeCell ref="AL101:AW101"/>
    <mergeCell ref="AL102:AW102"/>
    <mergeCell ref="AL103:AW103"/>
    <mergeCell ref="AL104:AW104"/>
    <mergeCell ref="AL105:AW105"/>
    <mergeCell ref="AG97:AK97"/>
    <mergeCell ref="R98:V98"/>
    <mergeCell ref="W98:AA98"/>
    <mergeCell ref="AB98:AF98"/>
    <mergeCell ref="AG98:AK98"/>
    <mergeCell ref="R99:V99"/>
    <mergeCell ref="W99:AA99"/>
    <mergeCell ref="AB99:AF99"/>
    <mergeCell ref="R103:V103"/>
    <mergeCell ref="W103:AA103"/>
    <mergeCell ref="AB103:AF103"/>
    <mergeCell ref="AB102:AF102"/>
    <mergeCell ref="AG102:AK102"/>
    <mergeCell ref="AL97:AW97"/>
    <mergeCell ref="AL98:AW98"/>
    <mergeCell ref="AG99:AK99"/>
    <mergeCell ref="R100:V100"/>
    <mergeCell ref="W100:AA100"/>
    <mergeCell ref="AB100:AF100"/>
    <mergeCell ref="AG74:AW74"/>
    <mergeCell ref="AG75:AW75"/>
    <mergeCell ref="AG76:AW76"/>
    <mergeCell ref="AG77:AW77"/>
    <mergeCell ref="AG78:AW78"/>
    <mergeCell ref="AG79:AW79"/>
    <mergeCell ref="AG80:AW80"/>
    <mergeCell ref="AG81:AW81"/>
    <mergeCell ref="AG82:AW82"/>
    <mergeCell ref="AG83:AW83"/>
    <mergeCell ref="AL99:AW99"/>
    <mergeCell ref="AL100:AW100"/>
    <mergeCell ref="AL94:AW94"/>
    <mergeCell ref="AL95:AW95"/>
    <mergeCell ref="AL96:AW96"/>
    <mergeCell ref="AB88:AF88"/>
    <mergeCell ref="AG84:AW84"/>
    <mergeCell ref="AG85:AW85"/>
    <mergeCell ref="AG86:AW86"/>
    <mergeCell ref="AG87:AW87"/>
    <mergeCell ref="AG103:AK103"/>
    <mergeCell ref="R104:V104"/>
    <mergeCell ref="W104:AA104"/>
    <mergeCell ref="AB104:AF104"/>
    <mergeCell ref="AG104:AK104"/>
    <mergeCell ref="R105:V105"/>
    <mergeCell ref="W105:AA105"/>
    <mergeCell ref="AB105:AF105"/>
    <mergeCell ref="AG105:AK105"/>
    <mergeCell ref="B122:K122"/>
    <mergeCell ref="L122:T122"/>
    <mergeCell ref="U122:Y122"/>
    <mergeCell ref="Z122:AD122"/>
    <mergeCell ref="AI123:AR123"/>
    <mergeCell ref="AI124:AM124"/>
    <mergeCell ref="AI125:AM125"/>
    <mergeCell ref="U123:Y123"/>
    <mergeCell ref="U124:Y124"/>
    <mergeCell ref="L123:T123"/>
    <mergeCell ref="L124:T124"/>
    <mergeCell ref="AN125:AR125"/>
    <mergeCell ref="AN124:AR124"/>
    <mergeCell ref="B123:K123"/>
    <mergeCell ref="B124:K124"/>
    <mergeCell ref="B125:K125"/>
    <mergeCell ref="B119:K119"/>
    <mergeCell ref="L119:T119"/>
    <mergeCell ref="U119:AD119"/>
    <mergeCell ref="AE119:AM119"/>
    <mergeCell ref="AN119:AW119"/>
    <mergeCell ref="B120:K120"/>
    <mergeCell ref="U120:AD120"/>
    <mergeCell ref="AN120:AW120"/>
    <mergeCell ref="L120:T120"/>
    <mergeCell ref="AE120:AM120"/>
    <mergeCell ref="R71:V71"/>
    <mergeCell ref="L127:T127"/>
    <mergeCell ref="L128:T128"/>
    <mergeCell ref="L129:T129"/>
    <mergeCell ref="L130:T130"/>
    <mergeCell ref="L131:T131"/>
    <mergeCell ref="Z123:AD123"/>
    <mergeCell ref="Z124:AD124"/>
    <mergeCell ref="Z125:AD125"/>
    <mergeCell ref="Z126:AD126"/>
    <mergeCell ref="Z127:AD127"/>
    <mergeCell ref="Z128:AD128"/>
    <mergeCell ref="Z129:AD129"/>
    <mergeCell ref="Z130:AD130"/>
    <mergeCell ref="Z131:AD131"/>
    <mergeCell ref="L125:T125"/>
    <mergeCell ref="R72:V72"/>
    <mergeCell ref="B106:Q106"/>
    <mergeCell ref="B107:Q107"/>
    <mergeCell ref="B108:Q108"/>
    <mergeCell ref="B109:Q109"/>
    <mergeCell ref="R109:V109"/>
    <mergeCell ref="W109:AA109"/>
    <mergeCell ref="AB109:AF109"/>
    <mergeCell ref="AN152:AS152"/>
    <mergeCell ref="AR6:AW6"/>
    <mergeCell ref="U135:Y135"/>
    <mergeCell ref="Z135:AD135"/>
    <mergeCell ref="U125:Y125"/>
    <mergeCell ref="U126:Y126"/>
    <mergeCell ref="U127:Y127"/>
    <mergeCell ref="U128:Y128"/>
    <mergeCell ref="U129:Y129"/>
    <mergeCell ref="U130:Y130"/>
    <mergeCell ref="U131:Y131"/>
    <mergeCell ref="U133:Y133"/>
    <mergeCell ref="Z133:AD133"/>
    <mergeCell ref="AI130:AM130"/>
    <mergeCell ref="AN130:AR130"/>
    <mergeCell ref="AL106:AW106"/>
    <mergeCell ref="AL107:AW107"/>
    <mergeCell ref="AL108:AW108"/>
    <mergeCell ref="AL109:AW109"/>
    <mergeCell ref="AG111:AK111"/>
    <mergeCell ref="AB111:AF111"/>
    <mergeCell ref="R68:V68"/>
    <mergeCell ref="R69:V69"/>
    <mergeCell ref="R70:V70"/>
  </mergeCells>
  <conditionalFormatting sqref="J35:AW39">
    <cfRule type="cellIs" dxfId="8" priority="3" operator="equal">
      <formula>1</formula>
    </cfRule>
  </conditionalFormatting>
  <conditionalFormatting sqref="AT182:AT213">
    <cfRule type="dataBar" priority="1">
      <dataBar>
        <cfvo type="percent" val="0"/>
        <cfvo type="percent" val="100"/>
        <color rgb="FFED6E1F"/>
      </dataBar>
      <extLst>
        <ext xmlns:x14="http://schemas.microsoft.com/office/spreadsheetml/2009/9/main" uri="{B025F937-C7B1-47D3-B67F-A62EFF666E3E}">
          <x14:id>{7F4DC166-45E3-4266-9A15-896A182D9329}</x14:id>
        </ext>
      </extLst>
    </cfRule>
  </conditionalFormatting>
  <dataValidations disablePrompts="1" count="5">
    <dataValidation type="list" allowBlank="1" showInputMessage="1" showErrorMessage="1" sqref="AR28:AW28" xr:uid="{A84DE6BD-28B8-4D5A-A443-70B4FBB8089C}">
      <formula1>"MENSAL,BIMESTRAL"</formula1>
    </dataValidation>
    <dataValidation type="list" allowBlank="1" showInputMessage="1" showErrorMessage="1" sqref="R68:V68" xr:uid="{281027C2-A4C3-40A4-91EF-DC5D7017E441}">
      <formula1>"Selecione, PIS, PP – B, PP – N, R8 – B, R8 – N, R8 – A, R16 – N, R16 – A, CSL – 8, CSL – 16, CAL - 8"</formula1>
    </dataValidation>
    <dataValidation type="list" allowBlank="1" showInputMessage="1" showErrorMessage="1" sqref="H114:L114" xr:uid="{6E7C7A99-31A4-44CA-AD24-8C9312981F45}">
      <formula1>"Selecione, Custo Histórico, CUB Ajustado"</formula1>
    </dataValidation>
    <dataValidation type="list" allowBlank="1" showInputMessage="1" showErrorMessage="1" sqref="L159:T162 AN124:AR124 L140:T141 L146:T152 AN147 L123:T133" xr:uid="{7AD4EB42-95E8-4666-89AB-DEF12616BC41}">
      <formula1>"Valor Terreno, Valor Terreno Geral, Custo Obra, VGV Nominal, VGV Geral"</formula1>
    </dataValidation>
    <dataValidation type="list" allowBlank="1" showInputMessage="1" showErrorMessage="1" sqref="B172:K172" xr:uid="{3D5F9348-AD01-4C06-ACC6-37C2C45E5B9F}">
      <formula1>"VGV Nominal, Sem Corretagem, Sem Corretagem e Administração"</formula1>
    </dataValidation>
  </dataValidations>
  <printOptions horizontalCentered="1"/>
  <pageMargins left="0.23622047244094491" right="0.23622047244094491" top="0.31496062992125984" bottom="0.19685039370078741" header="0" footer="0"/>
  <pageSetup paperSize="9" scale="48" fitToHeight="0" orientation="portrait" r:id="rId1"/>
  <headerFooter>
    <oddHeader>&amp;R
&amp;G</oddHeader>
  </headerFooter>
  <rowBreaks count="3" manualBreakCount="3">
    <brk id="65" max="16383" man="1"/>
    <brk id="136" max="16383" man="1"/>
    <brk id="178" max="16383" man="1"/>
  </rowBreaks>
  <drawing r:id="rId2"/>
  <legacyDrawingHF r:id="rId3"/>
  <extLst>
    <ext xmlns:x14="http://schemas.microsoft.com/office/spreadsheetml/2009/9/main" uri="{78C0D931-6437-407d-A8EE-F0AAD7539E65}">
      <x14:conditionalFormattings>
        <x14:conditionalFormatting xmlns:xm="http://schemas.microsoft.com/office/excel/2006/main">
          <x14:cfRule type="dataBar" id="{7F4DC166-45E3-4266-9A15-896A182D9329}">
            <x14:dataBar minLength="0" maxLength="100" border="1" negativeBarBorderColorSameAsPositive="0">
              <x14:cfvo type="percent">
                <xm:f>0</xm:f>
              </x14:cfvo>
              <x14:cfvo type="percent">
                <xm:f>100</xm:f>
              </x14:cfvo>
              <x14:borderColor theme="2" tint="-0.749992370372631"/>
              <x14:negativeFillColor rgb="FFFF0000"/>
              <x14:negativeBorderColor rgb="FFFF0000"/>
              <x14:axisColor rgb="FF000000"/>
            </x14:dataBar>
          </x14:cfRule>
          <xm:sqref>AT182:AT213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FF8E-F0E4-4DB9-9D95-B4B9FB7983DD}">
  <sheetPr>
    <pageSetUpPr fitToPage="1"/>
  </sheetPr>
  <dimension ref="A1:BK252"/>
  <sheetViews>
    <sheetView showGridLines="0" showRowColHeaders="0" zoomScaleNormal="100" workbookViewId="0">
      <pane ySplit="7" topLeftCell="A8" activePane="bottomLeft" state="frozen"/>
      <selection pane="bottomLeft" activeCell="B15" sqref="B15:J15"/>
    </sheetView>
  </sheetViews>
  <sheetFormatPr defaultColWidth="0" defaultRowHeight="15" customHeight="1" zeroHeight="1" x14ac:dyDescent="0.25"/>
  <cols>
    <col min="1" max="1" width="2.85546875" customWidth="1"/>
    <col min="2" max="49" width="4.28515625" customWidth="1"/>
    <col min="50" max="50" width="2.85546875" customWidth="1"/>
    <col min="51" max="52" width="10" hidden="1" customWidth="1"/>
    <col min="53" max="53" width="10.7109375" hidden="1" customWidth="1"/>
    <col min="54" max="57" width="4.28515625" hidden="1" customWidth="1"/>
    <col min="58" max="16384" width="9.140625" hidden="1"/>
  </cols>
  <sheetData>
    <row r="1" spans="1:63" s="46" customFormat="1" ht="15" customHeight="1" x14ac:dyDescent="0.25">
      <c r="A1" s="9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row>
    <row r="2" spans="1:63" s="46" customFormat="1" ht="15" customHeight="1" x14ac:dyDescent="0.25">
      <c r="A2" s="96"/>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row>
    <row r="3" spans="1:63" s="46" customFormat="1" ht="15" customHeight="1" x14ac:dyDescent="0.25">
      <c r="A3" s="96"/>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row>
    <row r="4" spans="1:63" ht="30"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3" ht="15" customHeight="1" x14ac:dyDescent="0.25"/>
    <row r="6" spans="1:63" ht="37.5" customHeight="1" x14ac:dyDescent="0.25">
      <c r="B6" s="90" t="s">
        <v>6237</v>
      </c>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108" t="s">
        <v>6232</v>
      </c>
      <c r="AS6" s="108"/>
      <c r="AT6" s="108"/>
      <c r="AU6" s="108"/>
      <c r="AV6" s="108"/>
      <c r="AW6" s="108"/>
    </row>
    <row r="7" spans="1:63" ht="18.75" customHeight="1" x14ac:dyDescent="0.3">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row>
    <row r="8" spans="1:63" ht="26.25" customHeight="1" x14ac:dyDescent="0.25">
      <c r="B8" s="93" t="s">
        <v>6050</v>
      </c>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row>
    <row r="9" spans="1:63" ht="3.75" customHeight="1" x14ac:dyDescent="0.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row>
    <row r="10" spans="1:63" ht="22.5" customHeight="1" x14ac:dyDescent="0.25">
      <c r="B10" s="109" t="s">
        <v>6030</v>
      </c>
      <c r="C10" s="110"/>
      <c r="D10" s="110"/>
      <c r="E10" s="110"/>
      <c r="F10" s="110"/>
      <c r="G10" s="110"/>
      <c r="H10" s="303" t="str">
        <f>'SIMULAÇÃO 01'!H10</f>
        <v>Ed. Curupira | EW Esteves Construções</v>
      </c>
      <c r="I10" s="303"/>
      <c r="J10" s="303"/>
      <c r="K10" s="303"/>
      <c r="L10" s="303"/>
      <c r="M10" s="303"/>
      <c r="N10" s="303"/>
      <c r="O10" s="303"/>
      <c r="P10" s="303"/>
      <c r="Q10" s="303"/>
      <c r="R10" s="303"/>
      <c r="S10" s="303"/>
      <c r="T10" s="110" t="s">
        <v>6051</v>
      </c>
      <c r="U10" s="110"/>
      <c r="V10" s="110"/>
      <c r="W10" s="110"/>
      <c r="X10" s="110"/>
      <c r="Y10" s="110"/>
      <c r="Z10" s="304" t="str">
        <f>'SIMULAÇÃO 01'!Z10</f>
        <v>Ribeirão Preto / SP</v>
      </c>
      <c r="AA10" s="304"/>
      <c r="AB10" s="304"/>
      <c r="AC10" s="304"/>
      <c r="AD10" s="304"/>
      <c r="AE10" s="304"/>
      <c r="AF10" s="304"/>
      <c r="AG10" s="304"/>
      <c r="AH10" s="304"/>
      <c r="AI10" s="110" t="s">
        <v>6057</v>
      </c>
      <c r="AJ10" s="110"/>
      <c r="AK10" s="110"/>
      <c r="AL10" s="110"/>
      <c r="AM10" s="110"/>
      <c r="AN10" s="110"/>
      <c r="AO10" s="305">
        <f>'SIMULAÇÃO 01'!AO10</f>
        <v>6682.9331513685102</v>
      </c>
      <c r="AP10" s="305"/>
      <c r="AQ10" s="305"/>
      <c r="AR10" s="305"/>
      <c r="AS10" s="305"/>
      <c r="AT10" s="305"/>
      <c r="AU10" s="305"/>
      <c r="AV10" s="305"/>
      <c r="AW10" s="306"/>
    </row>
    <row r="11" spans="1:63" ht="18.75" customHeight="1" x14ac:dyDescent="0.25">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U11" s="28"/>
    </row>
    <row r="12" spans="1:63" ht="26.25" customHeight="1" x14ac:dyDescent="0.25">
      <c r="B12" s="93" t="s">
        <v>6052</v>
      </c>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row>
    <row r="13" spans="1:63" ht="3.75" customHeight="1" x14ac:dyDescent="0.25">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row>
    <row r="14" spans="1:63" ht="21" customHeight="1" thickBot="1" x14ac:dyDescent="0.3">
      <c r="B14" s="134" t="s">
        <v>6053</v>
      </c>
      <c r="C14" s="134"/>
      <c r="D14" s="134"/>
      <c r="E14" s="134"/>
      <c r="F14" s="134"/>
      <c r="G14" s="134"/>
      <c r="H14" s="134"/>
      <c r="I14" s="134"/>
      <c r="J14" s="135"/>
      <c r="K14" s="135" t="s">
        <v>6054</v>
      </c>
      <c r="L14" s="135"/>
      <c r="M14" s="135"/>
      <c r="N14" s="135"/>
      <c r="O14" s="135"/>
      <c r="P14" s="135"/>
      <c r="Q14" s="135"/>
      <c r="R14" s="135"/>
      <c r="S14" s="135"/>
      <c r="T14" s="136" t="s">
        <v>43</v>
      </c>
      <c r="U14" s="174"/>
      <c r="V14" s="174"/>
      <c r="W14" s="174"/>
      <c r="X14" s="174"/>
      <c r="Y14" s="134"/>
      <c r="Z14" s="135" t="s">
        <v>6057</v>
      </c>
      <c r="AA14" s="135"/>
      <c r="AB14" s="135"/>
      <c r="AC14" s="135"/>
      <c r="AD14" s="135"/>
      <c r="AE14" s="135"/>
      <c r="AF14" s="135"/>
      <c r="AG14" s="135"/>
      <c r="AH14" s="135"/>
      <c r="AI14" s="135" t="s">
        <v>6055</v>
      </c>
      <c r="AJ14" s="135"/>
      <c r="AK14" s="135"/>
      <c r="AL14" s="135"/>
      <c r="AM14" s="135"/>
      <c r="AN14" s="135"/>
      <c r="AO14" s="135"/>
      <c r="AP14" s="135"/>
      <c r="AQ14" s="135"/>
      <c r="AR14" s="136" t="s">
        <v>6056</v>
      </c>
      <c r="AS14" s="174"/>
      <c r="AT14" s="174"/>
      <c r="AU14" s="174"/>
      <c r="AV14" s="174"/>
      <c r="AW14" s="174"/>
    </row>
    <row r="15" spans="1:63" ht="22.5" customHeight="1" thickBot="1" x14ac:dyDescent="0.3">
      <c r="B15" s="187"/>
      <c r="C15" s="187"/>
      <c r="D15" s="187"/>
      <c r="E15" s="187"/>
      <c r="F15" s="187"/>
      <c r="G15" s="187"/>
      <c r="H15" s="187"/>
      <c r="I15" s="187"/>
      <c r="J15" s="188"/>
      <c r="K15" s="155"/>
      <c r="L15" s="155"/>
      <c r="M15" s="155"/>
      <c r="N15" s="155"/>
      <c r="O15" s="155"/>
      <c r="P15" s="155"/>
      <c r="Q15" s="155"/>
      <c r="R15" s="155"/>
      <c r="S15" s="155"/>
      <c r="T15" s="191"/>
      <c r="U15" s="192"/>
      <c r="V15" s="192"/>
      <c r="W15" s="192"/>
      <c r="X15" s="192"/>
      <c r="Y15" s="193"/>
      <c r="Z15" s="133" t="str">
        <f t="shared" ref="Z15:Z26" si="0">IF(B15&lt;&gt;"",$AO$10,"")</f>
        <v/>
      </c>
      <c r="AA15" s="133"/>
      <c r="AB15" s="133"/>
      <c r="AC15" s="133"/>
      <c r="AD15" s="133"/>
      <c r="AE15" s="133"/>
      <c r="AF15" s="133"/>
      <c r="AG15" s="133"/>
      <c r="AH15" s="133"/>
      <c r="AI15" s="133" t="str">
        <f>IF(K15=""," ",IF(Z15=""," ",Z15*K15))</f>
        <v xml:space="preserve"> </v>
      </c>
      <c r="AJ15" s="133"/>
      <c r="AK15" s="133"/>
      <c r="AL15" s="133"/>
      <c r="AM15" s="133"/>
      <c r="AN15" s="133"/>
      <c r="AO15" s="133"/>
      <c r="AP15" s="133"/>
      <c r="AQ15" s="133"/>
      <c r="AR15" s="191"/>
      <c r="AS15" s="192"/>
      <c r="AT15" s="192"/>
      <c r="AU15" s="192"/>
      <c r="AV15" s="192"/>
      <c r="AW15" s="192"/>
    </row>
    <row r="16" spans="1:63" ht="22.5" customHeight="1" thickBot="1" x14ac:dyDescent="0.3">
      <c r="B16" s="187"/>
      <c r="C16" s="187"/>
      <c r="D16" s="187"/>
      <c r="E16" s="187"/>
      <c r="F16" s="187"/>
      <c r="G16" s="187"/>
      <c r="H16" s="187"/>
      <c r="I16" s="187"/>
      <c r="J16" s="188"/>
      <c r="K16" s="155"/>
      <c r="L16" s="155"/>
      <c r="M16" s="155"/>
      <c r="N16" s="155"/>
      <c r="O16" s="155"/>
      <c r="P16" s="155"/>
      <c r="Q16" s="155"/>
      <c r="R16" s="155"/>
      <c r="S16" s="155"/>
      <c r="T16" s="191"/>
      <c r="U16" s="192"/>
      <c r="V16" s="192"/>
      <c r="W16" s="192"/>
      <c r="X16" s="192"/>
      <c r="Y16" s="193"/>
      <c r="Z16" s="133" t="str">
        <f t="shared" si="0"/>
        <v/>
      </c>
      <c r="AA16" s="133"/>
      <c r="AB16" s="133"/>
      <c r="AC16" s="133"/>
      <c r="AD16" s="133"/>
      <c r="AE16" s="133"/>
      <c r="AF16" s="133"/>
      <c r="AG16" s="133"/>
      <c r="AH16" s="133"/>
      <c r="AI16" s="133" t="str">
        <f t="shared" ref="AI16:AI26" si="1">IF(K16=""," ",IF(Z16=""," ",Z16*K16))</f>
        <v xml:space="preserve"> </v>
      </c>
      <c r="AJ16" s="133"/>
      <c r="AK16" s="133"/>
      <c r="AL16" s="133"/>
      <c r="AM16" s="133"/>
      <c r="AN16" s="133"/>
      <c r="AO16" s="133"/>
      <c r="AP16" s="133"/>
      <c r="AQ16" s="133"/>
      <c r="AR16" s="191"/>
      <c r="AS16" s="192"/>
      <c r="AT16" s="192"/>
      <c r="AU16" s="192"/>
      <c r="AV16" s="192"/>
      <c r="AW16" s="192"/>
    </row>
    <row r="17" spans="2:49" ht="22.5" customHeight="1" thickBot="1" x14ac:dyDescent="0.3">
      <c r="B17" s="187"/>
      <c r="C17" s="187"/>
      <c r="D17" s="187"/>
      <c r="E17" s="187"/>
      <c r="F17" s="187"/>
      <c r="G17" s="187"/>
      <c r="H17" s="187"/>
      <c r="I17" s="187"/>
      <c r="J17" s="188"/>
      <c r="K17" s="155"/>
      <c r="L17" s="155"/>
      <c r="M17" s="155"/>
      <c r="N17" s="155"/>
      <c r="O17" s="155"/>
      <c r="P17" s="155"/>
      <c r="Q17" s="155"/>
      <c r="R17" s="155"/>
      <c r="S17" s="155"/>
      <c r="T17" s="191"/>
      <c r="U17" s="192"/>
      <c r="V17" s="192"/>
      <c r="W17" s="192"/>
      <c r="X17" s="192"/>
      <c r="Y17" s="193"/>
      <c r="Z17" s="133" t="str">
        <f t="shared" si="0"/>
        <v/>
      </c>
      <c r="AA17" s="133"/>
      <c r="AB17" s="133"/>
      <c r="AC17" s="133"/>
      <c r="AD17" s="133"/>
      <c r="AE17" s="133"/>
      <c r="AF17" s="133"/>
      <c r="AG17" s="133"/>
      <c r="AH17" s="133"/>
      <c r="AI17" s="133" t="str">
        <f t="shared" si="1"/>
        <v xml:space="preserve"> </v>
      </c>
      <c r="AJ17" s="133"/>
      <c r="AK17" s="133"/>
      <c r="AL17" s="133"/>
      <c r="AM17" s="133"/>
      <c r="AN17" s="133"/>
      <c r="AO17" s="133"/>
      <c r="AP17" s="133"/>
      <c r="AQ17" s="133"/>
      <c r="AR17" s="191"/>
      <c r="AS17" s="192"/>
      <c r="AT17" s="192"/>
      <c r="AU17" s="192"/>
      <c r="AV17" s="192"/>
      <c r="AW17" s="192"/>
    </row>
    <row r="18" spans="2:49" ht="22.5" customHeight="1" thickBot="1" x14ac:dyDescent="0.3">
      <c r="B18" s="187"/>
      <c r="C18" s="187"/>
      <c r="D18" s="187"/>
      <c r="E18" s="187"/>
      <c r="F18" s="187"/>
      <c r="G18" s="187"/>
      <c r="H18" s="187"/>
      <c r="I18" s="187"/>
      <c r="J18" s="188"/>
      <c r="K18" s="155"/>
      <c r="L18" s="155"/>
      <c r="M18" s="155"/>
      <c r="N18" s="155"/>
      <c r="O18" s="155"/>
      <c r="P18" s="155"/>
      <c r="Q18" s="155"/>
      <c r="R18" s="155"/>
      <c r="S18" s="155"/>
      <c r="T18" s="191"/>
      <c r="U18" s="192"/>
      <c r="V18" s="192"/>
      <c r="W18" s="192"/>
      <c r="X18" s="192"/>
      <c r="Y18" s="193"/>
      <c r="Z18" s="133" t="str">
        <f t="shared" si="0"/>
        <v/>
      </c>
      <c r="AA18" s="133"/>
      <c r="AB18" s="133"/>
      <c r="AC18" s="133"/>
      <c r="AD18" s="133"/>
      <c r="AE18" s="133"/>
      <c r="AF18" s="133"/>
      <c r="AG18" s="133"/>
      <c r="AH18" s="133"/>
      <c r="AI18" s="133" t="str">
        <f t="shared" si="1"/>
        <v xml:space="preserve"> </v>
      </c>
      <c r="AJ18" s="133"/>
      <c r="AK18" s="133"/>
      <c r="AL18" s="133"/>
      <c r="AM18" s="133"/>
      <c r="AN18" s="133"/>
      <c r="AO18" s="133"/>
      <c r="AP18" s="133"/>
      <c r="AQ18" s="133"/>
      <c r="AR18" s="191"/>
      <c r="AS18" s="192"/>
      <c r="AT18" s="192"/>
      <c r="AU18" s="192"/>
      <c r="AV18" s="192"/>
      <c r="AW18" s="192"/>
    </row>
    <row r="19" spans="2:49" ht="22.5" customHeight="1" thickBot="1" x14ac:dyDescent="0.3">
      <c r="B19" s="187"/>
      <c r="C19" s="187"/>
      <c r="D19" s="187"/>
      <c r="E19" s="187"/>
      <c r="F19" s="187"/>
      <c r="G19" s="187"/>
      <c r="H19" s="187"/>
      <c r="I19" s="187"/>
      <c r="J19" s="188"/>
      <c r="K19" s="155"/>
      <c r="L19" s="155"/>
      <c r="M19" s="155"/>
      <c r="N19" s="155"/>
      <c r="O19" s="155"/>
      <c r="P19" s="155"/>
      <c r="Q19" s="155"/>
      <c r="R19" s="155"/>
      <c r="S19" s="155"/>
      <c r="T19" s="191"/>
      <c r="U19" s="192"/>
      <c r="V19" s="192"/>
      <c r="W19" s="192"/>
      <c r="X19" s="192"/>
      <c r="Y19" s="193"/>
      <c r="Z19" s="133" t="str">
        <f t="shared" si="0"/>
        <v/>
      </c>
      <c r="AA19" s="133"/>
      <c r="AB19" s="133"/>
      <c r="AC19" s="133"/>
      <c r="AD19" s="133"/>
      <c r="AE19" s="133"/>
      <c r="AF19" s="133"/>
      <c r="AG19" s="133"/>
      <c r="AH19" s="133"/>
      <c r="AI19" s="133" t="str">
        <f t="shared" si="1"/>
        <v xml:space="preserve"> </v>
      </c>
      <c r="AJ19" s="133"/>
      <c r="AK19" s="133"/>
      <c r="AL19" s="133"/>
      <c r="AM19" s="133"/>
      <c r="AN19" s="133"/>
      <c r="AO19" s="133"/>
      <c r="AP19" s="133"/>
      <c r="AQ19" s="133"/>
      <c r="AR19" s="191"/>
      <c r="AS19" s="192"/>
      <c r="AT19" s="192"/>
      <c r="AU19" s="192"/>
      <c r="AV19" s="192"/>
      <c r="AW19" s="192"/>
    </row>
    <row r="20" spans="2:49" ht="22.5" customHeight="1" thickBot="1" x14ac:dyDescent="0.3">
      <c r="B20" s="187"/>
      <c r="C20" s="187"/>
      <c r="D20" s="187"/>
      <c r="E20" s="187"/>
      <c r="F20" s="187"/>
      <c r="G20" s="187"/>
      <c r="H20" s="187"/>
      <c r="I20" s="187"/>
      <c r="J20" s="188"/>
      <c r="K20" s="155"/>
      <c r="L20" s="155"/>
      <c r="M20" s="155"/>
      <c r="N20" s="155"/>
      <c r="O20" s="155"/>
      <c r="P20" s="155"/>
      <c r="Q20" s="155"/>
      <c r="R20" s="155"/>
      <c r="S20" s="155"/>
      <c r="T20" s="191"/>
      <c r="U20" s="192"/>
      <c r="V20" s="192"/>
      <c r="W20" s="192"/>
      <c r="X20" s="192"/>
      <c r="Y20" s="193"/>
      <c r="Z20" s="133" t="str">
        <f t="shared" si="0"/>
        <v/>
      </c>
      <c r="AA20" s="133"/>
      <c r="AB20" s="133"/>
      <c r="AC20" s="133"/>
      <c r="AD20" s="133"/>
      <c r="AE20" s="133"/>
      <c r="AF20" s="133"/>
      <c r="AG20" s="133"/>
      <c r="AH20" s="133"/>
      <c r="AI20" s="133" t="str">
        <f t="shared" si="1"/>
        <v xml:space="preserve"> </v>
      </c>
      <c r="AJ20" s="133"/>
      <c r="AK20" s="133"/>
      <c r="AL20" s="133"/>
      <c r="AM20" s="133"/>
      <c r="AN20" s="133"/>
      <c r="AO20" s="133"/>
      <c r="AP20" s="133"/>
      <c r="AQ20" s="133"/>
      <c r="AR20" s="191"/>
      <c r="AS20" s="192"/>
      <c r="AT20" s="192"/>
      <c r="AU20" s="192"/>
      <c r="AV20" s="192"/>
      <c r="AW20" s="192"/>
    </row>
    <row r="21" spans="2:49" ht="22.5" customHeight="1" thickBot="1" x14ac:dyDescent="0.3">
      <c r="B21" s="187"/>
      <c r="C21" s="187"/>
      <c r="D21" s="187"/>
      <c r="E21" s="187"/>
      <c r="F21" s="187"/>
      <c r="G21" s="187"/>
      <c r="H21" s="187"/>
      <c r="I21" s="187"/>
      <c r="J21" s="188"/>
      <c r="K21" s="155"/>
      <c r="L21" s="155"/>
      <c r="M21" s="155"/>
      <c r="N21" s="155"/>
      <c r="O21" s="155"/>
      <c r="P21" s="155"/>
      <c r="Q21" s="155"/>
      <c r="R21" s="155"/>
      <c r="S21" s="155"/>
      <c r="T21" s="191"/>
      <c r="U21" s="192"/>
      <c r="V21" s="192"/>
      <c r="W21" s="192"/>
      <c r="X21" s="192"/>
      <c r="Y21" s="193"/>
      <c r="Z21" s="133" t="str">
        <f t="shared" si="0"/>
        <v/>
      </c>
      <c r="AA21" s="133"/>
      <c r="AB21" s="133"/>
      <c r="AC21" s="133"/>
      <c r="AD21" s="133"/>
      <c r="AE21" s="133"/>
      <c r="AF21" s="133"/>
      <c r="AG21" s="133"/>
      <c r="AH21" s="133"/>
      <c r="AI21" s="133" t="str">
        <f t="shared" si="1"/>
        <v xml:space="preserve"> </v>
      </c>
      <c r="AJ21" s="133"/>
      <c r="AK21" s="133"/>
      <c r="AL21" s="133"/>
      <c r="AM21" s="133"/>
      <c r="AN21" s="133"/>
      <c r="AO21" s="133"/>
      <c r="AP21" s="133"/>
      <c r="AQ21" s="133"/>
      <c r="AR21" s="191"/>
      <c r="AS21" s="192"/>
      <c r="AT21" s="192"/>
      <c r="AU21" s="192"/>
      <c r="AV21" s="192"/>
      <c r="AW21" s="192"/>
    </row>
    <row r="22" spans="2:49" ht="22.5" customHeight="1" thickBot="1" x14ac:dyDescent="0.3">
      <c r="B22" s="187"/>
      <c r="C22" s="187"/>
      <c r="D22" s="187"/>
      <c r="E22" s="187"/>
      <c r="F22" s="187"/>
      <c r="G22" s="187"/>
      <c r="H22" s="187"/>
      <c r="I22" s="187"/>
      <c r="J22" s="188"/>
      <c r="K22" s="155"/>
      <c r="L22" s="155"/>
      <c r="M22" s="155"/>
      <c r="N22" s="155"/>
      <c r="O22" s="155"/>
      <c r="P22" s="155"/>
      <c r="Q22" s="155"/>
      <c r="R22" s="155"/>
      <c r="S22" s="155"/>
      <c r="T22" s="191"/>
      <c r="U22" s="192"/>
      <c r="V22" s="192"/>
      <c r="W22" s="192"/>
      <c r="X22" s="192"/>
      <c r="Y22" s="193"/>
      <c r="Z22" s="133" t="str">
        <f t="shared" si="0"/>
        <v/>
      </c>
      <c r="AA22" s="133"/>
      <c r="AB22" s="133"/>
      <c r="AC22" s="133"/>
      <c r="AD22" s="133"/>
      <c r="AE22" s="133"/>
      <c r="AF22" s="133"/>
      <c r="AG22" s="133"/>
      <c r="AH22" s="133"/>
      <c r="AI22" s="133" t="str">
        <f t="shared" si="1"/>
        <v xml:space="preserve"> </v>
      </c>
      <c r="AJ22" s="133"/>
      <c r="AK22" s="133"/>
      <c r="AL22" s="133"/>
      <c r="AM22" s="133"/>
      <c r="AN22" s="133"/>
      <c r="AO22" s="133"/>
      <c r="AP22" s="133"/>
      <c r="AQ22" s="133"/>
      <c r="AR22" s="191"/>
      <c r="AS22" s="192"/>
      <c r="AT22" s="192"/>
      <c r="AU22" s="192"/>
      <c r="AV22" s="192"/>
      <c r="AW22" s="192"/>
    </row>
    <row r="23" spans="2:49" ht="22.5" customHeight="1" thickBot="1" x14ac:dyDescent="0.3">
      <c r="B23" s="187"/>
      <c r="C23" s="187"/>
      <c r="D23" s="187"/>
      <c r="E23" s="187"/>
      <c r="F23" s="187"/>
      <c r="G23" s="187"/>
      <c r="H23" s="187"/>
      <c r="I23" s="187"/>
      <c r="J23" s="188"/>
      <c r="K23" s="155"/>
      <c r="L23" s="155"/>
      <c r="M23" s="155"/>
      <c r="N23" s="155"/>
      <c r="O23" s="155"/>
      <c r="P23" s="155"/>
      <c r="Q23" s="155"/>
      <c r="R23" s="155"/>
      <c r="S23" s="155"/>
      <c r="T23" s="191"/>
      <c r="U23" s="192"/>
      <c r="V23" s="192"/>
      <c r="W23" s="192"/>
      <c r="X23" s="192"/>
      <c r="Y23" s="193"/>
      <c r="Z23" s="133" t="str">
        <f t="shared" si="0"/>
        <v/>
      </c>
      <c r="AA23" s="133"/>
      <c r="AB23" s="133"/>
      <c r="AC23" s="133"/>
      <c r="AD23" s="133"/>
      <c r="AE23" s="133"/>
      <c r="AF23" s="133"/>
      <c r="AG23" s="133"/>
      <c r="AH23" s="133"/>
      <c r="AI23" s="133" t="str">
        <f t="shared" si="1"/>
        <v xml:space="preserve"> </v>
      </c>
      <c r="AJ23" s="133"/>
      <c r="AK23" s="133"/>
      <c r="AL23" s="133"/>
      <c r="AM23" s="133"/>
      <c r="AN23" s="133"/>
      <c r="AO23" s="133"/>
      <c r="AP23" s="133"/>
      <c r="AQ23" s="133"/>
      <c r="AR23" s="191"/>
      <c r="AS23" s="192"/>
      <c r="AT23" s="192"/>
      <c r="AU23" s="192"/>
      <c r="AV23" s="192"/>
      <c r="AW23" s="192"/>
    </row>
    <row r="24" spans="2:49" ht="22.5" customHeight="1" thickBot="1" x14ac:dyDescent="0.3">
      <c r="B24" s="187"/>
      <c r="C24" s="187"/>
      <c r="D24" s="187"/>
      <c r="E24" s="187"/>
      <c r="F24" s="187"/>
      <c r="G24" s="187"/>
      <c r="H24" s="187"/>
      <c r="I24" s="187"/>
      <c r="J24" s="188"/>
      <c r="K24" s="155"/>
      <c r="L24" s="155"/>
      <c r="M24" s="155"/>
      <c r="N24" s="155"/>
      <c r="O24" s="155"/>
      <c r="P24" s="155"/>
      <c r="Q24" s="155"/>
      <c r="R24" s="155"/>
      <c r="S24" s="155"/>
      <c r="T24" s="191"/>
      <c r="U24" s="192"/>
      <c r="V24" s="192"/>
      <c r="W24" s="192"/>
      <c r="X24" s="192"/>
      <c r="Y24" s="193"/>
      <c r="Z24" s="133" t="str">
        <f t="shared" si="0"/>
        <v/>
      </c>
      <c r="AA24" s="133"/>
      <c r="AB24" s="133"/>
      <c r="AC24" s="133"/>
      <c r="AD24" s="133"/>
      <c r="AE24" s="133"/>
      <c r="AF24" s="133"/>
      <c r="AG24" s="133"/>
      <c r="AH24" s="133"/>
      <c r="AI24" s="133" t="str">
        <f t="shared" si="1"/>
        <v xml:space="preserve"> </v>
      </c>
      <c r="AJ24" s="133"/>
      <c r="AK24" s="133"/>
      <c r="AL24" s="133"/>
      <c r="AM24" s="133"/>
      <c r="AN24" s="133"/>
      <c r="AO24" s="133"/>
      <c r="AP24" s="133"/>
      <c r="AQ24" s="133"/>
      <c r="AR24" s="191"/>
      <c r="AS24" s="192"/>
      <c r="AT24" s="192"/>
      <c r="AU24" s="192"/>
      <c r="AV24" s="192"/>
      <c r="AW24" s="192"/>
    </row>
    <row r="25" spans="2:49" ht="22.5" customHeight="1" thickBot="1" x14ac:dyDescent="0.3">
      <c r="B25" s="187"/>
      <c r="C25" s="187"/>
      <c r="D25" s="187"/>
      <c r="E25" s="187"/>
      <c r="F25" s="187"/>
      <c r="G25" s="187"/>
      <c r="H25" s="187"/>
      <c r="I25" s="187"/>
      <c r="J25" s="188"/>
      <c r="K25" s="155"/>
      <c r="L25" s="155"/>
      <c r="M25" s="155"/>
      <c r="N25" s="155"/>
      <c r="O25" s="155"/>
      <c r="P25" s="155"/>
      <c r="Q25" s="155"/>
      <c r="R25" s="155"/>
      <c r="S25" s="155"/>
      <c r="T25" s="191"/>
      <c r="U25" s="192"/>
      <c r="V25" s="192"/>
      <c r="W25" s="192"/>
      <c r="X25" s="192"/>
      <c r="Y25" s="193"/>
      <c r="Z25" s="133" t="str">
        <f t="shared" si="0"/>
        <v/>
      </c>
      <c r="AA25" s="133"/>
      <c r="AB25" s="133"/>
      <c r="AC25" s="133"/>
      <c r="AD25" s="133"/>
      <c r="AE25" s="133"/>
      <c r="AF25" s="133"/>
      <c r="AG25" s="133"/>
      <c r="AH25" s="133"/>
      <c r="AI25" s="133" t="str">
        <f t="shared" si="1"/>
        <v xml:space="preserve"> </v>
      </c>
      <c r="AJ25" s="133"/>
      <c r="AK25" s="133"/>
      <c r="AL25" s="133"/>
      <c r="AM25" s="133"/>
      <c r="AN25" s="133"/>
      <c r="AO25" s="133"/>
      <c r="AP25" s="133"/>
      <c r="AQ25" s="133"/>
      <c r="AR25" s="191"/>
      <c r="AS25" s="192"/>
      <c r="AT25" s="192"/>
      <c r="AU25" s="192"/>
      <c r="AV25" s="192"/>
      <c r="AW25" s="192"/>
    </row>
    <row r="26" spans="2:49" ht="22.5" customHeight="1" x14ac:dyDescent="0.25">
      <c r="B26" s="189"/>
      <c r="C26" s="189"/>
      <c r="D26" s="189"/>
      <c r="E26" s="189"/>
      <c r="F26" s="189"/>
      <c r="G26" s="189"/>
      <c r="H26" s="189"/>
      <c r="I26" s="189"/>
      <c r="J26" s="190"/>
      <c r="K26" s="170"/>
      <c r="L26" s="170"/>
      <c r="M26" s="170"/>
      <c r="N26" s="170"/>
      <c r="O26" s="170"/>
      <c r="P26" s="170"/>
      <c r="Q26" s="170"/>
      <c r="R26" s="170"/>
      <c r="S26" s="170"/>
      <c r="T26" s="194"/>
      <c r="U26" s="195"/>
      <c r="V26" s="195"/>
      <c r="W26" s="195"/>
      <c r="X26" s="195"/>
      <c r="Y26" s="196"/>
      <c r="Z26" s="115" t="str">
        <f t="shared" si="0"/>
        <v/>
      </c>
      <c r="AA26" s="115"/>
      <c r="AB26" s="115"/>
      <c r="AC26" s="115"/>
      <c r="AD26" s="115"/>
      <c r="AE26" s="115"/>
      <c r="AF26" s="115"/>
      <c r="AG26" s="115"/>
      <c r="AH26" s="115"/>
      <c r="AI26" s="115" t="str">
        <f t="shared" si="1"/>
        <v xml:space="preserve"> </v>
      </c>
      <c r="AJ26" s="115"/>
      <c r="AK26" s="115"/>
      <c r="AL26" s="115"/>
      <c r="AM26" s="115"/>
      <c r="AN26" s="115"/>
      <c r="AO26" s="115"/>
      <c r="AP26" s="115"/>
      <c r="AQ26" s="115"/>
      <c r="AR26" s="194"/>
      <c r="AS26" s="195"/>
      <c r="AT26" s="195"/>
      <c r="AU26" s="195"/>
      <c r="AV26" s="195"/>
      <c r="AW26" s="195"/>
    </row>
    <row r="27" spans="2:49" ht="18.75" customHeight="1" x14ac:dyDescent="0.25"/>
    <row r="28" spans="2:49" ht="26.25" customHeight="1" x14ac:dyDescent="0.25">
      <c r="B28" s="93" t="s">
        <v>6070</v>
      </c>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241" t="s">
        <v>6086</v>
      </c>
      <c r="AJ28" s="241"/>
      <c r="AK28" s="241"/>
      <c r="AL28" s="241"/>
      <c r="AM28" s="241"/>
      <c r="AN28" s="241"/>
      <c r="AO28" s="241"/>
      <c r="AP28" s="241"/>
      <c r="AQ28" s="241"/>
      <c r="AR28" s="238" t="s">
        <v>6087</v>
      </c>
      <c r="AS28" s="239"/>
      <c r="AT28" s="239"/>
      <c r="AU28" s="239"/>
      <c r="AV28" s="239"/>
      <c r="AW28" s="240"/>
    </row>
    <row r="29" spans="2:49" ht="3.75" customHeight="1" x14ac:dyDescent="0.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row>
    <row r="30" spans="2:49" ht="22.5" customHeight="1" x14ac:dyDescent="0.25">
      <c r="B30" s="205" t="s">
        <v>6071</v>
      </c>
      <c r="C30" s="205"/>
      <c r="D30" s="205"/>
      <c r="E30" s="109"/>
      <c r="F30" s="220"/>
      <c r="G30" s="221"/>
      <c r="H30" s="221"/>
      <c r="I30" s="222"/>
      <c r="J30" s="210" t="str">
        <f>IF(F30="","",F30)</f>
        <v/>
      </c>
      <c r="K30" s="208" t="str">
        <f>IFERROR(DATE(YEAR(J30),IF($AR$28="MENSAL",MONTH(J30)+1,MONTH(J30)+2),1),"")</f>
        <v/>
      </c>
      <c r="L30" s="208" t="str">
        <f t="shared" ref="L30:AW30" si="2">IFERROR(DATE(YEAR(K30),IF($AR$28="MENSAL",MONTH(K30)+1,MONTH(K30)+2),1),"")</f>
        <v/>
      </c>
      <c r="M30" s="208" t="str">
        <f t="shared" si="2"/>
        <v/>
      </c>
      <c r="N30" s="208" t="str">
        <f t="shared" si="2"/>
        <v/>
      </c>
      <c r="O30" s="208" t="str">
        <f t="shared" si="2"/>
        <v/>
      </c>
      <c r="P30" s="208" t="str">
        <f t="shared" si="2"/>
        <v/>
      </c>
      <c r="Q30" s="208" t="str">
        <f t="shared" si="2"/>
        <v/>
      </c>
      <c r="R30" s="208" t="str">
        <f t="shared" si="2"/>
        <v/>
      </c>
      <c r="S30" s="208" t="str">
        <f t="shared" si="2"/>
        <v/>
      </c>
      <c r="T30" s="208" t="str">
        <f t="shared" si="2"/>
        <v/>
      </c>
      <c r="U30" s="208" t="str">
        <f t="shared" si="2"/>
        <v/>
      </c>
      <c r="V30" s="208" t="str">
        <f t="shared" si="2"/>
        <v/>
      </c>
      <c r="W30" s="208" t="str">
        <f t="shared" si="2"/>
        <v/>
      </c>
      <c r="X30" s="208" t="str">
        <f t="shared" si="2"/>
        <v/>
      </c>
      <c r="Y30" s="208" t="str">
        <f t="shared" si="2"/>
        <v/>
      </c>
      <c r="Z30" s="208" t="str">
        <f t="shared" si="2"/>
        <v/>
      </c>
      <c r="AA30" s="208" t="str">
        <f t="shared" si="2"/>
        <v/>
      </c>
      <c r="AB30" s="208" t="str">
        <f t="shared" si="2"/>
        <v/>
      </c>
      <c r="AC30" s="208" t="str">
        <f t="shared" si="2"/>
        <v/>
      </c>
      <c r="AD30" s="208" t="str">
        <f t="shared" si="2"/>
        <v/>
      </c>
      <c r="AE30" s="208" t="str">
        <f t="shared" si="2"/>
        <v/>
      </c>
      <c r="AF30" s="208" t="str">
        <f t="shared" si="2"/>
        <v/>
      </c>
      <c r="AG30" s="208" t="str">
        <f t="shared" si="2"/>
        <v/>
      </c>
      <c r="AH30" s="208" t="str">
        <f t="shared" si="2"/>
        <v/>
      </c>
      <c r="AI30" s="208" t="str">
        <f t="shared" si="2"/>
        <v/>
      </c>
      <c r="AJ30" s="208" t="str">
        <f t="shared" si="2"/>
        <v/>
      </c>
      <c r="AK30" s="208" t="str">
        <f t="shared" si="2"/>
        <v/>
      </c>
      <c r="AL30" s="208" t="str">
        <f t="shared" si="2"/>
        <v/>
      </c>
      <c r="AM30" s="208" t="str">
        <f t="shared" si="2"/>
        <v/>
      </c>
      <c r="AN30" s="208" t="str">
        <f t="shared" si="2"/>
        <v/>
      </c>
      <c r="AO30" s="208" t="str">
        <f t="shared" si="2"/>
        <v/>
      </c>
      <c r="AP30" s="208" t="str">
        <f t="shared" si="2"/>
        <v/>
      </c>
      <c r="AQ30" s="208" t="str">
        <f t="shared" si="2"/>
        <v/>
      </c>
      <c r="AR30" s="208" t="str">
        <f t="shared" si="2"/>
        <v/>
      </c>
      <c r="AS30" s="208" t="str">
        <f t="shared" si="2"/>
        <v/>
      </c>
      <c r="AT30" s="208" t="str">
        <f t="shared" si="2"/>
        <v/>
      </c>
      <c r="AU30" s="208" t="str">
        <f t="shared" si="2"/>
        <v/>
      </c>
      <c r="AV30" s="208" t="str">
        <f t="shared" si="2"/>
        <v/>
      </c>
      <c r="AW30" s="251" t="str">
        <f t="shared" si="2"/>
        <v/>
      </c>
    </row>
    <row r="31" spans="2:49" ht="3.75" customHeight="1" x14ac:dyDescent="0.3">
      <c r="B31" s="55"/>
      <c r="C31" s="55"/>
      <c r="D31" s="55"/>
      <c r="E31" s="55"/>
      <c r="F31" s="71"/>
      <c r="G31" s="71"/>
      <c r="H31" s="71"/>
      <c r="I31" s="72"/>
      <c r="J31" s="210"/>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51"/>
    </row>
    <row r="32" spans="2:49" ht="22.5" customHeight="1" x14ac:dyDescent="0.25">
      <c r="B32" s="205" t="s">
        <v>6072</v>
      </c>
      <c r="C32" s="205"/>
      <c r="D32" s="205"/>
      <c r="E32" s="109"/>
      <c r="F32" s="223"/>
      <c r="G32" s="224"/>
      <c r="H32" s="224"/>
      <c r="I32" s="225"/>
      <c r="J32" s="210"/>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51"/>
    </row>
    <row r="33" spans="2:53" ht="3.75" customHeight="1" x14ac:dyDescent="0.3">
      <c r="B33" s="55"/>
      <c r="C33" s="55"/>
      <c r="D33" s="55"/>
      <c r="E33" s="55"/>
      <c r="F33" s="53"/>
      <c r="G33" s="53"/>
      <c r="H33" s="53"/>
      <c r="I33" s="56"/>
      <c r="J33" s="210"/>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51"/>
    </row>
    <row r="34" spans="2:53" ht="22.5" customHeight="1" thickBot="1" x14ac:dyDescent="0.3">
      <c r="B34" s="134" t="s">
        <v>6031</v>
      </c>
      <c r="C34" s="135"/>
      <c r="D34" s="135"/>
      <c r="E34" s="135"/>
      <c r="F34" s="135" t="s">
        <v>6078</v>
      </c>
      <c r="G34" s="135"/>
      <c r="H34" s="135"/>
      <c r="I34" s="226"/>
      <c r="J34" s="211"/>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52"/>
      <c r="AY34" s="49" t="s">
        <v>6079</v>
      </c>
      <c r="AZ34" s="49" t="s">
        <v>6080</v>
      </c>
    </row>
    <row r="35" spans="2:53" ht="22.5" customHeight="1" thickBot="1" x14ac:dyDescent="0.3">
      <c r="B35" s="206" t="s">
        <v>6073</v>
      </c>
      <c r="C35" s="207"/>
      <c r="D35" s="207"/>
      <c r="E35" s="207"/>
      <c r="F35" s="227"/>
      <c r="G35" s="227"/>
      <c r="H35" s="227"/>
      <c r="I35" s="228"/>
      <c r="J35" s="57">
        <f>IF(AND(J$30&gt;=$AY35,J$30&lt;=$AZ35),1,0)</f>
        <v>0</v>
      </c>
      <c r="K35" s="58">
        <f t="shared" ref="K35:Z39" si="3">IF(AND(K$30&gt;=$AY35,K$30&lt;=$AZ35),1,0)</f>
        <v>0</v>
      </c>
      <c r="L35" s="58">
        <f t="shared" si="3"/>
        <v>0</v>
      </c>
      <c r="M35" s="58">
        <f t="shared" si="3"/>
        <v>0</v>
      </c>
      <c r="N35" s="58">
        <f t="shared" si="3"/>
        <v>0</v>
      </c>
      <c r="O35" s="58">
        <f t="shared" si="3"/>
        <v>0</v>
      </c>
      <c r="P35" s="58">
        <f t="shared" si="3"/>
        <v>0</v>
      </c>
      <c r="Q35" s="58">
        <f t="shared" si="3"/>
        <v>0</v>
      </c>
      <c r="R35" s="58">
        <f t="shared" si="3"/>
        <v>0</v>
      </c>
      <c r="S35" s="58">
        <f t="shared" si="3"/>
        <v>0</v>
      </c>
      <c r="T35" s="58">
        <f t="shared" si="3"/>
        <v>0</v>
      </c>
      <c r="U35" s="58">
        <f t="shared" si="3"/>
        <v>0</v>
      </c>
      <c r="V35" s="58">
        <f t="shared" si="3"/>
        <v>0</v>
      </c>
      <c r="W35" s="58">
        <f t="shared" si="3"/>
        <v>0</v>
      </c>
      <c r="X35" s="58">
        <f t="shared" si="3"/>
        <v>0</v>
      </c>
      <c r="Y35" s="58">
        <f t="shared" si="3"/>
        <v>0</v>
      </c>
      <c r="Z35" s="58">
        <f t="shared" si="3"/>
        <v>0</v>
      </c>
      <c r="AA35" s="58">
        <f t="shared" ref="AA35:AP39" si="4">IF(AND(AA$30&gt;=$AY35,AA$30&lt;=$AZ35),1,0)</f>
        <v>0</v>
      </c>
      <c r="AB35" s="58">
        <f t="shared" si="4"/>
        <v>0</v>
      </c>
      <c r="AC35" s="58">
        <f t="shared" si="4"/>
        <v>0</v>
      </c>
      <c r="AD35" s="58">
        <f t="shared" si="4"/>
        <v>0</v>
      </c>
      <c r="AE35" s="58">
        <f t="shared" si="4"/>
        <v>0</v>
      </c>
      <c r="AF35" s="58">
        <f t="shared" si="4"/>
        <v>0</v>
      </c>
      <c r="AG35" s="58">
        <f t="shared" si="4"/>
        <v>0</v>
      </c>
      <c r="AH35" s="58">
        <f t="shared" si="4"/>
        <v>0</v>
      </c>
      <c r="AI35" s="58">
        <f t="shared" si="4"/>
        <v>0</v>
      </c>
      <c r="AJ35" s="58">
        <f t="shared" si="4"/>
        <v>0</v>
      </c>
      <c r="AK35" s="58">
        <f t="shared" si="4"/>
        <v>0</v>
      </c>
      <c r="AL35" s="58">
        <f t="shared" si="4"/>
        <v>0</v>
      </c>
      <c r="AM35" s="58">
        <f t="shared" si="4"/>
        <v>0</v>
      </c>
      <c r="AN35" s="58">
        <f t="shared" si="4"/>
        <v>0</v>
      </c>
      <c r="AO35" s="58">
        <f t="shared" si="4"/>
        <v>0</v>
      </c>
      <c r="AP35" s="58">
        <f t="shared" si="4"/>
        <v>0</v>
      </c>
      <c r="AQ35" s="58">
        <f t="shared" ref="AQ35:AW39" si="5">IF(AND(AQ$30&gt;=$AY35,AQ$30&lt;=$AZ35),1,0)</f>
        <v>0</v>
      </c>
      <c r="AR35" s="58">
        <f t="shared" si="5"/>
        <v>0</v>
      </c>
      <c r="AS35" s="58">
        <f t="shared" si="5"/>
        <v>0</v>
      </c>
      <c r="AT35" s="58">
        <f t="shared" si="5"/>
        <v>0</v>
      </c>
      <c r="AU35" s="58">
        <f t="shared" si="5"/>
        <v>0</v>
      </c>
      <c r="AV35" s="58">
        <f t="shared" si="5"/>
        <v>0</v>
      </c>
      <c r="AW35" s="59">
        <f t="shared" si="5"/>
        <v>0</v>
      </c>
      <c r="AY35" s="50">
        <f>F30</f>
        <v>0</v>
      </c>
      <c r="AZ35" s="50">
        <f>DATE(YEAR(AY35),MONTH(AY35)+F35,1)</f>
        <v>1</v>
      </c>
      <c r="BA35" s="51"/>
    </row>
    <row r="36" spans="2:53" ht="22.5" customHeight="1" thickBot="1" x14ac:dyDescent="0.3">
      <c r="B36" s="201" t="s">
        <v>6074</v>
      </c>
      <c r="C36" s="202"/>
      <c r="D36" s="202"/>
      <c r="E36" s="202"/>
      <c r="F36" s="197"/>
      <c r="G36" s="197"/>
      <c r="H36" s="197"/>
      <c r="I36" s="198"/>
      <c r="J36" s="57">
        <f t="shared" ref="J36:J39" si="6">IF(AND(J$30&gt;=$AY36,J$30&lt;=$AZ36),1,0)</f>
        <v>0</v>
      </c>
      <c r="K36" s="58">
        <f t="shared" si="3"/>
        <v>0</v>
      </c>
      <c r="L36" s="58">
        <f t="shared" si="3"/>
        <v>0</v>
      </c>
      <c r="M36" s="58">
        <f t="shared" si="3"/>
        <v>0</v>
      </c>
      <c r="N36" s="58">
        <f t="shared" si="3"/>
        <v>0</v>
      </c>
      <c r="O36" s="58">
        <f t="shared" si="3"/>
        <v>0</v>
      </c>
      <c r="P36" s="58">
        <f t="shared" si="3"/>
        <v>0</v>
      </c>
      <c r="Q36" s="58">
        <f t="shared" si="3"/>
        <v>0</v>
      </c>
      <c r="R36" s="58">
        <f t="shared" si="3"/>
        <v>0</v>
      </c>
      <c r="S36" s="58">
        <f t="shared" si="3"/>
        <v>0</v>
      </c>
      <c r="T36" s="58">
        <f t="shared" si="3"/>
        <v>0</v>
      </c>
      <c r="U36" s="58">
        <f t="shared" si="3"/>
        <v>0</v>
      </c>
      <c r="V36" s="58">
        <f t="shared" si="3"/>
        <v>0</v>
      </c>
      <c r="W36" s="58">
        <f t="shared" si="3"/>
        <v>0</v>
      </c>
      <c r="X36" s="58">
        <f t="shared" si="3"/>
        <v>0</v>
      </c>
      <c r="Y36" s="58">
        <f t="shared" si="3"/>
        <v>0</v>
      </c>
      <c r="Z36" s="58">
        <f t="shared" si="3"/>
        <v>0</v>
      </c>
      <c r="AA36" s="58">
        <f t="shared" si="4"/>
        <v>0</v>
      </c>
      <c r="AB36" s="58">
        <f t="shared" si="4"/>
        <v>0</v>
      </c>
      <c r="AC36" s="58">
        <f t="shared" si="4"/>
        <v>0</v>
      </c>
      <c r="AD36" s="58">
        <f t="shared" si="4"/>
        <v>0</v>
      </c>
      <c r="AE36" s="58">
        <f t="shared" si="4"/>
        <v>0</v>
      </c>
      <c r="AF36" s="58">
        <f t="shared" si="4"/>
        <v>0</v>
      </c>
      <c r="AG36" s="58">
        <f t="shared" si="4"/>
        <v>0</v>
      </c>
      <c r="AH36" s="58">
        <f t="shared" si="4"/>
        <v>0</v>
      </c>
      <c r="AI36" s="58">
        <f t="shared" si="4"/>
        <v>0</v>
      </c>
      <c r="AJ36" s="58">
        <f t="shared" si="4"/>
        <v>0</v>
      </c>
      <c r="AK36" s="58">
        <f t="shared" si="4"/>
        <v>0</v>
      </c>
      <c r="AL36" s="58">
        <f t="shared" si="4"/>
        <v>0</v>
      </c>
      <c r="AM36" s="58">
        <f t="shared" si="4"/>
        <v>0</v>
      </c>
      <c r="AN36" s="58">
        <f t="shared" si="4"/>
        <v>0</v>
      </c>
      <c r="AO36" s="58">
        <f t="shared" si="4"/>
        <v>0</v>
      </c>
      <c r="AP36" s="58">
        <f t="shared" si="4"/>
        <v>0</v>
      </c>
      <c r="AQ36" s="58">
        <f t="shared" si="5"/>
        <v>0</v>
      </c>
      <c r="AR36" s="58">
        <f t="shared" si="5"/>
        <v>0</v>
      </c>
      <c r="AS36" s="58">
        <f t="shared" si="5"/>
        <v>0</v>
      </c>
      <c r="AT36" s="58">
        <f t="shared" si="5"/>
        <v>0</v>
      </c>
      <c r="AU36" s="58">
        <f t="shared" si="5"/>
        <v>0</v>
      </c>
      <c r="AV36" s="58">
        <f t="shared" si="5"/>
        <v>0</v>
      </c>
      <c r="AW36" s="59">
        <f t="shared" si="5"/>
        <v>0</v>
      </c>
      <c r="AY36" s="50">
        <f>AZ35</f>
        <v>1</v>
      </c>
      <c r="AZ36" s="50">
        <f>DATE(YEAR(AY36),MONTH(AY36)+F36,1)</f>
        <v>1</v>
      </c>
    </row>
    <row r="37" spans="2:53" ht="22.5" customHeight="1" thickBot="1" x14ac:dyDescent="0.3">
      <c r="B37" s="201" t="s">
        <v>6075</v>
      </c>
      <c r="C37" s="202"/>
      <c r="D37" s="202"/>
      <c r="E37" s="202"/>
      <c r="F37" s="197"/>
      <c r="G37" s="197"/>
      <c r="H37" s="197"/>
      <c r="I37" s="198"/>
      <c r="J37" s="57">
        <f t="shared" si="6"/>
        <v>0</v>
      </c>
      <c r="K37" s="58">
        <f t="shared" si="3"/>
        <v>0</v>
      </c>
      <c r="L37" s="58">
        <f t="shared" si="3"/>
        <v>0</v>
      </c>
      <c r="M37" s="58">
        <f t="shared" si="3"/>
        <v>0</v>
      </c>
      <c r="N37" s="58">
        <f t="shared" si="3"/>
        <v>0</v>
      </c>
      <c r="O37" s="58">
        <f t="shared" si="3"/>
        <v>0</v>
      </c>
      <c r="P37" s="58">
        <f t="shared" si="3"/>
        <v>0</v>
      </c>
      <c r="Q37" s="58">
        <f t="shared" si="3"/>
        <v>0</v>
      </c>
      <c r="R37" s="58">
        <f t="shared" si="3"/>
        <v>0</v>
      </c>
      <c r="S37" s="58">
        <f t="shared" si="3"/>
        <v>0</v>
      </c>
      <c r="T37" s="58">
        <f t="shared" si="3"/>
        <v>0</v>
      </c>
      <c r="U37" s="58">
        <f t="shared" si="3"/>
        <v>0</v>
      </c>
      <c r="V37" s="58">
        <f t="shared" si="3"/>
        <v>0</v>
      </c>
      <c r="W37" s="58">
        <f t="shared" si="3"/>
        <v>0</v>
      </c>
      <c r="X37" s="58">
        <f t="shared" si="3"/>
        <v>0</v>
      </c>
      <c r="Y37" s="58">
        <f t="shared" si="3"/>
        <v>0</v>
      </c>
      <c r="Z37" s="58">
        <f t="shared" si="3"/>
        <v>0</v>
      </c>
      <c r="AA37" s="58">
        <f t="shared" si="4"/>
        <v>0</v>
      </c>
      <c r="AB37" s="58">
        <f t="shared" si="4"/>
        <v>0</v>
      </c>
      <c r="AC37" s="58">
        <f t="shared" si="4"/>
        <v>0</v>
      </c>
      <c r="AD37" s="58">
        <f t="shared" si="4"/>
        <v>0</v>
      </c>
      <c r="AE37" s="58">
        <f t="shared" si="4"/>
        <v>0</v>
      </c>
      <c r="AF37" s="58">
        <f t="shared" si="4"/>
        <v>0</v>
      </c>
      <c r="AG37" s="58">
        <f t="shared" si="4"/>
        <v>0</v>
      </c>
      <c r="AH37" s="58">
        <f t="shared" si="4"/>
        <v>0</v>
      </c>
      <c r="AI37" s="58">
        <f t="shared" si="4"/>
        <v>0</v>
      </c>
      <c r="AJ37" s="58">
        <f t="shared" si="4"/>
        <v>0</v>
      </c>
      <c r="AK37" s="58">
        <f t="shared" si="4"/>
        <v>0</v>
      </c>
      <c r="AL37" s="58">
        <f t="shared" si="4"/>
        <v>0</v>
      </c>
      <c r="AM37" s="58">
        <f t="shared" si="4"/>
        <v>0</v>
      </c>
      <c r="AN37" s="58">
        <f t="shared" si="4"/>
        <v>0</v>
      </c>
      <c r="AO37" s="58">
        <f t="shared" si="4"/>
        <v>0</v>
      </c>
      <c r="AP37" s="58">
        <f t="shared" si="4"/>
        <v>0</v>
      </c>
      <c r="AQ37" s="58">
        <f t="shared" si="5"/>
        <v>0</v>
      </c>
      <c r="AR37" s="58">
        <f t="shared" si="5"/>
        <v>0</v>
      </c>
      <c r="AS37" s="58">
        <f t="shared" si="5"/>
        <v>0</v>
      </c>
      <c r="AT37" s="58">
        <f t="shared" si="5"/>
        <v>0</v>
      </c>
      <c r="AU37" s="58">
        <f t="shared" si="5"/>
        <v>0</v>
      </c>
      <c r="AV37" s="58">
        <f t="shared" si="5"/>
        <v>0</v>
      </c>
      <c r="AW37" s="59">
        <f t="shared" si="5"/>
        <v>0</v>
      </c>
      <c r="AY37" s="50">
        <f>AZ36</f>
        <v>1</v>
      </c>
      <c r="AZ37" s="50">
        <f>DATE(YEAR(AY37),MONTH(AY37)+F37,1)</f>
        <v>1</v>
      </c>
    </row>
    <row r="38" spans="2:53" ht="22.5" customHeight="1" thickBot="1" x14ac:dyDescent="0.3">
      <c r="B38" s="201" t="s">
        <v>6076</v>
      </c>
      <c r="C38" s="202"/>
      <c r="D38" s="202"/>
      <c r="E38" s="202"/>
      <c r="F38" s="197"/>
      <c r="G38" s="197"/>
      <c r="H38" s="197"/>
      <c r="I38" s="198"/>
      <c r="J38" s="57">
        <f t="shared" si="6"/>
        <v>0</v>
      </c>
      <c r="K38" s="58">
        <f t="shared" si="3"/>
        <v>0</v>
      </c>
      <c r="L38" s="58">
        <f t="shared" si="3"/>
        <v>0</v>
      </c>
      <c r="M38" s="58">
        <f t="shared" si="3"/>
        <v>0</v>
      </c>
      <c r="N38" s="58">
        <f t="shared" si="3"/>
        <v>0</v>
      </c>
      <c r="O38" s="58">
        <f t="shared" si="3"/>
        <v>0</v>
      </c>
      <c r="P38" s="58">
        <f t="shared" si="3"/>
        <v>0</v>
      </c>
      <c r="Q38" s="58">
        <f t="shared" si="3"/>
        <v>0</v>
      </c>
      <c r="R38" s="58">
        <f t="shared" si="3"/>
        <v>0</v>
      </c>
      <c r="S38" s="58">
        <f t="shared" si="3"/>
        <v>0</v>
      </c>
      <c r="T38" s="58">
        <f t="shared" si="3"/>
        <v>0</v>
      </c>
      <c r="U38" s="58">
        <f t="shared" si="3"/>
        <v>0</v>
      </c>
      <c r="V38" s="58">
        <f t="shared" si="3"/>
        <v>0</v>
      </c>
      <c r="W38" s="58">
        <f t="shared" si="3"/>
        <v>0</v>
      </c>
      <c r="X38" s="58">
        <f t="shared" si="3"/>
        <v>0</v>
      </c>
      <c r="Y38" s="58">
        <f t="shared" si="3"/>
        <v>0</v>
      </c>
      <c r="Z38" s="58">
        <f t="shared" si="3"/>
        <v>0</v>
      </c>
      <c r="AA38" s="58">
        <f t="shared" si="4"/>
        <v>0</v>
      </c>
      <c r="AB38" s="58">
        <f t="shared" si="4"/>
        <v>0</v>
      </c>
      <c r="AC38" s="58">
        <f t="shared" si="4"/>
        <v>0</v>
      </c>
      <c r="AD38" s="58">
        <f t="shared" si="4"/>
        <v>0</v>
      </c>
      <c r="AE38" s="58">
        <f t="shared" si="4"/>
        <v>0</v>
      </c>
      <c r="AF38" s="58">
        <f t="shared" si="4"/>
        <v>0</v>
      </c>
      <c r="AG38" s="58">
        <f t="shared" si="4"/>
        <v>0</v>
      </c>
      <c r="AH38" s="58">
        <f t="shared" si="4"/>
        <v>0</v>
      </c>
      <c r="AI38" s="58">
        <f t="shared" si="4"/>
        <v>0</v>
      </c>
      <c r="AJ38" s="58">
        <f t="shared" si="4"/>
        <v>0</v>
      </c>
      <c r="AK38" s="58">
        <f t="shared" si="4"/>
        <v>0</v>
      </c>
      <c r="AL38" s="58">
        <f t="shared" si="4"/>
        <v>0</v>
      </c>
      <c r="AM38" s="58">
        <f t="shared" si="4"/>
        <v>0</v>
      </c>
      <c r="AN38" s="58">
        <f t="shared" si="4"/>
        <v>0</v>
      </c>
      <c r="AO38" s="58">
        <f t="shared" si="4"/>
        <v>0</v>
      </c>
      <c r="AP38" s="58">
        <f t="shared" si="4"/>
        <v>0</v>
      </c>
      <c r="AQ38" s="58">
        <f t="shared" si="5"/>
        <v>0</v>
      </c>
      <c r="AR38" s="58">
        <f t="shared" si="5"/>
        <v>0</v>
      </c>
      <c r="AS38" s="58">
        <f t="shared" si="5"/>
        <v>0</v>
      </c>
      <c r="AT38" s="58">
        <f t="shared" si="5"/>
        <v>0</v>
      </c>
      <c r="AU38" s="58">
        <f t="shared" si="5"/>
        <v>0</v>
      </c>
      <c r="AV38" s="58">
        <f t="shared" si="5"/>
        <v>0</v>
      </c>
      <c r="AW38" s="59">
        <f t="shared" si="5"/>
        <v>0</v>
      </c>
      <c r="AY38" s="50">
        <f>DATE(YEAR(AY37),MONTH(AY37)+F32,1)</f>
        <v>1</v>
      </c>
      <c r="AZ38" s="50">
        <f>DATE(YEAR(AY38),MONTH(AY38)+F38,1)</f>
        <v>1</v>
      </c>
    </row>
    <row r="39" spans="2:53" ht="22.5" customHeight="1" x14ac:dyDescent="0.25">
      <c r="B39" s="203" t="s">
        <v>6077</v>
      </c>
      <c r="C39" s="204"/>
      <c r="D39" s="204"/>
      <c r="E39" s="204"/>
      <c r="F39" s="199"/>
      <c r="G39" s="199"/>
      <c r="H39" s="199"/>
      <c r="I39" s="200"/>
      <c r="J39" s="60">
        <f t="shared" si="6"/>
        <v>0</v>
      </c>
      <c r="K39" s="61">
        <f t="shared" si="3"/>
        <v>0</v>
      </c>
      <c r="L39" s="61">
        <f t="shared" si="3"/>
        <v>0</v>
      </c>
      <c r="M39" s="61">
        <f t="shared" si="3"/>
        <v>0</v>
      </c>
      <c r="N39" s="61">
        <f t="shared" si="3"/>
        <v>0</v>
      </c>
      <c r="O39" s="61">
        <f t="shared" si="3"/>
        <v>0</v>
      </c>
      <c r="P39" s="61">
        <f t="shared" si="3"/>
        <v>0</v>
      </c>
      <c r="Q39" s="61">
        <f t="shared" si="3"/>
        <v>0</v>
      </c>
      <c r="R39" s="61">
        <f t="shared" si="3"/>
        <v>0</v>
      </c>
      <c r="S39" s="61">
        <f t="shared" si="3"/>
        <v>0</v>
      </c>
      <c r="T39" s="61">
        <f t="shared" si="3"/>
        <v>0</v>
      </c>
      <c r="U39" s="61">
        <f t="shared" si="3"/>
        <v>0</v>
      </c>
      <c r="V39" s="61">
        <f t="shared" si="3"/>
        <v>0</v>
      </c>
      <c r="W39" s="61">
        <f t="shared" si="3"/>
        <v>0</v>
      </c>
      <c r="X39" s="61">
        <f t="shared" si="3"/>
        <v>0</v>
      </c>
      <c r="Y39" s="61">
        <f t="shared" si="3"/>
        <v>0</v>
      </c>
      <c r="Z39" s="61">
        <f t="shared" si="3"/>
        <v>0</v>
      </c>
      <c r="AA39" s="61">
        <f t="shared" si="4"/>
        <v>0</v>
      </c>
      <c r="AB39" s="61">
        <f t="shared" si="4"/>
        <v>0</v>
      </c>
      <c r="AC39" s="61">
        <f t="shared" si="4"/>
        <v>0</v>
      </c>
      <c r="AD39" s="61">
        <f t="shared" si="4"/>
        <v>0</v>
      </c>
      <c r="AE39" s="61">
        <f t="shared" si="4"/>
        <v>0</v>
      </c>
      <c r="AF39" s="61">
        <f t="shared" si="4"/>
        <v>0</v>
      </c>
      <c r="AG39" s="61">
        <f t="shared" si="4"/>
        <v>0</v>
      </c>
      <c r="AH39" s="61">
        <f t="shared" si="4"/>
        <v>0</v>
      </c>
      <c r="AI39" s="61">
        <f t="shared" si="4"/>
        <v>0</v>
      </c>
      <c r="AJ39" s="61">
        <f t="shared" si="4"/>
        <v>0</v>
      </c>
      <c r="AK39" s="61">
        <f t="shared" si="4"/>
        <v>0</v>
      </c>
      <c r="AL39" s="61">
        <f t="shared" si="4"/>
        <v>0</v>
      </c>
      <c r="AM39" s="61">
        <f t="shared" si="4"/>
        <v>0</v>
      </c>
      <c r="AN39" s="61">
        <f t="shared" si="4"/>
        <v>0</v>
      </c>
      <c r="AO39" s="61">
        <f t="shared" si="4"/>
        <v>0</v>
      </c>
      <c r="AP39" s="61">
        <f t="shared" si="4"/>
        <v>0</v>
      </c>
      <c r="AQ39" s="61">
        <f t="shared" si="5"/>
        <v>0</v>
      </c>
      <c r="AR39" s="61">
        <f t="shared" si="5"/>
        <v>0</v>
      </c>
      <c r="AS39" s="61">
        <f t="shared" si="5"/>
        <v>0</v>
      </c>
      <c r="AT39" s="61">
        <f t="shared" si="5"/>
        <v>0</v>
      </c>
      <c r="AU39" s="61">
        <f t="shared" si="5"/>
        <v>0</v>
      </c>
      <c r="AV39" s="61">
        <f t="shared" si="5"/>
        <v>0</v>
      </c>
      <c r="AW39" s="62">
        <f t="shared" si="5"/>
        <v>0</v>
      </c>
      <c r="AY39" s="50">
        <f>AZ38</f>
        <v>1</v>
      </c>
      <c r="AZ39" s="50">
        <f>DATE(YEAR(AY39),MONTH(AY39)+F39,1)</f>
        <v>1</v>
      </c>
    </row>
    <row r="40" spans="2:53" ht="18.75" customHeight="1" x14ac:dyDescent="0.25"/>
    <row r="41" spans="2:53" ht="26.25" customHeight="1" x14ac:dyDescent="0.25">
      <c r="B41" s="94" t="s">
        <v>6081</v>
      </c>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row>
    <row r="42" spans="2:53" ht="3.75" customHeight="1" x14ac:dyDescent="0.25"/>
    <row r="43" spans="2:53" ht="22.5" customHeight="1" thickBot="1" x14ac:dyDescent="0.3">
      <c r="B43" s="66"/>
      <c r="C43" s="67"/>
      <c r="D43" s="67"/>
      <c r="E43" s="67"/>
      <c r="F43" s="67"/>
      <c r="G43" s="67"/>
      <c r="H43" s="67"/>
      <c r="I43" s="68"/>
      <c r="J43" s="216" t="s">
        <v>6082</v>
      </c>
      <c r="K43" s="217"/>
      <c r="L43" s="217"/>
      <c r="M43" s="217"/>
      <c r="N43" s="217"/>
      <c r="O43" s="217"/>
      <c r="P43" s="217"/>
      <c r="Q43" s="218"/>
      <c r="R43" s="216" t="s">
        <v>6054</v>
      </c>
      <c r="S43" s="217"/>
      <c r="T43" s="217"/>
      <c r="U43" s="217"/>
      <c r="V43" s="217"/>
      <c r="W43" s="217"/>
      <c r="X43" s="217"/>
      <c r="Y43" s="217"/>
      <c r="Z43" s="217"/>
      <c r="AA43" s="217"/>
      <c r="AB43" s="217"/>
      <c r="AC43" s="217"/>
      <c r="AD43" s="217"/>
      <c r="AE43" s="217"/>
      <c r="AF43" s="217"/>
      <c r="AG43" s="218"/>
      <c r="AH43" s="242" t="s">
        <v>6083</v>
      </c>
      <c r="AI43" s="217"/>
      <c r="AJ43" s="217"/>
      <c r="AK43" s="217"/>
      <c r="AL43" s="217"/>
      <c r="AM43" s="217"/>
      <c r="AN43" s="217"/>
      <c r="AO43" s="217"/>
      <c r="AP43" s="217"/>
      <c r="AQ43" s="217"/>
      <c r="AR43" s="217"/>
      <c r="AS43" s="217"/>
      <c r="AT43" s="217"/>
      <c r="AU43" s="217"/>
      <c r="AV43" s="217"/>
      <c r="AW43" s="243"/>
    </row>
    <row r="44" spans="2:53" ht="22.5" customHeight="1" thickBot="1" x14ac:dyDescent="0.3">
      <c r="B44" s="212" t="s">
        <v>6084</v>
      </c>
      <c r="C44" s="213"/>
      <c r="D44" s="213"/>
      <c r="E44" s="213"/>
      <c r="F44" s="213"/>
      <c r="G44" s="213"/>
      <c r="H44" s="213"/>
      <c r="I44" s="214"/>
      <c r="J44" s="244">
        <f>J46-J45</f>
        <v>0</v>
      </c>
      <c r="K44" s="245"/>
      <c r="L44" s="245"/>
      <c r="M44" s="245"/>
      <c r="N44" s="245"/>
      <c r="O44" s="245"/>
      <c r="P44" s="245"/>
      <c r="Q44" s="246"/>
      <c r="R44" s="247">
        <f>R46-R45</f>
        <v>0</v>
      </c>
      <c r="S44" s="166"/>
      <c r="T44" s="166"/>
      <c r="U44" s="166"/>
      <c r="V44" s="166"/>
      <c r="W44" s="166"/>
      <c r="X44" s="166"/>
      <c r="Y44" s="166"/>
      <c r="Z44" s="166"/>
      <c r="AA44" s="166"/>
      <c r="AB44" s="229" t="str">
        <f>IFERROR(R44/R46,"")</f>
        <v/>
      </c>
      <c r="AC44" s="229"/>
      <c r="AD44" s="229"/>
      <c r="AE44" s="229"/>
      <c r="AF44" s="229"/>
      <c r="AG44" s="248"/>
      <c r="AH44" s="249">
        <f>AH46-AH45</f>
        <v>0</v>
      </c>
      <c r="AI44" s="245"/>
      <c r="AJ44" s="245"/>
      <c r="AK44" s="245"/>
      <c r="AL44" s="245"/>
      <c r="AM44" s="245"/>
      <c r="AN44" s="245"/>
      <c r="AO44" s="245"/>
      <c r="AP44" s="245"/>
      <c r="AQ44" s="245"/>
      <c r="AR44" s="229" t="str">
        <f>IFERROR(AH44/AH46,"")</f>
        <v/>
      </c>
      <c r="AS44" s="229"/>
      <c r="AT44" s="229"/>
      <c r="AU44" s="229"/>
      <c r="AV44" s="229"/>
      <c r="AW44" s="230"/>
    </row>
    <row r="45" spans="2:53" ht="22.5" customHeight="1" thickBot="1" x14ac:dyDescent="0.3">
      <c r="B45" s="212" t="s">
        <v>6085</v>
      </c>
      <c r="C45" s="213"/>
      <c r="D45" s="213"/>
      <c r="E45" s="213"/>
      <c r="F45" s="213"/>
      <c r="G45" s="213"/>
      <c r="H45" s="213"/>
      <c r="I45" s="214"/>
      <c r="J45" s="244">
        <f>SUM(AR15:AW26)</f>
        <v>0</v>
      </c>
      <c r="K45" s="245"/>
      <c r="L45" s="245"/>
      <c r="M45" s="245"/>
      <c r="N45" s="245"/>
      <c r="O45" s="245"/>
      <c r="P45" s="245"/>
      <c r="Q45" s="246"/>
      <c r="R45" s="247">
        <f>SUMPRODUCT(K15:K26,AR15:AR26)</f>
        <v>0</v>
      </c>
      <c r="S45" s="166"/>
      <c r="T45" s="166"/>
      <c r="U45" s="166"/>
      <c r="V45" s="166"/>
      <c r="W45" s="166"/>
      <c r="X45" s="166"/>
      <c r="Y45" s="166"/>
      <c r="Z45" s="166"/>
      <c r="AA45" s="166"/>
      <c r="AB45" s="229" t="str">
        <f>IFERROR(R45/R46,"")</f>
        <v/>
      </c>
      <c r="AC45" s="229"/>
      <c r="AD45" s="229"/>
      <c r="AE45" s="229"/>
      <c r="AF45" s="229"/>
      <c r="AG45" s="248"/>
      <c r="AH45" s="249">
        <f>SUMPRODUCT(K15:K26,AR15:AR26,Z15:Z26)</f>
        <v>0</v>
      </c>
      <c r="AI45" s="250"/>
      <c r="AJ45" s="250"/>
      <c r="AK45" s="250"/>
      <c r="AL45" s="250"/>
      <c r="AM45" s="250"/>
      <c r="AN45" s="250"/>
      <c r="AO45" s="250"/>
      <c r="AP45" s="250"/>
      <c r="AQ45" s="250"/>
      <c r="AR45" s="229" t="str">
        <f>IFERROR(AH45/AH46,"")</f>
        <v/>
      </c>
      <c r="AS45" s="229"/>
      <c r="AT45" s="229"/>
      <c r="AU45" s="229"/>
      <c r="AV45" s="229"/>
      <c r="AW45" s="230"/>
    </row>
    <row r="46" spans="2:53" ht="22.5" customHeight="1" x14ac:dyDescent="0.25">
      <c r="B46" s="162" t="s">
        <v>6037</v>
      </c>
      <c r="C46" s="163"/>
      <c r="D46" s="163"/>
      <c r="E46" s="163"/>
      <c r="F46" s="163"/>
      <c r="G46" s="163"/>
      <c r="H46" s="163"/>
      <c r="I46" s="215"/>
      <c r="J46" s="231">
        <f>SUM(T15:Y26)</f>
        <v>0</v>
      </c>
      <c r="K46" s="232"/>
      <c r="L46" s="232"/>
      <c r="M46" s="232"/>
      <c r="N46" s="232"/>
      <c r="O46" s="232"/>
      <c r="P46" s="232"/>
      <c r="Q46" s="233"/>
      <c r="R46" s="234">
        <f>SUMPRODUCT(K15:K26,T15:T26)</f>
        <v>0</v>
      </c>
      <c r="S46" s="235"/>
      <c r="T46" s="235"/>
      <c r="U46" s="235"/>
      <c r="V46" s="235"/>
      <c r="W46" s="235"/>
      <c r="X46" s="235"/>
      <c r="Y46" s="235"/>
      <c r="Z46" s="235"/>
      <c r="AA46" s="235"/>
      <c r="AB46" s="235"/>
      <c r="AC46" s="235"/>
      <c r="AD46" s="235"/>
      <c r="AE46" s="235"/>
      <c r="AF46" s="235"/>
      <c r="AG46" s="236"/>
      <c r="AH46" s="237">
        <f>SUMPRODUCT(K15:K26,T15:T26,Z15:Z26)</f>
        <v>0</v>
      </c>
      <c r="AI46" s="237"/>
      <c r="AJ46" s="237"/>
      <c r="AK46" s="237"/>
      <c r="AL46" s="237"/>
      <c r="AM46" s="237"/>
      <c r="AN46" s="237"/>
      <c r="AO46" s="237"/>
      <c r="AP46" s="237"/>
      <c r="AQ46" s="237"/>
      <c r="AR46" s="237"/>
      <c r="AS46" s="237"/>
      <c r="AT46" s="237"/>
      <c r="AU46" s="237"/>
      <c r="AV46" s="237"/>
      <c r="AW46" s="237"/>
    </row>
    <row r="47" spans="2:53" ht="18.75" customHeight="1" x14ac:dyDescent="0.25">
      <c r="I47" s="48"/>
      <c r="AG47" s="48"/>
    </row>
    <row r="48" spans="2:53" ht="22.5" customHeight="1" thickBot="1" x14ac:dyDescent="0.3">
      <c r="B48" s="134" t="s">
        <v>6088</v>
      </c>
      <c r="C48" s="135"/>
      <c r="D48" s="135"/>
      <c r="E48" s="135"/>
      <c r="F48" s="135"/>
      <c r="G48" s="135"/>
      <c r="H48" s="135"/>
      <c r="I48" s="135"/>
      <c r="J48" s="257"/>
      <c r="K48" s="257"/>
      <c r="L48" s="257"/>
      <c r="M48" s="257"/>
      <c r="N48" s="257"/>
      <c r="O48" s="257"/>
      <c r="P48" s="257"/>
      <c r="Q48" s="258"/>
      <c r="Z48" s="134" t="s">
        <v>6091</v>
      </c>
      <c r="AA48" s="135"/>
      <c r="AB48" s="135"/>
      <c r="AC48" s="135"/>
      <c r="AD48" s="135"/>
      <c r="AE48" s="135"/>
      <c r="AF48" s="135"/>
      <c r="AG48" s="135"/>
      <c r="AH48" s="135" t="s">
        <v>6092</v>
      </c>
      <c r="AI48" s="135"/>
      <c r="AJ48" s="135"/>
      <c r="AK48" s="135"/>
      <c r="AL48" s="135"/>
      <c r="AM48" s="135"/>
      <c r="AN48" s="135"/>
      <c r="AO48" s="136"/>
    </row>
    <row r="49" spans="2:49" ht="22.5" customHeight="1" thickBot="1" x14ac:dyDescent="0.3">
      <c r="B49" s="159" t="s">
        <v>6089</v>
      </c>
      <c r="C49" s="160"/>
      <c r="D49" s="160"/>
      <c r="E49" s="160"/>
      <c r="F49" s="160"/>
      <c r="G49" s="160"/>
      <c r="H49" s="160"/>
      <c r="I49" s="160"/>
      <c r="J49" s="155"/>
      <c r="K49" s="155"/>
      <c r="L49" s="155"/>
      <c r="M49" s="155"/>
      <c r="N49" s="155"/>
      <c r="O49" s="155"/>
      <c r="P49" s="155"/>
      <c r="Q49" s="259"/>
      <c r="Z49" s="253" t="str">
        <f>IFERROR(R46/J49,"")</f>
        <v/>
      </c>
      <c r="AA49" s="254"/>
      <c r="AB49" s="254"/>
      <c r="AC49" s="254"/>
      <c r="AD49" s="254"/>
      <c r="AE49" s="254"/>
      <c r="AF49" s="254"/>
      <c r="AG49" s="254"/>
      <c r="AH49" s="255" t="str">
        <f>IFERROR(J50/J48,"")</f>
        <v/>
      </c>
      <c r="AI49" s="255"/>
      <c r="AJ49" s="255"/>
      <c r="AK49" s="255"/>
      <c r="AL49" s="255"/>
      <c r="AM49" s="255"/>
      <c r="AN49" s="255"/>
      <c r="AO49" s="256"/>
    </row>
    <row r="50" spans="2:49" ht="22.5" customHeight="1" x14ac:dyDescent="0.25">
      <c r="B50" s="162" t="s">
        <v>6090</v>
      </c>
      <c r="C50" s="163"/>
      <c r="D50" s="163"/>
      <c r="E50" s="163"/>
      <c r="F50" s="163"/>
      <c r="G50" s="163"/>
      <c r="H50" s="163"/>
      <c r="I50" s="163"/>
      <c r="J50" s="170"/>
      <c r="K50" s="170"/>
      <c r="L50" s="170"/>
      <c r="M50" s="170"/>
      <c r="N50" s="170"/>
      <c r="O50" s="170"/>
      <c r="P50" s="170"/>
      <c r="Q50" s="260"/>
    </row>
    <row r="51" spans="2:49" ht="18.75" customHeight="1" x14ac:dyDescent="0.25">
      <c r="J51" s="69"/>
      <c r="K51" s="69"/>
      <c r="L51" s="69"/>
      <c r="M51" s="69"/>
      <c r="N51" s="69"/>
      <c r="O51" s="69"/>
      <c r="P51" s="69"/>
      <c r="Q51" s="69"/>
    </row>
    <row r="52" spans="2:49" ht="26.25" customHeight="1" x14ac:dyDescent="0.25">
      <c r="B52" s="94" t="s">
        <v>6018</v>
      </c>
      <c r="C52" s="47"/>
      <c r="D52" s="47"/>
      <c r="E52" s="47"/>
      <c r="F52" s="47"/>
      <c r="G52" s="47"/>
      <c r="H52" s="47"/>
      <c r="I52" s="47"/>
      <c r="J52" s="70"/>
      <c r="K52" s="70"/>
      <c r="L52" s="70"/>
      <c r="M52" s="70"/>
      <c r="N52" s="70"/>
      <c r="O52" s="70"/>
      <c r="P52" s="70"/>
      <c r="Q52" s="70"/>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row>
    <row r="53" spans="2:49" ht="3.75" customHeight="1" x14ac:dyDescent="0.25">
      <c r="J53" s="69"/>
      <c r="K53" s="69"/>
      <c r="L53" s="69"/>
      <c r="M53" s="69"/>
      <c r="N53" s="69"/>
      <c r="O53" s="69"/>
      <c r="P53" s="69"/>
      <c r="Q53" s="69"/>
    </row>
    <row r="54" spans="2:49" ht="22.5" customHeight="1" thickBot="1" x14ac:dyDescent="0.3">
      <c r="B54" s="134" t="s">
        <v>6056</v>
      </c>
      <c r="C54" s="135"/>
      <c r="D54" s="135"/>
      <c r="E54" s="135"/>
      <c r="F54" s="135"/>
      <c r="G54" s="135"/>
      <c r="H54" s="135"/>
      <c r="I54" s="135"/>
      <c r="J54" s="178">
        <f>AH45</f>
        <v>0</v>
      </c>
      <c r="K54" s="178"/>
      <c r="L54" s="178"/>
      <c r="M54" s="178"/>
      <c r="N54" s="178"/>
      <c r="O54" s="178"/>
      <c r="P54" s="178"/>
      <c r="Q54" s="179"/>
    </row>
    <row r="55" spans="2:49" ht="22.5" customHeight="1" thickBot="1" x14ac:dyDescent="0.3">
      <c r="B55" s="159" t="s">
        <v>6100</v>
      </c>
      <c r="C55" s="160"/>
      <c r="D55" s="160"/>
      <c r="E55" s="160"/>
      <c r="F55" s="160"/>
      <c r="G55" s="160"/>
      <c r="H55" s="160"/>
      <c r="I55" s="160"/>
      <c r="J55" s="145"/>
      <c r="K55" s="145"/>
      <c r="L55" s="145"/>
      <c r="M55" s="145"/>
      <c r="N55" s="145"/>
      <c r="O55" s="145"/>
      <c r="P55" s="145"/>
      <c r="Q55" s="183"/>
      <c r="Z55" s="174" t="s">
        <v>6093</v>
      </c>
      <c r="AA55" s="174"/>
      <c r="AB55" s="174"/>
      <c r="AC55" s="174"/>
      <c r="AD55" s="174"/>
      <c r="AE55" s="174"/>
      <c r="AF55" s="174"/>
      <c r="AG55" s="174"/>
      <c r="AH55" s="174"/>
      <c r="AI55" s="174"/>
      <c r="AJ55" s="174"/>
      <c r="AK55" s="174"/>
      <c r="AL55" s="174"/>
      <c r="AM55" s="174"/>
      <c r="AN55" s="174"/>
      <c r="AO55" s="174"/>
    </row>
    <row r="56" spans="2:49" ht="22.5" customHeight="1" thickBot="1" x14ac:dyDescent="0.3">
      <c r="B56" s="159" t="s">
        <v>6101</v>
      </c>
      <c r="C56" s="160"/>
      <c r="D56" s="160"/>
      <c r="E56" s="160"/>
      <c r="F56" s="160"/>
      <c r="G56" s="160"/>
      <c r="H56" s="160"/>
      <c r="I56" s="160"/>
      <c r="J56" s="145"/>
      <c r="K56" s="145"/>
      <c r="L56" s="145"/>
      <c r="M56" s="145"/>
      <c r="N56" s="145"/>
      <c r="O56" s="145"/>
      <c r="P56" s="145"/>
      <c r="Q56" s="183"/>
      <c r="Z56" s="175">
        <f>SUM(J54:Q57)</f>
        <v>0</v>
      </c>
      <c r="AA56" s="176"/>
      <c r="AB56" s="176"/>
      <c r="AC56" s="176"/>
      <c r="AD56" s="176"/>
      <c r="AE56" s="176"/>
      <c r="AF56" s="176"/>
      <c r="AG56" s="176"/>
      <c r="AH56" s="176"/>
      <c r="AI56" s="176"/>
      <c r="AJ56" s="176"/>
      <c r="AK56" s="176"/>
      <c r="AL56" s="176"/>
      <c r="AM56" s="176"/>
      <c r="AN56" s="176"/>
      <c r="AO56" s="176"/>
    </row>
    <row r="57" spans="2:49" ht="22.5" customHeight="1" thickBot="1" x14ac:dyDescent="0.3">
      <c r="B57" s="159" t="s">
        <v>6102</v>
      </c>
      <c r="C57" s="160"/>
      <c r="D57" s="160"/>
      <c r="E57" s="160"/>
      <c r="F57" s="160"/>
      <c r="G57" s="160"/>
      <c r="H57" s="160"/>
      <c r="I57" s="160"/>
      <c r="J57" s="145"/>
      <c r="K57" s="145"/>
      <c r="L57" s="145"/>
      <c r="M57" s="145"/>
      <c r="N57" s="145"/>
      <c r="O57" s="145"/>
      <c r="P57" s="145"/>
      <c r="Q57" s="183"/>
      <c r="Z57" s="173" t="str">
        <f>IFERROR(Z56/J48,"")</f>
        <v/>
      </c>
      <c r="AA57" s="173"/>
      <c r="AB57" s="173"/>
      <c r="AC57" s="173"/>
      <c r="AD57" s="173"/>
      <c r="AE57" s="173"/>
      <c r="AF57" s="173"/>
      <c r="AG57" s="173"/>
      <c r="AH57" s="173"/>
      <c r="AI57" s="173"/>
      <c r="AJ57" s="173"/>
      <c r="AK57" s="173"/>
      <c r="AL57" s="173"/>
      <c r="AM57" s="173"/>
      <c r="AN57" s="173"/>
      <c r="AO57" s="173"/>
    </row>
    <row r="58" spans="2:49" ht="22.5" customHeight="1" x14ac:dyDescent="0.25">
      <c r="B58" s="162" t="s">
        <v>6103</v>
      </c>
      <c r="C58" s="163"/>
      <c r="D58" s="163"/>
      <c r="E58" s="163"/>
      <c r="F58" s="163"/>
      <c r="G58" s="163"/>
      <c r="H58" s="163"/>
      <c r="I58" s="163"/>
      <c r="J58" s="181"/>
      <c r="K58" s="182"/>
      <c r="L58" s="182"/>
      <c r="M58" s="154"/>
      <c r="N58" s="116">
        <f>(SUM(J54:K57))*J58</f>
        <v>0</v>
      </c>
      <c r="O58" s="180"/>
      <c r="P58" s="180"/>
      <c r="Q58" s="180"/>
    </row>
    <row r="59" spans="2:49" ht="22.5" customHeight="1" x14ac:dyDescent="0.25"/>
    <row r="60" spans="2:49" ht="22.5" customHeight="1" thickBot="1" x14ac:dyDescent="0.3">
      <c r="B60" s="134" t="s">
        <v>6095</v>
      </c>
      <c r="C60" s="135"/>
      <c r="D60" s="135"/>
      <c r="E60" s="135"/>
      <c r="F60" s="135"/>
      <c r="G60" s="135"/>
      <c r="H60" s="135"/>
      <c r="I60" s="135"/>
      <c r="J60" s="177"/>
      <c r="K60" s="177"/>
      <c r="L60" s="177"/>
      <c r="M60" s="177"/>
      <c r="N60" s="178">
        <f>J60*J48</f>
        <v>0</v>
      </c>
      <c r="O60" s="178"/>
      <c r="P60" s="178"/>
      <c r="Q60" s="179"/>
    </row>
    <row r="61" spans="2:49" ht="22.5" customHeight="1" thickBot="1" x14ac:dyDescent="0.3">
      <c r="B61" s="162" t="s">
        <v>6094</v>
      </c>
      <c r="C61" s="163"/>
      <c r="D61" s="163"/>
      <c r="E61" s="163"/>
      <c r="F61" s="163"/>
      <c r="G61" s="163"/>
      <c r="H61" s="163"/>
      <c r="I61" s="163"/>
      <c r="J61" s="114"/>
      <c r="K61" s="114"/>
      <c r="L61" s="114"/>
      <c r="M61" s="114"/>
      <c r="N61" s="115">
        <f>N60*J61</f>
        <v>0</v>
      </c>
      <c r="O61" s="115"/>
      <c r="P61" s="115"/>
      <c r="Q61" s="116"/>
      <c r="Z61" s="174" t="s">
        <v>6098</v>
      </c>
      <c r="AA61" s="174"/>
      <c r="AB61" s="174"/>
      <c r="AC61" s="174"/>
      <c r="AD61" s="174"/>
      <c r="AE61" s="174"/>
      <c r="AF61" s="174"/>
      <c r="AG61" s="174"/>
      <c r="AH61" s="174"/>
      <c r="AI61" s="174"/>
      <c r="AJ61" s="174"/>
      <c r="AK61" s="174"/>
      <c r="AL61" s="174"/>
      <c r="AM61" s="174"/>
      <c r="AN61" s="174"/>
      <c r="AO61" s="174"/>
    </row>
    <row r="62" spans="2:49" ht="22.5" customHeight="1" thickBot="1" x14ac:dyDescent="0.3">
      <c r="Z62" s="175">
        <f>SUM(J54:Q57,N58,N61,J63:Q64)</f>
        <v>0</v>
      </c>
      <c r="AA62" s="175"/>
      <c r="AB62" s="175"/>
      <c r="AC62" s="175"/>
      <c r="AD62" s="175"/>
      <c r="AE62" s="175"/>
      <c r="AF62" s="175"/>
      <c r="AG62" s="175"/>
      <c r="AH62" s="175"/>
      <c r="AI62" s="175"/>
      <c r="AJ62" s="175"/>
      <c r="AK62" s="175"/>
      <c r="AL62" s="175"/>
      <c r="AM62" s="175"/>
      <c r="AN62" s="175"/>
      <c r="AO62" s="175"/>
    </row>
    <row r="63" spans="2:49" ht="22.5" customHeight="1" thickBot="1" x14ac:dyDescent="0.3">
      <c r="B63" s="134" t="s">
        <v>6096</v>
      </c>
      <c r="C63" s="135"/>
      <c r="D63" s="135"/>
      <c r="E63" s="135"/>
      <c r="F63" s="135"/>
      <c r="G63" s="135"/>
      <c r="H63" s="135"/>
      <c r="I63" s="135"/>
      <c r="J63" s="261"/>
      <c r="K63" s="261"/>
      <c r="L63" s="261"/>
      <c r="M63" s="261"/>
      <c r="N63" s="261"/>
      <c r="O63" s="261"/>
      <c r="P63" s="261"/>
      <c r="Q63" s="262"/>
      <c r="Z63" s="173" t="str">
        <f>IFERROR(Z62/J48,"")</f>
        <v/>
      </c>
      <c r="AA63" s="173"/>
      <c r="AB63" s="173"/>
      <c r="AC63" s="173"/>
      <c r="AD63" s="173"/>
      <c r="AE63" s="173"/>
      <c r="AF63" s="173"/>
      <c r="AG63" s="173"/>
      <c r="AH63" s="173"/>
      <c r="AI63" s="173"/>
      <c r="AJ63" s="173"/>
      <c r="AK63" s="173"/>
      <c r="AL63" s="173"/>
      <c r="AM63" s="173"/>
      <c r="AN63" s="173"/>
      <c r="AO63" s="173"/>
    </row>
    <row r="64" spans="2:49" ht="22.5" customHeight="1" x14ac:dyDescent="0.25">
      <c r="B64" s="162" t="s">
        <v>6097</v>
      </c>
      <c r="C64" s="163"/>
      <c r="D64" s="163"/>
      <c r="E64" s="163"/>
      <c r="F64" s="163"/>
      <c r="G64" s="163"/>
      <c r="H64" s="163"/>
      <c r="I64" s="163"/>
      <c r="J64" s="129"/>
      <c r="K64" s="129"/>
      <c r="L64" s="129"/>
      <c r="M64" s="129"/>
      <c r="N64" s="129"/>
      <c r="O64" s="129"/>
      <c r="P64" s="129"/>
      <c r="Q64" s="130"/>
    </row>
    <row r="65" spans="2:49" ht="18.75" customHeight="1" x14ac:dyDescent="0.25"/>
    <row r="66" spans="2:49" ht="26.25" customHeight="1" x14ac:dyDescent="0.25">
      <c r="B66" s="94" t="s">
        <v>6099</v>
      </c>
      <c r="C66" s="47"/>
      <c r="D66" s="47"/>
      <c r="E66" s="47"/>
      <c r="F66" s="47"/>
      <c r="G66" s="47"/>
      <c r="H66" s="47"/>
      <c r="I66" s="47"/>
      <c r="J66" s="70"/>
      <c r="K66" s="70"/>
      <c r="L66" s="70"/>
      <c r="M66" s="70"/>
      <c r="N66" s="70"/>
      <c r="O66" s="70"/>
      <c r="P66" s="70"/>
      <c r="Q66" s="70"/>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row>
    <row r="67" spans="2:49" ht="3.75" customHeight="1" x14ac:dyDescent="0.25">
      <c r="J67" s="69"/>
      <c r="K67" s="69"/>
      <c r="L67" s="69"/>
      <c r="M67" s="69"/>
      <c r="N67" s="69"/>
      <c r="O67" s="69"/>
      <c r="P67" s="69"/>
      <c r="Q67" s="69"/>
    </row>
    <row r="68" spans="2:49" ht="22.5" customHeight="1" thickBot="1" x14ac:dyDescent="0.3">
      <c r="B68" s="134" t="s">
        <v>6105</v>
      </c>
      <c r="C68" s="135"/>
      <c r="D68" s="135"/>
      <c r="E68" s="135"/>
      <c r="F68" s="135"/>
      <c r="G68" s="135"/>
      <c r="H68" s="135"/>
      <c r="I68" s="135"/>
      <c r="J68" s="135"/>
      <c r="K68" s="135"/>
      <c r="L68" s="135"/>
      <c r="M68" s="135"/>
      <c r="N68" s="135"/>
      <c r="O68" s="135"/>
      <c r="P68" s="135"/>
      <c r="Q68" s="135"/>
      <c r="R68" s="125" t="s">
        <v>6233</v>
      </c>
      <c r="S68" s="125"/>
      <c r="T68" s="125"/>
      <c r="U68" s="125"/>
      <c r="V68" s="126"/>
    </row>
    <row r="69" spans="2:49" ht="22.5" customHeight="1" thickBot="1" x14ac:dyDescent="0.3">
      <c r="B69" s="159" t="s">
        <v>6106</v>
      </c>
      <c r="C69" s="160"/>
      <c r="D69" s="160"/>
      <c r="E69" s="160"/>
      <c r="F69" s="160"/>
      <c r="G69" s="160"/>
      <c r="H69" s="160"/>
      <c r="I69" s="160"/>
      <c r="J69" s="160"/>
      <c r="K69" s="160"/>
      <c r="L69" s="160"/>
      <c r="M69" s="160"/>
      <c r="N69" s="160"/>
      <c r="O69" s="160"/>
      <c r="P69" s="160"/>
      <c r="Q69" s="160"/>
      <c r="R69" s="127"/>
      <c r="S69" s="127"/>
      <c r="T69" s="127"/>
      <c r="U69" s="127"/>
      <c r="V69" s="128"/>
    </row>
    <row r="70" spans="2:49" ht="22.5" customHeight="1" x14ac:dyDescent="0.25">
      <c r="B70" s="162" t="s">
        <v>6107</v>
      </c>
      <c r="C70" s="163"/>
      <c r="D70" s="163"/>
      <c r="E70" s="163"/>
      <c r="F70" s="163"/>
      <c r="G70" s="163"/>
      <c r="H70" s="163"/>
      <c r="I70" s="163"/>
      <c r="J70" s="163"/>
      <c r="K70" s="163"/>
      <c r="L70" s="163"/>
      <c r="M70" s="163"/>
      <c r="N70" s="163"/>
      <c r="O70" s="163"/>
      <c r="P70" s="163"/>
      <c r="Q70" s="163"/>
      <c r="R70" s="129"/>
      <c r="S70" s="129"/>
      <c r="T70" s="129"/>
      <c r="U70" s="129"/>
      <c r="V70" s="130"/>
    </row>
    <row r="71" spans="2:49" ht="3.75" customHeight="1" thickBot="1" x14ac:dyDescent="0.3">
      <c r="R71" s="131"/>
      <c r="S71" s="131"/>
      <c r="T71" s="131"/>
      <c r="U71" s="131"/>
      <c r="V71" s="131"/>
    </row>
    <row r="72" spans="2:49" ht="22.5" customHeight="1" x14ac:dyDescent="0.25">
      <c r="B72" s="109" t="s">
        <v>6108</v>
      </c>
      <c r="C72" s="110"/>
      <c r="D72" s="110"/>
      <c r="E72" s="110"/>
      <c r="F72" s="110"/>
      <c r="G72" s="110"/>
      <c r="H72" s="110"/>
      <c r="I72" s="110"/>
      <c r="J72" s="110"/>
      <c r="K72" s="110"/>
      <c r="L72" s="110"/>
      <c r="M72" s="110"/>
      <c r="N72" s="110"/>
      <c r="O72" s="110"/>
      <c r="P72" s="110"/>
      <c r="Q72" s="110"/>
      <c r="R72" s="129"/>
      <c r="S72" s="129"/>
      <c r="T72" s="129"/>
      <c r="U72" s="129"/>
      <c r="V72" s="130"/>
    </row>
    <row r="73" spans="2:49" ht="18.75" customHeight="1" x14ac:dyDescent="0.25"/>
    <row r="74" spans="2:49" ht="22.5" customHeight="1" thickBot="1" x14ac:dyDescent="0.3">
      <c r="B74" s="134" t="s">
        <v>6044</v>
      </c>
      <c r="C74" s="135"/>
      <c r="D74" s="135"/>
      <c r="E74" s="135"/>
      <c r="F74" s="135"/>
      <c r="G74" s="135"/>
      <c r="H74" s="135"/>
      <c r="I74" s="135"/>
      <c r="J74" s="135"/>
      <c r="K74" s="135"/>
      <c r="L74" s="135"/>
      <c r="M74" s="135" t="s">
        <v>6104</v>
      </c>
      <c r="N74" s="135"/>
      <c r="O74" s="135"/>
      <c r="P74" s="135"/>
      <c r="Q74" s="135"/>
      <c r="R74" s="135" t="s">
        <v>6130</v>
      </c>
      <c r="S74" s="135"/>
      <c r="T74" s="135"/>
      <c r="U74" s="135"/>
      <c r="V74" s="135"/>
      <c r="W74" s="135" t="s">
        <v>6109</v>
      </c>
      <c r="X74" s="135"/>
      <c r="Y74" s="135"/>
      <c r="Z74" s="135"/>
      <c r="AA74" s="135"/>
      <c r="AB74" s="135" t="s">
        <v>6132</v>
      </c>
      <c r="AC74" s="135"/>
      <c r="AD74" s="135"/>
      <c r="AE74" s="135"/>
      <c r="AF74" s="135"/>
      <c r="AG74" s="135" t="s">
        <v>6111</v>
      </c>
      <c r="AH74" s="135"/>
      <c r="AI74" s="135"/>
      <c r="AJ74" s="135"/>
      <c r="AK74" s="135"/>
      <c r="AL74" s="135"/>
      <c r="AM74" s="135"/>
      <c r="AN74" s="135"/>
      <c r="AO74" s="135"/>
      <c r="AP74" s="135"/>
      <c r="AQ74" s="135"/>
      <c r="AR74" s="135"/>
      <c r="AS74" s="135"/>
      <c r="AT74" s="135"/>
      <c r="AU74" s="135"/>
      <c r="AV74" s="135"/>
      <c r="AW74" s="136"/>
    </row>
    <row r="75" spans="2:49" ht="22.5" customHeight="1" thickBot="1" x14ac:dyDescent="0.3">
      <c r="B75" s="142" t="s">
        <v>6112</v>
      </c>
      <c r="C75" s="133"/>
      <c r="D75" s="133"/>
      <c r="E75" s="133"/>
      <c r="F75" s="133"/>
      <c r="G75" s="133"/>
      <c r="H75" s="133"/>
      <c r="I75" s="133"/>
      <c r="J75" s="133"/>
      <c r="K75" s="133"/>
      <c r="L75" s="133"/>
      <c r="M75" s="155"/>
      <c r="N75" s="155"/>
      <c r="O75" s="155"/>
      <c r="P75" s="155"/>
      <c r="Q75" s="155"/>
      <c r="R75" s="133" t="s">
        <v>6113</v>
      </c>
      <c r="S75" s="133"/>
      <c r="T75" s="133"/>
      <c r="U75" s="133"/>
      <c r="V75" s="133"/>
      <c r="W75" s="143"/>
      <c r="X75" s="143"/>
      <c r="Y75" s="143"/>
      <c r="Z75" s="143"/>
      <c r="AA75" s="143"/>
      <c r="AB75" s="171" t="str">
        <f>IF(M75="","",IF(W75="","",W75*M75))</f>
        <v/>
      </c>
      <c r="AC75" s="171"/>
      <c r="AD75" s="171"/>
      <c r="AE75" s="171"/>
      <c r="AF75" s="171"/>
      <c r="AG75" s="121"/>
      <c r="AH75" s="121"/>
      <c r="AI75" s="121"/>
      <c r="AJ75" s="121"/>
      <c r="AK75" s="121"/>
      <c r="AL75" s="121"/>
      <c r="AM75" s="121"/>
      <c r="AN75" s="121"/>
      <c r="AO75" s="121"/>
      <c r="AP75" s="121"/>
      <c r="AQ75" s="121"/>
      <c r="AR75" s="121"/>
      <c r="AS75" s="121"/>
      <c r="AT75" s="121"/>
      <c r="AU75" s="121"/>
      <c r="AV75" s="121"/>
      <c r="AW75" s="122"/>
    </row>
    <row r="76" spans="2:49" ht="22.5" customHeight="1" thickBot="1" x14ac:dyDescent="0.3">
      <c r="B76" s="142" t="s">
        <v>6134</v>
      </c>
      <c r="C76" s="133"/>
      <c r="D76" s="133"/>
      <c r="E76" s="133"/>
      <c r="F76" s="133"/>
      <c r="G76" s="133"/>
      <c r="H76" s="133"/>
      <c r="I76" s="133"/>
      <c r="J76" s="133"/>
      <c r="K76" s="133"/>
      <c r="L76" s="133"/>
      <c r="M76" s="155"/>
      <c r="N76" s="155"/>
      <c r="O76" s="155"/>
      <c r="P76" s="155"/>
      <c r="Q76" s="155"/>
      <c r="R76" s="133" t="s">
        <v>6113</v>
      </c>
      <c r="S76" s="133"/>
      <c r="T76" s="133"/>
      <c r="U76" s="133"/>
      <c r="V76" s="133"/>
      <c r="W76" s="143"/>
      <c r="X76" s="143"/>
      <c r="Y76" s="143"/>
      <c r="Z76" s="143"/>
      <c r="AA76" s="143"/>
      <c r="AB76" s="171" t="str">
        <f t="shared" ref="AB76:AB88" si="7">IF(M76="","",IF(W76="","",W76*M76))</f>
        <v/>
      </c>
      <c r="AC76" s="171"/>
      <c r="AD76" s="171"/>
      <c r="AE76" s="171"/>
      <c r="AF76" s="171"/>
      <c r="AG76" s="121"/>
      <c r="AH76" s="121"/>
      <c r="AI76" s="121"/>
      <c r="AJ76" s="121"/>
      <c r="AK76" s="121"/>
      <c r="AL76" s="121"/>
      <c r="AM76" s="121"/>
      <c r="AN76" s="121"/>
      <c r="AO76" s="121"/>
      <c r="AP76" s="121"/>
      <c r="AQ76" s="121"/>
      <c r="AR76" s="121"/>
      <c r="AS76" s="121"/>
      <c r="AT76" s="121"/>
      <c r="AU76" s="121"/>
      <c r="AV76" s="121"/>
      <c r="AW76" s="122"/>
    </row>
    <row r="77" spans="2:49" ht="22.5" customHeight="1" thickBot="1" x14ac:dyDescent="0.3">
      <c r="B77" s="142" t="s">
        <v>6114</v>
      </c>
      <c r="C77" s="133"/>
      <c r="D77" s="133"/>
      <c r="E77" s="133"/>
      <c r="F77" s="133"/>
      <c r="G77" s="133"/>
      <c r="H77" s="133"/>
      <c r="I77" s="133"/>
      <c r="J77" s="133"/>
      <c r="K77" s="133"/>
      <c r="L77" s="133"/>
      <c r="M77" s="155"/>
      <c r="N77" s="155"/>
      <c r="O77" s="155"/>
      <c r="P77" s="155"/>
      <c r="Q77" s="155"/>
      <c r="R77" s="133" t="s">
        <v>6113</v>
      </c>
      <c r="S77" s="133"/>
      <c r="T77" s="133"/>
      <c r="U77" s="133"/>
      <c r="V77" s="133"/>
      <c r="W77" s="143"/>
      <c r="X77" s="143"/>
      <c r="Y77" s="143"/>
      <c r="Z77" s="143"/>
      <c r="AA77" s="143"/>
      <c r="AB77" s="171" t="str">
        <f t="shared" si="7"/>
        <v/>
      </c>
      <c r="AC77" s="171"/>
      <c r="AD77" s="171"/>
      <c r="AE77" s="171"/>
      <c r="AF77" s="171"/>
      <c r="AG77" s="121"/>
      <c r="AH77" s="121"/>
      <c r="AI77" s="121"/>
      <c r="AJ77" s="121"/>
      <c r="AK77" s="121"/>
      <c r="AL77" s="121"/>
      <c r="AM77" s="121"/>
      <c r="AN77" s="121"/>
      <c r="AO77" s="121"/>
      <c r="AP77" s="121"/>
      <c r="AQ77" s="121"/>
      <c r="AR77" s="121"/>
      <c r="AS77" s="121"/>
      <c r="AT77" s="121"/>
      <c r="AU77" s="121"/>
      <c r="AV77" s="121"/>
      <c r="AW77" s="122"/>
    </row>
    <row r="78" spans="2:49" ht="22.5" customHeight="1" thickBot="1" x14ac:dyDescent="0.3">
      <c r="B78" s="142" t="s">
        <v>6115</v>
      </c>
      <c r="C78" s="133"/>
      <c r="D78" s="133"/>
      <c r="E78" s="133"/>
      <c r="F78" s="133"/>
      <c r="G78" s="133"/>
      <c r="H78" s="133"/>
      <c r="I78" s="133"/>
      <c r="J78" s="133"/>
      <c r="K78" s="133"/>
      <c r="L78" s="133"/>
      <c r="M78" s="155"/>
      <c r="N78" s="155"/>
      <c r="O78" s="155"/>
      <c r="P78" s="155"/>
      <c r="Q78" s="155"/>
      <c r="R78" s="133" t="s">
        <v>6113</v>
      </c>
      <c r="S78" s="133"/>
      <c r="T78" s="133"/>
      <c r="U78" s="133"/>
      <c r="V78" s="133"/>
      <c r="W78" s="143"/>
      <c r="X78" s="143"/>
      <c r="Y78" s="143"/>
      <c r="Z78" s="143"/>
      <c r="AA78" s="143"/>
      <c r="AB78" s="171" t="str">
        <f t="shared" si="7"/>
        <v/>
      </c>
      <c r="AC78" s="171"/>
      <c r="AD78" s="171"/>
      <c r="AE78" s="171"/>
      <c r="AF78" s="171"/>
      <c r="AG78" s="121"/>
      <c r="AH78" s="121"/>
      <c r="AI78" s="121"/>
      <c r="AJ78" s="121"/>
      <c r="AK78" s="121"/>
      <c r="AL78" s="121"/>
      <c r="AM78" s="121"/>
      <c r="AN78" s="121"/>
      <c r="AO78" s="121"/>
      <c r="AP78" s="121"/>
      <c r="AQ78" s="121"/>
      <c r="AR78" s="121"/>
      <c r="AS78" s="121"/>
      <c r="AT78" s="121"/>
      <c r="AU78" s="121"/>
      <c r="AV78" s="121"/>
      <c r="AW78" s="122"/>
    </row>
    <row r="79" spans="2:49" ht="22.5" customHeight="1" thickBot="1" x14ac:dyDescent="0.3">
      <c r="B79" s="142" t="s">
        <v>6116</v>
      </c>
      <c r="C79" s="133"/>
      <c r="D79" s="133"/>
      <c r="E79" s="133"/>
      <c r="F79" s="133"/>
      <c r="G79" s="133"/>
      <c r="H79" s="133"/>
      <c r="I79" s="133"/>
      <c r="J79" s="133"/>
      <c r="K79" s="133"/>
      <c r="L79" s="133"/>
      <c r="M79" s="155"/>
      <c r="N79" s="155"/>
      <c r="O79" s="155"/>
      <c r="P79" s="155"/>
      <c r="Q79" s="155"/>
      <c r="R79" s="133" t="s">
        <v>6113</v>
      </c>
      <c r="S79" s="133"/>
      <c r="T79" s="133"/>
      <c r="U79" s="133"/>
      <c r="V79" s="133"/>
      <c r="W79" s="143"/>
      <c r="X79" s="143"/>
      <c r="Y79" s="143"/>
      <c r="Z79" s="143"/>
      <c r="AA79" s="143"/>
      <c r="AB79" s="171" t="str">
        <f t="shared" si="7"/>
        <v/>
      </c>
      <c r="AC79" s="171"/>
      <c r="AD79" s="171"/>
      <c r="AE79" s="171"/>
      <c r="AF79" s="171"/>
      <c r="AG79" s="121"/>
      <c r="AH79" s="121"/>
      <c r="AI79" s="121"/>
      <c r="AJ79" s="121"/>
      <c r="AK79" s="121"/>
      <c r="AL79" s="121"/>
      <c r="AM79" s="121"/>
      <c r="AN79" s="121"/>
      <c r="AO79" s="121"/>
      <c r="AP79" s="121"/>
      <c r="AQ79" s="121"/>
      <c r="AR79" s="121"/>
      <c r="AS79" s="121"/>
      <c r="AT79" s="121"/>
      <c r="AU79" s="121"/>
      <c r="AV79" s="121"/>
      <c r="AW79" s="122"/>
    </row>
    <row r="80" spans="2:49" ht="22.5" customHeight="1" thickBot="1" x14ac:dyDescent="0.3">
      <c r="B80" s="142" t="s">
        <v>6117</v>
      </c>
      <c r="C80" s="133"/>
      <c r="D80" s="133"/>
      <c r="E80" s="133"/>
      <c r="F80" s="133"/>
      <c r="G80" s="133"/>
      <c r="H80" s="133"/>
      <c r="I80" s="133"/>
      <c r="J80" s="133"/>
      <c r="K80" s="133"/>
      <c r="L80" s="133"/>
      <c r="M80" s="155"/>
      <c r="N80" s="155"/>
      <c r="O80" s="155"/>
      <c r="P80" s="155"/>
      <c r="Q80" s="155"/>
      <c r="R80" s="133" t="s">
        <v>6118</v>
      </c>
      <c r="S80" s="133"/>
      <c r="T80" s="133"/>
      <c r="U80" s="133"/>
      <c r="V80" s="133"/>
      <c r="W80" s="143"/>
      <c r="X80" s="143"/>
      <c r="Y80" s="143"/>
      <c r="Z80" s="143"/>
      <c r="AA80" s="143"/>
      <c r="AB80" s="171" t="str">
        <f t="shared" si="7"/>
        <v/>
      </c>
      <c r="AC80" s="171"/>
      <c r="AD80" s="171"/>
      <c r="AE80" s="171"/>
      <c r="AF80" s="171"/>
      <c r="AG80" s="121"/>
      <c r="AH80" s="121"/>
      <c r="AI80" s="121"/>
      <c r="AJ80" s="121"/>
      <c r="AK80" s="121"/>
      <c r="AL80" s="121"/>
      <c r="AM80" s="121"/>
      <c r="AN80" s="121"/>
      <c r="AO80" s="121"/>
      <c r="AP80" s="121"/>
      <c r="AQ80" s="121"/>
      <c r="AR80" s="121"/>
      <c r="AS80" s="121"/>
      <c r="AT80" s="121"/>
      <c r="AU80" s="121"/>
      <c r="AV80" s="121"/>
      <c r="AW80" s="122"/>
    </row>
    <row r="81" spans="2:53" ht="22.5" customHeight="1" thickBot="1" x14ac:dyDescent="0.3">
      <c r="B81" s="142" t="s">
        <v>6119</v>
      </c>
      <c r="C81" s="133"/>
      <c r="D81" s="133"/>
      <c r="E81" s="133"/>
      <c r="F81" s="133"/>
      <c r="G81" s="133"/>
      <c r="H81" s="133"/>
      <c r="I81" s="133"/>
      <c r="J81" s="133"/>
      <c r="K81" s="133"/>
      <c r="L81" s="133"/>
      <c r="M81" s="155"/>
      <c r="N81" s="155"/>
      <c r="O81" s="155"/>
      <c r="P81" s="155"/>
      <c r="Q81" s="155"/>
      <c r="R81" s="133" t="s">
        <v>6120</v>
      </c>
      <c r="S81" s="133"/>
      <c r="T81" s="133"/>
      <c r="U81" s="133"/>
      <c r="V81" s="133"/>
      <c r="W81" s="143"/>
      <c r="X81" s="143"/>
      <c r="Y81" s="143"/>
      <c r="Z81" s="143"/>
      <c r="AA81" s="143"/>
      <c r="AB81" s="171" t="str">
        <f t="shared" si="7"/>
        <v/>
      </c>
      <c r="AC81" s="171"/>
      <c r="AD81" s="171"/>
      <c r="AE81" s="171"/>
      <c r="AF81" s="171"/>
      <c r="AG81" s="121"/>
      <c r="AH81" s="121"/>
      <c r="AI81" s="121"/>
      <c r="AJ81" s="121"/>
      <c r="AK81" s="121"/>
      <c r="AL81" s="121"/>
      <c r="AM81" s="121"/>
      <c r="AN81" s="121"/>
      <c r="AO81" s="121"/>
      <c r="AP81" s="121"/>
      <c r="AQ81" s="121"/>
      <c r="AR81" s="121"/>
      <c r="AS81" s="121"/>
      <c r="AT81" s="121"/>
      <c r="AU81" s="121"/>
      <c r="AV81" s="121"/>
      <c r="AW81" s="122"/>
    </row>
    <row r="82" spans="2:53" ht="22.5" customHeight="1" thickBot="1" x14ac:dyDescent="0.3">
      <c r="B82" s="142" t="s">
        <v>6121</v>
      </c>
      <c r="C82" s="133"/>
      <c r="D82" s="133"/>
      <c r="E82" s="133"/>
      <c r="F82" s="133"/>
      <c r="G82" s="133"/>
      <c r="H82" s="133"/>
      <c r="I82" s="133"/>
      <c r="J82" s="133"/>
      <c r="K82" s="133"/>
      <c r="L82" s="133"/>
      <c r="M82" s="155"/>
      <c r="N82" s="155"/>
      <c r="O82" s="155"/>
      <c r="P82" s="155"/>
      <c r="Q82" s="155"/>
      <c r="R82" s="133" t="s">
        <v>6122</v>
      </c>
      <c r="S82" s="133"/>
      <c r="T82" s="133"/>
      <c r="U82" s="133"/>
      <c r="V82" s="133"/>
      <c r="W82" s="143"/>
      <c r="X82" s="143"/>
      <c r="Y82" s="143"/>
      <c r="Z82" s="143"/>
      <c r="AA82" s="143"/>
      <c r="AB82" s="171" t="str">
        <f t="shared" si="7"/>
        <v/>
      </c>
      <c r="AC82" s="171"/>
      <c r="AD82" s="171"/>
      <c r="AE82" s="171"/>
      <c r="AF82" s="171"/>
      <c r="AG82" s="121"/>
      <c r="AH82" s="121"/>
      <c r="AI82" s="121"/>
      <c r="AJ82" s="121"/>
      <c r="AK82" s="121"/>
      <c r="AL82" s="121"/>
      <c r="AM82" s="121"/>
      <c r="AN82" s="121"/>
      <c r="AO82" s="121"/>
      <c r="AP82" s="121"/>
      <c r="AQ82" s="121"/>
      <c r="AR82" s="121"/>
      <c r="AS82" s="121"/>
      <c r="AT82" s="121"/>
      <c r="AU82" s="121"/>
      <c r="AV82" s="121"/>
      <c r="AW82" s="122"/>
    </row>
    <row r="83" spans="2:53" ht="22.5" customHeight="1" thickBot="1" x14ac:dyDescent="0.3">
      <c r="B83" s="142" t="s">
        <v>6123</v>
      </c>
      <c r="C83" s="133"/>
      <c r="D83" s="133"/>
      <c r="E83" s="133"/>
      <c r="F83" s="133"/>
      <c r="G83" s="133"/>
      <c r="H83" s="133"/>
      <c r="I83" s="133"/>
      <c r="J83" s="133"/>
      <c r="K83" s="133"/>
      <c r="L83" s="133"/>
      <c r="M83" s="155"/>
      <c r="N83" s="155"/>
      <c r="O83" s="155"/>
      <c r="P83" s="155"/>
      <c r="Q83" s="155"/>
      <c r="R83" s="133" t="s">
        <v>6124</v>
      </c>
      <c r="S83" s="133"/>
      <c r="T83" s="133"/>
      <c r="U83" s="133"/>
      <c r="V83" s="133"/>
      <c r="W83" s="143"/>
      <c r="X83" s="143"/>
      <c r="Y83" s="143"/>
      <c r="Z83" s="143"/>
      <c r="AA83" s="143"/>
      <c r="AB83" s="171" t="str">
        <f t="shared" si="7"/>
        <v/>
      </c>
      <c r="AC83" s="171"/>
      <c r="AD83" s="171"/>
      <c r="AE83" s="171"/>
      <c r="AF83" s="171"/>
      <c r="AG83" s="121"/>
      <c r="AH83" s="121"/>
      <c r="AI83" s="121"/>
      <c r="AJ83" s="121"/>
      <c r="AK83" s="121"/>
      <c r="AL83" s="121"/>
      <c r="AM83" s="121"/>
      <c r="AN83" s="121"/>
      <c r="AO83" s="121"/>
      <c r="AP83" s="121"/>
      <c r="AQ83" s="121"/>
      <c r="AR83" s="121"/>
      <c r="AS83" s="121"/>
      <c r="AT83" s="121"/>
      <c r="AU83" s="121"/>
      <c r="AV83" s="121"/>
      <c r="AW83" s="122"/>
    </row>
    <row r="84" spans="2:53" ht="22.5" customHeight="1" thickBot="1" x14ac:dyDescent="0.3">
      <c r="B84" s="142" t="s">
        <v>6125</v>
      </c>
      <c r="C84" s="133"/>
      <c r="D84" s="133"/>
      <c r="E84" s="133"/>
      <c r="F84" s="133"/>
      <c r="G84" s="133"/>
      <c r="H84" s="133"/>
      <c r="I84" s="133"/>
      <c r="J84" s="133"/>
      <c r="K84" s="133"/>
      <c r="L84" s="133"/>
      <c r="M84" s="155"/>
      <c r="N84" s="155"/>
      <c r="O84" s="155"/>
      <c r="P84" s="155"/>
      <c r="Q84" s="155"/>
      <c r="R84" s="133" t="s">
        <v>6126</v>
      </c>
      <c r="S84" s="133"/>
      <c r="T84" s="133"/>
      <c r="U84" s="133"/>
      <c r="V84" s="133"/>
      <c r="W84" s="143"/>
      <c r="X84" s="143"/>
      <c r="Y84" s="143"/>
      <c r="Z84" s="143"/>
      <c r="AA84" s="143"/>
      <c r="AB84" s="171" t="str">
        <f t="shared" si="7"/>
        <v/>
      </c>
      <c r="AC84" s="171"/>
      <c r="AD84" s="171"/>
      <c r="AE84" s="171"/>
      <c r="AF84" s="171"/>
      <c r="AG84" s="121"/>
      <c r="AH84" s="121"/>
      <c r="AI84" s="121"/>
      <c r="AJ84" s="121"/>
      <c r="AK84" s="121"/>
      <c r="AL84" s="121"/>
      <c r="AM84" s="121"/>
      <c r="AN84" s="121"/>
      <c r="AO84" s="121"/>
      <c r="AP84" s="121"/>
      <c r="AQ84" s="121"/>
      <c r="AR84" s="121"/>
      <c r="AS84" s="121"/>
      <c r="AT84" s="121"/>
      <c r="AU84" s="121"/>
      <c r="AV84" s="121"/>
      <c r="AW84" s="122"/>
    </row>
    <row r="85" spans="2:53" ht="22.5" customHeight="1" thickBot="1" x14ac:dyDescent="0.3">
      <c r="B85" s="142" t="s">
        <v>6127</v>
      </c>
      <c r="C85" s="133"/>
      <c r="D85" s="133"/>
      <c r="E85" s="133"/>
      <c r="F85" s="133"/>
      <c r="G85" s="133"/>
      <c r="H85" s="133"/>
      <c r="I85" s="133"/>
      <c r="J85" s="133"/>
      <c r="K85" s="133"/>
      <c r="L85" s="133"/>
      <c r="M85" s="155"/>
      <c r="N85" s="155"/>
      <c r="O85" s="155"/>
      <c r="P85" s="155"/>
      <c r="Q85" s="155"/>
      <c r="R85" s="133" t="s">
        <v>6113</v>
      </c>
      <c r="S85" s="133"/>
      <c r="T85" s="133"/>
      <c r="U85" s="133"/>
      <c r="V85" s="133"/>
      <c r="W85" s="143"/>
      <c r="X85" s="143"/>
      <c r="Y85" s="143"/>
      <c r="Z85" s="143"/>
      <c r="AA85" s="143"/>
      <c r="AB85" s="171" t="str">
        <f t="shared" si="7"/>
        <v/>
      </c>
      <c r="AC85" s="171"/>
      <c r="AD85" s="171"/>
      <c r="AE85" s="171"/>
      <c r="AF85" s="171"/>
      <c r="AG85" s="121"/>
      <c r="AH85" s="121"/>
      <c r="AI85" s="121"/>
      <c r="AJ85" s="121"/>
      <c r="AK85" s="121"/>
      <c r="AL85" s="121"/>
      <c r="AM85" s="121"/>
      <c r="AN85" s="121"/>
      <c r="AO85" s="121"/>
      <c r="AP85" s="121"/>
      <c r="AQ85" s="121"/>
      <c r="AR85" s="121"/>
      <c r="AS85" s="121"/>
      <c r="AT85" s="121"/>
      <c r="AU85" s="121"/>
      <c r="AV85" s="121"/>
      <c r="AW85" s="122"/>
    </row>
    <row r="86" spans="2:53" ht="22.5" customHeight="1" thickBot="1" x14ac:dyDescent="0.3">
      <c r="B86" s="142" t="s">
        <v>6128</v>
      </c>
      <c r="C86" s="133"/>
      <c r="D86" s="133"/>
      <c r="E86" s="133"/>
      <c r="F86" s="133"/>
      <c r="G86" s="133"/>
      <c r="H86" s="133"/>
      <c r="I86" s="133"/>
      <c r="J86" s="133"/>
      <c r="K86" s="133"/>
      <c r="L86" s="133"/>
      <c r="M86" s="155"/>
      <c r="N86" s="155"/>
      <c r="O86" s="155"/>
      <c r="P86" s="155"/>
      <c r="Q86" s="155"/>
      <c r="R86" s="133" t="s">
        <v>6113</v>
      </c>
      <c r="S86" s="133"/>
      <c r="T86" s="133"/>
      <c r="U86" s="133"/>
      <c r="V86" s="133"/>
      <c r="W86" s="143"/>
      <c r="X86" s="143"/>
      <c r="Y86" s="143"/>
      <c r="Z86" s="143"/>
      <c r="AA86" s="143"/>
      <c r="AB86" s="171" t="str">
        <f t="shared" si="7"/>
        <v/>
      </c>
      <c r="AC86" s="171"/>
      <c r="AD86" s="171"/>
      <c r="AE86" s="171"/>
      <c r="AF86" s="171"/>
      <c r="AG86" s="121"/>
      <c r="AH86" s="121"/>
      <c r="AI86" s="121"/>
      <c r="AJ86" s="121"/>
      <c r="AK86" s="121"/>
      <c r="AL86" s="121"/>
      <c r="AM86" s="121"/>
      <c r="AN86" s="121"/>
      <c r="AO86" s="121"/>
      <c r="AP86" s="121"/>
      <c r="AQ86" s="121"/>
      <c r="AR86" s="121"/>
      <c r="AS86" s="121"/>
      <c r="AT86" s="121"/>
      <c r="AU86" s="121"/>
      <c r="AV86" s="121"/>
      <c r="AW86" s="122"/>
    </row>
    <row r="87" spans="2:53" ht="22.5" customHeight="1" thickBot="1" x14ac:dyDescent="0.3">
      <c r="B87" s="142" t="s">
        <v>6129</v>
      </c>
      <c r="C87" s="133"/>
      <c r="D87" s="133"/>
      <c r="E87" s="133"/>
      <c r="F87" s="133"/>
      <c r="G87" s="133"/>
      <c r="H87" s="133"/>
      <c r="I87" s="133"/>
      <c r="J87" s="133"/>
      <c r="K87" s="133"/>
      <c r="L87" s="133"/>
      <c r="M87" s="155"/>
      <c r="N87" s="155"/>
      <c r="O87" s="155"/>
      <c r="P87" s="155"/>
      <c r="Q87" s="155"/>
      <c r="R87" s="133" t="s">
        <v>6113</v>
      </c>
      <c r="S87" s="133"/>
      <c r="T87" s="133"/>
      <c r="U87" s="133"/>
      <c r="V87" s="133"/>
      <c r="W87" s="143"/>
      <c r="X87" s="143"/>
      <c r="Y87" s="143"/>
      <c r="Z87" s="143"/>
      <c r="AA87" s="143"/>
      <c r="AB87" s="171" t="str">
        <f t="shared" si="7"/>
        <v/>
      </c>
      <c r="AC87" s="171"/>
      <c r="AD87" s="171"/>
      <c r="AE87" s="171"/>
      <c r="AF87" s="171"/>
      <c r="AG87" s="121"/>
      <c r="AH87" s="121"/>
      <c r="AI87" s="121"/>
      <c r="AJ87" s="121"/>
      <c r="AK87" s="121"/>
      <c r="AL87" s="121"/>
      <c r="AM87" s="121"/>
      <c r="AN87" s="121"/>
      <c r="AO87" s="121"/>
      <c r="AP87" s="121"/>
      <c r="AQ87" s="121"/>
      <c r="AR87" s="121"/>
      <c r="AS87" s="121"/>
      <c r="AT87" s="121"/>
      <c r="AU87" s="121"/>
      <c r="AV87" s="121"/>
      <c r="AW87" s="122"/>
    </row>
    <row r="88" spans="2:53" ht="22.5" customHeight="1" x14ac:dyDescent="0.25">
      <c r="B88" s="172" t="s">
        <v>6133</v>
      </c>
      <c r="C88" s="115"/>
      <c r="D88" s="115"/>
      <c r="E88" s="115"/>
      <c r="F88" s="115"/>
      <c r="G88" s="115"/>
      <c r="H88" s="115"/>
      <c r="I88" s="115"/>
      <c r="J88" s="115"/>
      <c r="K88" s="115"/>
      <c r="L88" s="115"/>
      <c r="M88" s="170"/>
      <c r="N88" s="170"/>
      <c r="O88" s="170"/>
      <c r="P88" s="170"/>
      <c r="Q88" s="170"/>
      <c r="R88" s="115" t="s">
        <v>6113</v>
      </c>
      <c r="S88" s="115"/>
      <c r="T88" s="115"/>
      <c r="U88" s="115"/>
      <c r="V88" s="115"/>
      <c r="W88" s="150"/>
      <c r="X88" s="150"/>
      <c r="Y88" s="150"/>
      <c r="Z88" s="150"/>
      <c r="AA88" s="150"/>
      <c r="AB88" s="161" t="str">
        <f t="shared" si="7"/>
        <v/>
      </c>
      <c r="AC88" s="161"/>
      <c r="AD88" s="161"/>
      <c r="AE88" s="161"/>
      <c r="AF88" s="161"/>
      <c r="AG88" s="123"/>
      <c r="AH88" s="123"/>
      <c r="AI88" s="123"/>
      <c r="AJ88" s="123"/>
      <c r="AK88" s="123"/>
      <c r="AL88" s="123"/>
      <c r="AM88" s="123"/>
      <c r="AN88" s="123"/>
      <c r="AO88" s="123"/>
      <c r="AP88" s="123"/>
      <c r="AQ88" s="123"/>
      <c r="AR88" s="123"/>
      <c r="AS88" s="123"/>
      <c r="AT88" s="123"/>
      <c r="AU88" s="123"/>
      <c r="AV88" s="123"/>
      <c r="AW88" s="124"/>
    </row>
    <row r="89" spans="2:53" ht="3.75" customHeight="1" x14ac:dyDescent="0.25"/>
    <row r="90" spans="2:53" ht="22.5" customHeight="1" thickBot="1" x14ac:dyDescent="0.3">
      <c r="R90" s="134" t="s">
        <v>6110</v>
      </c>
      <c r="S90" s="135"/>
      <c r="T90" s="135"/>
      <c r="U90" s="135"/>
      <c r="V90" s="135"/>
      <c r="W90" s="135"/>
      <c r="X90" s="135"/>
      <c r="Y90" s="135"/>
      <c r="Z90" s="135"/>
      <c r="AA90" s="135"/>
      <c r="AB90" s="164">
        <f>SUM(AB75:AF88)</f>
        <v>0</v>
      </c>
      <c r="AC90" s="164"/>
      <c r="AD90" s="164"/>
      <c r="AE90" s="164"/>
      <c r="AF90" s="165"/>
    </row>
    <row r="91" spans="2:53" ht="22.5" customHeight="1" thickBot="1" x14ac:dyDescent="0.3">
      <c r="R91" s="159" t="s">
        <v>6135</v>
      </c>
      <c r="S91" s="160"/>
      <c r="T91" s="160"/>
      <c r="U91" s="160"/>
      <c r="V91" s="160"/>
      <c r="W91" s="160"/>
      <c r="X91" s="160"/>
      <c r="Y91" s="160"/>
      <c r="Z91" s="160"/>
      <c r="AA91" s="160"/>
      <c r="AB91" s="166">
        <f>J49-(SUM(M75:Q88)-M84-M88)</f>
        <v>0</v>
      </c>
      <c r="AC91" s="166"/>
      <c r="AD91" s="166"/>
      <c r="AE91" s="166"/>
      <c r="AF91" s="167"/>
    </row>
    <row r="92" spans="2:53" ht="22.5" customHeight="1" x14ac:dyDescent="0.25">
      <c r="R92" s="162" t="s">
        <v>6136</v>
      </c>
      <c r="S92" s="163"/>
      <c r="T92" s="163"/>
      <c r="U92" s="163"/>
      <c r="V92" s="163"/>
      <c r="W92" s="163"/>
      <c r="X92" s="163"/>
      <c r="Y92" s="163"/>
      <c r="Z92" s="163"/>
      <c r="AA92" s="163"/>
      <c r="AB92" s="168">
        <f>AB90+AB91</f>
        <v>0</v>
      </c>
      <c r="AC92" s="168"/>
      <c r="AD92" s="168"/>
      <c r="AE92" s="168"/>
      <c r="AF92" s="169"/>
    </row>
    <row r="93" spans="2:53" ht="18.75" customHeight="1" x14ac:dyDescent="0.25"/>
    <row r="94" spans="2:53" ht="22.5" customHeight="1" thickBot="1" x14ac:dyDescent="0.3">
      <c r="B94" s="134" t="s">
        <v>6137</v>
      </c>
      <c r="C94" s="135"/>
      <c r="D94" s="135"/>
      <c r="E94" s="135"/>
      <c r="F94" s="135"/>
      <c r="G94" s="135"/>
      <c r="H94" s="135"/>
      <c r="I94" s="135"/>
      <c r="J94" s="135"/>
      <c r="K94" s="135"/>
      <c r="L94" s="135"/>
      <c r="M94" s="135"/>
      <c r="N94" s="135"/>
      <c r="O94" s="135"/>
      <c r="P94" s="135"/>
      <c r="Q94" s="135"/>
      <c r="R94" s="135" t="s">
        <v>6138</v>
      </c>
      <c r="S94" s="135"/>
      <c r="T94" s="135"/>
      <c r="U94" s="135"/>
      <c r="V94" s="135"/>
      <c r="W94" s="135" t="s">
        <v>6139</v>
      </c>
      <c r="X94" s="135"/>
      <c r="Y94" s="135"/>
      <c r="Z94" s="135"/>
      <c r="AA94" s="135"/>
      <c r="AB94" s="135" t="s">
        <v>6140</v>
      </c>
      <c r="AC94" s="135"/>
      <c r="AD94" s="135"/>
      <c r="AE94" s="135"/>
      <c r="AF94" s="135"/>
      <c r="AG94" s="135" t="s">
        <v>6141</v>
      </c>
      <c r="AH94" s="135"/>
      <c r="AI94" s="135"/>
      <c r="AJ94" s="135"/>
      <c r="AK94" s="135"/>
      <c r="AL94" s="135" t="s">
        <v>6111</v>
      </c>
      <c r="AM94" s="135"/>
      <c r="AN94" s="135"/>
      <c r="AO94" s="135"/>
      <c r="AP94" s="135"/>
      <c r="AQ94" s="135"/>
      <c r="AR94" s="135"/>
      <c r="AS94" s="135"/>
      <c r="AT94" s="135"/>
      <c r="AU94" s="135"/>
      <c r="AV94" s="135"/>
      <c r="AW94" s="136"/>
      <c r="AY94" s="75"/>
      <c r="AZ94" s="65"/>
      <c r="BA94" s="65"/>
    </row>
    <row r="95" spans="2:53" ht="22.5" customHeight="1" thickBot="1" x14ac:dyDescent="0.3">
      <c r="B95" s="146" t="s">
        <v>6155</v>
      </c>
      <c r="C95" s="147"/>
      <c r="D95" s="147"/>
      <c r="E95" s="147"/>
      <c r="F95" s="147"/>
      <c r="G95" s="147"/>
      <c r="H95" s="147"/>
      <c r="I95" s="147"/>
      <c r="J95" s="147"/>
      <c r="K95" s="147"/>
      <c r="L95" s="147"/>
      <c r="M95" s="147"/>
      <c r="N95" s="147"/>
      <c r="O95" s="147"/>
      <c r="P95" s="147"/>
      <c r="Q95" s="147"/>
      <c r="R95" s="143"/>
      <c r="S95" s="143"/>
      <c r="T95" s="143"/>
      <c r="U95" s="143"/>
      <c r="V95" s="143"/>
      <c r="W95" s="144"/>
      <c r="X95" s="144"/>
      <c r="Y95" s="144"/>
      <c r="Z95" s="144"/>
      <c r="AA95" s="144"/>
      <c r="AB95" s="145"/>
      <c r="AC95" s="145"/>
      <c r="AD95" s="145"/>
      <c r="AE95" s="145"/>
      <c r="AF95" s="145"/>
      <c r="AG95" s="133" t="str">
        <f>IF(R95="","",IF(AB95="","",AB95*R95))</f>
        <v/>
      </c>
      <c r="AH95" s="133"/>
      <c r="AI95" s="133"/>
      <c r="AJ95" s="133"/>
      <c r="AK95" s="133"/>
      <c r="AL95" s="121"/>
      <c r="AM95" s="121"/>
      <c r="AN95" s="121"/>
      <c r="AO95" s="121"/>
      <c r="AP95" s="121"/>
      <c r="AQ95" s="121"/>
      <c r="AR95" s="121"/>
      <c r="AS95" s="121"/>
      <c r="AT95" s="121"/>
      <c r="AU95" s="121"/>
      <c r="AV95" s="121"/>
      <c r="AW95" s="122"/>
      <c r="AY95" s="91"/>
      <c r="AZ95" s="73"/>
      <c r="BA95" s="73"/>
    </row>
    <row r="96" spans="2:53" ht="22.5" customHeight="1" thickBot="1" x14ac:dyDescent="0.3">
      <c r="B96" s="146" t="s">
        <v>6143</v>
      </c>
      <c r="C96" s="147"/>
      <c r="D96" s="147"/>
      <c r="E96" s="147"/>
      <c r="F96" s="147"/>
      <c r="G96" s="147"/>
      <c r="H96" s="147"/>
      <c r="I96" s="147"/>
      <c r="J96" s="147"/>
      <c r="K96" s="147"/>
      <c r="L96" s="147"/>
      <c r="M96" s="147"/>
      <c r="N96" s="147"/>
      <c r="O96" s="147"/>
      <c r="P96" s="147"/>
      <c r="Q96" s="147"/>
      <c r="R96" s="143"/>
      <c r="S96" s="143"/>
      <c r="T96" s="143"/>
      <c r="U96" s="143"/>
      <c r="V96" s="143"/>
      <c r="W96" s="144"/>
      <c r="X96" s="144"/>
      <c r="Y96" s="144"/>
      <c r="Z96" s="144"/>
      <c r="AA96" s="144"/>
      <c r="AB96" s="145"/>
      <c r="AC96" s="145"/>
      <c r="AD96" s="145"/>
      <c r="AE96" s="145"/>
      <c r="AF96" s="145"/>
      <c r="AG96" s="133" t="str">
        <f t="shared" ref="AG96:AG109" si="8">IF(R96="","",IF(AB96="","",AB96*R96))</f>
        <v/>
      </c>
      <c r="AH96" s="133"/>
      <c r="AI96" s="133"/>
      <c r="AJ96" s="133"/>
      <c r="AK96" s="133"/>
      <c r="AL96" s="121"/>
      <c r="AM96" s="121"/>
      <c r="AN96" s="121"/>
      <c r="AO96" s="121"/>
      <c r="AP96" s="121"/>
      <c r="AQ96" s="121"/>
      <c r="AR96" s="121"/>
      <c r="AS96" s="121"/>
      <c r="AT96" s="121"/>
      <c r="AU96" s="121"/>
      <c r="AV96" s="121"/>
      <c r="AW96" s="122"/>
      <c r="AY96" s="91"/>
      <c r="AZ96" s="73"/>
      <c r="BA96" s="73"/>
    </row>
    <row r="97" spans="2:53" ht="22.5" customHeight="1" thickBot="1" x14ac:dyDescent="0.3">
      <c r="B97" s="146" t="s">
        <v>6144</v>
      </c>
      <c r="C97" s="147"/>
      <c r="D97" s="147"/>
      <c r="E97" s="147"/>
      <c r="F97" s="147"/>
      <c r="G97" s="147"/>
      <c r="H97" s="147"/>
      <c r="I97" s="147"/>
      <c r="J97" s="147"/>
      <c r="K97" s="147"/>
      <c r="L97" s="147"/>
      <c r="M97" s="147"/>
      <c r="N97" s="147"/>
      <c r="O97" s="147"/>
      <c r="P97" s="147"/>
      <c r="Q97" s="147"/>
      <c r="R97" s="143"/>
      <c r="S97" s="143"/>
      <c r="T97" s="143"/>
      <c r="U97" s="143"/>
      <c r="V97" s="143"/>
      <c r="W97" s="144"/>
      <c r="X97" s="144"/>
      <c r="Y97" s="144"/>
      <c r="Z97" s="144"/>
      <c r="AA97" s="144"/>
      <c r="AB97" s="145"/>
      <c r="AC97" s="145"/>
      <c r="AD97" s="145"/>
      <c r="AE97" s="145"/>
      <c r="AF97" s="145"/>
      <c r="AG97" s="133" t="str">
        <f t="shared" si="8"/>
        <v/>
      </c>
      <c r="AH97" s="133"/>
      <c r="AI97" s="133"/>
      <c r="AJ97" s="133"/>
      <c r="AK97" s="133"/>
      <c r="AL97" s="121"/>
      <c r="AM97" s="121"/>
      <c r="AN97" s="121"/>
      <c r="AO97" s="121"/>
      <c r="AP97" s="121"/>
      <c r="AQ97" s="121"/>
      <c r="AR97" s="121"/>
      <c r="AS97" s="121"/>
      <c r="AT97" s="121"/>
      <c r="AU97" s="121"/>
      <c r="AV97" s="121"/>
      <c r="AW97" s="122"/>
      <c r="AY97" s="91"/>
      <c r="AZ97" s="73"/>
      <c r="BA97" s="73"/>
    </row>
    <row r="98" spans="2:53" ht="22.5" customHeight="1" thickBot="1" x14ac:dyDescent="0.3">
      <c r="B98" s="146" t="s">
        <v>6145</v>
      </c>
      <c r="C98" s="147"/>
      <c r="D98" s="147"/>
      <c r="E98" s="147"/>
      <c r="F98" s="147"/>
      <c r="G98" s="147"/>
      <c r="H98" s="147"/>
      <c r="I98" s="147"/>
      <c r="J98" s="147"/>
      <c r="K98" s="147"/>
      <c r="L98" s="147"/>
      <c r="M98" s="147"/>
      <c r="N98" s="147"/>
      <c r="O98" s="147"/>
      <c r="P98" s="147"/>
      <c r="Q98" s="147"/>
      <c r="R98" s="143"/>
      <c r="S98" s="143"/>
      <c r="T98" s="143"/>
      <c r="U98" s="143"/>
      <c r="V98" s="143"/>
      <c r="W98" s="144"/>
      <c r="X98" s="144"/>
      <c r="Y98" s="144"/>
      <c r="Z98" s="144"/>
      <c r="AA98" s="144"/>
      <c r="AB98" s="145"/>
      <c r="AC98" s="145"/>
      <c r="AD98" s="145"/>
      <c r="AE98" s="145"/>
      <c r="AF98" s="145"/>
      <c r="AG98" s="133" t="str">
        <f t="shared" si="8"/>
        <v/>
      </c>
      <c r="AH98" s="133"/>
      <c r="AI98" s="133"/>
      <c r="AJ98" s="133"/>
      <c r="AK98" s="133"/>
      <c r="AL98" s="121"/>
      <c r="AM98" s="121"/>
      <c r="AN98" s="121"/>
      <c r="AO98" s="121"/>
      <c r="AP98" s="121"/>
      <c r="AQ98" s="121"/>
      <c r="AR98" s="121"/>
      <c r="AS98" s="121"/>
      <c r="AT98" s="121"/>
      <c r="AU98" s="121"/>
      <c r="AV98" s="121"/>
      <c r="AW98" s="122"/>
      <c r="AY98" s="91"/>
      <c r="AZ98" s="73"/>
      <c r="BA98" s="73"/>
    </row>
    <row r="99" spans="2:53" ht="22.5" customHeight="1" thickBot="1" x14ac:dyDescent="0.3">
      <c r="B99" s="146" t="s">
        <v>6146</v>
      </c>
      <c r="C99" s="147"/>
      <c r="D99" s="147"/>
      <c r="E99" s="147"/>
      <c r="F99" s="147"/>
      <c r="G99" s="147"/>
      <c r="H99" s="147"/>
      <c r="I99" s="147"/>
      <c r="J99" s="147"/>
      <c r="K99" s="147"/>
      <c r="L99" s="147"/>
      <c r="M99" s="147"/>
      <c r="N99" s="147"/>
      <c r="O99" s="147"/>
      <c r="P99" s="147"/>
      <c r="Q99" s="147"/>
      <c r="R99" s="143"/>
      <c r="S99" s="143"/>
      <c r="T99" s="143"/>
      <c r="U99" s="143"/>
      <c r="V99" s="143"/>
      <c r="W99" s="144"/>
      <c r="X99" s="144"/>
      <c r="Y99" s="144"/>
      <c r="Z99" s="144"/>
      <c r="AA99" s="144"/>
      <c r="AB99" s="145"/>
      <c r="AC99" s="145"/>
      <c r="AD99" s="145"/>
      <c r="AE99" s="145"/>
      <c r="AF99" s="145"/>
      <c r="AG99" s="133" t="str">
        <f t="shared" si="8"/>
        <v/>
      </c>
      <c r="AH99" s="133"/>
      <c r="AI99" s="133"/>
      <c r="AJ99" s="133"/>
      <c r="AK99" s="133"/>
      <c r="AL99" s="121"/>
      <c r="AM99" s="121"/>
      <c r="AN99" s="121"/>
      <c r="AO99" s="121"/>
      <c r="AP99" s="121"/>
      <c r="AQ99" s="121"/>
      <c r="AR99" s="121"/>
      <c r="AS99" s="121"/>
      <c r="AT99" s="121"/>
      <c r="AU99" s="121"/>
      <c r="AV99" s="121"/>
      <c r="AW99" s="122"/>
      <c r="AY99" s="91"/>
      <c r="AZ99" s="73"/>
      <c r="BA99" s="73"/>
    </row>
    <row r="100" spans="2:53" ht="22.5" customHeight="1" thickBot="1" x14ac:dyDescent="0.3">
      <c r="B100" s="146" t="s">
        <v>6147</v>
      </c>
      <c r="C100" s="147"/>
      <c r="D100" s="147"/>
      <c r="E100" s="147"/>
      <c r="F100" s="147"/>
      <c r="G100" s="147"/>
      <c r="H100" s="147"/>
      <c r="I100" s="147"/>
      <c r="J100" s="147"/>
      <c r="K100" s="147"/>
      <c r="L100" s="147"/>
      <c r="M100" s="147"/>
      <c r="N100" s="147"/>
      <c r="O100" s="147"/>
      <c r="P100" s="147"/>
      <c r="Q100" s="147"/>
      <c r="R100" s="143"/>
      <c r="S100" s="143"/>
      <c r="T100" s="143"/>
      <c r="U100" s="143"/>
      <c r="V100" s="143"/>
      <c r="W100" s="144"/>
      <c r="X100" s="144"/>
      <c r="Y100" s="144"/>
      <c r="Z100" s="144"/>
      <c r="AA100" s="144"/>
      <c r="AB100" s="145"/>
      <c r="AC100" s="145"/>
      <c r="AD100" s="145"/>
      <c r="AE100" s="145"/>
      <c r="AF100" s="145"/>
      <c r="AG100" s="133" t="str">
        <f t="shared" si="8"/>
        <v/>
      </c>
      <c r="AH100" s="133"/>
      <c r="AI100" s="133"/>
      <c r="AJ100" s="133"/>
      <c r="AK100" s="133"/>
      <c r="AL100" s="121"/>
      <c r="AM100" s="121"/>
      <c r="AN100" s="121"/>
      <c r="AO100" s="121"/>
      <c r="AP100" s="121"/>
      <c r="AQ100" s="121"/>
      <c r="AR100" s="121"/>
      <c r="AS100" s="121"/>
      <c r="AT100" s="121"/>
      <c r="AU100" s="121"/>
      <c r="AV100" s="121"/>
      <c r="AW100" s="122"/>
      <c r="AY100" s="91"/>
      <c r="AZ100" s="73"/>
      <c r="BA100" s="73"/>
    </row>
    <row r="101" spans="2:53" ht="22.5" customHeight="1" thickBot="1" x14ac:dyDescent="0.3">
      <c r="B101" s="146" t="s">
        <v>6148</v>
      </c>
      <c r="C101" s="147"/>
      <c r="D101" s="147"/>
      <c r="E101" s="147"/>
      <c r="F101" s="147"/>
      <c r="G101" s="147"/>
      <c r="H101" s="147"/>
      <c r="I101" s="147"/>
      <c r="J101" s="147"/>
      <c r="K101" s="147"/>
      <c r="L101" s="147"/>
      <c r="M101" s="147"/>
      <c r="N101" s="147"/>
      <c r="O101" s="147"/>
      <c r="P101" s="147"/>
      <c r="Q101" s="147"/>
      <c r="R101" s="143"/>
      <c r="S101" s="143"/>
      <c r="T101" s="143"/>
      <c r="U101" s="143"/>
      <c r="V101" s="143"/>
      <c r="W101" s="144"/>
      <c r="X101" s="144"/>
      <c r="Y101" s="144"/>
      <c r="Z101" s="144"/>
      <c r="AA101" s="144"/>
      <c r="AB101" s="145"/>
      <c r="AC101" s="145"/>
      <c r="AD101" s="145"/>
      <c r="AE101" s="145"/>
      <c r="AF101" s="145"/>
      <c r="AG101" s="133" t="str">
        <f t="shared" si="8"/>
        <v/>
      </c>
      <c r="AH101" s="133"/>
      <c r="AI101" s="133"/>
      <c r="AJ101" s="133"/>
      <c r="AK101" s="133"/>
      <c r="AL101" s="121"/>
      <c r="AM101" s="121"/>
      <c r="AN101" s="121"/>
      <c r="AO101" s="121"/>
      <c r="AP101" s="121"/>
      <c r="AQ101" s="121"/>
      <c r="AR101" s="121"/>
      <c r="AS101" s="121"/>
      <c r="AT101" s="121"/>
      <c r="AU101" s="121"/>
      <c r="AV101" s="121"/>
      <c r="AW101" s="122"/>
      <c r="AY101" s="91"/>
      <c r="AZ101" s="73"/>
      <c r="BA101" s="73"/>
    </row>
    <row r="102" spans="2:53" ht="22.5" customHeight="1" thickBot="1" x14ac:dyDescent="0.3">
      <c r="B102" s="146" t="s">
        <v>6149</v>
      </c>
      <c r="C102" s="147"/>
      <c r="D102" s="147"/>
      <c r="E102" s="147"/>
      <c r="F102" s="147"/>
      <c r="G102" s="147"/>
      <c r="H102" s="147"/>
      <c r="I102" s="147"/>
      <c r="J102" s="147"/>
      <c r="K102" s="147"/>
      <c r="L102" s="147"/>
      <c r="M102" s="147"/>
      <c r="N102" s="147"/>
      <c r="O102" s="147"/>
      <c r="P102" s="147"/>
      <c r="Q102" s="147"/>
      <c r="R102" s="143"/>
      <c r="S102" s="143"/>
      <c r="T102" s="143"/>
      <c r="U102" s="143"/>
      <c r="V102" s="143"/>
      <c r="W102" s="144"/>
      <c r="X102" s="144"/>
      <c r="Y102" s="144"/>
      <c r="Z102" s="144"/>
      <c r="AA102" s="144"/>
      <c r="AB102" s="145"/>
      <c r="AC102" s="145"/>
      <c r="AD102" s="145"/>
      <c r="AE102" s="145"/>
      <c r="AF102" s="145"/>
      <c r="AG102" s="133" t="str">
        <f t="shared" si="8"/>
        <v/>
      </c>
      <c r="AH102" s="133"/>
      <c r="AI102" s="133"/>
      <c r="AJ102" s="133"/>
      <c r="AK102" s="133"/>
      <c r="AL102" s="121"/>
      <c r="AM102" s="121"/>
      <c r="AN102" s="121"/>
      <c r="AO102" s="121"/>
      <c r="AP102" s="121"/>
      <c r="AQ102" s="121"/>
      <c r="AR102" s="121"/>
      <c r="AS102" s="121"/>
      <c r="AT102" s="121"/>
      <c r="AU102" s="121"/>
      <c r="AV102" s="121"/>
      <c r="AW102" s="122"/>
      <c r="AY102" s="91"/>
      <c r="AZ102" s="73"/>
      <c r="BA102" s="73"/>
    </row>
    <row r="103" spans="2:53" ht="22.5" customHeight="1" thickBot="1" x14ac:dyDescent="0.3">
      <c r="B103" s="146" t="s">
        <v>6150</v>
      </c>
      <c r="C103" s="147"/>
      <c r="D103" s="147"/>
      <c r="E103" s="147"/>
      <c r="F103" s="147"/>
      <c r="G103" s="147"/>
      <c r="H103" s="147"/>
      <c r="I103" s="147"/>
      <c r="J103" s="147"/>
      <c r="K103" s="147"/>
      <c r="L103" s="147"/>
      <c r="M103" s="147"/>
      <c r="N103" s="147"/>
      <c r="O103" s="147"/>
      <c r="P103" s="147"/>
      <c r="Q103" s="147"/>
      <c r="R103" s="143"/>
      <c r="S103" s="143"/>
      <c r="T103" s="143"/>
      <c r="U103" s="143"/>
      <c r="V103" s="143"/>
      <c r="W103" s="144"/>
      <c r="X103" s="144"/>
      <c r="Y103" s="144"/>
      <c r="Z103" s="144"/>
      <c r="AA103" s="144"/>
      <c r="AB103" s="145"/>
      <c r="AC103" s="145"/>
      <c r="AD103" s="145"/>
      <c r="AE103" s="145"/>
      <c r="AF103" s="145"/>
      <c r="AG103" s="133" t="str">
        <f t="shared" si="8"/>
        <v/>
      </c>
      <c r="AH103" s="133"/>
      <c r="AI103" s="133"/>
      <c r="AJ103" s="133"/>
      <c r="AK103" s="133"/>
      <c r="AL103" s="121"/>
      <c r="AM103" s="121"/>
      <c r="AN103" s="121"/>
      <c r="AO103" s="121"/>
      <c r="AP103" s="121"/>
      <c r="AQ103" s="121"/>
      <c r="AR103" s="121"/>
      <c r="AS103" s="121"/>
      <c r="AT103" s="121"/>
      <c r="AU103" s="121"/>
      <c r="AV103" s="121"/>
      <c r="AW103" s="122"/>
      <c r="AY103" s="91"/>
      <c r="AZ103" s="73"/>
      <c r="BA103" s="73"/>
    </row>
    <row r="104" spans="2:53" ht="22.5" customHeight="1" thickBot="1" x14ac:dyDescent="0.3">
      <c r="B104" s="146" t="s">
        <v>6156</v>
      </c>
      <c r="C104" s="147"/>
      <c r="D104" s="147"/>
      <c r="E104" s="147"/>
      <c r="F104" s="147"/>
      <c r="G104" s="147"/>
      <c r="H104" s="147"/>
      <c r="I104" s="147"/>
      <c r="J104" s="147"/>
      <c r="K104" s="147"/>
      <c r="L104" s="147"/>
      <c r="M104" s="147"/>
      <c r="N104" s="147"/>
      <c r="O104" s="147"/>
      <c r="P104" s="147"/>
      <c r="Q104" s="147"/>
      <c r="R104" s="143"/>
      <c r="S104" s="143"/>
      <c r="T104" s="143"/>
      <c r="U104" s="143"/>
      <c r="V104" s="143"/>
      <c r="W104" s="144"/>
      <c r="X104" s="144"/>
      <c r="Y104" s="144"/>
      <c r="Z104" s="144"/>
      <c r="AA104" s="144"/>
      <c r="AB104" s="145"/>
      <c r="AC104" s="145"/>
      <c r="AD104" s="145"/>
      <c r="AE104" s="145"/>
      <c r="AF104" s="145"/>
      <c r="AG104" s="133" t="str">
        <f t="shared" si="8"/>
        <v/>
      </c>
      <c r="AH104" s="133"/>
      <c r="AI104" s="133"/>
      <c r="AJ104" s="133"/>
      <c r="AK104" s="133"/>
      <c r="AL104" s="121"/>
      <c r="AM104" s="121"/>
      <c r="AN104" s="121"/>
      <c r="AO104" s="121"/>
      <c r="AP104" s="121"/>
      <c r="AQ104" s="121"/>
      <c r="AR104" s="121"/>
      <c r="AS104" s="121"/>
      <c r="AT104" s="121"/>
      <c r="AU104" s="121"/>
      <c r="AV104" s="121"/>
      <c r="AW104" s="122"/>
      <c r="AY104" s="91"/>
      <c r="AZ104" s="73"/>
      <c r="BA104" s="73"/>
    </row>
    <row r="105" spans="2:53" ht="22.5" customHeight="1" thickBot="1" x14ac:dyDescent="0.3">
      <c r="B105" s="146" t="s">
        <v>6151</v>
      </c>
      <c r="C105" s="147"/>
      <c r="D105" s="147"/>
      <c r="E105" s="147"/>
      <c r="F105" s="147"/>
      <c r="G105" s="147"/>
      <c r="H105" s="147"/>
      <c r="I105" s="147"/>
      <c r="J105" s="147"/>
      <c r="K105" s="147"/>
      <c r="L105" s="147"/>
      <c r="M105" s="147"/>
      <c r="N105" s="147"/>
      <c r="O105" s="147"/>
      <c r="P105" s="147"/>
      <c r="Q105" s="147"/>
      <c r="R105" s="143"/>
      <c r="S105" s="143"/>
      <c r="T105" s="143"/>
      <c r="U105" s="143"/>
      <c r="V105" s="143"/>
      <c r="W105" s="144"/>
      <c r="X105" s="144"/>
      <c r="Y105" s="144"/>
      <c r="Z105" s="144"/>
      <c r="AA105" s="144"/>
      <c r="AB105" s="145"/>
      <c r="AC105" s="145"/>
      <c r="AD105" s="145"/>
      <c r="AE105" s="145"/>
      <c r="AF105" s="145"/>
      <c r="AG105" s="133" t="str">
        <f t="shared" si="8"/>
        <v/>
      </c>
      <c r="AH105" s="133"/>
      <c r="AI105" s="133"/>
      <c r="AJ105" s="133"/>
      <c r="AK105" s="133"/>
      <c r="AL105" s="121"/>
      <c r="AM105" s="121"/>
      <c r="AN105" s="121"/>
      <c r="AO105" s="121"/>
      <c r="AP105" s="121"/>
      <c r="AQ105" s="121"/>
      <c r="AR105" s="121"/>
      <c r="AS105" s="121"/>
      <c r="AT105" s="121"/>
      <c r="AU105" s="121"/>
      <c r="AV105" s="121"/>
      <c r="AW105" s="122"/>
      <c r="AY105" s="91"/>
      <c r="AZ105" s="73"/>
      <c r="BA105" s="73"/>
    </row>
    <row r="106" spans="2:53" ht="22.5" customHeight="1" thickBot="1" x14ac:dyDescent="0.3">
      <c r="B106" s="146" t="s">
        <v>6157</v>
      </c>
      <c r="C106" s="147"/>
      <c r="D106" s="147"/>
      <c r="E106" s="147"/>
      <c r="F106" s="147"/>
      <c r="G106" s="147"/>
      <c r="H106" s="147"/>
      <c r="I106" s="147"/>
      <c r="J106" s="147"/>
      <c r="K106" s="147"/>
      <c r="L106" s="147"/>
      <c r="M106" s="147"/>
      <c r="N106" s="147"/>
      <c r="O106" s="147"/>
      <c r="P106" s="147"/>
      <c r="Q106" s="147"/>
      <c r="R106" s="143"/>
      <c r="S106" s="143"/>
      <c r="T106" s="143"/>
      <c r="U106" s="143"/>
      <c r="V106" s="143"/>
      <c r="W106" s="144"/>
      <c r="X106" s="144"/>
      <c r="Y106" s="144"/>
      <c r="Z106" s="144"/>
      <c r="AA106" s="144"/>
      <c r="AB106" s="145"/>
      <c r="AC106" s="145"/>
      <c r="AD106" s="145"/>
      <c r="AE106" s="145"/>
      <c r="AF106" s="145"/>
      <c r="AG106" s="133" t="str">
        <f t="shared" si="8"/>
        <v/>
      </c>
      <c r="AH106" s="133"/>
      <c r="AI106" s="133"/>
      <c r="AJ106" s="133"/>
      <c r="AK106" s="133"/>
      <c r="AL106" s="121"/>
      <c r="AM106" s="121"/>
      <c r="AN106" s="121"/>
      <c r="AO106" s="121"/>
      <c r="AP106" s="121"/>
      <c r="AQ106" s="121"/>
      <c r="AR106" s="121"/>
      <c r="AS106" s="121"/>
      <c r="AT106" s="121"/>
      <c r="AU106" s="121"/>
      <c r="AV106" s="121"/>
      <c r="AW106" s="122"/>
      <c r="AY106" s="91"/>
      <c r="AZ106" s="73"/>
      <c r="BA106" s="73"/>
    </row>
    <row r="107" spans="2:53" ht="22.5" customHeight="1" thickBot="1" x14ac:dyDescent="0.3">
      <c r="B107" s="146" t="s">
        <v>6152</v>
      </c>
      <c r="C107" s="147"/>
      <c r="D107" s="147"/>
      <c r="E107" s="147"/>
      <c r="F107" s="147"/>
      <c r="G107" s="147"/>
      <c r="H107" s="147"/>
      <c r="I107" s="147"/>
      <c r="J107" s="147"/>
      <c r="K107" s="147"/>
      <c r="L107" s="147"/>
      <c r="M107" s="147"/>
      <c r="N107" s="147"/>
      <c r="O107" s="147"/>
      <c r="P107" s="147"/>
      <c r="Q107" s="147"/>
      <c r="R107" s="143"/>
      <c r="S107" s="143"/>
      <c r="T107" s="143"/>
      <c r="U107" s="143"/>
      <c r="V107" s="143"/>
      <c r="W107" s="144"/>
      <c r="X107" s="144"/>
      <c r="Y107" s="144"/>
      <c r="Z107" s="144"/>
      <c r="AA107" s="144"/>
      <c r="AB107" s="145"/>
      <c r="AC107" s="145"/>
      <c r="AD107" s="145"/>
      <c r="AE107" s="145"/>
      <c r="AF107" s="145"/>
      <c r="AG107" s="133" t="str">
        <f t="shared" si="8"/>
        <v/>
      </c>
      <c r="AH107" s="133"/>
      <c r="AI107" s="133"/>
      <c r="AJ107" s="133"/>
      <c r="AK107" s="133"/>
      <c r="AL107" s="121"/>
      <c r="AM107" s="121"/>
      <c r="AN107" s="121"/>
      <c r="AO107" s="121"/>
      <c r="AP107" s="121"/>
      <c r="AQ107" s="121"/>
      <c r="AR107" s="121"/>
      <c r="AS107" s="121"/>
      <c r="AT107" s="121"/>
      <c r="AU107" s="121"/>
      <c r="AV107" s="121"/>
      <c r="AW107" s="122"/>
      <c r="AY107" s="91"/>
      <c r="AZ107" s="73"/>
      <c r="BA107" s="73"/>
    </row>
    <row r="108" spans="2:53" ht="22.5" customHeight="1" thickBot="1" x14ac:dyDescent="0.3">
      <c r="B108" s="146" t="s">
        <v>6153</v>
      </c>
      <c r="C108" s="147"/>
      <c r="D108" s="147"/>
      <c r="E108" s="147"/>
      <c r="F108" s="147"/>
      <c r="G108" s="147"/>
      <c r="H108" s="147"/>
      <c r="I108" s="147"/>
      <c r="J108" s="147"/>
      <c r="K108" s="147"/>
      <c r="L108" s="147"/>
      <c r="M108" s="147"/>
      <c r="N108" s="147"/>
      <c r="O108" s="147"/>
      <c r="P108" s="147"/>
      <c r="Q108" s="147"/>
      <c r="R108" s="143"/>
      <c r="S108" s="143"/>
      <c r="T108" s="143"/>
      <c r="U108" s="143"/>
      <c r="V108" s="143"/>
      <c r="W108" s="144"/>
      <c r="X108" s="144"/>
      <c r="Y108" s="144"/>
      <c r="Z108" s="144"/>
      <c r="AA108" s="144"/>
      <c r="AB108" s="145"/>
      <c r="AC108" s="145"/>
      <c r="AD108" s="145"/>
      <c r="AE108" s="145"/>
      <c r="AF108" s="145"/>
      <c r="AG108" s="133" t="str">
        <f t="shared" si="8"/>
        <v/>
      </c>
      <c r="AH108" s="133"/>
      <c r="AI108" s="133"/>
      <c r="AJ108" s="133"/>
      <c r="AK108" s="133"/>
      <c r="AL108" s="121"/>
      <c r="AM108" s="121"/>
      <c r="AN108" s="121"/>
      <c r="AO108" s="121"/>
      <c r="AP108" s="121"/>
      <c r="AQ108" s="121"/>
      <c r="AR108" s="121"/>
      <c r="AS108" s="121"/>
      <c r="AT108" s="121"/>
      <c r="AU108" s="121"/>
      <c r="AV108" s="121"/>
      <c r="AW108" s="122"/>
      <c r="AY108" s="92"/>
      <c r="AZ108" s="74"/>
      <c r="BA108" s="74"/>
    </row>
    <row r="109" spans="2:53" ht="22.5" customHeight="1" x14ac:dyDescent="0.25">
      <c r="B109" s="148" t="s">
        <v>6154</v>
      </c>
      <c r="C109" s="149"/>
      <c r="D109" s="149"/>
      <c r="E109" s="149"/>
      <c r="F109" s="149"/>
      <c r="G109" s="149"/>
      <c r="H109" s="149"/>
      <c r="I109" s="149"/>
      <c r="J109" s="149"/>
      <c r="K109" s="149"/>
      <c r="L109" s="149"/>
      <c r="M109" s="149"/>
      <c r="N109" s="149"/>
      <c r="O109" s="149"/>
      <c r="P109" s="149"/>
      <c r="Q109" s="149"/>
      <c r="R109" s="150"/>
      <c r="S109" s="150"/>
      <c r="T109" s="150"/>
      <c r="U109" s="150"/>
      <c r="V109" s="150"/>
      <c r="W109" s="151"/>
      <c r="X109" s="151"/>
      <c r="Y109" s="151"/>
      <c r="Z109" s="151"/>
      <c r="AA109" s="151"/>
      <c r="AB109" s="129"/>
      <c r="AC109" s="129"/>
      <c r="AD109" s="129"/>
      <c r="AE109" s="129"/>
      <c r="AF109" s="129"/>
      <c r="AG109" s="115" t="str">
        <f t="shared" si="8"/>
        <v/>
      </c>
      <c r="AH109" s="115"/>
      <c r="AI109" s="115"/>
      <c r="AJ109" s="115"/>
      <c r="AK109" s="115"/>
      <c r="AL109" s="123"/>
      <c r="AM109" s="123"/>
      <c r="AN109" s="123"/>
      <c r="AO109" s="123"/>
      <c r="AP109" s="123"/>
      <c r="AQ109" s="123"/>
      <c r="AR109" s="123"/>
      <c r="AS109" s="123"/>
      <c r="AT109" s="123"/>
      <c r="AU109" s="123"/>
      <c r="AV109" s="123"/>
      <c r="AW109" s="124"/>
    </row>
    <row r="110" spans="2:53" ht="3.75" customHeight="1" x14ac:dyDescent="0.25"/>
    <row r="111" spans="2:53" ht="22.5" customHeight="1" x14ac:dyDescent="0.25">
      <c r="AB111" s="109" t="s">
        <v>6037</v>
      </c>
      <c r="AC111" s="110"/>
      <c r="AD111" s="110"/>
      <c r="AE111" s="110"/>
      <c r="AF111" s="110"/>
      <c r="AG111" s="111">
        <f>SUM(AG95:AK109)</f>
        <v>0</v>
      </c>
      <c r="AH111" s="111"/>
      <c r="AI111" s="111"/>
      <c r="AJ111" s="111"/>
      <c r="AK111" s="112"/>
    </row>
    <row r="112" spans="2:53" ht="18.75" customHeight="1" x14ac:dyDescent="0.25"/>
    <row r="113" spans="2:49" ht="22.5" customHeight="1" thickBot="1" x14ac:dyDescent="0.3">
      <c r="H113" s="134" t="s">
        <v>5994</v>
      </c>
      <c r="I113" s="135"/>
      <c r="J113" s="135"/>
      <c r="K113" s="135"/>
      <c r="L113" s="135"/>
      <c r="M113" s="135"/>
      <c r="N113" s="135"/>
      <c r="O113" s="135"/>
      <c r="P113" s="135"/>
      <c r="Q113" s="135"/>
      <c r="R113" s="135"/>
      <c r="S113" s="135"/>
      <c r="T113" s="135"/>
      <c r="U113" s="135"/>
      <c r="V113" s="136"/>
      <c r="AC113" s="134" t="s">
        <v>6159</v>
      </c>
      <c r="AD113" s="135"/>
      <c r="AE113" s="135"/>
      <c r="AF113" s="135"/>
      <c r="AG113" s="135"/>
      <c r="AH113" s="135"/>
      <c r="AI113" s="135"/>
      <c r="AJ113" s="135"/>
      <c r="AK113" s="135"/>
      <c r="AL113" s="135"/>
      <c r="AM113" s="135"/>
      <c r="AN113" s="135"/>
      <c r="AO113" s="135"/>
      <c r="AP113" s="135"/>
      <c r="AQ113" s="136"/>
    </row>
    <row r="114" spans="2:49" ht="22.5" customHeight="1" thickBot="1" x14ac:dyDescent="0.3">
      <c r="H114" s="156" t="s">
        <v>6233</v>
      </c>
      <c r="I114" s="157"/>
      <c r="J114" s="157"/>
      <c r="K114" s="157"/>
      <c r="L114" s="157"/>
      <c r="M114" s="158" t="str" cm="1">
        <f t="array" ref="M114">IFERROR(_xlfn.IFS(H114="Selecione","",H114="Custo Histórico",R72,H114="CUB Ajustado",(AG111/AB92)+R70),"")</f>
        <v/>
      </c>
      <c r="N114" s="158"/>
      <c r="O114" s="158"/>
      <c r="P114" s="158"/>
      <c r="Q114" s="158"/>
      <c r="R114" s="115" t="str" cm="1">
        <f t="array" ref="R114">IFERROR(_xlfn.IFS(H114="Selecione","",H114="Custo Histórico",M114*J49,H114="CUB Ajustado",M114*AB92),"")</f>
        <v/>
      </c>
      <c r="S114" s="115"/>
      <c r="T114" s="115"/>
      <c r="U114" s="115"/>
      <c r="V114" s="116"/>
      <c r="AC114" s="118" t="s">
        <v>6160</v>
      </c>
      <c r="AD114" s="152"/>
      <c r="AE114" s="152"/>
      <c r="AF114" s="152"/>
      <c r="AG114" s="152"/>
      <c r="AH114" s="152" t="s">
        <v>6161</v>
      </c>
      <c r="AI114" s="152"/>
      <c r="AJ114" s="152"/>
      <c r="AK114" s="152"/>
      <c r="AL114" s="152"/>
      <c r="AM114" s="152" t="s">
        <v>6162</v>
      </c>
      <c r="AN114" s="152"/>
      <c r="AO114" s="152"/>
      <c r="AP114" s="152"/>
      <c r="AQ114" s="153"/>
    </row>
    <row r="115" spans="2:49" ht="22.5" customHeight="1" x14ac:dyDescent="0.25">
      <c r="AC115" s="154"/>
      <c r="AD115" s="114"/>
      <c r="AE115" s="114"/>
      <c r="AF115" s="114"/>
      <c r="AG115" s="114"/>
      <c r="AH115" s="115" t="str">
        <f>IFERROR(AM115/F38,"")</f>
        <v/>
      </c>
      <c r="AI115" s="115"/>
      <c r="AJ115" s="115"/>
      <c r="AK115" s="115"/>
      <c r="AL115" s="115"/>
      <c r="AM115" s="115" t="str">
        <f>IFERROR(R114*AC115,"")</f>
        <v/>
      </c>
      <c r="AN115" s="115"/>
      <c r="AO115" s="115"/>
      <c r="AP115" s="115"/>
      <c r="AQ115" s="116"/>
    </row>
    <row r="116" spans="2:49" ht="18.75" customHeight="1" x14ac:dyDescent="0.25"/>
    <row r="117" spans="2:49" ht="26.25" customHeight="1" x14ac:dyDescent="0.25">
      <c r="B117" s="94" t="s">
        <v>6164</v>
      </c>
      <c r="C117" s="47"/>
      <c r="D117" s="47"/>
      <c r="E117" s="47"/>
      <c r="F117" s="47"/>
      <c r="G117" s="47"/>
      <c r="H117" s="47"/>
      <c r="I117" s="47"/>
      <c r="J117" s="70"/>
      <c r="K117" s="70"/>
      <c r="L117" s="70"/>
      <c r="M117" s="70"/>
      <c r="N117" s="70"/>
      <c r="O117" s="70"/>
      <c r="P117" s="70"/>
      <c r="Q117" s="70"/>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row>
    <row r="118" spans="2:49" ht="3.75" customHeight="1" x14ac:dyDescent="0.25">
      <c r="J118" s="69"/>
      <c r="K118" s="69"/>
      <c r="L118" s="69"/>
      <c r="M118" s="69"/>
      <c r="N118" s="69"/>
      <c r="O118" s="69"/>
      <c r="P118" s="69"/>
      <c r="Q118" s="69"/>
    </row>
    <row r="119" spans="2:49" ht="21" customHeight="1" thickBot="1" x14ac:dyDescent="0.3">
      <c r="B119" s="134" t="s">
        <v>6165</v>
      </c>
      <c r="C119" s="135"/>
      <c r="D119" s="135"/>
      <c r="E119" s="135"/>
      <c r="F119" s="135"/>
      <c r="G119" s="135"/>
      <c r="H119" s="135"/>
      <c r="I119" s="135"/>
      <c r="J119" s="135"/>
      <c r="K119" s="135"/>
      <c r="L119" s="135" t="s">
        <v>6166</v>
      </c>
      <c r="M119" s="135"/>
      <c r="N119" s="135"/>
      <c r="O119" s="135"/>
      <c r="P119" s="135"/>
      <c r="Q119" s="135"/>
      <c r="R119" s="135"/>
      <c r="S119" s="135"/>
      <c r="T119" s="135"/>
      <c r="U119" s="135" t="s">
        <v>6099</v>
      </c>
      <c r="V119" s="135"/>
      <c r="W119" s="135"/>
      <c r="X119" s="135"/>
      <c r="Y119" s="135"/>
      <c r="Z119" s="135"/>
      <c r="AA119" s="135"/>
      <c r="AB119" s="135"/>
      <c r="AC119" s="135"/>
      <c r="AD119" s="135"/>
      <c r="AE119" s="135" t="s">
        <v>6167</v>
      </c>
      <c r="AF119" s="135"/>
      <c r="AG119" s="135"/>
      <c r="AH119" s="135"/>
      <c r="AI119" s="135"/>
      <c r="AJ119" s="135"/>
      <c r="AK119" s="135"/>
      <c r="AL119" s="135"/>
      <c r="AM119" s="135"/>
      <c r="AN119" s="135" t="s">
        <v>6168</v>
      </c>
      <c r="AO119" s="135"/>
      <c r="AP119" s="135"/>
      <c r="AQ119" s="135"/>
      <c r="AR119" s="135"/>
      <c r="AS119" s="135"/>
      <c r="AT119" s="135"/>
      <c r="AU119" s="135"/>
      <c r="AV119" s="135"/>
      <c r="AW119" s="136"/>
    </row>
    <row r="120" spans="2:49" ht="21" customHeight="1" x14ac:dyDescent="0.25">
      <c r="B120" s="137">
        <f>Z56</f>
        <v>0</v>
      </c>
      <c r="C120" s="106"/>
      <c r="D120" s="106"/>
      <c r="E120" s="106"/>
      <c r="F120" s="106"/>
      <c r="G120" s="106"/>
      <c r="H120" s="106"/>
      <c r="I120" s="106"/>
      <c r="J120" s="106"/>
      <c r="K120" s="106"/>
      <c r="L120" s="106">
        <f>Z62</f>
        <v>0</v>
      </c>
      <c r="M120" s="106"/>
      <c r="N120" s="106"/>
      <c r="O120" s="106"/>
      <c r="P120" s="106"/>
      <c r="Q120" s="106"/>
      <c r="R120" s="106"/>
      <c r="S120" s="106"/>
      <c r="T120" s="106"/>
      <c r="U120" s="106" t="str">
        <f>R114</f>
        <v/>
      </c>
      <c r="V120" s="106"/>
      <c r="W120" s="106"/>
      <c r="X120" s="106"/>
      <c r="Y120" s="106"/>
      <c r="Z120" s="106"/>
      <c r="AA120" s="106"/>
      <c r="AB120" s="106"/>
      <c r="AC120" s="106"/>
      <c r="AD120" s="106"/>
      <c r="AE120" s="106">
        <f>AH44</f>
        <v>0</v>
      </c>
      <c r="AF120" s="106"/>
      <c r="AG120" s="106"/>
      <c r="AH120" s="106"/>
      <c r="AI120" s="106"/>
      <c r="AJ120" s="106"/>
      <c r="AK120" s="106"/>
      <c r="AL120" s="106"/>
      <c r="AM120" s="106"/>
      <c r="AN120" s="106">
        <f>AH46</f>
        <v>0</v>
      </c>
      <c r="AO120" s="106"/>
      <c r="AP120" s="106"/>
      <c r="AQ120" s="106"/>
      <c r="AR120" s="106"/>
      <c r="AS120" s="106"/>
      <c r="AT120" s="106"/>
      <c r="AU120" s="106"/>
      <c r="AV120" s="106"/>
      <c r="AW120" s="107"/>
    </row>
    <row r="121" spans="2:49" ht="18.75" customHeight="1" x14ac:dyDescent="0.25"/>
    <row r="122" spans="2:49" ht="21" customHeight="1" thickBot="1" x14ac:dyDescent="0.3">
      <c r="B122" s="174" t="s">
        <v>6169</v>
      </c>
      <c r="C122" s="174"/>
      <c r="D122" s="174"/>
      <c r="E122" s="174"/>
      <c r="F122" s="174"/>
      <c r="G122" s="174"/>
      <c r="H122" s="174"/>
      <c r="I122" s="174"/>
      <c r="J122" s="174"/>
      <c r="K122" s="134"/>
      <c r="L122" s="136" t="s">
        <v>6170</v>
      </c>
      <c r="M122" s="174"/>
      <c r="N122" s="174"/>
      <c r="O122" s="174"/>
      <c r="P122" s="174"/>
      <c r="Q122" s="174"/>
      <c r="R122" s="174"/>
      <c r="S122" s="174"/>
      <c r="T122" s="134"/>
      <c r="U122" s="136" t="s">
        <v>6171</v>
      </c>
      <c r="V122" s="174"/>
      <c r="W122" s="174"/>
      <c r="X122" s="174"/>
      <c r="Y122" s="134"/>
      <c r="Z122" s="136" t="s">
        <v>6172</v>
      </c>
      <c r="AA122" s="174"/>
      <c r="AB122" s="174"/>
      <c r="AC122" s="174"/>
      <c r="AD122" s="174"/>
    </row>
    <row r="123" spans="2:49" ht="21" customHeight="1" thickBot="1" x14ac:dyDescent="0.3">
      <c r="B123" s="120" t="s">
        <v>6176</v>
      </c>
      <c r="C123" s="120"/>
      <c r="D123" s="120"/>
      <c r="E123" s="120"/>
      <c r="F123" s="120"/>
      <c r="G123" s="120"/>
      <c r="H123" s="120"/>
      <c r="I123" s="120"/>
      <c r="J123" s="120"/>
      <c r="K123" s="142"/>
      <c r="L123" s="299" t="s">
        <v>6186</v>
      </c>
      <c r="M123" s="300"/>
      <c r="N123" s="300"/>
      <c r="O123" s="300"/>
      <c r="P123" s="300"/>
      <c r="Q123" s="300"/>
      <c r="R123" s="300"/>
      <c r="S123" s="300"/>
      <c r="T123" s="301"/>
      <c r="U123" s="138"/>
      <c r="V123" s="139"/>
      <c r="W123" s="139"/>
      <c r="X123" s="139"/>
      <c r="Y123" s="302"/>
      <c r="Z123" s="119" t="str">
        <f>IF(U123="","",_xlfn.XLOOKUP(L123,$B$119:$AW$119,$B$120:$AW$120)*U123)</f>
        <v/>
      </c>
      <c r="AA123" s="120"/>
      <c r="AB123" s="120"/>
      <c r="AC123" s="120"/>
      <c r="AD123" s="120"/>
      <c r="AI123" s="134" t="s">
        <v>6173</v>
      </c>
      <c r="AJ123" s="135"/>
      <c r="AK123" s="135"/>
      <c r="AL123" s="135"/>
      <c r="AM123" s="135"/>
      <c r="AN123" s="135"/>
      <c r="AO123" s="135"/>
      <c r="AP123" s="135"/>
      <c r="AQ123" s="135"/>
      <c r="AR123" s="136"/>
    </row>
    <row r="124" spans="2:49" ht="21" customHeight="1" thickBot="1" x14ac:dyDescent="0.3">
      <c r="B124" s="120" t="s">
        <v>6177</v>
      </c>
      <c r="C124" s="120"/>
      <c r="D124" s="120"/>
      <c r="E124" s="120"/>
      <c r="F124" s="120"/>
      <c r="G124" s="120"/>
      <c r="H124" s="120"/>
      <c r="I124" s="120"/>
      <c r="J124" s="120"/>
      <c r="K124" s="142"/>
      <c r="L124" s="299" t="s">
        <v>6186</v>
      </c>
      <c r="M124" s="300"/>
      <c r="N124" s="300"/>
      <c r="O124" s="300"/>
      <c r="P124" s="300"/>
      <c r="Q124" s="300"/>
      <c r="R124" s="300"/>
      <c r="S124" s="300"/>
      <c r="T124" s="301"/>
      <c r="U124" s="138"/>
      <c r="V124" s="139"/>
      <c r="W124" s="139"/>
      <c r="X124" s="139"/>
      <c r="Y124" s="302"/>
      <c r="Z124" s="119" t="str">
        <f t="shared" ref="Z124:Z133" si="9">IF(U124="","",_xlfn.XLOOKUP(L124,$B$119:$AW$119,$B$120:$AW$120)*U124)</f>
        <v/>
      </c>
      <c r="AA124" s="120"/>
      <c r="AB124" s="120"/>
      <c r="AC124" s="120"/>
      <c r="AD124" s="120"/>
      <c r="AI124" s="117" t="s">
        <v>6188</v>
      </c>
      <c r="AJ124" s="117"/>
      <c r="AK124" s="117"/>
      <c r="AL124" s="117"/>
      <c r="AM124" s="118"/>
      <c r="AN124" s="140" t="s">
        <v>6194</v>
      </c>
      <c r="AO124" s="141"/>
      <c r="AP124" s="141"/>
      <c r="AQ124" s="141"/>
      <c r="AR124" s="141"/>
    </row>
    <row r="125" spans="2:49" ht="21" customHeight="1" thickBot="1" x14ac:dyDescent="0.3">
      <c r="B125" s="120" t="s">
        <v>6178</v>
      </c>
      <c r="C125" s="120"/>
      <c r="D125" s="120"/>
      <c r="E125" s="120"/>
      <c r="F125" s="120"/>
      <c r="G125" s="120"/>
      <c r="H125" s="120"/>
      <c r="I125" s="120"/>
      <c r="J125" s="120"/>
      <c r="K125" s="142"/>
      <c r="L125" s="299" t="s">
        <v>6186</v>
      </c>
      <c r="M125" s="300"/>
      <c r="N125" s="300"/>
      <c r="O125" s="300"/>
      <c r="P125" s="300"/>
      <c r="Q125" s="300"/>
      <c r="R125" s="300"/>
      <c r="S125" s="300"/>
      <c r="T125" s="301"/>
      <c r="U125" s="138"/>
      <c r="V125" s="139"/>
      <c r="W125" s="139"/>
      <c r="X125" s="139"/>
      <c r="Y125" s="302"/>
      <c r="Z125" s="119" t="str">
        <f t="shared" si="9"/>
        <v/>
      </c>
      <c r="AA125" s="120"/>
      <c r="AB125" s="120"/>
      <c r="AC125" s="120"/>
      <c r="AD125" s="120"/>
      <c r="AI125" s="117" t="s">
        <v>6160</v>
      </c>
      <c r="AJ125" s="117"/>
      <c r="AK125" s="117"/>
      <c r="AL125" s="117"/>
      <c r="AM125" s="118"/>
      <c r="AN125" s="138"/>
      <c r="AO125" s="139"/>
      <c r="AP125" s="139"/>
      <c r="AQ125" s="139"/>
      <c r="AR125" s="139"/>
    </row>
    <row r="126" spans="2:49" ht="21" customHeight="1" thickBot="1" x14ac:dyDescent="0.3">
      <c r="B126" s="120" t="s">
        <v>6179</v>
      </c>
      <c r="C126" s="120"/>
      <c r="D126" s="120"/>
      <c r="E126" s="120"/>
      <c r="F126" s="120"/>
      <c r="G126" s="120"/>
      <c r="H126" s="120"/>
      <c r="I126" s="120"/>
      <c r="J126" s="120"/>
      <c r="K126" s="142"/>
      <c r="L126" s="299" t="s">
        <v>6186</v>
      </c>
      <c r="M126" s="300"/>
      <c r="N126" s="300"/>
      <c r="O126" s="300"/>
      <c r="P126" s="300"/>
      <c r="Q126" s="300"/>
      <c r="R126" s="300"/>
      <c r="S126" s="300"/>
      <c r="T126" s="301"/>
      <c r="U126" s="138"/>
      <c r="V126" s="139"/>
      <c r="W126" s="139"/>
      <c r="X126" s="139"/>
      <c r="Y126" s="302"/>
      <c r="Z126" s="119" t="str">
        <f t="shared" si="9"/>
        <v/>
      </c>
      <c r="AA126" s="120"/>
      <c r="AB126" s="120"/>
      <c r="AC126" s="120"/>
      <c r="AD126" s="120"/>
      <c r="AI126" s="117" t="s">
        <v>6190</v>
      </c>
      <c r="AJ126" s="117"/>
      <c r="AK126" s="117"/>
      <c r="AL126" s="117"/>
      <c r="AM126" s="118"/>
      <c r="AN126" s="119" t="str">
        <f>IFERROR(AN127/F38,"")</f>
        <v/>
      </c>
      <c r="AO126" s="120"/>
      <c r="AP126" s="120"/>
      <c r="AQ126" s="120"/>
      <c r="AR126" s="120"/>
    </row>
    <row r="127" spans="2:49" ht="21" customHeight="1" thickBot="1" x14ac:dyDescent="0.3">
      <c r="B127" s="120" t="s">
        <v>6180</v>
      </c>
      <c r="C127" s="120"/>
      <c r="D127" s="120"/>
      <c r="E127" s="120"/>
      <c r="F127" s="120"/>
      <c r="G127" s="120"/>
      <c r="H127" s="120"/>
      <c r="I127" s="120"/>
      <c r="J127" s="120"/>
      <c r="K127" s="142"/>
      <c r="L127" s="299" t="s">
        <v>6186</v>
      </c>
      <c r="M127" s="300"/>
      <c r="N127" s="300"/>
      <c r="O127" s="300"/>
      <c r="P127" s="300"/>
      <c r="Q127" s="300"/>
      <c r="R127" s="300"/>
      <c r="S127" s="300"/>
      <c r="T127" s="301"/>
      <c r="U127" s="138"/>
      <c r="V127" s="139"/>
      <c r="W127" s="139"/>
      <c r="X127" s="139"/>
      <c r="Y127" s="302"/>
      <c r="Z127" s="119" t="str">
        <f t="shared" si="9"/>
        <v/>
      </c>
      <c r="AA127" s="120"/>
      <c r="AB127" s="120"/>
      <c r="AC127" s="120"/>
      <c r="AD127" s="120"/>
      <c r="AI127" s="291" t="s">
        <v>6162</v>
      </c>
      <c r="AJ127" s="291"/>
      <c r="AK127" s="291"/>
      <c r="AL127" s="291"/>
      <c r="AM127" s="292"/>
      <c r="AN127" s="116" t="str">
        <f>IF(AN125="","",_xlfn.XLOOKUP(AN124,$B$119:$AW$119,$B$120:$AW$120)*AN125)</f>
        <v/>
      </c>
      <c r="AO127" s="180"/>
      <c r="AP127" s="180"/>
      <c r="AQ127" s="180"/>
      <c r="AR127" s="180"/>
    </row>
    <row r="128" spans="2:49" ht="21" customHeight="1" thickBot="1" x14ac:dyDescent="0.3">
      <c r="B128" s="120" t="s">
        <v>6181</v>
      </c>
      <c r="C128" s="120"/>
      <c r="D128" s="120"/>
      <c r="E128" s="120"/>
      <c r="F128" s="120"/>
      <c r="G128" s="120"/>
      <c r="H128" s="120"/>
      <c r="I128" s="120"/>
      <c r="J128" s="120"/>
      <c r="K128" s="142"/>
      <c r="L128" s="299" t="s">
        <v>6186</v>
      </c>
      <c r="M128" s="300"/>
      <c r="N128" s="300"/>
      <c r="O128" s="300"/>
      <c r="P128" s="300"/>
      <c r="Q128" s="300"/>
      <c r="R128" s="300"/>
      <c r="S128" s="300"/>
      <c r="T128" s="301"/>
      <c r="U128" s="138"/>
      <c r="V128" s="139"/>
      <c r="W128" s="139"/>
      <c r="X128" s="139"/>
      <c r="Y128" s="302"/>
      <c r="Z128" s="119" t="str">
        <f t="shared" si="9"/>
        <v/>
      </c>
      <c r="AA128" s="120"/>
      <c r="AB128" s="120"/>
      <c r="AC128" s="120"/>
      <c r="AD128" s="120"/>
    </row>
    <row r="129" spans="2:49" ht="21" customHeight="1" thickBot="1" x14ac:dyDescent="0.3">
      <c r="B129" s="120" t="s">
        <v>6182</v>
      </c>
      <c r="C129" s="120"/>
      <c r="D129" s="120"/>
      <c r="E129" s="120"/>
      <c r="F129" s="120"/>
      <c r="G129" s="120"/>
      <c r="H129" s="120"/>
      <c r="I129" s="120"/>
      <c r="J129" s="120"/>
      <c r="K129" s="142"/>
      <c r="L129" s="299" t="s">
        <v>6187</v>
      </c>
      <c r="M129" s="300"/>
      <c r="N129" s="300"/>
      <c r="O129" s="300"/>
      <c r="P129" s="300"/>
      <c r="Q129" s="300"/>
      <c r="R129" s="300"/>
      <c r="S129" s="300"/>
      <c r="T129" s="301"/>
      <c r="U129" s="138"/>
      <c r="V129" s="139"/>
      <c r="W129" s="139"/>
      <c r="X129" s="139"/>
      <c r="Y129" s="302"/>
      <c r="Z129" s="119" t="str">
        <f t="shared" si="9"/>
        <v/>
      </c>
      <c r="AA129" s="120"/>
      <c r="AB129" s="120"/>
      <c r="AC129" s="120"/>
      <c r="AD129" s="120"/>
      <c r="AI129" s="174" t="s">
        <v>6174</v>
      </c>
      <c r="AJ129" s="174"/>
      <c r="AK129" s="174"/>
      <c r="AL129" s="174"/>
      <c r="AM129" s="174"/>
      <c r="AN129" s="174"/>
      <c r="AO129" s="174"/>
      <c r="AP129" s="174"/>
      <c r="AQ129" s="174"/>
      <c r="AR129" s="174"/>
    </row>
    <row r="130" spans="2:49" ht="21" customHeight="1" thickBot="1" x14ac:dyDescent="0.3">
      <c r="B130" s="120" t="s">
        <v>6183</v>
      </c>
      <c r="C130" s="120"/>
      <c r="D130" s="120"/>
      <c r="E130" s="120"/>
      <c r="F130" s="120"/>
      <c r="G130" s="120"/>
      <c r="H130" s="120"/>
      <c r="I130" s="120"/>
      <c r="J130" s="120"/>
      <c r="K130" s="142"/>
      <c r="L130" s="299" t="s">
        <v>6186</v>
      </c>
      <c r="M130" s="300"/>
      <c r="N130" s="300"/>
      <c r="O130" s="300"/>
      <c r="P130" s="300"/>
      <c r="Q130" s="300"/>
      <c r="R130" s="300"/>
      <c r="S130" s="300"/>
      <c r="T130" s="301"/>
      <c r="U130" s="138"/>
      <c r="V130" s="139"/>
      <c r="W130" s="139"/>
      <c r="X130" s="139"/>
      <c r="Y130" s="302"/>
      <c r="Z130" s="119" t="str">
        <f t="shared" si="9"/>
        <v/>
      </c>
      <c r="AA130" s="120"/>
      <c r="AB130" s="120"/>
      <c r="AC130" s="120"/>
      <c r="AD130" s="120"/>
      <c r="AI130" s="117" t="s">
        <v>6188</v>
      </c>
      <c r="AJ130" s="117"/>
      <c r="AK130" s="117"/>
      <c r="AL130" s="117"/>
      <c r="AM130" s="118"/>
      <c r="AN130" s="119">
        <f>N60</f>
        <v>0</v>
      </c>
      <c r="AO130" s="120"/>
      <c r="AP130" s="120"/>
      <c r="AQ130" s="120"/>
      <c r="AR130" s="120"/>
    </row>
    <row r="131" spans="2:49" ht="21" customHeight="1" thickBot="1" x14ac:dyDescent="0.3">
      <c r="B131" s="120" t="s">
        <v>6184</v>
      </c>
      <c r="C131" s="120"/>
      <c r="D131" s="120"/>
      <c r="E131" s="120"/>
      <c r="F131" s="120"/>
      <c r="G131" s="120"/>
      <c r="H131" s="120"/>
      <c r="I131" s="120"/>
      <c r="J131" s="120"/>
      <c r="K131" s="142"/>
      <c r="L131" s="299" t="s">
        <v>6186</v>
      </c>
      <c r="M131" s="300"/>
      <c r="N131" s="300"/>
      <c r="O131" s="300"/>
      <c r="P131" s="300"/>
      <c r="Q131" s="300"/>
      <c r="R131" s="300"/>
      <c r="S131" s="300"/>
      <c r="T131" s="301"/>
      <c r="U131" s="138"/>
      <c r="V131" s="139"/>
      <c r="W131" s="139"/>
      <c r="X131" s="139"/>
      <c r="Y131" s="302"/>
      <c r="Z131" s="119" t="str">
        <f t="shared" si="9"/>
        <v/>
      </c>
      <c r="AA131" s="120"/>
      <c r="AB131" s="120"/>
      <c r="AC131" s="120"/>
      <c r="AD131" s="120"/>
      <c r="AI131" s="117" t="s">
        <v>6160</v>
      </c>
      <c r="AJ131" s="117"/>
      <c r="AK131" s="117"/>
      <c r="AL131" s="117"/>
      <c r="AM131" s="118"/>
      <c r="AN131" s="293"/>
      <c r="AO131" s="294"/>
      <c r="AP131" s="294"/>
      <c r="AQ131" s="294"/>
      <c r="AR131" s="294"/>
    </row>
    <row r="132" spans="2:49" ht="21" customHeight="1" thickBot="1" x14ac:dyDescent="0.3">
      <c r="B132" s="172" t="s">
        <v>6249</v>
      </c>
      <c r="C132" s="115"/>
      <c r="D132" s="115"/>
      <c r="E132" s="115"/>
      <c r="F132" s="115"/>
      <c r="G132" s="115"/>
      <c r="H132" s="115"/>
      <c r="I132" s="115"/>
      <c r="J132" s="115"/>
      <c r="K132" s="115"/>
      <c r="L132" s="263" t="s">
        <v>6186</v>
      </c>
      <c r="M132" s="263"/>
      <c r="N132" s="263"/>
      <c r="O132" s="263"/>
      <c r="P132" s="263"/>
      <c r="Q132" s="263"/>
      <c r="R132" s="263"/>
      <c r="S132" s="263"/>
      <c r="T132" s="263"/>
      <c r="U132" s="114"/>
      <c r="V132" s="114"/>
      <c r="W132" s="114"/>
      <c r="X132" s="114"/>
      <c r="Y132" s="114"/>
      <c r="Z132" s="115" t="str">
        <f t="shared" si="9"/>
        <v/>
      </c>
      <c r="AA132" s="115"/>
      <c r="AB132" s="115"/>
      <c r="AC132" s="115"/>
      <c r="AD132" s="116"/>
      <c r="AI132" s="117" t="s">
        <v>6189</v>
      </c>
      <c r="AJ132" s="117"/>
      <c r="AK132" s="117"/>
      <c r="AL132" s="117"/>
      <c r="AM132" s="118"/>
      <c r="AN132" s="119">
        <f>(POWER(1+AN131,1/12)-1)*AN130</f>
        <v>0</v>
      </c>
      <c r="AO132" s="120"/>
      <c r="AP132" s="120"/>
      <c r="AQ132" s="120"/>
      <c r="AR132" s="120"/>
    </row>
    <row r="133" spans="2:49" ht="21" customHeight="1" x14ac:dyDescent="0.25">
      <c r="B133" s="180" t="s">
        <v>6185</v>
      </c>
      <c r="C133" s="180"/>
      <c r="D133" s="180"/>
      <c r="E133" s="180"/>
      <c r="F133" s="180"/>
      <c r="G133" s="180"/>
      <c r="H133" s="180"/>
      <c r="I133" s="180"/>
      <c r="J133" s="180"/>
      <c r="K133" s="172"/>
      <c r="L133" s="297" t="s">
        <v>6186</v>
      </c>
      <c r="M133" s="298"/>
      <c r="N133" s="298"/>
      <c r="O133" s="298"/>
      <c r="P133" s="298"/>
      <c r="Q133" s="298"/>
      <c r="R133" s="298"/>
      <c r="S133" s="298"/>
      <c r="T133" s="269"/>
      <c r="U133" s="181"/>
      <c r="V133" s="182"/>
      <c r="W133" s="182"/>
      <c r="X133" s="182"/>
      <c r="Y133" s="154"/>
      <c r="Z133" s="116" t="str">
        <f t="shared" si="9"/>
        <v/>
      </c>
      <c r="AA133" s="180"/>
      <c r="AB133" s="180"/>
      <c r="AC133" s="180"/>
      <c r="AD133" s="180"/>
      <c r="AI133" s="291" t="s">
        <v>6162</v>
      </c>
      <c r="AJ133" s="291"/>
      <c r="AK133" s="291"/>
      <c r="AL133" s="291"/>
      <c r="AM133" s="292"/>
      <c r="AN133" s="116">
        <f>AN132*(F32+F38+F39)</f>
        <v>0</v>
      </c>
      <c r="AO133" s="180"/>
      <c r="AP133" s="180"/>
      <c r="AQ133" s="180"/>
      <c r="AR133" s="180"/>
    </row>
    <row r="134" spans="2:49" ht="3.75" customHeight="1" x14ac:dyDescent="0.25"/>
    <row r="135" spans="2:49" ht="21" customHeight="1" x14ac:dyDescent="0.25">
      <c r="U135" s="205" t="s">
        <v>6037</v>
      </c>
      <c r="V135" s="205"/>
      <c r="W135" s="205"/>
      <c r="X135" s="205"/>
      <c r="Y135" s="109"/>
      <c r="Z135" s="112">
        <f>SUM(Z123:AD133)</f>
        <v>0</v>
      </c>
      <c r="AA135" s="296"/>
      <c r="AB135" s="296"/>
      <c r="AC135" s="296"/>
      <c r="AD135" s="296"/>
    </row>
    <row r="136" spans="2:49" ht="18.75" customHeight="1" x14ac:dyDescent="0.25"/>
    <row r="137" spans="2:49" ht="26.25" customHeight="1" x14ac:dyDescent="0.25">
      <c r="B137" s="94" t="s">
        <v>6175</v>
      </c>
      <c r="C137" s="47"/>
      <c r="D137" s="47"/>
      <c r="E137" s="47"/>
      <c r="F137" s="47"/>
      <c r="G137" s="47"/>
      <c r="H137" s="47"/>
      <c r="I137" s="47"/>
      <c r="J137" s="70"/>
      <c r="K137" s="70"/>
      <c r="L137" s="70"/>
      <c r="M137" s="70"/>
      <c r="N137" s="70"/>
      <c r="O137" s="70"/>
      <c r="P137" s="70"/>
      <c r="Q137" s="70"/>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row>
    <row r="138" spans="2:49" ht="3.75" customHeight="1" x14ac:dyDescent="0.25">
      <c r="J138" s="69"/>
      <c r="K138" s="69"/>
      <c r="L138" s="69"/>
      <c r="M138" s="69"/>
      <c r="N138" s="69"/>
      <c r="O138" s="69"/>
      <c r="P138" s="69"/>
      <c r="Q138" s="69"/>
    </row>
    <row r="139" spans="2:49" ht="21" customHeight="1" thickBot="1" x14ac:dyDescent="0.3">
      <c r="B139" s="134" t="s">
        <v>6169</v>
      </c>
      <c r="C139" s="135"/>
      <c r="D139" s="135"/>
      <c r="E139" s="135"/>
      <c r="F139" s="135"/>
      <c r="G139" s="135"/>
      <c r="H139" s="135"/>
      <c r="I139" s="135"/>
      <c r="J139" s="135"/>
      <c r="K139" s="135"/>
      <c r="L139" s="135" t="s">
        <v>6170</v>
      </c>
      <c r="M139" s="135"/>
      <c r="N139" s="135"/>
      <c r="O139" s="135"/>
      <c r="P139" s="135"/>
      <c r="Q139" s="135"/>
      <c r="R139" s="135"/>
      <c r="S139" s="135"/>
      <c r="T139" s="135"/>
      <c r="U139" s="135" t="s">
        <v>6171</v>
      </c>
      <c r="V139" s="135"/>
      <c r="W139" s="135"/>
      <c r="X139" s="135"/>
      <c r="Y139" s="135"/>
      <c r="Z139" s="135" t="s">
        <v>6172</v>
      </c>
      <c r="AA139" s="135"/>
      <c r="AB139" s="135"/>
      <c r="AC139" s="135"/>
      <c r="AD139" s="136"/>
    </row>
    <row r="140" spans="2:49" ht="21" customHeight="1" thickBot="1" x14ac:dyDescent="0.3">
      <c r="B140" s="142" t="s">
        <v>6192</v>
      </c>
      <c r="C140" s="133"/>
      <c r="D140" s="133"/>
      <c r="E140" s="133"/>
      <c r="F140" s="133"/>
      <c r="G140" s="133"/>
      <c r="H140" s="133"/>
      <c r="I140" s="133"/>
      <c r="J140" s="133"/>
      <c r="K140" s="133"/>
      <c r="L140" s="132" t="s">
        <v>6186</v>
      </c>
      <c r="M140" s="132"/>
      <c r="N140" s="132"/>
      <c r="O140" s="132"/>
      <c r="P140" s="132"/>
      <c r="Q140" s="132"/>
      <c r="R140" s="132"/>
      <c r="S140" s="132"/>
      <c r="T140" s="132"/>
      <c r="U140" s="113"/>
      <c r="V140" s="113"/>
      <c r="W140" s="113"/>
      <c r="X140" s="113"/>
      <c r="Y140" s="113"/>
      <c r="Z140" s="133" t="str">
        <f>IF(U140="","",_xlfn.XLOOKUP(L140,$B$119:$AW$119,$B$120:$AW$120)*U140)</f>
        <v/>
      </c>
      <c r="AA140" s="133"/>
      <c r="AB140" s="133"/>
      <c r="AC140" s="133"/>
      <c r="AD140" s="119"/>
    </row>
    <row r="141" spans="2:49" ht="21" customHeight="1" x14ac:dyDescent="0.25">
      <c r="B141" s="172" t="s">
        <v>6193</v>
      </c>
      <c r="C141" s="115"/>
      <c r="D141" s="115"/>
      <c r="E141" s="115"/>
      <c r="F141" s="115"/>
      <c r="G141" s="115"/>
      <c r="H141" s="115"/>
      <c r="I141" s="115"/>
      <c r="J141" s="115"/>
      <c r="K141" s="115"/>
      <c r="L141" s="263" t="s">
        <v>6186</v>
      </c>
      <c r="M141" s="263"/>
      <c r="N141" s="263"/>
      <c r="O141" s="263"/>
      <c r="P141" s="263"/>
      <c r="Q141" s="263"/>
      <c r="R141" s="263"/>
      <c r="S141" s="263"/>
      <c r="T141" s="263"/>
      <c r="U141" s="114"/>
      <c r="V141" s="114"/>
      <c r="W141" s="114"/>
      <c r="X141" s="114"/>
      <c r="Y141" s="114"/>
      <c r="Z141" s="115" t="str">
        <f>IF(U141="","",_xlfn.XLOOKUP(L141,$B$119:$AW$119,$B$120:$AW$120)*U141)</f>
        <v/>
      </c>
      <c r="AA141" s="115"/>
      <c r="AB141" s="115"/>
      <c r="AC141" s="115"/>
      <c r="AD141" s="116"/>
    </row>
    <row r="142" spans="2:49" ht="18.75" customHeight="1" x14ac:dyDescent="0.25"/>
    <row r="143" spans="2:49" ht="26.25" customHeight="1" x14ac:dyDescent="0.25">
      <c r="B143" s="94" t="s">
        <v>6191</v>
      </c>
      <c r="C143" s="47"/>
      <c r="D143" s="47"/>
      <c r="E143" s="47"/>
      <c r="F143" s="47"/>
      <c r="G143" s="47"/>
      <c r="H143" s="47"/>
      <c r="I143" s="47"/>
      <c r="J143" s="70"/>
      <c r="K143" s="70"/>
      <c r="L143" s="70"/>
      <c r="M143" s="70"/>
      <c r="N143" s="70"/>
      <c r="O143" s="70"/>
      <c r="P143" s="70"/>
      <c r="Q143" s="70"/>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row>
    <row r="144" spans="2:49" ht="3.75" customHeight="1" x14ac:dyDescent="0.25">
      <c r="J144" s="69"/>
      <c r="K144" s="69"/>
      <c r="L144" s="69"/>
      <c r="M144" s="69"/>
      <c r="N144" s="69"/>
      <c r="O144" s="69"/>
      <c r="P144" s="69"/>
      <c r="Q144" s="69"/>
    </row>
    <row r="145" spans="2:49" ht="21" customHeight="1" thickBot="1" x14ac:dyDescent="0.3">
      <c r="B145" s="134" t="s">
        <v>6169</v>
      </c>
      <c r="C145" s="135"/>
      <c r="D145" s="135"/>
      <c r="E145" s="135"/>
      <c r="F145" s="135"/>
      <c r="G145" s="135"/>
      <c r="H145" s="135"/>
      <c r="I145" s="135"/>
      <c r="J145" s="135"/>
      <c r="K145" s="135"/>
      <c r="L145" s="135" t="s">
        <v>6170</v>
      </c>
      <c r="M145" s="135"/>
      <c r="N145" s="135"/>
      <c r="O145" s="135"/>
      <c r="P145" s="135"/>
      <c r="Q145" s="135"/>
      <c r="R145" s="135"/>
      <c r="S145" s="135"/>
      <c r="T145" s="135"/>
      <c r="U145" s="135" t="s">
        <v>6171</v>
      </c>
      <c r="V145" s="135"/>
      <c r="W145" s="135"/>
      <c r="X145" s="135"/>
      <c r="Y145" s="135"/>
      <c r="Z145" s="135" t="s">
        <v>6172</v>
      </c>
      <c r="AA145" s="135"/>
      <c r="AB145" s="135"/>
      <c r="AC145" s="135"/>
      <c r="AD145" s="136"/>
    </row>
    <row r="146" spans="2:49" ht="21" customHeight="1" thickBot="1" x14ac:dyDescent="0.3">
      <c r="B146" s="142" t="s">
        <v>6196</v>
      </c>
      <c r="C146" s="133"/>
      <c r="D146" s="133"/>
      <c r="E146" s="133"/>
      <c r="F146" s="133"/>
      <c r="G146" s="133"/>
      <c r="H146" s="133"/>
      <c r="I146" s="133"/>
      <c r="J146" s="133"/>
      <c r="K146" s="133"/>
      <c r="L146" s="132" t="s">
        <v>6195</v>
      </c>
      <c r="M146" s="132"/>
      <c r="N146" s="132"/>
      <c r="O146" s="132"/>
      <c r="P146" s="132"/>
      <c r="Q146" s="132"/>
      <c r="R146" s="132"/>
      <c r="S146" s="132"/>
      <c r="T146" s="132"/>
      <c r="U146" s="113"/>
      <c r="V146" s="113"/>
      <c r="W146" s="113"/>
      <c r="X146" s="113"/>
      <c r="Y146" s="113"/>
      <c r="Z146" s="133" t="str">
        <f>IF(U146="","",_xlfn.XLOOKUP(L146,$B$119:$AW$119,$B$120:$AW$120)*U146)</f>
        <v/>
      </c>
      <c r="AA146" s="133"/>
      <c r="AB146" s="133"/>
      <c r="AC146" s="133"/>
      <c r="AD146" s="119"/>
      <c r="AI146" s="134" t="s">
        <v>6173</v>
      </c>
      <c r="AJ146" s="135"/>
      <c r="AK146" s="135"/>
      <c r="AL146" s="135"/>
      <c r="AM146" s="135"/>
      <c r="AN146" s="135"/>
      <c r="AO146" s="135"/>
      <c r="AP146" s="135"/>
      <c r="AQ146" s="135"/>
      <c r="AR146" s="135"/>
      <c r="AS146" s="136"/>
    </row>
    <row r="147" spans="2:49" ht="21" customHeight="1" thickBot="1" x14ac:dyDescent="0.3">
      <c r="B147" s="142" t="s">
        <v>6197</v>
      </c>
      <c r="C147" s="133"/>
      <c r="D147" s="133"/>
      <c r="E147" s="133"/>
      <c r="F147" s="133"/>
      <c r="G147" s="133"/>
      <c r="H147" s="133"/>
      <c r="I147" s="133"/>
      <c r="J147" s="133"/>
      <c r="K147" s="133"/>
      <c r="L147" s="132" t="s">
        <v>6195</v>
      </c>
      <c r="M147" s="132"/>
      <c r="N147" s="132"/>
      <c r="O147" s="132"/>
      <c r="P147" s="132"/>
      <c r="Q147" s="132"/>
      <c r="R147" s="132"/>
      <c r="S147" s="132"/>
      <c r="T147" s="132"/>
      <c r="U147" s="113"/>
      <c r="V147" s="113"/>
      <c r="W147" s="113"/>
      <c r="X147" s="113"/>
      <c r="Y147" s="113"/>
      <c r="Z147" s="133" t="str">
        <f t="shared" ref="Z147:Z152" si="10">IF(U147="","",_xlfn.XLOOKUP(L147,$B$119:$AW$119,$B$120:$AW$120)*U147)</f>
        <v/>
      </c>
      <c r="AA147" s="133"/>
      <c r="AB147" s="133"/>
      <c r="AC147" s="133"/>
      <c r="AD147" s="119"/>
      <c r="AI147" s="118" t="s">
        <v>6188</v>
      </c>
      <c r="AJ147" s="152"/>
      <c r="AK147" s="152"/>
      <c r="AL147" s="152"/>
      <c r="AM147" s="152"/>
      <c r="AN147" s="264" t="s">
        <v>6195</v>
      </c>
      <c r="AO147" s="264"/>
      <c r="AP147" s="264"/>
      <c r="AQ147" s="264"/>
      <c r="AR147" s="264"/>
      <c r="AS147" s="140"/>
    </row>
    <row r="148" spans="2:49" ht="21" customHeight="1" thickBot="1" x14ac:dyDescent="0.3">
      <c r="B148" s="142" t="s">
        <v>6198</v>
      </c>
      <c r="C148" s="133"/>
      <c r="D148" s="133"/>
      <c r="E148" s="133"/>
      <c r="F148" s="133"/>
      <c r="G148" s="133"/>
      <c r="H148" s="133"/>
      <c r="I148" s="133"/>
      <c r="J148" s="133"/>
      <c r="K148" s="133"/>
      <c r="L148" s="132" t="s">
        <v>6195</v>
      </c>
      <c r="M148" s="132"/>
      <c r="N148" s="132"/>
      <c r="O148" s="132"/>
      <c r="P148" s="132"/>
      <c r="Q148" s="132"/>
      <c r="R148" s="132"/>
      <c r="S148" s="132"/>
      <c r="T148" s="132"/>
      <c r="U148" s="113"/>
      <c r="V148" s="113"/>
      <c r="W148" s="113"/>
      <c r="X148" s="113"/>
      <c r="Y148" s="113"/>
      <c r="Z148" s="133" t="str">
        <f t="shared" si="10"/>
        <v/>
      </c>
      <c r="AA148" s="133"/>
      <c r="AB148" s="133"/>
      <c r="AC148" s="133"/>
      <c r="AD148" s="119"/>
      <c r="AI148" s="118" t="s">
        <v>6204</v>
      </c>
      <c r="AJ148" s="152"/>
      <c r="AK148" s="152"/>
      <c r="AL148" s="152"/>
      <c r="AM148" s="152"/>
      <c r="AN148" s="113"/>
      <c r="AO148" s="113"/>
      <c r="AP148" s="133" t="str">
        <f>IF(AN148="","",_xlfn.XLOOKUP(AN147,$B$119:$AW$119,$B$120:$AW$120)*AN148)</f>
        <v/>
      </c>
      <c r="AQ148" s="133"/>
      <c r="AR148" s="133"/>
      <c r="AS148" s="119"/>
    </row>
    <row r="149" spans="2:49" ht="21" customHeight="1" thickBot="1" x14ac:dyDescent="0.3">
      <c r="B149" s="142" t="s">
        <v>6199</v>
      </c>
      <c r="C149" s="133"/>
      <c r="D149" s="133"/>
      <c r="E149" s="133"/>
      <c r="F149" s="133"/>
      <c r="G149" s="133"/>
      <c r="H149" s="133"/>
      <c r="I149" s="133"/>
      <c r="J149" s="133"/>
      <c r="K149" s="133"/>
      <c r="L149" s="132" t="s">
        <v>6195</v>
      </c>
      <c r="M149" s="132"/>
      <c r="N149" s="132"/>
      <c r="O149" s="132"/>
      <c r="P149" s="132"/>
      <c r="Q149" s="132"/>
      <c r="R149" s="132"/>
      <c r="S149" s="132"/>
      <c r="T149" s="132"/>
      <c r="U149" s="113"/>
      <c r="V149" s="113"/>
      <c r="W149" s="113"/>
      <c r="X149" s="113"/>
      <c r="Y149" s="113"/>
      <c r="Z149" s="133" t="str">
        <f t="shared" si="10"/>
        <v/>
      </c>
      <c r="AA149" s="133"/>
      <c r="AB149" s="133"/>
      <c r="AC149" s="133"/>
      <c r="AD149" s="119"/>
      <c r="AI149" s="118" t="s">
        <v>6196</v>
      </c>
      <c r="AJ149" s="152"/>
      <c r="AK149" s="152"/>
      <c r="AL149" s="152"/>
      <c r="AM149" s="152"/>
      <c r="AN149" s="113"/>
      <c r="AO149" s="113"/>
      <c r="AP149" s="133" t="str">
        <f>IF(AN149="","",AN149*AP148)</f>
        <v/>
      </c>
      <c r="AQ149" s="133"/>
      <c r="AR149" s="133"/>
      <c r="AS149" s="119"/>
    </row>
    <row r="150" spans="2:49" ht="21" customHeight="1" thickBot="1" x14ac:dyDescent="0.3">
      <c r="B150" s="142" t="s">
        <v>6200</v>
      </c>
      <c r="C150" s="133"/>
      <c r="D150" s="133"/>
      <c r="E150" s="133"/>
      <c r="F150" s="133"/>
      <c r="G150" s="133"/>
      <c r="H150" s="133"/>
      <c r="I150" s="133"/>
      <c r="J150" s="133"/>
      <c r="K150" s="133"/>
      <c r="L150" s="132" t="s">
        <v>6195</v>
      </c>
      <c r="M150" s="132"/>
      <c r="N150" s="132"/>
      <c r="O150" s="132"/>
      <c r="P150" s="132"/>
      <c r="Q150" s="132"/>
      <c r="R150" s="132"/>
      <c r="S150" s="132"/>
      <c r="T150" s="132"/>
      <c r="U150" s="113"/>
      <c r="V150" s="113"/>
      <c r="W150" s="113"/>
      <c r="X150" s="113"/>
      <c r="Y150" s="113"/>
      <c r="Z150" s="133" t="str">
        <f t="shared" si="10"/>
        <v/>
      </c>
      <c r="AA150" s="133"/>
      <c r="AB150" s="133"/>
      <c r="AC150" s="133"/>
      <c r="AD150" s="119"/>
      <c r="AI150" s="118" t="s">
        <v>6205</v>
      </c>
      <c r="AJ150" s="152"/>
      <c r="AK150" s="152"/>
      <c r="AL150" s="152"/>
      <c r="AM150" s="152"/>
      <c r="AN150" s="113"/>
      <c r="AO150" s="113"/>
      <c r="AP150" s="133" t="str">
        <f>IF(AN150="","",AN150*AP148)</f>
        <v/>
      </c>
      <c r="AQ150" s="133"/>
      <c r="AR150" s="133"/>
      <c r="AS150" s="119"/>
    </row>
    <row r="151" spans="2:49" ht="21" customHeight="1" thickBot="1" x14ac:dyDescent="0.3">
      <c r="B151" s="142" t="s">
        <v>6201</v>
      </c>
      <c r="C151" s="133"/>
      <c r="D151" s="133"/>
      <c r="E151" s="133"/>
      <c r="F151" s="133"/>
      <c r="G151" s="133"/>
      <c r="H151" s="133"/>
      <c r="I151" s="133"/>
      <c r="J151" s="133"/>
      <c r="K151" s="133"/>
      <c r="L151" s="132" t="s">
        <v>6195</v>
      </c>
      <c r="M151" s="132"/>
      <c r="N151" s="132"/>
      <c r="O151" s="132"/>
      <c r="P151" s="132"/>
      <c r="Q151" s="132"/>
      <c r="R151" s="132"/>
      <c r="S151" s="132"/>
      <c r="T151" s="132"/>
      <c r="U151" s="113"/>
      <c r="V151" s="113"/>
      <c r="W151" s="113"/>
      <c r="X151" s="113"/>
      <c r="Y151" s="113"/>
      <c r="Z151" s="133" t="str">
        <f t="shared" si="10"/>
        <v/>
      </c>
      <c r="AA151" s="133"/>
      <c r="AB151" s="133"/>
      <c r="AC151" s="133"/>
      <c r="AD151" s="119"/>
      <c r="AI151" s="292" t="s">
        <v>6206</v>
      </c>
      <c r="AJ151" s="295"/>
      <c r="AK151" s="295"/>
      <c r="AL151" s="295"/>
      <c r="AM151" s="295"/>
      <c r="AN151" s="114"/>
      <c r="AO151" s="114"/>
      <c r="AP151" s="115" t="str">
        <f>IF(AN150="","",AN151*AP150)</f>
        <v/>
      </c>
      <c r="AQ151" s="115"/>
      <c r="AR151" s="115"/>
      <c r="AS151" s="116"/>
    </row>
    <row r="152" spans="2:49" ht="21" customHeight="1" x14ac:dyDescent="0.25">
      <c r="B152" s="172" t="s">
        <v>6202</v>
      </c>
      <c r="C152" s="115"/>
      <c r="D152" s="115"/>
      <c r="E152" s="115"/>
      <c r="F152" s="115"/>
      <c r="G152" s="115"/>
      <c r="H152" s="115"/>
      <c r="I152" s="115"/>
      <c r="J152" s="115"/>
      <c r="K152" s="115"/>
      <c r="L152" s="263" t="s">
        <v>6195</v>
      </c>
      <c r="M152" s="263"/>
      <c r="N152" s="263"/>
      <c r="O152" s="263"/>
      <c r="P152" s="263"/>
      <c r="Q152" s="263"/>
      <c r="R152" s="263"/>
      <c r="S152" s="263"/>
      <c r="T152" s="263"/>
      <c r="U152" s="114"/>
      <c r="V152" s="114"/>
      <c r="W152" s="114"/>
      <c r="X152" s="114"/>
      <c r="Y152" s="114"/>
      <c r="Z152" s="115" t="str">
        <f t="shared" si="10"/>
        <v/>
      </c>
      <c r="AA152" s="115"/>
      <c r="AB152" s="115"/>
      <c r="AC152" s="115"/>
      <c r="AD152" s="116"/>
    </row>
    <row r="153" spans="2:49" ht="3.75" customHeight="1" x14ac:dyDescent="0.25"/>
    <row r="154" spans="2:49" ht="21" customHeight="1" x14ac:dyDescent="0.25">
      <c r="U154" s="109" t="s">
        <v>6037</v>
      </c>
      <c r="V154" s="110"/>
      <c r="W154" s="110"/>
      <c r="X154" s="110"/>
      <c r="Y154" s="110"/>
      <c r="Z154" s="111">
        <f>SUM(Z146:AD152)</f>
        <v>0</v>
      </c>
      <c r="AA154" s="111"/>
      <c r="AB154" s="111"/>
      <c r="AC154" s="111"/>
      <c r="AD154" s="112"/>
    </row>
    <row r="155" spans="2:49" ht="18.75" customHeight="1" x14ac:dyDescent="0.25"/>
    <row r="156" spans="2:49" ht="26.25" customHeight="1" x14ac:dyDescent="0.25">
      <c r="B156" s="94" t="s">
        <v>6203</v>
      </c>
      <c r="C156" s="47"/>
      <c r="D156" s="47"/>
      <c r="E156" s="47"/>
      <c r="F156" s="47"/>
      <c r="G156" s="47"/>
      <c r="H156" s="47"/>
      <c r="I156" s="47"/>
      <c r="J156" s="70"/>
      <c r="K156" s="70"/>
      <c r="L156" s="70"/>
      <c r="M156" s="70"/>
      <c r="N156" s="70"/>
      <c r="O156" s="70"/>
      <c r="P156" s="70"/>
      <c r="Q156" s="70"/>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row>
    <row r="157" spans="2:49" ht="3.75" customHeight="1" x14ac:dyDescent="0.25">
      <c r="J157" s="69"/>
      <c r="K157" s="69"/>
      <c r="L157" s="69"/>
      <c r="M157" s="69"/>
      <c r="N157" s="69"/>
      <c r="O157" s="69"/>
      <c r="P157" s="69"/>
      <c r="Q157" s="69"/>
    </row>
    <row r="158" spans="2:49" ht="21" customHeight="1" thickBot="1" x14ac:dyDescent="0.3">
      <c r="B158" s="134" t="s">
        <v>6169</v>
      </c>
      <c r="C158" s="135"/>
      <c r="D158" s="135"/>
      <c r="E158" s="135"/>
      <c r="F158" s="135"/>
      <c r="G158" s="135"/>
      <c r="H158" s="135"/>
      <c r="I158" s="135"/>
      <c r="J158" s="135"/>
      <c r="K158" s="135"/>
      <c r="L158" s="135" t="s">
        <v>6170</v>
      </c>
      <c r="M158" s="135"/>
      <c r="N158" s="135"/>
      <c r="O158" s="135"/>
      <c r="P158" s="135"/>
      <c r="Q158" s="135"/>
      <c r="R158" s="135"/>
      <c r="S158" s="135"/>
      <c r="T158" s="135"/>
      <c r="U158" s="135" t="s">
        <v>6171</v>
      </c>
      <c r="V158" s="135"/>
      <c r="W158" s="135"/>
      <c r="X158" s="135"/>
      <c r="Y158" s="135"/>
      <c r="Z158" s="135" t="s">
        <v>6172</v>
      </c>
      <c r="AA158" s="135"/>
      <c r="AB158" s="135"/>
      <c r="AC158" s="135"/>
      <c r="AD158" s="136"/>
    </row>
    <row r="159" spans="2:49" ht="21" customHeight="1" thickBot="1" x14ac:dyDescent="0.3">
      <c r="B159" s="142" t="s">
        <v>6207</v>
      </c>
      <c r="C159" s="133"/>
      <c r="D159" s="133"/>
      <c r="E159" s="133"/>
      <c r="F159" s="133"/>
      <c r="G159" s="133"/>
      <c r="H159" s="133"/>
      <c r="I159" s="133"/>
      <c r="J159" s="133"/>
      <c r="K159" s="133"/>
      <c r="L159" s="132" t="s">
        <v>6186</v>
      </c>
      <c r="M159" s="132"/>
      <c r="N159" s="132"/>
      <c r="O159" s="132"/>
      <c r="P159" s="132"/>
      <c r="Q159" s="132"/>
      <c r="R159" s="132"/>
      <c r="S159" s="132"/>
      <c r="T159" s="132"/>
      <c r="U159" s="113"/>
      <c r="V159" s="113"/>
      <c r="W159" s="113"/>
      <c r="X159" s="113"/>
      <c r="Y159" s="113"/>
      <c r="Z159" s="133" t="str">
        <f>IF(U159="","",_xlfn.XLOOKUP(L159,$B$119:$AW$119,$B$120:$AW$120)*U159)</f>
        <v/>
      </c>
      <c r="AA159" s="133"/>
      <c r="AB159" s="133"/>
      <c r="AC159" s="133"/>
      <c r="AD159" s="119"/>
    </row>
    <row r="160" spans="2:49" ht="21" customHeight="1" thickBot="1" x14ac:dyDescent="0.3">
      <c r="B160" s="142" t="s">
        <v>6184</v>
      </c>
      <c r="C160" s="133"/>
      <c r="D160" s="133"/>
      <c r="E160" s="133"/>
      <c r="F160" s="133"/>
      <c r="G160" s="133"/>
      <c r="H160" s="133"/>
      <c r="I160" s="133"/>
      <c r="J160" s="133"/>
      <c r="K160" s="133"/>
      <c r="L160" s="132" t="s">
        <v>6186</v>
      </c>
      <c r="M160" s="132"/>
      <c r="N160" s="132"/>
      <c r="O160" s="132"/>
      <c r="P160" s="132"/>
      <c r="Q160" s="132"/>
      <c r="R160" s="132"/>
      <c r="S160" s="132"/>
      <c r="T160" s="132"/>
      <c r="U160" s="113"/>
      <c r="V160" s="113"/>
      <c r="W160" s="113"/>
      <c r="X160" s="113"/>
      <c r="Y160" s="113"/>
      <c r="Z160" s="133" t="str">
        <f t="shared" ref="Z160:Z162" si="11">IF(U160="","",_xlfn.XLOOKUP(L160,$B$119:$AW$119,$B$120:$AW$120)*U160)</f>
        <v/>
      </c>
      <c r="AA160" s="133"/>
      <c r="AB160" s="133"/>
      <c r="AC160" s="133"/>
      <c r="AD160" s="119"/>
    </row>
    <row r="161" spans="2:49" ht="21" customHeight="1" thickBot="1" x14ac:dyDescent="0.3">
      <c r="B161" s="142" t="s">
        <v>6208</v>
      </c>
      <c r="C161" s="133"/>
      <c r="D161" s="133"/>
      <c r="E161" s="133"/>
      <c r="F161" s="133"/>
      <c r="G161" s="133"/>
      <c r="H161" s="133"/>
      <c r="I161" s="133"/>
      <c r="J161" s="133"/>
      <c r="K161" s="133"/>
      <c r="L161" s="132" t="s">
        <v>6186</v>
      </c>
      <c r="M161" s="132"/>
      <c r="N161" s="132"/>
      <c r="O161" s="132"/>
      <c r="P161" s="132"/>
      <c r="Q161" s="132"/>
      <c r="R161" s="132"/>
      <c r="S161" s="132"/>
      <c r="T161" s="132"/>
      <c r="U161" s="113"/>
      <c r="V161" s="113"/>
      <c r="W161" s="113"/>
      <c r="X161" s="113"/>
      <c r="Y161" s="113"/>
      <c r="Z161" s="133" t="str">
        <f t="shared" si="11"/>
        <v/>
      </c>
      <c r="AA161" s="133"/>
      <c r="AB161" s="133"/>
      <c r="AC161" s="133"/>
      <c r="AD161" s="119"/>
    </row>
    <row r="162" spans="2:49" ht="21" customHeight="1" thickBot="1" x14ac:dyDescent="0.3">
      <c r="B162" s="142" t="s">
        <v>6202</v>
      </c>
      <c r="C162" s="133"/>
      <c r="D162" s="133"/>
      <c r="E162" s="133"/>
      <c r="F162" s="133"/>
      <c r="G162" s="133"/>
      <c r="H162" s="133"/>
      <c r="I162" s="133"/>
      <c r="J162" s="133"/>
      <c r="K162" s="133"/>
      <c r="L162" s="132" t="s">
        <v>6186</v>
      </c>
      <c r="M162" s="132"/>
      <c r="N162" s="132"/>
      <c r="O162" s="132"/>
      <c r="P162" s="132"/>
      <c r="Q162" s="132"/>
      <c r="R162" s="132"/>
      <c r="S162" s="132"/>
      <c r="T162" s="132"/>
      <c r="U162" s="113"/>
      <c r="V162" s="113"/>
      <c r="W162" s="113"/>
      <c r="X162" s="113"/>
      <c r="Y162" s="113"/>
      <c r="Z162" s="133" t="str">
        <f t="shared" si="11"/>
        <v/>
      </c>
      <c r="AA162" s="133"/>
      <c r="AB162" s="133"/>
      <c r="AC162" s="133"/>
      <c r="AD162" s="119"/>
    </row>
    <row r="163" spans="2:49" ht="3.75" customHeight="1" x14ac:dyDescent="0.25"/>
    <row r="164" spans="2:49" ht="21" customHeight="1" x14ac:dyDescent="0.25">
      <c r="U164" s="109" t="s">
        <v>6037</v>
      </c>
      <c r="V164" s="110"/>
      <c r="W164" s="110"/>
      <c r="X164" s="110"/>
      <c r="Y164" s="110"/>
      <c r="Z164" s="111">
        <f>SUM(Z159:AD162)</f>
        <v>0</v>
      </c>
      <c r="AA164" s="111"/>
      <c r="AB164" s="111"/>
      <c r="AC164" s="111"/>
      <c r="AD164" s="112"/>
    </row>
    <row r="165" spans="2:49" ht="18.75" customHeight="1" x14ac:dyDescent="0.25"/>
    <row r="166" spans="2:49" ht="26.25" customHeight="1" x14ac:dyDescent="0.25">
      <c r="B166" s="94" t="s">
        <v>6013</v>
      </c>
      <c r="C166" s="47"/>
      <c r="D166" s="47"/>
      <c r="E166" s="47"/>
      <c r="F166" s="47"/>
      <c r="G166" s="47"/>
      <c r="H166" s="47"/>
      <c r="I166" s="47"/>
      <c r="J166" s="70"/>
      <c r="K166" s="70"/>
      <c r="L166" s="70"/>
      <c r="M166" s="70"/>
      <c r="N166" s="70"/>
      <c r="O166" s="70"/>
      <c r="P166" s="70"/>
      <c r="Q166" s="70"/>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row>
    <row r="167" spans="2:49" ht="3.75" customHeight="1" x14ac:dyDescent="0.25">
      <c r="J167" s="69"/>
      <c r="K167" s="69"/>
      <c r="L167" s="69"/>
      <c r="M167" s="69"/>
      <c r="N167" s="69"/>
      <c r="O167" s="69"/>
      <c r="P167" s="69"/>
      <c r="Q167" s="69"/>
    </row>
    <row r="168" spans="2:49" ht="21" customHeight="1" thickBot="1" x14ac:dyDescent="0.3">
      <c r="B168" s="134" t="s">
        <v>6167</v>
      </c>
      <c r="C168" s="135"/>
      <c r="D168" s="135"/>
      <c r="E168" s="135"/>
      <c r="F168" s="135"/>
      <c r="G168" s="135"/>
      <c r="H168" s="135"/>
      <c r="I168" s="135"/>
      <c r="J168" s="135"/>
      <c r="K168" s="135"/>
      <c r="L168" s="135" t="s">
        <v>6021</v>
      </c>
      <c r="M168" s="135"/>
      <c r="N168" s="135"/>
      <c r="O168" s="135"/>
      <c r="P168" s="135"/>
      <c r="Q168" s="135"/>
      <c r="R168" s="135"/>
      <c r="S168" s="135"/>
      <c r="T168" s="135"/>
      <c r="U168" s="135" t="s">
        <v>6209</v>
      </c>
      <c r="V168" s="135"/>
      <c r="W168" s="135"/>
      <c r="X168" s="135"/>
      <c r="Y168" s="135"/>
      <c r="Z168" s="135"/>
      <c r="AA168" s="135"/>
      <c r="AB168" s="135"/>
      <c r="AC168" s="135"/>
      <c r="AD168" s="136"/>
    </row>
    <row r="169" spans="2:49" ht="21" customHeight="1" x14ac:dyDescent="0.25">
      <c r="B169" s="137">
        <f>AE120</f>
        <v>0</v>
      </c>
      <c r="C169" s="106"/>
      <c r="D169" s="106"/>
      <c r="E169" s="106"/>
      <c r="F169" s="106"/>
      <c r="G169" s="106"/>
      <c r="H169" s="106"/>
      <c r="I169" s="106"/>
      <c r="J169" s="106"/>
      <c r="K169" s="106"/>
      <c r="L169" s="106">
        <f>IF(Z146="",0,Z146)</f>
        <v>0</v>
      </c>
      <c r="M169" s="106"/>
      <c r="N169" s="106"/>
      <c r="O169" s="106"/>
      <c r="P169" s="106"/>
      <c r="Q169" s="106"/>
      <c r="R169" s="106"/>
      <c r="S169" s="106"/>
      <c r="T169" s="106"/>
      <c r="U169" s="106">
        <f>IF(Z147="",0,Z147)</f>
        <v>0</v>
      </c>
      <c r="V169" s="106"/>
      <c r="W169" s="106"/>
      <c r="X169" s="106"/>
      <c r="Y169" s="106"/>
      <c r="Z169" s="106"/>
      <c r="AA169" s="106"/>
      <c r="AB169" s="106"/>
      <c r="AC169" s="106"/>
      <c r="AD169" s="107"/>
    </row>
    <row r="170" spans="2:49" ht="18.75" customHeight="1" x14ac:dyDescent="0.25"/>
    <row r="171" spans="2:49" ht="21" customHeight="1" thickBot="1" x14ac:dyDescent="0.3">
      <c r="B171" s="134" t="s">
        <v>6170</v>
      </c>
      <c r="C171" s="135"/>
      <c r="D171" s="135"/>
      <c r="E171" s="135"/>
      <c r="F171" s="135"/>
      <c r="G171" s="135"/>
      <c r="H171" s="135"/>
      <c r="I171" s="135"/>
      <c r="J171" s="135"/>
      <c r="K171" s="135"/>
      <c r="L171" s="135" t="s">
        <v>6171</v>
      </c>
      <c r="M171" s="135"/>
      <c r="N171" s="135"/>
      <c r="O171" s="135"/>
      <c r="P171" s="135"/>
      <c r="Q171" s="135"/>
      <c r="R171" s="135"/>
      <c r="S171" s="135"/>
      <c r="T171" s="135"/>
      <c r="U171" s="135" t="s">
        <v>6172</v>
      </c>
      <c r="V171" s="135"/>
      <c r="W171" s="135"/>
      <c r="X171" s="135"/>
      <c r="Y171" s="135"/>
      <c r="Z171" s="135"/>
      <c r="AA171" s="135"/>
      <c r="AB171" s="135"/>
      <c r="AC171" s="135"/>
      <c r="AD171" s="136"/>
    </row>
    <row r="172" spans="2:49" ht="21" customHeight="1" x14ac:dyDescent="0.25">
      <c r="B172" s="269" t="s">
        <v>6211</v>
      </c>
      <c r="C172" s="263"/>
      <c r="D172" s="263"/>
      <c r="E172" s="263"/>
      <c r="F172" s="263"/>
      <c r="G172" s="263"/>
      <c r="H172" s="263"/>
      <c r="I172" s="263"/>
      <c r="J172" s="263"/>
      <c r="K172" s="263"/>
      <c r="L172" s="114"/>
      <c r="M172" s="114"/>
      <c r="N172" s="114"/>
      <c r="O172" s="114"/>
      <c r="P172" s="114"/>
      <c r="Q172" s="114"/>
      <c r="R172" s="114"/>
      <c r="S172" s="114"/>
      <c r="T172" s="114"/>
      <c r="U172" s="115" t="str">
        <f>IF(L172="","",IF(B172="VGV Nominal",B169*L172,IF(B172="Sem Corretagem",((B169-L169)*L172),(B169-L169-U169)*L172)))</f>
        <v/>
      </c>
      <c r="V172" s="115"/>
      <c r="W172" s="115"/>
      <c r="X172" s="115"/>
      <c r="Y172" s="115"/>
      <c r="Z172" s="115"/>
      <c r="AA172" s="115"/>
      <c r="AB172" s="115"/>
      <c r="AC172" s="115"/>
      <c r="AD172" s="116"/>
    </row>
    <row r="173" spans="2:49" ht="18.75" customHeight="1" x14ac:dyDescent="0.25"/>
    <row r="174" spans="2:49" ht="26.25" customHeight="1" x14ac:dyDescent="0.25">
      <c r="B174" s="94" t="s">
        <v>6210</v>
      </c>
      <c r="C174" s="47"/>
      <c r="D174" s="47"/>
      <c r="E174" s="47"/>
      <c r="F174" s="47"/>
      <c r="G174" s="47"/>
      <c r="H174" s="47"/>
      <c r="I174" s="47"/>
      <c r="J174" s="70"/>
      <c r="K174" s="70"/>
      <c r="L174" s="70"/>
      <c r="M174" s="70"/>
      <c r="N174" s="70"/>
      <c r="O174" s="70"/>
      <c r="P174" s="70"/>
      <c r="Q174" s="70"/>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row>
    <row r="175" spans="2:49" ht="3.75" customHeight="1" x14ac:dyDescent="0.25">
      <c r="J175" s="69"/>
      <c r="K175" s="69"/>
      <c r="L175" s="69"/>
      <c r="M175" s="69"/>
      <c r="N175" s="69"/>
      <c r="O175" s="69"/>
      <c r="P175" s="69"/>
      <c r="Q175" s="69"/>
    </row>
    <row r="176" spans="2:49" ht="21" customHeight="1" thickBot="1" x14ac:dyDescent="0.3">
      <c r="B176" s="134" t="s">
        <v>6170</v>
      </c>
      <c r="C176" s="135"/>
      <c r="D176" s="135"/>
      <c r="E176" s="135"/>
      <c r="F176" s="135"/>
      <c r="G176" s="135"/>
      <c r="H176" s="135"/>
      <c r="I176" s="135"/>
      <c r="J176" s="135"/>
      <c r="K176" s="135"/>
      <c r="L176" s="135" t="s">
        <v>6212</v>
      </c>
      <c r="M176" s="135"/>
      <c r="N176" s="135"/>
      <c r="O176" s="135"/>
      <c r="P176" s="135"/>
      <c r="Q176" s="135"/>
      <c r="R176" s="135"/>
      <c r="S176" s="135"/>
      <c r="T176" s="135"/>
      <c r="U176" s="135" t="s">
        <v>6213</v>
      </c>
      <c r="V176" s="135"/>
      <c r="W176" s="135"/>
      <c r="X176" s="135"/>
      <c r="Y176" s="135"/>
      <c r="Z176" s="135" t="s">
        <v>6098</v>
      </c>
      <c r="AA176" s="135"/>
      <c r="AB176" s="135"/>
      <c r="AC176" s="135"/>
      <c r="AD176" s="136"/>
    </row>
    <row r="177" spans="2:49" ht="21" customHeight="1" x14ac:dyDescent="0.25">
      <c r="B177" s="267"/>
      <c r="C177" s="268"/>
      <c r="D177" s="268"/>
      <c r="E177" s="268"/>
      <c r="F177" s="268"/>
      <c r="G177" s="268"/>
      <c r="H177" s="268"/>
      <c r="I177" s="268"/>
      <c r="J177" s="268"/>
      <c r="K177" s="268"/>
      <c r="L177" s="265"/>
      <c r="M177" s="265"/>
      <c r="N177" s="265"/>
      <c r="O177" s="265"/>
      <c r="P177" s="265"/>
      <c r="Q177" s="265"/>
      <c r="R177" s="265"/>
      <c r="S177" s="265"/>
      <c r="T177" s="265"/>
      <c r="U177" s="266"/>
      <c r="V177" s="266"/>
      <c r="W177" s="266"/>
      <c r="X177" s="266"/>
      <c r="Y177" s="266"/>
      <c r="Z177" s="115">
        <f>(-FV(L177,U177,,B177))-B177</f>
        <v>0</v>
      </c>
      <c r="AA177" s="115"/>
      <c r="AB177" s="115"/>
      <c r="AC177" s="115"/>
      <c r="AD177" s="116"/>
    </row>
    <row r="178" spans="2:49" ht="18.75" customHeight="1" x14ac:dyDescent="0.25"/>
    <row r="179" spans="2:49" ht="26.25" customHeight="1" x14ac:dyDescent="0.25">
      <c r="B179" s="78" t="s">
        <v>6214</v>
      </c>
      <c r="C179" s="76"/>
      <c r="D179" s="76"/>
      <c r="E179" s="76"/>
      <c r="F179" s="76"/>
      <c r="G179" s="76"/>
      <c r="H179" s="76"/>
      <c r="I179" s="76"/>
      <c r="J179" s="77"/>
      <c r="K179" s="77"/>
      <c r="L179" s="77"/>
      <c r="M179" s="77"/>
      <c r="N179" s="77"/>
      <c r="O179" s="77"/>
      <c r="P179" s="77"/>
      <c r="Q179" s="77"/>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row>
    <row r="180" spans="2:49" ht="3.75" customHeight="1" x14ac:dyDescent="0.25">
      <c r="J180" s="69"/>
      <c r="K180" s="69"/>
      <c r="L180" s="69"/>
      <c r="M180" s="69"/>
      <c r="N180" s="69"/>
      <c r="O180" s="69"/>
      <c r="P180" s="69"/>
      <c r="Q180" s="69"/>
    </row>
    <row r="181" spans="2:49" ht="22.5" customHeight="1" thickBot="1" x14ac:dyDescent="0.3">
      <c r="B181" s="79"/>
      <c r="C181" s="79"/>
      <c r="D181" s="271" t="s">
        <v>6229</v>
      </c>
      <c r="E181" s="271"/>
      <c r="F181" s="271"/>
      <c r="G181" s="271"/>
      <c r="H181" s="271"/>
      <c r="I181" s="271"/>
      <c r="J181" s="271"/>
      <c r="K181" s="271"/>
      <c r="L181" s="271"/>
      <c r="M181" s="271"/>
      <c r="N181" s="271"/>
      <c r="O181" s="88"/>
      <c r="P181" s="88"/>
      <c r="Q181" s="88"/>
      <c r="R181" s="88"/>
      <c r="S181" s="88"/>
      <c r="T181" s="88"/>
      <c r="U181" s="88"/>
      <c r="V181" s="88"/>
      <c r="W181" s="88"/>
      <c r="X181" s="88"/>
      <c r="Y181" s="88"/>
      <c r="Z181" s="88"/>
      <c r="AA181" s="88"/>
      <c r="AB181" s="88"/>
      <c r="AC181" s="88"/>
      <c r="AD181" s="88"/>
      <c r="AE181" s="88"/>
      <c r="AF181" s="88"/>
      <c r="AG181" s="88"/>
      <c r="AH181" s="278">
        <f>AH46</f>
        <v>0</v>
      </c>
      <c r="AI181" s="279"/>
      <c r="AJ181" s="279"/>
      <c r="AK181" s="279"/>
      <c r="AL181" s="279"/>
      <c r="AM181" s="279"/>
      <c r="AN181" s="278" t="str">
        <f>IFERROR(AH181/$J$46,"")</f>
        <v/>
      </c>
      <c r="AO181" s="278"/>
      <c r="AP181" s="278"/>
      <c r="AQ181" s="278"/>
      <c r="AR181" s="278"/>
      <c r="AS181" s="88"/>
      <c r="AT181" s="174" t="s">
        <v>6033</v>
      </c>
      <c r="AU181" s="174"/>
      <c r="AV181" s="174"/>
      <c r="AW181" s="174"/>
    </row>
    <row r="182" spans="2:49" ht="22.5" customHeight="1" x14ac:dyDescent="0.25">
      <c r="B182" s="273" t="s">
        <v>6219</v>
      </c>
      <c r="C182" s="273"/>
      <c r="D182" s="270" t="s">
        <v>6220</v>
      </c>
      <c r="E182" s="270"/>
      <c r="F182" s="270"/>
      <c r="G182" s="270"/>
      <c r="H182" s="270"/>
      <c r="I182" s="270"/>
      <c r="J182" s="270"/>
      <c r="K182" s="270"/>
      <c r="L182" s="270"/>
      <c r="M182" s="270"/>
      <c r="N182" s="270"/>
      <c r="O182" s="82"/>
      <c r="P182" s="82"/>
      <c r="Q182" s="82"/>
      <c r="R182" s="82"/>
      <c r="S182" s="82"/>
      <c r="T182" s="82"/>
      <c r="U182" s="82"/>
      <c r="V182" s="82"/>
      <c r="W182" s="82"/>
      <c r="X182" s="82"/>
      <c r="Y182" s="82"/>
      <c r="Z182" s="82"/>
      <c r="AA182" s="82"/>
      <c r="AB182" s="82"/>
      <c r="AC182" s="82"/>
      <c r="AD182" s="82"/>
      <c r="AE182" s="82"/>
      <c r="AF182" s="82"/>
      <c r="AG182" s="82"/>
      <c r="AH182" s="280">
        <f>IFERROR(-Z56,0)</f>
        <v>0</v>
      </c>
      <c r="AI182" s="280"/>
      <c r="AJ182" s="280"/>
      <c r="AK182" s="280"/>
      <c r="AL182" s="280"/>
      <c r="AM182" s="280"/>
      <c r="AN182" s="280" t="str">
        <f>IFERROR(AH182/$J$46,"")</f>
        <v/>
      </c>
      <c r="AO182" s="280"/>
      <c r="AP182" s="280"/>
      <c r="AQ182" s="280"/>
      <c r="AR182" s="280"/>
      <c r="AS182" s="82"/>
      <c r="AT182" s="286" t="str">
        <f>IFERROR(ABS(AH182/$AH$181),"")</f>
        <v/>
      </c>
      <c r="AU182" s="286"/>
      <c r="AV182" s="286"/>
      <c r="AW182" s="286"/>
    </row>
    <row r="183" spans="2:49" ht="22.5" customHeight="1" x14ac:dyDescent="0.25">
      <c r="B183" s="273"/>
      <c r="C183" s="273"/>
      <c r="D183" s="270" t="s">
        <v>6221</v>
      </c>
      <c r="E183" s="270"/>
      <c r="F183" s="270"/>
      <c r="G183" s="270"/>
      <c r="H183" s="270"/>
      <c r="I183" s="270"/>
      <c r="J183" s="270"/>
      <c r="K183" s="270"/>
      <c r="L183" s="270"/>
      <c r="M183" s="270"/>
      <c r="N183" s="270"/>
      <c r="O183" s="83"/>
      <c r="P183" s="83"/>
      <c r="Q183" s="83"/>
      <c r="R183" s="83"/>
      <c r="S183" s="83"/>
      <c r="T183" s="83"/>
      <c r="U183" s="83"/>
      <c r="V183" s="83"/>
      <c r="W183" s="83"/>
      <c r="X183" s="83"/>
      <c r="Y183" s="83"/>
      <c r="Z183" s="83"/>
      <c r="AA183" s="83"/>
      <c r="AB183" s="83"/>
      <c r="AC183" s="83"/>
      <c r="AD183" s="83"/>
      <c r="AE183" s="83"/>
      <c r="AF183" s="83"/>
      <c r="AG183" s="83"/>
      <c r="AH183" s="281">
        <f>IFERROR(-(N58+N61),0)</f>
        <v>0</v>
      </c>
      <c r="AI183" s="281"/>
      <c r="AJ183" s="281"/>
      <c r="AK183" s="281"/>
      <c r="AL183" s="281"/>
      <c r="AM183" s="281"/>
      <c r="AN183" s="281" t="str">
        <f t="shared" ref="AN183:AN214" si="12">IFERROR(AH183/$J$46,"")</f>
        <v/>
      </c>
      <c r="AO183" s="281"/>
      <c r="AP183" s="281"/>
      <c r="AQ183" s="281"/>
      <c r="AR183" s="281"/>
      <c r="AS183" s="83"/>
      <c r="AT183" s="287" t="str">
        <f t="shared" ref="AT183:AT213" si="13">IFERROR(ABS(AH183/$AH$181),"")</f>
        <v/>
      </c>
      <c r="AU183" s="287"/>
      <c r="AV183" s="287"/>
      <c r="AW183" s="287"/>
    </row>
    <row r="184" spans="2:49" ht="22.5" customHeight="1" x14ac:dyDescent="0.25">
      <c r="B184" s="273"/>
      <c r="C184" s="273"/>
      <c r="D184" s="270" t="s">
        <v>6222</v>
      </c>
      <c r="E184" s="270"/>
      <c r="F184" s="270"/>
      <c r="G184" s="270"/>
      <c r="H184" s="270"/>
      <c r="I184" s="270"/>
      <c r="J184" s="270"/>
      <c r="K184" s="270"/>
      <c r="L184" s="270"/>
      <c r="M184" s="270"/>
      <c r="N184" s="270"/>
      <c r="O184" s="83"/>
      <c r="P184" s="83"/>
      <c r="Q184" s="83"/>
      <c r="R184" s="83"/>
      <c r="S184" s="83"/>
      <c r="T184" s="83"/>
      <c r="U184" s="83"/>
      <c r="V184" s="83"/>
      <c r="W184" s="83"/>
      <c r="X184" s="83"/>
      <c r="Y184" s="83"/>
      <c r="Z184" s="83"/>
      <c r="AA184" s="83"/>
      <c r="AB184" s="83"/>
      <c r="AC184" s="83"/>
      <c r="AD184" s="83"/>
      <c r="AE184" s="83"/>
      <c r="AF184" s="83"/>
      <c r="AG184" s="83"/>
      <c r="AH184" s="281">
        <f>IFERROR(-J63,0)</f>
        <v>0</v>
      </c>
      <c r="AI184" s="281"/>
      <c r="AJ184" s="281"/>
      <c r="AK184" s="281"/>
      <c r="AL184" s="281"/>
      <c r="AM184" s="281"/>
      <c r="AN184" s="281" t="str">
        <f t="shared" si="12"/>
        <v/>
      </c>
      <c r="AO184" s="281"/>
      <c r="AP184" s="281"/>
      <c r="AQ184" s="281"/>
      <c r="AR184" s="281"/>
      <c r="AS184" s="83"/>
      <c r="AT184" s="287" t="str">
        <f t="shared" si="13"/>
        <v/>
      </c>
      <c r="AU184" s="287"/>
      <c r="AV184" s="287"/>
      <c r="AW184" s="287"/>
    </row>
    <row r="185" spans="2:49" ht="22.5" customHeight="1" thickBot="1" x14ac:dyDescent="0.3">
      <c r="B185" s="274"/>
      <c r="C185" s="274"/>
      <c r="D185" s="272" t="s">
        <v>6097</v>
      </c>
      <c r="E185" s="272"/>
      <c r="F185" s="272"/>
      <c r="G185" s="272"/>
      <c r="H185" s="272"/>
      <c r="I185" s="272"/>
      <c r="J185" s="272"/>
      <c r="K185" s="272"/>
      <c r="L185" s="272"/>
      <c r="M185" s="272"/>
      <c r="N185" s="272"/>
      <c r="O185" s="84"/>
      <c r="P185" s="84"/>
      <c r="Q185" s="84"/>
      <c r="R185" s="84"/>
      <c r="S185" s="84"/>
      <c r="T185" s="84"/>
      <c r="U185" s="84"/>
      <c r="V185" s="84"/>
      <c r="W185" s="84"/>
      <c r="X185" s="84"/>
      <c r="Y185" s="84"/>
      <c r="Z185" s="84"/>
      <c r="AA185" s="84"/>
      <c r="AB185" s="84"/>
      <c r="AC185" s="84"/>
      <c r="AD185" s="84"/>
      <c r="AE185" s="84"/>
      <c r="AF185" s="84"/>
      <c r="AG185" s="84"/>
      <c r="AH185" s="282">
        <f>IFERROR(-J64,0)</f>
        <v>0</v>
      </c>
      <c r="AI185" s="282"/>
      <c r="AJ185" s="282"/>
      <c r="AK185" s="282"/>
      <c r="AL185" s="282"/>
      <c r="AM185" s="282"/>
      <c r="AN185" s="282" t="str">
        <f t="shared" si="12"/>
        <v/>
      </c>
      <c r="AO185" s="282"/>
      <c r="AP185" s="282"/>
      <c r="AQ185" s="282"/>
      <c r="AR185" s="282"/>
      <c r="AS185" s="84"/>
      <c r="AT185" s="288" t="str">
        <f t="shared" si="13"/>
        <v/>
      </c>
      <c r="AU185" s="288"/>
      <c r="AV185" s="288"/>
      <c r="AW185" s="288"/>
    </row>
    <row r="186" spans="2:49" ht="22.5" customHeight="1" x14ac:dyDescent="0.25">
      <c r="B186" s="273" t="s">
        <v>6218</v>
      </c>
      <c r="C186" s="273"/>
      <c r="D186" s="270" t="s">
        <v>6186</v>
      </c>
      <c r="E186" s="270"/>
      <c r="F186" s="270"/>
      <c r="G186" s="270"/>
      <c r="H186" s="270"/>
      <c r="I186" s="270"/>
      <c r="J186" s="270"/>
      <c r="K186" s="270"/>
      <c r="L186" s="270"/>
      <c r="M186" s="270"/>
      <c r="N186" s="270"/>
      <c r="O186" s="82"/>
      <c r="P186" s="82"/>
      <c r="Q186" s="82"/>
      <c r="R186" s="82"/>
      <c r="S186" s="82"/>
      <c r="T186" s="82"/>
      <c r="U186" s="82"/>
      <c r="V186" s="82"/>
      <c r="W186" s="82"/>
      <c r="X186" s="82"/>
      <c r="Y186" s="82"/>
      <c r="Z186" s="82"/>
      <c r="AA186" s="82"/>
      <c r="AB186" s="82"/>
      <c r="AC186" s="82"/>
      <c r="AD186" s="82"/>
      <c r="AE186" s="82"/>
      <c r="AF186" s="82"/>
      <c r="AG186" s="82"/>
      <c r="AH186" s="280">
        <f>IFERROR(-R114,0)</f>
        <v>0</v>
      </c>
      <c r="AI186" s="280"/>
      <c r="AJ186" s="280"/>
      <c r="AK186" s="280"/>
      <c r="AL186" s="280"/>
      <c r="AM186" s="280"/>
      <c r="AN186" s="280" t="str">
        <f t="shared" si="12"/>
        <v/>
      </c>
      <c r="AO186" s="280"/>
      <c r="AP186" s="280"/>
      <c r="AQ186" s="280"/>
      <c r="AR186" s="280"/>
      <c r="AS186" s="82"/>
      <c r="AT186" s="286" t="str">
        <f t="shared" si="13"/>
        <v/>
      </c>
      <c r="AU186" s="286"/>
      <c r="AV186" s="286"/>
      <c r="AW186" s="286"/>
    </row>
    <row r="187" spans="2:49" ht="22.5" customHeight="1" thickBot="1" x14ac:dyDescent="0.3">
      <c r="B187" s="274"/>
      <c r="C187" s="274"/>
      <c r="D187" s="272" t="s">
        <v>6223</v>
      </c>
      <c r="E187" s="272"/>
      <c r="F187" s="272"/>
      <c r="G187" s="272"/>
      <c r="H187" s="272"/>
      <c r="I187" s="272"/>
      <c r="J187" s="272"/>
      <c r="K187" s="272"/>
      <c r="L187" s="272"/>
      <c r="M187" s="272"/>
      <c r="N187" s="272"/>
      <c r="O187" s="84"/>
      <c r="P187" s="84"/>
      <c r="Q187" s="84"/>
      <c r="R187" s="84"/>
      <c r="S187" s="84"/>
      <c r="T187" s="84"/>
      <c r="U187" s="84"/>
      <c r="V187" s="84"/>
      <c r="W187" s="84"/>
      <c r="X187" s="84"/>
      <c r="Y187" s="84"/>
      <c r="Z187" s="84"/>
      <c r="AA187" s="84"/>
      <c r="AB187" s="84"/>
      <c r="AC187" s="84"/>
      <c r="AD187" s="84"/>
      <c r="AE187" s="84"/>
      <c r="AF187" s="84"/>
      <c r="AG187" s="84"/>
      <c r="AH187" s="282">
        <f>IFERROR(-AM115,0)</f>
        <v>0</v>
      </c>
      <c r="AI187" s="282"/>
      <c r="AJ187" s="282"/>
      <c r="AK187" s="282"/>
      <c r="AL187" s="282"/>
      <c r="AM187" s="282"/>
      <c r="AN187" s="282" t="str">
        <f t="shared" si="12"/>
        <v/>
      </c>
      <c r="AO187" s="282"/>
      <c r="AP187" s="282"/>
      <c r="AQ187" s="282"/>
      <c r="AR187" s="282"/>
      <c r="AS187" s="84"/>
      <c r="AT187" s="288" t="str">
        <f t="shared" si="13"/>
        <v/>
      </c>
      <c r="AU187" s="288"/>
      <c r="AV187" s="288"/>
      <c r="AW187" s="288"/>
    </row>
    <row r="188" spans="2:49" ht="22.5" customHeight="1" x14ac:dyDescent="0.25">
      <c r="B188" s="273" t="s">
        <v>6217</v>
      </c>
      <c r="C188" s="273"/>
      <c r="D188" s="270" t="s">
        <v>6176</v>
      </c>
      <c r="E188" s="270"/>
      <c r="F188" s="270"/>
      <c r="G188" s="270"/>
      <c r="H188" s="270"/>
      <c r="I188" s="270"/>
      <c r="J188" s="270"/>
      <c r="K188" s="270"/>
      <c r="L188" s="270"/>
      <c r="M188" s="270"/>
      <c r="N188" s="270"/>
      <c r="O188" s="82"/>
      <c r="P188" s="82"/>
      <c r="Q188" s="82"/>
      <c r="R188" s="82"/>
      <c r="S188" s="82"/>
      <c r="T188" s="82"/>
      <c r="U188" s="82"/>
      <c r="V188" s="82"/>
      <c r="W188" s="82"/>
      <c r="X188" s="82"/>
      <c r="Y188" s="82"/>
      <c r="Z188" s="82"/>
      <c r="AA188" s="82"/>
      <c r="AB188" s="82"/>
      <c r="AC188" s="82"/>
      <c r="AD188" s="82"/>
      <c r="AE188" s="82"/>
      <c r="AF188" s="82"/>
      <c r="AG188" s="82"/>
      <c r="AH188" s="280">
        <f t="shared" ref="AH188:AH196" si="14">IFERROR(-Z123,0)</f>
        <v>0</v>
      </c>
      <c r="AI188" s="280"/>
      <c r="AJ188" s="280"/>
      <c r="AK188" s="280"/>
      <c r="AL188" s="280"/>
      <c r="AM188" s="280"/>
      <c r="AN188" s="280" t="str">
        <f t="shared" si="12"/>
        <v/>
      </c>
      <c r="AO188" s="280"/>
      <c r="AP188" s="280"/>
      <c r="AQ188" s="280"/>
      <c r="AR188" s="280"/>
      <c r="AS188" s="82"/>
      <c r="AT188" s="286" t="str">
        <f t="shared" si="13"/>
        <v/>
      </c>
      <c r="AU188" s="286"/>
      <c r="AV188" s="286"/>
      <c r="AW188" s="286"/>
    </row>
    <row r="189" spans="2:49" ht="22.5" customHeight="1" x14ac:dyDescent="0.25">
      <c r="B189" s="273"/>
      <c r="C189" s="273"/>
      <c r="D189" s="270" t="s">
        <v>6177</v>
      </c>
      <c r="E189" s="270"/>
      <c r="F189" s="270"/>
      <c r="G189" s="270"/>
      <c r="H189" s="270"/>
      <c r="I189" s="270"/>
      <c r="J189" s="270"/>
      <c r="K189" s="270"/>
      <c r="L189" s="270"/>
      <c r="M189" s="270"/>
      <c r="N189" s="270"/>
      <c r="O189" s="83"/>
      <c r="P189" s="83"/>
      <c r="Q189" s="83"/>
      <c r="R189" s="83"/>
      <c r="S189" s="83"/>
      <c r="T189" s="83"/>
      <c r="U189" s="83"/>
      <c r="V189" s="83"/>
      <c r="W189" s="83"/>
      <c r="X189" s="83"/>
      <c r="Y189" s="83"/>
      <c r="Z189" s="83"/>
      <c r="AA189" s="83"/>
      <c r="AB189" s="83"/>
      <c r="AC189" s="83"/>
      <c r="AD189" s="83"/>
      <c r="AE189" s="83"/>
      <c r="AF189" s="83"/>
      <c r="AG189" s="83"/>
      <c r="AH189" s="281">
        <f t="shared" si="14"/>
        <v>0</v>
      </c>
      <c r="AI189" s="281"/>
      <c r="AJ189" s="281"/>
      <c r="AK189" s="281"/>
      <c r="AL189" s="281"/>
      <c r="AM189" s="281"/>
      <c r="AN189" s="281" t="str">
        <f t="shared" si="12"/>
        <v/>
      </c>
      <c r="AO189" s="281"/>
      <c r="AP189" s="281"/>
      <c r="AQ189" s="281"/>
      <c r="AR189" s="281"/>
      <c r="AS189" s="83"/>
      <c r="AT189" s="287" t="str">
        <f t="shared" si="13"/>
        <v/>
      </c>
      <c r="AU189" s="287"/>
      <c r="AV189" s="287"/>
      <c r="AW189" s="287"/>
    </row>
    <row r="190" spans="2:49" ht="22.5" customHeight="1" x14ac:dyDescent="0.25">
      <c r="B190" s="273"/>
      <c r="C190" s="273"/>
      <c r="D190" s="270" t="s">
        <v>6178</v>
      </c>
      <c r="E190" s="270"/>
      <c r="F190" s="270"/>
      <c r="G190" s="270"/>
      <c r="H190" s="270"/>
      <c r="I190" s="270"/>
      <c r="J190" s="270"/>
      <c r="K190" s="270"/>
      <c r="L190" s="270"/>
      <c r="M190" s="270"/>
      <c r="N190" s="270"/>
      <c r="O190" s="83"/>
      <c r="P190" s="83"/>
      <c r="Q190" s="83"/>
      <c r="R190" s="83"/>
      <c r="S190" s="83"/>
      <c r="T190" s="83"/>
      <c r="U190" s="83"/>
      <c r="V190" s="83"/>
      <c r="W190" s="83"/>
      <c r="X190" s="83"/>
      <c r="Y190" s="83"/>
      <c r="Z190" s="83"/>
      <c r="AA190" s="83"/>
      <c r="AB190" s="83"/>
      <c r="AC190" s="83"/>
      <c r="AD190" s="83"/>
      <c r="AE190" s="83"/>
      <c r="AF190" s="83"/>
      <c r="AG190" s="83"/>
      <c r="AH190" s="281">
        <f t="shared" si="14"/>
        <v>0</v>
      </c>
      <c r="AI190" s="281"/>
      <c r="AJ190" s="281"/>
      <c r="AK190" s="281"/>
      <c r="AL190" s="281"/>
      <c r="AM190" s="281"/>
      <c r="AN190" s="281" t="str">
        <f t="shared" si="12"/>
        <v/>
      </c>
      <c r="AO190" s="281"/>
      <c r="AP190" s="281"/>
      <c r="AQ190" s="281"/>
      <c r="AR190" s="281"/>
      <c r="AS190" s="83"/>
      <c r="AT190" s="287" t="str">
        <f t="shared" si="13"/>
        <v/>
      </c>
      <c r="AU190" s="287"/>
      <c r="AV190" s="287"/>
      <c r="AW190" s="287"/>
    </row>
    <row r="191" spans="2:49" ht="22.5" customHeight="1" x14ac:dyDescent="0.25">
      <c r="B191" s="273"/>
      <c r="C191" s="273"/>
      <c r="D191" s="270" t="s">
        <v>6179</v>
      </c>
      <c r="E191" s="270"/>
      <c r="F191" s="270"/>
      <c r="G191" s="270"/>
      <c r="H191" s="270"/>
      <c r="I191" s="270"/>
      <c r="J191" s="270"/>
      <c r="K191" s="270"/>
      <c r="L191" s="270"/>
      <c r="M191" s="270"/>
      <c r="N191" s="270"/>
      <c r="O191" s="83"/>
      <c r="P191" s="83"/>
      <c r="Q191" s="83"/>
      <c r="R191" s="83"/>
      <c r="S191" s="83"/>
      <c r="T191" s="83"/>
      <c r="U191" s="83"/>
      <c r="V191" s="83"/>
      <c r="W191" s="83"/>
      <c r="X191" s="83"/>
      <c r="Y191" s="83"/>
      <c r="Z191" s="83"/>
      <c r="AA191" s="83"/>
      <c r="AB191" s="83"/>
      <c r="AC191" s="83"/>
      <c r="AD191" s="83"/>
      <c r="AE191" s="83"/>
      <c r="AF191" s="83"/>
      <c r="AG191" s="83"/>
      <c r="AH191" s="281">
        <f t="shared" si="14"/>
        <v>0</v>
      </c>
      <c r="AI191" s="281"/>
      <c r="AJ191" s="281"/>
      <c r="AK191" s="281"/>
      <c r="AL191" s="281"/>
      <c r="AM191" s="281"/>
      <c r="AN191" s="281" t="str">
        <f t="shared" si="12"/>
        <v/>
      </c>
      <c r="AO191" s="281"/>
      <c r="AP191" s="281"/>
      <c r="AQ191" s="281"/>
      <c r="AR191" s="281"/>
      <c r="AS191" s="83"/>
      <c r="AT191" s="287" t="str">
        <f t="shared" si="13"/>
        <v/>
      </c>
      <c r="AU191" s="287"/>
      <c r="AV191" s="287"/>
      <c r="AW191" s="287"/>
    </row>
    <row r="192" spans="2:49" ht="22.5" customHeight="1" x14ac:dyDescent="0.25">
      <c r="B192" s="273"/>
      <c r="C192" s="273"/>
      <c r="D192" s="270" t="s">
        <v>6180</v>
      </c>
      <c r="E192" s="270"/>
      <c r="F192" s="270"/>
      <c r="G192" s="270"/>
      <c r="H192" s="270"/>
      <c r="I192" s="270"/>
      <c r="J192" s="270"/>
      <c r="K192" s="270"/>
      <c r="L192" s="270"/>
      <c r="M192" s="270"/>
      <c r="N192" s="270"/>
      <c r="O192" s="83"/>
      <c r="P192" s="83"/>
      <c r="Q192" s="83"/>
      <c r="R192" s="83"/>
      <c r="S192" s="83"/>
      <c r="T192" s="83"/>
      <c r="U192" s="83"/>
      <c r="V192" s="83"/>
      <c r="W192" s="83"/>
      <c r="X192" s="83"/>
      <c r="Y192" s="83"/>
      <c r="Z192" s="83"/>
      <c r="AA192" s="83"/>
      <c r="AB192" s="83"/>
      <c r="AC192" s="83"/>
      <c r="AD192" s="83"/>
      <c r="AE192" s="83"/>
      <c r="AF192" s="83"/>
      <c r="AG192" s="83"/>
      <c r="AH192" s="281">
        <f t="shared" si="14"/>
        <v>0</v>
      </c>
      <c r="AI192" s="281"/>
      <c r="AJ192" s="281"/>
      <c r="AK192" s="281"/>
      <c r="AL192" s="281"/>
      <c r="AM192" s="281"/>
      <c r="AN192" s="281" t="str">
        <f t="shared" si="12"/>
        <v/>
      </c>
      <c r="AO192" s="281"/>
      <c r="AP192" s="281"/>
      <c r="AQ192" s="281"/>
      <c r="AR192" s="281"/>
      <c r="AS192" s="83"/>
      <c r="AT192" s="287" t="str">
        <f t="shared" si="13"/>
        <v/>
      </c>
      <c r="AU192" s="287"/>
      <c r="AV192" s="287"/>
      <c r="AW192" s="287"/>
    </row>
    <row r="193" spans="2:49" ht="22.5" customHeight="1" x14ac:dyDescent="0.25">
      <c r="B193" s="273"/>
      <c r="C193" s="273"/>
      <c r="D193" s="270" t="s">
        <v>6181</v>
      </c>
      <c r="E193" s="270"/>
      <c r="F193" s="270"/>
      <c r="G193" s="270"/>
      <c r="H193" s="270"/>
      <c r="I193" s="270"/>
      <c r="J193" s="270"/>
      <c r="K193" s="270"/>
      <c r="L193" s="270"/>
      <c r="M193" s="270"/>
      <c r="N193" s="270"/>
      <c r="O193" s="83"/>
      <c r="P193" s="83"/>
      <c r="Q193" s="83"/>
      <c r="R193" s="83"/>
      <c r="S193" s="83"/>
      <c r="T193" s="83"/>
      <c r="U193" s="83"/>
      <c r="V193" s="83"/>
      <c r="W193" s="83"/>
      <c r="X193" s="83"/>
      <c r="Y193" s="83"/>
      <c r="Z193" s="83"/>
      <c r="AA193" s="83"/>
      <c r="AB193" s="83"/>
      <c r="AC193" s="83"/>
      <c r="AD193" s="83"/>
      <c r="AE193" s="83"/>
      <c r="AF193" s="83"/>
      <c r="AG193" s="83"/>
      <c r="AH193" s="281">
        <f t="shared" si="14"/>
        <v>0</v>
      </c>
      <c r="AI193" s="281"/>
      <c r="AJ193" s="281"/>
      <c r="AK193" s="281"/>
      <c r="AL193" s="281"/>
      <c r="AM193" s="281"/>
      <c r="AN193" s="281" t="str">
        <f t="shared" si="12"/>
        <v/>
      </c>
      <c r="AO193" s="281"/>
      <c r="AP193" s="281"/>
      <c r="AQ193" s="281"/>
      <c r="AR193" s="281"/>
      <c r="AS193" s="83"/>
      <c r="AT193" s="287" t="str">
        <f t="shared" si="13"/>
        <v/>
      </c>
      <c r="AU193" s="287"/>
      <c r="AV193" s="287"/>
      <c r="AW193" s="287"/>
    </row>
    <row r="194" spans="2:49" ht="22.5" customHeight="1" x14ac:dyDescent="0.25">
      <c r="B194" s="273"/>
      <c r="C194" s="273"/>
      <c r="D194" s="270" t="s">
        <v>6182</v>
      </c>
      <c r="E194" s="270"/>
      <c r="F194" s="270"/>
      <c r="G194" s="270"/>
      <c r="H194" s="270"/>
      <c r="I194" s="270"/>
      <c r="J194" s="270"/>
      <c r="K194" s="270"/>
      <c r="L194" s="270"/>
      <c r="M194" s="270"/>
      <c r="N194" s="270"/>
      <c r="O194" s="83"/>
      <c r="P194" s="83"/>
      <c r="Q194" s="83"/>
      <c r="R194" s="83"/>
      <c r="S194" s="83"/>
      <c r="T194" s="83"/>
      <c r="U194" s="83"/>
      <c r="V194" s="83"/>
      <c r="W194" s="83"/>
      <c r="X194" s="83"/>
      <c r="Y194" s="83"/>
      <c r="Z194" s="83"/>
      <c r="AA194" s="83"/>
      <c r="AB194" s="83"/>
      <c r="AC194" s="83"/>
      <c r="AD194" s="83"/>
      <c r="AE194" s="83"/>
      <c r="AF194" s="83"/>
      <c r="AG194" s="83"/>
      <c r="AH194" s="281">
        <f t="shared" si="14"/>
        <v>0</v>
      </c>
      <c r="AI194" s="281"/>
      <c r="AJ194" s="281"/>
      <c r="AK194" s="281"/>
      <c r="AL194" s="281"/>
      <c r="AM194" s="281"/>
      <c r="AN194" s="281" t="str">
        <f t="shared" si="12"/>
        <v/>
      </c>
      <c r="AO194" s="281"/>
      <c r="AP194" s="281"/>
      <c r="AQ194" s="281"/>
      <c r="AR194" s="281"/>
      <c r="AS194" s="83"/>
      <c r="AT194" s="287" t="str">
        <f t="shared" si="13"/>
        <v/>
      </c>
      <c r="AU194" s="287"/>
      <c r="AV194" s="287"/>
      <c r="AW194" s="287"/>
    </row>
    <row r="195" spans="2:49" ht="22.5" customHeight="1" x14ac:dyDescent="0.25">
      <c r="B195" s="273"/>
      <c r="C195" s="273"/>
      <c r="D195" s="270" t="s">
        <v>6183</v>
      </c>
      <c r="E195" s="270"/>
      <c r="F195" s="270"/>
      <c r="G195" s="270"/>
      <c r="H195" s="270"/>
      <c r="I195" s="270"/>
      <c r="J195" s="270"/>
      <c r="K195" s="270"/>
      <c r="L195" s="270"/>
      <c r="M195" s="270"/>
      <c r="N195" s="270"/>
      <c r="O195" s="83"/>
      <c r="P195" s="83"/>
      <c r="Q195" s="83"/>
      <c r="R195" s="83"/>
      <c r="S195" s="83"/>
      <c r="T195" s="83"/>
      <c r="U195" s="83"/>
      <c r="V195" s="83"/>
      <c r="W195" s="83"/>
      <c r="X195" s="83"/>
      <c r="Y195" s="83"/>
      <c r="Z195" s="83"/>
      <c r="AA195" s="83"/>
      <c r="AB195" s="83"/>
      <c r="AC195" s="83"/>
      <c r="AD195" s="83"/>
      <c r="AE195" s="83"/>
      <c r="AF195" s="83"/>
      <c r="AG195" s="83"/>
      <c r="AH195" s="281">
        <f t="shared" si="14"/>
        <v>0</v>
      </c>
      <c r="AI195" s="281"/>
      <c r="AJ195" s="281"/>
      <c r="AK195" s="281"/>
      <c r="AL195" s="281"/>
      <c r="AM195" s="281"/>
      <c r="AN195" s="281" t="str">
        <f t="shared" si="12"/>
        <v/>
      </c>
      <c r="AO195" s="281"/>
      <c r="AP195" s="281"/>
      <c r="AQ195" s="281"/>
      <c r="AR195" s="281"/>
      <c r="AS195" s="83"/>
      <c r="AT195" s="287" t="str">
        <f t="shared" si="13"/>
        <v/>
      </c>
      <c r="AU195" s="287"/>
      <c r="AV195" s="287"/>
      <c r="AW195" s="287"/>
    </row>
    <row r="196" spans="2:49" ht="22.5" customHeight="1" x14ac:dyDescent="0.25">
      <c r="B196" s="273"/>
      <c r="C196" s="273"/>
      <c r="D196" s="270" t="s">
        <v>6184</v>
      </c>
      <c r="E196" s="270"/>
      <c r="F196" s="270"/>
      <c r="G196" s="270"/>
      <c r="H196" s="270"/>
      <c r="I196" s="270"/>
      <c r="J196" s="270"/>
      <c r="K196" s="270"/>
      <c r="L196" s="270"/>
      <c r="M196" s="270"/>
      <c r="N196" s="270"/>
      <c r="O196" s="83"/>
      <c r="P196" s="83"/>
      <c r="Q196" s="83"/>
      <c r="R196" s="83"/>
      <c r="S196" s="83"/>
      <c r="T196" s="83"/>
      <c r="U196" s="83"/>
      <c r="V196" s="83"/>
      <c r="W196" s="83"/>
      <c r="X196" s="83"/>
      <c r="Y196" s="83"/>
      <c r="Z196" s="83"/>
      <c r="AA196" s="83"/>
      <c r="AB196" s="83"/>
      <c r="AC196" s="83"/>
      <c r="AD196" s="83"/>
      <c r="AE196" s="83"/>
      <c r="AF196" s="83"/>
      <c r="AG196" s="83"/>
      <c r="AH196" s="281">
        <f t="shared" si="14"/>
        <v>0</v>
      </c>
      <c r="AI196" s="281"/>
      <c r="AJ196" s="281"/>
      <c r="AK196" s="281"/>
      <c r="AL196" s="281"/>
      <c r="AM196" s="281"/>
      <c r="AN196" s="281" t="str">
        <f t="shared" si="12"/>
        <v/>
      </c>
      <c r="AO196" s="281"/>
      <c r="AP196" s="281"/>
      <c r="AQ196" s="281"/>
      <c r="AR196" s="281"/>
      <c r="AS196" s="83"/>
      <c r="AT196" s="287" t="str">
        <f t="shared" si="13"/>
        <v/>
      </c>
      <c r="AU196" s="287"/>
      <c r="AV196" s="287"/>
      <c r="AW196" s="287"/>
    </row>
    <row r="197" spans="2:49" ht="22.5" customHeight="1" x14ac:dyDescent="0.25">
      <c r="B197" s="273"/>
      <c r="C197" s="273"/>
      <c r="D197" s="270" t="s">
        <v>6224</v>
      </c>
      <c r="E197" s="270"/>
      <c r="F197" s="270"/>
      <c r="G197" s="270"/>
      <c r="H197" s="270"/>
      <c r="I197" s="270"/>
      <c r="J197" s="270"/>
      <c r="K197" s="270"/>
      <c r="L197" s="270"/>
      <c r="M197" s="270"/>
      <c r="N197" s="270"/>
      <c r="O197" s="83"/>
      <c r="P197" s="83"/>
      <c r="Q197" s="83"/>
      <c r="R197" s="83"/>
      <c r="S197" s="83"/>
      <c r="T197" s="83"/>
      <c r="U197" s="83"/>
      <c r="V197" s="83"/>
      <c r="W197" s="83"/>
      <c r="X197" s="83"/>
      <c r="Y197" s="83"/>
      <c r="Z197" s="83"/>
      <c r="AA197" s="83"/>
      <c r="AB197" s="83"/>
      <c r="AC197" s="83"/>
      <c r="AD197" s="83"/>
      <c r="AE197" s="83"/>
      <c r="AF197" s="83"/>
      <c r="AG197" s="83"/>
      <c r="AH197" s="281">
        <f>IFERROR(-AN126,0)</f>
        <v>0</v>
      </c>
      <c r="AI197" s="281"/>
      <c r="AJ197" s="281"/>
      <c r="AK197" s="281"/>
      <c r="AL197" s="281"/>
      <c r="AM197" s="281"/>
      <c r="AN197" s="281" t="str">
        <f t="shared" si="12"/>
        <v/>
      </c>
      <c r="AO197" s="281"/>
      <c r="AP197" s="281"/>
      <c r="AQ197" s="281"/>
      <c r="AR197" s="281"/>
      <c r="AS197" s="83"/>
      <c r="AT197" s="287" t="str">
        <f t="shared" si="13"/>
        <v/>
      </c>
      <c r="AU197" s="287"/>
      <c r="AV197" s="287"/>
      <c r="AW197" s="287"/>
    </row>
    <row r="198" spans="2:49" ht="22.5" customHeight="1" x14ac:dyDescent="0.25">
      <c r="B198" s="273"/>
      <c r="C198" s="273"/>
      <c r="D198" s="270" t="s">
        <v>6174</v>
      </c>
      <c r="E198" s="270"/>
      <c r="F198" s="270"/>
      <c r="G198" s="270"/>
      <c r="H198" s="270"/>
      <c r="I198" s="270"/>
      <c r="J198" s="270"/>
      <c r="K198" s="270"/>
      <c r="L198" s="270"/>
      <c r="M198" s="270"/>
      <c r="N198" s="270"/>
      <c r="O198" s="83"/>
      <c r="P198" s="83"/>
      <c r="Q198" s="83"/>
      <c r="R198" s="83"/>
      <c r="S198" s="83"/>
      <c r="T198" s="83"/>
      <c r="U198" s="83"/>
      <c r="V198" s="83"/>
      <c r="W198" s="83"/>
      <c r="X198" s="83"/>
      <c r="Y198" s="83"/>
      <c r="Z198" s="83"/>
      <c r="AA198" s="83"/>
      <c r="AB198" s="83"/>
      <c r="AC198" s="83"/>
      <c r="AD198" s="83"/>
      <c r="AE198" s="83"/>
      <c r="AF198" s="83"/>
      <c r="AG198" s="83"/>
      <c r="AH198" s="281">
        <f>IFERROR(-AN133,0)</f>
        <v>0</v>
      </c>
      <c r="AI198" s="281"/>
      <c r="AJ198" s="281"/>
      <c r="AK198" s="281"/>
      <c r="AL198" s="281"/>
      <c r="AM198" s="281"/>
      <c r="AN198" s="281" t="str">
        <f t="shared" si="12"/>
        <v/>
      </c>
      <c r="AO198" s="281"/>
      <c r="AP198" s="281"/>
      <c r="AQ198" s="281"/>
      <c r="AR198" s="281"/>
      <c r="AS198" s="83"/>
      <c r="AT198" s="287" t="str">
        <f t="shared" si="13"/>
        <v/>
      </c>
      <c r="AU198" s="287"/>
      <c r="AV198" s="287"/>
      <c r="AW198" s="287"/>
    </row>
    <row r="199" spans="2:49" ht="22.5" customHeight="1" thickBot="1" x14ac:dyDescent="0.3">
      <c r="B199" s="274"/>
      <c r="C199" s="274"/>
      <c r="D199" s="272" t="s">
        <v>6202</v>
      </c>
      <c r="E199" s="272"/>
      <c r="F199" s="272"/>
      <c r="G199" s="272"/>
      <c r="H199" s="272"/>
      <c r="I199" s="272"/>
      <c r="J199" s="272"/>
      <c r="K199" s="272"/>
      <c r="L199" s="272"/>
      <c r="M199" s="272"/>
      <c r="N199" s="272"/>
      <c r="O199" s="84"/>
      <c r="P199" s="84"/>
      <c r="Q199" s="84"/>
      <c r="R199" s="84"/>
      <c r="S199" s="84"/>
      <c r="T199" s="84"/>
      <c r="U199" s="84"/>
      <c r="V199" s="84"/>
      <c r="W199" s="84"/>
      <c r="X199" s="84"/>
      <c r="Y199" s="84"/>
      <c r="Z199" s="84"/>
      <c r="AA199" s="84"/>
      <c r="AB199" s="84"/>
      <c r="AC199" s="84"/>
      <c r="AD199" s="84"/>
      <c r="AE199" s="84"/>
      <c r="AF199" s="84"/>
      <c r="AG199" s="84"/>
      <c r="AH199" s="282">
        <f>IFERROR(-Z133,0)</f>
        <v>0</v>
      </c>
      <c r="AI199" s="282"/>
      <c r="AJ199" s="282"/>
      <c r="AK199" s="282"/>
      <c r="AL199" s="282"/>
      <c r="AM199" s="282"/>
      <c r="AN199" s="282" t="str">
        <f t="shared" si="12"/>
        <v/>
      </c>
      <c r="AO199" s="282"/>
      <c r="AP199" s="282"/>
      <c r="AQ199" s="282"/>
      <c r="AR199" s="282"/>
      <c r="AS199" s="84"/>
      <c r="AT199" s="288" t="str">
        <f t="shared" si="13"/>
        <v/>
      </c>
      <c r="AU199" s="288"/>
      <c r="AV199" s="288"/>
      <c r="AW199" s="288"/>
    </row>
    <row r="200" spans="2:49" ht="22.5" customHeight="1" thickBot="1" x14ac:dyDescent="0.3">
      <c r="B200" s="276"/>
      <c r="C200" s="276"/>
      <c r="D200" s="277" t="s">
        <v>6225</v>
      </c>
      <c r="E200" s="277"/>
      <c r="F200" s="277"/>
      <c r="G200" s="277"/>
      <c r="H200" s="277"/>
      <c r="I200" s="277"/>
      <c r="J200" s="277"/>
      <c r="K200" s="277"/>
      <c r="L200" s="277"/>
      <c r="M200" s="277"/>
      <c r="N200" s="277"/>
      <c r="O200" s="85"/>
      <c r="P200" s="85"/>
      <c r="Q200" s="85"/>
      <c r="R200" s="85"/>
      <c r="S200" s="85"/>
      <c r="T200" s="85"/>
      <c r="U200" s="85"/>
      <c r="V200" s="85"/>
      <c r="W200" s="85"/>
      <c r="X200" s="85"/>
      <c r="Y200" s="85"/>
      <c r="Z200" s="85"/>
      <c r="AA200" s="85"/>
      <c r="AB200" s="85"/>
      <c r="AC200" s="85"/>
      <c r="AD200" s="85"/>
      <c r="AE200" s="85"/>
      <c r="AF200" s="85"/>
      <c r="AG200" s="85"/>
      <c r="AH200" s="285">
        <f>IFERROR(-SUM(Z140:AD141),0)</f>
        <v>0</v>
      </c>
      <c r="AI200" s="285"/>
      <c r="AJ200" s="285"/>
      <c r="AK200" s="285"/>
      <c r="AL200" s="285"/>
      <c r="AM200" s="285"/>
      <c r="AN200" s="285" t="str">
        <f t="shared" si="12"/>
        <v/>
      </c>
      <c r="AO200" s="285"/>
      <c r="AP200" s="285"/>
      <c r="AQ200" s="285"/>
      <c r="AR200" s="285"/>
      <c r="AS200" s="85"/>
      <c r="AT200" s="290" t="str">
        <f t="shared" si="13"/>
        <v/>
      </c>
      <c r="AU200" s="290"/>
      <c r="AV200" s="290"/>
      <c r="AW200" s="290"/>
    </row>
    <row r="201" spans="2:49" ht="22.5" customHeight="1" x14ac:dyDescent="0.25">
      <c r="B201" s="273" t="s">
        <v>6215</v>
      </c>
      <c r="C201" s="273"/>
      <c r="D201" s="270" t="s">
        <v>6196</v>
      </c>
      <c r="E201" s="270"/>
      <c r="F201" s="270"/>
      <c r="G201" s="270"/>
      <c r="H201" s="270"/>
      <c r="I201" s="270"/>
      <c r="J201" s="270"/>
      <c r="K201" s="270"/>
      <c r="L201" s="270"/>
      <c r="M201" s="270"/>
      <c r="N201" s="270"/>
      <c r="O201" s="82"/>
      <c r="P201" s="82"/>
      <c r="Q201" s="82"/>
      <c r="R201" s="82"/>
      <c r="S201" s="82"/>
      <c r="T201" s="82"/>
      <c r="U201" s="82"/>
      <c r="V201" s="82"/>
      <c r="W201" s="82"/>
      <c r="X201" s="82"/>
      <c r="Y201" s="82"/>
      <c r="Z201" s="82"/>
      <c r="AA201" s="82"/>
      <c r="AB201" s="82"/>
      <c r="AC201" s="82"/>
      <c r="AD201" s="82"/>
      <c r="AE201" s="82"/>
      <c r="AF201" s="82"/>
      <c r="AG201" s="82"/>
      <c r="AH201" s="280">
        <f>IFERROR(-Z146,0)</f>
        <v>0</v>
      </c>
      <c r="AI201" s="280"/>
      <c r="AJ201" s="280"/>
      <c r="AK201" s="280"/>
      <c r="AL201" s="280"/>
      <c r="AM201" s="280"/>
      <c r="AN201" s="280" t="str">
        <f t="shared" si="12"/>
        <v/>
      </c>
      <c r="AO201" s="280"/>
      <c r="AP201" s="280"/>
      <c r="AQ201" s="280"/>
      <c r="AR201" s="280"/>
      <c r="AS201" s="82"/>
      <c r="AT201" s="286" t="str">
        <f t="shared" si="13"/>
        <v/>
      </c>
      <c r="AU201" s="286"/>
      <c r="AV201" s="286"/>
      <c r="AW201" s="286"/>
    </row>
    <row r="202" spans="2:49" ht="22.5" customHeight="1" x14ac:dyDescent="0.25">
      <c r="B202" s="273"/>
      <c r="C202" s="273"/>
      <c r="D202" s="270" t="s">
        <v>6197</v>
      </c>
      <c r="E202" s="270"/>
      <c r="F202" s="270"/>
      <c r="G202" s="270"/>
      <c r="H202" s="270"/>
      <c r="I202" s="270"/>
      <c r="J202" s="270"/>
      <c r="K202" s="270"/>
      <c r="L202" s="270"/>
      <c r="M202" s="270"/>
      <c r="N202" s="270"/>
      <c r="O202" s="83"/>
      <c r="P202" s="83"/>
      <c r="Q202" s="83"/>
      <c r="R202" s="83"/>
      <c r="S202" s="83"/>
      <c r="T202" s="83"/>
      <c r="U202" s="83"/>
      <c r="V202" s="83"/>
      <c r="W202" s="83"/>
      <c r="X202" s="83"/>
      <c r="Y202" s="83"/>
      <c r="Z202" s="83"/>
      <c r="AA202" s="83"/>
      <c r="AB202" s="83"/>
      <c r="AC202" s="83"/>
      <c r="AD202" s="83"/>
      <c r="AE202" s="83"/>
      <c r="AF202" s="83"/>
      <c r="AG202" s="83"/>
      <c r="AH202" s="281">
        <f>IFERROR(-Z147,0)</f>
        <v>0</v>
      </c>
      <c r="AI202" s="281"/>
      <c r="AJ202" s="281"/>
      <c r="AK202" s="281"/>
      <c r="AL202" s="281"/>
      <c r="AM202" s="281"/>
      <c r="AN202" s="281" t="str">
        <f t="shared" si="12"/>
        <v/>
      </c>
      <c r="AO202" s="281"/>
      <c r="AP202" s="281"/>
      <c r="AQ202" s="281"/>
      <c r="AR202" s="281"/>
      <c r="AS202" s="83"/>
      <c r="AT202" s="287" t="str">
        <f t="shared" si="13"/>
        <v/>
      </c>
      <c r="AU202" s="287"/>
      <c r="AV202" s="287"/>
      <c r="AW202" s="287"/>
    </row>
    <row r="203" spans="2:49" ht="22.5" customHeight="1" x14ac:dyDescent="0.25">
      <c r="B203" s="273"/>
      <c r="C203" s="273"/>
      <c r="D203" s="270" t="s">
        <v>6198</v>
      </c>
      <c r="E203" s="270"/>
      <c r="F203" s="270"/>
      <c r="G203" s="270"/>
      <c r="H203" s="270"/>
      <c r="I203" s="270"/>
      <c r="J203" s="270"/>
      <c r="K203" s="270"/>
      <c r="L203" s="270"/>
      <c r="M203" s="270"/>
      <c r="N203" s="270"/>
      <c r="O203" s="83"/>
      <c r="P203" s="83"/>
      <c r="Q203" s="83"/>
      <c r="R203" s="83"/>
      <c r="S203" s="83"/>
      <c r="T203" s="83"/>
      <c r="U203" s="83"/>
      <c r="V203" s="83"/>
      <c r="W203" s="83"/>
      <c r="X203" s="83"/>
      <c r="Y203" s="83"/>
      <c r="Z203" s="83"/>
      <c r="AA203" s="83"/>
      <c r="AB203" s="83"/>
      <c r="AC203" s="83"/>
      <c r="AD203" s="83"/>
      <c r="AE203" s="83"/>
      <c r="AF203" s="83"/>
      <c r="AG203" s="83"/>
      <c r="AH203" s="281">
        <f>IFERROR(-Z148,0)</f>
        <v>0</v>
      </c>
      <c r="AI203" s="281"/>
      <c r="AJ203" s="281"/>
      <c r="AK203" s="281"/>
      <c r="AL203" s="281"/>
      <c r="AM203" s="281"/>
      <c r="AN203" s="281" t="str">
        <f t="shared" si="12"/>
        <v/>
      </c>
      <c r="AO203" s="281"/>
      <c r="AP203" s="281"/>
      <c r="AQ203" s="281"/>
      <c r="AR203" s="281"/>
      <c r="AS203" s="83"/>
      <c r="AT203" s="287" t="str">
        <f t="shared" si="13"/>
        <v/>
      </c>
      <c r="AU203" s="287"/>
      <c r="AV203" s="287"/>
      <c r="AW203" s="287"/>
    </row>
    <row r="204" spans="2:49" ht="22.5" customHeight="1" x14ac:dyDescent="0.25">
      <c r="B204" s="273"/>
      <c r="C204" s="273"/>
      <c r="D204" s="270" t="s">
        <v>6199</v>
      </c>
      <c r="E204" s="270"/>
      <c r="F204" s="270"/>
      <c r="G204" s="270"/>
      <c r="H204" s="270"/>
      <c r="I204" s="270"/>
      <c r="J204" s="270"/>
      <c r="K204" s="270"/>
      <c r="L204" s="270"/>
      <c r="M204" s="270"/>
      <c r="N204" s="270"/>
      <c r="O204" s="83"/>
      <c r="P204" s="83"/>
      <c r="Q204" s="83"/>
      <c r="R204" s="83"/>
      <c r="S204" s="83"/>
      <c r="T204" s="83"/>
      <c r="U204" s="83"/>
      <c r="V204" s="83"/>
      <c r="W204" s="83"/>
      <c r="X204" s="83"/>
      <c r="Y204" s="83"/>
      <c r="Z204" s="83"/>
      <c r="AA204" s="83"/>
      <c r="AB204" s="83"/>
      <c r="AC204" s="83"/>
      <c r="AD204" s="83"/>
      <c r="AE204" s="83"/>
      <c r="AF204" s="83"/>
      <c r="AG204" s="83"/>
      <c r="AH204" s="281">
        <f>IFERROR(-Z149,0)</f>
        <v>0</v>
      </c>
      <c r="AI204" s="281"/>
      <c r="AJ204" s="281"/>
      <c r="AK204" s="281"/>
      <c r="AL204" s="281"/>
      <c r="AM204" s="281"/>
      <c r="AN204" s="281" t="str">
        <f t="shared" si="12"/>
        <v/>
      </c>
      <c r="AO204" s="281"/>
      <c r="AP204" s="281"/>
      <c r="AQ204" s="281"/>
      <c r="AR204" s="281"/>
      <c r="AS204" s="83"/>
      <c r="AT204" s="287" t="str">
        <f t="shared" si="13"/>
        <v/>
      </c>
      <c r="AU204" s="287"/>
      <c r="AV204" s="287"/>
      <c r="AW204" s="287"/>
    </row>
    <row r="205" spans="2:49" ht="22.5" customHeight="1" x14ac:dyDescent="0.25">
      <c r="B205" s="273"/>
      <c r="C205" s="273"/>
      <c r="D205" s="270" t="s">
        <v>6200</v>
      </c>
      <c r="E205" s="270"/>
      <c r="F205" s="270"/>
      <c r="G205" s="270"/>
      <c r="H205" s="270"/>
      <c r="I205" s="270"/>
      <c r="J205" s="270"/>
      <c r="K205" s="270"/>
      <c r="L205" s="270"/>
      <c r="M205" s="270"/>
      <c r="N205" s="270"/>
      <c r="O205" s="83"/>
      <c r="P205" s="83"/>
      <c r="Q205" s="83"/>
      <c r="R205" s="83"/>
      <c r="S205" s="83"/>
      <c r="T205" s="83"/>
      <c r="U205" s="83"/>
      <c r="V205" s="83"/>
      <c r="W205" s="83"/>
      <c r="X205" s="83"/>
      <c r="Y205" s="83"/>
      <c r="Z205" s="83"/>
      <c r="AA205" s="83"/>
      <c r="AB205" s="83"/>
      <c r="AC205" s="83"/>
      <c r="AD205" s="83"/>
      <c r="AE205" s="83"/>
      <c r="AF205" s="83"/>
      <c r="AG205" s="83"/>
      <c r="AH205" s="281">
        <f>IFERROR(-Z150,0)</f>
        <v>0</v>
      </c>
      <c r="AI205" s="281"/>
      <c r="AJ205" s="281"/>
      <c r="AK205" s="281"/>
      <c r="AL205" s="281"/>
      <c r="AM205" s="281"/>
      <c r="AN205" s="281" t="str">
        <f t="shared" si="12"/>
        <v/>
      </c>
      <c r="AO205" s="281"/>
      <c r="AP205" s="281"/>
      <c r="AQ205" s="281"/>
      <c r="AR205" s="281"/>
      <c r="AS205" s="83"/>
      <c r="AT205" s="287" t="str">
        <f t="shared" si="13"/>
        <v/>
      </c>
      <c r="AU205" s="287"/>
      <c r="AV205" s="287"/>
      <c r="AW205" s="287"/>
    </row>
    <row r="206" spans="2:49" ht="22.5" customHeight="1" x14ac:dyDescent="0.25">
      <c r="B206" s="273"/>
      <c r="C206" s="273"/>
      <c r="D206" s="270" t="s">
        <v>6226</v>
      </c>
      <c r="E206" s="270"/>
      <c r="F206" s="270"/>
      <c r="G206" s="270"/>
      <c r="H206" s="270"/>
      <c r="I206" s="270"/>
      <c r="J206" s="270"/>
      <c r="K206" s="270"/>
      <c r="L206" s="270"/>
      <c r="M206" s="270"/>
      <c r="N206" s="270"/>
      <c r="O206" s="83"/>
      <c r="P206" s="83"/>
      <c r="Q206" s="83"/>
      <c r="R206" s="83"/>
      <c r="S206" s="83"/>
      <c r="T206" s="83"/>
      <c r="U206" s="83"/>
      <c r="V206" s="83"/>
      <c r="W206" s="83"/>
      <c r="X206" s="83"/>
      <c r="Y206" s="83"/>
      <c r="Z206" s="83"/>
      <c r="AA206" s="83"/>
      <c r="AB206" s="83"/>
      <c r="AC206" s="83"/>
      <c r="AD206" s="83"/>
      <c r="AE206" s="83"/>
      <c r="AF206" s="83"/>
      <c r="AG206" s="83"/>
      <c r="AH206" s="281">
        <f>IFERROR(-AP149+AP151,0)</f>
        <v>0</v>
      </c>
      <c r="AI206" s="281"/>
      <c r="AJ206" s="281"/>
      <c r="AK206" s="281"/>
      <c r="AL206" s="281"/>
      <c r="AM206" s="281"/>
      <c r="AN206" s="281" t="str">
        <f t="shared" si="12"/>
        <v/>
      </c>
      <c r="AO206" s="281"/>
      <c r="AP206" s="281"/>
      <c r="AQ206" s="281"/>
      <c r="AR206" s="281"/>
      <c r="AS206" s="83"/>
      <c r="AT206" s="287" t="str">
        <f t="shared" si="13"/>
        <v/>
      </c>
      <c r="AU206" s="287"/>
      <c r="AV206" s="287"/>
      <c r="AW206" s="287"/>
    </row>
    <row r="207" spans="2:49" ht="22.5" customHeight="1" thickBot="1" x14ac:dyDescent="0.3">
      <c r="B207" s="274"/>
      <c r="C207" s="274"/>
      <c r="D207" s="272" t="s">
        <v>6202</v>
      </c>
      <c r="E207" s="272"/>
      <c r="F207" s="272"/>
      <c r="G207" s="272"/>
      <c r="H207" s="272"/>
      <c r="I207" s="272"/>
      <c r="J207" s="272"/>
      <c r="K207" s="272"/>
      <c r="L207" s="272"/>
      <c r="M207" s="272"/>
      <c r="N207" s="272"/>
      <c r="O207" s="84"/>
      <c r="P207" s="84"/>
      <c r="Q207" s="84"/>
      <c r="R207" s="84"/>
      <c r="S207" s="84"/>
      <c r="T207" s="84"/>
      <c r="U207" s="84"/>
      <c r="V207" s="84"/>
      <c r="W207" s="84"/>
      <c r="X207" s="84"/>
      <c r="Y207" s="84"/>
      <c r="Z207" s="84"/>
      <c r="AA207" s="84"/>
      <c r="AB207" s="84"/>
      <c r="AC207" s="84"/>
      <c r="AD207" s="84"/>
      <c r="AE207" s="84"/>
      <c r="AF207" s="84"/>
      <c r="AG207" s="84"/>
      <c r="AH207" s="282">
        <f>IFERROR(-Z152,0)</f>
        <v>0</v>
      </c>
      <c r="AI207" s="282"/>
      <c r="AJ207" s="282"/>
      <c r="AK207" s="282"/>
      <c r="AL207" s="282"/>
      <c r="AM207" s="282"/>
      <c r="AN207" s="282" t="str">
        <f t="shared" si="12"/>
        <v/>
      </c>
      <c r="AO207" s="282"/>
      <c r="AP207" s="282"/>
      <c r="AQ207" s="282"/>
      <c r="AR207" s="282"/>
      <c r="AS207" s="84"/>
      <c r="AT207" s="288" t="str">
        <f t="shared" si="13"/>
        <v/>
      </c>
      <c r="AU207" s="288"/>
      <c r="AV207" s="288"/>
      <c r="AW207" s="288"/>
    </row>
    <row r="208" spans="2:49" ht="22.5" customHeight="1" x14ac:dyDescent="0.25">
      <c r="B208" s="273" t="s">
        <v>6216</v>
      </c>
      <c r="C208" s="273"/>
      <c r="D208" s="270" t="s">
        <v>6207</v>
      </c>
      <c r="E208" s="270"/>
      <c r="F208" s="270"/>
      <c r="G208" s="270"/>
      <c r="H208" s="270"/>
      <c r="I208" s="270"/>
      <c r="J208" s="270"/>
      <c r="K208" s="270"/>
      <c r="L208" s="270"/>
      <c r="M208" s="270"/>
      <c r="N208" s="270"/>
      <c r="O208" s="82"/>
      <c r="P208" s="82"/>
      <c r="Q208" s="82"/>
      <c r="R208" s="82"/>
      <c r="S208" s="82"/>
      <c r="T208" s="82"/>
      <c r="U208" s="82"/>
      <c r="V208" s="82"/>
      <c r="W208" s="82"/>
      <c r="X208" s="82"/>
      <c r="Y208" s="82"/>
      <c r="Z208" s="82"/>
      <c r="AA208" s="82"/>
      <c r="AB208" s="82"/>
      <c r="AC208" s="82"/>
      <c r="AD208" s="82"/>
      <c r="AE208" s="82"/>
      <c r="AF208" s="82"/>
      <c r="AG208" s="82"/>
      <c r="AH208" s="280">
        <f>IFERROR(-Z159,0)</f>
        <v>0</v>
      </c>
      <c r="AI208" s="280"/>
      <c r="AJ208" s="280"/>
      <c r="AK208" s="280"/>
      <c r="AL208" s="280"/>
      <c r="AM208" s="280"/>
      <c r="AN208" s="280" t="str">
        <f t="shared" si="12"/>
        <v/>
      </c>
      <c r="AO208" s="280"/>
      <c r="AP208" s="280"/>
      <c r="AQ208" s="280"/>
      <c r="AR208" s="280"/>
      <c r="AS208" s="82"/>
      <c r="AT208" s="286" t="str">
        <f t="shared" si="13"/>
        <v/>
      </c>
      <c r="AU208" s="286"/>
      <c r="AV208" s="286"/>
      <c r="AW208" s="286"/>
    </row>
    <row r="209" spans="2:49" ht="22.5" customHeight="1" x14ac:dyDescent="0.25">
      <c r="B209" s="273"/>
      <c r="C209" s="273"/>
      <c r="D209" s="270" t="s">
        <v>6184</v>
      </c>
      <c r="E209" s="270"/>
      <c r="F209" s="270"/>
      <c r="G209" s="270"/>
      <c r="H209" s="270"/>
      <c r="I209" s="270"/>
      <c r="J209" s="270"/>
      <c r="K209" s="270"/>
      <c r="L209" s="270"/>
      <c r="M209" s="270"/>
      <c r="N209" s="270"/>
      <c r="O209" s="83"/>
      <c r="P209" s="83"/>
      <c r="Q209" s="83"/>
      <c r="R209" s="83"/>
      <c r="S209" s="83"/>
      <c r="T209" s="83"/>
      <c r="U209" s="83"/>
      <c r="V209" s="83"/>
      <c r="W209" s="83"/>
      <c r="X209" s="83"/>
      <c r="Y209" s="83"/>
      <c r="Z209" s="83"/>
      <c r="AA209" s="83"/>
      <c r="AB209" s="83"/>
      <c r="AC209" s="83"/>
      <c r="AD209" s="83"/>
      <c r="AE209" s="83"/>
      <c r="AF209" s="83"/>
      <c r="AG209" s="83"/>
      <c r="AH209" s="281">
        <f>IFERROR(-Z160,0)</f>
        <v>0</v>
      </c>
      <c r="AI209" s="281"/>
      <c r="AJ209" s="281"/>
      <c r="AK209" s="281"/>
      <c r="AL209" s="281"/>
      <c r="AM209" s="281"/>
      <c r="AN209" s="281" t="str">
        <f t="shared" si="12"/>
        <v/>
      </c>
      <c r="AO209" s="281"/>
      <c r="AP209" s="281"/>
      <c r="AQ209" s="281"/>
      <c r="AR209" s="281"/>
      <c r="AS209" s="83"/>
      <c r="AT209" s="287" t="str">
        <f t="shared" si="13"/>
        <v/>
      </c>
      <c r="AU209" s="287"/>
      <c r="AV209" s="287"/>
      <c r="AW209" s="287"/>
    </row>
    <row r="210" spans="2:49" ht="22.5" customHeight="1" x14ac:dyDescent="0.25">
      <c r="B210" s="273"/>
      <c r="C210" s="273"/>
      <c r="D210" s="270" t="s">
        <v>6208</v>
      </c>
      <c r="E210" s="270"/>
      <c r="F210" s="270"/>
      <c r="G210" s="270"/>
      <c r="H210" s="270"/>
      <c r="I210" s="270"/>
      <c r="J210" s="270"/>
      <c r="K210" s="270"/>
      <c r="L210" s="270"/>
      <c r="M210" s="270"/>
      <c r="N210" s="270"/>
      <c r="O210" s="83"/>
      <c r="P210" s="83"/>
      <c r="Q210" s="83"/>
      <c r="R210" s="83"/>
      <c r="S210" s="83"/>
      <c r="T210" s="83"/>
      <c r="U210" s="83"/>
      <c r="V210" s="83"/>
      <c r="W210" s="83"/>
      <c r="X210" s="83"/>
      <c r="Y210" s="83"/>
      <c r="Z210" s="83"/>
      <c r="AA210" s="83"/>
      <c r="AB210" s="83"/>
      <c r="AC210" s="83"/>
      <c r="AD210" s="83"/>
      <c r="AE210" s="83"/>
      <c r="AF210" s="83"/>
      <c r="AG210" s="83"/>
      <c r="AH210" s="281">
        <f>IFERROR(-Z161,0)</f>
        <v>0</v>
      </c>
      <c r="AI210" s="281"/>
      <c r="AJ210" s="281"/>
      <c r="AK210" s="281"/>
      <c r="AL210" s="281"/>
      <c r="AM210" s="281"/>
      <c r="AN210" s="281" t="str">
        <f t="shared" si="12"/>
        <v/>
      </c>
      <c r="AO210" s="281"/>
      <c r="AP210" s="281"/>
      <c r="AQ210" s="281"/>
      <c r="AR210" s="281"/>
      <c r="AS210" s="83"/>
      <c r="AT210" s="287" t="str">
        <f t="shared" si="13"/>
        <v/>
      </c>
      <c r="AU210" s="287"/>
      <c r="AV210" s="287"/>
      <c r="AW210" s="287"/>
    </row>
    <row r="211" spans="2:49" ht="22.5" customHeight="1" thickBot="1" x14ac:dyDescent="0.3">
      <c r="B211" s="274"/>
      <c r="C211" s="274"/>
      <c r="D211" s="272" t="s">
        <v>6202</v>
      </c>
      <c r="E211" s="272"/>
      <c r="F211" s="272"/>
      <c r="G211" s="272"/>
      <c r="H211" s="272"/>
      <c r="I211" s="272"/>
      <c r="J211" s="272"/>
      <c r="K211" s="272"/>
      <c r="L211" s="272"/>
      <c r="M211" s="272"/>
      <c r="N211" s="272"/>
      <c r="O211" s="84"/>
      <c r="P211" s="84"/>
      <c r="Q211" s="84"/>
      <c r="R211" s="84"/>
      <c r="S211" s="84"/>
      <c r="T211" s="84"/>
      <c r="U211" s="84"/>
      <c r="V211" s="84"/>
      <c r="W211" s="84"/>
      <c r="X211" s="84"/>
      <c r="Y211" s="84"/>
      <c r="Z211" s="84"/>
      <c r="AA211" s="84"/>
      <c r="AB211" s="84"/>
      <c r="AC211" s="84"/>
      <c r="AD211" s="84"/>
      <c r="AE211" s="84"/>
      <c r="AF211" s="84"/>
      <c r="AG211" s="84"/>
      <c r="AH211" s="282">
        <f>IFERROR(-Z162,0)</f>
        <v>0</v>
      </c>
      <c r="AI211" s="282"/>
      <c r="AJ211" s="282"/>
      <c r="AK211" s="282"/>
      <c r="AL211" s="282"/>
      <c r="AM211" s="282"/>
      <c r="AN211" s="282" t="str">
        <f t="shared" si="12"/>
        <v/>
      </c>
      <c r="AO211" s="282"/>
      <c r="AP211" s="282"/>
      <c r="AQ211" s="282"/>
      <c r="AR211" s="282"/>
      <c r="AS211" s="84"/>
      <c r="AT211" s="288" t="str">
        <f t="shared" si="13"/>
        <v/>
      </c>
      <c r="AU211" s="288"/>
      <c r="AV211" s="288"/>
      <c r="AW211" s="288"/>
    </row>
    <row r="212" spans="2:49" ht="22.5" customHeight="1" x14ac:dyDescent="0.25">
      <c r="B212" s="80"/>
      <c r="C212" s="80"/>
      <c r="D212" s="270" t="s">
        <v>6227</v>
      </c>
      <c r="E212" s="270"/>
      <c r="F212" s="270"/>
      <c r="G212" s="270"/>
      <c r="H212" s="270"/>
      <c r="I212" s="270"/>
      <c r="J212" s="270"/>
      <c r="K212" s="270"/>
      <c r="L212" s="270"/>
      <c r="M212" s="270"/>
      <c r="N212" s="270"/>
      <c r="O212" s="82"/>
      <c r="P212" s="82"/>
      <c r="Q212" s="82"/>
      <c r="R212" s="82"/>
      <c r="S212" s="82"/>
      <c r="T212" s="82"/>
      <c r="U212" s="82"/>
      <c r="V212" s="82"/>
      <c r="W212" s="82"/>
      <c r="X212" s="82"/>
      <c r="Y212" s="82"/>
      <c r="Z212" s="82"/>
      <c r="AA212" s="82"/>
      <c r="AB212" s="82"/>
      <c r="AC212" s="82"/>
      <c r="AD212" s="82"/>
      <c r="AE212" s="82"/>
      <c r="AF212" s="82"/>
      <c r="AG212" s="82"/>
      <c r="AH212" s="280">
        <f>IFERROR(-U172,0)</f>
        <v>0</v>
      </c>
      <c r="AI212" s="280"/>
      <c r="AJ212" s="280"/>
      <c r="AK212" s="280"/>
      <c r="AL212" s="280"/>
      <c r="AM212" s="280"/>
      <c r="AN212" s="280" t="str">
        <f t="shared" si="12"/>
        <v/>
      </c>
      <c r="AO212" s="280"/>
      <c r="AP212" s="280"/>
      <c r="AQ212" s="280"/>
      <c r="AR212" s="280"/>
      <c r="AS212" s="82"/>
      <c r="AT212" s="286" t="str">
        <f t="shared" si="13"/>
        <v/>
      </c>
      <c r="AU212" s="286"/>
      <c r="AV212" s="286"/>
      <c r="AW212" s="286"/>
    </row>
    <row r="213" spans="2:49" ht="22.5" customHeight="1" thickBot="1" x14ac:dyDescent="0.3">
      <c r="B213" s="81"/>
      <c r="C213" s="81"/>
      <c r="D213" s="272" t="s">
        <v>6228</v>
      </c>
      <c r="E213" s="272"/>
      <c r="F213" s="272"/>
      <c r="G213" s="272"/>
      <c r="H213" s="272"/>
      <c r="I213" s="272"/>
      <c r="J213" s="272"/>
      <c r="K213" s="272"/>
      <c r="L213" s="272"/>
      <c r="M213" s="272"/>
      <c r="N213" s="272"/>
      <c r="O213" s="84"/>
      <c r="P213" s="84"/>
      <c r="Q213" s="84"/>
      <c r="R213" s="84"/>
      <c r="S213" s="84"/>
      <c r="T213" s="84"/>
      <c r="U213" s="84"/>
      <c r="V213" s="84"/>
      <c r="W213" s="84"/>
      <c r="X213" s="84"/>
      <c r="Y213" s="84"/>
      <c r="Z213" s="84"/>
      <c r="AA213" s="84"/>
      <c r="AB213" s="84"/>
      <c r="AC213" s="84"/>
      <c r="AD213" s="84"/>
      <c r="AE213" s="84"/>
      <c r="AF213" s="84"/>
      <c r="AG213" s="84"/>
      <c r="AH213" s="282">
        <f>IFERROR(-Z177,0)</f>
        <v>0</v>
      </c>
      <c r="AI213" s="282"/>
      <c r="AJ213" s="282"/>
      <c r="AK213" s="282"/>
      <c r="AL213" s="282"/>
      <c r="AM213" s="282"/>
      <c r="AN213" s="282" t="str">
        <f t="shared" si="12"/>
        <v/>
      </c>
      <c r="AO213" s="282"/>
      <c r="AP213" s="282"/>
      <c r="AQ213" s="282"/>
      <c r="AR213" s="282"/>
      <c r="AS213" s="84"/>
      <c r="AT213" s="288" t="str">
        <f t="shared" si="13"/>
        <v/>
      </c>
      <c r="AU213" s="288"/>
      <c r="AV213" s="288"/>
      <c r="AW213" s="288"/>
    </row>
    <row r="214" spans="2:49" ht="22.5" customHeight="1" x14ac:dyDescent="0.25">
      <c r="B214" s="86"/>
      <c r="C214" s="86"/>
      <c r="D214" s="275" t="s">
        <v>6230</v>
      </c>
      <c r="E214" s="275"/>
      <c r="F214" s="275"/>
      <c r="G214" s="275"/>
      <c r="H214" s="275"/>
      <c r="I214" s="275"/>
      <c r="J214" s="275"/>
      <c r="K214" s="275"/>
      <c r="L214" s="275"/>
      <c r="M214" s="275"/>
      <c r="N214" s="275"/>
      <c r="O214" s="87"/>
      <c r="P214" s="87"/>
      <c r="Q214" s="87"/>
      <c r="R214" s="87"/>
      <c r="S214" s="87"/>
      <c r="T214" s="87"/>
      <c r="U214" s="87"/>
      <c r="V214" s="87"/>
      <c r="W214" s="87"/>
      <c r="X214" s="87"/>
      <c r="Y214" s="87"/>
      <c r="Z214" s="87"/>
      <c r="AA214" s="87"/>
      <c r="AB214" s="87"/>
      <c r="AC214" s="87"/>
      <c r="AD214" s="87"/>
      <c r="AE214" s="87"/>
      <c r="AF214" s="87"/>
      <c r="AG214" s="87"/>
      <c r="AH214" s="283">
        <f>SUM(AH181:AM213)</f>
        <v>0</v>
      </c>
      <c r="AI214" s="284"/>
      <c r="AJ214" s="284"/>
      <c r="AK214" s="284"/>
      <c r="AL214" s="284"/>
      <c r="AM214" s="284"/>
      <c r="AN214" s="283" t="str">
        <f t="shared" si="12"/>
        <v/>
      </c>
      <c r="AO214" s="283"/>
      <c r="AP214" s="283"/>
      <c r="AQ214" s="283"/>
      <c r="AR214" s="283"/>
      <c r="AS214" s="87"/>
      <c r="AT214" s="289" t="str">
        <f>IFERROR(AH214/AH181,"")</f>
        <v/>
      </c>
      <c r="AU214" s="289"/>
      <c r="AV214" s="289"/>
      <c r="AW214" s="289"/>
    </row>
    <row r="215" spans="2:49" ht="22.5" customHeight="1" x14ac:dyDescent="0.25"/>
    <row r="216" spans="2:49" ht="18.75" customHeight="1" x14ac:dyDescent="0.25"/>
    <row r="217" spans="2:49" ht="18.75" customHeight="1" x14ac:dyDescent="0.25"/>
    <row r="218" spans="2:49" ht="18.75" customHeight="1" x14ac:dyDescent="0.25"/>
    <row r="219" spans="2:49" ht="15" customHeight="1" x14ac:dyDescent="0.25"/>
    <row r="220" spans="2:49" ht="15" customHeight="1" x14ac:dyDescent="0.25"/>
    <row r="221" spans="2:49" ht="15" customHeight="1" x14ac:dyDescent="0.25"/>
    <row r="222" spans="2:49" ht="15" customHeight="1" x14ac:dyDescent="0.25"/>
    <row r="223" spans="2:49" ht="15" customHeight="1" x14ac:dyDescent="0.25"/>
    <row r="224" spans="2:49"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sheetData>
  <sheetProtection sheet="1" objects="1" scenarios="1" selectLockedCells="1"/>
  <mergeCells count="736">
    <mergeCell ref="AI127:AM127"/>
    <mergeCell ref="AN127:AR127"/>
    <mergeCell ref="AI129:AR129"/>
    <mergeCell ref="B14:J14"/>
    <mergeCell ref="K14:S14"/>
    <mergeCell ref="T14:Y14"/>
    <mergeCell ref="Z14:AH14"/>
    <mergeCell ref="AI14:AQ14"/>
    <mergeCell ref="AR14:AW14"/>
    <mergeCell ref="B18:J18"/>
    <mergeCell ref="K18:S18"/>
    <mergeCell ref="T18:Y18"/>
    <mergeCell ref="Z18:AH18"/>
    <mergeCell ref="AI18:AQ18"/>
    <mergeCell ref="AR18:AW18"/>
    <mergeCell ref="B17:J17"/>
    <mergeCell ref="K17:S17"/>
    <mergeCell ref="T17:Y17"/>
    <mergeCell ref="Z17:AH17"/>
    <mergeCell ref="AI17:AQ17"/>
    <mergeCell ref="AR17:AW17"/>
    <mergeCell ref="B20:J20"/>
    <mergeCell ref="K20:S20"/>
    <mergeCell ref="T20:Y20"/>
    <mergeCell ref="AR6:AW6"/>
    <mergeCell ref="B10:G10"/>
    <mergeCell ref="H10:S10"/>
    <mergeCell ref="T10:Y10"/>
    <mergeCell ref="Z10:AH10"/>
    <mergeCell ref="AI10:AN10"/>
    <mergeCell ref="AO10:AW10"/>
    <mergeCell ref="B16:J16"/>
    <mergeCell ref="K16:S16"/>
    <mergeCell ref="T16:Y16"/>
    <mergeCell ref="Z16:AH16"/>
    <mergeCell ref="AI16:AQ16"/>
    <mergeCell ref="AR16:AW16"/>
    <mergeCell ref="B15:J15"/>
    <mergeCell ref="K15:S15"/>
    <mergeCell ref="T15:Y15"/>
    <mergeCell ref="Z15:AH15"/>
    <mergeCell ref="AI15:AQ15"/>
    <mergeCell ref="AR15:AW15"/>
    <mergeCell ref="Z20:AH20"/>
    <mergeCell ref="AI20:AQ20"/>
    <mergeCell ref="AR20:AW20"/>
    <mergeCell ref="B19:J19"/>
    <mergeCell ref="K19:S19"/>
    <mergeCell ref="T19:Y19"/>
    <mergeCell ref="Z19:AH19"/>
    <mergeCell ref="AI19:AQ19"/>
    <mergeCell ref="AR19:AW19"/>
    <mergeCell ref="B22:J22"/>
    <mergeCell ref="K22:S22"/>
    <mergeCell ref="T22:Y22"/>
    <mergeCell ref="Z22:AH22"/>
    <mergeCell ref="AI22:AQ22"/>
    <mergeCell ref="AR22:AW22"/>
    <mergeCell ref="B21:J21"/>
    <mergeCell ref="K21:S21"/>
    <mergeCell ref="T21:Y21"/>
    <mergeCell ref="Z21:AH21"/>
    <mergeCell ref="AI21:AQ21"/>
    <mergeCell ref="AR21:AW21"/>
    <mergeCell ref="B24:J24"/>
    <mergeCell ref="K24:S24"/>
    <mergeCell ref="T24:Y24"/>
    <mergeCell ref="Z24:AH24"/>
    <mergeCell ref="AI24:AQ24"/>
    <mergeCell ref="AR24:AW24"/>
    <mergeCell ref="B23:J23"/>
    <mergeCell ref="K23:S23"/>
    <mergeCell ref="T23:Y23"/>
    <mergeCell ref="Z23:AH23"/>
    <mergeCell ref="AI23:AQ23"/>
    <mergeCell ref="AR23:AW23"/>
    <mergeCell ref="B26:J26"/>
    <mergeCell ref="K26:S26"/>
    <mergeCell ref="T26:Y26"/>
    <mergeCell ref="Z26:AH26"/>
    <mergeCell ref="AI26:AQ26"/>
    <mergeCell ref="AR26:AW26"/>
    <mergeCell ref="B25:J25"/>
    <mergeCell ref="K25:S25"/>
    <mergeCell ref="T25:Y25"/>
    <mergeCell ref="Z25:AH25"/>
    <mergeCell ref="AI25:AQ25"/>
    <mergeCell ref="AR25:AW25"/>
    <mergeCell ref="AI28:AQ28"/>
    <mergeCell ref="AR28:AW28"/>
    <mergeCell ref="B30:E30"/>
    <mergeCell ref="F30:I30"/>
    <mergeCell ref="J30:J34"/>
    <mergeCell ref="K30:K34"/>
    <mergeCell ref="L30:L34"/>
    <mergeCell ref="M30:M34"/>
    <mergeCell ref="N30:N34"/>
    <mergeCell ref="O30:O34"/>
    <mergeCell ref="AF30:AF34"/>
    <mergeCell ref="AG30:AG34"/>
    <mergeCell ref="V30:V34"/>
    <mergeCell ref="W30:W34"/>
    <mergeCell ref="X30:X34"/>
    <mergeCell ref="Y30:Y34"/>
    <mergeCell ref="Z30:Z34"/>
    <mergeCell ref="AA30:AA34"/>
    <mergeCell ref="P30:P34"/>
    <mergeCell ref="Q30:Q34"/>
    <mergeCell ref="R30:R34"/>
    <mergeCell ref="S30:S34"/>
    <mergeCell ref="T30:T34"/>
    <mergeCell ref="U30:U34"/>
    <mergeCell ref="AT30:AT34"/>
    <mergeCell ref="AU30:AU34"/>
    <mergeCell ref="AV30:AV34"/>
    <mergeCell ref="AW30:AW34"/>
    <mergeCell ref="B32:E32"/>
    <mergeCell ref="F32:I32"/>
    <mergeCell ref="B34:E34"/>
    <mergeCell ref="F34:I34"/>
    <mergeCell ref="AN30:AN34"/>
    <mergeCell ref="AO30:AO34"/>
    <mergeCell ref="AP30:AP34"/>
    <mergeCell ref="AQ30:AQ34"/>
    <mergeCell ref="AR30:AR34"/>
    <mergeCell ref="AS30:AS34"/>
    <mergeCell ref="AH30:AH34"/>
    <mergeCell ref="AI30:AI34"/>
    <mergeCell ref="AJ30:AJ34"/>
    <mergeCell ref="AK30:AK34"/>
    <mergeCell ref="AL30:AL34"/>
    <mergeCell ref="AM30:AM34"/>
    <mergeCell ref="AB30:AB34"/>
    <mergeCell ref="AC30:AC34"/>
    <mergeCell ref="AD30:AD34"/>
    <mergeCell ref="AE30:AE34"/>
    <mergeCell ref="B38:E38"/>
    <mergeCell ref="F38:I38"/>
    <mergeCell ref="B39:E39"/>
    <mergeCell ref="F39:I39"/>
    <mergeCell ref="J43:Q43"/>
    <mergeCell ref="R43:AG43"/>
    <mergeCell ref="B35:E35"/>
    <mergeCell ref="F35:I35"/>
    <mergeCell ref="B36:E36"/>
    <mergeCell ref="F36:I36"/>
    <mergeCell ref="B37:E37"/>
    <mergeCell ref="F37:I37"/>
    <mergeCell ref="B45:I45"/>
    <mergeCell ref="J45:Q45"/>
    <mergeCell ref="R45:AA45"/>
    <mergeCell ref="AB45:AG45"/>
    <mergeCell ref="AH45:AQ45"/>
    <mergeCell ref="AR45:AW45"/>
    <mergeCell ref="AH43:AW43"/>
    <mergeCell ref="B44:I44"/>
    <mergeCell ref="J44:Q44"/>
    <mergeCell ref="R44:AA44"/>
    <mergeCell ref="AB44:AG44"/>
    <mergeCell ref="AH44:AQ44"/>
    <mergeCell ref="AR44:AW44"/>
    <mergeCell ref="B49:I49"/>
    <mergeCell ref="J49:Q49"/>
    <mergeCell ref="Z49:AG49"/>
    <mergeCell ref="AH49:AO49"/>
    <mergeCell ref="B50:I50"/>
    <mergeCell ref="J50:Q50"/>
    <mergeCell ref="B46:I46"/>
    <mergeCell ref="J46:Q46"/>
    <mergeCell ref="R46:AG46"/>
    <mergeCell ref="AH46:AW46"/>
    <mergeCell ref="B48:I48"/>
    <mergeCell ref="J48:Q48"/>
    <mergeCell ref="Z48:AG48"/>
    <mergeCell ref="AH48:AO48"/>
    <mergeCell ref="B57:I57"/>
    <mergeCell ref="J57:Q57"/>
    <mergeCell ref="Z57:AO57"/>
    <mergeCell ref="B58:I58"/>
    <mergeCell ref="J58:M58"/>
    <mergeCell ref="N58:Q58"/>
    <mergeCell ref="B54:I54"/>
    <mergeCell ref="J54:Q54"/>
    <mergeCell ref="B55:I55"/>
    <mergeCell ref="J55:Q55"/>
    <mergeCell ref="Z55:AO55"/>
    <mergeCell ref="B56:I56"/>
    <mergeCell ref="J56:Q56"/>
    <mergeCell ref="Z56:AO56"/>
    <mergeCell ref="Z61:AO61"/>
    <mergeCell ref="Z62:AO62"/>
    <mergeCell ref="B63:I63"/>
    <mergeCell ref="J63:Q63"/>
    <mergeCell ref="Z63:AO63"/>
    <mergeCell ref="B64:I64"/>
    <mergeCell ref="J64:Q64"/>
    <mergeCell ref="B60:I60"/>
    <mergeCell ref="J60:M60"/>
    <mergeCell ref="N60:Q60"/>
    <mergeCell ref="B61:I61"/>
    <mergeCell ref="J61:M61"/>
    <mergeCell ref="N61:Q61"/>
    <mergeCell ref="R71:V71"/>
    <mergeCell ref="B72:Q72"/>
    <mergeCell ref="R72:V72"/>
    <mergeCell ref="B74:L74"/>
    <mergeCell ref="M74:Q74"/>
    <mergeCell ref="R74:V74"/>
    <mergeCell ref="B68:Q68"/>
    <mergeCell ref="R68:V68"/>
    <mergeCell ref="B69:Q69"/>
    <mergeCell ref="R69:V69"/>
    <mergeCell ref="B70:Q70"/>
    <mergeCell ref="R70:V70"/>
    <mergeCell ref="W74:AA74"/>
    <mergeCell ref="AB74:AF74"/>
    <mergeCell ref="AG74:AW74"/>
    <mergeCell ref="B75:L75"/>
    <mergeCell ref="M75:Q75"/>
    <mergeCell ref="R75:V75"/>
    <mergeCell ref="W75:AA75"/>
    <mergeCell ref="AB75:AF75"/>
    <mergeCell ref="AG75:AW75"/>
    <mergeCell ref="B77:L77"/>
    <mergeCell ref="M77:Q77"/>
    <mergeCell ref="R77:V77"/>
    <mergeCell ref="W77:AA77"/>
    <mergeCell ref="AB77:AF77"/>
    <mergeCell ref="AG77:AW77"/>
    <mergeCell ref="B76:L76"/>
    <mergeCell ref="M76:Q76"/>
    <mergeCell ref="R76:V76"/>
    <mergeCell ref="W76:AA76"/>
    <mergeCell ref="AB76:AF76"/>
    <mergeCell ref="AG76:AW76"/>
    <mergeCell ref="B79:L79"/>
    <mergeCell ref="M79:Q79"/>
    <mergeCell ref="R79:V79"/>
    <mergeCell ref="W79:AA79"/>
    <mergeCell ref="AB79:AF79"/>
    <mergeCell ref="AG79:AW79"/>
    <mergeCell ref="B78:L78"/>
    <mergeCell ref="M78:Q78"/>
    <mergeCell ref="R78:V78"/>
    <mergeCell ref="W78:AA78"/>
    <mergeCell ref="AB78:AF78"/>
    <mergeCell ref="AG78:AW78"/>
    <mergeCell ref="B81:L81"/>
    <mergeCell ref="M81:Q81"/>
    <mergeCell ref="R81:V81"/>
    <mergeCell ref="W81:AA81"/>
    <mergeCell ref="AB81:AF81"/>
    <mergeCell ref="AG81:AW81"/>
    <mergeCell ref="B80:L80"/>
    <mergeCell ref="M80:Q80"/>
    <mergeCell ref="R80:V80"/>
    <mergeCell ref="W80:AA80"/>
    <mergeCell ref="AB80:AF80"/>
    <mergeCell ref="AG80:AW80"/>
    <mergeCell ref="B83:L83"/>
    <mergeCell ref="M83:Q83"/>
    <mergeCell ref="R83:V83"/>
    <mergeCell ref="W83:AA83"/>
    <mergeCell ref="AB83:AF83"/>
    <mergeCell ref="AG83:AW83"/>
    <mergeCell ref="B82:L82"/>
    <mergeCell ref="M82:Q82"/>
    <mergeCell ref="R82:V82"/>
    <mergeCell ref="W82:AA82"/>
    <mergeCell ref="AB82:AF82"/>
    <mergeCell ref="AG82:AW82"/>
    <mergeCell ref="B85:L85"/>
    <mergeCell ref="M85:Q85"/>
    <mergeCell ref="R85:V85"/>
    <mergeCell ref="W85:AA85"/>
    <mergeCell ref="AB85:AF85"/>
    <mergeCell ref="AG85:AW85"/>
    <mergeCell ref="B84:L84"/>
    <mergeCell ref="M84:Q84"/>
    <mergeCell ref="R84:V84"/>
    <mergeCell ref="W84:AA84"/>
    <mergeCell ref="AB84:AF84"/>
    <mergeCell ref="AG84:AW84"/>
    <mergeCell ref="AG88:AW88"/>
    <mergeCell ref="B87:L87"/>
    <mergeCell ref="M87:Q87"/>
    <mergeCell ref="R87:V87"/>
    <mergeCell ref="W87:AA87"/>
    <mergeCell ref="AB87:AF87"/>
    <mergeCell ref="AG87:AW87"/>
    <mergeCell ref="B86:L86"/>
    <mergeCell ref="M86:Q86"/>
    <mergeCell ref="R86:V86"/>
    <mergeCell ref="W86:AA86"/>
    <mergeCell ref="AB86:AF86"/>
    <mergeCell ref="AG86:AW86"/>
    <mergeCell ref="R90:AA90"/>
    <mergeCell ref="AB90:AF90"/>
    <mergeCell ref="R91:AA91"/>
    <mergeCell ref="AB91:AF91"/>
    <mergeCell ref="R92:AA92"/>
    <mergeCell ref="AB92:AF92"/>
    <mergeCell ref="B88:L88"/>
    <mergeCell ref="M88:Q88"/>
    <mergeCell ref="R88:V88"/>
    <mergeCell ref="W88:AA88"/>
    <mergeCell ref="AB88:AF88"/>
    <mergeCell ref="B95:Q95"/>
    <mergeCell ref="R95:V95"/>
    <mergeCell ref="W95:AA95"/>
    <mergeCell ref="AB95:AF95"/>
    <mergeCell ref="AG95:AK95"/>
    <mergeCell ref="AL95:AW95"/>
    <mergeCell ref="B94:Q94"/>
    <mergeCell ref="R94:V94"/>
    <mergeCell ref="W94:AA94"/>
    <mergeCell ref="AB94:AF94"/>
    <mergeCell ref="AG94:AK94"/>
    <mergeCell ref="AL94:AW94"/>
    <mergeCell ref="B97:Q97"/>
    <mergeCell ref="R97:V97"/>
    <mergeCell ref="W97:AA97"/>
    <mergeCell ref="AB97:AF97"/>
    <mergeCell ref="AG97:AK97"/>
    <mergeCell ref="AL97:AW97"/>
    <mergeCell ref="B96:Q96"/>
    <mergeCell ref="R96:V96"/>
    <mergeCell ref="W96:AA96"/>
    <mergeCell ref="AB96:AF96"/>
    <mergeCell ref="AG96:AK96"/>
    <mergeCell ref="AL96:AW96"/>
    <mergeCell ref="B99:Q99"/>
    <mergeCell ref="R99:V99"/>
    <mergeCell ref="W99:AA99"/>
    <mergeCell ref="AB99:AF99"/>
    <mergeCell ref="AG99:AK99"/>
    <mergeCell ref="AL99:AW99"/>
    <mergeCell ref="B98:Q98"/>
    <mergeCell ref="R98:V98"/>
    <mergeCell ref="W98:AA98"/>
    <mergeCell ref="AB98:AF98"/>
    <mergeCell ref="AG98:AK98"/>
    <mergeCell ref="AL98:AW98"/>
    <mergeCell ref="B101:Q101"/>
    <mergeCell ref="R101:V101"/>
    <mergeCell ref="W101:AA101"/>
    <mergeCell ref="AB101:AF101"/>
    <mergeCell ref="AG101:AK101"/>
    <mergeCell ref="AL101:AW101"/>
    <mergeCell ref="B100:Q100"/>
    <mergeCell ref="R100:V100"/>
    <mergeCell ref="W100:AA100"/>
    <mergeCell ref="AB100:AF100"/>
    <mergeCell ref="AG100:AK100"/>
    <mergeCell ref="AL100:AW100"/>
    <mergeCell ref="B103:Q103"/>
    <mergeCell ref="R103:V103"/>
    <mergeCell ref="W103:AA103"/>
    <mergeCell ref="AB103:AF103"/>
    <mergeCell ref="AG103:AK103"/>
    <mergeCell ref="AL103:AW103"/>
    <mergeCell ref="B102:Q102"/>
    <mergeCell ref="R102:V102"/>
    <mergeCell ref="W102:AA102"/>
    <mergeCell ref="AB102:AF102"/>
    <mergeCell ref="AG102:AK102"/>
    <mergeCell ref="AL102:AW102"/>
    <mergeCell ref="B105:Q105"/>
    <mergeCell ref="R105:V105"/>
    <mergeCell ref="W105:AA105"/>
    <mergeCell ref="AB105:AF105"/>
    <mergeCell ref="AG105:AK105"/>
    <mergeCell ref="AL105:AW105"/>
    <mergeCell ref="B104:Q104"/>
    <mergeCell ref="R104:V104"/>
    <mergeCell ref="W104:AA104"/>
    <mergeCell ref="AB104:AF104"/>
    <mergeCell ref="AG104:AK104"/>
    <mergeCell ref="AL104:AW104"/>
    <mergeCell ref="B107:Q107"/>
    <mergeCell ref="R107:V107"/>
    <mergeCell ref="W107:AA107"/>
    <mergeCell ref="AB107:AF107"/>
    <mergeCell ref="AG107:AK107"/>
    <mergeCell ref="AL107:AW107"/>
    <mergeCell ref="B106:Q106"/>
    <mergeCell ref="R106:V106"/>
    <mergeCell ref="W106:AA106"/>
    <mergeCell ref="AB106:AF106"/>
    <mergeCell ref="AG106:AK106"/>
    <mergeCell ref="AL106:AW106"/>
    <mergeCell ref="B109:Q109"/>
    <mergeCell ref="R109:V109"/>
    <mergeCell ref="W109:AA109"/>
    <mergeCell ref="AB109:AF109"/>
    <mergeCell ref="AG109:AK109"/>
    <mergeCell ref="AL109:AW109"/>
    <mergeCell ref="B108:Q108"/>
    <mergeCell ref="R108:V108"/>
    <mergeCell ref="W108:AA108"/>
    <mergeCell ref="AB108:AF108"/>
    <mergeCell ref="AG108:AK108"/>
    <mergeCell ref="AL108:AW108"/>
    <mergeCell ref="AC115:AG115"/>
    <mergeCell ref="AH115:AL115"/>
    <mergeCell ref="AM115:AQ115"/>
    <mergeCell ref="B119:K119"/>
    <mergeCell ref="L119:T119"/>
    <mergeCell ref="U119:AD119"/>
    <mergeCell ref="AE119:AM119"/>
    <mergeCell ref="AN119:AW119"/>
    <mergeCell ref="AB111:AF111"/>
    <mergeCell ref="AG111:AK111"/>
    <mergeCell ref="H113:V113"/>
    <mergeCell ref="AC113:AQ113"/>
    <mergeCell ref="H114:L114"/>
    <mergeCell ref="M114:Q114"/>
    <mergeCell ref="R114:V114"/>
    <mergeCell ref="AC114:AG114"/>
    <mergeCell ref="AH114:AL114"/>
    <mergeCell ref="AM114:AQ114"/>
    <mergeCell ref="B123:K123"/>
    <mergeCell ref="L123:T123"/>
    <mergeCell ref="U123:Y123"/>
    <mergeCell ref="Z123:AD123"/>
    <mergeCell ref="B120:K120"/>
    <mergeCell ref="L120:T120"/>
    <mergeCell ref="U120:AD120"/>
    <mergeCell ref="AE120:AM120"/>
    <mergeCell ref="AN120:AW120"/>
    <mergeCell ref="B122:K122"/>
    <mergeCell ref="L122:T122"/>
    <mergeCell ref="U122:Y122"/>
    <mergeCell ref="Z122:AD122"/>
    <mergeCell ref="AI123:AR123"/>
    <mergeCell ref="AI126:AM126"/>
    <mergeCell ref="AN126:AR126"/>
    <mergeCell ref="B125:K125"/>
    <mergeCell ref="L125:T125"/>
    <mergeCell ref="U125:Y125"/>
    <mergeCell ref="Z125:AD125"/>
    <mergeCell ref="AI125:AM125"/>
    <mergeCell ref="AN125:AR125"/>
    <mergeCell ref="B124:K124"/>
    <mergeCell ref="L124:T124"/>
    <mergeCell ref="U124:Y124"/>
    <mergeCell ref="Z124:AD124"/>
    <mergeCell ref="AI124:AM124"/>
    <mergeCell ref="AN124:AR124"/>
    <mergeCell ref="B127:K127"/>
    <mergeCell ref="L127:T127"/>
    <mergeCell ref="U127:Y127"/>
    <mergeCell ref="Z127:AD127"/>
    <mergeCell ref="B128:K128"/>
    <mergeCell ref="L128:T128"/>
    <mergeCell ref="U128:Y128"/>
    <mergeCell ref="Z128:AD128"/>
    <mergeCell ref="B126:K126"/>
    <mergeCell ref="L126:T126"/>
    <mergeCell ref="U126:Y126"/>
    <mergeCell ref="Z126:AD126"/>
    <mergeCell ref="B130:K130"/>
    <mergeCell ref="L130:T130"/>
    <mergeCell ref="U130:Y130"/>
    <mergeCell ref="Z130:AD130"/>
    <mergeCell ref="AI130:AM130"/>
    <mergeCell ref="AN130:AR130"/>
    <mergeCell ref="B129:K129"/>
    <mergeCell ref="L129:T129"/>
    <mergeCell ref="U129:Y129"/>
    <mergeCell ref="Z129:AD129"/>
    <mergeCell ref="B133:K133"/>
    <mergeCell ref="L133:T133"/>
    <mergeCell ref="U133:Y133"/>
    <mergeCell ref="Z133:AD133"/>
    <mergeCell ref="AI133:AM133"/>
    <mergeCell ref="AN133:AR133"/>
    <mergeCell ref="B131:K131"/>
    <mergeCell ref="L131:T131"/>
    <mergeCell ref="U131:Y131"/>
    <mergeCell ref="Z131:AD131"/>
    <mergeCell ref="AI131:AM131"/>
    <mergeCell ref="AN131:AR131"/>
    <mergeCell ref="B132:K132"/>
    <mergeCell ref="L132:T132"/>
    <mergeCell ref="U132:Y132"/>
    <mergeCell ref="Z132:AD132"/>
    <mergeCell ref="AI132:AM132"/>
    <mergeCell ref="AN132:AR132"/>
    <mergeCell ref="B140:K140"/>
    <mergeCell ref="L140:T140"/>
    <mergeCell ref="U140:Y140"/>
    <mergeCell ref="Z140:AD140"/>
    <mergeCell ref="B141:K141"/>
    <mergeCell ref="L141:T141"/>
    <mergeCell ref="U141:Y141"/>
    <mergeCell ref="Z141:AD141"/>
    <mergeCell ref="U135:Y135"/>
    <mergeCell ref="Z135:AD135"/>
    <mergeCell ref="B139:K139"/>
    <mergeCell ref="L139:T139"/>
    <mergeCell ref="U139:Y139"/>
    <mergeCell ref="Z139:AD139"/>
    <mergeCell ref="AI146:AS146"/>
    <mergeCell ref="B147:K147"/>
    <mergeCell ref="L147:T147"/>
    <mergeCell ref="U147:Y147"/>
    <mergeCell ref="Z147:AD147"/>
    <mergeCell ref="AI147:AM147"/>
    <mergeCell ref="AN147:AS147"/>
    <mergeCell ref="B145:K145"/>
    <mergeCell ref="L145:T145"/>
    <mergeCell ref="U145:Y145"/>
    <mergeCell ref="Z145:AD145"/>
    <mergeCell ref="B146:K146"/>
    <mergeCell ref="L146:T146"/>
    <mergeCell ref="U146:Y146"/>
    <mergeCell ref="Z146:AD146"/>
    <mergeCell ref="AP148:AS148"/>
    <mergeCell ref="B149:K149"/>
    <mergeCell ref="L149:T149"/>
    <mergeCell ref="U149:Y149"/>
    <mergeCell ref="Z149:AD149"/>
    <mergeCell ref="AI149:AM149"/>
    <mergeCell ref="AN149:AO149"/>
    <mergeCell ref="AP149:AS149"/>
    <mergeCell ref="B148:K148"/>
    <mergeCell ref="L148:T148"/>
    <mergeCell ref="U148:Y148"/>
    <mergeCell ref="Z148:AD148"/>
    <mergeCell ref="AI148:AM148"/>
    <mergeCell ref="AN148:AO148"/>
    <mergeCell ref="B152:K152"/>
    <mergeCell ref="L152:T152"/>
    <mergeCell ref="U152:Y152"/>
    <mergeCell ref="Z152:AD152"/>
    <mergeCell ref="U154:Y154"/>
    <mergeCell ref="Z154:AD154"/>
    <mergeCell ref="AP150:AS150"/>
    <mergeCell ref="B151:K151"/>
    <mergeCell ref="L151:T151"/>
    <mergeCell ref="U151:Y151"/>
    <mergeCell ref="Z151:AD151"/>
    <mergeCell ref="AI151:AM151"/>
    <mergeCell ref="AN151:AO151"/>
    <mergeCell ref="AP151:AS151"/>
    <mergeCell ref="B150:K150"/>
    <mergeCell ref="L150:T150"/>
    <mergeCell ref="U150:Y150"/>
    <mergeCell ref="Z150:AD150"/>
    <mergeCell ref="AI150:AM150"/>
    <mergeCell ref="AN150:AO150"/>
    <mergeCell ref="B160:K160"/>
    <mergeCell ref="L160:T160"/>
    <mergeCell ref="U160:Y160"/>
    <mergeCell ref="Z160:AD160"/>
    <mergeCell ref="B161:K161"/>
    <mergeCell ref="L161:T161"/>
    <mergeCell ref="U161:Y161"/>
    <mergeCell ref="Z161:AD161"/>
    <mergeCell ref="B158:K158"/>
    <mergeCell ref="L158:T158"/>
    <mergeCell ref="U158:Y158"/>
    <mergeCell ref="Z158:AD158"/>
    <mergeCell ref="B159:K159"/>
    <mergeCell ref="L159:T159"/>
    <mergeCell ref="U159:Y159"/>
    <mergeCell ref="Z159:AD159"/>
    <mergeCell ref="B168:K168"/>
    <mergeCell ref="L168:T168"/>
    <mergeCell ref="U168:AD168"/>
    <mergeCell ref="B169:K169"/>
    <mergeCell ref="L169:T169"/>
    <mergeCell ref="U169:AD169"/>
    <mergeCell ref="B162:K162"/>
    <mergeCell ref="L162:T162"/>
    <mergeCell ref="U162:Y162"/>
    <mergeCell ref="Z162:AD162"/>
    <mergeCell ref="U164:Y164"/>
    <mergeCell ref="Z164:AD164"/>
    <mergeCell ref="B176:K176"/>
    <mergeCell ref="L176:T176"/>
    <mergeCell ref="U176:Y176"/>
    <mergeCell ref="Z176:AD176"/>
    <mergeCell ref="B177:K177"/>
    <mergeCell ref="L177:T177"/>
    <mergeCell ref="U177:Y177"/>
    <mergeCell ref="Z177:AD177"/>
    <mergeCell ref="B171:K171"/>
    <mergeCell ref="L171:T171"/>
    <mergeCell ref="U171:AD171"/>
    <mergeCell ref="B172:K172"/>
    <mergeCell ref="L172:T172"/>
    <mergeCell ref="U172:AD172"/>
    <mergeCell ref="D181:N181"/>
    <mergeCell ref="AH181:AM181"/>
    <mergeCell ref="AN181:AR181"/>
    <mergeCell ref="AT181:AW181"/>
    <mergeCell ref="D182:N182"/>
    <mergeCell ref="AH182:AM182"/>
    <mergeCell ref="AN182:AR182"/>
    <mergeCell ref="AT182:AW182"/>
    <mergeCell ref="D183:N183"/>
    <mergeCell ref="D185:N185"/>
    <mergeCell ref="AH185:AM185"/>
    <mergeCell ref="AN185:AR185"/>
    <mergeCell ref="AT185:AW185"/>
    <mergeCell ref="B186:C187"/>
    <mergeCell ref="D186:N186"/>
    <mergeCell ref="AH186:AM186"/>
    <mergeCell ref="AN186:AR186"/>
    <mergeCell ref="AT186:AW186"/>
    <mergeCell ref="D187:N187"/>
    <mergeCell ref="B182:C185"/>
    <mergeCell ref="AH183:AM183"/>
    <mergeCell ref="AN183:AR183"/>
    <mergeCell ref="AT183:AW183"/>
    <mergeCell ref="D184:N184"/>
    <mergeCell ref="AH184:AM184"/>
    <mergeCell ref="AN184:AR184"/>
    <mergeCell ref="AT184:AW184"/>
    <mergeCell ref="AH187:AM187"/>
    <mergeCell ref="AN187:AR187"/>
    <mergeCell ref="AT187:AW187"/>
    <mergeCell ref="D188:N188"/>
    <mergeCell ref="AH188:AM188"/>
    <mergeCell ref="AN188:AR188"/>
    <mergeCell ref="AT188:AW188"/>
    <mergeCell ref="D189:N189"/>
    <mergeCell ref="AH189:AM189"/>
    <mergeCell ref="D191:N191"/>
    <mergeCell ref="AH191:AM191"/>
    <mergeCell ref="AN191:AR191"/>
    <mergeCell ref="AT191:AW191"/>
    <mergeCell ref="D192:N192"/>
    <mergeCell ref="AH192:AM192"/>
    <mergeCell ref="AN192:AR192"/>
    <mergeCell ref="AT192:AW192"/>
    <mergeCell ref="AN189:AR189"/>
    <mergeCell ref="AT189:AW189"/>
    <mergeCell ref="D190:N190"/>
    <mergeCell ref="AH190:AM190"/>
    <mergeCell ref="AN190:AR190"/>
    <mergeCell ref="AT190:AW190"/>
    <mergeCell ref="AN196:AR196"/>
    <mergeCell ref="AT196:AW196"/>
    <mergeCell ref="D193:N193"/>
    <mergeCell ref="AH193:AM193"/>
    <mergeCell ref="AN193:AR193"/>
    <mergeCell ref="AT193:AW193"/>
    <mergeCell ref="D194:N194"/>
    <mergeCell ref="AH194:AM194"/>
    <mergeCell ref="AN194:AR194"/>
    <mergeCell ref="AT194:AW194"/>
    <mergeCell ref="D199:N199"/>
    <mergeCell ref="AH199:AM199"/>
    <mergeCell ref="AN199:AR199"/>
    <mergeCell ref="AT199:AW199"/>
    <mergeCell ref="B200:C200"/>
    <mergeCell ref="D200:N200"/>
    <mergeCell ref="AH200:AM200"/>
    <mergeCell ref="AN200:AR200"/>
    <mergeCell ref="AT200:AW200"/>
    <mergeCell ref="B188:C199"/>
    <mergeCell ref="D197:N197"/>
    <mergeCell ref="AH197:AM197"/>
    <mergeCell ref="AN197:AR197"/>
    <mergeCell ref="AT197:AW197"/>
    <mergeCell ref="D198:N198"/>
    <mergeCell ref="AH198:AM198"/>
    <mergeCell ref="AN198:AR198"/>
    <mergeCell ref="AT198:AW198"/>
    <mergeCell ref="D195:N195"/>
    <mergeCell ref="AH195:AM195"/>
    <mergeCell ref="AN195:AR195"/>
    <mergeCell ref="AT195:AW195"/>
    <mergeCell ref="D196:N196"/>
    <mergeCell ref="AH196:AM196"/>
    <mergeCell ref="AH203:AM203"/>
    <mergeCell ref="AN203:AR203"/>
    <mergeCell ref="AT203:AW203"/>
    <mergeCell ref="D204:N204"/>
    <mergeCell ref="AH204:AM204"/>
    <mergeCell ref="AN204:AR204"/>
    <mergeCell ref="AT204:AW204"/>
    <mergeCell ref="B201:C207"/>
    <mergeCell ref="D201:N201"/>
    <mergeCell ref="AH201:AM201"/>
    <mergeCell ref="AN201:AR201"/>
    <mergeCell ref="AT201:AW201"/>
    <mergeCell ref="D202:N202"/>
    <mergeCell ref="AH202:AM202"/>
    <mergeCell ref="AN202:AR202"/>
    <mergeCell ref="AT202:AW202"/>
    <mergeCell ref="D203:N203"/>
    <mergeCell ref="AT207:AW207"/>
    <mergeCell ref="B208:C211"/>
    <mergeCell ref="D208:N208"/>
    <mergeCell ref="AH208:AM208"/>
    <mergeCell ref="AN208:AR208"/>
    <mergeCell ref="AT208:AW208"/>
    <mergeCell ref="D209:N209"/>
    <mergeCell ref="D205:N205"/>
    <mergeCell ref="AH205:AM205"/>
    <mergeCell ref="AN205:AR205"/>
    <mergeCell ref="AT205:AW205"/>
    <mergeCell ref="D206:N206"/>
    <mergeCell ref="AH206:AM206"/>
    <mergeCell ref="AN206:AR206"/>
    <mergeCell ref="AT206:AW206"/>
    <mergeCell ref="AH209:AM209"/>
    <mergeCell ref="AN209:AR209"/>
    <mergeCell ref="AT209:AW209"/>
    <mergeCell ref="D210:N210"/>
    <mergeCell ref="AH210:AM210"/>
    <mergeCell ref="AN210:AR210"/>
    <mergeCell ref="AT210:AW210"/>
    <mergeCell ref="D207:N207"/>
    <mergeCell ref="AH207:AM207"/>
    <mergeCell ref="AN207:AR207"/>
    <mergeCell ref="D213:N213"/>
    <mergeCell ref="AH213:AM213"/>
    <mergeCell ref="AN213:AR213"/>
    <mergeCell ref="AT213:AW213"/>
    <mergeCell ref="D214:N214"/>
    <mergeCell ref="AH214:AM214"/>
    <mergeCell ref="AN214:AR214"/>
    <mergeCell ref="AT214:AW214"/>
    <mergeCell ref="D211:N211"/>
    <mergeCell ref="AH211:AM211"/>
    <mergeCell ref="AN211:AR211"/>
    <mergeCell ref="AT211:AW211"/>
    <mergeCell ref="D212:N212"/>
    <mergeCell ref="AH212:AM212"/>
    <mergeCell ref="AN212:AR212"/>
    <mergeCell ref="AT212:AW212"/>
  </mergeCells>
  <conditionalFormatting sqref="J35:AW39">
    <cfRule type="cellIs" dxfId="7" priority="2" operator="equal">
      <formula>1</formula>
    </cfRule>
  </conditionalFormatting>
  <conditionalFormatting sqref="AT182:AT213">
    <cfRule type="dataBar" priority="1">
      <dataBar>
        <cfvo type="percent" val="0"/>
        <cfvo type="percent" val="100"/>
        <color rgb="FFED6E1F"/>
      </dataBar>
      <extLst>
        <ext xmlns:x14="http://schemas.microsoft.com/office/spreadsheetml/2009/9/main" uri="{B025F937-C7B1-47D3-B67F-A62EFF666E3E}">
          <x14:id>{080EF350-0BA3-47B8-8F5A-BA6C4FACB90E}</x14:id>
        </ext>
      </extLst>
    </cfRule>
  </conditionalFormatting>
  <dataValidations count="5">
    <dataValidation type="list" allowBlank="1" showInputMessage="1" showErrorMessage="1" sqref="B172:K172" xr:uid="{FD71F03C-0516-4763-8017-0F3F9B0E0A71}">
      <formula1>"VGV Nominal, Sem Corretagem, Sem Corretagem e Administração"</formula1>
    </dataValidation>
    <dataValidation type="list" allowBlank="1" showInputMessage="1" showErrorMessage="1" sqref="L159:T162 L123:T133 L140:T141 L146:T152 AN147 AN124:AR124" xr:uid="{7008BF33-31A2-406A-85CD-A8EBBC1A5114}">
      <formula1>"Valor Terreno, Valor Terreno Geral, Custo Obra, VGV Nominal, VGV Geral"</formula1>
    </dataValidation>
    <dataValidation type="list" allowBlank="1" showInputMessage="1" showErrorMessage="1" sqref="H114:L114" xr:uid="{249B8AA8-5388-4084-954E-A117CA79BAC5}">
      <formula1>"Selecione, Custo Histórico, CUB Ajustado"</formula1>
    </dataValidation>
    <dataValidation type="list" allowBlank="1" showInputMessage="1" showErrorMessage="1" sqref="R68:V68" xr:uid="{4600037C-4C2A-4D61-B239-A30BB12CDB7F}">
      <formula1>"Selecione, PIS, PP – B, PP – N, R8 – B, R8 – N, R8 – A, R16 – N, R16 – A, CSL – 8, CSL – 16, CAL - 8"</formula1>
    </dataValidation>
    <dataValidation type="list" allowBlank="1" showInputMessage="1" showErrorMessage="1" sqref="AR28:AW28" xr:uid="{1985E4FA-FC47-4E72-9B03-360769D91F4D}">
      <formula1>"MENSAL,BIMESTRAL"</formula1>
    </dataValidation>
  </dataValidations>
  <printOptions horizontalCentered="1"/>
  <pageMargins left="0.39370078740157483" right="0.39370078740157483" top="0.31496062992125984" bottom="0.19685039370078741" header="0" footer="0"/>
  <pageSetup paperSize="9" scale="46" fitToHeight="0" orientation="portrait" r:id="rId1"/>
  <headerFooter>
    <oddHeader>&amp;R
&amp;G</oddHeader>
  </headerFooter>
  <rowBreaks count="2" manualBreakCount="2">
    <brk id="93" max="16383" man="1"/>
    <brk id="178" max="16383" man="1"/>
  </rowBreaks>
  <drawing r:id="rId2"/>
  <legacyDrawingHF r:id="rId3"/>
  <extLst>
    <ext xmlns:x14="http://schemas.microsoft.com/office/spreadsheetml/2009/9/main" uri="{78C0D931-6437-407d-A8EE-F0AAD7539E65}">
      <x14:conditionalFormattings>
        <x14:conditionalFormatting xmlns:xm="http://schemas.microsoft.com/office/excel/2006/main">
          <x14:cfRule type="dataBar" id="{080EF350-0BA3-47B8-8F5A-BA6C4FACB90E}">
            <x14:dataBar minLength="0" maxLength="100" border="1" negativeBarBorderColorSameAsPositive="0">
              <x14:cfvo type="percent">
                <xm:f>0</xm:f>
              </x14:cfvo>
              <x14:cfvo type="percent">
                <xm:f>100</xm:f>
              </x14:cfvo>
              <x14:borderColor theme="2" tint="-0.749992370372631"/>
              <x14:negativeFillColor rgb="FFFF0000"/>
              <x14:negativeBorderColor rgb="FFFF0000"/>
              <x14:axisColor rgb="FF000000"/>
            </x14:dataBar>
          </x14:cfRule>
          <xm:sqref>AT182:AT213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C4A00-BFE2-4F1B-A56D-CE30DD9926C1}">
  <sheetPr>
    <pageSetUpPr fitToPage="1"/>
  </sheetPr>
  <dimension ref="A1:BK252"/>
  <sheetViews>
    <sheetView showGridLines="0" showRowColHeaders="0" zoomScaleNormal="100" workbookViewId="0">
      <pane ySplit="7" topLeftCell="A8" activePane="bottomLeft" state="frozen"/>
      <selection pane="bottomLeft" activeCell="B15" sqref="B15:J15"/>
    </sheetView>
  </sheetViews>
  <sheetFormatPr defaultColWidth="0" defaultRowHeight="15" customHeight="1" zeroHeight="1" x14ac:dyDescent="0.25"/>
  <cols>
    <col min="1" max="1" width="2.85546875" customWidth="1"/>
    <col min="2" max="49" width="4.28515625" customWidth="1"/>
    <col min="50" max="50" width="2.85546875" customWidth="1"/>
    <col min="51" max="52" width="10" hidden="1" customWidth="1"/>
    <col min="53" max="53" width="10.7109375" hidden="1" customWidth="1"/>
    <col min="54" max="57" width="4.28515625" hidden="1" customWidth="1"/>
    <col min="58" max="16384" width="9.140625" hidden="1"/>
  </cols>
  <sheetData>
    <row r="1" spans="1:63" s="46" customFormat="1" ht="15" customHeight="1" x14ac:dyDescent="0.25">
      <c r="A1" s="9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row>
    <row r="2" spans="1:63" s="46" customFormat="1" ht="15" customHeight="1" x14ac:dyDescent="0.25">
      <c r="A2" s="96"/>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row>
    <row r="3" spans="1:63" s="46" customFormat="1" ht="15" customHeight="1" x14ac:dyDescent="0.25">
      <c r="A3" s="96"/>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row>
    <row r="4" spans="1:63" ht="30"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3" ht="15" customHeight="1" x14ac:dyDescent="0.25"/>
    <row r="6" spans="1:63" ht="37.5" customHeight="1" x14ac:dyDescent="0.25">
      <c r="B6" s="90" t="s">
        <v>6237</v>
      </c>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108" t="s">
        <v>6234</v>
      </c>
      <c r="AS6" s="108"/>
      <c r="AT6" s="108"/>
      <c r="AU6" s="108"/>
      <c r="AV6" s="108"/>
      <c r="AW6" s="108"/>
    </row>
    <row r="7" spans="1:63" ht="18.75" customHeight="1" x14ac:dyDescent="0.3">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row>
    <row r="8" spans="1:63" ht="26.25" customHeight="1" x14ac:dyDescent="0.25">
      <c r="B8" s="93" t="s">
        <v>6050</v>
      </c>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row>
    <row r="9" spans="1:63" ht="3.75" customHeight="1" x14ac:dyDescent="0.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row>
    <row r="10" spans="1:63" ht="22.5" customHeight="1" x14ac:dyDescent="0.25">
      <c r="B10" s="109" t="s">
        <v>6030</v>
      </c>
      <c r="C10" s="110"/>
      <c r="D10" s="110"/>
      <c r="E10" s="110"/>
      <c r="F10" s="110"/>
      <c r="G10" s="110"/>
      <c r="H10" s="303" t="str">
        <f>'SIMULAÇÃO 01'!H10</f>
        <v>Ed. Curupira | EW Esteves Construções</v>
      </c>
      <c r="I10" s="303"/>
      <c r="J10" s="303"/>
      <c r="K10" s="303"/>
      <c r="L10" s="303"/>
      <c r="M10" s="303"/>
      <c r="N10" s="303"/>
      <c r="O10" s="303"/>
      <c r="P10" s="303"/>
      <c r="Q10" s="303"/>
      <c r="R10" s="303"/>
      <c r="S10" s="303"/>
      <c r="T10" s="110" t="s">
        <v>6051</v>
      </c>
      <c r="U10" s="110"/>
      <c r="V10" s="110"/>
      <c r="W10" s="110"/>
      <c r="X10" s="110"/>
      <c r="Y10" s="110"/>
      <c r="Z10" s="304" t="str">
        <f>'SIMULAÇÃO 01'!Z10</f>
        <v>Ribeirão Preto / SP</v>
      </c>
      <c r="AA10" s="304"/>
      <c r="AB10" s="304"/>
      <c r="AC10" s="304"/>
      <c r="AD10" s="304"/>
      <c r="AE10" s="304"/>
      <c r="AF10" s="304"/>
      <c r="AG10" s="304"/>
      <c r="AH10" s="304"/>
      <c r="AI10" s="110" t="s">
        <v>6057</v>
      </c>
      <c r="AJ10" s="110"/>
      <c r="AK10" s="110"/>
      <c r="AL10" s="110"/>
      <c r="AM10" s="110"/>
      <c r="AN10" s="110"/>
      <c r="AO10" s="305">
        <f>'SIMULAÇÃO 01'!AO10</f>
        <v>6682.9331513685102</v>
      </c>
      <c r="AP10" s="305"/>
      <c r="AQ10" s="305"/>
      <c r="AR10" s="305"/>
      <c r="AS10" s="305"/>
      <c r="AT10" s="305"/>
      <c r="AU10" s="305"/>
      <c r="AV10" s="305"/>
      <c r="AW10" s="306"/>
    </row>
    <row r="11" spans="1:63" ht="18.75" customHeight="1" x14ac:dyDescent="0.25">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U11" s="28"/>
    </row>
    <row r="12" spans="1:63" ht="26.25" customHeight="1" x14ac:dyDescent="0.25">
      <c r="B12" s="93" t="s">
        <v>6052</v>
      </c>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row>
    <row r="13" spans="1:63" ht="3.75" customHeight="1" x14ac:dyDescent="0.25">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row>
    <row r="14" spans="1:63" ht="21" customHeight="1" thickBot="1" x14ac:dyDescent="0.3">
      <c r="B14" s="134" t="s">
        <v>6053</v>
      </c>
      <c r="C14" s="134"/>
      <c r="D14" s="134"/>
      <c r="E14" s="134"/>
      <c r="F14" s="134"/>
      <c r="G14" s="134"/>
      <c r="H14" s="134"/>
      <c r="I14" s="134"/>
      <c r="J14" s="135"/>
      <c r="K14" s="135" t="s">
        <v>6054</v>
      </c>
      <c r="L14" s="135"/>
      <c r="M14" s="135"/>
      <c r="N14" s="135"/>
      <c r="O14" s="135"/>
      <c r="P14" s="135"/>
      <c r="Q14" s="135"/>
      <c r="R14" s="135"/>
      <c r="S14" s="135"/>
      <c r="T14" s="136" t="s">
        <v>43</v>
      </c>
      <c r="U14" s="174"/>
      <c r="V14" s="174"/>
      <c r="W14" s="174"/>
      <c r="X14" s="174"/>
      <c r="Y14" s="134"/>
      <c r="Z14" s="135" t="s">
        <v>6057</v>
      </c>
      <c r="AA14" s="135"/>
      <c r="AB14" s="135"/>
      <c r="AC14" s="135"/>
      <c r="AD14" s="135"/>
      <c r="AE14" s="135"/>
      <c r="AF14" s="135"/>
      <c r="AG14" s="135"/>
      <c r="AH14" s="135"/>
      <c r="AI14" s="135" t="s">
        <v>6055</v>
      </c>
      <c r="AJ14" s="135"/>
      <c r="AK14" s="135"/>
      <c r="AL14" s="135"/>
      <c r="AM14" s="135"/>
      <c r="AN14" s="135"/>
      <c r="AO14" s="135"/>
      <c r="AP14" s="135"/>
      <c r="AQ14" s="135"/>
      <c r="AR14" s="136" t="s">
        <v>6056</v>
      </c>
      <c r="AS14" s="174"/>
      <c r="AT14" s="174"/>
      <c r="AU14" s="174"/>
      <c r="AV14" s="174"/>
      <c r="AW14" s="174"/>
    </row>
    <row r="15" spans="1:63" ht="22.5" customHeight="1" thickBot="1" x14ac:dyDescent="0.3">
      <c r="B15" s="187"/>
      <c r="C15" s="187"/>
      <c r="D15" s="187"/>
      <c r="E15" s="187"/>
      <c r="F15" s="187"/>
      <c r="G15" s="187"/>
      <c r="H15" s="187"/>
      <c r="I15" s="187"/>
      <c r="J15" s="188"/>
      <c r="K15" s="155"/>
      <c r="L15" s="155"/>
      <c r="M15" s="155"/>
      <c r="N15" s="155"/>
      <c r="O15" s="155"/>
      <c r="P15" s="155"/>
      <c r="Q15" s="155"/>
      <c r="R15" s="155"/>
      <c r="S15" s="155"/>
      <c r="T15" s="191"/>
      <c r="U15" s="192"/>
      <c r="V15" s="192"/>
      <c r="W15" s="192"/>
      <c r="X15" s="192"/>
      <c r="Y15" s="193"/>
      <c r="Z15" s="133" t="str">
        <f t="shared" ref="Z15:Z26" si="0">IF(B15&lt;&gt;"",$AO$10,"")</f>
        <v/>
      </c>
      <c r="AA15" s="133"/>
      <c r="AB15" s="133"/>
      <c r="AC15" s="133"/>
      <c r="AD15" s="133"/>
      <c r="AE15" s="133"/>
      <c r="AF15" s="133"/>
      <c r="AG15" s="133"/>
      <c r="AH15" s="133"/>
      <c r="AI15" s="133" t="str">
        <f>IF(K15=""," ",IF(Z15=""," ",Z15*K15))</f>
        <v xml:space="preserve"> </v>
      </c>
      <c r="AJ15" s="133"/>
      <c r="AK15" s="133"/>
      <c r="AL15" s="133"/>
      <c r="AM15" s="133"/>
      <c r="AN15" s="133"/>
      <c r="AO15" s="133"/>
      <c r="AP15" s="133"/>
      <c r="AQ15" s="133"/>
      <c r="AR15" s="191"/>
      <c r="AS15" s="192"/>
      <c r="AT15" s="192"/>
      <c r="AU15" s="192"/>
      <c r="AV15" s="192"/>
      <c r="AW15" s="192"/>
    </row>
    <row r="16" spans="1:63" ht="22.5" customHeight="1" thickBot="1" x14ac:dyDescent="0.3">
      <c r="B16" s="187"/>
      <c r="C16" s="187"/>
      <c r="D16" s="187"/>
      <c r="E16" s="187"/>
      <c r="F16" s="187"/>
      <c r="G16" s="187"/>
      <c r="H16" s="187"/>
      <c r="I16" s="187"/>
      <c r="J16" s="188"/>
      <c r="K16" s="155"/>
      <c r="L16" s="155"/>
      <c r="M16" s="155"/>
      <c r="N16" s="155"/>
      <c r="O16" s="155"/>
      <c r="P16" s="155"/>
      <c r="Q16" s="155"/>
      <c r="R16" s="155"/>
      <c r="S16" s="155"/>
      <c r="T16" s="191"/>
      <c r="U16" s="192"/>
      <c r="V16" s="192"/>
      <c r="W16" s="192"/>
      <c r="X16" s="192"/>
      <c r="Y16" s="193"/>
      <c r="Z16" s="133" t="str">
        <f t="shared" si="0"/>
        <v/>
      </c>
      <c r="AA16" s="133"/>
      <c r="AB16" s="133"/>
      <c r="AC16" s="133"/>
      <c r="AD16" s="133"/>
      <c r="AE16" s="133"/>
      <c r="AF16" s="133"/>
      <c r="AG16" s="133"/>
      <c r="AH16" s="133"/>
      <c r="AI16" s="133" t="str">
        <f t="shared" ref="AI16:AI26" si="1">IF(K16=""," ",IF(Z16=""," ",Z16*K16))</f>
        <v xml:space="preserve"> </v>
      </c>
      <c r="AJ16" s="133"/>
      <c r="AK16" s="133"/>
      <c r="AL16" s="133"/>
      <c r="AM16" s="133"/>
      <c r="AN16" s="133"/>
      <c r="AO16" s="133"/>
      <c r="AP16" s="133"/>
      <c r="AQ16" s="133"/>
      <c r="AR16" s="191"/>
      <c r="AS16" s="192"/>
      <c r="AT16" s="192"/>
      <c r="AU16" s="192"/>
      <c r="AV16" s="192"/>
      <c r="AW16" s="192"/>
    </row>
    <row r="17" spans="2:49" ht="22.5" customHeight="1" thickBot="1" x14ac:dyDescent="0.3">
      <c r="B17" s="187"/>
      <c r="C17" s="187"/>
      <c r="D17" s="187"/>
      <c r="E17" s="187"/>
      <c r="F17" s="187"/>
      <c r="G17" s="187"/>
      <c r="H17" s="187"/>
      <c r="I17" s="187"/>
      <c r="J17" s="188"/>
      <c r="K17" s="155"/>
      <c r="L17" s="155"/>
      <c r="M17" s="155"/>
      <c r="N17" s="155"/>
      <c r="O17" s="155"/>
      <c r="P17" s="155"/>
      <c r="Q17" s="155"/>
      <c r="R17" s="155"/>
      <c r="S17" s="155"/>
      <c r="T17" s="191"/>
      <c r="U17" s="192"/>
      <c r="V17" s="192"/>
      <c r="W17" s="192"/>
      <c r="X17" s="192"/>
      <c r="Y17" s="193"/>
      <c r="Z17" s="133" t="str">
        <f t="shared" si="0"/>
        <v/>
      </c>
      <c r="AA17" s="133"/>
      <c r="AB17" s="133"/>
      <c r="AC17" s="133"/>
      <c r="AD17" s="133"/>
      <c r="AE17" s="133"/>
      <c r="AF17" s="133"/>
      <c r="AG17" s="133"/>
      <c r="AH17" s="133"/>
      <c r="AI17" s="133" t="str">
        <f t="shared" si="1"/>
        <v xml:space="preserve"> </v>
      </c>
      <c r="AJ17" s="133"/>
      <c r="AK17" s="133"/>
      <c r="AL17" s="133"/>
      <c r="AM17" s="133"/>
      <c r="AN17" s="133"/>
      <c r="AO17" s="133"/>
      <c r="AP17" s="133"/>
      <c r="AQ17" s="133"/>
      <c r="AR17" s="191"/>
      <c r="AS17" s="192"/>
      <c r="AT17" s="192"/>
      <c r="AU17" s="192"/>
      <c r="AV17" s="192"/>
      <c r="AW17" s="192"/>
    </row>
    <row r="18" spans="2:49" ht="22.5" customHeight="1" thickBot="1" x14ac:dyDescent="0.3">
      <c r="B18" s="187"/>
      <c r="C18" s="187"/>
      <c r="D18" s="187"/>
      <c r="E18" s="187"/>
      <c r="F18" s="187"/>
      <c r="G18" s="187"/>
      <c r="H18" s="187"/>
      <c r="I18" s="187"/>
      <c r="J18" s="188"/>
      <c r="K18" s="155"/>
      <c r="L18" s="155"/>
      <c r="M18" s="155"/>
      <c r="N18" s="155"/>
      <c r="O18" s="155"/>
      <c r="P18" s="155"/>
      <c r="Q18" s="155"/>
      <c r="R18" s="155"/>
      <c r="S18" s="155"/>
      <c r="T18" s="191"/>
      <c r="U18" s="192"/>
      <c r="V18" s="192"/>
      <c r="W18" s="192"/>
      <c r="X18" s="192"/>
      <c r="Y18" s="193"/>
      <c r="Z18" s="133" t="str">
        <f t="shared" si="0"/>
        <v/>
      </c>
      <c r="AA18" s="133"/>
      <c r="AB18" s="133"/>
      <c r="AC18" s="133"/>
      <c r="AD18" s="133"/>
      <c r="AE18" s="133"/>
      <c r="AF18" s="133"/>
      <c r="AG18" s="133"/>
      <c r="AH18" s="133"/>
      <c r="AI18" s="133" t="str">
        <f t="shared" si="1"/>
        <v xml:space="preserve"> </v>
      </c>
      <c r="AJ18" s="133"/>
      <c r="AK18" s="133"/>
      <c r="AL18" s="133"/>
      <c r="AM18" s="133"/>
      <c r="AN18" s="133"/>
      <c r="AO18" s="133"/>
      <c r="AP18" s="133"/>
      <c r="AQ18" s="133"/>
      <c r="AR18" s="191"/>
      <c r="AS18" s="192"/>
      <c r="AT18" s="192"/>
      <c r="AU18" s="192"/>
      <c r="AV18" s="192"/>
      <c r="AW18" s="192"/>
    </row>
    <row r="19" spans="2:49" ht="22.5" customHeight="1" thickBot="1" x14ac:dyDescent="0.3">
      <c r="B19" s="187"/>
      <c r="C19" s="187"/>
      <c r="D19" s="187"/>
      <c r="E19" s="187"/>
      <c r="F19" s="187"/>
      <c r="G19" s="187"/>
      <c r="H19" s="187"/>
      <c r="I19" s="187"/>
      <c r="J19" s="188"/>
      <c r="K19" s="155"/>
      <c r="L19" s="155"/>
      <c r="M19" s="155"/>
      <c r="N19" s="155"/>
      <c r="O19" s="155"/>
      <c r="P19" s="155"/>
      <c r="Q19" s="155"/>
      <c r="R19" s="155"/>
      <c r="S19" s="155"/>
      <c r="T19" s="191"/>
      <c r="U19" s="192"/>
      <c r="V19" s="192"/>
      <c r="W19" s="192"/>
      <c r="X19" s="192"/>
      <c r="Y19" s="193"/>
      <c r="Z19" s="133" t="str">
        <f t="shared" si="0"/>
        <v/>
      </c>
      <c r="AA19" s="133"/>
      <c r="AB19" s="133"/>
      <c r="AC19" s="133"/>
      <c r="AD19" s="133"/>
      <c r="AE19" s="133"/>
      <c r="AF19" s="133"/>
      <c r="AG19" s="133"/>
      <c r="AH19" s="133"/>
      <c r="AI19" s="133" t="str">
        <f t="shared" si="1"/>
        <v xml:space="preserve"> </v>
      </c>
      <c r="AJ19" s="133"/>
      <c r="AK19" s="133"/>
      <c r="AL19" s="133"/>
      <c r="AM19" s="133"/>
      <c r="AN19" s="133"/>
      <c r="AO19" s="133"/>
      <c r="AP19" s="133"/>
      <c r="AQ19" s="133"/>
      <c r="AR19" s="191"/>
      <c r="AS19" s="192"/>
      <c r="AT19" s="192"/>
      <c r="AU19" s="192"/>
      <c r="AV19" s="192"/>
      <c r="AW19" s="192"/>
    </row>
    <row r="20" spans="2:49" ht="22.5" customHeight="1" thickBot="1" x14ac:dyDescent="0.3">
      <c r="B20" s="187"/>
      <c r="C20" s="187"/>
      <c r="D20" s="187"/>
      <c r="E20" s="187"/>
      <c r="F20" s="187"/>
      <c r="G20" s="187"/>
      <c r="H20" s="187"/>
      <c r="I20" s="187"/>
      <c r="J20" s="188"/>
      <c r="K20" s="155"/>
      <c r="L20" s="155"/>
      <c r="M20" s="155"/>
      <c r="N20" s="155"/>
      <c r="O20" s="155"/>
      <c r="P20" s="155"/>
      <c r="Q20" s="155"/>
      <c r="R20" s="155"/>
      <c r="S20" s="155"/>
      <c r="T20" s="191"/>
      <c r="U20" s="192"/>
      <c r="V20" s="192"/>
      <c r="W20" s="192"/>
      <c r="X20" s="192"/>
      <c r="Y20" s="193"/>
      <c r="Z20" s="133" t="str">
        <f t="shared" si="0"/>
        <v/>
      </c>
      <c r="AA20" s="133"/>
      <c r="AB20" s="133"/>
      <c r="AC20" s="133"/>
      <c r="AD20" s="133"/>
      <c r="AE20" s="133"/>
      <c r="AF20" s="133"/>
      <c r="AG20" s="133"/>
      <c r="AH20" s="133"/>
      <c r="AI20" s="133" t="str">
        <f t="shared" si="1"/>
        <v xml:space="preserve"> </v>
      </c>
      <c r="AJ20" s="133"/>
      <c r="AK20" s="133"/>
      <c r="AL20" s="133"/>
      <c r="AM20" s="133"/>
      <c r="AN20" s="133"/>
      <c r="AO20" s="133"/>
      <c r="AP20" s="133"/>
      <c r="AQ20" s="133"/>
      <c r="AR20" s="191"/>
      <c r="AS20" s="192"/>
      <c r="AT20" s="192"/>
      <c r="AU20" s="192"/>
      <c r="AV20" s="192"/>
      <c r="AW20" s="192"/>
    </row>
    <row r="21" spans="2:49" ht="22.5" customHeight="1" thickBot="1" x14ac:dyDescent="0.3">
      <c r="B21" s="187"/>
      <c r="C21" s="187"/>
      <c r="D21" s="187"/>
      <c r="E21" s="187"/>
      <c r="F21" s="187"/>
      <c r="G21" s="187"/>
      <c r="H21" s="187"/>
      <c r="I21" s="187"/>
      <c r="J21" s="188"/>
      <c r="K21" s="155"/>
      <c r="L21" s="155"/>
      <c r="M21" s="155"/>
      <c r="N21" s="155"/>
      <c r="O21" s="155"/>
      <c r="P21" s="155"/>
      <c r="Q21" s="155"/>
      <c r="R21" s="155"/>
      <c r="S21" s="155"/>
      <c r="T21" s="191"/>
      <c r="U21" s="192"/>
      <c r="V21" s="192"/>
      <c r="W21" s="192"/>
      <c r="X21" s="192"/>
      <c r="Y21" s="193"/>
      <c r="Z21" s="133" t="str">
        <f t="shared" si="0"/>
        <v/>
      </c>
      <c r="AA21" s="133"/>
      <c r="AB21" s="133"/>
      <c r="AC21" s="133"/>
      <c r="AD21" s="133"/>
      <c r="AE21" s="133"/>
      <c r="AF21" s="133"/>
      <c r="AG21" s="133"/>
      <c r="AH21" s="133"/>
      <c r="AI21" s="133" t="str">
        <f t="shared" si="1"/>
        <v xml:space="preserve"> </v>
      </c>
      <c r="AJ21" s="133"/>
      <c r="AK21" s="133"/>
      <c r="AL21" s="133"/>
      <c r="AM21" s="133"/>
      <c r="AN21" s="133"/>
      <c r="AO21" s="133"/>
      <c r="AP21" s="133"/>
      <c r="AQ21" s="133"/>
      <c r="AR21" s="191"/>
      <c r="AS21" s="192"/>
      <c r="AT21" s="192"/>
      <c r="AU21" s="192"/>
      <c r="AV21" s="192"/>
      <c r="AW21" s="192"/>
    </row>
    <row r="22" spans="2:49" ht="22.5" customHeight="1" thickBot="1" x14ac:dyDescent="0.3">
      <c r="B22" s="187"/>
      <c r="C22" s="187"/>
      <c r="D22" s="187"/>
      <c r="E22" s="187"/>
      <c r="F22" s="187"/>
      <c r="G22" s="187"/>
      <c r="H22" s="187"/>
      <c r="I22" s="187"/>
      <c r="J22" s="188"/>
      <c r="K22" s="155"/>
      <c r="L22" s="155"/>
      <c r="M22" s="155"/>
      <c r="N22" s="155"/>
      <c r="O22" s="155"/>
      <c r="P22" s="155"/>
      <c r="Q22" s="155"/>
      <c r="R22" s="155"/>
      <c r="S22" s="155"/>
      <c r="T22" s="191"/>
      <c r="U22" s="192"/>
      <c r="V22" s="192"/>
      <c r="W22" s="192"/>
      <c r="X22" s="192"/>
      <c r="Y22" s="193"/>
      <c r="Z22" s="133" t="str">
        <f t="shared" si="0"/>
        <v/>
      </c>
      <c r="AA22" s="133"/>
      <c r="AB22" s="133"/>
      <c r="AC22" s="133"/>
      <c r="AD22" s="133"/>
      <c r="AE22" s="133"/>
      <c r="AF22" s="133"/>
      <c r="AG22" s="133"/>
      <c r="AH22" s="133"/>
      <c r="AI22" s="133" t="str">
        <f t="shared" si="1"/>
        <v xml:space="preserve"> </v>
      </c>
      <c r="AJ22" s="133"/>
      <c r="AK22" s="133"/>
      <c r="AL22" s="133"/>
      <c r="AM22" s="133"/>
      <c r="AN22" s="133"/>
      <c r="AO22" s="133"/>
      <c r="AP22" s="133"/>
      <c r="AQ22" s="133"/>
      <c r="AR22" s="191"/>
      <c r="AS22" s="192"/>
      <c r="AT22" s="192"/>
      <c r="AU22" s="192"/>
      <c r="AV22" s="192"/>
      <c r="AW22" s="192"/>
    </row>
    <row r="23" spans="2:49" ht="22.5" customHeight="1" thickBot="1" x14ac:dyDescent="0.3">
      <c r="B23" s="187"/>
      <c r="C23" s="187"/>
      <c r="D23" s="187"/>
      <c r="E23" s="187"/>
      <c r="F23" s="187"/>
      <c r="G23" s="187"/>
      <c r="H23" s="187"/>
      <c r="I23" s="187"/>
      <c r="J23" s="188"/>
      <c r="K23" s="155"/>
      <c r="L23" s="155"/>
      <c r="M23" s="155"/>
      <c r="N23" s="155"/>
      <c r="O23" s="155"/>
      <c r="P23" s="155"/>
      <c r="Q23" s="155"/>
      <c r="R23" s="155"/>
      <c r="S23" s="155"/>
      <c r="T23" s="191"/>
      <c r="U23" s="192"/>
      <c r="V23" s="192"/>
      <c r="W23" s="192"/>
      <c r="X23" s="192"/>
      <c r="Y23" s="193"/>
      <c r="Z23" s="133" t="str">
        <f t="shared" si="0"/>
        <v/>
      </c>
      <c r="AA23" s="133"/>
      <c r="AB23" s="133"/>
      <c r="AC23" s="133"/>
      <c r="AD23" s="133"/>
      <c r="AE23" s="133"/>
      <c r="AF23" s="133"/>
      <c r="AG23" s="133"/>
      <c r="AH23" s="133"/>
      <c r="AI23" s="133" t="str">
        <f t="shared" si="1"/>
        <v xml:space="preserve"> </v>
      </c>
      <c r="AJ23" s="133"/>
      <c r="AK23" s="133"/>
      <c r="AL23" s="133"/>
      <c r="AM23" s="133"/>
      <c r="AN23" s="133"/>
      <c r="AO23" s="133"/>
      <c r="AP23" s="133"/>
      <c r="AQ23" s="133"/>
      <c r="AR23" s="191"/>
      <c r="AS23" s="192"/>
      <c r="AT23" s="192"/>
      <c r="AU23" s="192"/>
      <c r="AV23" s="192"/>
      <c r="AW23" s="192"/>
    </row>
    <row r="24" spans="2:49" ht="22.5" customHeight="1" thickBot="1" x14ac:dyDescent="0.3">
      <c r="B24" s="187"/>
      <c r="C24" s="187"/>
      <c r="D24" s="187"/>
      <c r="E24" s="187"/>
      <c r="F24" s="187"/>
      <c r="G24" s="187"/>
      <c r="H24" s="187"/>
      <c r="I24" s="187"/>
      <c r="J24" s="188"/>
      <c r="K24" s="155"/>
      <c r="L24" s="155"/>
      <c r="M24" s="155"/>
      <c r="N24" s="155"/>
      <c r="O24" s="155"/>
      <c r="P24" s="155"/>
      <c r="Q24" s="155"/>
      <c r="R24" s="155"/>
      <c r="S24" s="155"/>
      <c r="T24" s="191"/>
      <c r="U24" s="192"/>
      <c r="V24" s="192"/>
      <c r="W24" s="192"/>
      <c r="X24" s="192"/>
      <c r="Y24" s="193"/>
      <c r="Z24" s="133" t="str">
        <f t="shared" si="0"/>
        <v/>
      </c>
      <c r="AA24" s="133"/>
      <c r="AB24" s="133"/>
      <c r="AC24" s="133"/>
      <c r="AD24" s="133"/>
      <c r="AE24" s="133"/>
      <c r="AF24" s="133"/>
      <c r="AG24" s="133"/>
      <c r="AH24" s="133"/>
      <c r="AI24" s="133" t="str">
        <f t="shared" si="1"/>
        <v xml:space="preserve"> </v>
      </c>
      <c r="AJ24" s="133"/>
      <c r="AK24" s="133"/>
      <c r="AL24" s="133"/>
      <c r="AM24" s="133"/>
      <c r="AN24" s="133"/>
      <c r="AO24" s="133"/>
      <c r="AP24" s="133"/>
      <c r="AQ24" s="133"/>
      <c r="AR24" s="191"/>
      <c r="AS24" s="192"/>
      <c r="AT24" s="192"/>
      <c r="AU24" s="192"/>
      <c r="AV24" s="192"/>
      <c r="AW24" s="192"/>
    </row>
    <row r="25" spans="2:49" ht="22.5" customHeight="1" thickBot="1" x14ac:dyDescent="0.3">
      <c r="B25" s="187"/>
      <c r="C25" s="187"/>
      <c r="D25" s="187"/>
      <c r="E25" s="187"/>
      <c r="F25" s="187"/>
      <c r="G25" s="187"/>
      <c r="H25" s="187"/>
      <c r="I25" s="187"/>
      <c r="J25" s="188"/>
      <c r="K25" s="155"/>
      <c r="L25" s="155"/>
      <c r="M25" s="155"/>
      <c r="N25" s="155"/>
      <c r="O25" s="155"/>
      <c r="P25" s="155"/>
      <c r="Q25" s="155"/>
      <c r="R25" s="155"/>
      <c r="S25" s="155"/>
      <c r="T25" s="191"/>
      <c r="U25" s="192"/>
      <c r="V25" s="192"/>
      <c r="W25" s="192"/>
      <c r="X25" s="192"/>
      <c r="Y25" s="193"/>
      <c r="Z25" s="133" t="str">
        <f t="shared" si="0"/>
        <v/>
      </c>
      <c r="AA25" s="133"/>
      <c r="AB25" s="133"/>
      <c r="AC25" s="133"/>
      <c r="AD25" s="133"/>
      <c r="AE25" s="133"/>
      <c r="AF25" s="133"/>
      <c r="AG25" s="133"/>
      <c r="AH25" s="133"/>
      <c r="AI25" s="133" t="str">
        <f t="shared" si="1"/>
        <v xml:space="preserve"> </v>
      </c>
      <c r="AJ25" s="133"/>
      <c r="AK25" s="133"/>
      <c r="AL25" s="133"/>
      <c r="AM25" s="133"/>
      <c r="AN25" s="133"/>
      <c r="AO25" s="133"/>
      <c r="AP25" s="133"/>
      <c r="AQ25" s="133"/>
      <c r="AR25" s="191"/>
      <c r="AS25" s="192"/>
      <c r="AT25" s="192"/>
      <c r="AU25" s="192"/>
      <c r="AV25" s="192"/>
      <c r="AW25" s="192"/>
    </row>
    <row r="26" spans="2:49" ht="22.5" customHeight="1" x14ac:dyDescent="0.25">
      <c r="B26" s="189"/>
      <c r="C26" s="189"/>
      <c r="D26" s="189"/>
      <c r="E26" s="189"/>
      <c r="F26" s="189"/>
      <c r="G26" s="189"/>
      <c r="H26" s="189"/>
      <c r="I26" s="189"/>
      <c r="J26" s="190"/>
      <c r="K26" s="170"/>
      <c r="L26" s="170"/>
      <c r="M26" s="170"/>
      <c r="N26" s="170"/>
      <c r="O26" s="170"/>
      <c r="P26" s="170"/>
      <c r="Q26" s="170"/>
      <c r="R26" s="170"/>
      <c r="S26" s="170"/>
      <c r="T26" s="194"/>
      <c r="U26" s="195"/>
      <c r="V26" s="195"/>
      <c r="W26" s="195"/>
      <c r="X26" s="195"/>
      <c r="Y26" s="196"/>
      <c r="Z26" s="115" t="str">
        <f t="shared" si="0"/>
        <v/>
      </c>
      <c r="AA26" s="115"/>
      <c r="AB26" s="115"/>
      <c r="AC26" s="115"/>
      <c r="AD26" s="115"/>
      <c r="AE26" s="115"/>
      <c r="AF26" s="115"/>
      <c r="AG26" s="115"/>
      <c r="AH26" s="115"/>
      <c r="AI26" s="115" t="str">
        <f t="shared" si="1"/>
        <v xml:space="preserve"> </v>
      </c>
      <c r="AJ26" s="115"/>
      <c r="AK26" s="115"/>
      <c r="AL26" s="115"/>
      <c r="AM26" s="115"/>
      <c r="AN26" s="115"/>
      <c r="AO26" s="115"/>
      <c r="AP26" s="115"/>
      <c r="AQ26" s="115"/>
      <c r="AR26" s="194"/>
      <c r="AS26" s="195"/>
      <c r="AT26" s="195"/>
      <c r="AU26" s="195"/>
      <c r="AV26" s="195"/>
      <c r="AW26" s="195"/>
    </row>
    <row r="27" spans="2:49" ht="18.75" customHeight="1" x14ac:dyDescent="0.25"/>
    <row r="28" spans="2:49" ht="26.25" customHeight="1" x14ac:dyDescent="0.25">
      <c r="B28" s="93" t="s">
        <v>6070</v>
      </c>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241" t="s">
        <v>6086</v>
      </c>
      <c r="AJ28" s="241"/>
      <c r="AK28" s="241"/>
      <c r="AL28" s="241"/>
      <c r="AM28" s="241"/>
      <c r="AN28" s="241"/>
      <c r="AO28" s="241"/>
      <c r="AP28" s="241"/>
      <c r="AQ28" s="241"/>
      <c r="AR28" s="238" t="s">
        <v>6087</v>
      </c>
      <c r="AS28" s="239"/>
      <c r="AT28" s="239"/>
      <c r="AU28" s="239"/>
      <c r="AV28" s="239"/>
      <c r="AW28" s="240"/>
    </row>
    <row r="29" spans="2:49" ht="3.75" customHeight="1" x14ac:dyDescent="0.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row>
    <row r="30" spans="2:49" ht="22.5" customHeight="1" x14ac:dyDescent="0.25">
      <c r="B30" s="205" t="s">
        <v>6071</v>
      </c>
      <c r="C30" s="205"/>
      <c r="D30" s="205"/>
      <c r="E30" s="109"/>
      <c r="F30" s="220"/>
      <c r="G30" s="221"/>
      <c r="H30" s="221"/>
      <c r="I30" s="222"/>
      <c r="J30" s="210" t="str">
        <f>IF(F30="","",F30)</f>
        <v/>
      </c>
      <c r="K30" s="208" t="str">
        <f>IFERROR(DATE(YEAR(J30),IF($AR$28="MENSAL",MONTH(J30)+1,MONTH(J30)+2),1),"")</f>
        <v/>
      </c>
      <c r="L30" s="208" t="str">
        <f t="shared" ref="L30:AW30" si="2">IFERROR(DATE(YEAR(K30),IF($AR$28="MENSAL",MONTH(K30)+1,MONTH(K30)+2),1),"")</f>
        <v/>
      </c>
      <c r="M30" s="208" t="str">
        <f t="shared" si="2"/>
        <v/>
      </c>
      <c r="N30" s="208" t="str">
        <f t="shared" si="2"/>
        <v/>
      </c>
      <c r="O30" s="208" t="str">
        <f t="shared" si="2"/>
        <v/>
      </c>
      <c r="P30" s="208" t="str">
        <f t="shared" si="2"/>
        <v/>
      </c>
      <c r="Q30" s="208" t="str">
        <f t="shared" si="2"/>
        <v/>
      </c>
      <c r="R30" s="208" t="str">
        <f t="shared" si="2"/>
        <v/>
      </c>
      <c r="S30" s="208" t="str">
        <f t="shared" si="2"/>
        <v/>
      </c>
      <c r="T30" s="208" t="str">
        <f t="shared" si="2"/>
        <v/>
      </c>
      <c r="U30" s="208" t="str">
        <f t="shared" si="2"/>
        <v/>
      </c>
      <c r="V30" s="208" t="str">
        <f t="shared" si="2"/>
        <v/>
      </c>
      <c r="W30" s="208" t="str">
        <f t="shared" si="2"/>
        <v/>
      </c>
      <c r="X30" s="208" t="str">
        <f t="shared" si="2"/>
        <v/>
      </c>
      <c r="Y30" s="208" t="str">
        <f t="shared" si="2"/>
        <v/>
      </c>
      <c r="Z30" s="208" t="str">
        <f t="shared" si="2"/>
        <v/>
      </c>
      <c r="AA30" s="208" t="str">
        <f t="shared" si="2"/>
        <v/>
      </c>
      <c r="AB30" s="208" t="str">
        <f t="shared" si="2"/>
        <v/>
      </c>
      <c r="AC30" s="208" t="str">
        <f t="shared" si="2"/>
        <v/>
      </c>
      <c r="AD30" s="208" t="str">
        <f t="shared" si="2"/>
        <v/>
      </c>
      <c r="AE30" s="208" t="str">
        <f t="shared" si="2"/>
        <v/>
      </c>
      <c r="AF30" s="208" t="str">
        <f t="shared" si="2"/>
        <v/>
      </c>
      <c r="AG30" s="208" t="str">
        <f t="shared" si="2"/>
        <v/>
      </c>
      <c r="AH30" s="208" t="str">
        <f t="shared" si="2"/>
        <v/>
      </c>
      <c r="AI30" s="208" t="str">
        <f t="shared" si="2"/>
        <v/>
      </c>
      <c r="AJ30" s="208" t="str">
        <f t="shared" si="2"/>
        <v/>
      </c>
      <c r="AK30" s="208" t="str">
        <f t="shared" si="2"/>
        <v/>
      </c>
      <c r="AL30" s="208" t="str">
        <f t="shared" si="2"/>
        <v/>
      </c>
      <c r="AM30" s="208" t="str">
        <f t="shared" si="2"/>
        <v/>
      </c>
      <c r="AN30" s="208" t="str">
        <f t="shared" si="2"/>
        <v/>
      </c>
      <c r="AO30" s="208" t="str">
        <f t="shared" si="2"/>
        <v/>
      </c>
      <c r="AP30" s="208" t="str">
        <f t="shared" si="2"/>
        <v/>
      </c>
      <c r="AQ30" s="208" t="str">
        <f t="shared" si="2"/>
        <v/>
      </c>
      <c r="AR30" s="208" t="str">
        <f t="shared" si="2"/>
        <v/>
      </c>
      <c r="AS30" s="208" t="str">
        <f t="shared" si="2"/>
        <v/>
      </c>
      <c r="AT30" s="208" t="str">
        <f t="shared" si="2"/>
        <v/>
      </c>
      <c r="AU30" s="208" t="str">
        <f t="shared" si="2"/>
        <v/>
      </c>
      <c r="AV30" s="208" t="str">
        <f t="shared" si="2"/>
        <v/>
      </c>
      <c r="AW30" s="251" t="str">
        <f t="shared" si="2"/>
        <v/>
      </c>
    </row>
    <row r="31" spans="2:49" ht="3.75" customHeight="1" x14ac:dyDescent="0.3">
      <c r="B31" s="55"/>
      <c r="C31" s="55"/>
      <c r="D31" s="55"/>
      <c r="E31" s="55"/>
      <c r="F31" s="71"/>
      <c r="G31" s="71"/>
      <c r="H31" s="71"/>
      <c r="I31" s="72"/>
      <c r="J31" s="210"/>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51"/>
    </row>
    <row r="32" spans="2:49" ht="22.5" customHeight="1" x14ac:dyDescent="0.25">
      <c r="B32" s="205" t="s">
        <v>6072</v>
      </c>
      <c r="C32" s="205"/>
      <c r="D32" s="205"/>
      <c r="E32" s="109"/>
      <c r="F32" s="223"/>
      <c r="G32" s="224"/>
      <c r="H32" s="224"/>
      <c r="I32" s="225"/>
      <c r="J32" s="210"/>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51"/>
    </row>
    <row r="33" spans="2:53" ht="3.75" customHeight="1" x14ac:dyDescent="0.3">
      <c r="B33" s="55"/>
      <c r="C33" s="55"/>
      <c r="D33" s="55"/>
      <c r="E33" s="55"/>
      <c r="F33" s="53"/>
      <c r="G33" s="53"/>
      <c r="H33" s="53"/>
      <c r="I33" s="56"/>
      <c r="J33" s="210"/>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51"/>
    </row>
    <row r="34" spans="2:53" ht="22.5" customHeight="1" thickBot="1" x14ac:dyDescent="0.3">
      <c r="B34" s="134" t="s">
        <v>6031</v>
      </c>
      <c r="C34" s="135"/>
      <c r="D34" s="135"/>
      <c r="E34" s="135"/>
      <c r="F34" s="135" t="s">
        <v>6078</v>
      </c>
      <c r="G34" s="135"/>
      <c r="H34" s="135"/>
      <c r="I34" s="226"/>
      <c r="J34" s="211"/>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52"/>
      <c r="AY34" s="49" t="s">
        <v>6079</v>
      </c>
      <c r="AZ34" s="49" t="s">
        <v>6080</v>
      </c>
    </row>
    <row r="35" spans="2:53" ht="22.5" customHeight="1" thickBot="1" x14ac:dyDescent="0.3">
      <c r="B35" s="206" t="s">
        <v>6073</v>
      </c>
      <c r="C35" s="207"/>
      <c r="D35" s="207"/>
      <c r="E35" s="207"/>
      <c r="F35" s="227"/>
      <c r="G35" s="227"/>
      <c r="H35" s="227"/>
      <c r="I35" s="228"/>
      <c r="J35" s="57">
        <f>IF(AND(J$30&gt;=$AY35,J$30&lt;=$AZ35),1,0)</f>
        <v>0</v>
      </c>
      <c r="K35" s="58">
        <f t="shared" ref="K35:Z39" si="3">IF(AND(K$30&gt;=$AY35,K$30&lt;=$AZ35),1,0)</f>
        <v>0</v>
      </c>
      <c r="L35" s="58">
        <f t="shared" si="3"/>
        <v>0</v>
      </c>
      <c r="M35" s="58">
        <f t="shared" si="3"/>
        <v>0</v>
      </c>
      <c r="N35" s="58">
        <f t="shared" si="3"/>
        <v>0</v>
      </c>
      <c r="O35" s="58">
        <f t="shared" si="3"/>
        <v>0</v>
      </c>
      <c r="P35" s="58">
        <f t="shared" si="3"/>
        <v>0</v>
      </c>
      <c r="Q35" s="58">
        <f t="shared" si="3"/>
        <v>0</v>
      </c>
      <c r="R35" s="58">
        <f t="shared" si="3"/>
        <v>0</v>
      </c>
      <c r="S35" s="58">
        <f t="shared" si="3"/>
        <v>0</v>
      </c>
      <c r="T35" s="58">
        <f t="shared" si="3"/>
        <v>0</v>
      </c>
      <c r="U35" s="58">
        <f t="shared" si="3"/>
        <v>0</v>
      </c>
      <c r="V35" s="58">
        <f t="shared" si="3"/>
        <v>0</v>
      </c>
      <c r="W35" s="58">
        <f t="shared" si="3"/>
        <v>0</v>
      </c>
      <c r="X35" s="58">
        <f t="shared" si="3"/>
        <v>0</v>
      </c>
      <c r="Y35" s="58">
        <f t="shared" si="3"/>
        <v>0</v>
      </c>
      <c r="Z35" s="58">
        <f t="shared" si="3"/>
        <v>0</v>
      </c>
      <c r="AA35" s="58">
        <f t="shared" ref="AA35:AP39" si="4">IF(AND(AA$30&gt;=$AY35,AA$30&lt;=$AZ35),1,0)</f>
        <v>0</v>
      </c>
      <c r="AB35" s="58">
        <f t="shared" si="4"/>
        <v>0</v>
      </c>
      <c r="AC35" s="58">
        <f t="shared" si="4"/>
        <v>0</v>
      </c>
      <c r="AD35" s="58">
        <f t="shared" si="4"/>
        <v>0</v>
      </c>
      <c r="AE35" s="58">
        <f t="shared" si="4"/>
        <v>0</v>
      </c>
      <c r="AF35" s="58">
        <f t="shared" si="4"/>
        <v>0</v>
      </c>
      <c r="AG35" s="58">
        <f t="shared" si="4"/>
        <v>0</v>
      </c>
      <c r="AH35" s="58">
        <f t="shared" si="4"/>
        <v>0</v>
      </c>
      <c r="AI35" s="58">
        <f t="shared" si="4"/>
        <v>0</v>
      </c>
      <c r="AJ35" s="58">
        <f t="shared" si="4"/>
        <v>0</v>
      </c>
      <c r="AK35" s="58">
        <f t="shared" si="4"/>
        <v>0</v>
      </c>
      <c r="AL35" s="58">
        <f t="shared" si="4"/>
        <v>0</v>
      </c>
      <c r="AM35" s="58">
        <f t="shared" si="4"/>
        <v>0</v>
      </c>
      <c r="AN35" s="58">
        <f t="shared" si="4"/>
        <v>0</v>
      </c>
      <c r="AO35" s="58">
        <f t="shared" si="4"/>
        <v>0</v>
      </c>
      <c r="AP35" s="58">
        <f t="shared" si="4"/>
        <v>0</v>
      </c>
      <c r="AQ35" s="58">
        <f t="shared" ref="AQ35:AW39" si="5">IF(AND(AQ$30&gt;=$AY35,AQ$30&lt;=$AZ35),1,0)</f>
        <v>0</v>
      </c>
      <c r="AR35" s="58">
        <f t="shared" si="5"/>
        <v>0</v>
      </c>
      <c r="AS35" s="58">
        <f t="shared" si="5"/>
        <v>0</v>
      </c>
      <c r="AT35" s="58">
        <f t="shared" si="5"/>
        <v>0</v>
      </c>
      <c r="AU35" s="58">
        <f t="shared" si="5"/>
        <v>0</v>
      </c>
      <c r="AV35" s="58">
        <f t="shared" si="5"/>
        <v>0</v>
      </c>
      <c r="AW35" s="59">
        <f t="shared" si="5"/>
        <v>0</v>
      </c>
      <c r="AY35" s="50">
        <f>F30</f>
        <v>0</v>
      </c>
      <c r="AZ35" s="50">
        <f>DATE(YEAR(AY35),MONTH(AY35)+F35,1)</f>
        <v>1</v>
      </c>
      <c r="BA35" s="51"/>
    </row>
    <row r="36" spans="2:53" ht="22.5" customHeight="1" thickBot="1" x14ac:dyDescent="0.3">
      <c r="B36" s="201" t="s">
        <v>6074</v>
      </c>
      <c r="C36" s="202"/>
      <c r="D36" s="202"/>
      <c r="E36" s="202"/>
      <c r="F36" s="197"/>
      <c r="G36" s="197"/>
      <c r="H36" s="197"/>
      <c r="I36" s="198"/>
      <c r="J36" s="57">
        <f t="shared" ref="J36:J39" si="6">IF(AND(J$30&gt;=$AY36,J$30&lt;=$AZ36),1,0)</f>
        <v>0</v>
      </c>
      <c r="K36" s="58">
        <f t="shared" si="3"/>
        <v>0</v>
      </c>
      <c r="L36" s="58">
        <f t="shared" si="3"/>
        <v>0</v>
      </c>
      <c r="M36" s="58">
        <f t="shared" si="3"/>
        <v>0</v>
      </c>
      <c r="N36" s="58">
        <f t="shared" si="3"/>
        <v>0</v>
      </c>
      <c r="O36" s="58">
        <f t="shared" si="3"/>
        <v>0</v>
      </c>
      <c r="P36" s="58">
        <f t="shared" si="3"/>
        <v>0</v>
      </c>
      <c r="Q36" s="58">
        <f t="shared" si="3"/>
        <v>0</v>
      </c>
      <c r="R36" s="58">
        <f t="shared" si="3"/>
        <v>0</v>
      </c>
      <c r="S36" s="58">
        <f t="shared" si="3"/>
        <v>0</v>
      </c>
      <c r="T36" s="58">
        <f t="shared" si="3"/>
        <v>0</v>
      </c>
      <c r="U36" s="58">
        <f t="shared" si="3"/>
        <v>0</v>
      </c>
      <c r="V36" s="58">
        <f t="shared" si="3"/>
        <v>0</v>
      </c>
      <c r="W36" s="58">
        <f t="shared" si="3"/>
        <v>0</v>
      </c>
      <c r="X36" s="58">
        <f t="shared" si="3"/>
        <v>0</v>
      </c>
      <c r="Y36" s="58">
        <f t="shared" si="3"/>
        <v>0</v>
      </c>
      <c r="Z36" s="58">
        <f t="shared" si="3"/>
        <v>0</v>
      </c>
      <c r="AA36" s="58">
        <f t="shared" si="4"/>
        <v>0</v>
      </c>
      <c r="AB36" s="58">
        <f t="shared" si="4"/>
        <v>0</v>
      </c>
      <c r="AC36" s="58">
        <f t="shared" si="4"/>
        <v>0</v>
      </c>
      <c r="AD36" s="58">
        <f t="shared" si="4"/>
        <v>0</v>
      </c>
      <c r="AE36" s="58">
        <f t="shared" si="4"/>
        <v>0</v>
      </c>
      <c r="AF36" s="58">
        <f t="shared" si="4"/>
        <v>0</v>
      </c>
      <c r="AG36" s="58">
        <f t="shared" si="4"/>
        <v>0</v>
      </c>
      <c r="AH36" s="58">
        <f t="shared" si="4"/>
        <v>0</v>
      </c>
      <c r="AI36" s="58">
        <f t="shared" si="4"/>
        <v>0</v>
      </c>
      <c r="AJ36" s="58">
        <f t="shared" si="4"/>
        <v>0</v>
      </c>
      <c r="AK36" s="58">
        <f t="shared" si="4"/>
        <v>0</v>
      </c>
      <c r="AL36" s="58">
        <f t="shared" si="4"/>
        <v>0</v>
      </c>
      <c r="AM36" s="58">
        <f t="shared" si="4"/>
        <v>0</v>
      </c>
      <c r="AN36" s="58">
        <f t="shared" si="4"/>
        <v>0</v>
      </c>
      <c r="AO36" s="58">
        <f t="shared" si="4"/>
        <v>0</v>
      </c>
      <c r="AP36" s="58">
        <f t="shared" si="4"/>
        <v>0</v>
      </c>
      <c r="AQ36" s="58">
        <f t="shared" si="5"/>
        <v>0</v>
      </c>
      <c r="AR36" s="58">
        <f t="shared" si="5"/>
        <v>0</v>
      </c>
      <c r="AS36" s="58">
        <f t="shared" si="5"/>
        <v>0</v>
      </c>
      <c r="AT36" s="58">
        <f t="shared" si="5"/>
        <v>0</v>
      </c>
      <c r="AU36" s="58">
        <f t="shared" si="5"/>
        <v>0</v>
      </c>
      <c r="AV36" s="58">
        <f t="shared" si="5"/>
        <v>0</v>
      </c>
      <c r="AW36" s="59">
        <f t="shared" si="5"/>
        <v>0</v>
      </c>
      <c r="AY36" s="50">
        <f>AZ35</f>
        <v>1</v>
      </c>
      <c r="AZ36" s="50">
        <f>DATE(YEAR(AY36),MONTH(AY36)+F36,1)</f>
        <v>1</v>
      </c>
    </row>
    <row r="37" spans="2:53" ht="22.5" customHeight="1" thickBot="1" x14ac:dyDescent="0.3">
      <c r="B37" s="201" t="s">
        <v>6075</v>
      </c>
      <c r="C37" s="202"/>
      <c r="D37" s="202"/>
      <c r="E37" s="202"/>
      <c r="F37" s="197"/>
      <c r="G37" s="197"/>
      <c r="H37" s="197"/>
      <c r="I37" s="198"/>
      <c r="J37" s="57">
        <f t="shared" si="6"/>
        <v>0</v>
      </c>
      <c r="K37" s="58">
        <f t="shared" si="3"/>
        <v>0</v>
      </c>
      <c r="L37" s="58">
        <f t="shared" si="3"/>
        <v>0</v>
      </c>
      <c r="M37" s="58">
        <f t="shared" si="3"/>
        <v>0</v>
      </c>
      <c r="N37" s="58">
        <f t="shared" si="3"/>
        <v>0</v>
      </c>
      <c r="O37" s="58">
        <f t="shared" si="3"/>
        <v>0</v>
      </c>
      <c r="P37" s="58">
        <f t="shared" si="3"/>
        <v>0</v>
      </c>
      <c r="Q37" s="58">
        <f t="shared" si="3"/>
        <v>0</v>
      </c>
      <c r="R37" s="58">
        <f t="shared" si="3"/>
        <v>0</v>
      </c>
      <c r="S37" s="58">
        <f t="shared" si="3"/>
        <v>0</v>
      </c>
      <c r="T37" s="58">
        <f t="shared" si="3"/>
        <v>0</v>
      </c>
      <c r="U37" s="58">
        <f t="shared" si="3"/>
        <v>0</v>
      </c>
      <c r="V37" s="58">
        <f t="shared" si="3"/>
        <v>0</v>
      </c>
      <c r="W37" s="58">
        <f t="shared" si="3"/>
        <v>0</v>
      </c>
      <c r="X37" s="58">
        <f t="shared" si="3"/>
        <v>0</v>
      </c>
      <c r="Y37" s="58">
        <f t="shared" si="3"/>
        <v>0</v>
      </c>
      <c r="Z37" s="58">
        <f t="shared" si="3"/>
        <v>0</v>
      </c>
      <c r="AA37" s="58">
        <f t="shared" si="4"/>
        <v>0</v>
      </c>
      <c r="AB37" s="58">
        <f t="shared" si="4"/>
        <v>0</v>
      </c>
      <c r="AC37" s="58">
        <f t="shared" si="4"/>
        <v>0</v>
      </c>
      <c r="AD37" s="58">
        <f t="shared" si="4"/>
        <v>0</v>
      </c>
      <c r="AE37" s="58">
        <f t="shared" si="4"/>
        <v>0</v>
      </c>
      <c r="AF37" s="58">
        <f t="shared" si="4"/>
        <v>0</v>
      </c>
      <c r="AG37" s="58">
        <f t="shared" si="4"/>
        <v>0</v>
      </c>
      <c r="AH37" s="58">
        <f t="shared" si="4"/>
        <v>0</v>
      </c>
      <c r="AI37" s="58">
        <f t="shared" si="4"/>
        <v>0</v>
      </c>
      <c r="AJ37" s="58">
        <f t="shared" si="4"/>
        <v>0</v>
      </c>
      <c r="AK37" s="58">
        <f t="shared" si="4"/>
        <v>0</v>
      </c>
      <c r="AL37" s="58">
        <f t="shared" si="4"/>
        <v>0</v>
      </c>
      <c r="AM37" s="58">
        <f t="shared" si="4"/>
        <v>0</v>
      </c>
      <c r="AN37" s="58">
        <f t="shared" si="4"/>
        <v>0</v>
      </c>
      <c r="AO37" s="58">
        <f t="shared" si="4"/>
        <v>0</v>
      </c>
      <c r="AP37" s="58">
        <f t="shared" si="4"/>
        <v>0</v>
      </c>
      <c r="AQ37" s="58">
        <f t="shared" si="5"/>
        <v>0</v>
      </c>
      <c r="AR37" s="58">
        <f t="shared" si="5"/>
        <v>0</v>
      </c>
      <c r="AS37" s="58">
        <f t="shared" si="5"/>
        <v>0</v>
      </c>
      <c r="AT37" s="58">
        <f t="shared" si="5"/>
        <v>0</v>
      </c>
      <c r="AU37" s="58">
        <f t="shared" si="5"/>
        <v>0</v>
      </c>
      <c r="AV37" s="58">
        <f t="shared" si="5"/>
        <v>0</v>
      </c>
      <c r="AW37" s="59">
        <f t="shared" si="5"/>
        <v>0</v>
      </c>
      <c r="AY37" s="50">
        <f>AZ36</f>
        <v>1</v>
      </c>
      <c r="AZ37" s="50">
        <f>DATE(YEAR(AY37),MONTH(AY37)+F37,1)</f>
        <v>1</v>
      </c>
    </row>
    <row r="38" spans="2:53" ht="22.5" customHeight="1" thickBot="1" x14ac:dyDescent="0.3">
      <c r="B38" s="201" t="s">
        <v>6076</v>
      </c>
      <c r="C38" s="202"/>
      <c r="D38" s="202"/>
      <c r="E38" s="202"/>
      <c r="F38" s="197"/>
      <c r="G38" s="197"/>
      <c r="H38" s="197"/>
      <c r="I38" s="198"/>
      <c r="J38" s="57">
        <f t="shared" si="6"/>
        <v>0</v>
      </c>
      <c r="K38" s="58">
        <f t="shared" si="3"/>
        <v>0</v>
      </c>
      <c r="L38" s="58">
        <f t="shared" si="3"/>
        <v>0</v>
      </c>
      <c r="M38" s="58">
        <f t="shared" si="3"/>
        <v>0</v>
      </c>
      <c r="N38" s="58">
        <f t="shared" si="3"/>
        <v>0</v>
      </c>
      <c r="O38" s="58">
        <f t="shared" si="3"/>
        <v>0</v>
      </c>
      <c r="P38" s="58">
        <f t="shared" si="3"/>
        <v>0</v>
      </c>
      <c r="Q38" s="58">
        <f t="shared" si="3"/>
        <v>0</v>
      </c>
      <c r="R38" s="58">
        <f t="shared" si="3"/>
        <v>0</v>
      </c>
      <c r="S38" s="58">
        <f t="shared" si="3"/>
        <v>0</v>
      </c>
      <c r="T38" s="58">
        <f t="shared" si="3"/>
        <v>0</v>
      </c>
      <c r="U38" s="58">
        <f t="shared" si="3"/>
        <v>0</v>
      </c>
      <c r="V38" s="58">
        <f t="shared" si="3"/>
        <v>0</v>
      </c>
      <c r="W38" s="58">
        <f t="shared" si="3"/>
        <v>0</v>
      </c>
      <c r="X38" s="58">
        <f t="shared" si="3"/>
        <v>0</v>
      </c>
      <c r="Y38" s="58">
        <f t="shared" si="3"/>
        <v>0</v>
      </c>
      <c r="Z38" s="58">
        <f t="shared" si="3"/>
        <v>0</v>
      </c>
      <c r="AA38" s="58">
        <f t="shared" si="4"/>
        <v>0</v>
      </c>
      <c r="AB38" s="58">
        <f t="shared" si="4"/>
        <v>0</v>
      </c>
      <c r="AC38" s="58">
        <f t="shared" si="4"/>
        <v>0</v>
      </c>
      <c r="AD38" s="58">
        <f t="shared" si="4"/>
        <v>0</v>
      </c>
      <c r="AE38" s="58">
        <f t="shared" si="4"/>
        <v>0</v>
      </c>
      <c r="AF38" s="58">
        <f t="shared" si="4"/>
        <v>0</v>
      </c>
      <c r="AG38" s="58">
        <f t="shared" si="4"/>
        <v>0</v>
      </c>
      <c r="AH38" s="58">
        <f t="shared" si="4"/>
        <v>0</v>
      </c>
      <c r="AI38" s="58">
        <f t="shared" si="4"/>
        <v>0</v>
      </c>
      <c r="AJ38" s="58">
        <f t="shared" si="4"/>
        <v>0</v>
      </c>
      <c r="AK38" s="58">
        <f t="shared" si="4"/>
        <v>0</v>
      </c>
      <c r="AL38" s="58">
        <f t="shared" si="4"/>
        <v>0</v>
      </c>
      <c r="AM38" s="58">
        <f t="shared" si="4"/>
        <v>0</v>
      </c>
      <c r="AN38" s="58">
        <f t="shared" si="4"/>
        <v>0</v>
      </c>
      <c r="AO38" s="58">
        <f t="shared" si="4"/>
        <v>0</v>
      </c>
      <c r="AP38" s="58">
        <f t="shared" si="4"/>
        <v>0</v>
      </c>
      <c r="AQ38" s="58">
        <f t="shared" si="5"/>
        <v>0</v>
      </c>
      <c r="AR38" s="58">
        <f t="shared" si="5"/>
        <v>0</v>
      </c>
      <c r="AS38" s="58">
        <f t="shared" si="5"/>
        <v>0</v>
      </c>
      <c r="AT38" s="58">
        <f t="shared" si="5"/>
        <v>0</v>
      </c>
      <c r="AU38" s="58">
        <f t="shared" si="5"/>
        <v>0</v>
      </c>
      <c r="AV38" s="58">
        <f t="shared" si="5"/>
        <v>0</v>
      </c>
      <c r="AW38" s="59">
        <f t="shared" si="5"/>
        <v>0</v>
      </c>
      <c r="AY38" s="50">
        <f>DATE(YEAR(AY37),MONTH(AY37)+F32,1)</f>
        <v>1</v>
      </c>
      <c r="AZ38" s="50">
        <f>DATE(YEAR(AY38),MONTH(AY38)+F38,1)</f>
        <v>1</v>
      </c>
    </row>
    <row r="39" spans="2:53" ht="22.5" customHeight="1" x14ac:dyDescent="0.25">
      <c r="B39" s="203" t="s">
        <v>6077</v>
      </c>
      <c r="C39" s="204"/>
      <c r="D39" s="204"/>
      <c r="E39" s="204"/>
      <c r="F39" s="199"/>
      <c r="G39" s="199"/>
      <c r="H39" s="199"/>
      <c r="I39" s="200"/>
      <c r="J39" s="60">
        <f t="shared" si="6"/>
        <v>0</v>
      </c>
      <c r="K39" s="61">
        <f t="shared" si="3"/>
        <v>0</v>
      </c>
      <c r="L39" s="61">
        <f t="shared" si="3"/>
        <v>0</v>
      </c>
      <c r="M39" s="61">
        <f t="shared" si="3"/>
        <v>0</v>
      </c>
      <c r="N39" s="61">
        <f t="shared" si="3"/>
        <v>0</v>
      </c>
      <c r="O39" s="61">
        <f t="shared" si="3"/>
        <v>0</v>
      </c>
      <c r="P39" s="61">
        <f t="shared" si="3"/>
        <v>0</v>
      </c>
      <c r="Q39" s="61">
        <f t="shared" si="3"/>
        <v>0</v>
      </c>
      <c r="R39" s="61">
        <f t="shared" si="3"/>
        <v>0</v>
      </c>
      <c r="S39" s="61">
        <f t="shared" si="3"/>
        <v>0</v>
      </c>
      <c r="T39" s="61">
        <f t="shared" si="3"/>
        <v>0</v>
      </c>
      <c r="U39" s="61">
        <f t="shared" si="3"/>
        <v>0</v>
      </c>
      <c r="V39" s="61">
        <f t="shared" si="3"/>
        <v>0</v>
      </c>
      <c r="W39" s="61">
        <f t="shared" si="3"/>
        <v>0</v>
      </c>
      <c r="X39" s="61">
        <f t="shared" si="3"/>
        <v>0</v>
      </c>
      <c r="Y39" s="61">
        <f t="shared" si="3"/>
        <v>0</v>
      </c>
      <c r="Z39" s="61">
        <f t="shared" si="3"/>
        <v>0</v>
      </c>
      <c r="AA39" s="61">
        <f t="shared" si="4"/>
        <v>0</v>
      </c>
      <c r="AB39" s="61">
        <f t="shared" si="4"/>
        <v>0</v>
      </c>
      <c r="AC39" s="61">
        <f t="shared" si="4"/>
        <v>0</v>
      </c>
      <c r="AD39" s="61">
        <f t="shared" si="4"/>
        <v>0</v>
      </c>
      <c r="AE39" s="61">
        <f t="shared" si="4"/>
        <v>0</v>
      </c>
      <c r="AF39" s="61">
        <f t="shared" si="4"/>
        <v>0</v>
      </c>
      <c r="AG39" s="61">
        <f t="shared" si="4"/>
        <v>0</v>
      </c>
      <c r="AH39" s="61">
        <f t="shared" si="4"/>
        <v>0</v>
      </c>
      <c r="AI39" s="61">
        <f t="shared" si="4"/>
        <v>0</v>
      </c>
      <c r="AJ39" s="61">
        <f t="shared" si="4"/>
        <v>0</v>
      </c>
      <c r="AK39" s="61">
        <f t="shared" si="4"/>
        <v>0</v>
      </c>
      <c r="AL39" s="61">
        <f t="shared" si="4"/>
        <v>0</v>
      </c>
      <c r="AM39" s="61">
        <f t="shared" si="4"/>
        <v>0</v>
      </c>
      <c r="AN39" s="61">
        <f t="shared" si="4"/>
        <v>0</v>
      </c>
      <c r="AO39" s="61">
        <f t="shared" si="4"/>
        <v>0</v>
      </c>
      <c r="AP39" s="61">
        <f t="shared" si="4"/>
        <v>0</v>
      </c>
      <c r="AQ39" s="61">
        <f t="shared" si="5"/>
        <v>0</v>
      </c>
      <c r="AR39" s="61">
        <f t="shared" si="5"/>
        <v>0</v>
      </c>
      <c r="AS39" s="61">
        <f t="shared" si="5"/>
        <v>0</v>
      </c>
      <c r="AT39" s="61">
        <f t="shared" si="5"/>
        <v>0</v>
      </c>
      <c r="AU39" s="61">
        <f t="shared" si="5"/>
        <v>0</v>
      </c>
      <c r="AV39" s="61">
        <f t="shared" si="5"/>
        <v>0</v>
      </c>
      <c r="AW39" s="62">
        <f t="shared" si="5"/>
        <v>0</v>
      </c>
      <c r="AY39" s="50">
        <f>AZ38</f>
        <v>1</v>
      </c>
      <c r="AZ39" s="50">
        <f>DATE(YEAR(AY39),MONTH(AY39)+F39,1)</f>
        <v>1</v>
      </c>
    </row>
    <row r="40" spans="2:53" ht="18.75" customHeight="1" x14ac:dyDescent="0.25"/>
    <row r="41" spans="2:53" ht="26.25" customHeight="1" x14ac:dyDescent="0.25">
      <c r="B41" s="94" t="s">
        <v>6081</v>
      </c>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row>
    <row r="42" spans="2:53" ht="3.75" customHeight="1" x14ac:dyDescent="0.25"/>
    <row r="43" spans="2:53" ht="22.5" customHeight="1" thickBot="1" x14ac:dyDescent="0.3">
      <c r="B43" s="66"/>
      <c r="C43" s="67"/>
      <c r="D43" s="67"/>
      <c r="E43" s="67"/>
      <c r="F43" s="67"/>
      <c r="G43" s="67"/>
      <c r="H43" s="67"/>
      <c r="I43" s="68"/>
      <c r="J43" s="216" t="s">
        <v>6082</v>
      </c>
      <c r="K43" s="217"/>
      <c r="L43" s="217"/>
      <c r="M43" s="217"/>
      <c r="N43" s="217"/>
      <c r="O43" s="217"/>
      <c r="P43" s="217"/>
      <c r="Q43" s="218"/>
      <c r="R43" s="216" t="s">
        <v>6054</v>
      </c>
      <c r="S43" s="217"/>
      <c r="T43" s="217"/>
      <c r="U43" s="217"/>
      <c r="V43" s="217"/>
      <c r="W43" s="217"/>
      <c r="X43" s="217"/>
      <c r="Y43" s="217"/>
      <c r="Z43" s="217"/>
      <c r="AA43" s="217"/>
      <c r="AB43" s="217"/>
      <c r="AC43" s="217"/>
      <c r="AD43" s="217"/>
      <c r="AE43" s="217"/>
      <c r="AF43" s="217"/>
      <c r="AG43" s="218"/>
      <c r="AH43" s="242" t="s">
        <v>6083</v>
      </c>
      <c r="AI43" s="217"/>
      <c r="AJ43" s="217"/>
      <c r="AK43" s="217"/>
      <c r="AL43" s="217"/>
      <c r="AM43" s="217"/>
      <c r="AN43" s="217"/>
      <c r="AO43" s="217"/>
      <c r="AP43" s="217"/>
      <c r="AQ43" s="217"/>
      <c r="AR43" s="217"/>
      <c r="AS43" s="217"/>
      <c r="AT43" s="217"/>
      <c r="AU43" s="217"/>
      <c r="AV43" s="217"/>
      <c r="AW43" s="243"/>
    </row>
    <row r="44" spans="2:53" ht="22.5" customHeight="1" thickBot="1" x14ac:dyDescent="0.3">
      <c r="B44" s="212" t="s">
        <v>6084</v>
      </c>
      <c r="C44" s="213"/>
      <c r="D44" s="213"/>
      <c r="E44" s="213"/>
      <c r="F44" s="213"/>
      <c r="G44" s="213"/>
      <c r="H44" s="213"/>
      <c r="I44" s="214"/>
      <c r="J44" s="244">
        <f>J46-J45</f>
        <v>0</v>
      </c>
      <c r="K44" s="245"/>
      <c r="L44" s="245"/>
      <c r="M44" s="245"/>
      <c r="N44" s="245"/>
      <c r="O44" s="245"/>
      <c r="P44" s="245"/>
      <c r="Q44" s="246"/>
      <c r="R44" s="247">
        <f>R46-R45</f>
        <v>0</v>
      </c>
      <c r="S44" s="166"/>
      <c r="T44" s="166"/>
      <c r="U44" s="166"/>
      <c r="V44" s="166"/>
      <c r="W44" s="166"/>
      <c r="X44" s="166"/>
      <c r="Y44" s="166"/>
      <c r="Z44" s="166"/>
      <c r="AA44" s="166"/>
      <c r="AB44" s="229" t="str">
        <f>IFERROR(R44/R46,"")</f>
        <v/>
      </c>
      <c r="AC44" s="229"/>
      <c r="AD44" s="229"/>
      <c r="AE44" s="229"/>
      <c r="AF44" s="229"/>
      <c r="AG44" s="248"/>
      <c r="AH44" s="249">
        <f>AH46-AH45</f>
        <v>0</v>
      </c>
      <c r="AI44" s="245"/>
      <c r="AJ44" s="245"/>
      <c r="AK44" s="245"/>
      <c r="AL44" s="245"/>
      <c r="AM44" s="245"/>
      <c r="AN44" s="245"/>
      <c r="AO44" s="245"/>
      <c r="AP44" s="245"/>
      <c r="AQ44" s="245"/>
      <c r="AR44" s="229" t="str">
        <f>IFERROR(AH44/AH46,"")</f>
        <v/>
      </c>
      <c r="AS44" s="229"/>
      <c r="AT44" s="229"/>
      <c r="AU44" s="229"/>
      <c r="AV44" s="229"/>
      <c r="AW44" s="230"/>
    </row>
    <row r="45" spans="2:53" ht="22.5" customHeight="1" thickBot="1" x14ac:dyDescent="0.3">
      <c r="B45" s="212" t="s">
        <v>6085</v>
      </c>
      <c r="C45" s="213"/>
      <c r="D45" s="213"/>
      <c r="E45" s="213"/>
      <c r="F45" s="213"/>
      <c r="G45" s="213"/>
      <c r="H45" s="213"/>
      <c r="I45" s="214"/>
      <c r="J45" s="244">
        <f>SUM(AR15:AW26)</f>
        <v>0</v>
      </c>
      <c r="K45" s="245"/>
      <c r="L45" s="245"/>
      <c r="M45" s="245"/>
      <c r="N45" s="245"/>
      <c r="O45" s="245"/>
      <c r="P45" s="245"/>
      <c r="Q45" s="246"/>
      <c r="R45" s="247">
        <f>SUMPRODUCT(K15:K26,AR15:AR26)</f>
        <v>0</v>
      </c>
      <c r="S45" s="166"/>
      <c r="T45" s="166"/>
      <c r="U45" s="166"/>
      <c r="V45" s="166"/>
      <c r="W45" s="166"/>
      <c r="X45" s="166"/>
      <c r="Y45" s="166"/>
      <c r="Z45" s="166"/>
      <c r="AA45" s="166"/>
      <c r="AB45" s="229" t="str">
        <f>IFERROR(R45/R46,"")</f>
        <v/>
      </c>
      <c r="AC45" s="229"/>
      <c r="AD45" s="229"/>
      <c r="AE45" s="229"/>
      <c r="AF45" s="229"/>
      <c r="AG45" s="248"/>
      <c r="AH45" s="249">
        <f>SUMPRODUCT(K15:K26,AR15:AR26,Z15:Z26)</f>
        <v>0</v>
      </c>
      <c r="AI45" s="250"/>
      <c r="AJ45" s="250"/>
      <c r="AK45" s="250"/>
      <c r="AL45" s="250"/>
      <c r="AM45" s="250"/>
      <c r="AN45" s="250"/>
      <c r="AO45" s="250"/>
      <c r="AP45" s="250"/>
      <c r="AQ45" s="250"/>
      <c r="AR45" s="229" t="str">
        <f>IFERROR(AH45/AH46,"")</f>
        <v/>
      </c>
      <c r="AS45" s="229"/>
      <c r="AT45" s="229"/>
      <c r="AU45" s="229"/>
      <c r="AV45" s="229"/>
      <c r="AW45" s="230"/>
    </row>
    <row r="46" spans="2:53" ht="22.5" customHeight="1" x14ac:dyDescent="0.25">
      <c r="B46" s="162" t="s">
        <v>6037</v>
      </c>
      <c r="C46" s="163"/>
      <c r="D46" s="163"/>
      <c r="E46" s="163"/>
      <c r="F46" s="163"/>
      <c r="G46" s="163"/>
      <c r="H46" s="163"/>
      <c r="I46" s="215"/>
      <c r="J46" s="231">
        <f>SUM(T15:Y26)</f>
        <v>0</v>
      </c>
      <c r="K46" s="232"/>
      <c r="L46" s="232"/>
      <c r="M46" s="232"/>
      <c r="N46" s="232"/>
      <c r="O46" s="232"/>
      <c r="P46" s="232"/>
      <c r="Q46" s="233"/>
      <c r="R46" s="234">
        <f>SUMPRODUCT(K15:K26,T15:T26)</f>
        <v>0</v>
      </c>
      <c r="S46" s="235"/>
      <c r="T46" s="235"/>
      <c r="U46" s="235"/>
      <c r="V46" s="235"/>
      <c r="W46" s="235"/>
      <c r="X46" s="235"/>
      <c r="Y46" s="235"/>
      <c r="Z46" s="235"/>
      <c r="AA46" s="235"/>
      <c r="AB46" s="235"/>
      <c r="AC46" s="235"/>
      <c r="AD46" s="235"/>
      <c r="AE46" s="235"/>
      <c r="AF46" s="235"/>
      <c r="AG46" s="236"/>
      <c r="AH46" s="237">
        <f>SUMPRODUCT(K15:K26,T15:T26,Z15:Z26)</f>
        <v>0</v>
      </c>
      <c r="AI46" s="237"/>
      <c r="AJ46" s="237"/>
      <c r="AK46" s="237"/>
      <c r="AL46" s="237"/>
      <c r="AM46" s="237"/>
      <c r="AN46" s="237"/>
      <c r="AO46" s="237"/>
      <c r="AP46" s="237"/>
      <c r="AQ46" s="237"/>
      <c r="AR46" s="237"/>
      <c r="AS46" s="237"/>
      <c r="AT46" s="237"/>
      <c r="AU46" s="237"/>
      <c r="AV46" s="237"/>
      <c r="AW46" s="237"/>
    </row>
    <row r="47" spans="2:53" ht="18.75" customHeight="1" x14ac:dyDescent="0.25">
      <c r="I47" s="48"/>
      <c r="AG47" s="48"/>
    </row>
    <row r="48" spans="2:53" ht="22.5" customHeight="1" thickBot="1" x14ac:dyDescent="0.3">
      <c r="B48" s="134" t="s">
        <v>6088</v>
      </c>
      <c r="C48" s="135"/>
      <c r="D48" s="135"/>
      <c r="E48" s="135"/>
      <c r="F48" s="135"/>
      <c r="G48" s="135"/>
      <c r="H48" s="135"/>
      <c r="I48" s="135"/>
      <c r="J48" s="257"/>
      <c r="K48" s="257"/>
      <c r="L48" s="257"/>
      <c r="M48" s="257"/>
      <c r="N48" s="257"/>
      <c r="O48" s="257"/>
      <c r="P48" s="257"/>
      <c r="Q48" s="258"/>
      <c r="Z48" s="134" t="s">
        <v>6091</v>
      </c>
      <c r="AA48" s="135"/>
      <c r="AB48" s="135"/>
      <c r="AC48" s="135"/>
      <c r="AD48" s="135"/>
      <c r="AE48" s="135"/>
      <c r="AF48" s="135"/>
      <c r="AG48" s="135"/>
      <c r="AH48" s="135" t="s">
        <v>6092</v>
      </c>
      <c r="AI48" s="135"/>
      <c r="AJ48" s="135"/>
      <c r="AK48" s="135"/>
      <c r="AL48" s="135"/>
      <c r="AM48" s="135"/>
      <c r="AN48" s="135"/>
      <c r="AO48" s="136"/>
    </row>
    <row r="49" spans="2:49" ht="22.5" customHeight="1" thickBot="1" x14ac:dyDescent="0.3">
      <c r="B49" s="159" t="s">
        <v>6089</v>
      </c>
      <c r="C49" s="160"/>
      <c r="D49" s="160"/>
      <c r="E49" s="160"/>
      <c r="F49" s="160"/>
      <c r="G49" s="160"/>
      <c r="H49" s="160"/>
      <c r="I49" s="160"/>
      <c r="J49" s="155"/>
      <c r="K49" s="155"/>
      <c r="L49" s="155"/>
      <c r="M49" s="155"/>
      <c r="N49" s="155"/>
      <c r="O49" s="155"/>
      <c r="P49" s="155"/>
      <c r="Q49" s="259"/>
      <c r="Z49" s="253" t="str">
        <f>IFERROR(R46/J49,"")</f>
        <v/>
      </c>
      <c r="AA49" s="254"/>
      <c r="AB49" s="254"/>
      <c r="AC49" s="254"/>
      <c r="AD49" s="254"/>
      <c r="AE49" s="254"/>
      <c r="AF49" s="254"/>
      <c r="AG49" s="254"/>
      <c r="AH49" s="255" t="str">
        <f>IFERROR(J50/J48,"")</f>
        <v/>
      </c>
      <c r="AI49" s="255"/>
      <c r="AJ49" s="255"/>
      <c r="AK49" s="255"/>
      <c r="AL49" s="255"/>
      <c r="AM49" s="255"/>
      <c r="AN49" s="255"/>
      <c r="AO49" s="256"/>
    </row>
    <row r="50" spans="2:49" ht="22.5" customHeight="1" x14ac:dyDescent="0.25">
      <c r="B50" s="162" t="s">
        <v>6090</v>
      </c>
      <c r="C50" s="163"/>
      <c r="D50" s="163"/>
      <c r="E50" s="163"/>
      <c r="F50" s="163"/>
      <c r="G50" s="163"/>
      <c r="H50" s="163"/>
      <c r="I50" s="163"/>
      <c r="J50" s="170"/>
      <c r="K50" s="170"/>
      <c r="L50" s="170"/>
      <c r="M50" s="170"/>
      <c r="N50" s="170"/>
      <c r="O50" s="170"/>
      <c r="P50" s="170"/>
      <c r="Q50" s="260"/>
    </row>
    <row r="51" spans="2:49" ht="18.75" customHeight="1" x14ac:dyDescent="0.25">
      <c r="J51" s="69"/>
      <c r="K51" s="69"/>
      <c r="L51" s="69"/>
      <c r="M51" s="69"/>
      <c r="N51" s="69"/>
      <c r="O51" s="69"/>
      <c r="P51" s="69"/>
      <c r="Q51" s="69"/>
    </row>
    <row r="52" spans="2:49" ht="26.25" customHeight="1" x14ac:dyDescent="0.25">
      <c r="B52" s="94" t="s">
        <v>6018</v>
      </c>
      <c r="C52" s="47"/>
      <c r="D52" s="47"/>
      <c r="E52" s="47"/>
      <c r="F52" s="47"/>
      <c r="G52" s="47"/>
      <c r="H52" s="47"/>
      <c r="I52" s="47"/>
      <c r="J52" s="70"/>
      <c r="K52" s="70"/>
      <c r="L52" s="70"/>
      <c r="M52" s="70"/>
      <c r="N52" s="70"/>
      <c r="O52" s="70"/>
      <c r="P52" s="70"/>
      <c r="Q52" s="70"/>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row>
    <row r="53" spans="2:49" ht="3.75" customHeight="1" x14ac:dyDescent="0.25">
      <c r="J53" s="69"/>
      <c r="K53" s="69"/>
      <c r="L53" s="69"/>
      <c r="M53" s="69"/>
      <c r="N53" s="69"/>
      <c r="O53" s="69"/>
      <c r="P53" s="69"/>
      <c r="Q53" s="69"/>
    </row>
    <row r="54" spans="2:49" ht="22.5" customHeight="1" thickBot="1" x14ac:dyDescent="0.3">
      <c r="B54" s="134" t="s">
        <v>6056</v>
      </c>
      <c r="C54" s="135"/>
      <c r="D54" s="135"/>
      <c r="E54" s="135"/>
      <c r="F54" s="135"/>
      <c r="G54" s="135"/>
      <c r="H54" s="135"/>
      <c r="I54" s="135"/>
      <c r="J54" s="178">
        <f>AH45</f>
        <v>0</v>
      </c>
      <c r="K54" s="178"/>
      <c r="L54" s="178"/>
      <c r="M54" s="178"/>
      <c r="N54" s="178"/>
      <c r="O54" s="178"/>
      <c r="P54" s="178"/>
      <c r="Q54" s="179"/>
    </row>
    <row r="55" spans="2:49" ht="22.5" customHeight="1" thickBot="1" x14ac:dyDescent="0.3">
      <c r="B55" s="159" t="s">
        <v>6100</v>
      </c>
      <c r="C55" s="160"/>
      <c r="D55" s="160"/>
      <c r="E55" s="160"/>
      <c r="F55" s="160"/>
      <c r="G55" s="160"/>
      <c r="H55" s="160"/>
      <c r="I55" s="160"/>
      <c r="J55" s="145"/>
      <c r="K55" s="145"/>
      <c r="L55" s="145"/>
      <c r="M55" s="145"/>
      <c r="N55" s="145"/>
      <c r="O55" s="145"/>
      <c r="P55" s="145"/>
      <c r="Q55" s="183"/>
      <c r="Z55" s="174" t="s">
        <v>6093</v>
      </c>
      <c r="AA55" s="174"/>
      <c r="AB55" s="174"/>
      <c r="AC55" s="174"/>
      <c r="AD55" s="174"/>
      <c r="AE55" s="174"/>
      <c r="AF55" s="174"/>
      <c r="AG55" s="174"/>
      <c r="AH55" s="174"/>
      <c r="AI55" s="174"/>
      <c r="AJ55" s="174"/>
      <c r="AK55" s="174"/>
      <c r="AL55" s="174"/>
      <c r="AM55" s="174"/>
      <c r="AN55" s="174"/>
      <c r="AO55" s="174"/>
    </row>
    <row r="56" spans="2:49" ht="22.5" customHeight="1" thickBot="1" x14ac:dyDescent="0.3">
      <c r="B56" s="159" t="s">
        <v>6101</v>
      </c>
      <c r="C56" s="160"/>
      <c r="D56" s="160"/>
      <c r="E56" s="160"/>
      <c r="F56" s="160"/>
      <c r="G56" s="160"/>
      <c r="H56" s="160"/>
      <c r="I56" s="160"/>
      <c r="J56" s="145"/>
      <c r="K56" s="145"/>
      <c r="L56" s="145"/>
      <c r="M56" s="145"/>
      <c r="N56" s="145"/>
      <c r="O56" s="145"/>
      <c r="P56" s="145"/>
      <c r="Q56" s="183"/>
      <c r="Z56" s="175">
        <f>SUM(J54:Q57)</f>
        <v>0</v>
      </c>
      <c r="AA56" s="176"/>
      <c r="AB56" s="176"/>
      <c r="AC56" s="176"/>
      <c r="AD56" s="176"/>
      <c r="AE56" s="176"/>
      <c r="AF56" s="176"/>
      <c r="AG56" s="176"/>
      <c r="AH56" s="176"/>
      <c r="AI56" s="176"/>
      <c r="AJ56" s="176"/>
      <c r="AK56" s="176"/>
      <c r="AL56" s="176"/>
      <c r="AM56" s="176"/>
      <c r="AN56" s="176"/>
      <c r="AO56" s="176"/>
    </row>
    <row r="57" spans="2:49" ht="22.5" customHeight="1" thickBot="1" x14ac:dyDescent="0.3">
      <c r="B57" s="159" t="s">
        <v>6102</v>
      </c>
      <c r="C57" s="160"/>
      <c r="D57" s="160"/>
      <c r="E57" s="160"/>
      <c r="F57" s="160"/>
      <c r="G57" s="160"/>
      <c r="H57" s="160"/>
      <c r="I57" s="160"/>
      <c r="J57" s="145"/>
      <c r="K57" s="145"/>
      <c r="L57" s="145"/>
      <c r="M57" s="145"/>
      <c r="N57" s="145"/>
      <c r="O57" s="145"/>
      <c r="P57" s="145"/>
      <c r="Q57" s="183"/>
      <c r="Z57" s="173" t="str">
        <f>IFERROR(Z56/J48,"")</f>
        <v/>
      </c>
      <c r="AA57" s="173"/>
      <c r="AB57" s="173"/>
      <c r="AC57" s="173"/>
      <c r="AD57" s="173"/>
      <c r="AE57" s="173"/>
      <c r="AF57" s="173"/>
      <c r="AG57" s="173"/>
      <c r="AH57" s="173"/>
      <c r="AI57" s="173"/>
      <c r="AJ57" s="173"/>
      <c r="AK57" s="173"/>
      <c r="AL57" s="173"/>
      <c r="AM57" s="173"/>
      <c r="AN57" s="173"/>
      <c r="AO57" s="173"/>
    </row>
    <row r="58" spans="2:49" ht="22.5" customHeight="1" x14ac:dyDescent="0.25">
      <c r="B58" s="162" t="s">
        <v>6103</v>
      </c>
      <c r="C58" s="163"/>
      <c r="D58" s="163"/>
      <c r="E58" s="163"/>
      <c r="F58" s="163"/>
      <c r="G58" s="163"/>
      <c r="H58" s="163"/>
      <c r="I58" s="163"/>
      <c r="J58" s="181"/>
      <c r="K58" s="182"/>
      <c r="L58" s="182"/>
      <c r="M58" s="154"/>
      <c r="N58" s="116">
        <f>(SUM(J54:K57))*J58</f>
        <v>0</v>
      </c>
      <c r="O58" s="180"/>
      <c r="P58" s="180"/>
      <c r="Q58" s="180"/>
    </row>
    <row r="59" spans="2:49" ht="22.5" customHeight="1" x14ac:dyDescent="0.25"/>
    <row r="60" spans="2:49" ht="22.5" customHeight="1" thickBot="1" x14ac:dyDescent="0.3">
      <c r="B60" s="134" t="s">
        <v>6095</v>
      </c>
      <c r="C60" s="135"/>
      <c r="D60" s="135"/>
      <c r="E60" s="135"/>
      <c r="F60" s="135"/>
      <c r="G60" s="135"/>
      <c r="H60" s="135"/>
      <c r="I60" s="135"/>
      <c r="J60" s="177"/>
      <c r="K60" s="177"/>
      <c r="L60" s="177"/>
      <c r="M60" s="177"/>
      <c r="N60" s="178">
        <f>J60*J48</f>
        <v>0</v>
      </c>
      <c r="O60" s="178"/>
      <c r="P60" s="178"/>
      <c r="Q60" s="179"/>
    </row>
    <row r="61" spans="2:49" ht="22.5" customHeight="1" thickBot="1" x14ac:dyDescent="0.3">
      <c r="B61" s="162" t="s">
        <v>6094</v>
      </c>
      <c r="C61" s="163"/>
      <c r="D61" s="163"/>
      <c r="E61" s="163"/>
      <c r="F61" s="163"/>
      <c r="G61" s="163"/>
      <c r="H61" s="163"/>
      <c r="I61" s="163"/>
      <c r="J61" s="114"/>
      <c r="K61" s="114"/>
      <c r="L61" s="114"/>
      <c r="M61" s="114"/>
      <c r="N61" s="115">
        <f>N60*J61</f>
        <v>0</v>
      </c>
      <c r="O61" s="115"/>
      <c r="P61" s="115"/>
      <c r="Q61" s="116"/>
      <c r="Z61" s="174" t="s">
        <v>6098</v>
      </c>
      <c r="AA61" s="174"/>
      <c r="AB61" s="174"/>
      <c r="AC61" s="174"/>
      <c r="AD61" s="174"/>
      <c r="AE61" s="174"/>
      <c r="AF61" s="174"/>
      <c r="AG61" s="174"/>
      <c r="AH61" s="174"/>
      <c r="AI61" s="174"/>
      <c r="AJ61" s="174"/>
      <c r="AK61" s="174"/>
      <c r="AL61" s="174"/>
      <c r="AM61" s="174"/>
      <c r="AN61" s="174"/>
      <c r="AO61" s="174"/>
    </row>
    <row r="62" spans="2:49" ht="22.5" customHeight="1" thickBot="1" x14ac:dyDescent="0.3">
      <c r="Z62" s="175">
        <f>SUM(J54:Q57,N58,N61,J63:Q64)</f>
        <v>0</v>
      </c>
      <c r="AA62" s="175"/>
      <c r="AB62" s="175"/>
      <c r="AC62" s="175"/>
      <c r="AD62" s="175"/>
      <c r="AE62" s="175"/>
      <c r="AF62" s="175"/>
      <c r="AG62" s="175"/>
      <c r="AH62" s="175"/>
      <c r="AI62" s="175"/>
      <c r="AJ62" s="175"/>
      <c r="AK62" s="175"/>
      <c r="AL62" s="175"/>
      <c r="AM62" s="175"/>
      <c r="AN62" s="175"/>
      <c r="AO62" s="175"/>
    </row>
    <row r="63" spans="2:49" ht="22.5" customHeight="1" thickBot="1" x14ac:dyDescent="0.3">
      <c r="B63" s="134" t="s">
        <v>6096</v>
      </c>
      <c r="C63" s="135"/>
      <c r="D63" s="135"/>
      <c r="E63" s="135"/>
      <c r="F63" s="135"/>
      <c r="G63" s="135"/>
      <c r="H63" s="135"/>
      <c r="I63" s="135"/>
      <c r="J63" s="261"/>
      <c r="K63" s="261"/>
      <c r="L63" s="261"/>
      <c r="M63" s="261"/>
      <c r="N63" s="261"/>
      <c r="O63" s="261"/>
      <c r="P63" s="261"/>
      <c r="Q63" s="262"/>
      <c r="Z63" s="173" t="str">
        <f>IFERROR(Z62/J48,"")</f>
        <v/>
      </c>
      <c r="AA63" s="173"/>
      <c r="AB63" s="173"/>
      <c r="AC63" s="173"/>
      <c r="AD63" s="173"/>
      <c r="AE63" s="173"/>
      <c r="AF63" s="173"/>
      <c r="AG63" s="173"/>
      <c r="AH63" s="173"/>
      <c r="AI63" s="173"/>
      <c r="AJ63" s="173"/>
      <c r="AK63" s="173"/>
      <c r="AL63" s="173"/>
      <c r="AM63" s="173"/>
      <c r="AN63" s="173"/>
      <c r="AO63" s="173"/>
    </row>
    <row r="64" spans="2:49" ht="22.5" customHeight="1" x14ac:dyDescent="0.25">
      <c r="B64" s="162" t="s">
        <v>6097</v>
      </c>
      <c r="C64" s="163"/>
      <c r="D64" s="163"/>
      <c r="E64" s="163"/>
      <c r="F64" s="163"/>
      <c r="G64" s="163"/>
      <c r="H64" s="163"/>
      <c r="I64" s="163"/>
      <c r="J64" s="129"/>
      <c r="K64" s="129"/>
      <c r="L64" s="129"/>
      <c r="M64" s="129"/>
      <c r="N64" s="129"/>
      <c r="O64" s="129"/>
      <c r="P64" s="129"/>
      <c r="Q64" s="130"/>
    </row>
    <row r="65" spans="2:49" ht="18.75" customHeight="1" x14ac:dyDescent="0.25"/>
    <row r="66" spans="2:49" ht="26.25" customHeight="1" x14ac:dyDescent="0.25">
      <c r="B66" s="94" t="s">
        <v>6099</v>
      </c>
      <c r="C66" s="47"/>
      <c r="D66" s="47"/>
      <c r="E66" s="47"/>
      <c r="F66" s="47"/>
      <c r="G66" s="47"/>
      <c r="H66" s="47"/>
      <c r="I66" s="47"/>
      <c r="J66" s="70"/>
      <c r="K66" s="70"/>
      <c r="L66" s="70"/>
      <c r="M66" s="70"/>
      <c r="N66" s="70"/>
      <c r="O66" s="70"/>
      <c r="P66" s="70"/>
      <c r="Q66" s="70"/>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row>
    <row r="67" spans="2:49" ht="3.75" customHeight="1" x14ac:dyDescent="0.25">
      <c r="J67" s="69"/>
      <c r="K67" s="69"/>
      <c r="L67" s="69"/>
      <c r="M67" s="69"/>
      <c r="N67" s="69"/>
      <c r="O67" s="69"/>
      <c r="P67" s="69"/>
      <c r="Q67" s="69"/>
    </row>
    <row r="68" spans="2:49" ht="22.5" customHeight="1" thickBot="1" x14ac:dyDescent="0.3">
      <c r="B68" s="134" t="s">
        <v>6105</v>
      </c>
      <c r="C68" s="135"/>
      <c r="D68" s="135"/>
      <c r="E68" s="135"/>
      <c r="F68" s="135"/>
      <c r="G68" s="135"/>
      <c r="H68" s="135"/>
      <c r="I68" s="135"/>
      <c r="J68" s="135"/>
      <c r="K68" s="135"/>
      <c r="L68" s="135"/>
      <c r="M68" s="135"/>
      <c r="N68" s="135"/>
      <c r="O68" s="135"/>
      <c r="P68" s="135"/>
      <c r="Q68" s="135"/>
      <c r="R68" s="125" t="s">
        <v>6233</v>
      </c>
      <c r="S68" s="125"/>
      <c r="T68" s="125"/>
      <c r="U68" s="125"/>
      <c r="V68" s="126"/>
    </row>
    <row r="69" spans="2:49" ht="22.5" customHeight="1" thickBot="1" x14ac:dyDescent="0.3">
      <c r="B69" s="159" t="s">
        <v>6106</v>
      </c>
      <c r="C69" s="160"/>
      <c r="D69" s="160"/>
      <c r="E69" s="160"/>
      <c r="F69" s="160"/>
      <c r="G69" s="160"/>
      <c r="H69" s="160"/>
      <c r="I69" s="160"/>
      <c r="J69" s="160"/>
      <c r="K69" s="160"/>
      <c r="L69" s="160"/>
      <c r="M69" s="160"/>
      <c r="N69" s="160"/>
      <c r="O69" s="160"/>
      <c r="P69" s="160"/>
      <c r="Q69" s="160"/>
      <c r="R69" s="127"/>
      <c r="S69" s="127"/>
      <c r="T69" s="127"/>
      <c r="U69" s="127"/>
      <c r="V69" s="128"/>
    </row>
    <row r="70" spans="2:49" ht="22.5" customHeight="1" x14ac:dyDescent="0.25">
      <c r="B70" s="162" t="s">
        <v>6107</v>
      </c>
      <c r="C70" s="163"/>
      <c r="D70" s="163"/>
      <c r="E70" s="163"/>
      <c r="F70" s="163"/>
      <c r="G70" s="163"/>
      <c r="H70" s="163"/>
      <c r="I70" s="163"/>
      <c r="J70" s="163"/>
      <c r="K70" s="163"/>
      <c r="L70" s="163"/>
      <c r="M70" s="163"/>
      <c r="N70" s="163"/>
      <c r="O70" s="163"/>
      <c r="P70" s="163"/>
      <c r="Q70" s="163"/>
      <c r="R70" s="129"/>
      <c r="S70" s="129"/>
      <c r="T70" s="129"/>
      <c r="U70" s="129"/>
      <c r="V70" s="130"/>
    </row>
    <row r="71" spans="2:49" ht="3.75" customHeight="1" thickBot="1" x14ac:dyDescent="0.3">
      <c r="R71" s="131"/>
      <c r="S71" s="131"/>
      <c r="T71" s="131"/>
      <c r="U71" s="131"/>
      <c r="V71" s="131"/>
    </row>
    <row r="72" spans="2:49" ht="22.5" customHeight="1" x14ac:dyDescent="0.25">
      <c r="B72" s="109" t="s">
        <v>6108</v>
      </c>
      <c r="C72" s="110"/>
      <c r="D72" s="110"/>
      <c r="E72" s="110"/>
      <c r="F72" s="110"/>
      <c r="G72" s="110"/>
      <c r="H72" s="110"/>
      <c r="I72" s="110"/>
      <c r="J72" s="110"/>
      <c r="K72" s="110"/>
      <c r="L72" s="110"/>
      <c r="M72" s="110"/>
      <c r="N72" s="110"/>
      <c r="O72" s="110"/>
      <c r="P72" s="110"/>
      <c r="Q72" s="110"/>
      <c r="R72" s="129"/>
      <c r="S72" s="129"/>
      <c r="T72" s="129"/>
      <c r="U72" s="129"/>
      <c r="V72" s="130"/>
    </row>
    <row r="73" spans="2:49" ht="18.75" customHeight="1" x14ac:dyDescent="0.25"/>
    <row r="74" spans="2:49" ht="22.5" customHeight="1" thickBot="1" x14ac:dyDescent="0.3">
      <c r="B74" s="134" t="s">
        <v>6044</v>
      </c>
      <c r="C74" s="135"/>
      <c r="D74" s="135"/>
      <c r="E74" s="135"/>
      <c r="F74" s="135"/>
      <c r="G74" s="135"/>
      <c r="H74" s="135"/>
      <c r="I74" s="135"/>
      <c r="J74" s="135"/>
      <c r="K74" s="135"/>
      <c r="L74" s="135"/>
      <c r="M74" s="135" t="s">
        <v>6104</v>
      </c>
      <c r="N74" s="135"/>
      <c r="O74" s="135"/>
      <c r="P74" s="135"/>
      <c r="Q74" s="135"/>
      <c r="R74" s="135" t="s">
        <v>6130</v>
      </c>
      <c r="S74" s="135"/>
      <c r="T74" s="135"/>
      <c r="U74" s="135"/>
      <c r="V74" s="135"/>
      <c r="W74" s="135" t="s">
        <v>6109</v>
      </c>
      <c r="X74" s="135"/>
      <c r="Y74" s="135"/>
      <c r="Z74" s="135"/>
      <c r="AA74" s="135"/>
      <c r="AB74" s="135" t="s">
        <v>6132</v>
      </c>
      <c r="AC74" s="135"/>
      <c r="AD74" s="135"/>
      <c r="AE74" s="135"/>
      <c r="AF74" s="135"/>
      <c r="AG74" s="135" t="s">
        <v>6111</v>
      </c>
      <c r="AH74" s="135"/>
      <c r="AI74" s="135"/>
      <c r="AJ74" s="135"/>
      <c r="AK74" s="135"/>
      <c r="AL74" s="135"/>
      <c r="AM74" s="135"/>
      <c r="AN74" s="135"/>
      <c r="AO74" s="135"/>
      <c r="AP74" s="135"/>
      <c r="AQ74" s="135"/>
      <c r="AR74" s="135"/>
      <c r="AS74" s="135"/>
      <c r="AT74" s="135"/>
      <c r="AU74" s="135"/>
      <c r="AV74" s="135"/>
      <c r="AW74" s="136"/>
    </row>
    <row r="75" spans="2:49" ht="22.5" customHeight="1" thickBot="1" x14ac:dyDescent="0.3">
      <c r="B75" s="142" t="s">
        <v>6112</v>
      </c>
      <c r="C75" s="133"/>
      <c r="D75" s="133"/>
      <c r="E75" s="133"/>
      <c r="F75" s="133"/>
      <c r="G75" s="133"/>
      <c r="H75" s="133"/>
      <c r="I75" s="133"/>
      <c r="J75" s="133"/>
      <c r="K75" s="133"/>
      <c r="L75" s="133"/>
      <c r="M75" s="155"/>
      <c r="N75" s="155"/>
      <c r="O75" s="155"/>
      <c r="P75" s="155"/>
      <c r="Q75" s="155"/>
      <c r="R75" s="133" t="s">
        <v>6113</v>
      </c>
      <c r="S75" s="133"/>
      <c r="T75" s="133"/>
      <c r="U75" s="133"/>
      <c r="V75" s="133"/>
      <c r="W75" s="143"/>
      <c r="X75" s="143"/>
      <c r="Y75" s="143"/>
      <c r="Z75" s="143"/>
      <c r="AA75" s="143"/>
      <c r="AB75" s="171" t="str">
        <f>IF(M75="","",IF(W75="","",W75*M75))</f>
        <v/>
      </c>
      <c r="AC75" s="171"/>
      <c r="AD75" s="171"/>
      <c r="AE75" s="171"/>
      <c r="AF75" s="171"/>
      <c r="AG75" s="121"/>
      <c r="AH75" s="121"/>
      <c r="AI75" s="121"/>
      <c r="AJ75" s="121"/>
      <c r="AK75" s="121"/>
      <c r="AL75" s="121"/>
      <c r="AM75" s="121"/>
      <c r="AN75" s="121"/>
      <c r="AO75" s="121"/>
      <c r="AP75" s="121"/>
      <c r="AQ75" s="121"/>
      <c r="AR75" s="121"/>
      <c r="AS75" s="121"/>
      <c r="AT75" s="121"/>
      <c r="AU75" s="121"/>
      <c r="AV75" s="121"/>
      <c r="AW75" s="122"/>
    </row>
    <row r="76" spans="2:49" ht="22.5" customHeight="1" thickBot="1" x14ac:dyDescent="0.3">
      <c r="B76" s="142" t="s">
        <v>6134</v>
      </c>
      <c r="C76" s="133"/>
      <c r="D76" s="133"/>
      <c r="E76" s="133"/>
      <c r="F76" s="133"/>
      <c r="G76" s="133"/>
      <c r="H76" s="133"/>
      <c r="I76" s="133"/>
      <c r="J76" s="133"/>
      <c r="K76" s="133"/>
      <c r="L76" s="133"/>
      <c r="M76" s="155"/>
      <c r="N76" s="155"/>
      <c r="O76" s="155"/>
      <c r="P76" s="155"/>
      <c r="Q76" s="155"/>
      <c r="R76" s="133" t="s">
        <v>6113</v>
      </c>
      <c r="S76" s="133"/>
      <c r="T76" s="133"/>
      <c r="U76" s="133"/>
      <c r="V76" s="133"/>
      <c r="W76" s="143"/>
      <c r="X76" s="143"/>
      <c r="Y76" s="143"/>
      <c r="Z76" s="143"/>
      <c r="AA76" s="143"/>
      <c r="AB76" s="171" t="str">
        <f t="shared" ref="AB76:AB88" si="7">IF(M76="","",IF(W76="","",W76*M76))</f>
        <v/>
      </c>
      <c r="AC76" s="171"/>
      <c r="AD76" s="171"/>
      <c r="AE76" s="171"/>
      <c r="AF76" s="171"/>
      <c r="AG76" s="121"/>
      <c r="AH76" s="121"/>
      <c r="AI76" s="121"/>
      <c r="AJ76" s="121"/>
      <c r="AK76" s="121"/>
      <c r="AL76" s="121"/>
      <c r="AM76" s="121"/>
      <c r="AN76" s="121"/>
      <c r="AO76" s="121"/>
      <c r="AP76" s="121"/>
      <c r="AQ76" s="121"/>
      <c r="AR76" s="121"/>
      <c r="AS76" s="121"/>
      <c r="AT76" s="121"/>
      <c r="AU76" s="121"/>
      <c r="AV76" s="121"/>
      <c r="AW76" s="122"/>
    </row>
    <row r="77" spans="2:49" ht="22.5" customHeight="1" thickBot="1" x14ac:dyDescent="0.3">
      <c r="B77" s="142" t="s">
        <v>6114</v>
      </c>
      <c r="C77" s="133"/>
      <c r="D77" s="133"/>
      <c r="E77" s="133"/>
      <c r="F77" s="133"/>
      <c r="G77" s="133"/>
      <c r="H77" s="133"/>
      <c r="I77" s="133"/>
      <c r="J77" s="133"/>
      <c r="K77" s="133"/>
      <c r="L77" s="133"/>
      <c r="M77" s="155"/>
      <c r="N77" s="155"/>
      <c r="O77" s="155"/>
      <c r="P77" s="155"/>
      <c r="Q77" s="155"/>
      <c r="R77" s="133" t="s">
        <v>6113</v>
      </c>
      <c r="S77" s="133"/>
      <c r="T77" s="133"/>
      <c r="U77" s="133"/>
      <c r="V77" s="133"/>
      <c r="W77" s="143"/>
      <c r="X77" s="143"/>
      <c r="Y77" s="143"/>
      <c r="Z77" s="143"/>
      <c r="AA77" s="143"/>
      <c r="AB77" s="171" t="str">
        <f t="shared" si="7"/>
        <v/>
      </c>
      <c r="AC77" s="171"/>
      <c r="AD77" s="171"/>
      <c r="AE77" s="171"/>
      <c r="AF77" s="171"/>
      <c r="AG77" s="121"/>
      <c r="AH77" s="121"/>
      <c r="AI77" s="121"/>
      <c r="AJ77" s="121"/>
      <c r="AK77" s="121"/>
      <c r="AL77" s="121"/>
      <c r="AM77" s="121"/>
      <c r="AN77" s="121"/>
      <c r="AO77" s="121"/>
      <c r="AP77" s="121"/>
      <c r="AQ77" s="121"/>
      <c r="AR77" s="121"/>
      <c r="AS77" s="121"/>
      <c r="AT77" s="121"/>
      <c r="AU77" s="121"/>
      <c r="AV77" s="121"/>
      <c r="AW77" s="122"/>
    </row>
    <row r="78" spans="2:49" ht="22.5" customHeight="1" thickBot="1" x14ac:dyDescent="0.3">
      <c r="B78" s="142" t="s">
        <v>6115</v>
      </c>
      <c r="C78" s="133"/>
      <c r="D78" s="133"/>
      <c r="E78" s="133"/>
      <c r="F78" s="133"/>
      <c r="G78" s="133"/>
      <c r="H78" s="133"/>
      <c r="I78" s="133"/>
      <c r="J78" s="133"/>
      <c r="K78" s="133"/>
      <c r="L78" s="133"/>
      <c r="M78" s="155"/>
      <c r="N78" s="155"/>
      <c r="O78" s="155"/>
      <c r="P78" s="155"/>
      <c r="Q78" s="155"/>
      <c r="R78" s="133" t="s">
        <v>6113</v>
      </c>
      <c r="S78" s="133"/>
      <c r="T78" s="133"/>
      <c r="U78" s="133"/>
      <c r="V78" s="133"/>
      <c r="W78" s="143"/>
      <c r="X78" s="143"/>
      <c r="Y78" s="143"/>
      <c r="Z78" s="143"/>
      <c r="AA78" s="143"/>
      <c r="AB78" s="171" t="str">
        <f t="shared" si="7"/>
        <v/>
      </c>
      <c r="AC78" s="171"/>
      <c r="AD78" s="171"/>
      <c r="AE78" s="171"/>
      <c r="AF78" s="171"/>
      <c r="AG78" s="121"/>
      <c r="AH78" s="121"/>
      <c r="AI78" s="121"/>
      <c r="AJ78" s="121"/>
      <c r="AK78" s="121"/>
      <c r="AL78" s="121"/>
      <c r="AM78" s="121"/>
      <c r="AN78" s="121"/>
      <c r="AO78" s="121"/>
      <c r="AP78" s="121"/>
      <c r="AQ78" s="121"/>
      <c r="AR78" s="121"/>
      <c r="AS78" s="121"/>
      <c r="AT78" s="121"/>
      <c r="AU78" s="121"/>
      <c r="AV78" s="121"/>
      <c r="AW78" s="122"/>
    </row>
    <row r="79" spans="2:49" ht="22.5" customHeight="1" thickBot="1" x14ac:dyDescent="0.3">
      <c r="B79" s="142" t="s">
        <v>6116</v>
      </c>
      <c r="C79" s="133"/>
      <c r="D79" s="133"/>
      <c r="E79" s="133"/>
      <c r="F79" s="133"/>
      <c r="G79" s="133"/>
      <c r="H79" s="133"/>
      <c r="I79" s="133"/>
      <c r="J79" s="133"/>
      <c r="K79" s="133"/>
      <c r="L79" s="133"/>
      <c r="M79" s="155"/>
      <c r="N79" s="155"/>
      <c r="O79" s="155"/>
      <c r="P79" s="155"/>
      <c r="Q79" s="155"/>
      <c r="R79" s="133" t="s">
        <v>6113</v>
      </c>
      <c r="S79" s="133"/>
      <c r="T79" s="133"/>
      <c r="U79" s="133"/>
      <c r="V79" s="133"/>
      <c r="W79" s="143"/>
      <c r="X79" s="143"/>
      <c r="Y79" s="143"/>
      <c r="Z79" s="143"/>
      <c r="AA79" s="143"/>
      <c r="AB79" s="171" t="str">
        <f t="shared" si="7"/>
        <v/>
      </c>
      <c r="AC79" s="171"/>
      <c r="AD79" s="171"/>
      <c r="AE79" s="171"/>
      <c r="AF79" s="171"/>
      <c r="AG79" s="121"/>
      <c r="AH79" s="121"/>
      <c r="AI79" s="121"/>
      <c r="AJ79" s="121"/>
      <c r="AK79" s="121"/>
      <c r="AL79" s="121"/>
      <c r="AM79" s="121"/>
      <c r="AN79" s="121"/>
      <c r="AO79" s="121"/>
      <c r="AP79" s="121"/>
      <c r="AQ79" s="121"/>
      <c r="AR79" s="121"/>
      <c r="AS79" s="121"/>
      <c r="AT79" s="121"/>
      <c r="AU79" s="121"/>
      <c r="AV79" s="121"/>
      <c r="AW79" s="122"/>
    </row>
    <row r="80" spans="2:49" ht="22.5" customHeight="1" thickBot="1" x14ac:dyDescent="0.3">
      <c r="B80" s="142" t="s">
        <v>6117</v>
      </c>
      <c r="C80" s="133"/>
      <c r="D80" s="133"/>
      <c r="E80" s="133"/>
      <c r="F80" s="133"/>
      <c r="G80" s="133"/>
      <c r="H80" s="133"/>
      <c r="I80" s="133"/>
      <c r="J80" s="133"/>
      <c r="K80" s="133"/>
      <c r="L80" s="133"/>
      <c r="M80" s="155"/>
      <c r="N80" s="155"/>
      <c r="O80" s="155"/>
      <c r="P80" s="155"/>
      <c r="Q80" s="155"/>
      <c r="R80" s="133" t="s">
        <v>6118</v>
      </c>
      <c r="S80" s="133"/>
      <c r="T80" s="133"/>
      <c r="U80" s="133"/>
      <c r="V80" s="133"/>
      <c r="W80" s="143"/>
      <c r="X80" s="143"/>
      <c r="Y80" s="143"/>
      <c r="Z80" s="143"/>
      <c r="AA80" s="143"/>
      <c r="AB80" s="171" t="str">
        <f t="shared" si="7"/>
        <v/>
      </c>
      <c r="AC80" s="171"/>
      <c r="AD80" s="171"/>
      <c r="AE80" s="171"/>
      <c r="AF80" s="171"/>
      <c r="AG80" s="121"/>
      <c r="AH80" s="121"/>
      <c r="AI80" s="121"/>
      <c r="AJ80" s="121"/>
      <c r="AK80" s="121"/>
      <c r="AL80" s="121"/>
      <c r="AM80" s="121"/>
      <c r="AN80" s="121"/>
      <c r="AO80" s="121"/>
      <c r="AP80" s="121"/>
      <c r="AQ80" s="121"/>
      <c r="AR80" s="121"/>
      <c r="AS80" s="121"/>
      <c r="AT80" s="121"/>
      <c r="AU80" s="121"/>
      <c r="AV80" s="121"/>
      <c r="AW80" s="122"/>
    </row>
    <row r="81" spans="2:53" ht="22.5" customHeight="1" thickBot="1" x14ac:dyDescent="0.3">
      <c r="B81" s="142" t="s">
        <v>6119</v>
      </c>
      <c r="C81" s="133"/>
      <c r="D81" s="133"/>
      <c r="E81" s="133"/>
      <c r="F81" s="133"/>
      <c r="G81" s="133"/>
      <c r="H81" s="133"/>
      <c r="I81" s="133"/>
      <c r="J81" s="133"/>
      <c r="K81" s="133"/>
      <c r="L81" s="133"/>
      <c r="M81" s="155"/>
      <c r="N81" s="155"/>
      <c r="O81" s="155"/>
      <c r="P81" s="155"/>
      <c r="Q81" s="155"/>
      <c r="R81" s="133" t="s">
        <v>6120</v>
      </c>
      <c r="S81" s="133"/>
      <c r="T81" s="133"/>
      <c r="U81" s="133"/>
      <c r="V81" s="133"/>
      <c r="W81" s="143"/>
      <c r="X81" s="143"/>
      <c r="Y81" s="143"/>
      <c r="Z81" s="143"/>
      <c r="AA81" s="143"/>
      <c r="AB81" s="171" t="str">
        <f t="shared" si="7"/>
        <v/>
      </c>
      <c r="AC81" s="171"/>
      <c r="AD81" s="171"/>
      <c r="AE81" s="171"/>
      <c r="AF81" s="171"/>
      <c r="AG81" s="121"/>
      <c r="AH81" s="121"/>
      <c r="AI81" s="121"/>
      <c r="AJ81" s="121"/>
      <c r="AK81" s="121"/>
      <c r="AL81" s="121"/>
      <c r="AM81" s="121"/>
      <c r="AN81" s="121"/>
      <c r="AO81" s="121"/>
      <c r="AP81" s="121"/>
      <c r="AQ81" s="121"/>
      <c r="AR81" s="121"/>
      <c r="AS81" s="121"/>
      <c r="AT81" s="121"/>
      <c r="AU81" s="121"/>
      <c r="AV81" s="121"/>
      <c r="AW81" s="122"/>
    </row>
    <row r="82" spans="2:53" ht="22.5" customHeight="1" thickBot="1" x14ac:dyDescent="0.3">
      <c r="B82" s="142" t="s">
        <v>6121</v>
      </c>
      <c r="C82" s="133"/>
      <c r="D82" s="133"/>
      <c r="E82" s="133"/>
      <c r="F82" s="133"/>
      <c r="G82" s="133"/>
      <c r="H82" s="133"/>
      <c r="I82" s="133"/>
      <c r="J82" s="133"/>
      <c r="K82" s="133"/>
      <c r="L82" s="133"/>
      <c r="M82" s="155"/>
      <c r="N82" s="155"/>
      <c r="O82" s="155"/>
      <c r="P82" s="155"/>
      <c r="Q82" s="155"/>
      <c r="R82" s="133" t="s">
        <v>6122</v>
      </c>
      <c r="S82" s="133"/>
      <c r="T82" s="133"/>
      <c r="U82" s="133"/>
      <c r="V82" s="133"/>
      <c r="W82" s="143"/>
      <c r="X82" s="143"/>
      <c r="Y82" s="143"/>
      <c r="Z82" s="143"/>
      <c r="AA82" s="143"/>
      <c r="AB82" s="171" t="str">
        <f t="shared" si="7"/>
        <v/>
      </c>
      <c r="AC82" s="171"/>
      <c r="AD82" s="171"/>
      <c r="AE82" s="171"/>
      <c r="AF82" s="171"/>
      <c r="AG82" s="121"/>
      <c r="AH82" s="121"/>
      <c r="AI82" s="121"/>
      <c r="AJ82" s="121"/>
      <c r="AK82" s="121"/>
      <c r="AL82" s="121"/>
      <c r="AM82" s="121"/>
      <c r="AN82" s="121"/>
      <c r="AO82" s="121"/>
      <c r="AP82" s="121"/>
      <c r="AQ82" s="121"/>
      <c r="AR82" s="121"/>
      <c r="AS82" s="121"/>
      <c r="AT82" s="121"/>
      <c r="AU82" s="121"/>
      <c r="AV82" s="121"/>
      <c r="AW82" s="122"/>
    </row>
    <row r="83" spans="2:53" ht="22.5" customHeight="1" thickBot="1" x14ac:dyDescent="0.3">
      <c r="B83" s="142" t="s">
        <v>6123</v>
      </c>
      <c r="C83" s="133"/>
      <c r="D83" s="133"/>
      <c r="E83" s="133"/>
      <c r="F83" s="133"/>
      <c r="G83" s="133"/>
      <c r="H83" s="133"/>
      <c r="I83" s="133"/>
      <c r="J83" s="133"/>
      <c r="K83" s="133"/>
      <c r="L83" s="133"/>
      <c r="M83" s="155"/>
      <c r="N83" s="155"/>
      <c r="O83" s="155"/>
      <c r="P83" s="155"/>
      <c r="Q83" s="155"/>
      <c r="R83" s="133" t="s">
        <v>6124</v>
      </c>
      <c r="S83" s="133"/>
      <c r="T83" s="133"/>
      <c r="U83" s="133"/>
      <c r="V83" s="133"/>
      <c r="W83" s="143"/>
      <c r="X83" s="143"/>
      <c r="Y83" s="143"/>
      <c r="Z83" s="143"/>
      <c r="AA83" s="143"/>
      <c r="AB83" s="171" t="str">
        <f t="shared" si="7"/>
        <v/>
      </c>
      <c r="AC83" s="171"/>
      <c r="AD83" s="171"/>
      <c r="AE83" s="171"/>
      <c r="AF83" s="171"/>
      <c r="AG83" s="121"/>
      <c r="AH83" s="121"/>
      <c r="AI83" s="121"/>
      <c r="AJ83" s="121"/>
      <c r="AK83" s="121"/>
      <c r="AL83" s="121"/>
      <c r="AM83" s="121"/>
      <c r="AN83" s="121"/>
      <c r="AO83" s="121"/>
      <c r="AP83" s="121"/>
      <c r="AQ83" s="121"/>
      <c r="AR83" s="121"/>
      <c r="AS83" s="121"/>
      <c r="AT83" s="121"/>
      <c r="AU83" s="121"/>
      <c r="AV83" s="121"/>
      <c r="AW83" s="122"/>
    </row>
    <row r="84" spans="2:53" ht="22.5" customHeight="1" thickBot="1" x14ac:dyDescent="0.3">
      <c r="B84" s="142" t="s">
        <v>6125</v>
      </c>
      <c r="C84" s="133"/>
      <c r="D84" s="133"/>
      <c r="E84" s="133"/>
      <c r="F84" s="133"/>
      <c r="G84" s="133"/>
      <c r="H84" s="133"/>
      <c r="I84" s="133"/>
      <c r="J84" s="133"/>
      <c r="K84" s="133"/>
      <c r="L84" s="133"/>
      <c r="M84" s="155"/>
      <c r="N84" s="155"/>
      <c r="O84" s="155"/>
      <c r="P84" s="155"/>
      <c r="Q84" s="155"/>
      <c r="R84" s="133" t="s">
        <v>6126</v>
      </c>
      <c r="S84" s="133"/>
      <c r="T84" s="133"/>
      <c r="U84" s="133"/>
      <c r="V84" s="133"/>
      <c r="W84" s="143"/>
      <c r="X84" s="143"/>
      <c r="Y84" s="143"/>
      <c r="Z84" s="143"/>
      <c r="AA84" s="143"/>
      <c r="AB84" s="171" t="str">
        <f t="shared" si="7"/>
        <v/>
      </c>
      <c r="AC84" s="171"/>
      <c r="AD84" s="171"/>
      <c r="AE84" s="171"/>
      <c r="AF84" s="171"/>
      <c r="AG84" s="121"/>
      <c r="AH84" s="121"/>
      <c r="AI84" s="121"/>
      <c r="AJ84" s="121"/>
      <c r="AK84" s="121"/>
      <c r="AL84" s="121"/>
      <c r="AM84" s="121"/>
      <c r="AN84" s="121"/>
      <c r="AO84" s="121"/>
      <c r="AP84" s="121"/>
      <c r="AQ84" s="121"/>
      <c r="AR84" s="121"/>
      <c r="AS84" s="121"/>
      <c r="AT84" s="121"/>
      <c r="AU84" s="121"/>
      <c r="AV84" s="121"/>
      <c r="AW84" s="122"/>
    </row>
    <row r="85" spans="2:53" ht="22.5" customHeight="1" thickBot="1" x14ac:dyDescent="0.3">
      <c r="B85" s="142" t="s">
        <v>6127</v>
      </c>
      <c r="C85" s="133"/>
      <c r="D85" s="133"/>
      <c r="E85" s="133"/>
      <c r="F85" s="133"/>
      <c r="G85" s="133"/>
      <c r="H85" s="133"/>
      <c r="I85" s="133"/>
      <c r="J85" s="133"/>
      <c r="K85" s="133"/>
      <c r="L85" s="133"/>
      <c r="M85" s="155"/>
      <c r="N85" s="155"/>
      <c r="O85" s="155"/>
      <c r="P85" s="155"/>
      <c r="Q85" s="155"/>
      <c r="R85" s="133" t="s">
        <v>6113</v>
      </c>
      <c r="S85" s="133"/>
      <c r="T85" s="133"/>
      <c r="U85" s="133"/>
      <c r="V85" s="133"/>
      <c r="W85" s="143"/>
      <c r="X85" s="143"/>
      <c r="Y85" s="143"/>
      <c r="Z85" s="143"/>
      <c r="AA85" s="143"/>
      <c r="AB85" s="171" t="str">
        <f t="shared" si="7"/>
        <v/>
      </c>
      <c r="AC85" s="171"/>
      <c r="AD85" s="171"/>
      <c r="AE85" s="171"/>
      <c r="AF85" s="171"/>
      <c r="AG85" s="121"/>
      <c r="AH85" s="121"/>
      <c r="AI85" s="121"/>
      <c r="AJ85" s="121"/>
      <c r="AK85" s="121"/>
      <c r="AL85" s="121"/>
      <c r="AM85" s="121"/>
      <c r="AN85" s="121"/>
      <c r="AO85" s="121"/>
      <c r="AP85" s="121"/>
      <c r="AQ85" s="121"/>
      <c r="AR85" s="121"/>
      <c r="AS85" s="121"/>
      <c r="AT85" s="121"/>
      <c r="AU85" s="121"/>
      <c r="AV85" s="121"/>
      <c r="AW85" s="122"/>
    </row>
    <row r="86" spans="2:53" ht="22.5" customHeight="1" thickBot="1" x14ac:dyDescent="0.3">
      <c r="B86" s="142" t="s">
        <v>6128</v>
      </c>
      <c r="C86" s="133"/>
      <c r="D86" s="133"/>
      <c r="E86" s="133"/>
      <c r="F86" s="133"/>
      <c r="G86" s="133"/>
      <c r="H86" s="133"/>
      <c r="I86" s="133"/>
      <c r="J86" s="133"/>
      <c r="K86" s="133"/>
      <c r="L86" s="133"/>
      <c r="M86" s="155"/>
      <c r="N86" s="155"/>
      <c r="O86" s="155"/>
      <c r="P86" s="155"/>
      <c r="Q86" s="155"/>
      <c r="R86" s="133" t="s">
        <v>6113</v>
      </c>
      <c r="S86" s="133"/>
      <c r="T86" s="133"/>
      <c r="U86" s="133"/>
      <c r="V86" s="133"/>
      <c r="W86" s="143"/>
      <c r="X86" s="143"/>
      <c r="Y86" s="143"/>
      <c r="Z86" s="143"/>
      <c r="AA86" s="143"/>
      <c r="AB86" s="171" t="str">
        <f t="shared" si="7"/>
        <v/>
      </c>
      <c r="AC86" s="171"/>
      <c r="AD86" s="171"/>
      <c r="AE86" s="171"/>
      <c r="AF86" s="171"/>
      <c r="AG86" s="121"/>
      <c r="AH86" s="121"/>
      <c r="AI86" s="121"/>
      <c r="AJ86" s="121"/>
      <c r="AK86" s="121"/>
      <c r="AL86" s="121"/>
      <c r="AM86" s="121"/>
      <c r="AN86" s="121"/>
      <c r="AO86" s="121"/>
      <c r="AP86" s="121"/>
      <c r="AQ86" s="121"/>
      <c r="AR86" s="121"/>
      <c r="AS86" s="121"/>
      <c r="AT86" s="121"/>
      <c r="AU86" s="121"/>
      <c r="AV86" s="121"/>
      <c r="AW86" s="122"/>
    </row>
    <row r="87" spans="2:53" ht="22.5" customHeight="1" thickBot="1" x14ac:dyDescent="0.3">
      <c r="B87" s="142" t="s">
        <v>6129</v>
      </c>
      <c r="C87" s="133"/>
      <c r="D87" s="133"/>
      <c r="E87" s="133"/>
      <c r="F87" s="133"/>
      <c r="G87" s="133"/>
      <c r="H87" s="133"/>
      <c r="I87" s="133"/>
      <c r="J87" s="133"/>
      <c r="K87" s="133"/>
      <c r="L87" s="133"/>
      <c r="M87" s="155"/>
      <c r="N87" s="155"/>
      <c r="O87" s="155"/>
      <c r="P87" s="155"/>
      <c r="Q87" s="155"/>
      <c r="R87" s="133" t="s">
        <v>6113</v>
      </c>
      <c r="S87" s="133"/>
      <c r="T87" s="133"/>
      <c r="U87" s="133"/>
      <c r="V87" s="133"/>
      <c r="W87" s="143"/>
      <c r="X87" s="143"/>
      <c r="Y87" s="143"/>
      <c r="Z87" s="143"/>
      <c r="AA87" s="143"/>
      <c r="AB87" s="171" t="str">
        <f t="shared" si="7"/>
        <v/>
      </c>
      <c r="AC87" s="171"/>
      <c r="AD87" s="171"/>
      <c r="AE87" s="171"/>
      <c r="AF87" s="171"/>
      <c r="AG87" s="121"/>
      <c r="AH87" s="121"/>
      <c r="AI87" s="121"/>
      <c r="AJ87" s="121"/>
      <c r="AK87" s="121"/>
      <c r="AL87" s="121"/>
      <c r="AM87" s="121"/>
      <c r="AN87" s="121"/>
      <c r="AO87" s="121"/>
      <c r="AP87" s="121"/>
      <c r="AQ87" s="121"/>
      <c r="AR87" s="121"/>
      <c r="AS87" s="121"/>
      <c r="AT87" s="121"/>
      <c r="AU87" s="121"/>
      <c r="AV87" s="121"/>
      <c r="AW87" s="122"/>
    </row>
    <row r="88" spans="2:53" ht="22.5" customHeight="1" x14ac:dyDescent="0.25">
      <c r="B88" s="172" t="s">
        <v>6133</v>
      </c>
      <c r="C88" s="115"/>
      <c r="D88" s="115"/>
      <c r="E88" s="115"/>
      <c r="F88" s="115"/>
      <c r="G88" s="115"/>
      <c r="H88" s="115"/>
      <c r="I88" s="115"/>
      <c r="J88" s="115"/>
      <c r="K88" s="115"/>
      <c r="L88" s="115"/>
      <c r="M88" s="170"/>
      <c r="N88" s="170"/>
      <c r="O88" s="170"/>
      <c r="P88" s="170"/>
      <c r="Q88" s="170"/>
      <c r="R88" s="115" t="s">
        <v>6113</v>
      </c>
      <c r="S88" s="115"/>
      <c r="T88" s="115"/>
      <c r="U88" s="115"/>
      <c r="V88" s="115"/>
      <c r="W88" s="150"/>
      <c r="X88" s="150"/>
      <c r="Y88" s="150"/>
      <c r="Z88" s="150"/>
      <c r="AA88" s="150"/>
      <c r="AB88" s="161" t="str">
        <f t="shared" si="7"/>
        <v/>
      </c>
      <c r="AC88" s="161"/>
      <c r="AD88" s="161"/>
      <c r="AE88" s="161"/>
      <c r="AF88" s="161"/>
      <c r="AG88" s="123"/>
      <c r="AH88" s="123"/>
      <c r="AI88" s="123"/>
      <c r="AJ88" s="123"/>
      <c r="AK88" s="123"/>
      <c r="AL88" s="123"/>
      <c r="AM88" s="123"/>
      <c r="AN88" s="123"/>
      <c r="AO88" s="123"/>
      <c r="AP88" s="123"/>
      <c r="AQ88" s="123"/>
      <c r="AR88" s="123"/>
      <c r="AS88" s="123"/>
      <c r="AT88" s="123"/>
      <c r="AU88" s="123"/>
      <c r="AV88" s="123"/>
      <c r="AW88" s="124"/>
    </row>
    <row r="89" spans="2:53" ht="3.75" customHeight="1" x14ac:dyDescent="0.25"/>
    <row r="90" spans="2:53" ht="22.5" customHeight="1" thickBot="1" x14ac:dyDescent="0.3">
      <c r="R90" s="134" t="s">
        <v>6110</v>
      </c>
      <c r="S90" s="135"/>
      <c r="T90" s="135"/>
      <c r="U90" s="135"/>
      <c r="V90" s="135"/>
      <c r="W90" s="135"/>
      <c r="X90" s="135"/>
      <c r="Y90" s="135"/>
      <c r="Z90" s="135"/>
      <c r="AA90" s="135"/>
      <c r="AB90" s="164">
        <f>SUM(AB75:AF88)</f>
        <v>0</v>
      </c>
      <c r="AC90" s="164"/>
      <c r="AD90" s="164"/>
      <c r="AE90" s="164"/>
      <c r="AF90" s="165"/>
    </row>
    <row r="91" spans="2:53" ht="22.5" customHeight="1" thickBot="1" x14ac:dyDescent="0.3">
      <c r="R91" s="159" t="s">
        <v>6135</v>
      </c>
      <c r="S91" s="160"/>
      <c r="T91" s="160"/>
      <c r="U91" s="160"/>
      <c r="V91" s="160"/>
      <c r="W91" s="160"/>
      <c r="X91" s="160"/>
      <c r="Y91" s="160"/>
      <c r="Z91" s="160"/>
      <c r="AA91" s="160"/>
      <c r="AB91" s="166">
        <f>J49-(SUM(M75:Q88)-M84-M88)</f>
        <v>0</v>
      </c>
      <c r="AC91" s="166"/>
      <c r="AD91" s="166"/>
      <c r="AE91" s="166"/>
      <c r="AF91" s="167"/>
    </row>
    <row r="92" spans="2:53" ht="22.5" customHeight="1" x14ac:dyDescent="0.25">
      <c r="R92" s="162" t="s">
        <v>6136</v>
      </c>
      <c r="S92" s="163"/>
      <c r="T92" s="163"/>
      <c r="U92" s="163"/>
      <c r="V92" s="163"/>
      <c r="W92" s="163"/>
      <c r="X92" s="163"/>
      <c r="Y92" s="163"/>
      <c r="Z92" s="163"/>
      <c r="AA92" s="163"/>
      <c r="AB92" s="168">
        <f>AB90+AB91</f>
        <v>0</v>
      </c>
      <c r="AC92" s="168"/>
      <c r="AD92" s="168"/>
      <c r="AE92" s="168"/>
      <c r="AF92" s="169"/>
    </row>
    <row r="93" spans="2:53" ht="18.75" customHeight="1" x14ac:dyDescent="0.25"/>
    <row r="94" spans="2:53" ht="22.5" customHeight="1" thickBot="1" x14ac:dyDescent="0.3">
      <c r="B94" s="134" t="s">
        <v>6137</v>
      </c>
      <c r="C94" s="135"/>
      <c r="D94" s="135"/>
      <c r="E94" s="135"/>
      <c r="F94" s="135"/>
      <c r="G94" s="135"/>
      <c r="H94" s="135"/>
      <c r="I94" s="135"/>
      <c r="J94" s="135"/>
      <c r="K94" s="135"/>
      <c r="L94" s="135"/>
      <c r="M94" s="135"/>
      <c r="N94" s="135"/>
      <c r="O94" s="135"/>
      <c r="P94" s="135"/>
      <c r="Q94" s="135"/>
      <c r="R94" s="135" t="s">
        <v>6138</v>
      </c>
      <c r="S94" s="135"/>
      <c r="T94" s="135"/>
      <c r="U94" s="135"/>
      <c r="V94" s="135"/>
      <c r="W94" s="135" t="s">
        <v>6139</v>
      </c>
      <c r="X94" s="135"/>
      <c r="Y94" s="135"/>
      <c r="Z94" s="135"/>
      <c r="AA94" s="135"/>
      <c r="AB94" s="135" t="s">
        <v>6140</v>
      </c>
      <c r="AC94" s="135"/>
      <c r="AD94" s="135"/>
      <c r="AE94" s="135"/>
      <c r="AF94" s="135"/>
      <c r="AG94" s="135" t="s">
        <v>6141</v>
      </c>
      <c r="AH94" s="135"/>
      <c r="AI94" s="135"/>
      <c r="AJ94" s="135"/>
      <c r="AK94" s="135"/>
      <c r="AL94" s="135" t="s">
        <v>6111</v>
      </c>
      <c r="AM94" s="135"/>
      <c r="AN94" s="135"/>
      <c r="AO94" s="135"/>
      <c r="AP94" s="135"/>
      <c r="AQ94" s="135"/>
      <c r="AR94" s="135"/>
      <c r="AS94" s="135"/>
      <c r="AT94" s="135"/>
      <c r="AU94" s="135"/>
      <c r="AV94" s="135"/>
      <c r="AW94" s="136"/>
      <c r="AY94" s="75"/>
      <c r="AZ94" s="65"/>
      <c r="BA94" s="65"/>
    </row>
    <row r="95" spans="2:53" ht="22.5" customHeight="1" thickBot="1" x14ac:dyDescent="0.3">
      <c r="B95" s="146" t="s">
        <v>6155</v>
      </c>
      <c r="C95" s="147"/>
      <c r="D95" s="147"/>
      <c r="E95" s="147"/>
      <c r="F95" s="147"/>
      <c r="G95" s="147"/>
      <c r="H95" s="147"/>
      <c r="I95" s="147"/>
      <c r="J95" s="147"/>
      <c r="K95" s="147"/>
      <c r="L95" s="147"/>
      <c r="M95" s="147"/>
      <c r="N95" s="147"/>
      <c r="O95" s="147"/>
      <c r="P95" s="147"/>
      <c r="Q95" s="147"/>
      <c r="R95" s="143"/>
      <c r="S95" s="143"/>
      <c r="T95" s="143"/>
      <c r="U95" s="143"/>
      <c r="V95" s="143"/>
      <c r="W95" s="144"/>
      <c r="X95" s="144"/>
      <c r="Y95" s="144"/>
      <c r="Z95" s="144"/>
      <c r="AA95" s="144"/>
      <c r="AB95" s="145"/>
      <c r="AC95" s="145"/>
      <c r="AD95" s="145"/>
      <c r="AE95" s="145"/>
      <c r="AF95" s="145"/>
      <c r="AG95" s="133" t="str">
        <f>IF(R95="","",IF(AB95="","",AB95*R95))</f>
        <v/>
      </c>
      <c r="AH95" s="133"/>
      <c r="AI95" s="133"/>
      <c r="AJ95" s="133"/>
      <c r="AK95" s="133"/>
      <c r="AL95" s="121"/>
      <c r="AM95" s="121"/>
      <c r="AN95" s="121"/>
      <c r="AO95" s="121"/>
      <c r="AP95" s="121"/>
      <c r="AQ95" s="121"/>
      <c r="AR95" s="121"/>
      <c r="AS95" s="121"/>
      <c r="AT95" s="121"/>
      <c r="AU95" s="121"/>
      <c r="AV95" s="121"/>
      <c r="AW95" s="122"/>
      <c r="AY95" s="91"/>
      <c r="AZ95" s="73"/>
      <c r="BA95" s="73"/>
    </row>
    <row r="96" spans="2:53" ht="22.5" customHeight="1" thickBot="1" x14ac:dyDescent="0.3">
      <c r="B96" s="146" t="s">
        <v>6143</v>
      </c>
      <c r="C96" s="147"/>
      <c r="D96" s="147"/>
      <c r="E96" s="147"/>
      <c r="F96" s="147"/>
      <c r="G96" s="147"/>
      <c r="H96" s="147"/>
      <c r="I96" s="147"/>
      <c r="J96" s="147"/>
      <c r="K96" s="147"/>
      <c r="L96" s="147"/>
      <c r="M96" s="147"/>
      <c r="N96" s="147"/>
      <c r="O96" s="147"/>
      <c r="P96" s="147"/>
      <c r="Q96" s="147"/>
      <c r="R96" s="143"/>
      <c r="S96" s="143"/>
      <c r="T96" s="143"/>
      <c r="U96" s="143"/>
      <c r="V96" s="143"/>
      <c r="W96" s="144"/>
      <c r="X96" s="144"/>
      <c r="Y96" s="144"/>
      <c r="Z96" s="144"/>
      <c r="AA96" s="144"/>
      <c r="AB96" s="145"/>
      <c r="AC96" s="145"/>
      <c r="AD96" s="145"/>
      <c r="AE96" s="145"/>
      <c r="AF96" s="145"/>
      <c r="AG96" s="133" t="str">
        <f t="shared" ref="AG96:AG109" si="8">IF(R96="","",IF(AB96="","",AB96*R96))</f>
        <v/>
      </c>
      <c r="AH96" s="133"/>
      <c r="AI96" s="133"/>
      <c r="AJ96" s="133"/>
      <c r="AK96" s="133"/>
      <c r="AL96" s="121"/>
      <c r="AM96" s="121"/>
      <c r="AN96" s="121"/>
      <c r="AO96" s="121"/>
      <c r="AP96" s="121"/>
      <c r="AQ96" s="121"/>
      <c r="AR96" s="121"/>
      <c r="AS96" s="121"/>
      <c r="AT96" s="121"/>
      <c r="AU96" s="121"/>
      <c r="AV96" s="121"/>
      <c r="AW96" s="122"/>
      <c r="AY96" s="91"/>
      <c r="AZ96" s="73"/>
      <c r="BA96" s="73"/>
    </row>
    <row r="97" spans="2:53" ht="22.5" customHeight="1" thickBot="1" x14ac:dyDescent="0.3">
      <c r="B97" s="146" t="s">
        <v>6144</v>
      </c>
      <c r="C97" s="147"/>
      <c r="D97" s="147"/>
      <c r="E97" s="147"/>
      <c r="F97" s="147"/>
      <c r="G97" s="147"/>
      <c r="H97" s="147"/>
      <c r="I97" s="147"/>
      <c r="J97" s="147"/>
      <c r="K97" s="147"/>
      <c r="L97" s="147"/>
      <c r="M97" s="147"/>
      <c r="N97" s="147"/>
      <c r="O97" s="147"/>
      <c r="P97" s="147"/>
      <c r="Q97" s="147"/>
      <c r="R97" s="143"/>
      <c r="S97" s="143"/>
      <c r="T97" s="143"/>
      <c r="U97" s="143"/>
      <c r="V97" s="143"/>
      <c r="W97" s="144"/>
      <c r="X97" s="144"/>
      <c r="Y97" s="144"/>
      <c r="Z97" s="144"/>
      <c r="AA97" s="144"/>
      <c r="AB97" s="145"/>
      <c r="AC97" s="145"/>
      <c r="AD97" s="145"/>
      <c r="AE97" s="145"/>
      <c r="AF97" s="145"/>
      <c r="AG97" s="133" t="str">
        <f t="shared" si="8"/>
        <v/>
      </c>
      <c r="AH97" s="133"/>
      <c r="AI97" s="133"/>
      <c r="AJ97" s="133"/>
      <c r="AK97" s="133"/>
      <c r="AL97" s="121"/>
      <c r="AM97" s="121"/>
      <c r="AN97" s="121"/>
      <c r="AO97" s="121"/>
      <c r="AP97" s="121"/>
      <c r="AQ97" s="121"/>
      <c r="AR97" s="121"/>
      <c r="AS97" s="121"/>
      <c r="AT97" s="121"/>
      <c r="AU97" s="121"/>
      <c r="AV97" s="121"/>
      <c r="AW97" s="122"/>
      <c r="AY97" s="91"/>
      <c r="AZ97" s="73"/>
      <c r="BA97" s="73"/>
    </row>
    <row r="98" spans="2:53" ht="22.5" customHeight="1" thickBot="1" x14ac:dyDescent="0.3">
      <c r="B98" s="146" t="s">
        <v>6145</v>
      </c>
      <c r="C98" s="147"/>
      <c r="D98" s="147"/>
      <c r="E98" s="147"/>
      <c r="F98" s="147"/>
      <c r="G98" s="147"/>
      <c r="H98" s="147"/>
      <c r="I98" s="147"/>
      <c r="J98" s="147"/>
      <c r="K98" s="147"/>
      <c r="L98" s="147"/>
      <c r="M98" s="147"/>
      <c r="N98" s="147"/>
      <c r="O98" s="147"/>
      <c r="P98" s="147"/>
      <c r="Q98" s="147"/>
      <c r="R98" s="143"/>
      <c r="S98" s="143"/>
      <c r="T98" s="143"/>
      <c r="U98" s="143"/>
      <c r="V98" s="143"/>
      <c r="W98" s="144"/>
      <c r="X98" s="144"/>
      <c r="Y98" s="144"/>
      <c r="Z98" s="144"/>
      <c r="AA98" s="144"/>
      <c r="AB98" s="145"/>
      <c r="AC98" s="145"/>
      <c r="AD98" s="145"/>
      <c r="AE98" s="145"/>
      <c r="AF98" s="145"/>
      <c r="AG98" s="133" t="str">
        <f t="shared" si="8"/>
        <v/>
      </c>
      <c r="AH98" s="133"/>
      <c r="AI98" s="133"/>
      <c r="AJ98" s="133"/>
      <c r="AK98" s="133"/>
      <c r="AL98" s="121"/>
      <c r="AM98" s="121"/>
      <c r="AN98" s="121"/>
      <c r="AO98" s="121"/>
      <c r="AP98" s="121"/>
      <c r="AQ98" s="121"/>
      <c r="AR98" s="121"/>
      <c r="AS98" s="121"/>
      <c r="AT98" s="121"/>
      <c r="AU98" s="121"/>
      <c r="AV98" s="121"/>
      <c r="AW98" s="122"/>
      <c r="AY98" s="91"/>
      <c r="AZ98" s="73"/>
      <c r="BA98" s="73"/>
    </row>
    <row r="99" spans="2:53" ht="22.5" customHeight="1" thickBot="1" x14ac:dyDescent="0.3">
      <c r="B99" s="146" t="s">
        <v>6146</v>
      </c>
      <c r="C99" s="147"/>
      <c r="D99" s="147"/>
      <c r="E99" s="147"/>
      <c r="F99" s="147"/>
      <c r="G99" s="147"/>
      <c r="H99" s="147"/>
      <c r="I99" s="147"/>
      <c r="J99" s="147"/>
      <c r="K99" s="147"/>
      <c r="L99" s="147"/>
      <c r="M99" s="147"/>
      <c r="N99" s="147"/>
      <c r="O99" s="147"/>
      <c r="P99" s="147"/>
      <c r="Q99" s="147"/>
      <c r="R99" s="143"/>
      <c r="S99" s="143"/>
      <c r="T99" s="143"/>
      <c r="U99" s="143"/>
      <c r="V99" s="143"/>
      <c r="W99" s="144"/>
      <c r="X99" s="144"/>
      <c r="Y99" s="144"/>
      <c r="Z99" s="144"/>
      <c r="AA99" s="144"/>
      <c r="AB99" s="145"/>
      <c r="AC99" s="145"/>
      <c r="AD99" s="145"/>
      <c r="AE99" s="145"/>
      <c r="AF99" s="145"/>
      <c r="AG99" s="133" t="str">
        <f t="shared" si="8"/>
        <v/>
      </c>
      <c r="AH99" s="133"/>
      <c r="AI99" s="133"/>
      <c r="AJ99" s="133"/>
      <c r="AK99" s="133"/>
      <c r="AL99" s="121"/>
      <c r="AM99" s="121"/>
      <c r="AN99" s="121"/>
      <c r="AO99" s="121"/>
      <c r="AP99" s="121"/>
      <c r="AQ99" s="121"/>
      <c r="AR99" s="121"/>
      <c r="AS99" s="121"/>
      <c r="AT99" s="121"/>
      <c r="AU99" s="121"/>
      <c r="AV99" s="121"/>
      <c r="AW99" s="122"/>
      <c r="AY99" s="91"/>
      <c r="AZ99" s="73"/>
      <c r="BA99" s="73"/>
    </row>
    <row r="100" spans="2:53" ht="22.5" customHeight="1" thickBot="1" x14ac:dyDescent="0.3">
      <c r="B100" s="146" t="s">
        <v>6147</v>
      </c>
      <c r="C100" s="147"/>
      <c r="D100" s="147"/>
      <c r="E100" s="147"/>
      <c r="F100" s="147"/>
      <c r="G100" s="147"/>
      <c r="H100" s="147"/>
      <c r="I100" s="147"/>
      <c r="J100" s="147"/>
      <c r="K100" s="147"/>
      <c r="L100" s="147"/>
      <c r="M100" s="147"/>
      <c r="N100" s="147"/>
      <c r="O100" s="147"/>
      <c r="P100" s="147"/>
      <c r="Q100" s="147"/>
      <c r="R100" s="143"/>
      <c r="S100" s="143"/>
      <c r="T100" s="143"/>
      <c r="U100" s="143"/>
      <c r="V100" s="143"/>
      <c r="W100" s="144"/>
      <c r="X100" s="144"/>
      <c r="Y100" s="144"/>
      <c r="Z100" s="144"/>
      <c r="AA100" s="144"/>
      <c r="AB100" s="145"/>
      <c r="AC100" s="145"/>
      <c r="AD100" s="145"/>
      <c r="AE100" s="145"/>
      <c r="AF100" s="145"/>
      <c r="AG100" s="133" t="str">
        <f t="shared" si="8"/>
        <v/>
      </c>
      <c r="AH100" s="133"/>
      <c r="AI100" s="133"/>
      <c r="AJ100" s="133"/>
      <c r="AK100" s="133"/>
      <c r="AL100" s="121"/>
      <c r="AM100" s="121"/>
      <c r="AN100" s="121"/>
      <c r="AO100" s="121"/>
      <c r="AP100" s="121"/>
      <c r="AQ100" s="121"/>
      <c r="AR100" s="121"/>
      <c r="AS100" s="121"/>
      <c r="AT100" s="121"/>
      <c r="AU100" s="121"/>
      <c r="AV100" s="121"/>
      <c r="AW100" s="122"/>
      <c r="AY100" s="91"/>
      <c r="AZ100" s="73"/>
      <c r="BA100" s="73"/>
    </row>
    <row r="101" spans="2:53" ht="22.5" customHeight="1" thickBot="1" x14ac:dyDescent="0.3">
      <c r="B101" s="146" t="s">
        <v>6148</v>
      </c>
      <c r="C101" s="147"/>
      <c r="D101" s="147"/>
      <c r="E101" s="147"/>
      <c r="F101" s="147"/>
      <c r="G101" s="147"/>
      <c r="H101" s="147"/>
      <c r="I101" s="147"/>
      <c r="J101" s="147"/>
      <c r="K101" s="147"/>
      <c r="L101" s="147"/>
      <c r="M101" s="147"/>
      <c r="N101" s="147"/>
      <c r="O101" s="147"/>
      <c r="P101" s="147"/>
      <c r="Q101" s="147"/>
      <c r="R101" s="143"/>
      <c r="S101" s="143"/>
      <c r="T101" s="143"/>
      <c r="U101" s="143"/>
      <c r="V101" s="143"/>
      <c r="W101" s="144"/>
      <c r="X101" s="144"/>
      <c r="Y101" s="144"/>
      <c r="Z101" s="144"/>
      <c r="AA101" s="144"/>
      <c r="AB101" s="145"/>
      <c r="AC101" s="145"/>
      <c r="AD101" s="145"/>
      <c r="AE101" s="145"/>
      <c r="AF101" s="145"/>
      <c r="AG101" s="133" t="str">
        <f t="shared" si="8"/>
        <v/>
      </c>
      <c r="AH101" s="133"/>
      <c r="AI101" s="133"/>
      <c r="AJ101" s="133"/>
      <c r="AK101" s="133"/>
      <c r="AL101" s="121"/>
      <c r="AM101" s="121"/>
      <c r="AN101" s="121"/>
      <c r="AO101" s="121"/>
      <c r="AP101" s="121"/>
      <c r="AQ101" s="121"/>
      <c r="AR101" s="121"/>
      <c r="AS101" s="121"/>
      <c r="AT101" s="121"/>
      <c r="AU101" s="121"/>
      <c r="AV101" s="121"/>
      <c r="AW101" s="122"/>
      <c r="AY101" s="91"/>
      <c r="AZ101" s="73"/>
      <c r="BA101" s="73"/>
    </row>
    <row r="102" spans="2:53" ht="22.5" customHeight="1" thickBot="1" x14ac:dyDescent="0.3">
      <c r="B102" s="146" t="s">
        <v>6149</v>
      </c>
      <c r="C102" s="147"/>
      <c r="D102" s="147"/>
      <c r="E102" s="147"/>
      <c r="F102" s="147"/>
      <c r="G102" s="147"/>
      <c r="H102" s="147"/>
      <c r="I102" s="147"/>
      <c r="J102" s="147"/>
      <c r="K102" s="147"/>
      <c r="L102" s="147"/>
      <c r="M102" s="147"/>
      <c r="N102" s="147"/>
      <c r="O102" s="147"/>
      <c r="P102" s="147"/>
      <c r="Q102" s="147"/>
      <c r="R102" s="143"/>
      <c r="S102" s="143"/>
      <c r="T102" s="143"/>
      <c r="U102" s="143"/>
      <c r="V102" s="143"/>
      <c r="W102" s="144"/>
      <c r="X102" s="144"/>
      <c r="Y102" s="144"/>
      <c r="Z102" s="144"/>
      <c r="AA102" s="144"/>
      <c r="AB102" s="145"/>
      <c r="AC102" s="145"/>
      <c r="AD102" s="145"/>
      <c r="AE102" s="145"/>
      <c r="AF102" s="145"/>
      <c r="AG102" s="133" t="str">
        <f t="shared" si="8"/>
        <v/>
      </c>
      <c r="AH102" s="133"/>
      <c r="AI102" s="133"/>
      <c r="AJ102" s="133"/>
      <c r="AK102" s="133"/>
      <c r="AL102" s="121"/>
      <c r="AM102" s="121"/>
      <c r="AN102" s="121"/>
      <c r="AO102" s="121"/>
      <c r="AP102" s="121"/>
      <c r="AQ102" s="121"/>
      <c r="AR102" s="121"/>
      <c r="AS102" s="121"/>
      <c r="AT102" s="121"/>
      <c r="AU102" s="121"/>
      <c r="AV102" s="121"/>
      <c r="AW102" s="122"/>
      <c r="AY102" s="91"/>
      <c r="AZ102" s="73"/>
      <c r="BA102" s="73"/>
    </row>
    <row r="103" spans="2:53" ht="22.5" customHeight="1" thickBot="1" x14ac:dyDescent="0.3">
      <c r="B103" s="146" t="s">
        <v>6150</v>
      </c>
      <c r="C103" s="147"/>
      <c r="D103" s="147"/>
      <c r="E103" s="147"/>
      <c r="F103" s="147"/>
      <c r="G103" s="147"/>
      <c r="H103" s="147"/>
      <c r="I103" s="147"/>
      <c r="J103" s="147"/>
      <c r="K103" s="147"/>
      <c r="L103" s="147"/>
      <c r="M103" s="147"/>
      <c r="N103" s="147"/>
      <c r="O103" s="147"/>
      <c r="P103" s="147"/>
      <c r="Q103" s="147"/>
      <c r="R103" s="143"/>
      <c r="S103" s="143"/>
      <c r="T103" s="143"/>
      <c r="U103" s="143"/>
      <c r="V103" s="143"/>
      <c r="W103" s="144"/>
      <c r="X103" s="144"/>
      <c r="Y103" s="144"/>
      <c r="Z103" s="144"/>
      <c r="AA103" s="144"/>
      <c r="AB103" s="145"/>
      <c r="AC103" s="145"/>
      <c r="AD103" s="145"/>
      <c r="AE103" s="145"/>
      <c r="AF103" s="145"/>
      <c r="AG103" s="133" t="str">
        <f t="shared" si="8"/>
        <v/>
      </c>
      <c r="AH103" s="133"/>
      <c r="AI103" s="133"/>
      <c r="AJ103" s="133"/>
      <c r="AK103" s="133"/>
      <c r="AL103" s="121"/>
      <c r="AM103" s="121"/>
      <c r="AN103" s="121"/>
      <c r="AO103" s="121"/>
      <c r="AP103" s="121"/>
      <c r="AQ103" s="121"/>
      <c r="AR103" s="121"/>
      <c r="AS103" s="121"/>
      <c r="AT103" s="121"/>
      <c r="AU103" s="121"/>
      <c r="AV103" s="121"/>
      <c r="AW103" s="122"/>
      <c r="AY103" s="91"/>
      <c r="AZ103" s="73"/>
      <c r="BA103" s="73"/>
    </row>
    <row r="104" spans="2:53" ht="22.5" customHeight="1" thickBot="1" x14ac:dyDescent="0.3">
      <c r="B104" s="146" t="s">
        <v>6156</v>
      </c>
      <c r="C104" s="147"/>
      <c r="D104" s="147"/>
      <c r="E104" s="147"/>
      <c r="F104" s="147"/>
      <c r="G104" s="147"/>
      <c r="H104" s="147"/>
      <c r="I104" s="147"/>
      <c r="J104" s="147"/>
      <c r="K104" s="147"/>
      <c r="L104" s="147"/>
      <c r="M104" s="147"/>
      <c r="N104" s="147"/>
      <c r="O104" s="147"/>
      <c r="P104" s="147"/>
      <c r="Q104" s="147"/>
      <c r="R104" s="143"/>
      <c r="S104" s="143"/>
      <c r="T104" s="143"/>
      <c r="U104" s="143"/>
      <c r="V104" s="143"/>
      <c r="W104" s="144"/>
      <c r="X104" s="144"/>
      <c r="Y104" s="144"/>
      <c r="Z104" s="144"/>
      <c r="AA104" s="144"/>
      <c r="AB104" s="145"/>
      <c r="AC104" s="145"/>
      <c r="AD104" s="145"/>
      <c r="AE104" s="145"/>
      <c r="AF104" s="145"/>
      <c r="AG104" s="133" t="str">
        <f t="shared" si="8"/>
        <v/>
      </c>
      <c r="AH104" s="133"/>
      <c r="AI104" s="133"/>
      <c r="AJ104" s="133"/>
      <c r="AK104" s="133"/>
      <c r="AL104" s="121"/>
      <c r="AM104" s="121"/>
      <c r="AN104" s="121"/>
      <c r="AO104" s="121"/>
      <c r="AP104" s="121"/>
      <c r="AQ104" s="121"/>
      <c r="AR104" s="121"/>
      <c r="AS104" s="121"/>
      <c r="AT104" s="121"/>
      <c r="AU104" s="121"/>
      <c r="AV104" s="121"/>
      <c r="AW104" s="122"/>
      <c r="AY104" s="91"/>
      <c r="AZ104" s="73"/>
      <c r="BA104" s="73"/>
    </row>
    <row r="105" spans="2:53" ht="22.5" customHeight="1" thickBot="1" x14ac:dyDescent="0.3">
      <c r="B105" s="146" t="s">
        <v>6151</v>
      </c>
      <c r="C105" s="147"/>
      <c r="D105" s="147"/>
      <c r="E105" s="147"/>
      <c r="F105" s="147"/>
      <c r="G105" s="147"/>
      <c r="H105" s="147"/>
      <c r="I105" s="147"/>
      <c r="J105" s="147"/>
      <c r="K105" s="147"/>
      <c r="L105" s="147"/>
      <c r="M105" s="147"/>
      <c r="N105" s="147"/>
      <c r="O105" s="147"/>
      <c r="P105" s="147"/>
      <c r="Q105" s="147"/>
      <c r="R105" s="143"/>
      <c r="S105" s="143"/>
      <c r="T105" s="143"/>
      <c r="U105" s="143"/>
      <c r="V105" s="143"/>
      <c r="W105" s="144"/>
      <c r="X105" s="144"/>
      <c r="Y105" s="144"/>
      <c r="Z105" s="144"/>
      <c r="AA105" s="144"/>
      <c r="AB105" s="145"/>
      <c r="AC105" s="145"/>
      <c r="AD105" s="145"/>
      <c r="AE105" s="145"/>
      <c r="AF105" s="145"/>
      <c r="AG105" s="133" t="str">
        <f t="shared" si="8"/>
        <v/>
      </c>
      <c r="AH105" s="133"/>
      <c r="AI105" s="133"/>
      <c r="AJ105" s="133"/>
      <c r="AK105" s="133"/>
      <c r="AL105" s="121"/>
      <c r="AM105" s="121"/>
      <c r="AN105" s="121"/>
      <c r="AO105" s="121"/>
      <c r="AP105" s="121"/>
      <c r="AQ105" s="121"/>
      <c r="AR105" s="121"/>
      <c r="AS105" s="121"/>
      <c r="AT105" s="121"/>
      <c r="AU105" s="121"/>
      <c r="AV105" s="121"/>
      <c r="AW105" s="122"/>
      <c r="AY105" s="91"/>
      <c r="AZ105" s="73"/>
      <c r="BA105" s="73"/>
    </row>
    <row r="106" spans="2:53" ht="22.5" customHeight="1" thickBot="1" x14ac:dyDescent="0.3">
      <c r="B106" s="146" t="s">
        <v>6157</v>
      </c>
      <c r="C106" s="147"/>
      <c r="D106" s="147"/>
      <c r="E106" s="147"/>
      <c r="F106" s="147"/>
      <c r="G106" s="147"/>
      <c r="H106" s="147"/>
      <c r="I106" s="147"/>
      <c r="J106" s="147"/>
      <c r="K106" s="147"/>
      <c r="L106" s="147"/>
      <c r="M106" s="147"/>
      <c r="N106" s="147"/>
      <c r="O106" s="147"/>
      <c r="P106" s="147"/>
      <c r="Q106" s="147"/>
      <c r="R106" s="143"/>
      <c r="S106" s="143"/>
      <c r="T106" s="143"/>
      <c r="U106" s="143"/>
      <c r="V106" s="143"/>
      <c r="W106" s="144"/>
      <c r="X106" s="144"/>
      <c r="Y106" s="144"/>
      <c r="Z106" s="144"/>
      <c r="AA106" s="144"/>
      <c r="AB106" s="145"/>
      <c r="AC106" s="145"/>
      <c r="AD106" s="145"/>
      <c r="AE106" s="145"/>
      <c r="AF106" s="145"/>
      <c r="AG106" s="133" t="str">
        <f t="shared" si="8"/>
        <v/>
      </c>
      <c r="AH106" s="133"/>
      <c r="AI106" s="133"/>
      <c r="AJ106" s="133"/>
      <c r="AK106" s="133"/>
      <c r="AL106" s="121"/>
      <c r="AM106" s="121"/>
      <c r="AN106" s="121"/>
      <c r="AO106" s="121"/>
      <c r="AP106" s="121"/>
      <c r="AQ106" s="121"/>
      <c r="AR106" s="121"/>
      <c r="AS106" s="121"/>
      <c r="AT106" s="121"/>
      <c r="AU106" s="121"/>
      <c r="AV106" s="121"/>
      <c r="AW106" s="122"/>
      <c r="AY106" s="91"/>
      <c r="AZ106" s="73"/>
      <c r="BA106" s="73"/>
    </row>
    <row r="107" spans="2:53" ht="22.5" customHeight="1" thickBot="1" x14ac:dyDescent="0.3">
      <c r="B107" s="146" t="s">
        <v>6152</v>
      </c>
      <c r="C107" s="147"/>
      <c r="D107" s="147"/>
      <c r="E107" s="147"/>
      <c r="F107" s="147"/>
      <c r="G107" s="147"/>
      <c r="H107" s="147"/>
      <c r="I107" s="147"/>
      <c r="J107" s="147"/>
      <c r="K107" s="147"/>
      <c r="L107" s="147"/>
      <c r="M107" s="147"/>
      <c r="N107" s="147"/>
      <c r="O107" s="147"/>
      <c r="P107" s="147"/>
      <c r="Q107" s="147"/>
      <c r="R107" s="143"/>
      <c r="S107" s="143"/>
      <c r="T107" s="143"/>
      <c r="U107" s="143"/>
      <c r="V107" s="143"/>
      <c r="W107" s="144"/>
      <c r="X107" s="144"/>
      <c r="Y107" s="144"/>
      <c r="Z107" s="144"/>
      <c r="AA107" s="144"/>
      <c r="AB107" s="145"/>
      <c r="AC107" s="145"/>
      <c r="AD107" s="145"/>
      <c r="AE107" s="145"/>
      <c r="AF107" s="145"/>
      <c r="AG107" s="133" t="str">
        <f t="shared" si="8"/>
        <v/>
      </c>
      <c r="AH107" s="133"/>
      <c r="AI107" s="133"/>
      <c r="AJ107" s="133"/>
      <c r="AK107" s="133"/>
      <c r="AL107" s="121"/>
      <c r="AM107" s="121"/>
      <c r="AN107" s="121"/>
      <c r="AO107" s="121"/>
      <c r="AP107" s="121"/>
      <c r="AQ107" s="121"/>
      <c r="AR107" s="121"/>
      <c r="AS107" s="121"/>
      <c r="AT107" s="121"/>
      <c r="AU107" s="121"/>
      <c r="AV107" s="121"/>
      <c r="AW107" s="122"/>
      <c r="AY107" s="91"/>
      <c r="AZ107" s="73"/>
      <c r="BA107" s="73"/>
    </row>
    <row r="108" spans="2:53" ht="22.5" customHeight="1" thickBot="1" x14ac:dyDescent="0.3">
      <c r="B108" s="146" t="s">
        <v>6153</v>
      </c>
      <c r="C108" s="147"/>
      <c r="D108" s="147"/>
      <c r="E108" s="147"/>
      <c r="F108" s="147"/>
      <c r="G108" s="147"/>
      <c r="H108" s="147"/>
      <c r="I108" s="147"/>
      <c r="J108" s="147"/>
      <c r="K108" s="147"/>
      <c r="L108" s="147"/>
      <c r="M108" s="147"/>
      <c r="N108" s="147"/>
      <c r="O108" s="147"/>
      <c r="P108" s="147"/>
      <c r="Q108" s="147"/>
      <c r="R108" s="143"/>
      <c r="S108" s="143"/>
      <c r="T108" s="143"/>
      <c r="U108" s="143"/>
      <c r="V108" s="143"/>
      <c r="W108" s="144"/>
      <c r="X108" s="144"/>
      <c r="Y108" s="144"/>
      <c r="Z108" s="144"/>
      <c r="AA108" s="144"/>
      <c r="AB108" s="145"/>
      <c r="AC108" s="145"/>
      <c r="AD108" s="145"/>
      <c r="AE108" s="145"/>
      <c r="AF108" s="145"/>
      <c r="AG108" s="133" t="str">
        <f t="shared" si="8"/>
        <v/>
      </c>
      <c r="AH108" s="133"/>
      <c r="AI108" s="133"/>
      <c r="AJ108" s="133"/>
      <c r="AK108" s="133"/>
      <c r="AL108" s="121"/>
      <c r="AM108" s="121"/>
      <c r="AN108" s="121"/>
      <c r="AO108" s="121"/>
      <c r="AP108" s="121"/>
      <c r="AQ108" s="121"/>
      <c r="AR108" s="121"/>
      <c r="AS108" s="121"/>
      <c r="AT108" s="121"/>
      <c r="AU108" s="121"/>
      <c r="AV108" s="121"/>
      <c r="AW108" s="122"/>
      <c r="AY108" s="92"/>
      <c r="AZ108" s="74"/>
      <c r="BA108" s="74"/>
    </row>
    <row r="109" spans="2:53" ht="22.5" customHeight="1" x14ac:dyDescent="0.25">
      <c r="B109" s="148" t="s">
        <v>6154</v>
      </c>
      <c r="C109" s="149"/>
      <c r="D109" s="149"/>
      <c r="E109" s="149"/>
      <c r="F109" s="149"/>
      <c r="G109" s="149"/>
      <c r="H109" s="149"/>
      <c r="I109" s="149"/>
      <c r="J109" s="149"/>
      <c r="K109" s="149"/>
      <c r="L109" s="149"/>
      <c r="M109" s="149"/>
      <c r="N109" s="149"/>
      <c r="O109" s="149"/>
      <c r="P109" s="149"/>
      <c r="Q109" s="149"/>
      <c r="R109" s="150"/>
      <c r="S109" s="150"/>
      <c r="T109" s="150"/>
      <c r="U109" s="150"/>
      <c r="V109" s="150"/>
      <c r="W109" s="151"/>
      <c r="X109" s="151"/>
      <c r="Y109" s="151"/>
      <c r="Z109" s="151"/>
      <c r="AA109" s="151"/>
      <c r="AB109" s="129"/>
      <c r="AC109" s="129"/>
      <c r="AD109" s="129"/>
      <c r="AE109" s="129"/>
      <c r="AF109" s="129"/>
      <c r="AG109" s="115" t="str">
        <f t="shared" si="8"/>
        <v/>
      </c>
      <c r="AH109" s="115"/>
      <c r="AI109" s="115"/>
      <c r="AJ109" s="115"/>
      <c r="AK109" s="115"/>
      <c r="AL109" s="123"/>
      <c r="AM109" s="123"/>
      <c r="AN109" s="123"/>
      <c r="AO109" s="123"/>
      <c r="AP109" s="123"/>
      <c r="AQ109" s="123"/>
      <c r="AR109" s="123"/>
      <c r="AS109" s="123"/>
      <c r="AT109" s="123"/>
      <c r="AU109" s="123"/>
      <c r="AV109" s="123"/>
      <c r="AW109" s="124"/>
    </row>
    <row r="110" spans="2:53" ht="3.75" customHeight="1" x14ac:dyDescent="0.25"/>
    <row r="111" spans="2:53" ht="22.5" customHeight="1" x14ac:dyDescent="0.25">
      <c r="AB111" s="109" t="s">
        <v>6037</v>
      </c>
      <c r="AC111" s="110"/>
      <c r="AD111" s="110"/>
      <c r="AE111" s="110"/>
      <c r="AF111" s="110"/>
      <c r="AG111" s="111">
        <f>SUM(AG95:AK109)</f>
        <v>0</v>
      </c>
      <c r="AH111" s="111"/>
      <c r="AI111" s="111"/>
      <c r="AJ111" s="111"/>
      <c r="AK111" s="112"/>
    </row>
    <row r="112" spans="2:53" ht="18.75" customHeight="1" x14ac:dyDescent="0.25"/>
    <row r="113" spans="2:49" ht="22.5" customHeight="1" thickBot="1" x14ac:dyDescent="0.3">
      <c r="H113" s="134" t="s">
        <v>5994</v>
      </c>
      <c r="I113" s="135"/>
      <c r="J113" s="135"/>
      <c r="K113" s="135"/>
      <c r="L113" s="135"/>
      <c r="M113" s="135"/>
      <c r="N113" s="135"/>
      <c r="O113" s="135"/>
      <c r="P113" s="135"/>
      <c r="Q113" s="135"/>
      <c r="R113" s="135"/>
      <c r="S113" s="135"/>
      <c r="T113" s="135"/>
      <c r="U113" s="135"/>
      <c r="V113" s="136"/>
      <c r="AC113" s="134" t="s">
        <v>6159</v>
      </c>
      <c r="AD113" s="135"/>
      <c r="AE113" s="135"/>
      <c r="AF113" s="135"/>
      <c r="AG113" s="135"/>
      <c r="AH113" s="135"/>
      <c r="AI113" s="135"/>
      <c r="AJ113" s="135"/>
      <c r="AK113" s="135"/>
      <c r="AL113" s="135"/>
      <c r="AM113" s="135"/>
      <c r="AN113" s="135"/>
      <c r="AO113" s="135"/>
      <c r="AP113" s="135"/>
      <c r="AQ113" s="136"/>
    </row>
    <row r="114" spans="2:49" ht="22.5" customHeight="1" thickBot="1" x14ac:dyDescent="0.3">
      <c r="H114" s="156" t="s">
        <v>6233</v>
      </c>
      <c r="I114" s="157"/>
      <c r="J114" s="157"/>
      <c r="K114" s="157"/>
      <c r="L114" s="157"/>
      <c r="M114" s="158" t="str" cm="1">
        <f t="array" ref="M114">IFERROR(_xlfn.IFS(H114="Selecione","",H114="Custo Histórico",R72,H114="CUB Ajustado",(AG111/AB92)+R70),"")</f>
        <v/>
      </c>
      <c r="N114" s="158"/>
      <c r="O114" s="158"/>
      <c r="P114" s="158"/>
      <c r="Q114" s="158"/>
      <c r="R114" s="115" t="str" cm="1">
        <f t="array" ref="R114">IFERROR(_xlfn.IFS(H114="Selecione","",H114="Custo Histórico",M114*J49,H114="CUB Ajustado",M114*AB92),"")</f>
        <v/>
      </c>
      <c r="S114" s="115"/>
      <c r="T114" s="115"/>
      <c r="U114" s="115"/>
      <c r="V114" s="116"/>
      <c r="AC114" s="118" t="s">
        <v>6160</v>
      </c>
      <c r="AD114" s="152"/>
      <c r="AE114" s="152"/>
      <c r="AF114" s="152"/>
      <c r="AG114" s="152"/>
      <c r="AH114" s="152" t="s">
        <v>6161</v>
      </c>
      <c r="AI114" s="152"/>
      <c r="AJ114" s="152"/>
      <c r="AK114" s="152"/>
      <c r="AL114" s="152"/>
      <c r="AM114" s="152" t="s">
        <v>6162</v>
      </c>
      <c r="AN114" s="152"/>
      <c r="AO114" s="152"/>
      <c r="AP114" s="152"/>
      <c r="AQ114" s="153"/>
    </row>
    <row r="115" spans="2:49" ht="22.5" customHeight="1" x14ac:dyDescent="0.25">
      <c r="AC115" s="154"/>
      <c r="AD115" s="114"/>
      <c r="AE115" s="114"/>
      <c r="AF115" s="114"/>
      <c r="AG115" s="114"/>
      <c r="AH115" s="115" t="str">
        <f>IFERROR(AM115/F38,"")</f>
        <v/>
      </c>
      <c r="AI115" s="115"/>
      <c r="AJ115" s="115"/>
      <c r="AK115" s="115"/>
      <c r="AL115" s="115"/>
      <c r="AM115" s="115" t="str">
        <f>IFERROR(R114*AC115,"")</f>
        <v/>
      </c>
      <c r="AN115" s="115"/>
      <c r="AO115" s="115"/>
      <c r="AP115" s="115"/>
      <c r="AQ115" s="116"/>
    </row>
    <row r="116" spans="2:49" ht="18.75" customHeight="1" x14ac:dyDescent="0.25"/>
    <row r="117" spans="2:49" ht="26.25" customHeight="1" x14ac:dyDescent="0.25">
      <c r="B117" s="94" t="s">
        <v>6164</v>
      </c>
      <c r="C117" s="47"/>
      <c r="D117" s="47"/>
      <c r="E117" s="47"/>
      <c r="F117" s="47"/>
      <c r="G117" s="47"/>
      <c r="H117" s="47"/>
      <c r="I117" s="47"/>
      <c r="J117" s="70"/>
      <c r="K117" s="70"/>
      <c r="L117" s="70"/>
      <c r="M117" s="70"/>
      <c r="N117" s="70"/>
      <c r="O117" s="70"/>
      <c r="P117" s="70"/>
      <c r="Q117" s="70"/>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row>
    <row r="118" spans="2:49" ht="3.75" customHeight="1" x14ac:dyDescent="0.25">
      <c r="J118" s="69"/>
      <c r="K118" s="69"/>
      <c r="L118" s="69"/>
      <c r="M118" s="69"/>
      <c r="N118" s="69"/>
      <c r="O118" s="69"/>
      <c r="P118" s="69"/>
      <c r="Q118" s="69"/>
    </row>
    <row r="119" spans="2:49" ht="21" customHeight="1" thickBot="1" x14ac:dyDescent="0.3">
      <c r="B119" s="134" t="s">
        <v>6165</v>
      </c>
      <c r="C119" s="135"/>
      <c r="D119" s="135"/>
      <c r="E119" s="135"/>
      <c r="F119" s="135"/>
      <c r="G119" s="135"/>
      <c r="H119" s="135"/>
      <c r="I119" s="135"/>
      <c r="J119" s="135"/>
      <c r="K119" s="135"/>
      <c r="L119" s="135" t="s">
        <v>6166</v>
      </c>
      <c r="M119" s="135"/>
      <c r="N119" s="135"/>
      <c r="O119" s="135"/>
      <c r="P119" s="135"/>
      <c r="Q119" s="135"/>
      <c r="R119" s="135"/>
      <c r="S119" s="135"/>
      <c r="T119" s="135"/>
      <c r="U119" s="135" t="s">
        <v>6099</v>
      </c>
      <c r="V119" s="135"/>
      <c r="W119" s="135"/>
      <c r="X119" s="135"/>
      <c r="Y119" s="135"/>
      <c r="Z119" s="135"/>
      <c r="AA119" s="135"/>
      <c r="AB119" s="135"/>
      <c r="AC119" s="135"/>
      <c r="AD119" s="135"/>
      <c r="AE119" s="135" t="s">
        <v>6167</v>
      </c>
      <c r="AF119" s="135"/>
      <c r="AG119" s="135"/>
      <c r="AH119" s="135"/>
      <c r="AI119" s="135"/>
      <c r="AJ119" s="135"/>
      <c r="AK119" s="135"/>
      <c r="AL119" s="135"/>
      <c r="AM119" s="135"/>
      <c r="AN119" s="135" t="s">
        <v>6168</v>
      </c>
      <c r="AO119" s="135"/>
      <c r="AP119" s="135"/>
      <c r="AQ119" s="135"/>
      <c r="AR119" s="135"/>
      <c r="AS119" s="135"/>
      <c r="AT119" s="135"/>
      <c r="AU119" s="135"/>
      <c r="AV119" s="135"/>
      <c r="AW119" s="136"/>
    </row>
    <row r="120" spans="2:49" ht="21" customHeight="1" x14ac:dyDescent="0.25">
      <c r="B120" s="137">
        <f>Z56</f>
        <v>0</v>
      </c>
      <c r="C120" s="106"/>
      <c r="D120" s="106"/>
      <c r="E120" s="106"/>
      <c r="F120" s="106"/>
      <c r="G120" s="106"/>
      <c r="H120" s="106"/>
      <c r="I120" s="106"/>
      <c r="J120" s="106"/>
      <c r="K120" s="106"/>
      <c r="L120" s="106">
        <f>Z62</f>
        <v>0</v>
      </c>
      <c r="M120" s="106"/>
      <c r="N120" s="106"/>
      <c r="O120" s="106"/>
      <c r="P120" s="106"/>
      <c r="Q120" s="106"/>
      <c r="R120" s="106"/>
      <c r="S120" s="106"/>
      <c r="T120" s="106"/>
      <c r="U120" s="106" t="str">
        <f>R114</f>
        <v/>
      </c>
      <c r="V120" s="106"/>
      <c r="W120" s="106"/>
      <c r="X120" s="106"/>
      <c r="Y120" s="106"/>
      <c r="Z120" s="106"/>
      <c r="AA120" s="106"/>
      <c r="AB120" s="106"/>
      <c r="AC120" s="106"/>
      <c r="AD120" s="106"/>
      <c r="AE120" s="106">
        <f>AH44</f>
        <v>0</v>
      </c>
      <c r="AF120" s="106"/>
      <c r="AG120" s="106"/>
      <c r="AH120" s="106"/>
      <c r="AI120" s="106"/>
      <c r="AJ120" s="106"/>
      <c r="AK120" s="106"/>
      <c r="AL120" s="106"/>
      <c r="AM120" s="106"/>
      <c r="AN120" s="106">
        <f>AH46</f>
        <v>0</v>
      </c>
      <c r="AO120" s="106"/>
      <c r="AP120" s="106"/>
      <c r="AQ120" s="106"/>
      <c r="AR120" s="106"/>
      <c r="AS120" s="106"/>
      <c r="AT120" s="106"/>
      <c r="AU120" s="106"/>
      <c r="AV120" s="106"/>
      <c r="AW120" s="107"/>
    </row>
    <row r="121" spans="2:49" ht="18.75" customHeight="1" x14ac:dyDescent="0.25"/>
    <row r="122" spans="2:49" ht="21" customHeight="1" thickBot="1" x14ac:dyDescent="0.3">
      <c r="B122" s="134" t="s">
        <v>6169</v>
      </c>
      <c r="C122" s="135"/>
      <c r="D122" s="135"/>
      <c r="E122" s="135"/>
      <c r="F122" s="135"/>
      <c r="G122" s="135"/>
      <c r="H122" s="135"/>
      <c r="I122" s="135"/>
      <c r="J122" s="135"/>
      <c r="K122" s="135"/>
      <c r="L122" s="135" t="s">
        <v>6170</v>
      </c>
      <c r="M122" s="135"/>
      <c r="N122" s="135"/>
      <c r="O122" s="135"/>
      <c r="P122" s="135"/>
      <c r="Q122" s="135"/>
      <c r="R122" s="135"/>
      <c r="S122" s="135"/>
      <c r="T122" s="135"/>
      <c r="U122" s="135" t="s">
        <v>6171</v>
      </c>
      <c r="V122" s="135"/>
      <c r="W122" s="135"/>
      <c r="X122" s="135"/>
      <c r="Y122" s="135"/>
      <c r="Z122" s="135" t="s">
        <v>6172</v>
      </c>
      <c r="AA122" s="135"/>
      <c r="AB122" s="135"/>
      <c r="AC122" s="135"/>
      <c r="AD122" s="136"/>
    </row>
    <row r="123" spans="2:49" ht="21" customHeight="1" thickBot="1" x14ac:dyDescent="0.3">
      <c r="B123" s="142" t="s">
        <v>6176</v>
      </c>
      <c r="C123" s="133"/>
      <c r="D123" s="133"/>
      <c r="E123" s="133"/>
      <c r="F123" s="133"/>
      <c r="G123" s="133"/>
      <c r="H123" s="133"/>
      <c r="I123" s="133"/>
      <c r="J123" s="133"/>
      <c r="K123" s="133"/>
      <c r="L123" s="132" t="s">
        <v>6186</v>
      </c>
      <c r="M123" s="132"/>
      <c r="N123" s="132"/>
      <c r="O123" s="132"/>
      <c r="P123" s="132"/>
      <c r="Q123" s="132"/>
      <c r="R123" s="132"/>
      <c r="S123" s="132"/>
      <c r="T123" s="132"/>
      <c r="U123" s="113"/>
      <c r="V123" s="113"/>
      <c r="W123" s="113"/>
      <c r="X123" s="113"/>
      <c r="Y123" s="113"/>
      <c r="Z123" s="133" t="str">
        <f>IF(U123="","",_xlfn.XLOOKUP(L123,$B$119:$AW$119,$B$120:$AW$120)*U123)</f>
        <v/>
      </c>
      <c r="AA123" s="133"/>
      <c r="AB123" s="133"/>
      <c r="AC123" s="133"/>
      <c r="AD123" s="119"/>
      <c r="AI123" s="134" t="s">
        <v>6173</v>
      </c>
      <c r="AJ123" s="135"/>
      <c r="AK123" s="135"/>
      <c r="AL123" s="135"/>
      <c r="AM123" s="135"/>
      <c r="AN123" s="135"/>
      <c r="AO123" s="135"/>
      <c r="AP123" s="135"/>
      <c r="AQ123" s="135"/>
      <c r="AR123" s="136"/>
    </row>
    <row r="124" spans="2:49" ht="21" customHeight="1" thickBot="1" x14ac:dyDescent="0.3">
      <c r="B124" s="142" t="s">
        <v>6177</v>
      </c>
      <c r="C124" s="133"/>
      <c r="D124" s="133"/>
      <c r="E124" s="133"/>
      <c r="F124" s="133"/>
      <c r="G124" s="133"/>
      <c r="H124" s="133"/>
      <c r="I124" s="133"/>
      <c r="J124" s="133"/>
      <c r="K124" s="133"/>
      <c r="L124" s="132" t="s">
        <v>6186</v>
      </c>
      <c r="M124" s="132"/>
      <c r="N124" s="132"/>
      <c r="O124" s="132"/>
      <c r="P124" s="132"/>
      <c r="Q124" s="132"/>
      <c r="R124" s="132"/>
      <c r="S124" s="132"/>
      <c r="T124" s="132"/>
      <c r="U124" s="113"/>
      <c r="V124" s="113"/>
      <c r="W124" s="113"/>
      <c r="X124" s="113"/>
      <c r="Y124" s="113"/>
      <c r="Z124" s="133" t="str">
        <f t="shared" ref="Z124:Z133" si="9">IF(U124="","",_xlfn.XLOOKUP(L124,$B$119:$AW$119,$B$120:$AW$120)*U124)</f>
        <v/>
      </c>
      <c r="AA124" s="133"/>
      <c r="AB124" s="133"/>
      <c r="AC124" s="133"/>
      <c r="AD124" s="119"/>
      <c r="AI124" s="117" t="s">
        <v>6188</v>
      </c>
      <c r="AJ124" s="117"/>
      <c r="AK124" s="117"/>
      <c r="AL124" s="117"/>
      <c r="AM124" s="118"/>
      <c r="AN124" s="140" t="s">
        <v>6194</v>
      </c>
      <c r="AO124" s="141"/>
      <c r="AP124" s="141"/>
      <c r="AQ124" s="141"/>
      <c r="AR124" s="141"/>
    </row>
    <row r="125" spans="2:49" ht="21" customHeight="1" thickBot="1" x14ac:dyDescent="0.3">
      <c r="B125" s="142" t="s">
        <v>6178</v>
      </c>
      <c r="C125" s="133"/>
      <c r="D125" s="133"/>
      <c r="E125" s="133"/>
      <c r="F125" s="133"/>
      <c r="G125" s="133"/>
      <c r="H125" s="133"/>
      <c r="I125" s="133"/>
      <c r="J125" s="133"/>
      <c r="K125" s="133"/>
      <c r="L125" s="132" t="s">
        <v>6186</v>
      </c>
      <c r="M125" s="132"/>
      <c r="N125" s="132"/>
      <c r="O125" s="132"/>
      <c r="P125" s="132"/>
      <c r="Q125" s="132"/>
      <c r="R125" s="132"/>
      <c r="S125" s="132"/>
      <c r="T125" s="132"/>
      <c r="U125" s="113"/>
      <c r="V125" s="113"/>
      <c r="W125" s="113"/>
      <c r="X125" s="113"/>
      <c r="Y125" s="113"/>
      <c r="Z125" s="133" t="str">
        <f t="shared" si="9"/>
        <v/>
      </c>
      <c r="AA125" s="133"/>
      <c r="AB125" s="133"/>
      <c r="AC125" s="133"/>
      <c r="AD125" s="119"/>
      <c r="AI125" s="117" t="s">
        <v>6160</v>
      </c>
      <c r="AJ125" s="117"/>
      <c r="AK125" s="117"/>
      <c r="AL125" s="117"/>
      <c r="AM125" s="118"/>
      <c r="AN125" s="138"/>
      <c r="AO125" s="139"/>
      <c r="AP125" s="139"/>
      <c r="AQ125" s="139"/>
      <c r="AR125" s="139"/>
    </row>
    <row r="126" spans="2:49" ht="21" customHeight="1" thickBot="1" x14ac:dyDescent="0.3">
      <c r="B126" s="142" t="s">
        <v>6179</v>
      </c>
      <c r="C126" s="133"/>
      <c r="D126" s="133"/>
      <c r="E126" s="133"/>
      <c r="F126" s="133"/>
      <c r="G126" s="133"/>
      <c r="H126" s="133"/>
      <c r="I126" s="133"/>
      <c r="J126" s="133"/>
      <c r="K126" s="133"/>
      <c r="L126" s="132" t="s">
        <v>6186</v>
      </c>
      <c r="M126" s="132"/>
      <c r="N126" s="132"/>
      <c r="O126" s="132"/>
      <c r="P126" s="132"/>
      <c r="Q126" s="132"/>
      <c r="R126" s="132"/>
      <c r="S126" s="132"/>
      <c r="T126" s="132"/>
      <c r="U126" s="113"/>
      <c r="V126" s="113"/>
      <c r="W126" s="113"/>
      <c r="X126" s="113"/>
      <c r="Y126" s="113"/>
      <c r="Z126" s="133" t="str">
        <f t="shared" si="9"/>
        <v/>
      </c>
      <c r="AA126" s="133"/>
      <c r="AB126" s="133"/>
      <c r="AC126" s="133"/>
      <c r="AD126" s="119"/>
      <c r="AI126" s="117" t="s">
        <v>6190</v>
      </c>
      <c r="AJ126" s="117"/>
      <c r="AK126" s="117"/>
      <c r="AL126" s="117"/>
      <c r="AM126" s="118"/>
      <c r="AN126" s="119" t="str">
        <f>IFERROR(AN127/F38,"")</f>
        <v/>
      </c>
      <c r="AO126" s="120"/>
      <c r="AP126" s="120"/>
      <c r="AQ126" s="120"/>
      <c r="AR126" s="120"/>
    </row>
    <row r="127" spans="2:49" ht="21" customHeight="1" thickBot="1" x14ac:dyDescent="0.3">
      <c r="B127" s="142" t="s">
        <v>6180</v>
      </c>
      <c r="C127" s="133"/>
      <c r="D127" s="133"/>
      <c r="E127" s="133"/>
      <c r="F127" s="133"/>
      <c r="G127" s="133"/>
      <c r="H127" s="133"/>
      <c r="I127" s="133"/>
      <c r="J127" s="133"/>
      <c r="K127" s="133"/>
      <c r="L127" s="132" t="s">
        <v>6186</v>
      </c>
      <c r="M127" s="132"/>
      <c r="N127" s="132"/>
      <c r="O127" s="132"/>
      <c r="P127" s="132"/>
      <c r="Q127" s="132"/>
      <c r="R127" s="132"/>
      <c r="S127" s="132"/>
      <c r="T127" s="132"/>
      <c r="U127" s="113"/>
      <c r="V127" s="113"/>
      <c r="W127" s="113"/>
      <c r="X127" s="113"/>
      <c r="Y127" s="113"/>
      <c r="Z127" s="133" t="str">
        <f t="shared" si="9"/>
        <v/>
      </c>
      <c r="AA127" s="133"/>
      <c r="AB127" s="133"/>
      <c r="AC127" s="133"/>
      <c r="AD127" s="119"/>
      <c r="AI127" s="291" t="s">
        <v>6162</v>
      </c>
      <c r="AJ127" s="291"/>
      <c r="AK127" s="291"/>
      <c r="AL127" s="291"/>
      <c r="AM127" s="292"/>
      <c r="AN127" s="116" t="str">
        <f>IF(AN125="","",_xlfn.XLOOKUP(AN124,$B$119:$AW$119,$B$120:$AW$120)*AN125)</f>
        <v/>
      </c>
      <c r="AO127" s="180"/>
      <c r="AP127" s="180"/>
      <c r="AQ127" s="180"/>
      <c r="AR127" s="180"/>
    </row>
    <row r="128" spans="2:49" ht="21" customHeight="1" thickBot="1" x14ac:dyDescent="0.3">
      <c r="B128" s="142" t="s">
        <v>6181</v>
      </c>
      <c r="C128" s="133"/>
      <c r="D128" s="133"/>
      <c r="E128" s="133"/>
      <c r="F128" s="133"/>
      <c r="G128" s="133"/>
      <c r="H128" s="133"/>
      <c r="I128" s="133"/>
      <c r="J128" s="133"/>
      <c r="K128" s="133"/>
      <c r="L128" s="132" t="s">
        <v>6186</v>
      </c>
      <c r="M128" s="132"/>
      <c r="N128" s="132"/>
      <c r="O128" s="132"/>
      <c r="P128" s="132"/>
      <c r="Q128" s="132"/>
      <c r="R128" s="132"/>
      <c r="S128" s="132"/>
      <c r="T128" s="132"/>
      <c r="U128" s="113"/>
      <c r="V128" s="113"/>
      <c r="W128" s="113"/>
      <c r="X128" s="113"/>
      <c r="Y128" s="113"/>
      <c r="Z128" s="133" t="str">
        <f t="shared" si="9"/>
        <v/>
      </c>
      <c r="AA128" s="133"/>
      <c r="AB128" s="133"/>
      <c r="AC128" s="133"/>
      <c r="AD128" s="119"/>
    </row>
    <row r="129" spans="2:49" ht="21" customHeight="1" thickBot="1" x14ac:dyDescent="0.3">
      <c r="B129" s="142" t="s">
        <v>6182</v>
      </c>
      <c r="C129" s="133"/>
      <c r="D129" s="133"/>
      <c r="E129" s="133"/>
      <c r="F129" s="133"/>
      <c r="G129" s="133"/>
      <c r="H129" s="133"/>
      <c r="I129" s="133"/>
      <c r="J129" s="133"/>
      <c r="K129" s="133"/>
      <c r="L129" s="132" t="s">
        <v>6187</v>
      </c>
      <c r="M129" s="132"/>
      <c r="N129" s="132"/>
      <c r="O129" s="132"/>
      <c r="P129" s="132"/>
      <c r="Q129" s="132"/>
      <c r="R129" s="132"/>
      <c r="S129" s="132"/>
      <c r="T129" s="132"/>
      <c r="U129" s="113"/>
      <c r="V129" s="113"/>
      <c r="W129" s="113"/>
      <c r="X129" s="113"/>
      <c r="Y129" s="113"/>
      <c r="Z129" s="133" t="str">
        <f t="shared" si="9"/>
        <v/>
      </c>
      <c r="AA129" s="133"/>
      <c r="AB129" s="133"/>
      <c r="AC129" s="133"/>
      <c r="AD129" s="119"/>
      <c r="AI129" s="174" t="s">
        <v>6174</v>
      </c>
      <c r="AJ129" s="174"/>
      <c r="AK129" s="174"/>
      <c r="AL129" s="174"/>
      <c r="AM129" s="174"/>
      <c r="AN129" s="174"/>
      <c r="AO129" s="174"/>
      <c r="AP129" s="174"/>
      <c r="AQ129" s="174"/>
      <c r="AR129" s="174"/>
    </row>
    <row r="130" spans="2:49" ht="21" customHeight="1" thickBot="1" x14ac:dyDescent="0.3">
      <c r="B130" s="142" t="s">
        <v>6183</v>
      </c>
      <c r="C130" s="133"/>
      <c r="D130" s="133"/>
      <c r="E130" s="133"/>
      <c r="F130" s="133"/>
      <c r="G130" s="133"/>
      <c r="H130" s="133"/>
      <c r="I130" s="133"/>
      <c r="J130" s="133"/>
      <c r="K130" s="133"/>
      <c r="L130" s="132" t="s">
        <v>6186</v>
      </c>
      <c r="M130" s="132"/>
      <c r="N130" s="132"/>
      <c r="O130" s="132"/>
      <c r="P130" s="132"/>
      <c r="Q130" s="132"/>
      <c r="R130" s="132"/>
      <c r="S130" s="132"/>
      <c r="T130" s="132"/>
      <c r="U130" s="113"/>
      <c r="V130" s="113"/>
      <c r="W130" s="113"/>
      <c r="X130" s="113"/>
      <c r="Y130" s="113"/>
      <c r="Z130" s="133" t="str">
        <f t="shared" si="9"/>
        <v/>
      </c>
      <c r="AA130" s="133"/>
      <c r="AB130" s="133"/>
      <c r="AC130" s="133"/>
      <c r="AD130" s="119"/>
      <c r="AI130" s="117" t="s">
        <v>6188</v>
      </c>
      <c r="AJ130" s="117"/>
      <c r="AK130" s="117"/>
      <c r="AL130" s="117"/>
      <c r="AM130" s="118"/>
      <c r="AN130" s="119">
        <f>N60</f>
        <v>0</v>
      </c>
      <c r="AO130" s="120"/>
      <c r="AP130" s="120"/>
      <c r="AQ130" s="120"/>
      <c r="AR130" s="120"/>
    </row>
    <row r="131" spans="2:49" ht="21" customHeight="1" thickBot="1" x14ac:dyDescent="0.3">
      <c r="B131" s="142" t="s">
        <v>6184</v>
      </c>
      <c r="C131" s="133"/>
      <c r="D131" s="133"/>
      <c r="E131" s="133"/>
      <c r="F131" s="133"/>
      <c r="G131" s="133"/>
      <c r="H131" s="133"/>
      <c r="I131" s="133"/>
      <c r="J131" s="133"/>
      <c r="K131" s="133"/>
      <c r="L131" s="132" t="s">
        <v>6186</v>
      </c>
      <c r="M131" s="132"/>
      <c r="N131" s="132"/>
      <c r="O131" s="132"/>
      <c r="P131" s="132"/>
      <c r="Q131" s="132"/>
      <c r="R131" s="132"/>
      <c r="S131" s="132"/>
      <c r="T131" s="132"/>
      <c r="U131" s="113"/>
      <c r="V131" s="113"/>
      <c r="W131" s="113"/>
      <c r="X131" s="113"/>
      <c r="Y131" s="113"/>
      <c r="Z131" s="133" t="str">
        <f t="shared" si="9"/>
        <v/>
      </c>
      <c r="AA131" s="133"/>
      <c r="AB131" s="133"/>
      <c r="AC131" s="133"/>
      <c r="AD131" s="119"/>
      <c r="AI131" s="117" t="s">
        <v>6160</v>
      </c>
      <c r="AJ131" s="117"/>
      <c r="AK131" s="117"/>
      <c r="AL131" s="117"/>
      <c r="AM131" s="118"/>
      <c r="AN131" s="293"/>
      <c r="AO131" s="294"/>
      <c r="AP131" s="294"/>
      <c r="AQ131" s="294"/>
      <c r="AR131" s="294"/>
    </row>
    <row r="132" spans="2:49" ht="21" customHeight="1" thickBot="1" x14ac:dyDescent="0.3">
      <c r="B132" s="172" t="s">
        <v>6249</v>
      </c>
      <c r="C132" s="115"/>
      <c r="D132" s="115"/>
      <c r="E132" s="115"/>
      <c r="F132" s="115"/>
      <c r="G132" s="115"/>
      <c r="H132" s="115"/>
      <c r="I132" s="115"/>
      <c r="J132" s="115"/>
      <c r="K132" s="115"/>
      <c r="L132" s="263" t="s">
        <v>6186</v>
      </c>
      <c r="M132" s="263"/>
      <c r="N132" s="263"/>
      <c r="O132" s="263"/>
      <c r="P132" s="263"/>
      <c r="Q132" s="263"/>
      <c r="R132" s="263"/>
      <c r="S132" s="263"/>
      <c r="T132" s="263"/>
      <c r="U132" s="114"/>
      <c r="V132" s="114"/>
      <c r="W132" s="114"/>
      <c r="X132" s="114"/>
      <c r="Y132" s="114"/>
      <c r="Z132" s="115" t="str">
        <f t="shared" si="9"/>
        <v/>
      </c>
      <c r="AA132" s="115"/>
      <c r="AB132" s="115"/>
      <c r="AC132" s="115"/>
      <c r="AD132" s="116"/>
      <c r="AI132" s="117" t="s">
        <v>6189</v>
      </c>
      <c r="AJ132" s="117"/>
      <c r="AK132" s="117"/>
      <c r="AL132" s="117"/>
      <c r="AM132" s="118"/>
      <c r="AN132" s="119">
        <f>(POWER(1+AN131,1/12)-1)*AN130</f>
        <v>0</v>
      </c>
      <c r="AO132" s="120"/>
      <c r="AP132" s="120"/>
      <c r="AQ132" s="120"/>
      <c r="AR132" s="120"/>
    </row>
    <row r="133" spans="2:49" ht="21" customHeight="1" x14ac:dyDescent="0.25">
      <c r="B133" s="172" t="s">
        <v>6185</v>
      </c>
      <c r="C133" s="115"/>
      <c r="D133" s="115"/>
      <c r="E133" s="115"/>
      <c r="F133" s="115"/>
      <c r="G133" s="115"/>
      <c r="H133" s="115"/>
      <c r="I133" s="115"/>
      <c r="J133" s="115"/>
      <c r="K133" s="115"/>
      <c r="L133" s="263" t="s">
        <v>6186</v>
      </c>
      <c r="M133" s="263"/>
      <c r="N133" s="263"/>
      <c r="O133" s="263"/>
      <c r="P133" s="263"/>
      <c r="Q133" s="263"/>
      <c r="R133" s="263"/>
      <c r="S133" s="263"/>
      <c r="T133" s="263"/>
      <c r="U133" s="114"/>
      <c r="V133" s="114"/>
      <c r="W133" s="114"/>
      <c r="X133" s="114"/>
      <c r="Y133" s="114"/>
      <c r="Z133" s="115" t="str">
        <f t="shared" si="9"/>
        <v/>
      </c>
      <c r="AA133" s="115"/>
      <c r="AB133" s="115"/>
      <c r="AC133" s="115"/>
      <c r="AD133" s="116"/>
      <c r="AI133" s="291" t="s">
        <v>6162</v>
      </c>
      <c r="AJ133" s="291"/>
      <c r="AK133" s="291"/>
      <c r="AL133" s="291"/>
      <c r="AM133" s="292"/>
      <c r="AN133" s="116">
        <f>AN132*(F32+F38+F39)</f>
        <v>0</v>
      </c>
      <c r="AO133" s="180"/>
      <c r="AP133" s="180"/>
      <c r="AQ133" s="180"/>
      <c r="AR133" s="180"/>
    </row>
    <row r="134" spans="2:49" ht="3.75" customHeight="1" x14ac:dyDescent="0.25"/>
    <row r="135" spans="2:49" ht="21" customHeight="1" x14ac:dyDescent="0.25">
      <c r="U135" s="109" t="s">
        <v>6037</v>
      </c>
      <c r="V135" s="110"/>
      <c r="W135" s="110"/>
      <c r="X135" s="110"/>
      <c r="Y135" s="110"/>
      <c r="Z135" s="111">
        <f>SUM(Z123:AD133)</f>
        <v>0</v>
      </c>
      <c r="AA135" s="111"/>
      <c r="AB135" s="111"/>
      <c r="AC135" s="111"/>
      <c r="AD135" s="112"/>
    </row>
    <row r="136" spans="2:49" ht="18.75" customHeight="1" x14ac:dyDescent="0.25"/>
    <row r="137" spans="2:49" ht="26.25" customHeight="1" x14ac:dyDescent="0.25">
      <c r="B137" s="94" t="s">
        <v>6175</v>
      </c>
      <c r="C137" s="47"/>
      <c r="D137" s="47"/>
      <c r="E137" s="47"/>
      <c r="F137" s="47"/>
      <c r="G137" s="47"/>
      <c r="H137" s="47"/>
      <c r="I137" s="47"/>
      <c r="J137" s="70"/>
      <c r="K137" s="70"/>
      <c r="L137" s="70"/>
      <c r="M137" s="70"/>
      <c r="N137" s="70"/>
      <c r="O137" s="70"/>
      <c r="P137" s="70"/>
      <c r="Q137" s="70"/>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row>
    <row r="138" spans="2:49" ht="3.75" customHeight="1" x14ac:dyDescent="0.25">
      <c r="J138" s="69"/>
      <c r="K138" s="69"/>
      <c r="L138" s="69"/>
      <c r="M138" s="69"/>
      <c r="N138" s="69"/>
      <c r="O138" s="69"/>
      <c r="P138" s="69"/>
      <c r="Q138" s="69"/>
    </row>
    <row r="139" spans="2:49" ht="21" customHeight="1" thickBot="1" x14ac:dyDescent="0.3">
      <c r="B139" s="134" t="s">
        <v>6169</v>
      </c>
      <c r="C139" s="135"/>
      <c r="D139" s="135"/>
      <c r="E139" s="135"/>
      <c r="F139" s="135"/>
      <c r="G139" s="135"/>
      <c r="H139" s="135"/>
      <c r="I139" s="135"/>
      <c r="J139" s="135"/>
      <c r="K139" s="135"/>
      <c r="L139" s="135" t="s">
        <v>6170</v>
      </c>
      <c r="M139" s="135"/>
      <c r="N139" s="135"/>
      <c r="O139" s="135"/>
      <c r="P139" s="135"/>
      <c r="Q139" s="135"/>
      <c r="R139" s="135"/>
      <c r="S139" s="135"/>
      <c r="T139" s="135"/>
      <c r="U139" s="135" t="s">
        <v>6171</v>
      </c>
      <c r="V139" s="135"/>
      <c r="W139" s="135"/>
      <c r="X139" s="135"/>
      <c r="Y139" s="135"/>
      <c r="Z139" s="135" t="s">
        <v>6172</v>
      </c>
      <c r="AA139" s="135"/>
      <c r="AB139" s="135"/>
      <c r="AC139" s="135"/>
      <c r="AD139" s="136"/>
    </row>
    <row r="140" spans="2:49" ht="21" customHeight="1" thickBot="1" x14ac:dyDescent="0.3">
      <c r="B140" s="142" t="s">
        <v>6192</v>
      </c>
      <c r="C140" s="133"/>
      <c r="D140" s="133"/>
      <c r="E140" s="133"/>
      <c r="F140" s="133"/>
      <c r="G140" s="133"/>
      <c r="H140" s="133"/>
      <c r="I140" s="133"/>
      <c r="J140" s="133"/>
      <c r="K140" s="133"/>
      <c r="L140" s="132" t="s">
        <v>6186</v>
      </c>
      <c r="M140" s="132"/>
      <c r="N140" s="132"/>
      <c r="O140" s="132"/>
      <c r="P140" s="132"/>
      <c r="Q140" s="132"/>
      <c r="R140" s="132"/>
      <c r="S140" s="132"/>
      <c r="T140" s="132"/>
      <c r="U140" s="113"/>
      <c r="V140" s="113"/>
      <c r="W140" s="113"/>
      <c r="X140" s="113"/>
      <c r="Y140" s="113"/>
      <c r="Z140" s="133" t="str">
        <f>IF(U140="","",_xlfn.XLOOKUP(L140,$B$119:$AW$119,$B$120:$AW$120)*U140)</f>
        <v/>
      </c>
      <c r="AA140" s="133"/>
      <c r="AB140" s="133"/>
      <c r="AC140" s="133"/>
      <c r="AD140" s="119"/>
    </row>
    <row r="141" spans="2:49" ht="21" customHeight="1" x14ac:dyDescent="0.25">
      <c r="B141" s="172" t="s">
        <v>6193</v>
      </c>
      <c r="C141" s="115"/>
      <c r="D141" s="115"/>
      <c r="E141" s="115"/>
      <c r="F141" s="115"/>
      <c r="G141" s="115"/>
      <c r="H141" s="115"/>
      <c r="I141" s="115"/>
      <c r="J141" s="115"/>
      <c r="K141" s="115"/>
      <c r="L141" s="263" t="s">
        <v>6186</v>
      </c>
      <c r="M141" s="263"/>
      <c r="N141" s="263"/>
      <c r="O141" s="263"/>
      <c r="P141" s="263"/>
      <c r="Q141" s="263"/>
      <c r="R141" s="263"/>
      <c r="S141" s="263"/>
      <c r="T141" s="263"/>
      <c r="U141" s="114"/>
      <c r="V141" s="114"/>
      <c r="W141" s="114"/>
      <c r="X141" s="114"/>
      <c r="Y141" s="114"/>
      <c r="Z141" s="115" t="str">
        <f>IF(U141="","",_xlfn.XLOOKUP(L141,$B$119:$AW$119,$B$120:$AW$120)*U141)</f>
        <v/>
      </c>
      <c r="AA141" s="115"/>
      <c r="AB141" s="115"/>
      <c r="AC141" s="115"/>
      <c r="AD141" s="116"/>
    </row>
    <row r="142" spans="2:49" ht="18.75" customHeight="1" x14ac:dyDescent="0.25"/>
    <row r="143" spans="2:49" ht="26.25" customHeight="1" x14ac:dyDescent="0.25">
      <c r="B143" s="94" t="s">
        <v>6191</v>
      </c>
      <c r="C143" s="47"/>
      <c r="D143" s="47"/>
      <c r="E143" s="47"/>
      <c r="F143" s="47"/>
      <c r="G143" s="47"/>
      <c r="H143" s="47"/>
      <c r="I143" s="47"/>
      <c r="J143" s="70"/>
      <c r="K143" s="70"/>
      <c r="L143" s="70"/>
      <c r="M143" s="70"/>
      <c r="N143" s="70"/>
      <c r="O143" s="70"/>
      <c r="P143" s="70"/>
      <c r="Q143" s="70"/>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row>
    <row r="144" spans="2:49" ht="3.75" customHeight="1" x14ac:dyDescent="0.25">
      <c r="J144" s="69"/>
      <c r="K144" s="69"/>
      <c r="L144" s="69"/>
      <c r="M144" s="69"/>
      <c r="N144" s="69"/>
      <c r="O144" s="69"/>
      <c r="P144" s="69"/>
      <c r="Q144" s="69"/>
    </row>
    <row r="145" spans="2:49" ht="21" customHeight="1" thickBot="1" x14ac:dyDescent="0.3">
      <c r="B145" s="134" t="s">
        <v>6169</v>
      </c>
      <c r="C145" s="135"/>
      <c r="D145" s="135"/>
      <c r="E145" s="135"/>
      <c r="F145" s="135"/>
      <c r="G145" s="135"/>
      <c r="H145" s="135"/>
      <c r="I145" s="135"/>
      <c r="J145" s="135"/>
      <c r="K145" s="135"/>
      <c r="L145" s="135" t="s">
        <v>6170</v>
      </c>
      <c r="M145" s="135"/>
      <c r="N145" s="135"/>
      <c r="O145" s="135"/>
      <c r="P145" s="135"/>
      <c r="Q145" s="135"/>
      <c r="R145" s="135"/>
      <c r="S145" s="135"/>
      <c r="T145" s="135"/>
      <c r="U145" s="135" t="s">
        <v>6171</v>
      </c>
      <c r="V145" s="135"/>
      <c r="W145" s="135"/>
      <c r="X145" s="135"/>
      <c r="Y145" s="135"/>
      <c r="Z145" s="135" t="s">
        <v>6172</v>
      </c>
      <c r="AA145" s="135"/>
      <c r="AB145" s="135"/>
      <c r="AC145" s="135"/>
      <c r="AD145" s="136"/>
    </row>
    <row r="146" spans="2:49" ht="21" customHeight="1" thickBot="1" x14ac:dyDescent="0.3">
      <c r="B146" s="142" t="s">
        <v>6196</v>
      </c>
      <c r="C146" s="133"/>
      <c r="D146" s="133"/>
      <c r="E146" s="133"/>
      <c r="F146" s="133"/>
      <c r="G146" s="133"/>
      <c r="H146" s="133"/>
      <c r="I146" s="133"/>
      <c r="J146" s="133"/>
      <c r="K146" s="133"/>
      <c r="L146" s="132" t="s">
        <v>6195</v>
      </c>
      <c r="M146" s="132"/>
      <c r="N146" s="132"/>
      <c r="O146" s="132"/>
      <c r="P146" s="132"/>
      <c r="Q146" s="132"/>
      <c r="R146" s="132"/>
      <c r="S146" s="132"/>
      <c r="T146" s="132"/>
      <c r="U146" s="113"/>
      <c r="V146" s="113"/>
      <c r="W146" s="113"/>
      <c r="X146" s="113"/>
      <c r="Y146" s="113"/>
      <c r="Z146" s="133" t="str">
        <f>IF(U146="","",_xlfn.XLOOKUP(L146,$B$119:$AW$119,$B$120:$AW$120)*U146)</f>
        <v/>
      </c>
      <c r="AA146" s="133"/>
      <c r="AB146" s="133"/>
      <c r="AC146" s="133"/>
      <c r="AD146" s="119"/>
      <c r="AI146" s="134" t="s">
        <v>6173</v>
      </c>
      <c r="AJ146" s="135"/>
      <c r="AK146" s="135"/>
      <c r="AL146" s="135"/>
      <c r="AM146" s="135"/>
      <c r="AN146" s="135"/>
      <c r="AO146" s="135"/>
      <c r="AP146" s="135"/>
      <c r="AQ146" s="135"/>
      <c r="AR146" s="135"/>
      <c r="AS146" s="136"/>
    </row>
    <row r="147" spans="2:49" ht="21" customHeight="1" thickBot="1" x14ac:dyDescent="0.3">
      <c r="B147" s="142" t="s">
        <v>6197</v>
      </c>
      <c r="C147" s="133"/>
      <c r="D147" s="133"/>
      <c r="E147" s="133"/>
      <c r="F147" s="133"/>
      <c r="G147" s="133"/>
      <c r="H147" s="133"/>
      <c r="I147" s="133"/>
      <c r="J147" s="133"/>
      <c r="K147" s="133"/>
      <c r="L147" s="132" t="s">
        <v>6195</v>
      </c>
      <c r="M147" s="132"/>
      <c r="N147" s="132"/>
      <c r="O147" s="132"/>
      <c r="P147" s="132"/>
      <c r="Q147" s="132"/>
      <c r="R147" s="132"/>
      <c r="S147" s="132"/>
      <c r="T147" s="132"/>
      <c r="U147" s="113"/>
      <c r="V147" s="113"/>
      <c r="W147" s="113"/>
      <c r="X147" s="113"/>
      <c r="Y147" s="113"/>
      <c r="Z147" s="133" t="str">
        <f t="shared" ref="Z147:Z152" si="10">IF(U147="","",_xlfn.XLOOKUP(L147,$B$119:$AW$119,$B$120:$AW$120)*U147)</f>
        <v/>
      </c>
      <c r="AA147" s="133"/>
      <c r="AB147" s="133"/>
      <c r="AC147" s="133"/>
      <c r="AD147" s="119"/>
      <c r="AI147" s="118" t="s">
        <v>6188</v>
      </c>
      <c r="AJ147" s="152"/>
      <c r="AK147" s="152"/>
      <c r="AL147" s="152"/>
      <c r="AM147" s="152"/>
      <c r="AN147" s="264" t="s">
        <v>6195</v>
      </c>
      <c r="AO147" s="264"/>
      <c r="AP147" s="264"/>
      <c r="AQ147" s="264"/>
      <c r="AR147" s="264"/>
      <c r="AS147" s="140"/>
    </row>
    <row r="148" spans="2:49" ht="21" customHeight="1" thickBot="1" x14ac:dyDescent="0.3">
      <c r="B148" s="142" t="s">
        <v>6198</v>
      </c>
      <c r="C148" s="133"/>
      <c r="D148" s="133"/>
      <c r="E148" s="133"/>
      <c r="F148" s="133"/>
      <c r="G148" s="133"/>
      <c r="H148" s="133"/>
      <c r="I148" s="133"/>
      <c r="J148" s="133"/>
      <c r="K148" s="133"/>
      <c r="L148" s="132" t="s">
        <v>6195</v>
      </c>
      <c r="M148" s="132"/>
      <c r="N148" s="132"/>
      <c r="O148" s="132"/>
      <c r="P148" s="132"/>
      <c r="Q148" s="132"/>
      <c r="R148" s="132"/>
      <c r="S148" s="132"/>
      <c r="T148" s="132"/>
      <c r="U148" s="113"/>
      <c r="V148" s="113"/>
      <c r="W148" s="113"/>
      <c r="X148" s="113"/>
      <c r="Y148" s="113"/>
      <c r="Z148" s="133" t="str">
        <f t="shared" si="10"/>
        <v/>
      </c>
      <c r="AA148" s="133"/>
      <c r="AB148" s="133"/>
      <c r="AC148" s="133"/>
      <c r="AD148" s="119"/>
      <c r="AI148" s="118" t="s">
        <v>6204</v>
      </c>
      <c r="AJ148" s="152"/>
      <c r="AK148" s="152"/>
      <c r="AL148" s="152"/>
      <c r="AM148" s="152"/>
      <c r="AN148" s="113"/>
      <c r="AO148" s="113"/>
      <c r="AP148" s="133" t="str">
        <f>IF(AN148="","",_xlfn.XLOOKUP(AN147,$B$119:$AW$119,$B$120:$AW$120)*AN148)</f>
        <v/>
      </c>
      <c r="AQ148" s="133"/>
      <c r="AR148" s="133"/>
      <c r="AS148" s="119"/>
    </row>
    <row r="149" spans="2:49" ht="21" customHeight="1" thickBot="1" x14ac:dyDescent="0.3">
      <c r="B149" s="142" t="s">
        <v>6199</v>
      </c>
      <c r="C149" s="133"/>
      <c r="D149" s="133"/>
      <c r="E149" s="133"/>
      <c r="F149" s="133"/>
      <c r="G149" s="133"/>
      <c r="H149" s="133"/>
      <c r="I149" s="133"/>
      <c r="J149" s="133"/>
      <c r="K149" s="133"/>
      <c r="L149" s="132" t="s">
        <v>6195</v>
      </c>
      <c r="M149" s="132"/>
      <c r="N149" s="132"/>
      <c r="O149" s="132"/>
      <c r="P149" s="132"/>
      <c r="Q149" s="132"/>
      <c r="R149" s="132"/>
      <c r="S149" s="132"/>
      <c r="T149" s="132"/>
      <c r="U149" s="113"/>
      <c r="V149" s="113"/>
      <c r="W149" s="113"/>
      <c r="X149" s="113"/>
      <c r="Y149" s="113"/>
      <c r="Z149" s="133" t="str">
        <f t="shared" si="10"/>
        <v/>
      </c>
      <c r="AA149" s="133"/>
      <c r="AB149" s="133"/>
      <c r="AC149" s="133"/>
      <c r="AD149" s="119"/>
      <c r="AI149" s="118" t="s">
        <v>6196</v>
      </c>
      <c r="AJ149" s="152"/>
      <c r="AK149" s="152"/>
      <c r="AL149" s="152"/>
      <c r="AM149" s="152"/>
      <c r="AN149" s="113"/>
      <c r="AO149" s="113"/>
      <c r="AP149" s="133" t="str">
        <f>IF(AN149="","",AN149*AP148)</f>
        <v/>
      </c>
      <c r="AQ149" s="133"/>
      <c r="AR149" s="133"/>
      <c r="AS149" s="119"/>
    </row>
    <row r="150" spans="2:49" ht="21" customHeight="1" thickBot="1" x14ac:dyDescent="0.3">
      <c r="B150" s="142" t="s">
        <v>6200</v>
      </c>
      <c r="C150" s="133"/>
      <c r="D150" s="133"/>
      <c r="E150" s="133"/>
      <c r="F150" s="133"/>
      <c r="G150" s="133"/>
      <c r="H150" s="133"/>
      <c r="I150" s="133"/>
      <c r="J150" s="133"/>
      <c r="K150" s="133"/>
      <c r="L150" s="132" t="s">
        <v>6195</v>
      </c>
      <c r="M150" s="132"/>
      <c r="N150" s="132"/>
      <c r="O150" s="132"/>
      <c r="P150" s="132"/>
      <c r="Q150" s="132"/>
      <c r="R150" s="132"/>
      <c r="S150" s="132"/>
      <c r="T150" s="132"/>
      <c r="U150" s="113"/>
      <c r="V150" s="113"/>
      <c r="W150" s="113"/>
      <c r="X150" s="113"/>
      <c r="Y150" s="113"/>
      <c r="Z150" s="133" t="str">
        <f t="shared" si="10"/>
        <v/>
      </c>
      <c r="AA150" s="133"/>
      <c r="AB150" s="133"/>
      <c r="AC150" s="133"/>
      <c r="AD150" s="119"/>
      <c r="AI150" s="118" t="s">
        <v>6205</v>
      </c>
      <c r="AJ150" s="152"/>
      <c r="AK150" s="152"/>
      <c r="AL150" s="152"/>
      <c r="AM150" s="152"/>
      <c r="AN150" s="113"/>
      <c r="AO150" s="113"/>
      <c r="AP150" s="133" t="str">
        <f>IF(AN150="","",AN150*AP148)</f>
        <v/>
      </c>
      <c r="AQ150" s="133"/>
      <c r="AR150" s="133"/>
      <c r="AS150" s="119"/>
    </row>
    <row r="151" spans="2:49" ht="21" customHeight="1" thickBot="1" x14ac:dyDescent="0.3">
      <c r="B151" s="142" t="s">
        <v>6201</v>
      </c>
      <c r="C151" s="133"/>
      <c r="D151" s="133"/>
      <c r="E151" s="133"/>
      <c r="F151" s="133"/>
      <c r="G151" s="133"/>
      <c r="H151" s="133"/>
      <c r="I151" s="133"/>
      <c r="J151" s="133"/>
      <c r="K151" s="133"/>
      <c r="L151" s="132" t="s">
        <v>6195</v>
      </c>
      <c r="M151" s="132"/>
      <c r="N151" s="132"/>
      <c r="O151" s="132"/>
      <c r="P151" s="132"/>
      <c r="Q151" s="132"/>
      <c r="R151" s="132"/>
      <c r="S151" s="132"/>
      <c r="T151" s="132"/>
      <c r="U151" s="113"/>
      <c r="V151" s="113"/>
      <c r="W151" s="113"/>
      <c r="X151" s="113"/>
      <c r="Y151" s="113"/>
      <c r="Z151" s="133" t="str">
        <f t="shared" si="10"/>
        <v/>
      </c>
      <c r="AA151" s="133"/>
      <c r="AB151" s="133"/>
      <c r="AC151" s="133"/>
      <c r="AD151" s="119"/>
      <c r="AI151" s="292" t="s">
        <v>6206</v>
      </c>
      <c r="AJ151" s="295"/>
      <c r="AK151" s="295"/>
      <c r="AL151" s="295"/>
      <c r="AM151" s="295"/>
      <c r="AN151" s="114"/>
      <c r="AO151" s="114"/>
      <c r="AP151" s="115" t="str">
        <f>IF(AN150="","",AN151*AP150)</f>
        <v/>
      </c>
      <c r="AQ151" s="115"/>
      <c r="AR151" s="115"/>
      <c r="AS151" s="116"/>
    </row>
    <row r="152" spans="2:49" ht="21" customHeight="1" x14ac:dyDescent="0.25">
      <c r="B152" s="172" t="s">
        <v>6202</v>
      </c>
      <c r="C152" s="115"/>
      <c r="D152" s="115"/>
      <c r="E152" s="115"/>
      <c r="F152" s="115"/>
      <c r="G152" s="115"/>
      <c r="H152" s="115"/>
      <c r="I152" s="115"/>
      <c r="J152" s="115"/>
      <c r="K152" s="115"/>
      <c r="L152" s="263" t="s">
        <v>6195</v>
      </c>
      <c r="M152" s="263"/>
      <c r="N152" s="263"/>
      <c r="O152" s="263"/>
      <c r="P152" s="263"/>
      <c r="Q152" s="263"/>
      <c r="R152" s="263"/>
      <c r="S152" s="263"/>
      <c r="T152" s="263"/>
      <c r="U152" s="114"/>
      <c r="V152" s="114"/>
      <c r="W152" s="114"/>
      <c r="X152" s="114"/>
      <c r="Y152" s="114"/>
      <c r="Z152" s="115" t="str">
        <f t="shared" si="10"/>
        <v/>
      </c>
      <c r="AA152" s="115"/>
      <c r="AB152" s="115"/>
      <c r="AC152" s="115"/>
      <c r="AD152" s="116"/>
    </row>
    <row r="153" spans="2:49" ht="3.75" customHeight="1" x14ac:dyDescent="0.25"/>
    <row r="154" spans="2:49" ht="21" customHeight="1" x14ac:dyDescent="0.25">
      <c r="U154" s="109" t="s">
        <v>6037</v>
      </c>
      <c r="V154" s="110"/>
      <c r="W154" s="110"/>
      <c r="X154" s="110"/>
      <c r="Y154" s="110"/>
      <c r="Z154" s="111">
        <f>SUM(Z146:AD152)</f>
        <v>0</v>
      </c>
      <c r="AA154" s="111"/>
      <c r="AB154" s="111"/>
      <c r="AC154" s="111"/>
      <c r="AD154" s="112"/>
    </row>
    <row r="155" spans="2:49" ht="18.75" customHeight="1" x14ac:dyDescent="0.25"/>
    <row r="156" spans="2:49" ht="26.25" customHeight="1" x14ac:dyDescent="0.25">
      <c r="B156" s="94" t="s">
        <v>6203</v>
      </c>
      <c r="C156" s="47"/>
      <c r="D156" s="47"/>
      <c r="E156" s="47"/>
      <c r="F156" s="47"/>
      <c r="G156" s="47"/>
      <c r="H156" s="47"/>
      <c r="I156" s="47"/>
      <c r="J156" s="70"/>
      <c r="K156" s="70"/>
      <c r="L156" s="70"/>
      <c r="M156" s="70"/>
      <c r="N156" s="70"/>
      <c r="O156" s="70"/>
      <c r="P156" s="70"/>
      <c r="Q156" s="70"/>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row>
    <row r="157" spans="2:49" ht="3.75" customHeight="1" x14ac:dyDescent="0.25">
      <c r="J157" s="69"/>
      <c r="K157" s="69"/>
      <c r="L157" s="69"/>
      <c r="M157" s="69"/>
      <c r="N157" s="69"/>
      <c r="O157" s="69"/>
      <c r="P157" s="69"/>
      <c r="Q157" s="69"/>
    </row>
    <row r="158" spans="2:49" ht="21" customHeight="1" thickBot="1" x14ac:dyDescent="0.3">
      <c r="B158" s="134" t="s">
        <v>6169</v>
      </c>
      <c r="C158" s="135"/>
      <c r="D158" s="135"/>
      <c r="E158" s="135"/>
      <c r="F158" s="135"/>
      <c r="G158" s="135"/>
      <c r="H158" s="135"/>
      <c r="I158" s="135"/>
      <c r="J158" s="135"/>
      <c r="K158" s="135"/>
      <c r="L158" s="135" t="s">
        <v>6170</v>
      </c>
      <c r="M158" s="135"/>
      <c r="N158" s="135"/>
      <c r="O158" s="135"/>
      <c r="P158" s="135"/>
      <c r="Q158" s="135"/>
      <c r="R158" s="135"/>
      <c r="S158" s="135"/>
      <c r="T158" s="135"/>
      <c r="U158" s="135" t="s">
        <v>6171</v>
      </c>
      <c r="V158" s="135"/>
      <c r="W158" s="135"/>
      <c r="X158" s="135"/>
      <c r="Y158" s="135"/>
      <c r="Z158" s="135" t="s">
        <v>6172</v>
      </c>
      <c r="AA158" s="135"/>
      <c r="AB158" s="135"/>
      <c r="AC158" s="135"/>
      <c r="AD158" s="136"/>
    </row>
    <row r="159" spans="2:49" ht="21" customHeight="1" thickBot="1" x14ac:dyDescent="0.3">
      <c r="B159" s="142" t="s">
        <v>6207</v>
      </c>
      <c r="C159" s="133"/>
      <c r="D159" s="133"/>
      <c r="E159" s="133"/>
      <c r="F159" s="133"/>
      <c r="G159" s="133"/>
      <c r="H159" s="133"/>
      <c r="I159" s="133"/>
      <c r="J159" s="133"/>
      <c r="K159" s="133"/>
      <c r="L159" s="132" t="s">
        <v>6186</v>
      </c>
      <c r="M159" s="132"/>
      <c r="N159" s="132"/>
      <c r="O159" s="132"/>
      <c r="P159" s="132"/>
      <c r="Q159" s="132"/>
      <c r="R159" s="132"/>
      <c r="S159" s="132"/>
      <c r="T159" s="132"/>
      <c r="U159" s="113"/>
      <c r="V159" s="113"/>
      <c r="W159" s="113"/>
      <c r="X159" s="113"/>
      <c r="Y159" s="113"/>
      <c r="Z159" s="133" t="str">
        <f>IF(U159="","",_xlfn.XLOOKUP(L159,$B$119:$AW$119,$B$120:$AW$120)*U159)</f>
        <v/>
      </c>
      <c r="AA159" s="133"/>
      <c r="AB159" s="133"/>
      <c r="AC159" s="133"/>
      <c r="AD159" s="119"/>
    </row>
    <row r="160" spans="2:49" ht="21" customHeight="1" thickBot="1" x14ac:dyDescent="0.3">
      <c r="B160" s="142" t="s">
        <v>6184</v>
      </c>
      <c r="C160" s="133"/>
      <c r="D160" s="133"/>
      <c r="E160" s="133"/>
      <c r="F160" s="133"/>
      <c r="G160" s="133"/>
      <c r="H160" s="133"/>
      <c r="I160" s="133"/>
      <c r="J160" s="133"/>
      <c r="K160" s="133"/>
      <c r="L160" s="132" t="s">
        <v>6186</v>
      </c>
      <c r="M160" s="132"/>
      <c r="N160" s="132"/>
      <c r="O160" s="132"/>
      <c r="P160" s="132"/>
      <c r="Q160" s="132"/>
      <c r="R160" s="132"/>
      <c r="S160" s="132"/>
      <c r="T160" s="132"/>
      <c r="U160" s="113"/>
      <c r="V160" s="113"/>
      <c r="W160" s="113"/>
      <c r="X160" s="113"/>
      <c r="Y160" s="113"/>
      <c r="Z160" s="133" t="str">
        <f t="shared" ref="Z160:Z162" si="11">IF(U160="","",_xlfn.XLOOKUP(L160,$B$119:$AW$119,$B$120:$AW$120)*U160)</f>
        <v/>
      </c>
      <c r="AA160" s="133"/>
      <c r="AB160" s="133"/>
      <c r="AC160" s="133"/>
      <c r="AD160" s="119"/>
    </row>
    <row r="161" spans="2:49" ht="21" customHeight="1" thickBot="1" x14ac:dyDescent="0.3">
      <c r="B161" s="142" t="s">
        <v>6208</v>
      </c>
      <c r="C161" s="133"/>
      <c r="D161" s="133"/>
      <c r="E161" s="133"/>
      <c r="F161" s="133"/>
      <c r="G161" s="133"/>
      <c r="H161" s="133"/>
      <c r="I161" s="133"/>
      <c r="J161" s="133"/>
      <c r="K161" s="133"/>
      <c r="L161" s="132" t="s">
        <v>6186</v>
      </c>
      <c r="M161" s="132"/>
      <c r="N161" s="132"/>
      <c r="O161" s="132"/>
      <c r="P161" s="132"/>
      <c r="Q161" s="132"/>
      <c r="R161" s="132"/>
      <c r="S161" s="132"/>
      <c r="T161" s="132"/>
      <c r="U161" s="113"/>
      <c r="V161" s="113"/>
      <c r="W161" s="113"/>
      <c r="X161" s="113"/>
      <c r="Y161" s="113"/>
      <c r="Z161" s="133" t="str">
        <f t="shared" si="11"/>
        <v/>
      </c>
      <c r="AA161" s="133"/>
      <c r="AB161" s="133"/>
      <c r="AC161" s="133"/>
      <c r="AD161" s="119"/>
    </row>
    <row r="162" spans="2:49" ht="21" customHeight="1" thickBot="1" x14ac:dyDescent="0.3">
      <c r="B162" s="142" t="s">
        <v>6202</v>
      </c>
      <c r="C162" s="133"/>
      <c r="D162" s="133"/>
      <c r="E162" s="133"/>
      <c r="F162" s="133"/>
      <c r="G162" s="133"/>
      <c r="H162" s="133"/>
      <c r="I162" s="133"/>
      <c r="J162" s="133"/>
      <c r="K162" s="133"/>
      <c r="L162" s="132" t="s">
        <v>6186</v>
      </c>
      <c r="M162" s="132"/>
      <c r="N162" s="132"/>
      <c r="O162" s="132"/>
      <c r="P162" s="132"/>
      <c r="Q162" s="132"/>
      <c r="R162" s="132"/>
      <c r="S162" s="132"/>
      <c r="T162" s="132"/>
      <c r="U162" s="113"/>
      <c r="V162" s="113"/>
      <c r="W162" s="113"/>
      <c r="X162" s="113"/>
      <c r="Y162" s="113"/>
      <c r="Z162" s="133" t="str">
        <f t="shared" si="11"/>
        <v/>
      </c>
      <c r="AA162" s="133"/>
      <c r="AB162" s="133"/>
      <c r="AC162" s="133"/>
      <c r="AD162" s="119"/>
    </row>
    <row r="163" spans="2:49" ht="3.75" customHeight="1" x14ac:dyDescent="0.25"/>
    <row r="164" spans="2:49" ht="21" customHeight="1" x14ac:dyDescent="0.25">
      <c r="U164" s="109" t="s">
        <v>6037</v>
      </c>
      <c r="V164" s="110"/>
      <c r="W164" s="110"/>
      <c r="X164" s="110"/>
      <c r="Y164" s="110"/>
      <c r="Z164" s="111">
        <f>SUM(Z159:AD162)</f>
        <v>0</v>
      </c>
      <c r="AA164" s="111"/>
      <c r="AB164" s="111"/>
      <c r="AC164" s="111"/>
      <c r="AD164" s="112"/>
    </row>
    <row r="165" spans="2:49" ht="18.75" customHeight="1" x14ac:dyDescent="0.25"/>
    <row r="166" spans="2:49" ht="26.25" customHeight="1" x14ac:dyDescent="0.25">
      <c r="B166" s="94" t="s">
        <v>6013</v>
      </c>
      <c r="C166" s="47"/>
      <c r="D166" s="47"/>
      <c r="E166" s="47"/>
      <c r="F166" s="47"/>
      <c r="G166" s="47"/>
      <c r="H166" s="47"/>
      <c r="I166" s="47"/>
      <c r="J166" s="70"/>
      <c r="K166" s="70"/>
      <c r="L166" s="70"/>
      <c r="M166" s="70"/>
      <c r="N166" s="70"/>
      <c r="O166" s="70"/>
      <c r="P166" s="70"/>
      <c r="Q166" s="70"/>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row>
    <row r="167" spans="2:49" ht="3.75" customHeight="1" x14ac:dyDescent="0.25">
      <c r="J167" s="69"/>
      <c r="K167" s="69"/>
      <c r="L167" s="69"/>
      <c r="M167" s="69"/>
      <c r="N167" s="69"/>
      <c r="O167" s="69"/>
      <c r="P167" s="69"/>
      <c r="Q167" s="69"/>
    </row>
    <row r="168" spans="2:49" ht="21" customHeight="1" thickBot="1" x14ac:dyDescent="0.3">
      <c r="B168" s="134" t="s">
        <v>6167</v>
      </c>
      <c r="C168" s="135"/>
      <c r="D168" s="135"/>
      <c r="E168" s="135"/>
      <c r="F168" s="135"/>
      <c r="G168" s="135"/>
      <c r="H168" s="135"/>
      <c r="I168" s="135"/>
      <c r="J168" s="135"/>
      <c r="K168" s="135"/>
      <c r="L168" s="135" t="s">
        <v>6021</v>
      </c>
      <c r="M168" s="135"/>
      <c r="N168" s="135"/>
      <c r="O168" s="135"/>
      <c r="P168" s="135"/>
      <c r="Q168" s="135"/>
      <c r="R168" s="135"/>
      <c r="S168" s="135"/>
      <c r="T168" s="135"/>
      <c r="U168" s="135" t="s">
        <v>6209</v>
      </c>
      <c r="V168" s="135"/>
      <c r="W168" s="135"/>
      <c r="X168" s="135"/>
      <c r="Y168" s="135"/>
      <c r="Z168" s="135"/>
      <c r="AA168" s="135"/>
      <c r="AB168" s="135"/>
      <c r="AC168" s="135"/>
      <c r="AD168" s="136"/>
    </row>
    <row r="169" spans="2:49" ht="21" customHeight="1" x14ac:dyDescent="0.25">
      <c r="B169" s="137">
        <f>AE120</f>
        <v>0</v>
      </c>
      <c r="C169" s="106"/>
      <c r="D169" s="106"/>
      <c r="E169" s="106"/>
      <c r="F169" s="106"/>
      <c r="G169" s="106"/>
      <c r="H169" s="106"/>
      <c r="I169" s="106"/>
      <c r="J169" s="106"/>
      <c r="K169" s="106"/>
      <c r="L169" s="106">
        <f>IF(Z146="",0,Z146)</f>
        <v>0</v>
      </c>
      <c r="M169" s="106"/>
      <c r="N169" s="106"/>
      <c r="O169" s="106"/>
      <c r="P169" s="106"/>
      <c r="Q169" s="106"/>
      <c r="R169" s="106"/>
      <c r="S169" s="106"/>
      <c r="T169" s="106"/>
      <c r="U169" s="106">
        <f>IF(Z147="",0,Z147)</f>
        <v>0</v>
      </c>
      <c r="V169" s="106"/>
      <c r="W169" s="106"/>
      <c r="X169" s="106"/>
      <c r="Y169" s="106"/>
      <c r="Z169" s="106"/>
      <c r="AA169" s="106"/>
      <c r="AB169" s="106"/>
      <c r="AC169" s="106"/>
      <c r="AD169" s="107"/>
    </row>
    <row r="170" spans="2:49" ht="18.75" customHeight="1" x14ac:dyDescent="0.25"/>
    <row r="171" spans="2:49" ht="21" customHeight="1" thickBot="1" x14ac:dyDescent="0.3">
      <c r="B171" s="134" t="s">
        <v>6170</v>
      </c>
      <c r="C171" s="135"/>
      <c r="D171" s="135"/>
      <c r="E171" s="135"/>
      <c r="F171" s="135"/>
      <c r="G171" s="135"/>
      <c r="H171" s="135"/>
      <c r="I171" s="135"/>
      <c r="J171" s="135"/>
      <c r="K171" s="135"/>
      <c r="L171" s="135" t="s">
        <v>6171</v>
      </c>
      <c r="M171" s="135"/>
      <c r="N171" s="135"/>
      <c r="O171" s="135"/>
      <c r="P171" s="135"/>
      <c r="Q171" s="135"/>
      <c r="R171" s="135"/>
      <c r="S171" s="135"/>
      <c r="T171" s="135"/>
      <c r="U171" s="135" t="s">
        <v>6172</v>
      </c>
      <c r="V171" s="135"/>
      <c r="W171" s="135"/>
      <c r="X171" s="135"/>
      <c r="Y171" s="135"/>
      <c r="Z171" s="135"/>
      <c r="AA171" s="135"/>
      <c r="AB171" s="135"/>
      <c r="AC171" s="135"/>
      <c r="AD171" s="136"/>
    </row>
    <row r="172" spans="2:49" ht="21" customHeight="1" x14ac:dyDescent="0.25">
      <c r="B172" s="269" t="s">
        <v>6211</v>
      </c>
      <c r="C172" s="263"/>
      <c r="D172" s="263"/>
      <c r="E172" s="263"/>
      <c r="F172" s="263"/>
      <c r="G172" s="263"/>
      <c r="H172" s="263"/>
      <c r="I172" s="263"/>
      <c r="J172" s="263"/>
      <c r="K172" s="263"/>
      <c r="L172" s="114"/>
      <c r="M172" s="114"/>
      <c r="N172" s="114"/>
      <c r="O172" s="114"/>
      <c r="P172" s="114"/>
      <c r="Q172" s="114"/>
      <c r="R172" s="114"/>
      <c r="S172" s="114"/>
      <c r="T172" s="114"/>
      <c r="U172" s="115" t="str">
        <f>IF(L172="","",IF(B172="VGV Nominal",B169*L172,IF(B172="Sem Corretagem",((B169-L169)*L172),(B169-L169-U169)*L172)))</f>
        <v/>
      </c>
      <c r="V172" s="115"/>
      <c r="W172" s="115"/>
      <c r="X172" s="115"/>
      <c r="Y172" s="115"/>
      <c r="Z172" s="115"/>
      <c r="AA172" s="115"/>
      <c r="AB172" s="115"/>
      <c r="AC172" s="115"/>
      <c r="AD172" s="116"/>
    </row>
    <row r="173" spans="2:49" ht="18.75" customHeight="1" x14ac:dyDescent="0.25"/>
    <row r="174" spans="2:49" ht="26.25" customHeight="1" x14ac:dyDescent="0.25">
      <c r="B174" s="94" t="s">
        <v>6210</v>
      </c>
      <c r="C174" s="47"/>
      <c r="D174" s="47"/>
      <c r="E174" s="47"/>
      <c r="F174" s="47"/>
      <c r="G174" s="47"/>
      <c r="H174" s="47"/>
      <c r="I174" s="47"/>
      <c r="J174" s="70"/>
      <c r="K174" s="70"/>
      <c r="L174" s="70"/>
      <c r="M174" s="70"/>
      <c r="N174" s="70"/>
      <c r="O174" s="70"/>
      <c r="P174" s="70"/>
      <c r="Q174" s="70"/>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row>
    <row r="175" spans="2:49" ht="3.75" customHeight="1" x14ac:dyDescent="0.25">
      <c r="J175" s="69"/>
      <c r="K175" s="69"/>
      <c r="L175" s="69"/>
      <c r="M175" s="69"/>
      <c r="N175" s="69"/>
      <c r="O175" s="69"/>
      <c r="P175" s="69"/>
      <c r="Q175" s="69"/>
    </row>
    <row r="176" spans="2:49" ht="21" customHeight="1" thickBot="1" x14ac:dyDescent="0.3">
      <c r="B176" s="134" t="s">
        <v>6170</v>
      </c>
      <c r="C176" s="135"/>
      <c r="D176" s="135"/>
      <c r="E176" s="135"/>
      <c r="F176" s="135"/>
      <c r="G176" s="135"/>
      <c r="H176" s="135"/>
      <c r="I176" s="135"/>
      <c r="J176" s="135"/>
      <c r="K176" s="135"/>
      <c r="L176" s="135" t="s">
        <v>6212</v>
      </c>
      <c r="M176" s="135"/>
      <c r="N176" s="135"/>
      <c r="O176" s="135"/>
      <c r="P176" s="135"/>
      <c r="Q176" s="135"/>
      <c r="R176" s="135"/>
      <c r="S176" s="135"/>
      <c r="T176" s="135"/>
      <c r="U176" s="135" t="s">
        <v>6213</v>
      </c>
      <c r="V176" s="135"/>
      <c r="W176" s="135"/>
      <c r="X176" s="135"/>
      <c r="Y176" s="135"/>
      <c r="Z176" s="135" t="s">
        <v>6098</v>
      </c>
      <c r="AA176" s="135"/>
      <c r="AB176" s="135"/>
      <c r="AC176" s="135"/>
      <c r="AD176" s="136"/>
    </row>
    <row r="177" spans="2:49" ht="21" customHeight="1" x14ac:dyDescent="0.25">
      <c r="B177" s="267"/>
      <c r="C177" s="268"/>
      <c r="D177" s="268"/>
      <c r="E177" s="268"/>
      <c r="F177" s="268"/>
      <c r="G177" s="268"/>
      <c r="H177" s="268"/>
      <c r="I177" s="268"/>
      <c r="J177" s="268"/>
      <c r="K177" s="268"/>
      <c r="L177" s="265"/>
      <c r="M177" s="265"/>
      <c r="N177" s="265"/>
      <c r="O177" s="265"/>
      <c r="P177" s="265"/>
      <c r="Q177" s="265"/>
      <c r="R177" s="265"/>
      <c r="S177" s="265"/>
      <c r="T177" s="265"/>
      <c r="U177" s="266"/>
      <c r="V177" s="266"/>
      <c r="W177" s="266"/>
      <c r="X177" s="266"/>
      <c r="Y177" s="266"/>
      <c r="Z177" s="115">
        <f>(-FV(L177,U177,,B177))-B177</f>
        <v>0</v>
      </c>
      <c r="AA177" s="115"/>
      <c r="AB177" s="115"/>
      <c r="AC177" s="115"/>
      <c r="AD177" s="116"/>
    </row>
    <row r="178" spans="2:49" ht="18.75" customHeight="1" x14ac:dyDescent="0.25"/>
    <row r="179" spans="2:49" ht="26.25" customHeight="1" x14ac:dyDescent="0.25">
      <c r="B179" s="78" t="s">
        <v>6214</v>
      </c>
      <c r="C179" s="76"/>
      <c r="D179" s="76"/>
      <c r="E179" s="76"/>
      <c r="F179" s="76"/>
      <c r="G179" s="76"/>
      <c r="H179" s="76"/>
      <c r="I179" s="76"/>
      <c r="J179" s="77"/>
      <c r="K179" s="77"/>
      <c r="L179" s="77"/>
      <c r="M179" s="77"/>
      <c r="N179" s="77"/>
      <c r="O179" s="77"/>
      <c r="P179" s="77"/>
      <c r="Q179" s="77"/>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row>
    <row r="180" spans="2:49" ht="3.75" customHeight="1" x14ac:dyDescent="0.25">
      <c r="J180" s="69"/>
      <c r="K180" s="69"/>
      <c r="L180" s="69"/>
      <c r="M180" s="69"/>
      <c r="N180" s="69"/>
      <c r="O180" s="69"/>
      <c r="P180" s="69"/>
      <c r="Q180" s="69"/>
    </row>
    <row r="181" spans="2:49" ht="22.5" customHeight="1" thickBot="1" x14ac:dyDescent="0.3">
      <c r="B181" s="79"/>
      <c r="C181" s="79"/>
      <c r="D181" s="271" t="s">
        <v>6229</v>
      </c>
      <c r="E181" s="271"/>
      <c r="F181" s="271"/>
      <c r="G181" s="271"/>
      <c r="H181" s="271"/>
      <c r="I181" s="271"/>
      <c r="J181" s="271"/>
      <c r="K181" s="271"/>
      <c r="L181" s="271"/>
      <c r="M181" s="271"/>
      <c r="N181" s="271"/>
      <c r="O181" s="88"/>
      <c r="P181" s="88"/>
      <c r="Q181" s="88"/>
      <c r="R181" s="88"/>
      <c r="S181" s="88"/>
      <c r="T181" s="88"/>
      <c r="U181" s="88"/>
      <c r="V181" s="88"/>
      <c r="W181" s="88"/>
      <c r="X181" s="88"/>
      <c r="Y181" s="88"/>
      <c r="Z181" s="88"/>
      <c r="AA181" s="88"/>
      <c r="AB181" s="88"/>
      <c r="AC181" s="88"/>
      <c r="AD181" s="88"/>
      <c r="AE181" s="88"/>
      <c r="AF181" s="88"/>
      <c r="AG181" s="88"/>
      <c r="AH181" s="278">
        <f>AH46</f>
        <v>0</v>
      </c>
      <c r="AI181" s="279"/>
      <c r="AJ181" s="279"/>
      <c r="AK181" s="279"/>
      <c r="AL181" s="279"/>
      <c r="AM181" s="279"/>
      <c r="AN181" s="278" t="str">
        <f>IFERROR(AH181/$J$46,"")</f>
        <v/>
      </c>
      <c r="AO181" s="278"/>
      <c r="AP181" s="278"/>
      <c r="AQ181" s="278"/>
      <c r="AR181" s="278"/>
      <c r="AS181" s="88"/>
      <c r="AT181" s="174" t="s">
        <v>6033</v>
      </c>
      <c r="AU181" s="174"/>
      <c r="AV181" s="174"/>
      <c r="AW181" s="174"/>
    </row>
    <row r="182" spans="2:49" ht="22.5" customHeight="1" x14ac:dyDescent="0.25">
      <c r="B182" s="273" t="s">
        <v>6219</v>
      </c>
      <c r="C182" s="273"/>
      <c r="D182" s="270" t="s">
        <v>6220</v>
      </c>
      <c r="E182" s="270"/>
      <c r="F182" s="270"/>
      <c r="G182" s="270"/>
      <c r="H182" s="270"/>
      <c r="I182" s="270"/>
      <c r="J182" s="270"/>
      <c r="K182" s="270"/>
      <c r="L182" s="270"/>
      <c r="M182" s="270"/>
      <c r="N182" s="270"/>
      <c r="O182" s="82"/>
      <c r="P182" s="82"/>
      <c r="Q182" s="82"/>
      <c r="R182" s="82"/>
      <c r="S182" s="82"/>
      <c r="T182" s="82"/>
      <c r="U182" s="82"/>
      <c r="V182" s="82"/>
      <c r="W182" s="82"/>
      <c r="X182" s="82"/>
      <c r="Y182" s="82"/>
      <c r="Z182" s="82"/>
      <c r="AA182" s="82"/>
      <c r="AB182" s="82"/>
      <c r="AC182" s="82"/>
      <c r="AD182" s="82"/>
      <c r="AE182" s="82"/>
      <c r="AF182" s="82"/>
      <c r="AG182" s="82"/>
      <c r="AH182" s="280">
        <f>IFERROR(-Z56,0)</f>
        <v>0</v>
      </c>
      <c r="AI182" s="280"/>
      <c r="AJ182" s="280"/>
      <c r="AK182" s="280"/>
      <c r="AL182" s="280"/>
      <c r="AM182" s="280"/>
      <c r="AN182" s="280" t="str">
        <f>IFERROR(AH182/$J$46,"")</f>
        <v/>
      </c>
      <c r="AO182" s="280"/>
      <c r="AP182" s="280"/>
      <c r="AQ182" s="280"/>
      <c r="AR182" s="280"/>
      <c r="AS182" s="82"/>
      <c r="AT182" s="286" t="str">
        <f>IFERROR(ABS(AH182/$AH$181),"")</f>
        <v/>
      </c>
      <c r="AU182" s="286"/>
      <c r="AV182" s="286"/>
      <c r="AW182" s="286"/>
    </row>
    <row r="183" spans="2:49" ht="22.5" customHeight="1" x14ac:dyDescent="0.25">
      <c r="B183" s="273"/>
      <c r="C183" s="273"/>
      <c r="D183" s="270" t="s">
        <v>6221</v>
      </c>
      <c r="E183" s="270"/>
      <c r="F183" s="270"/>
      <c r="G183" s="270"/>
      <c r="H183" s="270"/>
      <c r="I183" s="270"/>
      <c r="J183" s="270"/>
      <c r="K183" s="270"/>
      <c r="L183" s="270"/>
      <c r="M183" s="270"/>
      <c r="N183" s="270"/>
      <c r="O183" s="83"/>
      <c r="P183" s="83"/>
      <c r="Q183" s="83"/>
      <c r="R183" s="83"/>
      <c r="S183" s="83"/>
      <c r="T183" s="83"/>
      <c r="U183" s="83"/>
      <c r="V183" s="83"/>
      <c r="W183" s="83"/>
      <c r="X183" s="83"/>
      <c r="Y183" s="83"/>
      <c r="Z183" s="83"/>
      <c r="AA183" s="83"/>
      <c r="AB183" s="83"/>
      <c r="AC183" s="83"/>
      <c r="AD183" s="83"/>
      <c r="AE183" s="83"/>
      <c r="AF183" s="83"/>
      <c r="AG183" s="83"/>
      <c r="AH183" s="281">
        <f>IFERROR(-(N58+N61),0)</f>
        <v>0</v>
      </c>
      <c r="AI183" s="281"/>
      <c r="AJ183" s="281"/>
      <c r="AK183" s="281"/>
      <c r="AL183" s="281"/>
      <c r="AM183" s="281"/>
      <c r="AN183" s="281" t="str">
        <f t="shared" ref="AN183:AN214" si="12">IFERROR(AH183/$J$46,"")</f>
        <v/>
      </c>
      <c r="AO183" s="281"/>
      <c r="AP183" s="281"/>
      <c r="AQ183" s="281"/>
      <c r="AR183" s="281"/>
      <c r="AS183" s="83"/>
      <c r="AT183" s="287" t="str">
        <f t="shared" ref="AT183:AT213" si="13">IFERROR(ABS(AH183/$AH$181),"")</f>
        <v/>
      </c>
      <c r="AU183" s="287"/>
      <c r="AV183" s="287"/>
      <c r="AW183" s="287"/>
    </row>
    <row r="184" spans="2:49" ht="22.5" customHeight="1" x14ac:dyDescent="0.25">
      <c r="B184" s="273"/>
      <c r="C184" s="273"/>
      <c r="D184" s="270" t="s">
        <v>6222</v>
      </c>
      <c r="E184" s="270"/>
      <c r="F184" s="270"/>
      <c r="G184" s="270"/>
      <c r="H184" s="270"/>
      <c r="I184" s="270"/>
      <c r="J184" s="270"/>
      <c r="K184" s="270"/>
      <c r="L184" s="270"/>
      <c r="M184" s="270"/>
      <c r="N184" s="270"/>
      <c r="O184" s="83"/>
      <c r="P184" s="83"/>
      <c r="Q184" s="83"/>
      <c r="R184" s="83"/>
      <c r="S184" s="83"/>
      <c r="T184" s="83"/>
      <c r="U184" s="83"/>
      <c r="V184" s="83"/>
      <c r="W184" s="83"/>
      <c r="X184" s="83"/>
      <c r="Y184" s="83"/>
      <c r="Z184" s="83"/>
      <c r="AA184" s="83"/>
      <c r="AB184" s="83"/>
      <c r="AC184" s="83"/>
      <c r="AD184" s="83"/>
      <c r="AE184" s="83"/>
      <c r="AF184" s="83"/>
      <c r="AG184" s="83"/>
      <c r="AH184" s="281">
        <f>IFERROR(-J63,0)</f>
        <v>0</v>
      </c>
      <c r="AI184" s="281"/>
      <c r="AJ184" s="281"/>
      <c r="AK184" s="281"/>
      <c r="AL184" s="281"/>
      <c r="AM184" s="281"/>
      <c r="AN184" s="281" t="str">
        <f t="shared" si="12"/>
        <v/>
      </c>
      <c r="AO184" s="281"/>
      <c r="AP184" s="281"/>
      <c r="AQ184" s="281"/>
      <c r="AR184" s="281"/>
      <c r="AS184" s="83"/>
      <c r="AT184" s="287" t="str">
        <f t="shared" si="13"/>
        <v/>
      </c>
      <c r="AU184" s="287"/>
      <c r="AV184" s="287"/>
      <c r="AW184" s="287"/>
    </row>
    <row r="185" spans="2:49" ht="22.5" customHeight="1" thickBot="1" x14ac:dyDescent="0.3">
      <c r="B185" s="274"/>
      <c r="C185" s="274"/>
      <c r="D185" s="272" t="s">
        <v>6097</v>
      </c>
      <c r="E185" s="272"/>
      <c r="F185" s="272"/>
      <c r="G185" s="272"/>
      <c r="H185" s="272"/>
      <c r="I185" s="272"/>
      <c r="J185" s="272"/>
      <c r="K185" s="272"/>
      <c r="L185" s="272"/>
      <c r="M185" s="272"/>
      <c r="N185" s="272"/>
      <c r="O185" s="84"/>
      <c r="P185" s="84"/>
      <c r="Q185" s="84"/>
      <c r="R185" s="84"/>
      <c r="S185" s="84"/>
      <c r="T185" s="84"/>
      <c r="U185" s="84"/>
      <c r="V185" s="84"/>
      <c r="W185" s="84"/>
      <c r="X185" s="84"/>
      <c r="Y185" s="84"/>
      <c r="Z185" s="84"/>
      <c r="AA185" s="84"/>
      <c r="AB185" s="84"/>
      <c r="AC185" s="84"/>
      <c r="AD185" s="84"/>
      <c r="AE185" s="84"/>
      <c r="AF185" s="84"/>
      <c r="AG185" s="84"/>
      <c r="AH185" s="282">
        <f>IFERROR(-J64,0)</f>
        <v>0</v>
      </c>
      <c r="AI185" s="282"/>
      <c r="AJ185" s="282"/>
      <c r="AK185" s="282"/>
      <c r="AL185" s="282"/>
      <c r="AM185" s="282"/>
      <c r="AN185" s="282" t="str">
        <f t="shared" si="12"/>
        <v/>
      </c>
      <c r="AO185" s="282"/>
      <c r="AP185" s="282"/>
      <c r="AQ185" s="282"/>
      <c r="AR185" s="282"/>
      <c r="AS185" s="84"/>
      <c r="AT185" s="288" t="str">
        <f t="shared" si="13"/>
        <v/>
      </c>
      <c r="AU185" s="288"/>
      <c r="AV185" s="288"/>
      <c r="AW185" s="288"/>
    </row>
    <row r="186" spans="2:49" ht="22.5" customHeight="1" x14ac:dyDescent="0.25">
      <c r="B186" s="273" t="s">
        <v>6218</v>
      </c>
      <c r="C186" s="273"/>
      <c r="D186" s="270" t="s">
        <v>6186</v>
      </c>
      <c r="E186" s="270"/>
      <c r="F186" s="270"/>
      <c r="G186" s="270"/>
      <c r="H186" s="270"/>
      <c r="I186" s="270"/>
      <c r="J186" s="270"/>
      <c r="K186" s="270"/>
      <c r="L186" s="270"/>
      <c r="M186" s="270"/>
      <c r="N186" s="270"/>
      <c r="O186" s="82"/>
      <c r="P186" s="82"/>
      <c r="Q186" s="82"/>
      <c r="R186" s="82"/>
      <c r="S186" s="82"/>
      <c r="T186" s="82"/>
      <c r="U186" s="82"/>
      <c r="V186" s="82"/>
      <c r="W186" s="82"/>
      <c r="X186" s="82"/>
      <c r="Y186" s="82"/>
      <c r="Z186" s="82"/>
      <c r="AA186" s="82"/>
      <c r="AB186" s="82"/>
      <c r="AC186" s="82"/>
      <c r="AD186" s="82"/>
      <c r="AE186" s="82"/>
      <c r="AF186" s="82"/>
      <c r="AG186" s="82"/>
      <c r="AH186" s="280">
        <f>IFERROR(-R114,0)</f>
        <v>0</v>
      </c>
      <c r="AI186" s="280"/>
      <c r="AJ186" s="280"/>
      <c r="AK186" s="280"/>
      <c r="AL186" s="280"/>
      <c r="AM186" s="280"/>
      <c r="AN186" s="280" t="str">
        <f t="shared" si="12"/>
        <v/>
      </c>
      <c r="AO186" s="280"/>
      <c r="AP186" s="280"/>
      <c r="AQ186" s="280"/>
      <c r="AR186" s="280"/>
      <c r="AS186" s="82"/>
      <c r="AT186" s="286" t="str">
        <f t="shared" si="13"/>
        <v/>
      </c>
      <c r="AU186" s="286"/>
      <c r="AV186" s="286"/>
      <c r="AW186" s="286"/>
    </row>
    <row r="187" spans="2:49" ht="22.5" customHeight="1" thickBot="1" x14ac:dyDescent="0.3">
      <c r="B187" s="274"/>
      <c r="C187" s="274"/>
      <c r="D187" s="272" t="s">
        <v>6223</v>
      </c>
      <c r="E187" s="272"/>
      <c r="F187" s="272"/>
      <c r="G187" s="272"/>
      <c r="H187" s="272"/>
      <c r="I187" s="272"/>
      <c r="J187" s="272"/>
      <c r="K187" s="272"/>
      <c r="L187" s="272"/>
      <c r="M187" s="272"/>
      <c r="N187" s="272"/>
      <c r="O187" s="84"/>
      <c r="P187" s="84"/>
      <c r="Q187" s="84"/>
      <c r="R187" s="84"/>
      <c r="S187" s="84"/>
      <c r="T187" s="84"/>
      <c r="U187" s="84"/>
      <c r="V187" s="84"/>
      <c r="W187" s="84"/>
      <c r="X187" s="84"/>
      <c r="Y187" s="84"/>
      <c r="Z187" s="84"/>
      <c r="AA187" s="84"/>
      <c r="AB187" s="84"/>
      <c r="AC187" s="84"/>
      <c r="AD187" s="84"/>
      <c r="AE187" s="84"/>
      <c r="AF187" s="84"/>
      <c r="AG187" s="84"/>
      <c r="AH187" s="282">
        <f>IFERROR(-AM115,0)</f>
        <v>0</v>
      </c>
      <c r="AI187" s="282"/>
      <c r="AJ187" s="282"/>
      <c r="AK187" s="282"/>
      <c r="AL187" s="282"/>
      <c r="AM187" s="282"/>
      <c r="AN187" s="282" t="str">
        <f t="shared" si="12"/>
        <v/>
      </c>
      <c r="AO187" s="282"/>
      <c r="AP187" s="282"/>
      <c r="AQ187" s="282"/>
      <c r="AR187" s="282"/>
      <c r="AS187" s="84"/>
      <c r="AT187" s="288" t="str">
        <f t="shared" si="13"/>
        <v/>
      </c>
      <c r="AU187" s="288"/>
      <c r="AV187" s="288"/>
      <c r="AW187" s="288"/>
    </row>
    <row r="188" spans="2:49" ht="22.5" customHeight="1" x14ac:dyDescent="0.25">
      <c r="B188" s="273" t="s">
        <v>6217</v>
      </c>
      <c r="C188" s="273"/>
      <c r="D188" s="270" t="s">
        <v>6176</v>
      </c>
      <c r="E188" s="270"/>
      <c r="F188" s="270"/>
      <c r="G188" s="270"/>
      <c r="H188" s="270"/>
      <c r="I188" s="270"/>
      <c r="J188" s="270"/>
      <c r="K188" s="270"/>
      <c r="L188" s="270"/>
      <c r="M188" s="270"/>
      <c r="N188" s="270"/>
      <c r="O188" s="82"/>
      <c r="P188" s="82"/>
      <c r="Q188" s="82"/>
      <c r="R188" s="82"/>
      <c r="S188" s="82"/>
      <c r="T188" s="82"/>
      <c r="U188" s="82"/>
      <c r="V188" s="82"/>
      <c r="W188" s="82"/>
      <c r="X188" s="82"/>
      <c r="Y188" s="82"/>
      <c r="Z188" s="82"/>
      <c r="AA188" s="82"/>
      <c r="AB188" s="82"/>
      <c r="AC188" s="82"/>
      <c r="AD188" s="82"/>
      <c r="AE188" s="82"/>
      <c r="AF188" s="82"/>
      <c r="AG188" s="82"/>
      <c r="AH188" s="280">
        <f t="shared" ref="AH188:AH196" si="14">IFERROR(-Z123,0)</f>
        <v>0</v>
      </c>
      <c r="AI188" s="280"/>
      <c r="AJ188" s="280"/>
      <c r="AK188" s="280"/>
      <c r="AL188" s="280"/>
      <c r="AM188" s="280"/>
      <c r="AN188" s="280" t="str">
        <f t="shared" si="12"/>
        <v/>
      </c>
      <c r="AO188" s="280"/>
      <c r="AP188" s="280"/>
      <c r="AQ188" s="280"/>
      <c r="AR188" s="280"/>
      <c r="AS188" s="82"/>
      <c r="AT188" s="286" t="str">
        <f t="shared" si="13"/>
        <v/>
      </c>
      <c r="AU188" s="286"/>
      <c r="AV188" s="286"/>
      <c r="AW188" s="286"/>
    </row>
    <row r="189" spans="2:49" ht="22.5" customHeight="1" x14ac:dyDescent="0.25">
      <c r="B189" s="273"/>
      <c r="C189" s="273"/>
      <c r="D189" s="270" t="s">
        <v>6177</v>
      </c>
      <c r="E189" s="270"/>
      <c r="F189" s="270"/>
      <c r="G189" s="270"/>
      <c r="H189" s="270"/>
      <c r="I189" s="270"/>
      <c r="J189" s="270"/>
      <c r="K189" s="270"/>
      <c r="L189" s="270"/>
      <c r="M189" s="270"/>
      <c r="N189" s="270"/>
      <c r="O189" s="83"/>
      <c r="P189" s="83"/>
      <c r="Q189" s="83"/>
      <c r="R189" s="83"/>
      <c r="S189" s="83"/>
      <c r="T189" s="83"/>
      <c r="U189" s="83"/>
      <c r="V189" s="83"/>
      <c r="W189" s="83"/>
      <c r="X189" s="83"/>
      <c r="Y189" s="83"/>
      <c r="Z189" s="83"/>
      <c r="AA189" s="83"/>
      <c r="AB189" s="83"/>
      <c r="AC189" s="83"/>
      <c r="AD189" s="83"/>
      <c r="AE189" s="83"/>
      <c r="AF189" s="83"/>
      <c r="AG189" s="83"/>
      <c r="AH189" s="281">
        <f t="shared" si="14"/>
        <v>0</v>
      </c>
      <c r="AI189" s="281"/>
      <c r="AJ189" s="281"/>
      <c r="AK189" s="281"/>
      <c r="AL189" s="281"/>
      <c r="AM189" s="281"/>
      <c r="AN189" s="281" t="str">
        <f t="shared" si="12"/>
        <v/>
      </c>
      <c r="AO189" s="281"/>
      <c r="AP189" s="281"/>
      <c r="AQ189" s="281"/>
      <c r="AR189" s="281"/>
      <c r="AS189" s="83"/>
      <c r="AT189" s="287" t="str">
        <f t="shared" si="13"/>
        <v/>
      </c>
      <c r="AU189" s="287"/>
      <c r="AV189" s="287"/>
      <c r="AW189" s="287"/>
    </row>
    <row r="190" spans="2:49" ht="22.5" customHeight="1" x14ac:dyDescent="0.25">
      <c r="B190" s="273"/>
      <c r="C190" s="273"/>
      <c r="D190" s="270" t="s">
        <v>6178</v>
      </c>
      <c r="E190" s="270"/>
      <c r="F190" s="270"/>
      <c r="G190" s="270"/>
      <c r="H190" s="270"/>
      <c r="I190" s="270"/>
      <c r="J190" s="270"/>
      <c r="K190" s="270"/>
      <c r="L190" s="270"/>
      <c r="M190" s="270"/>
      <c r="N190" s="270"/>
      <c r="O190" s="83"/>
      <c r="P190" s="83"/>
      <c r="Q190" s="83"/>
      <c r="R190" s="83"/>
      <c r="S190" s="83"/>
      <c r="T190" s="83"/>
      <c r="U190" s="83"/>
      <c r="V190" s="83"/>
      <c r="W190" s="83"/>
      <c r="X190" s="83"/>
      <c r="Y190" s="83"/>
      <c r="Z190" s="83"/>
      <c r="AA190" s="83"/>
      <c r="AB190" s="83"/>
      <c r="AC190" s="83"/>
      <c r="AD190" s="83"/>
      <c r="AE190" s="83"/>
      <c r="AF190" s="83"/>
      <c r="AG190" s="83"/>
      <c r="AH190" s="281">
        <f t="shared" si="14"/>
        <v>0</v>
      </c>
      <c r="AI190" s="281"/>
      <c r="AJ190" s="281"/>
      <c r="AK190" s="281"/>
      <c r="AL190" s="281"/>
      <c r="AM190" s="281"/>
      <c r="AN190" s="281" t="str">
        <f t="shared" si="12"/>
        <v/>
      </c>
      <c r="AO190" s="281"/>
      <c r="AP190" s="281"/>
      <c r="AQ190" s="281"/>
      <c r="AR190" s="281"/>
      <c r="AS190" s="83"/>
      <c r="AT190" s="287" t="str">
        <f t="shared" si="13"/>
        <v/>
      </c>
      <c r="AU190" s="287"/>
      <c r="AV190" s="287"/>
      <c r="AW190" s="287"/>
    </row>
    <row r="191" spans="2:49" ht="22.5" customHeight="1" x14ac:dyDescent="0.25">
      <c r="B191" s="273"/>
      <c r="C191" s="273"/>
      <c r="D191" s="270" t="s">
        <v>6179</v>
      </c>
      <c r="E191" s="270"/>
      <c r="F191" s="270"/>
      <c r="G191" s="270"/>
      <c r="H191" s="270"/>
      <c r="I191" s="270"/>
      <c r="J191" s="270"/>
      <c r="K191" s="270"/>
      <c r="L191" s="270"/>
      <c r="M191" s="270"/>
      <c r="N191" s="270"/>
      <c r="O191" s="83"/>
      <c r="P191" s="83"/>
      <c r="Q191" s="83"/>
      <c r="R191" s="83"/>
      <c r="S191" s="83"/>
      <c r="T191" s="83"/>
      <c r="U191" s="83"/>
      <c r="V191" s="83"/>
      <c r="W191" s="83"/>
      <c r="X191" s="83"/>
      <c r="Y191" s="83"/>
      <c r="Z191" s="83"/>
      <c r="AA191" s="83"/>
      <c r="AB191" s="83"/>
      <c r="AC191" s="83"/>
      <c r="AD191" s="83"/>
      <c r="AE191" s="83"/>
      <c r="AF191" s="83"/>
      <c r="AG191" s="83"/>
      <c r="AH191" s="281">
        <f t="shared" si="14"/>
        <v>0</v>
      </c>
      <c r="AI191" s="281"/>
      <c r="AJ191" s="281"/>
      <c r="AK191" s="281"/>
      <c r="AL191" s="281"/>
      <c r="AM191" s="281"/>
      <c r="AN191" s="281" t="str">
        <f t="shared" si="12"/>
        <v/>
      </c>
      <c r="AO191" s="281"/>
      <c r="AP191" s="281"/>
      <c r="AQ191" s="281"/>
      <c r="AR191" s="281"/>
      <c r="AS191" s="83"/>
      <c r="AT191" s="287" t="str">
        <f t="shared" si="13"/>
        <v/>
      </c>
      <c r="AU191" s="287"/>
      <c r="AV191" s="287"/>
      <c r="AW191" s="287"/>
    </row>
    <row r="192" spans="2:49" ht="22.5" customHeight="1" x14ac:dyDescent="0.25">
      <c r="B192" s="273"/>
      <c r="C192" s="273"/>
      <c r="D192" s="270" t="s">
        <v>6180</v>
      </c>
      <c r="E192" s="270"/>
      <c r="F192" s="270"/>
      <c r="G192" s="270"/>
      <c r="H192" s="270"/>
      <c r="I192" s="270"/>
      <c r="J192" s="270"/>
      <c r="K192" s="270"/>
      <c r="L192" s="270"/>
      <c r="M192" s="270"/>
      <c r="N192" s="270"/>
      <c r="O192" s="83"/>
      <c r="P192" s="83"/>
      <c r="Q192" s="83"/>
      <c r="R192" s="83"/>
      <c r="S192" s="83"/>
      <c r="T192" s="83"/>
      <c r="U192" s="83"/>
      <c r="V192" s="83"/>
      <c r="W192" s="83"/>
      <c r="X192" s="83"/>
      <c r="Y192" s="83"/>
      <c r="Z192" s="83"/>
      <c r="AA192" s="83"/>
      <c r="AB192" s="83"/>
      <c r="AC192" s="83"/>
      <c r="AD192" s="83"/>
      <c r="AE192" s="83"/>
      <c r="AF192" s="83"/>
      <c r="AG192" s="83"/>
      <c r="AH192" s="281">
        <f t="shared" si="14"/>
        <v>0</v>
      </c>
      <c r="AI192" s="281"/>
      <c r="AJ192" s="281"/>
      <c r="AK192" s="281"/>
      <c r="AL192" s="281"/>
      <c r="AM192" s="281"/>
      <c r="AN192" s="281" t="str">
        <f t="shared" si="12"/>
        <v/>
      </c>
      <c r="AO192" s="281"/>
      <c r="AP192" s="281"/>
      <c r="AQ192" s="281"/>
      <c r="AR192" s="281"/>
      <c r="AS192" s="83"/>
      <c r="AT192" s="287" t="str">
        <f t="shared" si="13"/>
        <v/>
      </c>
      <c r="AU192" s="287"/>
      <c r="AV192" s="287"/>
      <c r="AW192" s="287"/>
    </row>
    <row r="193" spans="2:49" ht="22.5" customHeight="1" x14ac:dyDescent="0.25">
      <c r="B193" s="273"/>
      <c r="C193" s="273"/>
      <c r="D193" s="270" t="s">
        <v>6181</v>
      </c>
      <c r="E193" s="270"/>
      <c r="F193" s="270"/>
      <c r="G193" s="270"/>
      <c r="H193" s="270"/>
      <c r="I193" s="270"/>
      <c r="J193" s="270"/>
      <c r="K193" s="270"/>
      <c r="L193" s="270"/>
      <c r="M193" s="270"/>
      <c r="N193" s="270"/>
      <c r="O193" s="83"/>
      <c r="P193" s="83"/>
      <c r="Q193" s="83"/>
      <c r="R193" s="83"/>
      <c r="S193" s="83"/>
      <c r="T193" s="83"/>
      <c r="U193" s="83"/>
      <c r="V193" s="83"/>
      <c r="W193" s="83"/>
      <c r="X193" s="83"/>
      <c r="Y193" s="83"/>
      <c r="Z193" s="83"/>
      <c r="AA193" s="83"/>
      <c r="AB193" s="83"/>
      <c r="AC193" s="83"/>
      <c r="AD193" s="83"/>
      <c r="AE193" s="83"/>
      <c r="AF193" s="83"/>
      <c r="AG193" s="83"/>
      <c r="AH193" s="281">
        <f t="shared" si="14"/>
        <v>0</v>
      </c>
      <c r="AI193" s="281"/>
      <c r="AJ193" s="281"/>
      <c r="AK193" s="281"/>
      <c r="AL193" s="281"/>
      <c r="AM193" s="281"/>
      <c r="AN193" s="281" t="str">
        <f t="shared" si="12"/>
        <v/>
      </c>
      <c r="AO193" s="281"/>
      <c r="AP193" s="281"/>
      <c r="AQ193" s="281"/>
      <c r="AR193" s="281"/>
      <c r="AS193" s="83"/>
      <c r="AT193" s="287" t="str">
        <f t="shared" si="13"/>
        <v/>
      </c>
      <c r="AU193" s="287"/>
      <c r="AV193" s="287"/>
      <c r="AW193" s="287"/>
    </row>
    <row r="194" spans="2:49" ht="22.5" customHeight="1" x14ac:dyDescent="0.25">
      <c r="B194" s="273"/>
      <c r="C194" s="273"/>
      <c r="D194" s="270" t="s">
        <v>6182</v>
      </c>
      <c r="E194" s="270"/>
      <c r="F194" s="270"/>
      <c r="G194" s="270"/>
      <c r="H194" s="270"/>
      <c r="I194" s="270"/>
      <c r="J194" s="270"/>
      <c r="K194" s="270"/>
      <c r="L194" s="270"/>
      <c r="M194" s="270"/>
      <c r="N194" s="270"/>
      <c r="O194" s="83"/>
      <c r="P194" s="83"/>
      <c r="Q194" s="83"/>
      <c r="R194" s="83"/>
      <c r="S194" s="83"/>
      <c r="T194" s="83"/>
      <c r="U194" s="83"/>
      <c r="V194" s="83"/>
      <c r="W194" s="83"/>
      <c r="X194" s="83"/>
      <c r="Y194" s="83"/>
      <c r="Z194" s="83"/>
      <c r="AA194" s="83"/>
      <c r="AB194" s="83"/>
      <c r="AC194" s="83"/>
      <c r="AD194" s="83"/>
      <c r="AE194" s="83"/>
      <c r="AF194" s="83"/>
      <c r="AG194" s="83"/>
      <c r="AH194" s="281">
        <f t="shared" si="14"/>
        <v>0</v>
      </c>
      <c r="AI194" s="281"/>
      <c r="AJ194" s="281"/>
      <c r="AK194" s="281"/>
      <c r="AL194" s="281"/>
      <c r="AM194" s="281"/>
      <c r="AN194" s="281" t="str">
        <f t="shared" si="12"/>
        <v/>
      </c>
      <c r="AO194" s="281"/>
      <c r="AP194" s="281"/>
      <c r="AQ194" s="281"/>
      <c r="AR194" s="281"/>
      <c r="AS194" s="83"/>
      <c r="AT194" s="287" t="str">
        <f t="shared" si="13"/>
        <v/>
      </c>
      <c r="AU194" s="287"/>
      <c r="AV194" s="287"/>
      <c r="AW194" s="287"/>
    </row>
    <row r="195" spans="2:49" ht="22.5" customHeight="1" x14ac:dyDescent="0.25">
      <c r="B195" s="273"/>
      <c r="C195" s="273"/>
      <c r="D195" s="270" t="s">
        <v>6183</v>
      </c>
      <c r="E195" s="270"/>
      <c r="F195" s="270"/>
      <c r="G195" s="270"/>
      <c r="H195" s="270"/>
      <c r="I195" s="270"/>
      <c r="J195" s="270"/>
      <c r="K195" s="270"/>
      <c r="L195" s="270"/>
      <c r="M195" s="270"/>
      <c r="N195" s="270"/>
      <c r="O195" s="83"/>
      <c r="P195" s="83"/>
      <c r="Q195" s="83"/>
      <c r="R195" s="83"/>
      <c r="S195" s="83"/>
      <c r="T195" s="83"/>
      <c r="U195" s="83"/>
      <c r="V195" s="83"/>
      <c r="W195" s="83"/>
      <c r="X195" s="83"/>
      <c r="Y195" s="83"/>
      <c r="Z195" s="83"/>
      <c r="AA195" s="83"/>
      <c r="AB195" s="83"/>
      <c r="AC195" s="83"/>
      <c r="AD195" s="83"/>
      <c r="AE195" s="83"/>
      <c r="AF195" s="83"/>
      <c r="AG195" s="83"/>
      <c r="AH195" s="281">
        <f t="shared" si="14"/>
        <v>0</v>
      </c>
      <c r="AI195" s="281"/>
      <c r="AJ195" s="281"/>
      <c r="AK195" s="281"/>
      <c r="AL195" s="281"/>
      <c r="AM195" s="281"/>
      <c r="AN195" s="281" t="str">
        <f t="shared" si="12"/>
        <v/>
      </c>
      <c r="AO195" s="281"/>
      <c r="AP195" s="281"/>
      <c r="AQ195" s="281"/>
      <c r="AR195" s="281"/>
      <c r="AS195" s="83"/>
      <c r="AT195" s="287" t="str">
        <f t="shared" si="13"/>
        <v/>
      </c>
      <c r="AU195" s="287"/>
      <c r="AV195" s="287"/>
      <c r="AW195" s="287"/>
    </row>
    <row r="196" spans="2:49" ht="22.5" customHeight="1" x14ac:dyDescent="0.25">
      <c r="B196" s="273"/>
      <c r="C196" s="273"/>
      <c r="D196" s="270" t="s">
        <v>6184</v>
      </c>
      <c r="E196" s="270"/>
      <c r="F196" s="270"/>
      <c r="G196" s="270"/>
      <c r="H196" s="270"/>
      <c r="I196" s="270"/>
      <c r="J196" s="270"/>
      <c r="K196" s="270"/>
      <c r="L196" s="270"/>
      <c r="M196" s="270"/>
      <c r="N196" s="270"/>
      <c r="O196" s="83"/>
      <c r="P196" s="83"/>
      <c r="Q196" s="83"/>
      <c r="R196" s="83"/>
      <c r="S196" s="83"/>
      <c r="T196" s="83"/>
      <c r="U196" s="83"/>
      <c r="V196" s="83"/>
      <c r="W196" s="83"/>
      <c r="X196" s="83"/>
      <c r="Y196" s="83"/>
      <c r="Z196" s="83"/>
      <c r="AA196" s="83"/>
      <c r="AB196" s="83"/>
      <c r="AC196" s="83"/>
      <c r="AD196" s="83"/>
      <c r="AE196" s="83"/>
      <c r="AF196" s="83"/>
      <c r="AG196" s="83"/>
      <c r="AH196" s="281">
        <f t="shared" si="14"/>
        <v>0</v>
      </c>
      <c r="AI196" s="281"/>
      <c r="AJ196" s="281"/>
      <c r="AK196" s="281"/>
      <c r="AL196" s="281"/>
      <c r="AM196" s="281"/>
      <c r="AN196" s="281" t="str">
        <f t="shared" si="12"/>
        <v/>
      </c>
      <c r="AO196" s="281"/>
      <c r="AP196" s="281"/>
      <c r="AQ196" s="281"/>
      <c r="AR196" s="281"/>
      <c r="AS196" s="83"/>
      <c r="AT196" s="287" t="str">
        <f t="shared" si="13"/>
        <v/>
      </c>
      <c r="AU196" s="287"/>
      <c r="AV196" s="287"/>
      <c r="AW196" s="287"/>
    </row>
    <row r="197" spans="2:49" ht="22.5" customHeight="1" x14ac:dyDescent="0.25">
      <c r="B197" s="273"/>
      <c r="C197" s="273"/>
      <c r="D197" s="270" t="s">
        <v>6224</v>
      </c>
      <c r="E197" s="270"/>
      <c r="F197" s="270"/>
      <c r="G197" s="270"/>
      <c r="H197" s="270"/>
      <c r="I197" s="270"/>
      <c r="J197" s="270"/>
      <c r="K197" s="270"/>
      <c r="L197" s="270"/>
      <c r="M197" s="270"/>
      <c r="N197" s="270"/>
      <c r="O197" s="83"/>
      <c r="P197" s="83"/>
      <c r="Q197" s="83"/>
      <c r="R197" s="83"/>
      <c r="S197" s="83"/>
      <c r="T197" s="83"/>
      <c r="U197" s="83"/>
      <c r="V197" s="83"/>
      <c r="W197" s="83"/>
      <c r="X197" s="83"/>
      <c r="Y197" s="83"/>
      <c r="Z197" s="83"/>
      <c r="AA197" s="83"/>
      <c r="AB197" s="83"/>
      <c r="AC197" s="83"/>
      <c r="AD197" s="83"/>
      <c r="AE197" s="83"/>
      <c r="AF197" s="83"/>
      <c r="AG197" s="83"/>
      <c r="AH197" s="281">
        <f>IFERROR(-AN126,0)</f>
        <v>0</v>
      </c>
      <c r="AI197" s="281"/>
      <c r="AJ197" s="281"/>
      <c r="AK197" s="281"/>
      <c r="AL197" s="281"/>
      <c r="AM197" s="281"/>
      <c r="AN197" s="281" t="str">
        <f t="shared" si="12"/>
        <v/>
      </c>
      <c r="AO197" s="281"/>
      <c r="AP197" s="281"/>
      <c r="AQ197" s="281"/>
      <c r="AR197" s="281"/>
      <c r="AS197" s="83"/>
      <c r="AT197" s="287" t="str">
        <f t="shared" si="13"/>
        <v/>
      </c>
      <c r="AU197" s="287"/>
      <c r="AV197" s="287"/>
      <c r="AW197" s="287"/>
    </row>
    <row r="198" spans="2:49" ht="22.5" customHeight="1" x14ac:dyDescent="0.25">
      <c r="B198" s="273"/>
      <c r="C198" s="273"/>
      <c r="D198" s="270" t="s">
        <v>6174</v>
      </c>
      <c r="E198" s="270"/>
      <c r="F198" s="270"/>
      <c r="G198" s="270"/>
      <c r="H198" s="270"/>
      <c r="I198" s="270"/>
      <c r="J198" s="270"/>
      <c r="K198" s="270"/>
      <c r="L198" s="270"/>
      <c r="M198" s="270"/>
      <c r="N198" s="270"/>
      <c r="O198" s="83"/>
      <c r="P198" s="83"/>
      <c r="Q198" s="83"/>
      <c r="R198" s="83"/>
      <c r="S198" s="83"/>
      <c r="T198" s="83"/>
      <c r="U198" s="83"/>
      <c r="V198" s="83"/>
      <c r="W198" s="83"/>
      <c r="X198" s="83"/>
      <c r="Y198" s="83"/>
      <c r="Z198" s="83"/>
      <c r="AA198" s="83"/>
      <c r="AB198" s="83"/>
      <c r="AC198" s="83"/>
      <c r="AD198" s="83"/>
      <c r="AE198" s="83"/>
      <c r="AF198" s="83"/>
      <c r="AG198" s="83"/>
      <c r="AH198" s="281">
        <f>IFERROR(-AN133,0)</f>
        <v>0</v>
      </c>
      <c r="AI198" s="281"/>
      <c r="AJ198" s="281"/>
      <c r="AK198" s="281"/>
      <c r="AL198" s="281"/>
      <c r="AM198" s="281"/>
      <c r="AN198" s="281" t="str">
        <f t="shared" si="12"/>
        <v/>
      </c>
      <c r="AO198" s="281"/>
      <c r="AP198" s="281"/>
      <c r="AQ198" s="281"/>
      <c r="AR198" s="281"/>
      <c r="AS198" s="83"/>
      <c r="AT198" s="287" t="str">
        <f t="shared" si="13"/>
        <v/>
      </c>
      <c r="AU198" s="287"/>
      <c r="AV198" s="287"/>
      <c r="AW198" s="287"/>
    </row>
    <row r="199" spans="2:49" ht="22.5" customHeight="1" thickBot="1" x14ac:dyDescent="0.3">
      <c r="B199" s="274"/>
      <c r="C199" s="274"/>
      <c r="D199" s="272" t="s">
        <v>6202</v>
      </c>
      <c r="E199" s="272"/>
      <c r="F199" s="272"/>
      <c r="G199" s="272"/>
      <c r="H199" s="272"/>
      <c r="I199" s="272"/>
      <c r="J199" s="272"/>
      <c r="K199" s="272"/>
      <c r="L199" s="272"/>
      <c r="M199" s="272"/>
      <c r="N199" s="272"/>
      <c r="O199" s="84"/>
      <c r="P199" s="84"/>
      <c r="Q199" s="84"/>
      <c r="R199" s="84"/>
      <c r="S199" s="84"/>
      <c r="T199" s="84"/>
      <c r="U199" s="84"/>
      <c r="V199" s="84"/>
      <c r="W199" s="84"/>
      <c r="X199" s="84"/>
      <c r="Y199" s="84"/>
      <c r="Z199" s="84"/>
      <c r="AA199" s="84"/>
      <c r="AB199" s="84"/>
      <c r="AC199" s="84"/>
      <c r="AD199" s="84"/>
      <c r="AE199" s="84"/>
      <c r="AF199" s="84"/>
      <c r="AG199" s="84"/>
      <c r="AH199" s="282">
        <f>IFERROR(-Z133,0)</f>
        <v>0</v>
      </c>
      <c r="AI199" s="282"/>
      <c r="AJ199" s="282"/>
      <c r="AK199" s="282"/>
      <c r="AL199" s="282"/>
      <c r="AM199" s="282"/>
      <c r="AN199" s="282" t="str">
        <f t="shared" si="12"/>
        <v/>
      </c>
      <c r="AO199" s="282"/>
      <c r="AP199" s="282"/>
      <c r="AQ199" s="282"/>
      <c r="AR199" s="282"/>
      <c r="AS199" s="84"/>
      <c r="AT199" s="288" t="str">
        <f t="shared" si="13"/>
        <v/>
      </c>
      <c r="AU199" s="288"/>
      <c r="AV199" s="288"/>
      <c r="AW199" s="288"/>
    </row>
    <row r="200" spans="2:49" ht="22.5" customHeight="1" thickBot="1" x14ac:dyDescent="0.3">
      <c r="B200" s="276"/>
      <c r="C200" s="276"/>
      <c r="D200" s="277" t="s">
        <v>6225</v>
      </c>
      <c r="E200" s="277"/>
      <c r="F200" s="277"/>
      <c r="G200" s="277"/>
      <c r="H200" s="277"/>
      <c r="I200" s="277"/>
      <c r="J200" s="277"/>
      <c r="K200" s="277"/>
      <c r="L200" s="277"/>
      <c r="M200" s="277"/>
      <c r="N200" s="277"/>
      <c r="O200" s="85"/>
      <c r="P200" s="85"/>
      <c r="Q200" s="85"/>
      <c r="R200" s="85"/>
      <c r="S200" s="85"/>
      <c r="T200" s="85"/>
      <c r="U200" s="85"/>
      <c r="V200" s="85"/>
      <c r="W200" s="85"/>
      <c r="X200" s="85"/>
      <c r="Y200" s="85"/>
      <c r="Z200" s="85"/>
      <c r="AA200" s="85"/>
      <c r="AB200" s="85"/>
      <c r="AC200" s="85"/>
      <c r="AD200" s="85"/>
      <c r="AE200" s="85"/>
      <c r="AF200" s="85"/>
      <c r="AG200" s="85"/>
      <c r="AH200" s="285">
        <f>IFERROR(-SUM(Z140:AD141),0)</f>
        <v>0</v>
      </c>
      <c r="AI200" s="285"/>
      <c r="AJ200" s="285"/>
      <c r="AK200" s="285"/>
      <c r="AL200" s="285"/>
      <c r="AM200" s="285"/>
      <c r="AN200" s="285" t="str">
        <f t="shared" si="12"/>
        <v/>
      </c>
      <c r="AO200" s="285"/>
      <c r="AP200" s="285"/>
      <c r="AQ200" s="285"/>
      <c r="AR200" s="285"/>
      <c r="AS200" s="85"/>
      <c r="AT200" s="290" t="str">
        <f t="shared" si="13"/>
        <v/>
      </c>
      <c r="AU200" s="290"/>
      <c r="AV200" s="290"/>
      <c r="AW200" s="290"/>
    </row>
    <row r="201" spans="2:49" ht="22.5" customHeight="1" x14ac:dyDescent="0.25">
      <c r="B201" s="273" t="s">
        <v>6215</v>
      </c>
      <c r="C201" s="273"/>
      <c r="D201" s="270" t="s">
        <v>6196</v>
      </c>
      <c r="E201" s="270"/>
      <c r="F201" s="270"/>
      <c r="G201" s="270"/>
      <c r="H201" s="270"/>
      <c r="I201" s="270"/>
      <c r="J201" s="270"/>
      <c r="K201" s="270"/>
      <c r="L201" s="270"/>
      <c r="M201" s="270"/>
      <c r="N201" s="270"/>
      <c r="O201" s="82"/>
      <c r="P201" s="82"/>
      <c r="Q201" s="82"/>
      <c r="R201" s="82"/>
      <c r="S201" s="82"/>
      <c r="T201" s="82"/>
      <c r="U201" s="82"/>
      <c r="V201" s="82"/>
      <c r="W201" s="82"/>
      <c r="X201" s="82"/>
      <c r="Y201" s="82"/>
      <c r="Z201" s="82"/>
      <c r="AA201" s="82"/>
      <c r="AB201" s="82"/>
      <c r="AC201" s="82"/>
      <c r="AD201" s="82"/>
      <c r="AE201" s="82"/>
      <c r="AF201" s="82"/>
      <c r="AG201" s="82"/>
      <c r="AH201" s="280">
        <f>IFERROR(-Z146,0)</f>
        <v>0</v>
      </c>
      <c r="AI201" s="280"/>
      <c r="AJ201" s="280"/>
      <c r="AK201" s="280"/>
      <c r="AL201" s="280"/>
      <c r="AM201" s="280"/>
      <c r="AN201" s="280" t="str">
        <f t="shared" si="12"/>
        <v/>
      </c>
      <c r="AO201" s="280"/>
      <c r="AP201" s="280"/>
      <c r="AQ201" s="280"/>
      <c r="AR201" s="280"/>
      <c r="AS201" s="82"/>
      <c r="AT201" s="286" t="str">
        <f t="shared" si="13"/>
        <v/>
      </c>
      <c r="AU201" s="286"/>
      <c r="AV201" s="286"/>
      <c r="AW201" s="286"/>
    </row>
    <row r="202" spans="2:49" ht="22.5" customHeight="1" x14ac:dyDescent="0.25">
      <c r="B202" s="273"/>
      <c r="C202" s="273"/>
      <c r="D202" s="270" t="s">
        <v>6197</v>
      </c>
      <c r="E202" s="270"/>
      <c r="F202" s="270"/>
      <c r="G202" s="270"/>
      <c r="H202" s="270"/>
      <c r="I202" s="270"/>
      <c r="J202" s="270"/>
      <c r="K202" s="270"/>
      <c r="L202" s="270"/>
      <c r="M202" s="270"/>
      <c r="N202" s="270"/>
      <c r="O202" s="83"/>
      <c r="P202" s="83"/>
      <c r="Q202" s="83"/>
      <c r="R202" s="83"/>
      <c r="S202" s="83"/>
      <c r="T202" s="83"/>
      <c r="U202" s="83"/>
      <c r="V202" s="83"/>
      <c r="W202" s="83"/>
      <c r="X202" s="83"/>
      <c r="Y202" s="83"/>
      <c r="Z202" s="83"/>
      <c r="AA202" s="83"/>
      <c r="AB202" s="83"/>
      <c r="AC202" s="83"/>
      <c r="AD202" s="83"/>
      <c r="AE202" s="83"/>
      <c r="AF202" s="83"/>
      <c r="AG202" s="83"/>
      <c r="AH202" s="281">
        <f>IFERROR(-Z147,0)</f>
        <v>0</v>
      </c>
      <c r="AI202" s="281"/>
      <c r="AJ202" s="281"/>
      <c r="AK202" s="281"/>
      <c r="AL202" s="281"/>
      <c r="AM202" s="281"/>
      <c r="AN202" s="281" t="str">
        <f t="shared" si="12"/>
        <v/>
      </c>
      <c r="AO202" s="281"/>
      <c r="AP202" s="281"/>
      <c r="AQ202" s="281"/>
      <c r="AR202" s="281"/>
      <c r="AS202" s="83"/>
      <c r="AT202" s="287" t="str">
        <f t="shared" si="13"/>
        <v/>
      </c>
      <c r="AU202" s="287"/>
      <c r="AV202" s="287"/>
      <c r="AW202" s="287"/>
    </row>
    <row r="203" spans="2:49" ht="22.5" customHeight="1" x14ac:dyDescent="0.25">
      <c r="B203" s="273"/>
      <c r="C203" s="273"/>
      <c r="D203" s="270" t="s">
        <v>6198</v>
      </c>
      <c r="E203" s="270"/>
      <c r="F203" s="270"/>
      <c r="G203" s="270"/>
      <c r="H203" s="270"/>
      <c r="I203" s="270"/>
      <c r="J203" s="270"/>
      <c r="K203" s="270"/>
      <c r="L203" s="270"/>
      <c r="M203" s="270"/>
      <c r="N203" s="270"/>
      <c r="O203" s="83"/>
      <c r="P203" s="83"/>
      <c r="Q203" s="83"/>
      <c r="R203" s="83"/>
      <c r="S203" s="83"/>
      <c r="T203" s="83"/>
      <c r="U203" s="83"/>
      <c r="V203" s="83"/>
      <c r="W203" s="83"/>
      <c r="X203" s="83"/>
      <c r="Y203" s="83"/>
      <c r="Z203" s="83"/>
      <c r="AA203" s="83"/>
      <c r="AB203" s="83"/>
      <c r="AC203" s="83"/>
      <c r="AD203" s="83"/>
      <c r="AE203" s="83"/>
      <c r="AF203" s="83"/>
      <c r="AG203" s="83"/>
      <c r="AH203" s="281">
        <f>IFERROR(-Z148,0)</f>
        <v>0</v>
      </c>
      <c r="AI203" s="281"/>
      <c r="AJ203" s="281"/>
      <c r="AK203" s="281"/>
      <c r="AL203" s="281"/>
      <c r="AM203" s="281"/>
      <c r="AN203" s="281" t="str">
        <f t="shared" si="12"/>
        <v/>
      </c>
      <c r="AO203" s="281"/>
      <c r="AP203" s="281"/>
      <c r="AQ203" s="281"/>
      <c r="AR203" s="281"/>
      <c r="AS203" s="83"/>
      <c r="AT203" s="287" t="str">
        <f t="shared" si="13"/>
        <v/>
      </c>
      <c r="AU203" s="287"/>
      <c r="AV203" s="287"/>
      <c r="AW203" s="287"/>
    </row>
    <row r="204" spans="2:49" ht="22.5" customHeight="1" x14ac:dyDescent="0.25">
      <c r="B204" s="273"/>
      <c r="C204" s="273"/>
      <c r="D204" s="270" t="s">
        <v>6199</v>
      </c>
      <c r="E204" s="270"/>
      <c r="F204" s="270"/>
      <c r="G204" s="270"/>
      <c r="H204" s="270"/>
      <c r="I204" s="270"/>
      <c r="J204" s="270"/>
      <c r="K204" s="270"/>
      <c r="L204" s="270"/>
      <c r="M204" s="270"/>
      <c r="N204" s="270"/>
      <c r="O204" s="83"/>
      <c r="P204" s="83"/>
      <c r="Q204" s="83"/>
      <c r="R204" s="83"/>
      <c r="S204" s="83"/>
      <c r="T204" s="83"/>
      <c r="U204" s="83"/>
      <c r="V204" s="83"/>
      <c r="W204" s="83"/>
      <c r="X204" s="83"/>
      <c r="Y204" s="83"/>
      <c r="Z204" s="83"/>
      <c r="AA204" s="83"/>
      <c r="AB204" s="83"/>
      <c r="AC204" s="83"/>
      <c r="AD204" s="83"/>
      <c r="AE204" s="83"/>
      <c r="AF204" s="83"/>
      <c r="AG204" s="83"/>
      <c r="AH204" s="281">
        <f>IFERROR(-Z149,0)</f>
        <v>0</v>
      </c>
      <c r="AI204" s="281"/>
      <c r="AJ204" s="281"/>
      <c r="AK204" s="281"/>
      <c r="AL204" s="281"/>
      <c r="AM204" s="281"/>
      <c r="AN204" s="281" t="str">
        <f t="shared" si="12"/>
        <v/>
      </c>
      <c r="AO204" s="281"/>
      <c r="AP204" s="281"/>
      <c r="AQ204" s="281"/>
      <c r="AR204" s="281"/>
      <c r="AS204" s="83"/>
      <c r="AT204" s="287" t="str">
        <f t="shared" si="13"/>
        <v/>
      </c>
      <c r="AU204" s="287"/>
      <c r="AV204" s="287"/>
      <c r="AW204" s="287"/>
    </row>
    <row r="205" spans="2:49" ht="22.5" customHeight="1" x14ac:dyDescent="0.25">
      <c r="B205" s="273"/>
      <c r="C205" s="273"/>
      <c r="D205" s="270" t="s">
        <v>6200</v>
      </c>
      <c r="E205" s="270"/>
      <c r="F205" s="270"/>
      <c r="G205" s="270"/>
      <c r="H205" s="270"/>
      <c r="I205" s="270"/>
      <c r="J205" s="270"/>
      <c r="K205" s="270"/>
      <c r="L205" s="270"/>
      <c r="M205" s="270"/>
      <c r="N205" s="270"/>
      <c r="O205" s="83"/>
      <c r="P205" s="83"/>
      <c r="Q205" s="83"/>
      <c r="R205" s="83"/>
      <c r="S205" s="83"/>
      <c r="T205" s="83"/>
      <c r="U205" s="83"/>
      <c r="V205" s="83"/>
      <c r="W205" s="83"/>
      <c r="X205" s="83"/>
      <c r="Y205" s="83"/>
      <c r="Z205" s="83"/>
      <c r="AA205" s="83"/>
      <c r="AB205" s="83"/>
      <c r="AC205" s="83"/>
      <c r="AD205" s="83"/>
      <c r="AE205" s="83"/>
      <c r="AF205" s="83"/>
      <c r="AG205" s="83"/>
      <c r="AH205" s="281">
        <f>IFERROR(-Z150,0)</f>
        <v>0</v>
      </c>
      <c r="AI205" s="281"/>
      <c r="AJ205" s="281"/>
      <c r="AK205" s="281"/>
      <c r="AL205" s="281"/>
      <c r="AM205" s="281"/>
      <c r="AN205" s="281" t="str">
        <f t="shared" si="12"/>
        <v/>
      </c>
      <c r="AO205" s="281"/>
      <c r="AP205" s="281"/>
      <c r="AQ205" s="281"/>
      <c r="AR205" s="281"/>
      <c r="AS205" s="83"/>
      <c r="AT205" s="287" t="str">
        <f t="shared" si="13"/>
        <v/>
      </c>
      <c r="AU205" s="287"/>
      <c r="AV205" s="287"/>
      <c r="AW205" s="287"/>
    </row>
    <row r="206" spans="2:49" ht="22.5" customHeight="1" x14ac:dyDescent="0.25">
      <c r="B206" s="273"/>
      <c r="C206" s="273"/>
      <c r="D206" s="270" t="s">
        <v>6226</v>
      </c>
      <c r="E206" s="270"/>
      <c r="F206" s="270"/>
      <c r="G206" s="270"/>
      <c r="H206" s="270"/>
      <c r="I206" s="270"/>
      <c r="J206" s="270"/>
      <c r="K206" s="270"/>
      <c r="L206" s="270"/>
      <c r="M206" s="270"/>
      <c r="N206" s="270"/>
      <c r="O206" s="83"/>
      <c r="P206" s="83"/>
      <c r="Q206" s="83"/>
      <c r="R206" s="83"/>
      <c r="S206" s="83"/>
      <c r="T206" s="83"/>
      <c r="U206" s="83"/>
      <c r="V206" s="83"/>
      <c r="W206" s="83"/>
      <c r="X206" s="83"/>
      <c r="Y206" s="83"/>
      <c r="Z206" s="83"/>
      <c r="AA206" s="83"/>
      <c r="AB206" s="83"/>
      <c r="AC206" s="83"/>
      <c r="AD206" s="83"/>
      <c r="AE206" s="83"/>
      <c r="AF206" s="83"/>
      <c r="AG206" s="83"/>
      <c r="AH206" s="281">
        <f>IFERROR(-AP149+AP151,0)</f>
        <v>0</v>
      </c>
      <c r="AI206" s="281"/>
      <c r="AJ206" s="281"/>
      <c r="AK206" s="281"/>
      <c r="AL206" s="281"/>
      <c r="AM206" s="281"/>
      <c r="AN206" s="281" t="str">
        <f t="shared" si="12"/>
        <v/>
      </c>
      <c r="AO206" s="281"/>
      <c r="AP206" s="281"/>
      <c r="AQ206" s="281"/>
      <c r="AR206" s="281"/>
      <c r="AS206" s="83"/>
      <c r="AT206" s="287" t="str">
        <f t="shared" si="13"/>
        <v/>
      </c>
      <c r="AU206" s="287"/>
      <c r="AV206" s="287"/>
      <c r="AW206" s="287"/>
    </row>
    <row r="207" spans="2:49" ht="22.5" customHeight="1" thickBot="1" x14ac:dyDescent="0.3">
      <c r="B207" s="274"/>
      <c r="C207" s="274"/>
      <c r="D207" s="272" t="s">
        <v>6202</v>
      </c>
      <c r="E207" s="272"/>
      <c r="F207" s="272"/>
      <c r="G207" s="272"/>
      <c r="H207" s="272"/>
      <c r="I207" s="272"/>
      <c r="J207" s="272"/>
      <c r="K207" s="272"/>
      <c r="L207" s="272"/>
      <c r="M207" s="272"/>
      <c r="N207" s="272"/>
      <c r="O207" s="84"/>
      <c r="P207" s="84"/>
      <c r="Q207" s="84"/>
      <c r="R207" s="84"/>
      <c r="S207" s="84"/>
      <c r="T207" s="84"/>
      <c r="U207" s="84"/>
      <c r="V207" s="84"/>
      <c r="W207" s="84"/>
      <c r="X207" s="84"/>
      <c r="Y207" s="84"/>
      <c r="Z207" s="84"/>
      <c r="AA207" s="84"/>
      <c r="AB207" s="84"/>
      <c r="AC207" s="84"/>
      <c r="AD207" s="84"/>
      <c r="AE207" s="84"/>
      <c r="AF207" s="84"/>
      <c r="AG207" s="84"/>
      <c r="AH207" s="282">
        <f>IFERROR(-Z152,0)</f>
        <v>0</v>
      </c>
      <c r="AI207" s="282"/>
      <c r="AJ207" s="282"/>
      <c r="AK207" s="282"/>
      <c r="AL207" s="282"/>
      <c r="AM207" s="282"/>
      <c r="AN207" s="282" t="str">
        <f t="shared" si="12"/>
        <v/>
      </c>
      <c r="AO207" s="282"/>
      <c r="AP207" s="282"/>
      <c r="AQ207" s="282"/>
      <c r="AR207" s="282"/>
      <c r="AS207" s="84"/>
      <c r="AT207" s="288" t="str">
        <f t="shared" si="13"/>
        <v/>
      </c>
      <c r="AU207" s="288"/>
      <c r="AV207" s="288"/>
      <c r="AW207" s="288"/>
    </row>
    <row r="208" spans="2:49" ht="22.5" customHeight="1" x14ac:dyDescent="0.25">
      <c r="B208" s="273" t="s">
        <v>6216</v>
      </c>
      <c r="C208" s="273"/>
      <c r="D208" s="270" t="s">
        <v>6207</v>
      </c>
      <c r="E208" s="270"/>
      <c r="F208" s="270"/>
      <c r="G208" s="270"/>
      <c r="H208" s="270"/>
      <c r="I208" s="270"/>
      <c r="J208" s="270"/>
      <c r="K208" s="270"/>
      <c r="L208" s="270"/>
      <c r="M208" s="270"/>
      <c r="N208" s="270"/>
      <c r="O208" s="82"/>
      <c r="P208" s="82"/>
      <c r="Q208" s="82"/>
      <c r="R208" s="82"/>
      <c r="S208" s="82"/>
      <c r="T208" s="82"/>
      <c r="U208" s="82"/>
      <c r="V208" s="82"/>
      <c r="W208" s="82"/>
      <c r="X208" s="82"/>
      <c r="Y208" s="82"/>
      <c r="Z208" s="82"/>
      <c r="AA208" s="82"/>
      <c r="AB208" s="82"/>
      <c r="AC208" s="82"/>
      <c r="AD208" s="82"/>
      <c r="AE208" s="82"/>
      <c r="AF208" s="82"/>
      <c r="AG208" s="82"/>
      <c r="AH208" s="280">
        <f>IFERROR(-Z159,0)</f>
        <v>0</v>
      </c>
      <c r="AI208" s="280"/>
      <c r="AJ208" s="280"/>
      <c r="AK208" s="280"/>
      <c r="AL208" s="280"/>
      <c r="AM208" s="280"/>
      <c r="AN208" s="280" t="str">
        <f t="shared" si="12"/>
        <v/>
      </c>
      <c r="AO208" s="280"/>
      <c r="AP208" s="280"/>
      <c r="AQ208" s="280"/>
      <c r="AR208" s="280"/>
      <c r="AS208" s="82"/>
      <c r="AT208" s="286" t="str">
        <f t="shared" si="13"/>
        <v/>
      </c>
      <c r="AU208" s="286"/>
      <c r="AV208" s="286"/>
      <c r="AW208" s="286"/>
    </row>
    <row r="209" spans="2:49" ht="22.5" customHeight="1" x14ac:dyDescent="0.25">
      <c r="B209" s="273"/>
      <c r="C209" s="273"/>
      <c r="D209" s="270" t="s">
        <v>6184</v>
      </c>
      <c r="E209" s="270"/>
      <c r="F209" s="270"/>
      <c r="G209" s="270"/>
      <c r="H209" s="270"/>
      <c r="I209" s="270"/>
      <c r="J209" s="270"/>
      <c r="K209" s="270"/>
      <c r="L209" s="270"/>
      <c r="M209" s="270"/>
      <c r="N209" s="270"/>
      <c r="O209" s="83"/>
      <c r="P209" s="83"/>
      <c r="Q209" s="83"/>
      <c r="R209" s="83"/>
      <c r="S209" s="83"/>
      <c r="T209" s="83"/>
      <c r="U209" s="83"/>
      <c r="V209" s="83"/>
      <c r="W209" s="83"/>
      <c r="X209" s="83"/>
      <c r="Y209" s="83"/>
      <c r="Z209" s="83"/>
      <c r="AA209" s="83"/>
      <c r="AB209" s="83"/>
      <c r="AC209" s="83"/>
      <c r="AD209" s="83"/>
      <c r="AE209" s="83"/>
      <c r="AF209" s="83"/>
      <c r="AG209" s="83"/>
      <c r="AH209" s="281">
        <f>IFERROR(-Z160,0)</f>
        <v>0</v>
      </c>
      <c r="AI209" s="281"/>
      <c r="AJ209" s="281"/>
      <c r="AK209" s="281"/>
      <c r="AL209" s="281"/>
      <c r="AM209" s="281"/>
      <c r="AN209" s="281" t="str">
        <f t="shared" si="12"/>
        <v/>
      </c>
      <c r="AO209" s="281"/>
      <c r="AP209" s="281"/>
      <c r="AQ209" s="281"/>
      <c r="AR209" s="281"/>
      <c r="AS209" s="83"/>
      <c r="AT209" s="287" t="str">
        <f t="shared" si="13"/>
        <v/>
      </c>
      <c r="AU209" s="287"/>
      <c r="AV209" s="287"/>
      <c r="AW209" s="287"/>
    </row>
    <row r="210" spans="2:49" ht="22.5" customHeight="1" x14ac:dyDescent="0.25">
      <c r="B210" s="273"/>
      <c r="C210" s="273"/>
      <c r="D210" s="270" t="s">
        <v>6208</v>
      </c>
      <c r="E210" s="270"/>
      <c r="F210" s="270"/>
      <c r="G210" s="270"/>
      <c r="H210" s="270"/>
      <c r="I210" s="270"/>
      <c r="J210" s="270"/>
      <c r="K210" s="270"/>
      <c r="L210" s="270"/>
      <c r="M210" s="270"/>
      <c r="N210" s="270"/>
      <c r="O210" s="83"/>
      <c r="P210" s="83"/>
      <c r="Q210" s="83"/>
      <c r="R210" s="83"/>
      <c r="S210" s="83"/>
      <c r="T210" s="83"/>
      <c r="U210" s="83"/>
      <c r="V210" s="83"/>
      <c r="W210" s="83"/>
      <c r="X210" s="83"/>
      <c r="Y210" s="83"/>
      <c r="Z210" s="83"/>
      <c r="AA210" s="83"/>
      <c r="AB210" s="83"/>
      <c r="AC210" s="83"/>
      <c r="AD210" s="83"/>
      <c r="AE210" s="83"/>
      <c r="AF210" s="83"/>
      <c r="AG210" s="83"/>
      <c r="AH210" s="281">
        <f>IFERROR(-Z161,0)</f>
        <v>0</v>
      </c>
      <c r="AI210" s="281"/>
      <c r="AJ210" s="281"/>
      <c r="AK210" s="281"/>
      <c r="AL210" s="281"/>
      <c r="AM210" s="281"/>
      <c r="AN210" s="281" t="str">
        <f t="shared" si="12"/>
        <v/>
      </c>
      <c r="AO210" s="281"/>
      <c r="AP210" s="281"/>
      <c r="AQ210" s="281"/>
      <c r="AR210" s="281"/>
      <c r="AS210" s="83"/>
      <c r="AT210" s="287" t="str">
        <f t="shared" si="13"/>
        <v/>
      </c>
      <c r="AU210" s="287"/>
      <c r="AV210" s="287"/>
      <c r="AW210" s="287"/>
    </row>
    <row r="211" spans="2:49" ht="22.5" customHeight="1" thickBot="1" x14ac:dyDescent="0.3">
      <c r="B211" s="274"/>
      <c r="C211" s="274"/>
      <c r="D211" s="272" t="s">
        <v>6202</v>
      </c>
      <c r="E211" s="272"/>
      <c r="F211" s="272"/>
      <c r="G211" s="272"/>
      <c r="H211" s="272"/>
      <c r="I211" s="272"/>
      <c r="J211" s="272"/>
      <c r="K211" s="272"/>
      <c r="L211" s="272"/>
      <c r="M211" s="272"/>
      <c r="N211" s="272"/>
      <c r="O211" s="84"/>
      <c r="P211" s="84"/>
      <c r="Q211" s="84"/>
      <c r="R211" s="84"/>
      <c r="S211" s="84"/>
      <c r="T211" s="84"/>
      <c r="U211" s="84"/>
      <c r="V211" s="84"/>
      <c r="W211" s="84"/>
      <c r="X211" s="84"/>
      <c r="Y211" s="84"/>
      <c r="Z211" s="84"/>
      <c r="AA211" s="84"/>
      <c r="AB211" s="84"/>
      <c r="AC211" s="84"/>
      <c r="AD211" s="84"/>
      <c r="AE211" s="84"/>
      <c r="AF211" s="84"/>
      <c r="AG211" s="84"/>
      <c r="AH211" s="282">
        <f>IFERROR(-Z162,0)</f>
        <v>0</v>
      </c>
      <c r="AI211" s="282"/>
      <c r="AJ211" s="282"/>
      <c r="AK211" s="282"/>
      <c r="AL211" s="282"/>
      <c r="AM211" s="282"/>
      <c r="AN211" s="282" t="str">
        <f t="shared" si="12"/>
        <v/>
      </c>
      <c r="AO211" s="282"/>
      <c r="AP211" s="282"/>
      <c r="AQ211" s="282"/>
      <c r="AR211" s="282"/>
      <c r="AS211" s="84"/>
      <c r="AT211" s="288" t="str">
        <f t="shared" si="13"/>
        <v/>
      </c>
      <c r="AU211" s="288"/>
      <c r="AV211" s="288"/>
      <c r="AW211" s="288"/>
    </row>
    <row r="212" spans="2:49" ht="22.5" customHeight="1" x14ac:dyDescent="0.25">
      <c r="B212" s="80"/>
      <c r="C212" s="80"/>
      <c r="D212" s="270" t="s">
        <v>6227</v>
      </c>
      <c r="E212" s="270"/>
      <c r="F212" s="270"/>
      <c r="G212" s="270"/>
      <c r="H212" s="270"/>
      <c r="I212" s="270"/>
      <c r="J212" s="270"/>
      <c r="K212" s="270"/>
      <c r="L212" s="270"/>
      <c r="M212" s="270"/>
      <c r="N212" s="270"/>
      <c r="O212" s="82"/>
      <c r="P212" s="82"/>
      <c r="Q212" s="82"/>
      <c r="R212" s="82"/>
      <c r="S212" s="82"/>
      <c r="T212" s="82"/>
      <c r="U212" s="82"/>
      <c r="V212" s="82"/>
      <c r="W212" s="82"/>
      <c r="X212" s="82"/>
      <c r="Y212" s="82"/>
      <c r="Z212" s="82"/>
      <c r="AA212" s="82"/>
      <c r="AB212" s="82"/>
      <c r="AC212" s="82"/>
      <c r="AD212" s="82"/>
      <c r="AE212" s="82"/>
      <c r="AF212" s="82"/>
      <c r="AG212" s="82"/>
      <c r="AH212" s="280">
        <f>IFERROR(-U172,0)</f>
        <v>0</v>
      </c>
      <c r="AI212" s="280"/>
      <c r="AJ212" s="280"/>
      <c r="AK212" s="280"/>
      <c r="AL212" s="280"/>
      <c r="AM212" s="280"/>
      <c r="AN212" s="280" t="str">
        <f t="shared" si="12"/>
        <v/>
      </c>
      <c r="AO212" s="280"/>
      <c r="AP212" s="280"/>
      <c r="AQ212" s="280"/>
      <c r="AR212" s="280"/>
      <c r="AS212" s="82"/>
      <c r="AT212" s="286" t="str">
        <f t="shared" si="13"/>
        <v/>
      </c>
      <c r="AU212" s="286"/>
      <c r="AV212" s="286"/>
      <c r="AW212" s="286"/>
    </row>
    <row r="213" spans="2:49" ht="22.5" customHeight="1" thickBot="1" x14ac:dyDescent="0.3">
      <c r="B213" s="81"/>
      <c r="C213" s="81"/>
      <c r="D213" s="272" t="s">
        <v>6228</v>
      </c>
      <c r="E213" s="272"/>
      <c r="F213" s="272"/>
      <c r="G213" s="272"/>
      <c r="H213" s="272"/>
      <c r="I213" s="272"/>
      <c r="J213" s="272"/>
      <c r="K213" s="272"/>
      <c r="L213" s="272"/>
      <c r="M213" s="272"/>
      <c r="N213" s="272"/>
      <c r="O213" s="84"/>
      <c r="P213" s="84"/>
      <c r="Q213" s="84"/>
      <c r="R213" s="84"/>
      <c r="S213" s="84"/>
      <c r="T213" s="84"/>
      <c r="U213" s="84"/>
      <c r="V213" s="84"/>
      <c r="W213" s="84"/>
      <c r="X213" s="84"/>
      <c r="Y213" s="84"/>
      <c r="Z213" s="84"/>
      <c r="AA213" s="84"/>
      <c r="AB213" s="84"/>
      <c r="AC213" s="84"/>
      <c r="AD213" s="84"/>
      <c r="AE213" s="84"/>
      <c r="AF213" s="84"/>
      <c r="AG213" s="84"/>
      <c r="AH213" s="282">
        <f>IFERROR(-Z177,0)</f>
        <v>0</v>
      </c>
      <c r="AI213" s="282"/>
      <c r="AJ213" s="282"/>
      <c r="AK213" s="282"/>
      <c r="AL213" s="282"/>
      <c r="AM213" s="282"/>
      <c r="AN213" s="282" t="str">
        <f t="shared" si="12"/>
        <v/>
      </c>
      <c r="AO213" s="282"/>
      <c r="AP213" s="282"/>
      <c r="AQ213" s="282"/>
      <c r="AR213" s="282"/>
      <c r="AS213" s="84"/>
      <c r="AT213" s="288" t="str">
        <f t="shared" si="13"/>
        <v/>
      </c>
      <c r="AU213" s="288"/>
      <c r="AV213" s="288"/>
      <c r="AW213" s="288"/>
    </row>
    <row r="214" spans="2:49" ht="22.5" customHeight="1" x14ac:dyDescent="0.25">
      <c r="B214" s="86"/>
      <c r="C214" s="86"/>
      <c r="D214" s="275" t="s">
        <v>6230</v>
      </c>
      <c r="E214" s="275"/>
      <c r="F214" s="275"/>
      <c r="G214" s="275"/>
      <c r="H214" s="275"/>
      <c r="I214" s="275"/>
      <c r="J214" s="275"/>
      <c r="K214" s="275"/>
      <c r="L214" s="275"/>
      <c r="M214" s="275"/>
      <c r="N214" s="275"/>
      <c r="O214" s="87"/>
      <c r="P214" s="87"/>
      <c r="Q214" s="87"/>
      <c r="R214" s="87"/>
      <c r="S214" s="87"/>
      <c r="T214" s="87"/>
      <c r="U214" s="87"/>
      <c r="V214" s="87"/>
      <c r="W214" s="87"/>
      <c r="X214" s="87"/>
      <c r="Y214" s="87"/>
      <c r="Z214" s="87"/>
      <c r="AA214" s="87"/>
      <c r="AB214" s="87"/>
      <c r="AC214" s="87"/>
      <c r="AD214" s="87"/>
      <c r="AE214" s="87"/>
      <c r="AF214" s="87"/>
      <c r="AG214" s="87"/>
      <c r="AH214" s="283">
        <f>SUM(AH181:AM213)</f>
        <v>0</v>
      </c>
      <c r="AI214" s="284"/>
      <c r="AJ214" s="284"/>
      <c r="AK214" s="284"/>
      <c r="AL214" s="284"/>
      <c r="AM214" s="284"/>
      <c r="AN214" s="283" t="str">
        <f t="shared" si="12"/>
        <v/>
      </c>
      <c r="AO214" s="283"/>
      <c r="AP214" s="283"/>
      <c r="AQ214" s="283"/>
      <c r="AR214" s="283"/>
      <c r="AS214" s="87"/>
      <c r="AT214" s="289" t="str">
        <f>IFERROR(AH214/AH181,"")</f>
        <v/>
      </c>
      <c r="AU214" s="289"/>
      <c r="AV214" s="289"/>
      <c r="AW214" s="289"/>
    </row>
    <row r="215" spans="2:49" ht="22.5" customHeight="1" x14ac:dyDescent="0.25"/>
    <row r="216" spans="2:49" ht="18.75" customHeight="1" x14ac:dyDescent="0.25"/>
    <row r="217" spans="2:49" ht="18.75" customHeight="1" x14ac:dyDescent="0.25"/>
    <row r="218" spans="2:49" ht="18.75" customHeight="1" x14ac:dyDescent="0.25"/>
    <row r="219" spans="2:49" ht="15" customHeight="1" x14ac:dyDescent="0.25"/>
    <row r="220" spans="2:49" ht="15" customHeight="1" x14ac:dyDescent="0.25"/>
    <row r="221" spans="2:49" ht="15" customHeight="1" x14ac:dyDescent="0.25"/>
    <row r="222" spans="2:49" ht="15" customHeight="1" x14ac:dyDescent="0.25"/>
    <row r="223" spans="2:49" ht="15" customHeight="1" x14ac:dyDescent="0.25"/>
    <row r="224" spans="2:49"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sheetData>
  <sheetProtection sheet="1" objects="1" scenarios="1" selectLockedCells="1"/>
  <mergeCells count="736">
    <mergeCell ref="AI127:AM127"/>
    <mergeCell ref="AN127:AR127"/>
    <mergeCell ref="AI129:AR129"/>
    <mergeCell ref="B14:J14"/>
    <mergeCell ref="K14:S14"/>
    <mergeCell ref="T14:Y14"/>
    <mergeCell ref="Z14:AH14"/>
    <mergeCell ref="AI14:AQ14"/>
    <mergeCell ref="AR14:AW14"/>
    <mergeCell ref="B18:J18"/>
    <mergeCell ref="K18:S18"/>
    <mergeCell ref="T18:Y18"/>
    <mergeCell ref="Z18:AH18"/>
    <mergeCell ref="AI18:AQ18"/>
    <mergeCell ref="AR18:AW18"/>
    <mergeCell ref="B17:J17"/>
    <mergeCell ref="K17:S17"/>
    <mergeCell ref="T17:Y17"/>
    <mergeCell ref="Z17:AH17"/>
    <mergeCell ref="AI17:AQ17"/>
    <mergeCell ref="AR17:AW17"/>
    <mergeCell ref="B20:J20"/>
    <mergeCell ref="K20:S20"/>
    <mergeCell ref="T20:Y20"/>
    <mergeCell ref="AR6:AW6"/>
    <mergeCell ref="B10:G10"/>
    <mergeCell ref="H10:S10"/>
    <mergeCell ref="T10:Y10"/>
    <mergeCell ref="Z10:AH10"/>
    <mergeCell ref="AI10:AN10"/>
    <mergeCell ref="AO10:AW10"/>
    <mergeCell ref="B16:J16"/>
    <mergeCell ref="K16:S16"/>
    <mergeCell ref="T16:Y16"/>
    <mergeCell ref="Z16:AH16"/>
    <mergeCell ref="AI16:AQ16"/>
    <mergeCell ref="AR16:AW16"/>
    <mergeCell ref="B15:J15"/>
    <mergeCell ref="K15:S15"/>
    <mergeCell ref="T15:Y15"/>
    <mergeCell ref="Z15:AH15"/>
    <mergeCell ref="AI15:AQ15"/>
    <mergeCell ref="AR15:AW15"/>
    <mergeCell ref="Z20:AH20"/>
    <mergeCell ref="AI20:AQ20"/>
    <mergeCell ref="AR20:AW20"/>
    <mergeCell ref="B19:J19"/>
    <mergeCell ref="K19:S19"/>
    <mergeCell ref="T19:Y19"/>
    <mergeCell ref="Z19:AH19"/>
    <mergeCell ref="AI19:AQ19"/>
    <mergeCell ref="AR19:AW19"/>
    <mergeCell ref="B22:J22"/>
    <mergeCell ref="K22:S22"/>
    <mergeCell ref="T22:Y22"/>
    <mergeCell ref="Z22:AH22"/>
    <mergeCell ref="AI22:AQ22"/>
    <mergeCell ref="AR22:AW22"/>
    <mergeCell ref="B21:J21"/>
    <mergeCell ref="K21:S21"/>
    <mergeCell ref="T21:Y21"/>
    <mergeCell ref="Z21:AH21"/>
    <mergeCell ref="AI21:AQ21"/>
    <mergeCell ref="AR21:AW21"/>
    <mergeCell ref="B24:J24"/>
    <mergeCell ref="K24:S24"/>
    <mergeCell ref="T24:Y24"/>
    <mergeCell ref="Z24:AH24"/>
    <mergeCell ref="AI24:AQ24"/>
    <mergeCell ref="AR24:AW24"/>
    <mergeCell ref="B23:J23"/>
    <mergeCell ref="K23:S23"/>
    <mergeCell ref="T23:Y23"/>
    <mergeCell ref="Z23:AH23"/>
    <mergeCell ref="AI23:AQ23"/>
    <mergeCell ref="AR23:AW23"/>
    <mergeCell ref="B26:J26"/>
    <mergeCell ref="K26:S26"/>
    <mergeCell ref="T26:Y26"/>
    <mergeCell ref="Z26:AH26"/>
    <mergeCell ref="AI26:AQ26"/>
    <mergeCell ref="AR26:AW26"/>
    <mergeCell ref="B25:J25"/>
    <mergeCell ref="K25:S25"/>
    <mergeCell ref="T25:Y25"/>
    <mergeCell ref="Z25:AH25"/>
    <mergeCell ref="AI25:AQ25"/>
    <mergeCell ref="AR25:AW25"/>
    <mergeCell ref="AI28:AQ28"/>
    <mergeCell ref="AR28:AW28"/>
    <mergeCell ref="B30:E30"/>
    <mergeCell ref="F30:I30"/>
    <mergeCell ref="J30:J34"/>
    <mergeCell ref="K30:K34"/>
    <mergeCell ref="L30:L34"/>
    <mergeCell ref="M30:M34"/>
    <mergeCell ref="N30:N34"/>
    <mergeCell ref="O30:O34"/>
    <mergeCell ref="AF30:AF34"/>
    <mergeCell ref="AG30:AG34"/>
    <mergeCell ref="V30:V34"/>
    <mergeCell ref="W30:W34"/>
    <mergeCell ref="X30:X34"/>
    <mergeCell ref="Y30:Y34"/>
    <mergeCell ref="Z30:Z34"/>
    <mergeCell ref="AA30:AA34"/>
    <mergeCell ref="P30:P34"/>
    <mergeCell ref="Q30:Q34"/>
    <mergeCell ref="R30:R34"/>
    <mergeCell ref="S30:S34"/>
    <mergeCell ref="T30:T34"/>
    <mergeCell ref="U30:U34"/>
    <mergeCell ref="AT30:AT34"/>
    <mergeCell ref="AU30:AU34"/>
    <mergeCell ref="AV30:AV34"/>
    <mergeCell ref="AW30:AW34"/>
    <mergeCell ref="B32:E32"/>
    <mergeCell ref="F32:I32"/>
    <mergeCell ref="B34:E34"/>
    <mergeCell ref="F34:I34"/>
    <mergeCell ref="AN30:AN34"/>
    <mergeCell ref="AO30:AO34"/>
    <mergeCell ref="AP30:AP34"/>
    <mergeCell ref="AQ30:AQ34"/>
    <mergeCell ref="AR30:AR34"/>
    <mergeCell ref="AS30:AS34"/>
    <mergeCell ref="AH30:AH34"/>
    <mergeCell ref="AI30:AI34"/>
    <mergeCell ref="AJ30:AJ34"/>
    <mergeCell ref="AK30:AK34"/>
    <mergeCell ref="AL30:AL34"/>
    <mergeCell ref="AM30:AM34"/>
    <mergeCell ref="AB30:AB34"/>
    <mergeCell ref="AC30:AC34"/>
    <mergeCell ref="AD30:AD34"/>
    <mergeCell ref="AE30:AE34"/>
    <mergeCell ref="B38:E38"/>
    <mergeCell ref="F38:I38"/>
    <mergeCell ref="B39:E39"/>
    <mergeCell ref="F39:I39"/>
    <mergeCell ref="J43:Q43"/>
    <mergeCell ref="R43:AG43"/>
    <mergeCell ref="B35:E35"/>
    <mergeCell ref="F35:I35"/>
    <mergeCell ref="B36:E36"/>
    <mergeCell ref="F36:I36"/>
    <mergeCell ref="B37:E37"/>
    <mergeCell ref="F37:I37"/>
    <mergeCell ref="B45:I45"/>
    <mergeCell ref="J45:Q45"/>
    <mergeCell ref="R45:AA45"/>
    <mergeCell ref="AB45:AG45"/>
    <mergeCell ref="AH45:AQ45"/>
    <mergeCell ref="AR45:AW45"/>
    <mergeCell ref="AH43:AW43"/>
    <mergeCell ref="B44:I44"/>
    <mergeCell ref="J44:Q44"/>
    <mergeCell ref="R44:AA44"/>
    <mergeCell ref="AB44:AG44"/>
    <mergeCell ref="AH44:AQ44"/>
    <mergeCell ref="AR44:AW44"/>
    <mergeCell ref="B49:I49"/>
    <mergeCell ref="J49:Q49"/>
    <mergeCell ref="Z49:AG49"/>
    <mergeCell ref="AH49:AO49"/>
    <mergeCell ref="B50:I50"/>
    <mergeCell ref="J50:Q50"/>
    <mergeCell ref="B46:I46"/>
    <mergeCell ref="J46:Q46"/>
    <mergeCell ref="R46:AG46"/>
    <mergeCell ref="AH46:AW46"/>
    <mergeCell ref="B48:I48"/>
    <mergeCell ref="J48:Q48"/>
    <mergeCell ref="Z48:AG48"/>
    <mergeCell ref="AH48:AO48"/>
    <mergeCell ref="B57:I57"/>
    <mergeCell ref="J57:Q57"/>
    <mergeCell ref="Z57:AO57"/>
    <mergeCell ref="B58:I58"/>
    <mergeCell ref="J58:M58"/>
    <mergeCell ref="N58:Q58"/>
    <mergeCell ref="B54:I54"/>
    <mergeCell ref="J54:Q54"/>
    <mergeCell ref="B55:I55"/>
    <mergeCell ref="J55:Q55"/>
    <mergeCell ref="Z55:AO55"/>
    <mergeCell ref="B56:I56"/>
    <mergeCell ref="J56:Q56"/>
    <mergeCell ref="Z56:AO56"/>
    <mergeCell ref="Z61:AO61"/>
    <mergeCell ref="Z62:AO62"/>
    <mergeCell ref="B63:I63"/>
    <mergeCell ref="J63:Q63"/>
    <mergeCell ref="Z63:AO63"/>
    <mergeCell ref="B64:I64"/>
    <mergeCell ref="J64:Q64"/>
    <mergeCell ref="B60:I60"/>
    <mergeCell ref="J60:M60"/>
    <mergeCell ref="N60:Q60"/>
    <mergeCell ref="B61:I61"/>
    <mergeCell ref="J61:M61"/>
    <mergeCell ref="N61:Q61"/>
    <mergeCell ref="R71:V71"/>
    <mergeCell ref="B72:Q72"/>
    <mergeCell ref="R72:V72"/>
    <mergeCell ref="B74:L74"/>
    <mergeCell ref="M74:Q74"/>
    <mergeCell ref="R74:V74"/>
    <mergeCell ref="B68:Q68"/>
    <mergeCell ref="R68:V68"/>
    <mergeCell ref="B69:Q69"/>
    <mergeCell ref="R69:V69"/>
    <mergeCell ref="B70:Q70"/>
    <mergeCell ref="R70:V70"/>
    <mergeCell ref="W74:AA74"/>
    <mergeCell ref="AB74:AF74"/>
    <mergeCell ref="AG74:AW74"/>
    <mergeCell ref="B75:L75"/>
    <mergeCell ref="M75:Q75"/>
    <mergeCell ref="R75:V75"/>
    <mergeCell ref="W75:AA75"/>
    <mergeCell ref="AB75:AF75"/>
    <mergeCell ref="AG75:AW75"/>
    <mergeCell ref="B77:L77"/>
    <mergeCell ref="M77:Q77"/>
    <mergeCell ref="R77:V77"/>
    <mergeCell ref="W77:AA77"/>
    <mergeCell ref="AB77:AF77"/>
    <mergeCell ref="AG77:AW77"/>
    <mergeCell ref="B76:L76"/>
    <mergeCell ref="M76:Q76"/>
    <mergeCell ref="R76:V76"/>
    <mergeCell ref="W76:AA76"/>
    <mergeCell ref="AB76:AF76"/>
    <mergeCell ref="AG76:AW76"/>
    <mergeCell ref="B79:L79"/>
    <mergeCell ref="M79:Q79"/>
    <mergeCell ref="R79:V79"/>
    <mergeCell ref="W79:AA79"/>
    <mergeCell ref="AB79:AF79"/>
    <mergeCell ref="AG79:AW79"/>
    <mergeCell ref="B78:L78"/>
    <mergeCell ref="M78:Q78"/>
    <mergeCell ref="R78:V78"/>
    <mergeCell ref="W78:AA78"/>
    <mergeCell ref="AB78:AF78"/>
    <mergeCell ref="AG78:AW78"/>
    <mergeCell ref="B81:L81"/>
    <mergeCell ref="M81:Q81"/>
    <mergeCell ref="R81:V81"/>
    <mergeCell ref="W81:AA81"/>
    <mergeCell ref="AB81:AF81"/>
    <mergeCell ref="AG81:AW81"/>
    <mergeCell ref="B80:L80"/>
    <mergeCell ref="M80:Q80"/>
    <mergeCell ref="R80:V80"/>
    <mergeCell ref="W80:AA80"/>
    <mergeCell ref="AB80:AF80"/>
    <mergeCell ref="AG80:AW80"/>
    <mergeCell ref="B83:L83"/>
    <mergeCell ref="M83:Q83"/>
    <mergeCell ref="R83:V83"/>
    <mergeCell ref="W83:AA83"/>
    <mergeCell ref="AB83:AF83"/>
    <mergeCell ref="AG83:AW83"/>
    <mergeCell ref="B82:L82"/>
    <mergeCell ref="M82:Q82"/>
    <mergeCell ref="R82:V82"/>
    <mergeCell ref="W82:AA82"/>
    <mergeCell ref="AB82:AF82"/>
    <mergeCell ref="AG82:AW82"/>
    <mergeCell ref="B85:L85"/>
    <mergeCell ref="M85:Q85"/>
    <mergeCell ref="R85:V85"/>
    <mergeCell ref="W85:AA85"/>
    <mergeCell ref="AB85:AF85"/>
    <mergeCell ref="AG85:AW85"/>
    <mergeCell ref="B84:L84"/>
    <mergeCell ref="M84:Q84"/>
    <mergeCell ref="R84:V84"/>
    <mergeCell ref="W84:AA84"/>
    <mergeCell ref="AB84:AF84"/>
    <mergeCell ref="AG84:AW84"/>
    <mergeCell ref="AG88:AW88"/>
    <mergeCell ref="B87:L87"/>
    <mergeCell ref="M87:Q87"/>
    <mergeCell ref="R87:V87"/>
    <mergeCell ref="W87:AA87"/>
    <mergeCell ref="AB87:AF87"/>
    <mergeCell ref="AG87:AW87"/>
    <mergeCell ref="B86:L86"/>
    <mergeCell ref="M86:Q86"/>
    <mergeCell ref="R86:V86"/>
    <mergeCell ref="W86:AA86"/>
    <mergeCell ref="AB86:AF86"/>
    <mergeCell ref="AG86:AW86"/>
    <mergeCell ref="R90:AA90"/>
    <mergeCell ref="AB90:AF90"/>
    <mergeCell ref="R91:AA91"/>
    <mergeCell ref="AB91:AF91"/>
    <mergeCell ref="R92:AA92"/>
    <mergeCell ref="AB92:AF92"/>
    <mergeCell ref="B88:L88"/>
    <mergeCell ref="M88:Q88"/>
    <mergeCell ref="R88:V88"/>
    <mergeCell ref="W88:AA88"/>
    <mergeCell ref="AB88:AF88"/>
    <mergeCell ref="B95:Q95"/>
    <mergeCell ref="R95:V95"/>
    <mergeCell ref="W95:AA95"/>
    <mergeCell ref="AB95:AF95"/>
    <mergeCell ref="AG95:AK95"/>
    <mergeCell ref="AL95:AW95"/>
    <mergeCell ref="B94:Q94"/>
    <mergeCell ref="R94:V94"/>
    <mergeCell ref="W94:AA94"/>
    <mergeCell ref="AB94:AF94"/>
    <mergeCell ref="AG94:AK94"/>
    <mergeCell ref="AL94:AW94"/>
    <mergeCell ref="B97:Q97"/>
    <mergeCell ref="R97:V97"/>
    <mergeCell ref="W97:AA97"/>
    <mergeCell ref="AB97:AF97"/>
    <mergeCell ref="AG97:AK97"/>
    <mergeCell ref="AL97:AW97"/>
    <mergeCell ref="B96:Q96"/>
    <mergeCell ref="R96:V96"/>
    <mergeCell ref="W96:AA96"/>
    <mergeCell ref="AB96:AF96"/>
    <mergeCell ref="AG96:AK96"/>
    <mergeCell ref="AL96:AW96"/>
    <mergeCell ref="B99:Q99"/>
    <mergeCell ref="R99:V99"/>
    <mergeCell ref="W99:AA99"/>
    <mergeCell ref="AB99:AF99"/>
    <mergeCell ref="AG99:AK99"/>
    <mergeCell ref="AL99:AW99"/>
    <mergeCell ref="B98:Q98"/>
    <mergeCell ref="R98:V98"/>
    <mergeCell ref="W98:AA98"/>
    <mergeCell ref="AB98:AF98"/>
    <mergeCell ref="AG98:AK98"/>
    <mergeCell ref="AL98:AW98"/>
    <mergeCell ref="B101:Q101"/>
    <mergeCell ref="R101:V101"/>
    <mergeCell ref="W101:AA101"/>
    <mergeCell ref="AB101:AF101"/>
    <mergeCell ref="AG101:AK101"/>
    <mergeCell ref="AL101:AW101"/>
    <mergeCell ref="B100:Q100"/>
    <mergeCell ref="R100:V100"/>
    <mergeCell ref="W100:AA100"/>
    <mergeCell ref="AB100:AF100"/>
    <mergeCell ref="AG100:AK100"/>
    <mergeCell ref="AL100:AW100"/>
    <mergeCell ref="B103:Q103"/>
    <mergeCell ref="R103:V103"/>
    <mergeCell ref="W103:AA103"/>
    <mergeCell ref="AB103:AF103"/>
    <mergeCell ref="AG103:AK103"/>
    <mergeCell ref="AL103:AW103"/>
    <mergeCell ref="B102:Q102"/>
    <mergeCell ref="R102:V102"/>
    <mergeCell ref="W102:AA102"/>
    <mergeCell ref="AB102:AF102"/>
    <mergeCell ref="AG102:AK102"/>
    <mergeCell ref="AL102:AW102"/>
    <mergeCell ref="B105:Q105"/>
    <mergeCell ref="R105:V105"/>
    <mergeCell ref="W105:AA105"/>
    <mergeCell ref="AB105:AF105"/>
    <mergeCell ref="AG105:AK105"/>
    <mergeCell ref="AL105:AW105"/>
    <mergeCell ref="B104:Q104"/>
    <mergeCell ref="R104:V104"/>
    <mergeCell ref="W104:AA104"/>
    <mergeCell ref="AB104:AF104"/>
    <mergeCell ref="AG104:AK104"/>
    <mergeCell ref="AL104:AW104"/>
    <mergeCell ref="B107:Q107"/>
    <mergeCell ref="R107:V107"/>
    <mergeCell ref="W107:AA107"/>
    <mergeCell ref="AB107:AF107"/>
    <mergeCell ref="AG107:AK107"/>
    <mergeCell ref="AL107:AW107"/>
    <mergeCell ref="B106:Q106"/>
    <mergeCell ref="R106:V106"/>
    <mergeCell ref="W106:AA106"/>
    <mergeCell ref="AB106:AF106"/>
    <mergeCell ref="AG106:AK106"/>
    <mergeCell ref="AL106:AW106"/>
    <mergeCell ref="B109:Q109"/>
    <mergeCell ref="R109:V109"/>
    <mergeCell ref="W109:AA109"/>
    <mergeCell ref="AB109:AF109"/>
    <mergeCell ref="AG109:AK109"/>
    <mergeCell ref="AL109:AW109"/>
    <mergeCell ref="B108:Q108"/>
    <mergeCell ref="R108:V108"/>
    <mergeCell ref="W108:AA108"/>
    <mergeCell ref="AB108:AF108"/>
    <mergeCell ref="AG108:AK108"/>
    <mergeCell ref="AL108:AW108"/>
    <mergeCell ref="AC115:AG115"/>
    <mergeCell ref="AH115:AL115"/>
    <mergeCell ref="AM115:AQ115"/>
    <mergeCell ref="B119:K119"/>
    <mergeCell ref="L119:T119"/>
    <mergeCell ref="U119:AD119"/>
    <mergeCell ref="AE119:AM119"/>
    <mergeCell ref="AN119:AW119"/>
    <mergeCell ref="AB111:AF111"/>
    <mergeCell ref="AG111:AK111"/>
    <mergeCell ref="H113:V113"/>
    <mergeCell ref="AC113:AQ113"/>
    <mergeCell ref="H114:L114"/>
    <mergeCell ref="M114:Q114"/>
    <mergeCell ref="R114:V114"/>
    <mergeCell ref="AC114:AG114"/>
    <mergeCell ref="AH114:AL114"/>
    <mergeCell ref="AM114:AQ114"/>
    <mergeCell ref="B123:K123"/>
    <mergeCell ref="L123:T123"/>
    <mergeCell ref="U123:Y123"/>
    <mergeCell ref="Z123:AD123"/>
    <mergeCell ref="B120:K120"/>
    <mergeCell ref="L120:T120"/>
    <mergeCell ref="U120:AD120"/>
    <mergeCell ref="AE120:AM120"/>
    <mergeCell ref="AN120:AW120"/>
    <mergeCell ref="B122:K122"/>
    <mergeCell ref="L122:T122"/>
    <mergeCell ref="U122:Y122"/>
    <mergeCell ref="Z122:AD122"/>
    <mergeCell ref="AI123:AR123"/>
    <mergeCell ref="AI126:AM126"/>
    <mergeCell ref="AN126:AR126"/>
    <mergeCell ref="B125:K125"/>
    <mergeCell ref="L125:T125"/>
    <mergeCell ref="U125:Y125"/>
    <mergeCell ref="Z125:AD125"/>
    <mergeCell ref="AI125:AM125"/>
    <mergeCell ref="AN125:AR125"/>
    <mergeCell ref="B124:K124"/>
    <mergeCell ref="L124:T124"/>
    <mergeCell ref="U124:Y124"/>
    <mergeCell ref="Z124:AD124"/>
    <mergeCell ref="AI124:AM124"/>
    <mergeCell ref="AN124:AR124"/>
    <mergeCell ref="B127:K127"/>
    <mergeCell ref="L127:T127"/>
    <mergeCell ref="U127:Y127"/>
    <mergeCell ref="Z127:AD127"/>
    <mergeCell ref="B128:K128"/>
    <mergeCell ref="L128:T128"/>
    <mergeCell ref="U128:Y128"/>
    <mergeCell ref="Z128:AD128"/>
    <mergeCell ref="B126:K126"/>
    <mergeCell ref="L126:T126"/>
    <mergeCell ref="U126:Y126"/>
    <mergeCell ref="Z126:AD126"/>
    <mergeCell ref="B130:K130"/>
    <mergeCell ref="L130:T130"/>
    <mergeCell ref="U130:Y130"/>
    <mergeCell ref="Z130:AD130"/>
    <mergeCell ref="AI130:AM130"/>
    <mergeCell ref="AN130:AR130"/>
    <mergeCell ref="B129:K129"/>
    <mergeCell ref="L129:T129"/>
    <mergeCell ref="U129:Y129"/>
    <mergeCell ref="Z129:AD129"/>
    <mergeCell ref="B133:K133"/>
    <mergeCell ref="L133:T133"/>
    <mergeCell ref="U133:Y133"/>
    <mergeCell ref="Z133:AD133"/>
    <mergeCell ref="AI133:AM133"/>
    <mergeCell ref="AN133:AR133"/>
    <mergeCell ref="B131:K131"/>
    <mergeCell ref="L131:T131"/>
    <mergeCell ref="U131:Y131"/>
    <mergeCell ref="Z131:AD131"/>
    <mergeCell ref="AI131:AM131"/>
    <mergeCell ref="AN131:AR131"/>
    <mergeCell ref="B132:K132"/>
    <mergeCell ref="L132:T132"/>
    <mergeCell ref="U132:Y132"/>
    <mergeCell ref="Z132:AD132"/>
    <mergeCell ref="AI132:AM132"/>
    <mergeCell ref="AN132:AR132"/>
    <mergeCell ref="B140:K140"/>
    <mergeCell ref="L140:T140"/>
    <mergeCell ref="U140:Y140"/>
    <mergeCell ref="Z140:AD140"/>
    <mergeCell ref="B141:K141"/>
    <mergeCell ref="L141:T141"/>
    <mergeCell ref="U141:Y141"/>
    <mergeCell ref="Z141:AD141"/>
    <mergeCell ref="U135:Y135"/>
    <mergeCell ref="Z135:AD135"/>
    <mergeCell ref="B139:K139"/>
    <mergeCell ref="L139:T139"/>
    <mergeCell ref="U139:Y139"/>
    <mergeCell ref="Z139:AD139"/>
    <mergeCell ref="AI146:AS146"/>
    <mergeCell ref="B147:K147"/>
    <mergeCell ref="L147:T147"/>
    <mergeCell ref="U147:Y147"/>
    <mergeCell ref="Z147:AD147"/>
    <mergeCell ref="AI147:AM147"/>
    <mergeCell ref="AN147:AS147"/>
    <mergeCell ref="B145:K145"/>
    <mergeCell ref="L145:T145"/>
    <mergeCell ref="U145:Y145"/>
    <mergeCell ref="Z145:AD145"/>
    <mergeCell ref="B146:K146"/>
    <mergeCell ref="L146:T146"/>
    <mergeCell ref="U146:Y146"/>
    <mergeCell ref="Z146:AD146"/>
    <mergeCell ref="AP148:AS148"/>
    <mergeCell ref="B149:K149"/>
    <mergeCell ref="L149:T149"/>
    <mergeCell ref="U149:Y149"/>
    <mergeCell ref="Z149:AD149"/>
    <mergeCell ref="AI149:AM149"/>
    <mergeCell ref="AN149:AO149"/>
    <mergeCell ref="AP149:AS149"/>
    <mergeCell ref="B148:K148"/>
    <mergeCell ref="L148:T148"/>
    <mergeCell ref="U148:Y148"/>
    <mergeCell ref="Z148:AD148"/>
    <mergeCell ref="AI148:AM148"/>
    <mergeCell ref="AN148:AO148"/>
    <mergeCell ref="B152:K152"/>
    <mergeCell ref="L152:T152"/>
    <mergeCell ref="U152:Y152"/>
    <mergeCell ref="Z152:AD152"/>
    <mergeCell ref="U154:Y154"/>
    <mergeCell ref="Z154:AD154"/>
    <mergeCell ref="AP150:AS150"/>
    <mergeCell ref="B151:K151"/>
    <mergeCell ref="L151:T151"/>
    <mergeCell ref="U151:Y151"/>
    <mergeCell ref="Z151:AD151"/>
    <mergeCell ref="AI151:AM151"/>
    <mergeCell ref="AN151:AO151"/>
    <mergeCell ref="AP151:AS151"/>
    <mergeCell ref="B150:K150"/>
    <mergeCell ref="L150:T150"/>
    <mergeCell ref="U150:Y150"/>
    <mergeCell ref="Z150:AD150"/>
    <mergeCell ref="AI150:AM150"/>
    <mergeCell ref="AN150:AO150"/>
    <mergeCell ref="B160:K160"/>
    <mergeCell ref="L160:T160"/>
    <mergeCell ref="U160:Y160"/>
    <mergeCell ref="Z160:AD160"/>
    <mergeCell ref="B161:K161"/>
    <mergeCell ref="L161:T161"/>
    <mergeCell ref="U161:Y161"/>
    <mergeCell ref="Z161:AD161"/>
    <mergeCell ref="B158:K158"/>
    <mergeCell ref="L158:T158"/>
    <mergeCell ref="U158:Y158"/>
    <mergeCell ref="Z158:AD158"/>
    <mergeCell ref="B159:K159"/>
    <mergeCell ref="L159:T159"/>
    <mergeCell ref="U159:Y159"/>
    <mergeCell ref="Z159:AD159"/>
    <mergeCell ref="B168:K168"/>
    <mergeCell ref="L168:T168"/>
    <mergeCell ref="U168:AD168"/>
    <mergeCell ref="B169:K169"/>
    <mergeCell ref="L169:T169"/>
    <mergeCell ref="U169:AD169"/>
    <mergeCell ref="B162:K162"/>
    <mergeCell ref="L162:T162"/>
    <mergeCell ref="U162:Y162"/>
    <mergeCell ref="Z162:AD162"/>
    <mergeCell ref="U164:Y164"/>
    <mergeCell ref="Z164:AD164"/>
    <mergeCell ref="B176:K176"/>
    <mergeCell ref="L176:T176"/>
    <mergeCell ref="U176:Y176"/>
    <mergeCell ref="Z176:AD176"/>
    <mergeCell ref="B177:K177"/>
    <mergeCell ref="L177:T177"/>
    <mergeCell ref="U177:Y177"/>
    <mergeCell ref="Z177:AD177"/>
    <mergeCell ref="B171:K171"/>
    <mergeCell ref="L171:T171"/>
    <mergeCell ref="U171:AD171"/>
    <mergeCell ref="B172:K172"/>
    <mergeCell ref="L172:T172"/>
    <mergeCell ref="U172:AD172"/>
    <mergeCell ref="D181:N181"/>
    <mergeCell ref="AH181:AM181"/>
    <mergeCell ref="AN181:AR181"/>
    <mergeCell ref="AT181:AW181"/>
    <mergeCell ref="D182:N182"/>
    <mergeCell ref="AH182:AM182"/>
    <mergeCell ref="AN182:AR182"/>
    <mergeCell ref="AT182:AW182"/>
    <mergeCell ref="D183:N183"/>
    <mergeCell ref="D185:N185"/>
    <mergeCell ref="AH185:AM185"/>
    <mergeCell ref="AN185:AR185"/>
    <mergeCell ref="AT185:AW185"/>
    <mergeCell ref="B186:C187"/>
    <mergeCell ref="D186:N186"/>
    <mergeCell ref="AH186:AM186"/>
    <mergeCell ref="AN186:AR186"/>
    <mergeCell ref="AT186:AW186"/>
    <mergeCell ref="D187:N187"/>
    <mergeCell ref="B182:C185"/>
    <mergeCell ref="AH183:AM183"/>
    <mergeCell ref="AN183:AR183"/>
    <mergeCell ref="AT183:AW183"/>
    <mergeCell ref="D184:N184"/>
    <mergeCell ref="AH184:AM184"/>
    <mergeCell ref="AN184:AR184"/>
    <mergeCell ref="AT184:AW184"/>
    <mergeCell ref="AH187:AM187"/>
    <mergeCell ref="AN187:AR187"/>
    <mergeCell ref="AT187:AW187"/>
    <mergeCell ref="D188:N188"/>
    <mergeCell ref="AH188:AM188"/>
    <mergeCell ref="AN188:AR188"/>
    <mergeCell ref="AT188:AW188"/>
    <mergeCell ref="D189:N189"/>
    <mergeCell ref="AH189:AM189"/>
    <mergeCell ref="D191:N191"/>
    <mergeCell ref="AH191:AM191"/>
    <mergeCell ref="AN191:AR191"/>
    <mergeCell ref="AT191:AW191"/>
    <mergeCell ref="D192:N192"/>
    <mergeCell ref="AH192:AM192"/>
    <mergeCell ref="AN192:AR192"/>
    <mergeCell ref="AT192:AW192"/>
    <mergeCell ref="AN189:AR189"/>
    <mergeCell ref="AT189:AW189"/>
    <mergeCell ref="D190:N190"/>
    <mergeCell ref="AH190:AM190"/>
    <mergeCell ref="AN190:AR190"/>
    <mergeCell ref="AT190:AW190"/>
    <mergeCell ref="AN196:AR196"/>
    <mergeCell ref="AT196:AW196"/>
    <mergeCell ref="D193:N193"/>
    <mergeCell ref="AH193:AM193"/>
    <mergeCell ref="AN193:AR193"/>
    <mergeCell ref="AT193:AW193"/>
    <mergeCell ref="D194:N194"/>
    <mergeCell ref="AH194:AM194"/>
    <mergeCell ref="AN194:AR194"/>
    <mergeCell ref="AT194:AW194"/>
    <mergeCell ref="D199:N199"/>
    <mergeCell ref="AH199:AM199"/>
    <mergeCell ref="AN199:AR199"/>
    <mergeCell ref="AT199:AW199"/>
    <mergeCell ref="B200:C200"/>
    <mergeCell ref="D200:N200"/>
    <mergeCell ref="AH200:AM200"/>
    <mergeCell ref="AN200:AR200"/>
    <mergeCell ref="AT200:AW200"/>
    <mergeCell ref="B188:C199"/>
    <mergeCell ref="D197:N197"/>
    <mergeCell ref="AH197:AM197"/>
    <mergeCell ref="AN197:AR197"/>
    <mergeCell ref="AT197:AW197"/>
    <mergeCell ref="D198:N198"/>
    <mergeCell ref="AH198:AM198"/>
    <mergeCell ref="AN198:AR198"/>
    <mergeCell ref="AT198:AW198"/>
    <mergeCell ref="D195:N195"/>
    <mergeCell ref="AH195:AM195"/>
    <mergeCell ref="AN195:AR195"/>
    <mergeCell ref="AT195:AW195"/>
    <mergeCell ref="D196:N196"/>
    <mergeCell ref="AH196:AM196"/>
    <mergeCell ref="AH203:AM203"/>
    <mergeCell ref="AN203:AR203"/>
    <mergeCell ref="AT203:AW203"/>
    <mergeCell ref="D204:N204"/>
    <mergeCell ref="AH204:AM204"/>
    <mergeCell ref="AN204:AR204"/>
    <mergeCell ref="AT204:AW204"/>
    <mergeCell ref="B201:C207"/>
    <mergeCell ref="D201:N201"/>
    <mergeCell ref="AH201:AM201"/>
    <mergeCell ref="AN201:AR201"/>
    <mergeCell ref="AT201:AW201"/>
    <mergeCell ref="D202:N202"/>
    <mergeCell ref="AH202:AM202"/>
    <mergeCell ref="AN202:AR202"/>
    <mergeCell ref="AT202:AW202"/>
    <mergeCell ref="D203:N203"/>
    <mergeCell ref="AT207:AW207"/>
    <mergeCell ref="B208:C211"/>
    <mergeCell ref="D208:N208"/>
    <mergeCell ref="AH208:AM208"/>
    <mergeCell ref="AN208:AR208"/>
    <mergeCell ref="AT208:AW208"/>
    <mergeCell ref="D209:N209"/>
    <mergeCell ref="D205:N205"/>
    <mergeCell ref="AH205:AM205"/>
    <mergeCell ref="AN205:AR205"/>
    <mergeCell ref="AT205:AW205"/>
    <mergeCell ref="D206:N206"/>
    <mergeCell ref="AH206:AM206"/>
    <mergeCell ref="AN206:AR206"/>
    <mergeCell ref="AT206:AW206"/>
    <mergeCell ref="AH209:AM209"/>
    <mergeCell ref="AN209:AR209"/>
    <mergeCell ref="AT209:AW209"/>
    <mergeCell ref="D210:N210"/>
    <mergeCell ref="AH210:AM210"/>
    <mergeCell ref="AN210:AR210"/>
    <mergeCell ref="AT210:AW210"/>
    <mergeCell ref="D207:N207"/>
    <mergeCell ref="AH207:AM207"/>
    <mergeCell ref="AN207:AR207"/>
    <mergeCell ref="D213:N213"/>
    <mergeCell ref="AH213:AM213"/>
    <mergeCell ref="AN213:AR213"/>
    <mergeCell ref="AT213:AW213"/>
    <mergeCell ref="D214:N214"/>
    <mergeCell ref="AH214:AM214"/>
    <mergeCell ref="AN214:AR214"/>
    <mergeCell ref="AT214:AW214"/>
    <mergeCell ref="D211:N211"/>
    <mergeCell ref="AH211:AM211"/>
    <mergeCell ref="AN211:AR211"/>
    <mergeCell ref="AT211:AW211"/>
    <mergeCell ref="D212:N212"/>
    <mergeCell ref="AH212:AM212"/>
    <mergeCell ref="AN212:AR212"/>
    <mergeCell ref="AT212:AW212"/>
  </mergeCells>
  <conditionalFormatting sqref="J35:AW39">
    <cfRule type="cellIs" dxfId="6" priority="2" operator="equal">
      <formula>1</formula>
    </cfRule>
  </conditionalFormatting>
  <conditionalFormatting sqref="AT182:AT213">
    <cfRule type="dataBar" priority="1">
      <dataBar>
        <cfvo type="percent" val="0"/>
        <cfvo type="percent" val="100"/>
        <color rgb="FFED6E1F"/>
      </dataBar>
      <extLst>
        <ext xmlns:x14="http://schemas.microsoft.com/office/spreadsheetml/2009/9/main" uri="{B025F937-C7B1-47D3-B67F-A62EFF666E3E}">
          <x14:id>{8EEA1129-93D9-4FC1-9FA4-CCAD26E982FD}</x14:id>
        </ext>
      </extLst>
    </cfRule>
  </conditionalFormatting>
  <dataValidations count="5">
    <dataValidation type="list" allowBlank="1" showInputMessage="1" showErrorMessage="1" sqref="AR28:AW28" xr:uid="{DE3DD2F4-E27E-4754-B771-4BDB76B2B082}">
      <formula1>"MENSAL,BIMESTRAL"</formula1>
    </dataValidation>
    <dataValidation type="list" allowBlank="1" showInputMessage="1" showErrorMessage="1" sqref="R68:V68" xr:uid="{4C2AA84B-5BB8-4F2F-8881-13AFC490B88D}">
      <formula1>"Selecione, PIS, PP – B, PP – N, R8 – B, R8 – N, R8 – A, R16 – N, R16 – A, CSL – 8, CSL – 16, CAL - 8"</formula1>
    </dataValidation>
    <dataValidation type="list" allowBlank="1" showInputMessage="1" showErrorMessage="1" sqref="H114:L114" xr:uid="{35E7E5DA-0019-4D9C-BFFE-135589F0DCB1}">
      <formula1>"Selecione, Custo Histórico, CUB Ajustado"</formula1>
    </dataValidation>
    <dataValidation type="list" allowBlank="1" showInputMessage="1" showErrorMessage="1" sqref="L159:T162 L123:T133 L140:T141 L146:T152 AN147 AN124:AR124" xr:uid="{835CAC4A-EDA5-4B88-A764-5CA1494905BE}">
      <formula1>"Valor Terreno, Valor Terreno Geral, Custo Obra, VGV Nominal, VGV Geral"</formula1>
    </dataValidation>
    <dataValidation type="list" allowBlank="1" showInputMessage="1" showErrorMessage="1" sqref="B172:K172" xr:uid="{5E78AF63-D92D-4349-BEA4-7C956FC34CFC}">
      <formula1>"VGV Nominal, Sem Corretagem, Sem Corretagem e Administração"</formula1>
    </dataValidation>
  </dataValidations>
  <printOptions horizontalCentered="1"/>
  <pageMargins left="0.39370078740157483" right="0.39370078740157483" top="0.31496062992125984" bottom="0.19685039370078741" header="0" footer="0"/>
  <pageSetup paperSize="9" scale="46" fitToHeight="0" orientation="portrait" r:id="rId1"/>
  <headerFooter>
    <oddHeader>&amp;R
&amp;G</oddHeader>
  </headerFooter>
  <rowBreaks count="2" manualBreakCount="2">
    <brk id="93" max="16383" man="1"/>
    <brk id="178" max="16383" man="1"/>
  </rowBreaks>
  <drawing r:id="rId2"/>
  <legacyDrawingHF r:id="rId3"/>
  <extLst>
    <ext xmlns:x14="http://schemas.microsoft.com/office/spreadsheetml/2009/9/main" uri="{78C0D931-6437-407d-A8EE-F0AAD7539E65}">
      <x14:conditionalFormattings>
        <x14:conditionalFormatting xmlns:xm="http://schemas.microsoft.com/office/excel/2006/main">
          <x14:cfRule type="dataBar" id="{8EEA1129-93D9-4FC1-9FA4-CCAD26E982FD}">
            <x14:dataBar minLength="0" maxLength="100" border="1" negativeBarBorderColorSameAsPositive="0">
              <x14:cfvo type="percent">
                <xm:f>0</xm:f>
              </x14:cfvo>
              <x14:cfvo type="percent">
                <xm:f>100</xm:f>
              </x14:cfvo>
              <x14:borderColor theme="2" tint="-0.749992370372631"/>
              <x14:negativeFillColor rgb="FFFF0000"/>
              <x14:negativeBorderColor rgb="FFFF0000"/>
              <x14:axisColor rgb="FF000000"/>
            </x14:dataBar>
          </x14:cfRule>
          <xm:sqref>AT182:AT213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352E-B529-473A-9AF3-6FFD91EBECA6}">
  <sheetPr>
    <pageSetUpPr fitToPage="1"/>
  </sheetPr>
  <dimension ref="A1:BK252"/>
  <sheetViews>
    <sheetView showGridLines="0" showRowColHeaders="0" zoomScaleNormal="100" workbookViewId="0">
      <pane ySplit="7" topLeftCell="A8" activePane="bottomLeft" state="frozen"/>
      <selection pane="bottomLeft" activeCell="B15" sqref="B15:J15"/>
    </sheetView>
  </sheetViews>
  <sheetFormatPr defaultColWidth="0" defaultRowHeight="15" customHeight="1" zeroHeight="1" x14ac:dyDescent="0.25"/>
  <cols>
    <col min="1" max="1" width="2.85546875" customWidth="1"/>
    <col min="2" max="49" width="4.28515625" customWidth="1"/>
    <col min="50" max="50" width="2.85546875" customWidth="1"/>
    <col min="51" max="52" width="10" hidden="1" customWidth="1"/>
    <col min="53" max="53" width="10.7109375" hidden="1" customWidth="1"/>
    <col min="54" max="57" width="4.28515625" hidden="1" customWidth="1"/>
    <col min="58" max="16384" width="9.140625" hidden="1"/>
  </cols>
  <sheetData>
    <row r="1" spans="1:63" s="46" customFormat="1" ht="15" customHeight="1" x14ac:dyDescent="0.25">
      <c r="A1" s="9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row>
    <row r="2" spans="1:63" s="46" customFormat="1" ht="15" customHeight="1" x14ac:dyDescent="0.25">
      <c r="A2" s="96"/>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row>
    <row r="3" spans="1:63" s="46" customFormat="1" ht="15" customHeight="1" x14ac:dyDescent="0.25">
      <c r="A3" s="96"/>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row>
    <row r="4" spans="1:63" ht="30"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3" ht="15" customHeight="1" x14ac:dyDescent="0.25"/>
    <row r="6" spans="1:63" ht="37.5" customHeight="1" x14ac:dyDescent="0.25">
      <c r="B6" s="90" t="s">
        <v>6237</v>
      </c>
      <c r="C6" s="89"/>
      <c r="D6" s="89"/>
      <c r="E6" s="89"/>
      <c r="F6" s="89"/>
      <c r="G6" s="89"/>
      <c r="H6" s="89"/>
      <c r="I6" s="89"/>
      <c r="J6" s="89"/>
      <c r="K6" s="89"/>
      <c r="L6" s="89"/>
      <c r="M6" s="89"/>
      <c r="N6" s="89"/>
      <c r="O6" s="89"/>
      <c r="P6" s="89"/>
      <c r="Q6" s="89"/>
      <c r="R6" s="89"/>
      <c r="S6" s="89"/>
      <c r="T6" s="89"/>
      <c r="U6" s="89"/>
      <c r="V6" s="89"/>
      <c r="W6" s="89"/>
      <c r="X6" s="89"/>
      <c r="Y6" s="89"/>
      <c r="Z6" s="89"/>
      <c r="AA6" s="89"/>
      <c r="AB6" s="89"/>
      <c r="AC6" s="89"/>
      <c r="AD6" s="89"/>
      <c r="AE6" s="89"/>
      <c r="AF6" s="89"/>
      <c r="AG6" s="89"/>
      <c r="AH6" s="89"/>
      <c r="AI6" s="89"/>
      <c r="AJ6" s="89"/>
      <c r="AK6" s="89"/>
      <c r="AL6" s="89"/>
      <c r="AM6" s="89"/>
      <c r="AN6" s="89"/>
      <c r="AO6" s="89"/>
      <c r="AP6" s="89"/>
      <c r="AQ6" s="89"/>
      <c r="AR6" s="108" t="s">
        <v>6235</v>
      </c>
      <c r="AS6" s="108"/>
      <c r="AT6" s="108"/>
      <c r="AU6" s="108"/>
      <c r="AV6" s="108"/>
      <c r="AW6" s="108"/>
    </row>
    <row r="7" spans="1:63" ht="18.75" customHeight="1" x14ac:dyDescent="0.3">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row>
    <row r="8" spans="1:63" ht="26.25" customHeight="1" x14ac:dyDescent="0.25">
      <c r="B8" s="93" t="s">
        <v>6050</v>
      </c>
      <c r="C8" s="52"/>
      <c r="D8" s="52"/>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row>
    <row r="9" spans="1:63" ht="3.75" customHeight="1" x14ac:dyDescent="0.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row>
    <row r="10" spans="1:63" ht="22.5" customHeight="1" x14ac:dyDescent="0.25">
      <c r="B10" s="109" t="s">
        <v>6030</v>
      </c>
      <c r="C10" s="110"/>
      <c r="D10" s="110"/>
      <c r="E10" s="110"/>
      <c r="F10" s="110"/>
      <c r="G10" s="110"/>
      <c r="H10" s="303" t="str">
        <f>'SIMULAÇÃO 01'!H10</f>
        <v>Ed. Curupira | EW Esteves Construções</v>
      </c>
      <c r="I10" s="303"/>
      <c r="J10" s="303"/>
      <c r="K10" s="303"/>
      <c r="L10" s="303"/>
      <c r="M10" s="303"/>
      <c r="N10" s="303"/>
      <c r="O10" s="303"/>
      <c r="P10" s="303"/>
      <c r="Q10" s="303"/>
      <c r="R10" s="303"/>
      <c r="S10" s="303"/>
      <c r="T10" s="110" t="s">
        <v>6051</v>
      </c>
      <c r="U10" s="110"/>
      <c r="V10" s="110"/>
      <c r="W10" s="110"/>
      <c r="X10" s="110"/>
      <c r="Y10" s="110"/>
      <c r="Z10" s="304" t="str">
        <f>'SIMULAÇÃO 01'!Z10</f>
        <v>Ribeirão Preto / SP</v>
      </c>
      <c r="AA10" s="304"/>
      <c r="AB10" s="304"/>
      <c r="AC10" s="304"/>
      <c r="AD10" s="304"/>
      <c r="AE10" s="304"/>
      <c r="AF10" s="304"/>
      <c r="AG10" s="304"/>
      <c r="AH10" s="304"/>
      <c r="AI10" s="110" t="s">
        <v>6057</v>
      </c>
      <c r="AJ10" s="110"/>
      <c r="AK10" s="110"/>
      <c r="AL10" s="110"/>
      <c r="AM10" s="110"/>
      <c r="AN10" s="110"/>
      <c r="AO10" s="305">
        <f>'SIMULAÇÃO 01'!AO10</f>
        <v>6682.9331513685102</v>
      </c>
      <c r="AP10" s="305"/>
      <c r="AQ10" s="305"/>
      <c r="AR10" s="305"/>
      <c r="AS10" s="305"/>
      <c r="AT10" s="305"/>
      <c r="AU10" s="305"/>
      <c r="AV10" s="305"/>
      <c r="AW10" s="306"/>
    </row>
    <row r="11" spans="1:63" ht="18.75" customHeight="1" x14ac:dyDescent="0.25">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U11" s="28"/>
    </row>
    <row r="12" spans="1:63" ht="26.25" customHeight="1" x14ac:dyDescent="0.25">
      <c r="B12" s="93" t="s">
        <v>6052</v>
      </c>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row>
    <row r="13" spans="1:63" ht="3.75" customHeight="1" x14ac:dyDescent="0.25">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4"/>
      <c r="AT13" s="64"/>
      <c r="AU13" s="64"/>
      <c r="AV13" s="64"/>
      <c r="AW13" s="64"/>
    </row>
    <row r="14" spans="1:63" ht="21" customHeight="1" thickBot="1" x14ac:dyDescent="0.3">
      <c r="B14" s="134" t="s">
        <v>6053</v>
      </c>
      <c r="C14" s="134"/>
      <c r="D14" s="134"/>
      <c r="E14" s="134"/>
      <c r="F14" s="134"/>
      <c r="G14" s="134"/>
      <c r="H14" s="134"/>
      <c r="I14" s="134"/>
      <c r="J14" s="135"/>
      <c r="K14" s="135" t="s">
        <v>6054</v>
      </c>
      <c r="L14" s="135"/>
      <c r="M14" s="135"/>
      <c r="N14" s="135"/>
      <c r="O14" s="135"/>
      <c r="P14" s="135"/>
      <c r="Q14" s="135"/>
      <c r="R14" s="135"/>
      <c r="S14" s="135"/>
      <c r="T14" s="136" t="s">
        <v>43</v>
      </c>
      <c r="U14" s="174"/>
      <c r="V14" s="174"/>
      <c r="W14" s="174"/>
      <c r="X14" s="174"/>
      <c r="Y14" s="134"/>
      <c r="Z14" s="135" t="s">
        <v>6057</v>
      </c>
      <c r="AA14" s="135"/>
      <c r="AB14" s="135"/>
      <c r="AC14" s="135"/>
      <c r="AD14" s="135"/>
      <c r="AE14" s="135"/>
      <c r="AF14" s="135"/>
      <c r="AG14" s="135"/>
      <c r="AH14" s="135"/>
      <c r="AI14" s="135" t="s">
        <v>6055</v>
      </c>
      <c r="AJ14" s="135"/>
      <c r="AK14" s="135"/>
      <c r="AL14" s="135"/>
      <c r="AM14" s="135"/>
      <c r="AN14" s="135"/>
      <c r="AO14" s="135"/>
      <c r="AP14" s="135"/>
      <c r="AQ14" s="135"/>
      <c r="AR14" s="136" t="s">
        <v>6056</v>
      </c>
      <c r="AS14" s="174"/>
      <c r="AT14" s="174"/>
      <c r="AU14" s="174"/>
      <c r="AV14" s="174"/>
      <c r="AW14" s="174"/>
    </row>
    <row r="15" spans="1:63" ht="22.5" customHeight="1" thickBot="1" x14ac:dyDescent="0.3">
      <c r="B15" s="187"/>
      <c r="C15" s="187"/>
      <c r="D15" s="187"/>
      <c r="E15" s="187"/>
      <c r="F15" s="187"/>
      <c r="G15" s="187"/>
      <c r="H15" s="187"/>
      <c r="I15" s="187"/>
      <c r="J15" s="188"/>
      <c r="K15" s="155"/>
      <c r="L15" s="155"/>
      <c r="M15" s="155"/>
      <c r="N15" s="155"/>
      <c r="O15" s="155"/>
      <c r="P15" s="155"/>
      <c r="Q15" s="155"/>
      <c r="R15" s="155"/>
      <c r="S15" s="155"/>
      <c r="T15" s="191"/>
      <c r="U15" s="192"/>
      <c r="V15" s="192"/>
      <c r="W15" s="192"/>
      <c r="X15" s="192"/>
      <c r="Y15" s="193"/>
      <c r="Z15" s="133" t="str">
        <f t="shared" ref="Z15:Z26" si="0">IF(B15&lt;&gt;"",$AO$10,"")</f>
        <v/>
      </c>
      <c r="AA15" s="133"/>
      <c r="AB15" s="133"/>
      <c r="AC15" s="133"/>
      <c r="AD15" s="133"/>
      <c r="AE15" s="133"/>
      <c r="AF15" s="133"/>
      <c r="AG15" s="133"/>
      <c r="AH15" s="133"/>
      <c r="AI15" s="133" t="str">
        <f>IF(K15=""," ",IF(Z15=""," ",Z15*K15))</f>
        <v xml:space="preserve"> </v>
      </c>
      <c r="AJ15" s="133"/>
      <c r="AK15" s="133"/>
      <c r="AL15" s="133"/>
      <c r="AM15" s="133"/>
      <c r="AN15" s="133"/>
      <c r="AO15" s="133"/>
      <c r="AP15" s="133"/>
      <c r="AQ15" s="133"/>
      <c r="AR15" s="191"/>
      <c r="AS15" s="192"/>
      <c r="AT15" s="192"/>
      <c r="AU15" s="192"/>
      <c r="AV15" s="192"/>
      <c r="AW15" s="192"/>
    </row>
    <row r="16" spans="1:63" ht="22.5" customHeight="1" thickBot="1" x14ac:dyDescent="0.3">
      <c r="B16" s="187"/>
      <c r="C16" s="187"/>
      <c r="D16" s="187"/>
      <c r="E16" s="187"/>
      <c r="F16" s="187"/>
      <c r="G16" s="187"/>
      <c r="H16" s="187"/>
      <c r="I16" s="187"/>
      <c r="J16" s="188"/>
      <c r="K16" s="155"/>
      <c r="L16" s="155"/>
      <c r="M16" s="155"/>
      <c r="N16" s="155"/>
      <c r="O16" s="155"/>
      <c r="P16" s="155"/>
      <c r="Q16" s="155"/>
      <c r="R16" s="155"/>
      <c r="S16" s="155"/>
      <c r="T16" s="191"/>
      <c r="U16" s="192"/>
      <c r="V16" s="192"/>
      <c r="W16" s="192"/>
      <c r="X16" s="192"/>
      <c r="Y16" s="193"/>
      <c r="Z16" s="133" t="str">
        <f t="shared" si="0"/>
        <v/>
      </c>
      <c r="AA16" s="133"/>
      <c r="AB16" s="133"/>
      <c r="AC16" s="133"/>
      <c r="AD16" s="133"/>
      <c r="AE16" s="133"/>
      <c r="AF16" s="133"/>
      <c r="AG16" s="133"/>
      <c r="AH16" s="133"/>
      <c r="AI16" s="133" t="str">
        <f t="shared" ref="AI16:AI26" si="1">IF(K16=""," ",IF(Z16=""," ",Z16*K16))</f>
        <v xml:space="preserve"> </v>
      </c>
      <c r="AJ16" s="133"/>
      <c r="AK16" s="133"/>
      <c r="AL16" s="133"/>
      <c r="AM16" s="133"/>
      <c r="AN16" s="133"/>
      <c r="AO16" s="133"/>
      <c r="AP16" s="133"/>
      <c r="AQ16" s="133"/>
      <c r="AR16" s="191"/>
      <c r="AS16" s="192"/>
      <c r="AT16" s="192"/>
      <c r="AU16" s="192"/>
      <c r="AV16" s="192"/>
      <c r="AW16" s="192"/>
    </row>
    <row r="17" spans="2:49" ht="22.5" customHeight="1" thickBot="1" x14ac:dyDescent="0.3">
      <c r="B17" s="187"/>
      <c r="C17" s="187"/>
      <c r="D17" s="187"/>
      <c r="E17" s="187"/>
      <c r="F17" s="187"/>
      <c r="G17" s="187"/>
      <c r="H17" s="187"/>
      <c r="I17" s="187"/>
      <c r="J17" s="188"/>
      <c r="K17" s="155"/>
      <c r="L17" s="155"/>
      <c r="M17" s="155"/>
      <c r="N17" s="155"/>
      <c r="O17" s="155"/>
      <c r="P17" s="155"/>
      <c r="Q17" s="155"/>
      <c r="R17" s="155"/>
      <c r="S17" s="155"/>
      <c r="T17" s="191"/>
      <c r="U17" s="192"/>
      <c r="V17" s="192"/>
      <c r="W17" s="192"/>
      <c r="X17" s="192"/>
      <c r="Y17" s="193"/>
      <c r="Z17" s="133" t="str">
        <f t="shared" si="0"/>
        <v/>
      </c>
      <c r="AA17" s="133"/>
      <c r="AB17" s="133"/>
      <c r="AC17" s="133"/>
      <c r="AD17" s="133"/>
      <c r="AE17" s="133"/>
      <c r="AF17" s="133"/>
      <c r="AG17" s="133"/>
      <c r="AH17" s="133"/>
      <c r="AI17" s="133" t="str">
        <f t="shared" si="1"/>
        <v xml:space="preserve"> </v>
      </c>
      <c r="AJ17" s="133"/>
      <c r="AK17" s="133"/>
      <c r="AL17" s="133"/>
      <c r="AM17" s="133"/>
      <c r="AN17" s="133"/>
      <c r="AO17" s="133"/>
      <c r="AP17" s="133"/>
      <c r="AQ17" s="133"/>
      <c r="AR17" s="191"/>
      <c r="AS17" s="192"/>
      <c r="AT17" s="192"/>
      <c r="AU17" s="192"/>
      <c r="AV17" s="192"/>
      <c r="AW17" s="192"/>
    </row>
    <row r="18" spans="2:49" ht="22.5" customHeight="1" thickBot="1" x14ac:dyDescent="0.3">
      <c r="B18" s="187"/>
      <c r="C18" s="187"/>
      <c r="D18" s="187"/>
      <c r="E18" s="187"/>
      <c r="F18" s="187"/>
      <c r="G18" s="187"/>
      <c r="H18" s="187"/>
      <c r="I18" s="187"/>
      <c r="J18" s="188"/>
      <c r="K18" s="155"/>
      <c r="L18" s="155"/>
      <c r="M18" s="155"/>
      <c r="N18" s="155"/>
      <c r="O18" s="155"/>
      <c r="P18" s="155"/>
      <c r="Q18" s="155"/>
      <c r="R18" s="155"/>
      <c r="S18" s="155"/>
      <c r="T18" s="191"/>
      <c r="U18" s="192"/>
      <c r="V18" s="192"/>
      <c r="W18" s="192"/>
      <c r="X18" s="192"/>
      <c r="Y18" s="193"/>
      <c r="Z18" s="133" t="str">
        <f t="shared" si="0"/>
        <v/>
      </c>
      <c r="AA18" s="133"/>
      <c r="AB18" s="133"/>
      <c r="AC18" s="133"/>
      <c r="AD18" s="133"/>
      <c r="AE18" s="133"/>
      <c r="AF18" s="133"/>
      <c r="AG18" s="133"/>
      <c r="AH18" s="133"/>
      <c r="AI18" s="133" t="str">
        <f t="shared" si="1"/>
        <v xml:space="preserve"> </v>
      </c>
      <c r="AJ18" s="133"/>
      <c r="AK18" s="133"/>
      <c r="AL18" s="133"/>
      <c r="AM18" s="133"/>
      <c r="AN18" s="133"/>
      <c r="AO18" s="133"/>
      <c r="AP18" s="133"/>
      <c r="AQ18" s="133"/>
      <c r="AR18" s="191"/>
      <c r="AS18" s="192"/>
      <c r="AT18" s="192"/>
      <c r="AU18" s="192"/>
      <c r="AV18" s="192"/>
      <c r="AW18" s="192"/>
    </row>
    <row r="19" spans="2:49" ht="22.5" customHeight="1" thickBot="1" x14ac:dyDescent="0.3">
      <c r="B19" s="187"/>
      <c r="C19" s="187"/>
      <c r="D19" s="187"/>
      <c r="E19" s="187"/>
      <c r="F19" s="187"/>
      <c r="G19" s="187"/>
      <c r="H19" s="187"/>
      <c r="I19" s="187"/>
      <c r="J19" s="188"/>
      <c r="K19" s="155"/>
      <c r="L19" s="155"/>
      <c r="M19" s="155"/>
      <c r="N19" s="155"/>
      <c r="O19" s="155"/>
      <c r="P19" s="155"/>
      <c r="Q19" s="155"/>
      <c r="R19" s="155"/>
      <c r="S19" s="155"/>
      <c r="T19" s="191"/>
      <c r="U19" s="192"/>
      <c r="V19" s="192"/>
      <c r="W19" s="192"/>
      <c r="X19" s="192"/>
      <c r="Y19" s="193"/>
      <c r="Z19" s="133" t="str">
        <f t="shared" si="0"/>
        <v/>
      </c>
      <c r="AA19" s="133"/>
      <c r="AB19" s="133"/>
      <c r="AC19" s="133"/>
      <c r="AD19" s="133"/>
      <c r="AE19" s="133"/>
      <c r="AF19" s="133"/>
      <c r="AG19" s="133"/>
      <c r="AH19" s="133"/>
      <c r="AI19" s="133" t="str">
        <f t="shared" si="1"/>
        <v xml:space="preserve"> </v>
      </c>
      <c r="AJ19" s="133"/>
      <c r="AK19" s="133"/>
      <c r="AL19" s="133"/>
      <c r="AM19" s="133"/>
      <c r="AN19" s="133"/>
      <c r="AO19" s="133"/>
      <c r="AP19" s="133"/>
      <c r="AQ19" s="133"/>
      <c r="AR19" s="191"/>
      <c r="AS19" s="192"/>
      <c r="AT19" s="192"/>
      <c r="AU19" s="192"/>
      <c r="AV19" s="192"/>
      <c r="AW19" s="192"/>
    </row>
    <row r="20" spans="2:49" ht="22.5" customHeight="1" thickBot="1" x14ac:dyDescent="0.3">
      <c r="B20" s="187"/>
      <c r="C20" s="187"/>
      <c r="D20" s="187"/>
      <c r="E20" s="187"/>
      <c r="F20" s="187"/>
      <c r="G20" s="187"/>
      <c r="H20" s="187"/>
      <c r="I20" s="187"/>
      <c r="J20" s="188"/>
      <c r="K20" s="155"/>
      <c r="L20" s="155"/>
      <c r="M20" s="155"/>
      <c r="N20" s="155"/>
      <c r="O20" s="155"/>
      <c r="P20" s="155"/>
      <c r="Q20" s="155"/>
      <c r="R20" s="155"/>
      <c r="S20" s="155"/>
      <c r="T20" s="191"/>
      <c r="U20" s="192"/>
      <c r="V20" s="192"/>
      <c r="W20" s="192"/>
      <c r="X20" s="192"/>
      <c r="Y20" s="193"/>
      <c r="Z20" s="133" t="str">
        <f t="shared" si="0"/>
        <v/>
      </c>
      <c r="AA20" s="133"/>
      <c r="AB20" s="133"/>
      <c r="AC20" s="133"/>
      <c r="AD20" s="133"/>
      <c r="AE20" s="133"/>
      <c r="AF20" s="133"/>
      <c r="AG20" s="133"/>
      <c r="AH20" s="133"/>
      <c r="AI20" s="133" t="str">
        <f t="shared" si="1"/>
        <v xml:space="preserve"> </v>
      </c>
      <c r="AJ20" s="133"/>
      <c r="AK20" s="133"/>
      <c r="AL20" s="133"/>
      <c r="AM20" s="133"/>
      <c r="AN20" s="133"/>
      <c r="AO20" s="133"/>
      <c r="AP20" s="133"/>
      <c r="AQ20" s="133"/>
      <c r="AR20" s="191"/>
      <c r="AS20" s="192"/>
      <c r="AT20" s="192"/>
      <c r="AU20" s="192"/>
      <c r="AV20" s="192"/>
      <c r="AW20" s="192"/>
    </row>
    <row r="21" spans="2:49" ht="22.5" customHeight="1" thickBot="1" x14ac:dyDescent="0.3">
      <c r="B21" s="187"/>
      <c r="C21" s="187"/>
      <c r="D21" s="187"/>
      <c r="E21" s="187"/>
      <c r="F21" s="187"/>
      <c r="G21" s="187"/>
      <c r="H21" s="187"/>
      <c r="I21" s="187"/>
      <c r="J21" s="188"/>
      <c r="K21" s="155"/>
      <c r="L21" s="155"/>
      <c r="M21" s="155"/>
      <c r="N21" s="155"/>
      <c r="O21" s="155"/>
      <c r="P21" s="155"/>
      <c r="Q21" s="155"/>
      <c r="R21" s="155"/>
      <c r="S21" s="155"/>
      <c r="T21" s="191"/>
      <c r="U21" s="192"/>
      <c r="V21" s="192"/>
      <c r="W21" s="192"/>
      <c r="X21" s="192"/>
      <c r="Y21" s="193"/>
      <c r="Z21" s="133" t="str">
        <f t="shared" si="0"/>
        <v/>
      </c>
      <c r="AA21" s="133"/>
      <c r="AB21" s="133"/>
      <c r="AC21" s="133"/>
      <c r="AD21" s="133"/>
      <c r="AE21" s="133"/>
      <c r="AF21" s="133"/>
      <c r="AG21" s="133"/>
      <c r="AH21" s="133"/>
      <c r="AI21" s="133" t="str">
        <f t="shared" si="1"/>
        <v xml:space="preserve"> </v>
      </c>
      <c r="AJ21" s="133"/>
      <c r="AK21" s="133"/>
      <c r="AL21" s="133"/>
      <c r="AM21" s="133"/>
      <c r="AN21" s="133"/>
      <c r="AO21" s="133"/>
      <c r="AP21" s="133"/>
      <c r="AQ21" s="133"/>
      <c r="AR21" s="191"/>
      <c r="AS21" s="192"/>
      <c r="AT21" s="192"/>
      <c r="AU21" s="192"/>
      <c r="AV21" s="192"/>
      <c r="AW21" s="192"/>
    </row>
    <row r="22" spans="2:49" ht="22.5" customHeight="1" thickBot="1" x14ac:dyDescent="0.3">
      <c r="B22" s="187"/>
      <c r="C22" s="187"/>
      <c r="D22" s="187"/>
      <c r="E22" s="187"/>
      <c r="F22" s="187"/>
      <c r="G22" s="187"/>
      <c r="H22" s="187"/>
      <c r="I22" s="187"/>
      <c r="J22" s="188"/>
      <c r="K22" s="155"/>
      <c r="L22" s="155"/>
      <c r="M22" s="155"/>
      <c r="N22" s="155"/>
      <c r="O22" s="155"/>
      <c r="P22" s="155"/>
      <c r="Q22" s="155"/>
      <c r="R22" s="155"/>
      <c r="S22" s="155"/>
      <c r="T22" s="191"/>
      <c r="U22" s="192"/>
      <c r="V22" s="192"/>
      <c r="W22" s="192"/>
      <c r="X22" s="192"/>
      <c r="Y22" s="193"/>
      <c r="Z22" s="133" t="str">
        <f t="shared" si="0"/>
        <v/>
      </c>
      <c r="AA22" s="133"/>
      <c r="AB22" s="133"/>
      <c r="AC22" s="133"/>
      <c r="AD22" s="133"/>
      <c r="AE22" s="133"/>
      <c r="AF22" s="133"/>
      <c r="AG22" s="133"/>
      <c r="AH22" s="133"/>
      <c r="AI22" s="133" t="str">
        <f t="shared" si="1"/>
        <v xml:space="preserve"> </v>
      </c>
      <c r="AJ22" s="133"/>
      <c r="AK22" s="133"/>
      <c r="AL22" s="133"/>
      <c r="AM22" s="133"/>
      <c r="AN22" s="133"/>
      <c r="AO22" s="133"/>
      <c r="AP22" s="133"/>
      <c r="AQ22" s="133"/>
      <c r="AR22" s="191"/>
      <c r="AS22" s="192"/>
      <c r="AT22" s="192"/>
      <c r="AU22" s="192"/>
      <c r="AV22" s="192"/>
      <c r="AW22" s="192"/>
    </row>
    <row r="23" spans="2:49" ht="22.5" customHeight="1" thickBot="1" x14ac:dyDescent="0.3">
      <c r="B23" s="187"/>
      <c r="C23" s="187"/>
      <c r="D23" s="187"/>
      <c r="E23" s="187"/>
      <c r="F23" s="187"/>
      <c r="G23" s="187"/>
      <c r="H23" s="187"/>
      <c r="I23" s="187"/>
      <c r="J23" s="188"/>
      <c r="K23" s="155"/>
      <c r="L23" s="155"/>
      <c r="M23" s="155"/>
      <c r="N23" s="155"/>
      <c r="O23" s="155"/>
      <c r="P23" s="155"/>
      <c r="Q23" s="155"/>
      <c r="R23" s="155"/>
      <c r="S23" s="155"/>
      <c r="T23" s="191"/>
      <c r="U23" s="192"/>
      <c r="V23" s="192"/>
      <c r="W23" s="192"/>
      <c r="X23" s="192"/>
      <c r="Y23" s="193"/>
      <c r="Z23" s="133" t="str">
        <f t="shared" si="0"/>
        <v/>
      </c>
      <c r="AA23" s="133"/>
      <c r="AB23" s="133"/>
      <c r="AC23" s="133"/>
      <c r="AD23" s="133"/>
      <c r="AE23" s="133"/>
      <c r="AF23" s="133"/>
      <c r="AG23" s="133"/>
      <c r="AH23" s="133"/>
      <c r="AI23" s="133" t="str">
        <f t="shared" si="1"/>
        <v xml:space="preserve"> </v>
      </c>
      <c r="AJ23" s="133"/>
      <c r="AK23" s="133"/>
      <c r="AL23" s="133"/>
      <c r="AM23" s="133"/>
      <c r="AN23" s="133"/>
      <c r="AO23" s="133"/>
      <c r="AP23" s="133"/>
      <c r="AQ23" s="133"/>
      <c r="AR23" s="191"/>
      <c r="AS23" s="192"/>
      <c r="AT23" s="192"/>
      <c r="AU23" s="192"/>
      <c r="AV23" s="192"/>
      <c r="AW23" s="192"/>
    </row>
    <row r="24" spans="2:49" ht="22.5" customHeight="1" thickBot="1" x14ac:dyDescent="0.3">
      <c r="B24" s="187"/>
      <c r="C24" s="187"/>
      <c r="D24" s="187"/>
      <c r="E24" s="187"/>
      <c r="F24" s="187"/>
      <c r="G24" s="187"/>
      <c r="H24" s="187"/>
      <c r="I24" s="187"/>
      <c r="J24" s="188"/>
      <c r="K24" s="155"/>
      <c r="L24" s="155"/>
      <c r="M24" s="155"/>
      <c r="N24" s="155"/>
      <c r="O24" s="155"/>
      <c r="P24" s="155"/>
      <c r="Q24" s="155"/>
      <c r="R24" s="155"/>
      <c r="S24" s="155"/>
      <c r="T24" s="191"/>
      <c r="U24" s="192"/>
      <c r="V24" s="192"/>
      <c r="W24" s="192"/>
      <c r="X24" s="192"/>
      <c r="Y24" s="193"/>
      <c r="Z24" s="133" t="str">
        <f t="shared" si="0"/>
        <v/>
      </c>
      <c r="AA24" s="133"/>
      <c r="AB24" s="133"/>
      <c r="AC24" s="133"/>
      <c r="AD24" s="133"/>
      <c r="AE24" s="133"/>
      <c r="AF24" s="133"/>
      <c r="AG24" s="133"/>
      <c r="AH24" s="133"/>
      <c r="AI24" s="133" t="str">
        <f t="shared" si="1"/>
        <v xml:space="preserve"> </v>
      </c>
      <c r="AJ24" s="133"/>
      <c r="AK24" s="133"/>
      <c r="AL24" s="133"/>
      <c r="AM24" s="133"/>
      <c r="AN24" s="133"/>
      <c r="AO24" s="133"/>
      <c r="AP24" s="133"/>
      <c r="AQ24" s="133"/>
      <c r="AR24" s="191"/>
      <c r="AS24" s="192"/>
      <c r="AT24" s="192"/>
      <c r="AU24" s="192"/>
      <c r="AV24" s="192"/>
      <c r="AW24" s="192"/>
    </row>
    <row r="25" spans="2:49" ht="22.5" customHeight="1" thickBot="1" x14ac:dyDescent="0.3">
      <c r="B25" s="187"/>
      <c r="C25" s="187"/>
      <c r="D25" s="187"/>
      <c r="E25" s="187"/>
      <c r="F25" s="187"/>
      <c r="G25" s="187"/>
      <c r="H25" s="187"/>
      <c r="I25" s="187"/>
      <c r="J25" s="188"/>
      <c r="K25" s="155"/>
      <c r="L25" s="155"/>
      <c r="M25" s="155"/>
      <c r="N25" s="155"/>
      <c r="O25" s="155"/>
      <c r="P25" s="155"/>
      <c r="Q25" s="155"/>
      <c r="R25" s="155"/>
      <c r="S25" s="155"/>
      <c r="T25" s="191"/>
      <c r="U25" s="192"/>
      <c r="V25" s="192"/>
      <c r="W25" s="192"/>
      <c r="X25" s="192"/>
      <c r="Y25" s="193"/>
      <c r="Z25" s="133" t="str">
        <f t="shared" si="0"/>
        <v/>
      </c>
      <c r="AA25" s="133"/>
      <c r="AB25" s="133"/>
      <c r="AC25" s="133"/>
      <c r="AD25" s="133"/>
      <c r="AE25" s="133"/>
      <c r="AF25" s="133"/>
      <c r="AG25" s="133"/>
      <c r="AH25" s="133"/>
      <c r="AI25" s="133" t="str">
        <f t="shared" si="1"/>
        <v xml:space="preserve"> </v>
      </c>
      <c r="AJ25" s="133"/>
      <c r="AK25" s="133"/>
      <c r="AL25" s="133"/>
      <c r="AM25" s="133"/>
      <c r="AN25" s="133"/>
      <c r="AO25" s="133"/>
      <c r="AP25" s="133"/>
      <c r="AQ25" s="133"/>
      <c r="AR25" s="191"/>
      <c r="AS25" s="192"/>
      <c r="AT25" s="192"/>
      <c r="AU25" s="192"/>
      <c r="AV25" s="192"/>
      <c r="AW25" s="192"/>
    </row>
    <row r="26" spans="2:49" ht="22.5" customHeight="1" x14ac:dyDescent="0.25">
      <c r="B26" s="189"/>
      <c r="C26" s="189"/>
      <c r="D26" s="189"/>
      <c r="E26" s="189"/>
      <c r="F26" s="189"/>
      <c r="G26" s="189"/>
      <c r="H26" s="189"/>
      <c r="I26" s="189"/>
      <c r="J26" s="190"/>
      <c r="K26" s="170"/>
      <c r="L26" s="170"/>
      <c r="M26" s="170"/>
      <c r="N26" s="170"/>
      <c r="O26" s="170"/>
      <c r="P26" s="170"/>
      <c r="Q26" s="170"/>
      <c r="R26" s="170"/>
      <c r="S26" s="170"/>
      <c r="T26" s="194"/>
      <c r="U26" s="195"/>
      <c r="V26" s="195"/>
      <c r="W26" s="195"/>
      <c r="X26" s="195"/>
      <c r="Y26" s="196"/>
      <c r="Z26" s="115" t="str">
        <f t="shared" si="0"/>
        <v/>
      </c>
      <c r="AA26" s="115"/>
      <c r="AB26" s="115"/>
      <c r="AC26" s="115"/>
      <c r="AD26" s="115"/>
      <c r="AE26" s="115"/>
      <c r="AF26" s="115"/>
      <c r="AG26" s="115"/>
      <c r="AH26" s="115"/>
      <c r="AI26" s="115" t="str">
        <f t="shared" si="1"/>
        <v xml:space="preserve"> </v>
      </c>
      <c r="AJ26" s="115"/>
      <c r="AK26" s="115"/>
      <c r="AL26" s="115"/>
      <c r="AM26" s="115"/>
      <c r="AN26" s="115"/>
      <c r="AO26" s="115"/>
      <c r="AP26" s="115"/>
      <c r="AQ26" s="115"/>
      <c r="AR26" s="194"/>
      <c r="AS26" s="195"/>
      <c r="AT26" s="195"/>
      <c r="AU26" s="195"/>
      <c r="AV26" s="195"/>
      <c r="AW26" s="195"/>
    </row>
    <row r="27" spans="2:49" ht="18.75" customHeight="1" x14ac:dyDescent="0.25"/>
    <row r="28" spans="2:49" ht="26.25" customHeight="1" x14ac:dyDescent="0.25">
      <c r="B28" s="93" t="s">
        <v>6070</v>
      </c>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241" t="s">
        <v>6086</v>
      </c>
      <c r="AJ28" s="241"/>
      <c r="AK28" s="241"/>
      <c r="AL28" s="241"/>
      <c r="AM28" s="241"/>
      <c r="AN28" s="241"/>
      <c r="AO28" s="241"/>
      <c r="AP28" s="241"/>
      <c r="AQ28" s="241"/>
      <c r="AR28" s="238" t="s">
        <v>6087</v>
      </c>
      <c r="AS28" s="239"/>
      <c r="AT28" s="239"/>
      <c r="AU28" s="239"/>
      <c r="AV28" s="239"/>
      <c r="AW28" s="240"/>
    </row>
    <row r="29" spans="2:49" ht="3.75" customHeight="1" x14ac:dyDescent="0.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row>
    <row r="30" spans="2:49" ht="22.5" customHeight="1" x14ac:dyDescent="0.25">
      <c r="B30" s="205" t="s">
        <v>6071</v>
      </c>
      <c r="C30" s="205"/>
      <c r="D30" s="205"/>
      <c r="E30" s="109"/>
      <c r="F30" s="220"/>
      <c r="G30" s="221"/>
      <c r="H30" s="221"/>
      <c r="I30" s="222"/>
      <c r="J30" s="210" t="str">
        <f>IF(F30="","",F30)</f>
        <v/>
      </c>
      <c r="K30" s="208" t="str">
        <f>IFERROR(DATE(YEAR(J30),IF($AR$28="MENSAL",MONTH(J30)+1,MONTH(J30)+2),1),"")</f>
        <v/>
      </c>
      <c r="L30" s="208" t="str">
        <f t="shared" ref="L30:AW30" si="2">IFERROR(DATE(YEAR(K30),IF($AR$28="MENSAL",MONTH(K30)+1,MONTH(K30)+2),1),"")</f>
        <v/>
      </c>
      <c r="M30" s="208" t="str">
        <f t="shared" si="2"/>
        <v/>
      </c>
      <c r="N30" s="208" t="str">
        <f t="shared" si="2"/>
        <v/>
      </c>
      <c r="O30" s="208" t="str">
        <f t="shared" si="2"/>
        <v/>
      </c>
      <c r="P30" s="208" t="str">
        <f t="shared" si="2"/>
        <v/>
      </c>
      <c r="Q30" s="208" t="str">
        <f t="shared" si="2"/>
        <v/>
      </c>
      <c r="R30" s="208" t="str">
        <f t="shared" si="2"/>
        <v/>
      </c>
      <c r="S30" s="208" t="str">
        <f t="shared" si="2"/>
        <v/>
      </c>
      <c r="T30" s="208" t="str">
        <f t="shared" si="2"/>
        <v/>
      </c>
      <c r="U30" s="208" t="str">
        <f t="shared" si="2"/>
        <v/>
      </c>
      <c r="V30" s="208" t="str">
        <f t="shared" si="2"/>
        <v/>
      </c>
      <c r="W30" s="208" t="str">
        <f t="shared" si="2"/>
        <v/>
      </c>
      <c r="X30" s="208" t="str">
        <f t="shared" si="2"/>
        <v/>
      </c>
      <c r="Y30" s="208" t="str">
        <f t="shared" si="2"/>
        <v/>
      </c>
      <c r="Z30" s="208" t="str">
        <f t="shared" si="2"/>
        <v/>
      </c>
      <c r="AA30" s="208" t="str">
        <f t="shared" si="2"/>
        <v/>
      </c>
      <c r="AB30" s="208" t="str">
        <f t="shared" si="2"/>
        <v/>
      </c>
      <c r="AC30" s="208" t="str">
        <f t="shared" si="2"/>
        <v/>
      </c>
      <c r="AD30" s="208" t="str">
        <f t="shared" si="2"/>
        <v/>
      </c>
      <c r="AE30" s="208" t="str">
        <f t="shared" si="2"/>
        <v/>
      </c>
      <c r="AF30" s="208" t="str">
        <f t="shared" si="2"/>
        <v/>
      </c>
      <c r="AG30" s="208" t="str">
        <f t="shared" si="2"/>
        <v/>
      </c>
      <c r="AH30" s="208" t="str">
        <f t="shared" si="2"/>
        <v/>
      </c>
      <c r="AI30" s="208" t="str">
        <f t="shared" si="2"/>
        <v/>
      </c>
      <c r="AJ30" s="208" t="str">
        <f t="shared" si="2"/>
        <v/>
      </c>
      <c r="AK30" s="208" t="str">
        <f t="shared" si="2"/>
        <v/>
      </c>
      <c r="AL30" s="208" t="str">
        <f t="shared" si="2"/>
        <v/>
      </c>
      <c r="AM30" s="208" t="str">
        <f t="shared" si="2"/>
        <v/>
      </c>
      <c r="AN30" s="208" t="str">
        <f t="shared" si="2"/>
        <v/>
      </c>
      <c r="AO30" s="208" t="str">
        <f t="shared" si="2"/>
        <v/>
      </c>
      <c r="AP30" s="208" t="str">
        <f t="shared" si="2"/>
        <v/>
      </c>
      <c r="AQ30" s="208" t="str">
        <f t="shared" si="2"/>
        <v/>
      </c>
      <c r="AR30" s="208" t="str">
        <f t="shared" si="2"/>
        <v/>
      </c>
      <c r="AS30" s="208" t="str">
        <f t="shared" si="2"/>
        <v/>
      </c>
      <c r="AT30" s="208" t="str">
        <f t="shared" si="2"/>
        <v/>
      </c>
      <c r="AU30" s="208" t="str">
        <f t="shared" si="2"/>
        <v/>
      </c>
      <c r="AV30" s="208" t="str">
        <f t="shared" si="2"/>
        <v/>
      </c>
      <c r="AW30" s="251" t="str">
        <f t="shared" si="2"/>
        <v/>
      </c>
    </row>
    <row r="31" spans="2:49" ht="3.75" customHeight="1" x14ac:dyDescent="0.3">
      <c r="B31" s="55"/>
      <c r="C31" s="55"/>
      <c r="D31" s="55"/>
      <c r="E31" s="55"/>
      <c r="F31" s="71"/>
      <c r="G31" s="71"/>
      <c r="H31" s="71"/>
      <c r="I31" s="72"/>
      <c r="J31" s="210"/>
      <c r="K31" s="208"/>
      <c r="L31" s="208"/>
      <c r="M31" s="208"/>
      <c r="N31" s="208"/>
      <c r="O31" s="208"/>
      <c r="P31" s="208"/>
      <c r="Q31" s="208"/>
      <c r="R31" s="208"/>
      <c r="S31" s="208"/>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51"/>
    </row>
    <row r="32" spans="2:49" ht="22.5" customHeight="1" x14ac:dyDescent="0.25">
      <c r="B32" s="205" t="s">
        <v>6072</v>
      </c>
      <c r="C32" s="205"/>
      <c r="D32" s="205"/>
      <c r="E32" s="109"/>
      <c r="F32" s="223"/>
      <c r="G32" s="224"/>
      <c r="H32" s="224"/>
      <c r="I32" s="225"/>
      <c r="J32" s="210"/>
      <c r="K32" s="208"/>
      <c r="L32" s="208"/>
      <c r="M32" s="208"/>
      <c r="N32" s="208"/>
      <c r="O32" s="208"/>
      <c r="P32" s="208"/>
      <c r="Q32" s="208"/>
      <c r="R32" s="208"/>
      <c r="S32" s="208"/>
      <c r="T32" s="208"/>
      <c r="U32" s="208"/>
      <c r="V32" s="208"/>
      <c r="W32" s="208"/>
      <c r="X32" s="208"/>
      <c r="Y32" s="208"/>
      <c r="Z32" s="208"/>
      <c r="AA32" s="208"/>
      <c r="AB32" s="208"/>
      <c r="AC32" s="208"/>
      <c r="AD32" s="208"/>
      <c r="AE32" s="208"/>
      <c r="AF32" s="208"/>
      <c r="AG32" s="208"/>
      <c r="AH32" s="208"/>
      <c r="AI32" s="208"/>
      <c r="AJ32" s="208"/>
      <c r="AK32" s="208"/>
      <c r="AL32" s="208"/>
      <c r="AM32" s="208"/>
      <c r="AN32" s="208"/>
      <c r="AO32" s="208"/>
      <c r="AP32" s="208"/>
      <c r="AQ32" s="208"/>
      <c r="AR32" s="208"/>
      <c r="AS32" s="208"/>
      <c r="AT32" s="208"/>
      <c r="AU32" s="208"/>
      <c r="AV32" s="208"/>
      <c r="AW32" s="251"/>
    </row>
    <row r="33" spans="2:53" ht="3.75" customHeight="1" x14ac:dyDescent="0.3">
      <c r="B33" s="55"/>
      <c r="C33" s="55"/>
      <c r="D33" s="55"/>
      <c r="E33" s="55"/>
      <c r="F33" s="53"/>
      <c r="G33" s="53"/>
      <c r="H33" s="53"/>
      <c r="I33" s="56"/>
      <c r="J33" s="210"/>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51"/>
    </row>
    <row r="34" spans="2:53" ht="22.5" customHeight="1" thickBot="1" x14ac:dyDescent="0.3">
      <c r="B34" s="134" t="s">
        <v>6031</v>
      </c>
      <c r="C34" s="135"/>
      <c r="D34" s="135"/>
      <c r="E34" s="135"/>
      <c r="F34" s="135" t="s">
        <v>6078</v>
      </c>
      <c r="G34" s="135"/>
      <c r="H34" s="135"/>
      <c r="I34" s="226"/>
      <c r="J34" s="211"/>
      <c r="K34" s="209"/>
      <c r="L34" s="209"/>
      <c r="M34" s="209"/>
      <c r="N34" s="209"/>
      <c r="O34" s="209"/>
      <c r="P34" s="209"/>
      <c r="Q34" s="209"/>
      <c r="R34" s="209"/>
      <c r="S34" s="209"/>
      <c r="T34" s="209"/>
      <c r="U34" s="209"/>
      <c r="V34" s="209"/>
      <c r="W34" s="209"/>
      <c r="X34" s="209"/>
      <c r="Y34" s="209"/>
      <c r="Z34" s="209"/>
      <c r="AA34" s="209"/>
      <c r="AB34" s="209"/>
      <c r="AC34" s="209"/>
      <c r="AD34" s="209"/>
      <c r="AE34" s="209"/>
      <c r="AF34" s="209"/>
      <c r="AG34" s="209"/>
      <c r="AH34" s="209"/>
      <c r="AI34" s="209"/>
      <c r="AJ34" s="209"/>
      <c r="AK34" s="209"/>
      <c r="AL34" s="209"/>
      <c r="AM34" s="209"/>
      <c r="AN34" s="209"/>
      <c r="AO34" s="209"/>
      <c r="AP34" s="209"/>
      <c r="AQ34" s="209"/>
      <c r="AR34" s="209"/>
      <c r="AS34" s="209"/>
      <c r="AT34" s="209"/>
      <c r="AU34" s="209"/>
      <c r="AV34" s="209"/>
      <c r="AW34" s="252"/>
      <c r="AY34" s="49" t="s">
        <v>6079</v>
      </c>
      <c r="AZ34" s="49" t="s">
        <v>6080</v>
      </c>
    </row>
    <row r="35" spans="2:53" ht="22.5" customHeight="1" thickBot="1" x14ac:dyDescent="0.3">
      <c r="B35" s="206" t="s">
        <v>6073</v>
      </c>
      <c r="C35" s="207"/>
      <c r="D35" s="207"/>
      <c r="E35" s="207"/>
      <c r="F35" s="227"/>
      <c r="G35" s="227"/>
      <c r="H35" s="227"/>
      <c r="I35" s="228"/>
      <c r="J35" s="57">
        <f>IF(AND(J$30&gt;=$AY35,J$30&lt;=$AZ35),1,0)</f>
        <v>0</v>
      </c>
      <c r="K35" s="58">
        <f t="shared" ref="K35:Z39" si="3">IF(AND(K$30&gt;=$AY35,K$30&lt;=$AZ35),1,0)</f>
        <v>0</v>
      </c>
      <c r="L35" s="58">
        <f t="shared" si="3"/>
        <v>0</v>
      </c>
      <c r="M35" s="58">
        <f t="shared" si="3"/>
        <v>0</v>
      </c>
      <c r="N35" s="58">
        <f t="shared" si="3"/>
        <v>0</v>
      </c>
      <c r="O35" s="58">
        <f t="shared" si="3"/>
        <v>0</v>
      </c>
      <c r="P35" s="58">
        <f t="shared" si="3"/>
        <v>0</v>
      </c>
      <c r="Q35" s="58">
        <f t="shared" si="3"/>
        <v>0</v>
      </c>
      <c r="R35" s="58">
        <f t="shared" si="3"/>
        <v>0</v>
      </c>
      <c r="S35" s="58">
        <f t="shared" si="3"/>
        <v>0</v>
      </c>
      <c r="T35" s="58">
        <f t="shared" si="3"/>
        <v>0</v>
      </c>
      <c r="U35" s="58">
        <f t="shared" si="3"/>
        <v>0</v>
      </c>
      <c r="V35" s="58">
        <f t="shared" si="3"/>
        <v>0</v>
      </c>
      <c r="W35" s="58">
        <f t="shared" si="3"/>
        <v>0</v>
      </c>
      <c r="X35" s="58">
        <f t="shared" si="3"/>
        <v>0</v>
      </c>
      <c r="Y35" s="58">
        <f t="shared" si="3"/>
        <v>0</v>
      </c>
      <c r="Z35" s="58">
        <f t="shared" si="3"/>
        <v>0</v>
      </c>
      <c r="AA35" s="58">
        <f t="shared" ref="AA35:AP39" si="4">IF(AND(AA$30&gt;=$AY35,AA$30&lt;=$AZ35),1,0)</f>
        <v>0</v>
      </c>
      <c r="AB35" s="58">
        <f t="shared" si="4"/>
        <v>0</v>
      </c>
      <c r="AC35" s="58">
        <f t="shared" si="4"/>
        <v>0</v>
      </c>
      <c r="AD35" s="58">
        <f t="shared" si="4"/>
        <v>0</v>
      </c>
      <c r="AE35" s="58">
        <f t="shared" si="4"/>
        <v>0</v>
      </c>
      <c r="AF35" s="58">
        <f t="shared" si="4"/>
        <v>0</v>
      </c>
      <c r="AG35" s="58">
        <f t="shared" si="4"/>
        <v>0</v>
      </c>
      <c r="AH35" s="58">
        <f t="shared" si="4"/>
        <v>0</v>
      </c>
      <c r="AI35" s="58">
        <f t="shared" si="4"/>
        <v>0</v>
      </c>
      <c r="AJ35" s="58">
        <f t="shared" si="4"/>
        <v>0</v>
      </c>
      <c r="AK35" s="58">
        <f t="shared" si="4"/>
        <v>0</v>
      </c>
      <c r="AL35" s="58">
        <f t="shared" si="4"/>
        <v>0</v>
      </c>
      <c r="AM35" s="58">
        <f t="shared" si="4"/>
        <v>0</v>
      </c>
      <c r="AN35" s="58">
        <f t="shared" si="4"/>
        <v>0</v>
      </c>
      <c r="AO35" s="58">
        <f t="shared" si="4"/>
        <v>0</v>
      </c>
      <c r="AP35" s="58">
        <f t="shared" si="4"/>
        <v>0</v>
      </c>
      <c r="AQ35" s="58">
        <f t="shared" ref="AQ35:AW39" si="5">IF(AND(AQ$30&gt;=$AY35,AQ$30&lt;=$AZ35),1,0)</f>
        <v>0</v>
      </c>
      <c r="AR35" s="58">
        <f t="shared" si="5"/>
        <v>0</v>
      </c>
      <c r="AS35" s="58">
        <f t="shared" si="5"/>
        <v>0</v>
      </c>
      <c r="AT35" s="58">
        <f t="shared" si="5"/>
        <v>0</v>
      </c>
      <c r="AU35" s="58">
        <f t="shared" si="5"/>
        <v>0</v>
      </c>
      <c r="AV35" s="58">
        <f t="shared" si="5"/>
        <v>0</v>
      </c>
      <c r="AW35" s="59">
        <f t="shared" si="5"/>
        <v>0</v>
      </c>
      <c r="AY35" s="50">
        <f>F30</f>
        <v>0</v>
      </c>
      <c r="AZ35" s="50">
        <f>DATE(YEAR(AY35),MONTH(AY35)+F35,1)</f>
        <v>1</v>
      </c>
      <c r="BA35" s="51"/>
    </row>
    <row r="36" spans="2:53" ht="22.5" customHeight="1" thickBot="1" x14ac:dyDescent="0.3">
      <c r="B36" s="201" t="s">
        <v>6074</v>
      </c>
      <c r="C36" s="202"/>
      <c r="D36" s="202"/>
      <c r="E36" s="202"/>
      <c r="F36" s="197"/>
      <c r="G36" s="197"/>
      <c r="H36" s="197"/>
      <c r="I36" s="198"/>
      <c r="J36" s="57">
        <f t="shared" ref="J36:J39" si="6">IF(AND(J$30&gt;=$AY36,J$30&lt;=$AZ36),1,0)</f>
        <v>0</v>
      </c>
      <c r="K36" s="58">
        <f t="shared" si="3"/>
        <v>0</v>
      </c>
      <c r="L36" s="58">
        <f t="shared" si="3"/>
        <v>0</v>
      </c>
      <c r="M36" s="58">
        <f t="shared" si="3"/>
        <v>0</v>
      </c>
      <c r="N36" s="58">
        <f t="shared" si="3"/>
        <v>0</v>
      </c>
      <c r="O36" s="58">
        <f t="shared" si="3"/>
        <v>0</v>
      </c>
      <c r="P36" s="58">
        <f t="shared" si="3"/>
        <v>0</v>
      </c>
      <c r="Q36" s="58">
        <f t="shared" si="3"/>
        <v>0</v>
      </c>
      <c r="R36" s="58">
        <f t="shared" si="3"/>
        <v>0</v>
      </c>
      <c r="S36" s="58">
        <f t="shared" si="3"/>
        <v>0</v>
      </c>
      <c r="T36" s="58">
        <f t="shared" si="3"/>
        <v>0</v>
      </c>
      <c r="U36" s="58">
        <f t="shared" si="3"/>
        <v>0</v>
      </c>
      <c r="V36" s="58">
        <f t="shared" si="3"/>
        <v>0</v>
      </c>
      <c r="W36" s="58">
        <f t="shared" si="3"/>
        <v>0</v>
      </c>
      <c r="X36" s="58">
        <f t="shared" si="3"/>
        <v>0</v>
      </c>
      <c r="Y36" s="58">
        <f t="shared" si="3"/>
        <v>0</v>
      </c>
      <c r="Z36" s="58">
        <f t="shared" si="3"/>
        <v>0</v>
      </c>
      <c r="AA36" s="58">
        <f t="shared" si="4"/>
        <v>0</v>
      </c>
      <c r="AB36" s="58">
        <f t="shared" si="4"/>
        <v>0</v>
      </c>
      <c r="AC36" s="58">
        <f t="shared" si="4"/>
        <v>0</v>
      </c>
      <c r="AD36" s="58">
        <f t="shared" si="4"/>
        <v>0</v>
      </c>
      <c r="AE36" s="58">
        <f t="shared" si="4"/>
        <v>0</v>
      </c>
      <c r="AF36" s="58">
        <f t="shared" si="4"/>
        <v>0</v>
      </c>
      <c r="AG36" s="58">
        <f t="shared" si="4"/>
        <v>0</v>
      </c>
      <c r="AH36" s="58">
        <f t="shared" si="4"/>
        <v>0</v>
      </c>
      <c r="AI36" s="58">
        <f t="shared" si="4"/>
        <v>0</v>
      </c>
      <c r="AJ36" s="58">
        <f t="shared" si="4"/>
        <v>0</v>
      </c>
      <c r="AK36" s="58">
        <f t="shared" si="4"/>
        <v>0</v>
      </c>
      <c r="AL36" s="58">
        <f t="shared" si="4"/>
        <v>0</v>
      </c>
      <c r="AM36" s="58">
        <f t="shared" si="4"/>
        <v>0</v>
      </c>
      <c r="AN36" s="58">
        <f t="shared" si="4"/>
        <v>0</v>
      </c>
      <c r="AO36" s="58">
        <f t="shared" si="4"/>
        <v>0</v>
      </c>
      <c r="AP36" s="58">
        <f t="shared" si="4"/>
        <v>0</v>
      </c>
      <c r="AQ36" s="58">
        <f t="shared" si="5"/>
        <v>0</v>
      </c>
      <c r="AR36" s="58">
        <f t="shared" si="5"/>
        <v>0</v>
      </c>
      <c r="AS36" s="58">
        <f t="shared" si="5"/>
        <v>0</v>
      </c>
      <c r="AT36" s="58">
        <f t="shared" si="5"/>
        <v>0</v>
      </c>
      <c r="AU36" s="58">
        <f t="shared" si="5"/>
        <v>0</v>
      </c>
      <c r="AV36" s="58">
        <f t="shared" si="5"/>
        <v>0</v>
      </c>
      <c r="AW36" s="59">
        <f t="shared" si="5"/>
        <v>0</v>
      </c>
      <c r="AY36" s="50">
        <f>AZ35</f>
        <v>1</v>
      </c>
      <c r="AZ36" s="50">
        <f>DATE(YEAR(AY36),MONTH(AY36)+F36,1)</f>
        <v>1</v>
      </c>
    </row>
    <row r="37" spans="2:53" ht="22.5" customHeight="1" thickBot="1" x14ac:dyDescent="0.3">
      <c r="B37" s="201" t="s">
        <v>6075</v>
      </c>
      <c r="C37" s="202"/>
      <c r="D37" s="202"/>
      <c r="E37" s="202"/>
      <c r="F37" s="197"/>
      <c r="G37" s="197"/>
      <c r="H37" s="197"/>
      <c r="I37" s="198"/>
      <c r="J37" s="57">
        <f t="shared" si="6"/>
        <v>0</v>
      </c>
      <c r="K37" s="58">
        <f t="shared" si="3"/>
        <v>0</v>
      </c>
      <c r="L37" s="58">
        <f t="shared" si="3"/>
        <v>0</v>
      </c>
      <c r="M37" s="58">
        <f t="shared" si="3"/>
        <v>0</v>
      </c>
      <c r="N37" s="58">
        <f t="shared" si="3"/>
        <v>0</v>
      </c>
      <c r="O37" s="58">
        <f t="shared" si="3"/>
        <v>0</v>
      </c>
      <c r="P37" s="58">
        <f t="shared" si="3"/>
        <v>0</v>
      </c>
      <c r="Q37" s="58">
        <f t="shared" si="3"/>
        <v>0</v>
      </c>
      <c r="R37" s="58">
        <f t="shared" si="3"/>
        <v>0</v>
      </c>
      <c r="S37" s="58">
        <f t="shared" si="3"/>
        <v>0</v>
      </c>
      <c r="T37" s="58">
        <f t="shared" si="3"/>
        <v>0</v>
      </c>
      <c r="U37" s="58">
        <f t="shared" si="3"/>
        <v>0</v>
      </c>
      <c r="V37" s="58">
        <f t="shared" si="3"/>
        <v>0</v>
      </c>
      <c r="W37" s="58">
        <f t="shared" si="3"/>
        <v>0</v>
      </c>
      <c r="X37" s="58">
        <f t="shared" si="3"/>
        <v>0</v>
      </c>
      <c r="Y37" s="58">
        <f t="shared" si="3"/>
        <v>0</v>
      </c>
      <c r="Z37" s="58">
        <f t="shared" si="3"/>
        <v>0</v>
      </c>
      <c r="AA37" s="58">
        <f t="shared" si="4"/>
        <v>0</v>
      </c>
      <c r="AB37" s="58">
        <f t="shared" si="4"/>
        <v>0</v>
      </c>
      <c r="AC37" s="58">
        <f t="shared" si="4"/>
        <v>0</v>
      </c>
      <c r="AD37" s="58">
        <f t="shared" si="4"/>
        <v>0</v>
      </c>
      <c r="AE37" s="58">
        <f t="shared" si="4"/>
        <v>0</v>
      </c>
      <c r="AF37" s="58">
        <f t="shared" si="4"/>
        <v>0</v>
      </c>
      <c r="AG37" s="58">
        <f t="shared" si="4"/>
        <v>0</v>
      </c>
      <c r="AH37" s="58">
        <f t="shared" si="4"/>
        <v>0</v>
      </c>
      <c r="AI37" s="58">
        <f t="shared" si="4"/>
        <v>0</v>
      </c>
      <c r="AJ37" s="58">
        <f t="shared" si="4"/>
        <v>0</v>
      </c>
      <c r="AK37" s="58">
        <f t="shared" si="4"/>
        <v>0</v>
      </c>
      <c r="AL37" s="58">
        <f t="shared" si="4"/>
        <v>0</v>
      </c>
      <c r="AM37" s="58">
        <f t="shared" si="4"/>
        <v>0</v>
      </c>
      <c r="AN37" s="58">
        <f t="shared" si="4"/>
        <v>0</v>
      </c>
      <c r="AO37" s="58">
        <f t="shared" si="4"/>
        <v>0</v>
      </c>
      <c r="AP37" s="58">
        <f t="shared" si="4"/>
        <v>0</v>
      </c>
      <c r="AQ37" s="58">
        <f t="shared" si="5"/>
        <v>0</v>
      </c>
      <c r="AR37" s="58">
        <f t="shared" si="5"/>
        <v>0</v>
      </c>
      <c r="AS37" s="58">
        <f t="shared" si="5"/>
        <v>0</v>
      </c>
      <c r="AT37" s="58">
        <f t="shared" si="5"/>
        <v>0</v>
      </c>
      <c r="AU37" s="58">
        <f t="shared" si="5"/>
        <v>0</v>
      </c>
      <c r="AV37" s="58">
        <f t="shared" si="5"/>
        <v>0</v>
      </c>
      <c r="AW37" s="59">
        <f t="shared" si="5"/>
        <v>0</v>
      </c>
      <c r="AY37" s="50">
        <f>AZ36</f>
        <v>1</v>
      </c>
      <c r="AZ37" s="50">
        <f>DATE(YEAR(AY37),MONTH(AY37)+F37,1)</f>
        <v>1</v>
      </c>
    </row>
    <row r="38" spans="2:53" ht="22.5" customHeight="1" thickBot="1" x14ac:dyDescent="0.3">
      <c r="B38" s="201" t="s">
        <v>6076</v>
      </c>
      <c r="C38" s="202"/>
      <c r="D38" s="202"/>
      <c r="E38" s="202"/>
      <c r="F38" s="197"/>
      <c r="G38" s="197"/>
      <c r="H38" s="197"/>
      <c r="I38" s="198"/>
      <c r="J38" s="57">
        <f t="shared" si="6"/>
        <v>0</v>
      </c>
      <c r="K38" s="58">
        <f t="shared" si="3"/>
        <v>0</v>
      </c>
      <c r="L38" s="58">
        <f t="shared" si="3"/>
        <v>0</v>
      </c>
      <c r="M38" s="58">
        <f t="shared" si="3"/>
        <v>0</v>
      </c>
      <c r="N38" s="58">
        <f t="shared" si="3"/>
        <v>0</v>
      </c>
      <c r="O38" s="58">
        <f t="shared" si="3"/>
        <v>0</v>
      </c>
      <c r="P38" s="58">
        <f t="shared" si="3"/>
        <v>0</v>
      </c>
      <c r="Q38" s="58">
        <f t="shared" si="3"/>
        <v>0</v>
      </c>
      <c r="R38" s="58">
        <f t="shared" si="3"/>
        <v>0</v>
      </c>
      <c r="S38" s="58">
        <f t="shared" si="3"/>
        <v>0</v>
      </c>
      <c r="T38" s="58">
        <f t="shared" si="3"/>
        <v>0</v>
      </c>
      <c r="U38" s="58">
        <f t="shared" si="3"/>
        <v>0</v>
      </c>
      <c r="V38" s="58">
        <f t="shared" si="3"/>
        <v>0</v>
      </c>
      <c r="W38" s="58">
        <f t="shared" si="3"/>
        <v>0</v>
      </c>
      <c r="X38" s="58">
        <f t="shared" si="3"/>
        <v>0</v>
      </c>
      <c r="Y38" s="58">
        <f t="shared" si="3"/>
        <v>0</v>
      </c>
      <c r="Z38" s="58">
        <f t="shared" si="3"/>
        <v>0</v>
      </c>
      <c r="AA38" s="58">
        <f t="shared" si="4"/>
        <v>0</v>
      </c>
      <c r="AB38" s="58">
        <f t="shared" si="4"/>
        <v>0</v>
      </c>
      <c r="AC38" s="58">
        <f t="shared" si="4"/>
        <v>0</v>
      </c>
      <c r="AD38" s="58">
        <f t="shared" si="4"/>
        <v>0</v>
      </c>
      <c r="AE38" s="58">
        <f t="shared" si="4"/>
        <v>0</v>
      </c>
      <c r="AF38" s="58">
        <f t="shared" si="4"/>
        <v>0</v>
      </c>
      <c r="AG38" s="58">
        <f t="shared" si="4"/>
        <v>0</v>
      </c>
      <c r="AH38" s="58">
        <f t="shared" si="4"/>
        <v>0</v>
      </c>
      <c r="AI38" s="58">
        <f t="shared" si="4"/>
        <v>0</v>
      </c>
      <c r="AJ38" s="58">
        <f t="shared" si="4"/>
        <v>0</v>
      </c>
      <c r="AK38" s="58">
        <f t="shared" si="4"/>
        <v>0</v>
      </c>
      <c r="AL38" s="58">
        <f t="shared" si="4"/>
        <v>0</v>
      </c>
      <c r="AM38" s="58">
        <f t="shared" si="4"/>
        <v>0</v>
      </c>
      <c r="AN38" s="58">
        <f t="shared" si="4"/>
        <v>0</v>
      </c>
      <c r="AO38" s="58">
        <f t="shared" si="4"/>
        <v>0</v>
      </c>
      <c r="AP38" s="58">
        <f t="shared" si="4"/>
        <v>0</v>
      </c>
      <c r="AQ38" s="58">
        <f t="shared" si="5"/>
        <v>0</v>
      </c>
      <c r="AR38" s="58">
        <f t="shared" si="5"/>
        <v>0</v>
      </c>
      <c r="AS38" s="58">
        <f t="shared" si="5"/>
        <v>0</v>
      </c>
      <c r="AT38" s="58">
        <f t="shared" si="5"/>
        <v>0</v>
      </c>
      <c r="AU38" s="58">
        <f t="shared" si="5"/>
        <v>0</v>
      </c>
      <c r="AV38" s="58">
        <f t="shared" si="5"/>
        <v>0</v>
      </c>
      <c r="AW38" s="59">
        <f t="shared" si="5"/>
        <v>0</v>
      </c>
      <c r="AY38" s="50">
        <f>DATE(YEAR(AY37),MONTH(AY37)+F32,1)</f>
        <v>1</v>
      </c>
      <c r="AZ38" s="50">
        <f>DATE(YEAR(AY38),MONTH(AY38)+F38,1)</f>
        <v>1</v>
      </c>
    </row>
    <row r="39" spans="2:53" ht="22.5" customHeight="1" x14ac:dyDescent="0.25">
      <c r="B39" s="203" t="s">
        <v>6077</v>
      </c>
      <c r="C39" s="204"/>
      <c r="D39" s="204"/>
      <c r="E39" s="204"/>
      <c r="F39" s="199"/>
      <c r="G39" s="199"/>
      <c r="H39" s="199"/>
      <c r="I39" s="200"/>
      <c r="J39" s="60">
        <f t="shared" si="6"/>
        <v>0</v>
      </c>
      <c r="K39" s="61">
        <f t="shared" si="3"/>
        <v>0</v>
      </c>
      <c r="L39" s="61">
        <f t="shared" si="3"/>
        <v>0</v>
      </c>
      <c r="M39" s="61">
        <f t="shared" si="3"/>
        <v>0</v>
      </c>
      <c r="N39" s="61">
        <f t="shared" si="3"/>
        <v>0</v>
      </c>
      <c r="O39" s="61">
        <f t="shared" si="3"/>
        <v>0</v>
      </c>
      <c r="P39" s="61">
        <f t="shared" si="3"/>
        <v>0</v>
      </c>
      <c r="Q39" s="61">
        <f t="shared" si="3"/>
        <v>0</v>
      </c>
      <c r="R39" s="61">
        <f t="shared" si="3"/>
        <v>0</v>
      </c>
      <c r="S39" s="61">
        <f t="shared" si="3"/>
        <v>0</v>
      </c>
      <c r="T39" s="61">
        <f t="shared" si="3"/>
        <v>0</v>
      </c>
      <c r="U39" s="61">
        <f t="shared" si="3"/>
        <v>0</v>
      </c>
      <c r="V39" s="61">
        <f t="shared" si="3"/>
        <v>0</v>
      </c>
      <c r="W39" s="61">
        <f t="shared" si="3"/>
        <v>0</v>
      </c>
      <c r="X39" s="61">
        <f t="shared" si="3"/>
        <v>0</v>
      </c>
      <c r="Y39" s="61">
        <f t="shared" si="3"/>
        <v>0</v>
      </c>
      <c r="Z39" s="61">
        <f t="shared" si="3"/>
        <v>0</v>
      </c>
      <c r="AA39" s="61">
        <f t="shared" si="4"/>
        <v>0</v>
      </c>
      <c r="AB39" s="61">
        <f t="shared" si="4"/>
        <v>0</v>
      </c>
      <c r="AC39" s="61">
        <f t="shared" si="4"/>
        <v>0</v>
      </c>
      <c r="AD39" s="61">
        <f t="shared" si="4"/>
        <v>0</v>
      </c>
      <c r="AE39" s="61">
        <f t="shared" si="4"/>
        <v>0</v>
      </c>
      <c r="AF39" s="61">
        <f t="shared" si="4"/>
        <v>0</v>
      </c>
      <c r="AG39" s="61">
        <f t="shared" si="4"/>
        <v>0</v>
      </c>
      <c r="AH39" s="61">
        <f t="shared" si="4"/>
        <v>0</v>
      </c>
      <c r="AI39" s="61">
        <f t="shared" si="4"/>
        <v>0</v>
      </c>
      <c r="AJ39" s="61">
        <f t="shared" si="4"/>
        <v>0</v>
      </c>
      <c r="AK39" s="61">
        <f t="shared" si="4"/>
        <v>0</v>
      </c>
      <c r="AL39" s="61">
        <f t="shared" si="4"/>
        <v>0</v>
      </c>
      <c r="AM39" s="61">
        <f t="shared" si="4"/>
        <v>0</v>
      </c>
      <c r="AN39" s="61">
        <f t="shared" si="4"/>
        <v>0</v>
      </c>
      <c r="AO39" s="61">
        <f t="shared" si="4"/>
        <v>0</v>
      </c>
      <c r="AP39" s="61">
        <f t="shared" si="4"/>
        <v>0</v>
      </c>
      <c r="AQ39" s="61">
        <f t="shared" si="5"/>
        <v>0</v>
      </c>
      <c r="AR39" s="61">
        <f t="shared" si="5"/>
        <v>0</v>
      </c>
      <c r="AS39" s="61">
        <f t="shared" si="5"/>
        <v>0</v>
      </c>
      <c r="AT39" s="61">
        <f t="shared" si="5"/>
        <v>0</v>
      </c>
      <c r="AU39" s="61">
        <f t="shared" si="5"/>
        <v>0</v>
      </c>
      <c r="AV39" s="61">
        <f t="shared" si="5"/>
        <v>0</v>
      </c>
      <c r="AW39" s="62">
        <f t="shared" si="5"/>
        <v>0</v>
      </c>
      <c r="AY39" s="50">
        <f>AZ38</f>
        <v>1</v>
      </c>
      <c r="AZ39" s="50">
        <f>DATE(YEAR(AY39),MONTH(AY39)+F39,1)</f>
        <v>1</v>
      </c>
    </row>
    <row r="40" spans="2:53" ht="18.75" customHeight="1" x14ac:dyDescent="0.25"/>
    <row r="41" spans="2:53" ht="26.25" customHeight="1" x14ac:dyDescent="0.25">
      <c r="B41" s="94" t="s">
        <v>6081</v>
      </c>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row>
    <row r="42" spans="2:53" ht="3.75" customHeight="1" x14ac:dyDescent="0.25"/>
    <row r="43" spans="2:53" ht="22.5" customHeight="1" thickBot="1" x14ac:dyDescent="0.3">
      <c r="B43" s="66"/>
      <c r="C43" s="67"/>
      <c r="D43" s="67"/>
      <c r="E43" s="67"/>
      <c r="F43" s="67"/>
      <c r="G43" s="67"/>
      <c r="H43" s="67"/>
      <c r="I43" s="68"/>
      <c r="J43" s="216" t="s">
        <v>6082</v>
      </c>
      <c r="K43" s="217"/>
      <c r="L43" s="217"/>
      <c r="M43" s="217"/>
      <c r="N43" s="217"/>
      <c r="O43" s="217"/>
      <c r="P43" s="217"/>
      <c r="Q43" s="218"/>
      <c r="R43" s="216" t="s">
        <v>6054</v>
      </c>
      <c r="S43" s="217"/>
      <c r="T43" s="217"/>
      <c r="U43" s="217"/>
      <c r="V43" s="217"/>
      <c r="W43" s="217"/>
      <c r="X43" s="217"/>
      <c r="Y43" s="217"/>
      <c r="Z43" s="217"/>
      <c r="AA43" s="217"/>
      <c r="AB43" s="217"/>
      <c r="AC43" s="217"/>
      <c r="AD43" s="217"/>
      <c r="AE43" s="217"/>
      <c r="AF43" s="217"/>
      <c r="AG43" s="218"/>
      <c r="AH43" s="242" t="s">
        <v>6083</v>
      </c>
      <c r="AI43" s="217"/>
      <c r="AJ43" s="217"/>
      <c r="AK43" s="217"/>
      <c r="AL43" s="217"/>
      <c r="AM43" s="217"/>
      <c r="AN43" s="217"/>
      <c r="AO43" s="217"/>
      <c r="AP43" s="217"/>
      <c r="AQ43" s="217"/>
      <c r="AR43" s="217"/>
      <c r="AS43" s="217"/>
      <c r="AT43" s="217"/>
      <c r="AU43" s="217"/>
      <c r="AV43" s="217"/>
      <c r="AW43" s="243"/>
    </row>
    <row r="44" spans="2:53" ht="22.5" customHeight="1" thickBot="1" x14ac:dyDescent="0.3">
      <c r="B44" s="212" t="s">
        <v>6084</v>
      </c>
      <c r="C44" s="213"/>
      <c r="D44" s="213"/>
      <c r="E44" s="213"/>
      <c r="F44" s="213"/>
      <c r="G44" s="213"/>
      <c r="H44" s="213"/>
      <c r="I44" s="214"/>
      <c r="J44" s="244">
        <f>J46-J45</f>
        <v>0</v>
      </c>
      <c r="K44" s="245"/>
      <c r="L44" s="245"/>
      <c r="M44" s="245"/>
      <c r="N44" s="245"/>
      <c r="O44" s="245"/>
      <c r="P44" s="245"/>
      <c r="Q44" s="246"/>
      <c r="R44" s="247">
        <f>R46-R45</f>
        <v>0</v>
      </c>
      <c r="S44" s="166"/>
      <c r="T44" s="166"/>
      <c r="U44" s="166"/>
      <c r="V44" s="166"/>
      <c r="W44" s="166"/>
      <c r="X44" s="166"/>
      <c r="Y44" s="166"/>
      <c r="Z44" s="166"/>
      <c r="AA44" s="166"/>
      <c r="AB44" s="229" t="str">
        <f>IFERROR(R44/R46,"")</f>
        <v/>
      </c>
      <c r="AC44" s="229"/>
      <c r="AD44" s="229"/>
      <c r="AE44" s="229"/>
      <c r="AF44" s="229"/>
      <c r="AG44" s="248"/>
      <c r="AH44" s="249">
        <f>AH46-AH45</f>
        <v>0</v>
      </c>
      <c r="AI44" s="245"/>
      <c r="AJ44" s="245"/>
      <c r="AK44" s="245"/>
      <c r="AL44" s="245"/>
      <c r="AM44" s="245"/>
      <c r="AN44" s="245"/>
      <c r="AO44" s="245"/>
      <c r="AP44" s="245"/>
      <c r="AQ44" s="245"/>
      <c r="AR44" s="229" t="str">
        <f>IFERROR(AH44/AH46,"")</f>
        <v/>
      </c>
      <c r="AS44" s="229"/>
      <c r="AT44" s="229"/>
      <c r="AU44" s="229"/>
      <c r="AV44" s="229"/>
      <c r="AW44" s="230"/>
    </row>
    <row r="45" spans="2:53" ht="22.5" customHeight="1" thickBot="1" x14ac:dyDescent="0.3">
      <c r="B45" s="212" t="s">
        <v>6085</v>
      </c>
      <c r="C45" s="213"/>
      <c r="D45" s="213"/>
      <c r="E45" s="213"/>
      <c r="F45" s="213"/>
      <c r="G45" s="213"/>
      <c r="H45" s="213"/>
      <c r="I45" s="214"/>
      <c r="J45" s="244">
        <f>SUM(AR15:AW26)</f>
        <v>0</v>
      </c>
      <c r="K45" s="245"/>
      <c r="L45" s="245"/>
      <c r="M45" s="245"/>
      <c r="N45" s="245"/>
      <c r="O45" s="245"/>
      <c r="P45" s="245"/>
      <c r="Q45" s="246"/>
      <c r="R45" s="247">
        <f>SUMPRODUCT(K15:K26,AR15:AR26)</f>
        <v>0</v>
      </c>
      <c r="S45" s="166"/>
      <c r="T45" s="166"/>
      <c r="U45" s="166"/>
      <c r="V45" s="166"/>
      <c r="W45" s="166"/>
      <c r="X45" s="166"/>
      <c r="Y45" s="166"/>
      <c r="Z45" s="166"/>
      <c r="AA45" s="166"/>
      <c r="AB45" s="229" t="str">
        <f>IFERROR(R45/R46,"")</f>
        <v/>
      </c>
      <c r="AC45" s="229"/>
      <c r="AD45" s="229"/>
      <c r="AE45" s="229"/>
      <c r="AF45" s="229"/>
      <c r="AG45" s="248"/>
      <c r="AH45" s="249">
        <f>SUMPRODUCT(K15:K26,AR15:AR26,Z15:Z26)</f>
        <v>0</v>
      </c>
      <c r="AI45" s="250"/>
      <c r="AJ45" s="250"/>
      <c r="AK45" s="250"/>
      <c r="AL45" s="250"/>
      <c r="AM45" s="250"/>
      <c r="AN45" s="250"/>
      <c r="AO45" s="250"/>
      <c r="AP45" s="250"/>
      <c r="AQ45" s="250"/>
      <c r="AR45" s="229" t="str">
        <f>IFERROR(AH45/AH46,"")</f>
        <v/>
      </c>
      <c r="AS45" s="229"/>
      <c r="AT45" s="229"/>
      <c r="AU45" s="229"/>
      <c r="AV45" s="229"/>
      <c r="AW45" s="230"/>
    </row>
    <row r="46" spans="2:53" ht="22.5" customHeight="1" x14ac:dyDescent="0.25">
      <c r="B46" s="162" t="s">
        <v>6037</v>
      </c>
      <c r="C46" s="163"/>
      <c r="D46" s="163"/>
      <c r="E46" s="163"/>
      <c r="F46" s="163"/>
      <c r="G46" s="163"/>
      <c r="H46" s="163"/>
      <c r="I46" s="215"/>
      <c r="J46" s="231">
        <f>SUM(T15:Y26)</f>
        <v>0</v>
      </c>
      <c r="K46" s="232"/>
      <c r="L46" s="232"/>
      <c r="M46" s="232"/>
      <c r="N46" s="232"/>
      <c r="O46" s="232"/>
      <c r="P46" s="232"/>
      <c r="Q46" s="233"/>
      <c r="R46" s="234">
        <f>SUMPRODUCT(K15:K26,T15:T26)</f>
        <v>0</v>
      </c>
      <c r="S46" s="235"/>
      <c r="T46" s="235"/>
      <c r="U46" s="235"/>
      <c r="V46" s="235"/>
      <c r="W46" s="235"/>
      <c r="X46" s="235"/>
      <c r="Y46" s="235"/>
      <c r="Z46" s="235"/>
      <c r="AA46" s="235"/>
      <c r="AB46" s="235"/>
      <c r="AC46" s="235"/>
      <c r="AD46" s="235"/>
      <c r="AE46" s="235"/>
      <c r="AF46" s="235"/>
      <c r="AG46" s="236"/>
      <c r="AH46" s="237">
        <f>SUMPRODUCT(K15:K26,T15:T26,Z15:Z26)</f>
        <v>0</v>
      </c>
      <c r="AI46" s="237"/>
      <c r="AJ46" s="237"/>
      <c r="AK46" s="237"/>
      <c r="AL46" s="237"/>
      <c r="AM46" s="237"/>
      <c r="AN46" s="237"/>
      <c r="AO46" s="237"/>
      <c r="AP46" s="237"/>
      <c r="AQ46" s="237"/>
      <c r="AR46" s="237"/>
      <c r="AS46" s="237"/>
      <c r="AT46" s="237"/>
      <c r="AU46" s="237"/>
      <c r="AV46" s="237"/>
      <c r="AW46" s="237"/>
    </row>
    <row r="47" spans="2:53" ht="18.75" customHeight="1" x14ac:dyDescent="0.25">
      <c r="I47" s="48"/>
      <c r="AG47" s="48"/>
    </row>
    <row r="48" spans="2:53" ht="22.5" customHeight="1" thickBot="1" x14ac:dyDescent="0.3">
      <c r="B48" s="134" t="s">
        <v>6088</v>
      </c>
      <c r="C48" s="135"/>
      <c r="D48" s="135"/>
      <c r="E48" s="135"/>
      <c r="F48" s="135"/>
      <c r="G48" s="135"/>
      <c r="H48" s="135"/>
      <c r="I48" s="135"/>
      <c r="J48" s="257"/>
      <c r="K48" s="257"/>
      <c r="L48" s="257"/>
      <c r="M48" s="257"/>
      <c r="N48" s="257"/>
      <c r="O48" s="257"/>
      <c r="P48" s="257"/>
      <c r="Q48" s="258"/>
      <c r="Z48" s="134" t="s">
        <v>6091</v>
      </c>
      <c r="AA48" s="135"/>
      <c r="AB48" s="135"/>
      <c r="AC48" s="135"/>
      <c r="AD48" s="135"/>
      <c r="AE48" s="135"/>
      <c r="AF48" s="135"/>
      <c r="AG48" s="135"/>
      <c r="AH48" s="135" t="s">
        <v>6092</v>
      </c>
      <c r="AI48" s="135"/>
      <c r="AJ48" s="135"/>
      <c r="AK48" s="135"/>
      <c r="AL48" s="135"/>
      <c r="AM48" s="135"/>
      <c r="AN48" s="135"/>
      <c r="AO48" s="136"/>
    </row>
    <row r="49" spans="2:49" ht="22.5" customHeight="1" thickBot="1" x14ac:dyDescent="0.3">
      <c r="B49" s="159" t="s">
        <v>6089</v>
      </c>
      <c r="C49" s="160"/>
      <c r="D49" s="160"/>
      <c r="E49" s="160"/>
      <c r="F49" s="160"/>
      <c r="G49" s="160"/>
      <c r="H49" s="160"/>
      <c r="I49" s="160"/>
      <c r="J49" s="155"/>
      <c r="K49" s="155"/>
      <c r="L49" s="155"/>
      <c r="M49" s="155"/>
      <c r="N49" s="155"/>
      <c r="O49" s="155"/>
      <c r="P49" s="155"/>
      <c r="Q49" s="259"/>
      <c r="Z49" s="253" t="str">
        <f>IFERROR(R46/J49,"")</f>
        <v/>
      </c>
      <c r="AA49" s="254"/>
      <c r="AB49" s="254"/>
      <c r="AC49" s="254"/>
      <c r="AD49" s="254"/>
      <c r="AE49" s="254"/>
      <c r="AF49" s="254"/>
      <c r="AG49" s="254"/>
      <c r="AH49" s="255" t="str">
        <f>IFERROR(J50/J48,"")</f>
        <v/>
      </c>
      <c r="AI49" s="255"/>
      <c r="AJ49" s="255"/>
      <c r="AK49" s="255"/>
      <c r="AL49" s="255"/>
      <c r="AM49" s="255"/>
      <c r="AN49" s="255"/>
      <c r="AO49" s="256"/>
    </row>
    <row r="50" spans="2:49" ht="22.5" customHeight="1" x14ac:dyDescent="0.25">
      <c r="B50" s="162" t="s">
        <v>6090</v>
      </c>
      <c r="C50" s="163"/>
      <c r="D50" s="163"/>
      <c r="E50" s="163"/>
      <c r="F50" s="163"/>
      <c r="G50" s="163"/>
      <c r="H50" s="163"/>
      <c r="I50" s="163"/>
      <c r="J50" s="170"/>
      <c r="K50" s="170"/>
      <c r="L50" s="170"/>
      <c r="M50" s="170"/>
      <c r="N50" s="170"/>
      <c r="O50" s="170"/>
      <c r="P50" s="170"/>
      <c r="Q50" s="260"/>
    </row>
    <row r="51" spans="2:49" ht="18.75" customHeight="1" x14ac:dyDescent="0.25">
      <c r="J51" s="69"/>
      <c r="K51" s="69"/>
      <c r="L51" s="69"/>
      <c r="M51" s="69"/>
      <c r="N51" s="69"/>
      <c r="O51" s="69"/>
      <c r="P51" s="69"/>
      <c r="Q51" s="69"/>
    </row>
    <row r="52" spans="2:49" ht="26.25" customHeight="1" x14ac:dyDescent="0.25">
      <c r="B52" s="94" t="s">
        <v>6018</v>
      </c>
      <c r="C52" s="47"/>
      <c r="D52" s="47"/>
      <c r="E52" s="47"/>
      <c r="F52" s="47"/>
      <c r="G52" s="47"/>
      <c r="H52" s="47"/>
      <c r="I52" s="47"/>
      <c r="J52" s="70"/>
      <c r="K52" s="70"/>
      <c r="L52" s="70"/>
      <c r="M52" s="70"/>
      <c r="N52" s="70"/>
      <c r="O52" s="70"/>
      <c r="P52" s="70"/>
      <c r="Q52" s="70"/>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row>
    <row r="53" spans="2:49" ht="3.75" customHeight="1" x14ac:dyDescent="0.25">
      <c r="J53" s="69"/>
      <c r="K53" s="69"/>
      <c r="L53" s="69"/>
      <c r="M53" s="69"/>
      <c r="N53" s="69"/>
      <c r="O53" s="69"/>
      <c r="P53" s="69"/>
      <c r="Q53" s="69"/>
    </row>
    <row r="54" spans="2:49" ht="22.5" customHeight="1" thickBot="1" x14ac:dyDescent="0.3">
      <c r="B54" s="134" t="s">
        <v>6056</v>
      </c>
      <c r="C54" s="135"/>
      <c r="D54" s="135"/>
      <c r="E54" s="135"/>
      <c r="F54" s="135"/>
      <c r="G54" s="135"/>
      <c r="H54" s="135"/>
      <c r="I54" s="135"/>
      <c r="J54" s="178">
        <f>AH45</f>
        <v>0</v>
      </c>
      <c r="K54" s="178"/>
      <c r="L54" s="178"/>
      <c r="M54" s="178"/>
      <c r="N54" s="178"/>
      <c r="O54" s="178"/>
      <c r="P54" s="178"/>
      <c r="Q54" s="179"/>
    </row>
    <row r="55" spans="2:49" ht="22.5" customHeight="1" thickBot="1" x14ac:dyDescent="0.3">
      <c r="B55" s="159" t="s">
        <v>6100</v>
      </c>
      <c r="C55" s="160"/>
      <c r="D55" s="160"/>
      <c r="E55" s="160"/>
      <c r="F55" s="160"/>
      <c r="G55" s="160"/>
      <c r="H55" s="160"/>
      <c r="I55" s="160"/>
      <c r="J55" s="145"/>
      <c r="K55" s="145"/>
      <c r="L55" s="145"/>
      <c r="M55" s="145"/>
      <c r="N55" s="145"/>
      <c r="O55" s="145"/>
      <c r="P55" s="145"/>
      <c r="Q55" s="183"/>
      <c r="Z55" s="174" t="s">
        <v>6093</v>
      </c>
      <c r="AA55" s="174"/>
      <c r="AB55" s="174"/>
      <c r="AC55" s="174"/>
      <c r="AD55" s="174"/>
      <c r="AE55" s="174"/>
      <c r="AF55" s="174"/>
      <c r="AG55" s="174"/>
      <c r="AH55" s="174"/>
      <c r="AI55" s="174"/>
      <c r="AJ55" s="174"/>
      <c r="AK55" s="174"/>
      <c r="AL55" s="174"/>
      <c r="AM55" s="174"/>
      <c r="AN55" s="174"/>
      <c r="AO55" s="174"/>
    </row>
    <row r="56" spans="2:49" ht="22.5" customHeight="1" thickBot="1" x14ac:dyDescent="0.3">
      <c r="B56" s="159" t="s">
        <v>6101</v>
      </c>
      <c r="C56" s="160"/>
      <c r="D56" s="160"/>
      <c r="E56" s="160"/>
      <c r="F56" s="160"/>
      <c r="G56" s="160"/>
      <c r="H56" s="160"/>
      <c r="I56" s="160"/>
      <c r="J56" s="145"/>
      <c r="K56" s="145"/>
      <c r="L56" s="145"/>
      <c r="M56" s="145"/>
      <c r="N56" s="145"/>
      <c r="O56" s="145"/>
      <c r="P56" s="145"/>
      <c r="Q56" s="183"/>
      <c r="Z56" s="175">
        <f>SUM(J54:Q57)</f>
        <v>0</v>
      </c>
      <c r="AA56" s="176"/>
      <c r="AB56" s="176"/>
      <c r="AC56" s="176"/>
      <c r="AD56" s="176"/>
      <c r="AE56" s="176"/>
      <c r="AF56" s="176"/>
      <c r="AG56" s="176"/>
      <c r="AH56" s="176"/>
      <c r="AI56" s="176"/>
      <c r="AJ56" s="176"/>
      <c r="AK56" s="176"/>
      <c r="AL56" s="176"/>
      <c r="AM56" s="176"/>
      <c r="AN56" s="176"/>
      <c r="AO56" s="176"/>
    </row>
    <row r="57" spans="2:49" ht="22.5" customHeight="1" thickBot="1" x14ac:dyDescent="0.3">
      <c r="B57" s="159" t="s">
        <v>6102</v>
      </c>
      <c r="C57" s="160"/>
      <c r="D57" s="160"/>
      <c r="E57" s="160"/>
      <c r="F57" s="160"/>
      <c r="G57" s="160"/>
      <c r="H57" s="160"/>
      <c r="I57" s="160"/>
      <c r="J57" s="145"/>
      <c r="K57" s="145"/>
      <c r="L57" s="145"/>
      <c r="M57" s="145"/>
      <c r="N57" s="145"/>
      <c r="O57" s="145"/>
      <c r="P57" s="145"/>
      <c r="Q57" s="183"/>
      <c r="Z57" s="173" t="str">
        <f>IFERROR(Z56/J48,"")</f>
        <v/>
      </c>
      <c r="AA57" s="173"/>
      <c r="AB57" s="173"/>
      <c r="AC57" s="173"/>
      <c r="AD57" s="173"/>
      <c r="AE57" s="173"/>
      <c r="AF57" s="173"/>
      <c r="AG57" s="173"/>
      <c r="AH57" s="173"/>
      <c r="AI57" s="173"/>
      <c r="AJ57" s="173"/>
      <c r="AK57" s="173"/>
      <c r="AL57" s="173"/>
      <c r="AM57" s="173"/>
      <c r="AN57" s="173"/>
      <c r="AO57" s="173"/>
    </row>
    <row r="58" spans="2:49" ht="22.5" customHeight="1" x14ac:dyDescent="0.25">
      <c r="B58" s="162" t="s">
        <v>6103</v>
      </c>
      <c r="C58" s="163"/>
      <c r="D58" s="163"/>
      <c r="E58" s="163"/>
      <c r="F58" s="163"/>
      <c r="G58" s="163"/>
      <c r="H58" s="163"/>
      <c r="I58" s="163"/>
      <c r="J58" s="181"/>
      <c r="K58" s="182"/>
      <c r="L58" s="182"/>
      <c r="M58" s="154"/>
      <c r="N58" s="116">
        <f>(SUM(J54:K57))*J58</f>
        <v>0</v>
      </c>
      <c r="O58" s="180"/>
      <c r="P58" s="180"/>
      <c r="Q58" s="180"/>
    </row>
    <row r="59" spans="2:49" ht="22.5" customHeight="1" x14ac:dyDescent="0.25"/>
    <row r="60" spans="2:49" ht="22.5" customHeight="1" thickBot="1" x14ac:dyDescent="0.3">
      <c r="B60" s="134" t="s">
        <v>6095</v>
      </c>
      <c r="C60" s="135"/>
      <c r="D60" s="135"/>
      <c r="E60" s="135"/>
      <c r="F60" s="135"/>
      <c r="G60" s="135"/>
      <c r="H60" s="135"/>
      <c r="I60" s="135"/>
      <c r="J60" s="177"/>
      <c r="K60" s="177"/>
      <c r="L60" s="177"/>
      <c r="M60" s="177"/>
      <c r="N60" s="178">
        <f>J60*J48</f>
        <v>0</v>
      </c>
      <c r="O60" s="178"/>
      <c r="P60" s="178"/>
      <c r="Q60" s="179"/>
    </row>
    <row r="61" spans="2:49" ht="22.5" customHeight="1" thickBot="1" x14ac:dyDescent="0.3">
      <c r="B61" s="162" t="s">
        <v>6094</v>
      </c>
      <c r="C61" s="163"/>
      <c r="D61" s="163"/>
      <c r="E61" s="163"/>
      <c r="F61" s="163"/>
      <c r="G61" s="163"/>
      <c r="H61" s="163"/>
      <c r="I61" s="163"/>
      <c r="J61" s="114"/>
      <c r="K61" s="114"/>
      <c r="L61" s="114"/>
      <c r="M61" s="114"/>
      <c r="N61" s="115">
        <f>N60*J61</f>
        <v>0</v>
      </c>
      <c r="O61" s="115"/>
      <c r="P61" s="115"/>
      <c r="Q61" s="116"/>
      <c r="Z61" s="174" t="s">
        <v>6098</v>
      </c>
      <c r="AA61" s="174"/>
      <c r="AB61" s="174"/>
      <c r="AC61" s="174"/>
      <c r="AD61" s="174"/>
      <c r="AE61" s="174"/>
      <c r="AF61" s="174"/>
      <c r="AG61" s="174"/>
      <c r="AH61" s="174"/>
      <c r="AI61" s="174"/>
      <c r="AJ61" s="174"/>
      <c r="AK61" s="174"/>
      <c r="AL61" s="174"/>
      <c r="AM61" s="174"/>
      <c r="AN61" s="174"/>
      <c r="AO61" s="174"/>
    </row>
    <row r="62" spans="2:49" ht="22.5" customHeight="1" thickBot="1" x14ac:dyDescent="0.3">
      <c r="Z62" s="175">
        <f>SUM(J54:Q57,N58,N61,J63:Q64)</f>
        <v>0</v>
      </c>
      <c r="AA62" s="175"/>
      <c r="AB62" s="175"/>
      <c r="AC62" s="175"/>
      <c r="AD62" s="175"/>
      <c r="AE62" s="175"/>
      <c r="AF62" s="175"/>
      <c r="AG62" s="175"/>
      <c r="AH62" s="175"/>
      <c r="AI62" s="175"/>
      <c r="AJ62" s="175"/>
      <c r="AK62" s="175"/>
      <c r="AL62" s="175"/>
      <c r="AM62" s="175"/>
      <c r="AN62" s="175"/>
      <c r="AO62" s="175"/>
    </row>
    <row r="63" spans="2:49" ht="22.5" customHeight="1" thickBot="1" x14ac:dyDescent="0.3">
      <c r="B63" s="134" t="s">
        <v>6096</v>
      </c>
      <c r="C63" s="135"/>
      <c r="D63" s="135"/>
      <c r="E63" s="135"/>
      <c r="F63" s="135"/>
      <c r="G63" s="135"/>
      <c r="H63" s="135"/>
      <c r="I63" s="135"/>
      <c r="J63" s="261"/>
      <c r="K63" s="261"/>
      <c r="L63" s="261"/>
      <c r="M63" s="261"/>
      <c r="N63" s="261"/>
      <c r="O63" s="261"/>
      <c r="P63" s="261"/>
      <c r="Q63" s="262"/>
      <c r="Z63" s="173" t="str">
        <f>IFERROR(Z62/J48,"")</f>
        <v/>
      </c>
      <c r="AA63" s="173"/>
      <c r="AB63" s="173"/>
      <c r="AC63" s="173"/>
      <c r="AD63" s="173"/>
      <c r="AE63" s="173"/>
      <c r="AF63" s="173"/>
      <c r="AG63" s="173"/>
      <c r="AH63" s="173"/>
      <c r="AI63" s="173"/>
      <c r="AJ63" s="173"/>
      <c r="AK63" s="173"/>
      <c r="AL63" s="173"/>
      <c r="AM63" s="173"/>
      <c r="AN63" s="173"/>
      <c r="AO63" s="173"/>
    </row>
    <row r="64" spans="2:49" ht="22.5" customHeight="1" x14ac:dyDescent="0.25">
      <c r="B64" s="162" t="s">
        <v>6097</v>
      </c>
      <c r="C64" s="163"/>
      <c r="D64" s="163"/>
      <c r="E64" s="163"/>
      <c r="F64" s="163"/>
      <c r="G64" s="163"/>
      <c r="H64" s="163"/>
      <c r="I64" s="163"/>
      <c r="J64" s="129"/>
      <c r="K64" s="129"/>
      <c r="L64" s="129"/>
      <c r="M64" s="129"/>
      <c r="N64" s="129"/>
      <c r="O64" s="129"/>
      <c r="P64" s="129"/>
      <c r="Q64" s="130"/>
    </row>
    <row r="65" spans="2:49" ht="18.75" customHeight="1" x14ac:dyDescent="0.25"/>
    <row r="66" spans="2:49" ht="26.25" customHeight="1" x14ac:dyDescent="0.25">
      <c r="B66" s="94" t="s">
        <v>6099</v>
      </c>
      <c r="C66" s="47"/>
      <c r="D66" s="47"/>
      <c r="E66" s="47"/>
      <c r="F66" s="47"/>
      <c r="G66" s="47"/>
      <c r="H66" s="47"/>
      <c r="I66" s="47"/>
      <c r="J66" s="70"/>
      <c r="K66" s="70"/>
      <c r="L66" s="70"/>
      <c r="M66" s="70"/>
      <c r="N66" s="70"/>
      <c r="O66" s="70"/>
      <c r="P66" s="70"/>
      <c r="Q66" s="70"/>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row>
    <row r="67" spans="2:49" ht="3.75" customHeight="1" x14ac:dyDescent="0.25">
      <c r="J67" s="69"/>
      <c r="K67" s="69"/>
      <c r="L67" s="69"/>
      <c r="M67" s="69"/>
      <c r="N67" s="69"/>
      <c r="O67" s="69"/>
      <c r="P67" s="69"/>
      <c r="Q67" s="69"/>
    </row>
    <row r="68" spans="2:49" ht="22.5" customHeight="1" thickBot="1" x14ac:dyDescent="0.3">
      <c r="B68" s="134" t="s">
        <v>6105</v>
      </c>
      <c r="C68" s="135"/>
      <c r="D68" s="135"/>
      <c r="E68" s="135"/>
      <c r="F68" s="135"/>
      <c r="G68" s="135"/>
      <c r="H68" s="135"/>
      <c r="I68" s="135"/>
      <c r="J68" s="135"/>
      <c r="K68" s="135"/>
      <c r="L68" s="135"/>
      <c r="M68" s="135"/>
      <c r="N68" s="135"/>
      <c r="O68" s="135"/>
      <c r="P68" s="135"/>
      <c r="Q68" s="135"/>
      <c r="R68" s="125" t="s">
        <v>6233</v>
      </c>
      <c r="S68" s="125"/>
      <c r="T68" s="125"/>
      <c r="U68" s="125"/>
      <c r="V68" s="126"/>
    </row>
    <row r="69" spans="2:49" ht="22.5" customHeight="1" thickBot="1" x14ac:dyDescent="0.3">
      <c r="B69" s="159" t="s">
        <v>6106</v>
      </c>
      <c r="C69" s="160"/>
      <c r="D69" s="160"/>
      <c r="E69" s="160"/>
      <c r="F69" s="160"/>
      <c r="G69" s="160"/>
      <c r="H69" s="160"/>
      <c r="I69" s="160"/>
      <c r="J69" s="160"/>
      <c r="K69" s="160"/>
      <c r="L69" s="160"/>
      <c r="M69" s="160"/>
      <c r="N69" s="160"/>
      <c r="O69" s="160"/>
      <c r="P69" s="160"/>
      <c r="Q69" s="160"/>
      <c r="R69" s="127"/>
      <c r="S69" s="127"/>
      <c r="T69" s="127"/>
      <c r="U69" s="127"/>
      <c r="V69" s="128"/>
    </row>
    <row r="70" spans="2:49" ht="22.5" customHeight="1" x14ac:dyDescent="0.25">
      <c r="B70" s="162" t="s">
        <v>6107</v>
      </c>
      <c r="C70" s="163"/>
      <c r="D70" s="163"/>
      <c r="E70" s="163"/>
      <c r="F70" s="163"/>
      <c r="G70" s="163"/>
      <c r="H70" s="163"/>
      <c r="I70" s="163"/>
      <c r="J70" s="163"/>
      <c r="K70" s="163"/>
      <c r="L70" s="163"/>
      <c r="M70" s="163"/>
      <c r="N70" s="163"/>
      <c r="O70" s="163"/>
      <c r="P70" s="163"/>
      <c r="Q70" s="163"/>
      <c r="R70" s="129"/>
      <c r="S70" s="129"/>
      <c r="T70" s="129"/>
      <c r="U70" s="129"/>
      <c r="V70" s="130"/>
    </row>
    <row r="71" spans="2:49" ht="3.75" customHeight="1" thickBot="1" x14ac:dyDescent="0.3">
      <c r="R71" s="131"/>
      <c r="S71" s="131"/>
      <c r="T71" s="131"/>
      <c r="U71" s="131"/>
      <c r="V71" s="131"/>
    </row>
    <row r="72" spans="2:49" ht="22.5" customHeight="1" x14ac:dyDescent="0.25">
      <c r="B72" s="109" t="s">
        <v>6108</v>
      </c>
      <c r="C72" s="110"/>
      <c r="D72" s="110"/>
      <c r="E72" s="110"/>
      <c r="F72" s="110"/>
      <c r="G72" s="110"/>
      <c r="H72" s="110"/>
      <c r="I72" s="110"/>
      <c r="J72" s="110"/>
      <c r="K72" s="110"/>
      <c r="L72" s="110"/>
      <c r="M72" s="110"/>
      <c r="N72" s="110"/>
      <c r="O72" s="110"/>
      <c r="P72" s="110"/>
      <c r="Q72" s="110"/>
      <c r="R72" s="129"/>
      <c r="S72" s="129"/>
      <c r="T72" s="129"/>
      <c r="U72" s="129"/>
      <c r="V72" s="130"/>
    </row>
    <row r="73" spans="2:49" ht="18.75" customHeight="1" x14ac:dyDescent="0.25"/>
    <row r="74" spans="2:49" ht="22.5" customHeight="1" thickBot="1" x14ac:dyDescent="0.3">
      <c r="B74" s="134" t="s">
        <v>6044</v>
      </c>
      <c r="C74" s="135"/>
      <c r="D74" s="135"/>
      <c r="E74" s="135"/>
      <c r="F74" s="135"/>
      <c r="G74" s="135"/>
      <c r="H74" s="135"/>
      <c r="I74" s="135"/>
      <c r="J74" s="135"/>
      <c r="K74" s="135"/>
      <c r="L74" s="135"/>
      <c r="M74" s="135" t="s">
        <v>6104</v>
      </c>
      <c r="N74" s="135"/>
      <c r="O74" s="135"/>
      <c r="P74" s="135"/>
      <c r="Q74" s="135"/>
      <c r="R74" s="135" t="s">
        <v>6130</v>
      </c>
      <c r="S74" s="135"/>
      <c r="T74" s="135"/>
      <c r="U74" s="135"/>
      <c r="V74" s="135"/>
      <c r="W74" s="135" t="s">
        <v>6109</v>
      </c>
      <c r="X74" s="135"/>
      <c r="Y74" s="135"/>
      <c r="Z74" s="135"/>
      <c r="AA74" s="135"/>
      <c r="AB74" s="135" t="s">
        <v>6132</v>
      </c>
      <c r="AC74" s="135"/>
      <c r="AD74" s="135"/>
      <c r="AE74" s="135"/>
      <c r="AF74" s="135"/>
      <c r="AG74" s="135" t="s">
        <v>6111</v>
      </c>
      <c r="AH74" s="135"/>
      <c r="AI74" s="135"/>
      <c r="AJ74" s="135"/>
      <c r="AK74" s="135"/>
      <c r="AL74" s="135"/>
      <c r="AM74" s="135"/>
      <c r="AN74" s="135"/>
      <c r="AO74" s="135"/>
      <c r="AP74" s="135"/>
      <c r="AQ74" s="135"/>
      <c r="AR74" s="135"/>
      <c r="AS74" s="135"/>
      <c r="AT74" s="135"/>
      <c r="AU74" s="135"/>
      <c r="AV74" s="135"/>
      <c r="AW74" s="136"/>
    </row>
    <row r="75" spans="2:49" ht="22.5" customHeight="1" thickBot="1" x14ac:dyDescent="0.3">
      <c r="B75" s="142" t="s">
        <v>6112</v>
      </c>
      <c r="C75" s="133"/>
      <c r="D75" s="133"/>
      <c r="E75" s="133"/>
      <c r="F75" s="133"/>
      <c r="G75" s="133"/>
      <c r="H75" s="133"/>
      <c r="I75" s="133"/>
      <c r="J75" s="133"/>
      <c r="K75" s="133"/>
      <c r="L75" s="133"/>
      <c r="M75" s="155"/>
      <c r="N75" s="155"/>
      <c r="O75" s="155"/>
      <c r="P75" s="155"/>
      <c r="Q75" s="155"/>
      <c r="R75" s="133" t="s">
        <v>6113</v>
      </c>
      <c r="S75" s="133"/>
      <c r="T75" s="133"/>
      <c r="U75" s="133"/>
      <c r="V75" s="133"/>
      <c r="W75" s="143"/>
      <c r="X75" s="143"/>
      <c r="Y75" s="143"/>
      <c r="Z75" s="143"/>
      <c r="AA75" s="143"/>
      <c r="AB75" s="171" t="str">
        <f>IF(M75="","",IF(W75="","",W75*M75))</f>
        <v/>
      </c>
      <c r="AC75" s="171"/>
      <c r="AD75" s="171"/>
      <c r="AE75" s="171"/>
      <c r="AF75" s="171"/>
      <c r="AG75" s="121"/>
      <c r="AH75" s="121"/>
      <c r="AI75" s="121"/>
      <c r="AJ75" s="121"/>
      <c r="AK75" s="121"/>
      <c r="AL75" s="121"/>
      <c r="AM75" s="121"/>
      <c r="AN75" s="121"/>
      <c r="AO75" s="121"/>
      <c r="AP75" s="121"/>
      <c r="AQ75" s="121"/>
      <c r="AR75" s="121"/>
      <c r="AS75" s="121"/>
      <c r="AT75" s="121"/>
      <c r="AU75" s="121"/>
      <c r="AV75" s="121"/>
      <c r="AW75" s="122"/>
    </row>
    <row r="76" spans="2:49" ht="22.5" customHeight="1" thickBot="1" x14ac:dyDescent="0.3">
      <c r="B76" s="142" t="s">
        <v>6134</v>
      </c>
      <c r="C76" s="133"/>
      <c r="D76" s="133"/>
      <c r="E76" s="133"/>
      <c r="F76" s="133"/>
      <c r="G76" s="133"/>
      <c r="H76" s="133"/>
      <c r="I76" s="133"/>
      <c r="J76" s="133"/>
      <c r="K76" s="133"/>
      <c r="L76" s="133"/>
      <c r="M76" s="155"/>
      <c r="N76" s="155"/>
      <c r="O76" s="155"/>
      <c r="P76" s="155"/>
      <c r="Q76" s="155"/>
      <c r="R76" s="133" t="s">
        <v>6113</v>
      </c>
      <c r="S76" s="133"/>
      <c r="T76" s="133"/>
      <c r="U76" s="133"/>
      <c r="V76" s="133"/>
      <c r="W76" s="143"/>
      <c r="X76" s="143"/>
      <c r="Y76" s="143"/>
      <c r="Z76" s="143"/>
      <c r="AA76" s="143"/>
      <c r="AB76" s="171" t="str">
        <f t="shared" ref="AB76:AB88" si="7">IF(M76="","",IF(W76="","",W76*M76))</f>
        <v/>
      </c>
      <c r="AC76" s="171"/>
      <c r="AD76" s="171"/>
      <c r="AE76" s="171"/>
      <c r="AF76" s="171"/>
      <c r="AG76" s="121"/>
      <c r="AH76" s="121"/>
      <c r="AI76" s="121"/>
      <c r="AJ76" s="121"/>
      <c r="AK76" s="121"/>
      <c r="AL76" s="121"/>
      <c r="AM76" s="121"/>
      <c r="AN76" s="121"/>
      <c r="AO76" s="121"/>
      <c r="AP76" s="121"/>
      <c r="AQ76" s="121"/>
      <c r="AR76" s="121"/>
      <c r="AS76" s="121"/>
      <c r="AT76" s="121"/>
      <c r="AU76" s="121"/>
      <c r="AV76" s="121"/>
      <c r="AW76" s="122"/>
    </row>
    <row r="77" spans="2:49" ht="22.5" customHeight="1" thickBot="1" x14ac:dyDescent="0.3">
      <c r="B77" s="142" t="s">
        <v>6114</v>
      </c>
      <c r="C77" s="133"/>
      <c r="D77" s="133"/>
      <c r="E77" s="133"/>
      <c r="F77" s="133"/>
      <c r="G77" s="133"/>
      <c r="H77" s="133"/>
      <c r="I77" s="133"/>
      <c r="J77" s="133"/>
      <c r="K77" s="133"/>
      <c r="L77" s="133"/>
      <c r="M77" s="155"/>
      <c r="N77" s="155"/>
      <c r="O77" s="155"/>
      <c r="P77" s="155"/>
      <c r="Q77" s="155"/>
      <c r="R77" s="133" t="s">
        <v>6113</v>
      </c>
      <c r="S77" s="133"/>
      <c r="T77" s="133"/>
      <c r="U77" s="133"/>
      <c r="V77" s="133"/>
      <c r="W77" s="143"/>
      <c r="X77" s="143"/>
      <c r="Y77" s="143"/>
      <c r="Z77" s="143"/>
      <c r="AA77" s="143"/>
      <c r="AB77" s="171" t="str">
        <f t="shared" si="7"/>
        <v/>
      </c>
      <c r="AC77" s="171"/>
      <c r="AD77" s="171"/>
      <c r="AE77" s="171"/>
      <c r="AF77" s="171"/>
      <c r="AG77" s="121"/>
      <c r="AH77" s="121"/>
      <c r="AI77" s="121"/>
      <c r="AJ77" s="121"/>
      <c r="AK77" s="121"/>
      <c r="AL77" s="121"/>
      <c r="AM77" s="121"/>
      <c r="AN77" s="121"/>
      <c r="AO77" s="121"/>
      <c r="AP77" s="121"/>
      <c r="AQ77" s="121"/>
      <c r="AR77" s="121"/>
      <c r="AS77" s="121"/>
      <c r="AT77" s="121"/>
      <c r="AU77" s="121"/>
      <c r="AV77" s="121"/>
      <c r="AW77" s="122"/>
    </row>
    <row r="78" spans="2:49" ht="22.5" customHeight="1" thickBot="1" x14ac:dyDescent="0.3">
      <c r="B78" s="142" t="s">
        <v>6115</v>
      </c>
      <c r="C78" s="133"/>
      <c r="D78" s="133"/>
      <c r="E78" s="133"/>
      <c r="F78" s="133"/>
      <c r="G78" s="133"/>
      <c r="H78" s="133"/>
      <c r="I78" s="133"/>
      <c r="J78" s="133"/>
      <c r="K78" s="133"/>
      <c r="L78" s="133"/>
      <c r="M78" s="155"/>
      <c r="N78" s="155"/>
      <c r="O78" s="155"/>
      <c r="P78" s="155"/>
      <c r="Q78" s="155"/>
      <c r="R78" s="133" t="s">
        <v>6113</v>
      </c>
      <c r="S78" s="133"/>
      <c r="T78" s="133"/>
      <c r="U78" s="133"/>
      <c r="V78" s="133"/>
      <c r="W78" s="143"/>
      <c r="X78" s="143"/>
      <c r="Y78" s="143"/>
      <c r="Z78" s="143"/>
      <c r="AA78" s="143"/>
      <c r="AB78" s="171" t="str">
        <f t="shared" si="7"/>
        <v/>
      </c>
      <c r="AC78" s="171"/>
      <c r="AD78" s="171"/>
      <c r="AE78" s="171"/>
      <c r="AF78" s="171"/>
      <c r="AG78" s="121"/>
      <c r="AH78" s="121"/>
      <c r="AI78" s="121"/>
      <c r="AJ78" s="121"/>
      <c r="AK78" s="121"/>
      <c r="AL78" s="121"/>
      <c r="AM78" s="121"/>
      <c r="AN78" s="121"/>
      <c r="AO78" s="121"/>
      <c r="AP78" s="121"/>
      <c r="AQ78" s="121"/>
      <c r="AR78" s="121"/>
      <c r="AS78" s="121"/>
      <c r="AT78" s="121"/>
      <c r="AU78" s="121"/>
      <c r="AV78" s="121"/>
      <c r="AW78" s="122"/>
    </row>
    <row r="79" spans="2:49" ht="22.5" customHeight="1" thickBot="1" x14ac:dyDescent="0.3">
      <c r="B79" s="142" t="s">
        <v>6116</v>
      </c>
      <c r="C79" s="133"/>
      <c r="D79" s="133"/>
      <c r="E79" s="133"/>
      <c r="F79" s="133"/>
      <c r="G79" s="133"/>
      <c r="H79" s="133"/>
      <c r="I79" s="133"/>
      <c r="J79" s="133"/>
      <c r="K79" s="133"/>
      <c r="L79" s="133"/>
      <c r="M79" s="155"/>
      <c r="N79" s="155"/>
      <c r="O79" s="155"/>
      <c r="P79" s="155"/>
      <c r="Q79" s="155"/>
      <c r="R79" s="133" t="s">
        <v>6113</v>
      </c>
      <c r="S79" s="133"/>
      <c r="T79" s="133"/>
      <c r="U79" s="133"/>
      <c r="V79" s="133"/>
      <c r="W79" s="143"/>
      <c r="X79" s="143"/>
      <c r="Y79" s="143"/>
      <c r="Z79" s="143"/>
      <c r="AA79" s="143"/>
      <c r="AB79" s="171" t="str">
        <f t="shared" si="7"/>
        <v/>
      </c>
      <c r="AC79" s="171"/>
      <c r="AD79" s="171"/>
      <c r="AE79" s="171"/>
      <c r="AF79" s="171"/>
      <c r="AG79" s="121"/>
      <c r="AH79" s="121"/>
      <c r="AI79" s="121"/>
      <c r="AJ79" s="121"/>
      <c r="AK79" s="121"/>
      <c r="AL79" s="121"/>
      <c r="AM79" s="121"/>
      <c r="AN79" s="121"/>
      <c r="AO79" s="121"/>
      <c r="AP79" s="121"/>
      <c r="AQ79" s="121"/>
      <c r="AR79" s="121"/>
      <c r="AS79" s="121"/>
      <c r="AT79" s="121"/>
      <c r="AU79" s="121"/>
      <c r="AV79" s="121"/>
      <c r="AW79" s="122"/>
    </row>
    <row r="80" spans="2:49" ht="22.5" customHeight="1" thickBot="1" x14ac:dyDescent="0.3">
      <c r="B80" s="142" t="s">
        <v>6117</v>
      </c>
      <c r="C80" s="133"/>
      <c r="D80" s="133"/>
      <c r="E80" s="133"/>
      <c r="F80" s="133"/>
      <c r="G80" s="133"/>
      <c r="H80" s="133"/>
      <c r="I80" s="133"/>
      <c r="J80" s="133"/>
      <c r="K80" s="133"/>
      <c r="L80" s="133"/>
      <c r="M80" s="155"/>
      <c r="N80" s="155"/>
      <c r="O80" s="155"/>
      <c r="P80" s="155"/>
      <c r="Q80" s="155"/>
      <c r="R80" s="133" t="s">
        <v>6118</v>
      </c>
      <c r="S80" s="133"/>
      <c r="T80" s="133"/>
      <c r="U80" s="133"/>
      <c r="V80" s="133"/>
      <c r="W80" s="143"/>
      <c r="X80" s="143"/>
      <c r="Y80" s="143"/>
      <c r="Z80" s="143"/>
      <c r="AA80" s="143"/>
      <c r="AB80" s="171" t="str">
        <f t="shared" si="7"/>
        <v/>
      </c>
      <c r="AC80" s="171"/>
      <c r="AD80" s="171"/>
      <c r="AE80" s="171"/>
      <c r="AF80" s="171"/>
      <c r="AG80" s="121"/>
      <c r="AH80" s="121"/>
      <c r="AI80" s="121"/>
      <c r="AJ80" s="121"/>
      <c r="AK80" s="121"/>
      <c r="AL80" s="121"/>
      <c r="AM80" s="121"/>
      <c r="AN80" s="121"/>
      <c r="AO80" s="121"/>
      <c r="AP80" s="121"/>
      <c r="AQ80" s="121"/>
      <c r="AR80" s="121"/>
      <c r="AS80" s="121"/>
      <c r="AT80" s="121"/>
      <c r="AU80" s="121"/>
      <c r="AV80" s="121"/>
      <c r="AW80" s="122"/>
    </row>
    <row r="81" spans="2:53" ht="22.5" customHeight="1" thickBot="1" x14ac:dyDescent="0.3">
      <c r="B81" s="142" t="s">
        <v>6119</v>
      </c>
      <c r="C81" s="133"/>
      <c r="D81" s="133"/>
      <c r="E81" s="133"/>
      <c r="F81" s="133"/>
      <c r="G81" s="133"/>
      <c r="H81" s="133"/>
      <c r="I81" s="133"/>
      <c r="J81" s="133"/>
      <c r="K81" s="133"/>
      <c r="L81" s="133"/>
      <c r="M81" s="155"/>
      <c r="N81" s="155"/>
      <c r="O81" s="155"/>
      <c r="P81" s="155"/>
      <c r="Q81" s="155"/>
      <c r="R81" s="133" t="s">
        <v>6120</v>
      </c>
      <c r="S81" s="133"/>
      <c r="T81" s="133"/>
      <c r="U81" s="133"/>
      <c r="V81" s="133"/>
      <c r="W81" s="143"/>
      <c r="X81" s="143"/>
      <c r="Y81" s="143"/>
      <c r="Z81" s="143"/>
      <c r="AA81" s="143"/>
      <c r="AB81" s="171" t="str">
        <f t="shared" si="7"/>
        <v/>
      </c>
      <c r="AC81" s="171"/>
      <c r="AD81" s="171"/>
      <c r="AE81" s="171"/>
      <c r="AF81" s="171"/>
      <c r="AG81" s="121"/>
      <c r="AH81" s="121"/>
      <c r="AI81" s="121"/>
      <c r="AJ81" s="121"/>
      <c r="AK81" s="121"/>
      <c r="AL81" s="121"/>
      <c r="AM81" s="121"/>
      <c r="AN81" s="121"/>
      <c r="AO81" s="121"/>
      <c r="AP81" s="121"/>
      <c r="AQ81" s="121"/>
      <c r="AR81" s="121"/>
      <c r="AS81" s="121"/>
      <c r="AT81" s="121"/>
      <c r="AU81" s="121"/>
      <c r="AV81" s="121"/>
      <c r="AW81" s="122"/>
    </row>
    <row r="82" spans="2:53" ht="22.5" customHeight="1" thickBot="1" x14ac:dyDescent="0.3">
      <c r="B82" s="142" t="s">
        <v>6121</v>
      </c>
      <c r="C82" s="133"/>
      <c r="D82" s="133"/>
      <c r="E82" s="133"/>
      <c r="F82" s="133"/>
      <c r="G82" s="133"/>
      <c r="H82" s="133"/>
      <c r="I82" s="133"/>
      <c r="J82" s="133"/>
      <c r="K82" s="133"/>
      <c r="L82" s="133"/>
      <c r="M82" s="155"/>
      <c r="N82" s="155"/>
      <c r="O82" s="155"/>
      <c r="P82" s="155"/>
      <c r="Q82" s="155"/>
      <c r="R82" s="133" t="s">
        <v>6122</v>
      </c>
      <c r="S82" s="133"/>
      <c r="T82" s="133"/>
      <c r="U82" s="133"/>
      <c r="V82" s="133"/>
      <c r="W82" s="143"/>
      <c r="X82" s="143"/>
      <c r="Y82" s="143"/>
      <c r="Z82" s="143"/>
      <c r="AA82" s="143"/>
      <c r="AB82" s="171" t="str">
        <f t="shared" si="7"/>
        <v/>
      </c>
      <c r="AC82" s="171"/>
      <c r="AD82" s="171"/>
      <c r="AE82" s="171"/>
      <c r="AF82" s="171"/>
      <c r="AG82" s="121"/>
      <c r="AH82" s="121"/>
      <c r="AI82" s="121"/>
      <c r="AJ82" s="121"/>
      <c r="AK82" s="121"/>
      <c r="AL82" s="121"/>
      <c r="AM82" s="121"/>
      <c r="AN82" s="121"/>
      <c r="AO82" s="121"/>
      <c r="AP82" s="121"/>
      <c r="AQ82" s="121"/>
      <c r="AR82" s="121"/>
      <c r="AS82" s="121"/>
      <c r="AT82" s="121"/>
      <c r="AU82" s="121"/>
      <c r="AV82" s="121"/>
      <c r="AW82" s="122"/>
    </row>
    <row r="83" spans="2:53" ht="22.5" customHeight="1" thickBot="1" x14ac:dyDescent="0.3">
      <c r="B83" s="142" t="s">
        <v>6123</v>
      </c>
      <c r="C83" s="133"/>
      <c r="D83" s="133"/>
      <c r="E83" s="133"/>
      <c r="F83" s="133"/>
      <c r="G83" s="133"/>
      <c r="H83" s="133"/>
      <c r="I83" s="133"/>
      <c r="J83" s="133"/>
      <c r="K83" s="133"/>
      <c r="L83" s="133"/>
      <c r="M83" s="155"/>
      <c r="N83" s="155"/>
      <c r="O83" s="155"/>
      <c r="P83" s="155"/>
      <c r="Q83" s="155"/>
      <c r="R83" s="133" t="s">
        <v>6124</v>
      </c>
      <c r="S83" s="133"/>
      <c r="T83" s="133"/>
      <c r="U83" s="133"/>
      <c r="V83" s="133"/>
      <c r="W83" s="143"/>
      <c r="X83" s="143"/>
      <c r="Y83" s="143"/>
      <c r="Z83" s="143"/>
      <c r="AA83" s="143"/>
      <c r="AB83" s="171" t="str">
        <f t="shared" si="7"/>
        <v/>
      </c>
      <c r="AC83" s="171"/>
      <c r="AD83" s="171"/>
      <c r="AE83" s="171"/>
      <c r="AF83" s="171"/>
      <c r="AG83" s="121"/>
      <c r="AH83" s="121"/>
      <c r="AI83" s="121"/>
      <c r="AJ83" s="121"/>
      <c r="AK83" s="121"/>
      <c r="AL83" s="121"/>
      <c r="AM83" s="121"/>
      <c r="AN83" s="121"/>
      <c r="AO83" s="121"/>
      <c r="AP83" s="121"/>
      <c r="AQ83" s="121"/>
      <c r="AR83" s="121"/>
      <c r="AS83" s="121"/>
      <c r="AT83" s="121"/>
      <c r="AU83" s="121"/>
      <c r="AV83" s="121"/>
      <c r="AW83" s="122"/>
    </row>
    <row r="84" spans="2:53" ht="22.5" customHeight="1" thickBot="1" x14ac:dyDescent="0.3">
      <c r="B84" s="142" t="s">
        <v>6125</v>
      </c>
      <c r="C84" s="133"/>
      <c r="D84" s="133"/>
      <c r="E84" s="133"/>
      <c r="F84" s="133"/>
      <c r="G84" s="133"/>
      <c r="H84" s="133"/>
      <c r="I84" s="133"/>
      <c r="J84" s="133"/>
      <c r="K84" s="133"/>
      <c r="L84" s="133"/>
      <c r="M84" s="155"/>
      <c r="N84" s="155"/>
      <c r="O84" s="155"/>
      <c r="P84" s="155"/>
      <c r="Q84" s="155"/>
      <c r="R84" s="133" t="s">
        <v>6126</v>
      </c>
      <c r="S84" s="133"/>
      <c r="T84" s="133"/>
      <c r="U84" s="133"/>
      <c r="V84" s="133"/>
      <c r="W84" s="143"/>
      <c r="X84" s="143"/>
      <c r="Y84" s="143"/>
      <c r="Z84" s="143"/>
      <c r="AA84" s="143"/>
      <c r="AB84" s="171" t="str">
        <f t="shared" si="7"/>
        <v/>
      </c>
      <c r="AC84" s="171"/>
      <c r="AD84" s="171"/>
      <c r="AE84" s="171"/>
      <c r="AF84" s="171"/>
      <c r="AG84" s="121"/>
      <c r="AH84" s="121"/>
      <c r="AI84" s="121"/>
      <c r="AJ84" s="121"/>
      <c r="AK84" s="121"/>
      <c r="AL84" s="121"/>
      <c r="AM84" s="121"/>
      <c r="AN84" s="121"/>
      <c r="AO84" s="121"/>
      <c r="AP84" s="121"/>
      <c r="AQ84" s="121"/>
      <c r="AR84" s="121"/>
      <c r="AS84" s="121"/>
      <c r="AT84" s="121"/>
      <c r="AU84" s="121"/>
      <c r="AV84" s="121"/>
      <c r="AW84" s="122"/>
    </row>
    <row r="85" spans="2:53" ht="22.5" customHeight="1" thickBot="1" x14ac:dyDescent="0.3">
      <c r="B85" s="142" t="s">
        <v>6127</v>
      </c>
      <c r="C85" s="133"/>
      <c r="D85" s="133"/>
      <c r="E85" s="133"/>
      <c r="F85" s="133"/>
      <c r="G85" s="133"/>
      <c r="H85" s="133"/>
      <c r="I85" s="133"/>
      <c r="J85" s="133"/>
      <c r="K85" s="133"/>
      <c r="L85" s="133"/>
      <c r="M85" s="155"/>
      <c r="N85" s="155"/>
      <c r="O85" s="155"/>
      <c r="P85" s="155"/>
      <c r="Q85" s="155"/>
      <c r="R85" s="133" t="s">
        <v>6113</v>
      </c>
      <c r="S85" s="133"/>
      <c r="T85" s="133"/>
      <c r="U85" s="133"/>
      <c r="V85" s="133"/>
      <c r="W85" s="143"/>
      <c r="X85" s="143"/>
      <c r="Y85" s="143"/>
      <c r="Z85" s="143"/>
      <c r="AA85" s="143"/>
      <c r="AB85" s="171" t="str">
        <f t="shared" si="7"/>
        <v/>
      </c>
      <c r="AC85" s="171"/>
      <c r="AD85" s="171"/>
      <c r="AE85" s="171"/>
      <c r="AF85" s="171"/>
      <c r="AG85" s="121"/>
      <c r="AH85" s="121"/>
      <c r="AI85" s="121"/>
      <c r="AJ85" s="121"/>
      <c r="AK85" s="121"/>
      <c r="AL85" s="121"/>
      <c r="AM85" s="121"/>
      <c r="AN85" s="121"/>
      <c r="AO85" s="121"/>
      <c r="AP85" s="121"/>
      <c r="AQ85" s="121"/>
      <c r="AR85" s="121"/>
      <c r="AS85" s="121"/>
      <c r="AT85" s="121"/>
      <c r="AU85" s="121"/>
      <c r="AV85" s="121"/>
      <c r="AW85" s="122"/>
    </row>
    <row r="86" spans="2:53" ht="22.5" customHeight="1" thickBot="1" x14ac:dyDescent="0.3">
      <c r="B86" s="142" t="s">
        <v>6128</v>
      </c>
      <c r="C86" s="133"/>
      <c r="D86" s="133"/>
      <c r="E86" s="133"/>
      <c r="F86" s="133"/>
      <c r="G86" s="133"/>
      <c r="H86" s="133"/>
      <c r="I86" s="133"/>
      <c r="J86" s="133"/>
      <c r="K86" s="133"/>
      <c r="L86" s="133"/>
      <c r="M86" s="155"/>
      <c r="N86" s="155"/>
      <c r="O86" s="155"/>
      <c r="P86" s="155"/>
      <c r="Q86" s="155"/>
      <c r="R86" s="133" t="s">
        <v>6113</v>
      </c>
      <c r="S86" s="133"/>
      <c r="T86" s="133"/>
      <c r="U86" s="133"/>
      <c r="V86" s="133"/>
      <c r="W86" s="143"/>
      <c r="X86" s="143"/>
      <c r="Y86" s="143"/>
      <c r="Z86" s="143"/>
      <c r="AA86" s="143"/>
      <c r="AB86" s="171" t="str">
        <f t="shared" si="7"/>
        <v/>
      </c>
      <c r="AC86" s="171"/>
      <c r="AD86" s="171"/>
      <c r="AE86" s="171"/>
      <c r="AF86" s="171"/>
      <c r="AG86" s="121"/>
      <c r="AH86" s="121"/>
      <c r="AI86" s="121"/>
      <c r="AJ86" s="121"/>
      <c r="AK86" s="121"/>
      <c r="AL86" s="121"/>
      <c r="AM86" s="121"/>
      <c r="AN86" s="121"/>
      <c r="AO86" s="121"/>
      <c r="AP86" s="121"/>
      <c r="AQ86" s="121"/>
      <c r="AR86" s="121"/>
      <c r="AS86" s="121"/>
      <c r="AT86" s="121"/>
      <c r="AU86" s="121"/>
      <c r="AV86" s="121"/>
      <c r="AW86" s="122"/>
    </row>
    <row r="87" spans="2:53" ht="22.5" customHeight="1" thickBot="1" x14ac:dyDescent="0.3">
      <c r="B87" s="142" t="s">
        <v>6129</v>
      </c>
      <c r="C87" s="133"/>
      <c r="D87" s="133"/>
      <c r="E87" s="133"/>
      <c r="F87" s="133"/>
      <c r="G87" s="133"/>
      <c r="H87" s="133"/>
      <c r="I87" s="133"/>
      <c r="J87" s="133"/>
      <c r="K87" s="133"/>
      <c r="L87" s="133"/>
      <c r="M87" s="155"/>
      <c r="N87" s="155"/>
      <c r="O87" s="155"/>
      <c r="P87" s="155"/>
      <c r="Q87" s="155"/>
      <c r="R87" s="133" t="s">
        <v>6113</v>
      </c>
      <c r="S87" s="133"/>
      <c r="T87" s="133"/>
      <c r="U87" s="133"/>
      <c r="V87" s="133"/>
      <c r="W87" s="143"/>
      <c r="X87" s="143"/>
      <c r="Y87" s="143"/>
      <c r="Z87" s="143"/>
      <c r="AA87" s="143"/>
      <c r="AB87" s="171" t="str">
        <f t="shared" si="7"/>
        <v/>
      </c>
      <c r="AC87" s="171"/>
      <c r="AD87" s="171"/>
      <c r="AE87" s="171"/>
      <c r="AF87" s="171"/>
      <c r="AG87" s="121"/>
      <c r="AH87" s="121"/>
      <c r="AI87" s="121"/>
      <c r="AJ87" s="121"/>
      <c r="AK87" s="121"/>
      <c r="AL87" s="121"/>
      <c r="AM87" s="121"/>
      <c r="AN87" s="121"/>
      <c r="AO87" s="121"/>
      <c r="AP87" s="121"/>
      <c r="AQ87" s="121"/>
      <c r="AR87" s="121"/>
      <c r="AS87" s="121"/>
      <c r="AT87" s="121"/>
      <c r="AU87" s="121"/>
      <c r="AV87" s="121"/>
      <c r="AW87" s="122"/>
    </row>
    <row r="88" spans="2:53" ht="22.5" customHeight="1" x14ac:dyDescent="0.25">
      <c r="B88" s="172" t="s">
        <v>6133</v>
      </c>
      <c r="C88" s="115"/>
      <c r="D88" s="115"/>
      <c r="E88" s="115"/>
      <c r="F88" s="115"/>
      <c r="G88" s="115"/>
      <c r="H88" s="115"/>
      <c r="I88" s="115"/>
      <c r="J88" s="115"/>
      <c r="K88" s="115"/>
      <c r="L88" s="115"/>
      <c r="M88" s="170"/>
      <c r="N88" s="170"/>
      <c r="O88" s="170"/>
      <c r="P88" s="170"/>
      <c r="Q88" s="170"/>
      <c r="R88" s="115" t="s">
        <v>6113</v>
      </c>
      <c r="S88" s="115"/>
      <c r="T88" s="115"/>
      <c r="U88" s="115"/>
      <c r="V88" s="115"/>
      <c r="W88" s="150"/>
      <c r="X88" s="150"/>
      <c r="Y88" s="150"/>
      <c r="Z88" s="150"/>
      <c r="AA88" s="150"/>
      <c r="AB88" s="161" t="str">
        <f t="shared" si="7"/>
        <v/>
      </c>
      <c r="AC88" s="161"/>
      <c r="AD88" s="161"/>
      <c r="AE88" s="161"/>
      <c r="AF88" s="161"/>
      <c r="AG88" s="123"/>
      <c r="AH88" s="123"/>
      <c r="AI88" s="123"/>
      <c r="AJ88" s="123"/>
      <c r="AK88" s="123"/>
      <c r="AL88" s="123"/>
      <c r="AM88" s="123"/>
      <c r="AN88" s="123"/>
      <c r="AO88" s="123"/>
      <c r="AP88" s="123"/>
      <c r="AQ88" s="123"/>
      <c r="AR88" s="123"/>
      <c r="AS88" s="123"/>
      <c r="AT88" s="123"/>
      <c r="AU88" s="123"/>
      <c r="AV88" s="123"/>
      <c r="AW88" s="124"/>
    </row>
    <row r="89" spans="2:53" ht="3.75" customHeight="1" x14ac:dyDescent="0.25"/>
    <row r="90" spans="2:53" ht="22.5" customHeight="1" thickBot="1" x14ac:dyDescent="0.3">
      <c r="R90" s="134" t="s">
        <v>6110</v>
      </c>
      <c r="S90" s="135"/>
      <c r="T90" s="135"/>
      <c r="U90" s="135"/>
      <c r="V90" s="135"/>
      <c r="W90" s="135"/>
      <c r="X90" s="135"/>
      <c r="Y90" s="135"/>
      <c r="Z90" s="135"/>
      <c r="AA90" s="135"/>
      <c r="AB90" s="164">
        <f>SUM(AB75:AF88)</f>
        <v>0</v>
      </c>
      <c r="AC90" s="164"/>
      <c r="AD90" s="164"/>
      <c r="AE90" s="164"/>
      <c r="AF90" s="165"/>
    </row>
    <row r="91" spans="2:53" ht="22.5" customHeight="1" thickBot="1" x14ac:dyDescent="0.3">
      <c r="R91" s="159" t="s">
        <v>6135</v>
      </c>
      <c r="S91" s="160"/>
      <c r="T91" s="160"/>
      <c r="U91" s="160"/>
      <c r="V91" s="160"/>
      <c r="W91" s="160"/>
      <c r="X91" s="160"/>
      <c r="Y91" s="160"/>
      <c r="Z91" s="160"/>
      <c r="AA91" s="160"/>
      <c r="AB91" s="166">
        <f>J49-(SUM(M75:Q88)-M84-M88)</f>
        <v>0</v>
      </c>
      <c r="AC91" s="166"/>
      <c r="AD91" s="166"/>
      <c r="AE91" s="166"/>
      <c r="AF91" s="167"/>
    </row>
    <row r="92" spans="2:53" ht="22.5" customHeight="1" x14ac:dyDescent="0.25">
      <c r="R92" s="162" t="s">
        <v>6136</v>
      </c>
      <c r="S92" s="163"/>
      <c r="T92" s="163"/>
      <c r="U92" s="163"/>
      <c r="V92" s="163"/>
      <c r="W92" s="163"/>
      <c r="X92" s="163"/>
      <c r="Y92" s="163"/>
      <c r="Z92" s="163"/>
      <c r="AA92" s="163"/>
      <c r="AB92" s="168">
        <f>AB90+AB91</f>
        <v>0</v>
      </c>
      <c r="AC92" s="168"/>
      <c r="AD92" s="168"/>
      <c r="AE92" s="168"/>
      <c r="AF92" s="169"/>
    </row>
    <row r="93" spans="2:53" ht="18.75" customHeight="1" x14ac:dyDescent="0.25"/>
    <row r="94" spans="2:53" ht="22.5" customHeight="1" thickBot="1" x14ac:dyDescent="0.3">
      <c r="B94" s="134" t="s">
        <v>6137</v>
      </c>
      <c r="C94" s="135"/>
      <c r="D94" s="135"/>
      <c r="E94" s="135"/>
      <c r="F94" s="135"/>
      <c r="G94" s="135"/>
      <c r="H94" s="135"/>
      <c r="I94" s="135"/>
      <c r="J94" s="135"/>
      <c r="K94" s="135"/>
      <c r="L94" s="135"/>
      <c r="M94" s="135"/>
      <c r="N94" s="135"/>
      <c r="O94" s="135"/>
      <c r="P94" s="135"/>
      <c r="Q94" s="135"/>
      <c r="R94" s="135" t="s">
        <v>6138</v>
      </c>
      <c r="S94" s="135"/>
      <c r="T94" s="135"/>
      <c r="U94" s="135"/>
      <c r="V94" s="135"/>
      <c r="W94" s="135" t="s">
        <v>6139</v>
      </c>
      <c r="X94" s="135"/>
      <c r="Y94" s="135"/>
      <c r="Z94" s="135"/>
      <c r="AA94" s="135"/>
      <c r="AB94" s="135" t="s">
        <v>6140</v>
      </c>
      <c r="AC94" s="135"/>
      <c r="AD94" s="135"/>
      <c r="AE94" s="135"/>
      <c r="AF94" s="135"/>
      <c r="AG94" s="135" t="s">
        <v>6141</v>
      </c>
      <c r="AH94" s="135"/>
      <c r="AI94" s="135"/>
      <c r="AJ94" s="135"/>
      <c r="AK94" s="135"/>
      <c r="AL94" s="135" t="s">
        <v>6111</v>
      </c>
      <c r="AM94" s="135"/>
      <c r="AN94" s="135"/>
      <c r="AO94" s="135"/>
      <c r="AP94" s="135"/>
      <c r="AQ94" s="135"/>
      <c r="AR94" s="135"/>
      <c r="AS94" s="135"/>
      <c r="AT94" s="135"/>
      <c r="AU94" s="135"/>
      <c r="AV94" s="135"/>
      <c r="AW94" s="136"/>
      <c r="AY94" s="75"/>
      <c r="AZ94" s="65"/>
      <c r="BA94" s="65"/>
    </row>
    <row r="95" spans="2:53" ht="22.5" customHeight="1" thickBot="1" x14ac:dyDescent="0.3">
      <c r="B95" s="146" t="s">
        <v>6155</v>
      </c>
      <c r="C95" s="147"/>
      <c r="D95" s="147"/>
      <c r="E95" s="147"/>
      <c r="F95" s="147"/>
      <c r="G95" s="147"/>
      <c r="H95" s="147"/>
      <c r="I95" s="147"/>
      <c r="J95" s="147"/>
      <c r="K95" s="147"/>
      <c r="L95" s="147"/>
      <c r="M95" s="147"/>
      <c r="N95" s="147"/>
      <c r="O95" s="147"/>
      <c r="P95" s="147"/>
      <c r="Q95" s="147"/>
      <c r="R95" s="143"/>
      <c r="S95" s="143"/>
      <c r="T95" s="143"/>
      <c r="U95" s="143"/>
      <c r="V95" s="143"/>
      <c r="W95" s="144"/>
      <c r="X95" s="144"/>
      <c r="Y95" s="144"/>
      <c r="Z95" s="144"/>
      <c r="AA95" s="144"/>
      <c r="AB95" s="145"/>
      <c r="AC95" s="145"/>
      <c r="AD95" s="145"/>
      <c r="AE95" s="145"/>
      <c r="AF95" s="145"/>
      <c r="AG95" s="133" t="str">
        <f>IF(R95="","",IF(AB95="","",AB95*R95))</f>
        <v/>
      </c>
      <c r="AH95" s="133"/>
      <c r="AI95" s="133"/>
      <c r="AJ95" s="133"/>
      <c r="AK95" s="133"/>
      <c r="AL95" s="121"/>
      <c r="AM95" s="121"/>
      <c r="AN95" s="121"/>
      <c r="AO95" s="121"/>
      <c r="AP95" s="121"/>
      <c r="AQ95" s="121"/>
      <c r="AR95" s="121"/>
      <c r="AS95" s="121"/>
      <c r="AT95" s="121"/>
      <c r="AU95" s="121"/>
      <c r="AV95" s="121"/>
      <c r="AW95" s="122"/>
      <c r="AY95" s="91"/>
      <c r="AZ95" s="73"/>
      <c r="BA95" s="73"/>
    </row>
    <row r="96" spans="2:53" ht="22.5" customHeight="1" thickBot="1" x14ac:dyDescent="0.3">
      <c r="B96" s="146" t="s">
        <v>6143</v>
      </c>
      <c r="C96" s="147"/>
      <c r="D96" s="147"/>
      <c r="E96" s="147"/>
      <c r="F96" s="147"/>
      <c r="G96" s="147"/>
      <c r="H96" s="147"/>
      <c r="I96" s="147"/>
      <c r="J96" s="147"/>
      <c r="K96" s="147"/>
      <c r="L96" s="147"/>
      <c r="M96" s="147"/>
      <c r="N96" s="147"/>
      <c r="O96" s="147"/>
      <c r="P96" s="147"/>
      <c r="Q96" s="147"/>
      <c r="R96" s="143"/>
      <c r="S96" s="143"/>
      <c r="T96" s="143"/>
      <c r="U96" s="143"/>
      <c r="V96" s="143"/>
      <c r="W96" s="144"/>
      <c r="X96" s="144"/>
      <c r="Y96" s="144"/>
      <c r="Z96" s="144"/>
      <c r="AA96" s="144"/>
      <c r="AB96" s="145"/>
      <c r="AC96" s="145"/>
      <c r="AD96" s="145"/>
      <c r="AE96" s="145"/>
      <c r="AF96" s="145"/>
      <c r="AG96" s="133" t="str">
        <f t="shared" ref="AG96:AG109" si="8">IF(R96="","",IF(AB96="","",AB96*R96))</f>
        <v/>
      </c>
      <c r="AH96" s="133"/>
      <c r="AI96" s="133"/>
      <c r="AJ96" s="133"/>
      <c r="AK96" s="133"/>
      <c r="AL96" s="121"/>
      <c r="AM96" s="121"/>
      <c r="AN96" s="121"/>
      <c r="AO96" s="121"/>
      <c r="AP96" s="121"/>
      <c r="AQ96" s="121"/>
      <c r="AR96" s="121"/>
      <c r="AS96" s="121"/>
      <c r="AT96" s="121"/>
      <c r="AU96" s="121"/>
      <c r="AV96" s="121"/>
      <c r="AW96" s="122"/>
      <c r="AY96" s="91"/>
      <c r="AZ96" s="73"/>
      <c r="BA96" s="73"/>
    </row>
    <row r="97" spans="2:53" ht="22.5" customHeight="1" thickBot="1" x14ac:dyDescent="0.3">
      <c r="B97" s="146" t="s">
        <v>6144</v>
      </c>
      <c r="C97" s="147"/>
      <c r="D97" s="147"/>
      <c r="E97" s="147"/>
      <c r="F97" s="147"/>
      <c r="G97" s="147"/>
      <c r="H97" s="147"/>
      <c r="I97" s="147"/>
      <c r="J97" s="147"/>
      <c r="K97" s="147"/>
      <c r="L97" s="147"/>
      <c r="M97" s="147"/>
      <c r="N97" s="147"/>
      <c r="O97" s="147"/>
      <c r="P97" s="147"/>
      <c r="Q97" s="147"/>
      <c r="R97" s="143"/>
      <c r="S97" s="143"/>
      <c r="T97" s="143"/>
      <c r="U97" s="143"/>
      <c r="V97" s="143"/>
      <c r="W97" s="144"/>
      <c r="X97" s="144"/>
      <c r="Y97" s="144"/>
      <c r="Z97" s="144"/>
      <c r="AA97" s="144"/>
      <c r="AB97" s="145"/>
      <c r="AC97" s="145"/>
      <c r="AD97" s="145"/>
      <c r="AE97" s="145"/>
      <c r="AF97" s="145"/>
      <c r="AG97" s="133" t="str">
        <f t="shared" si="8"/>
        <v/>
      </c>
      <c r="AH97" s="133"/>
      <c r="AI97" s="133"/>
      <c r="AJ97" s="133"/>
      <c r="AK97" s="133"/>
      <c r="AL97" s="121"/>
      <c r="AM97" s="121"/>
      <c r="AN97" s="121"/>
      <c r="AO97" s="121"/>
      <c r="AP97" s="121"/>
      <c r="AQ97" s="121"/>
      <c r="AR97" s="121"/>
      <c r="AS97" s="121"/>
      <c r="AT97" s="121"/>
      <c r="AU97" s="121"/>
      <c r="AV97" s="121"/>
      <c r="AW97" s="122"/>
      <c r="AY97" s="91"/>
      <c r="AZ97" s="73"/>
      <c r="BA97" s="73"/>
    </row>
    <row r="98" spans="2:53" ht="22.5" customHeight="1" thickBot="1" x14ac:dyDescent="0.3">
      <c r="B98" s="146" t="s">
        <v>6145</v>
      </c>
      <c r="C98" s="147"/>
      <c r="D98" s="147"/>
      <c r="E98" s="147"/>
      <c r="F98" s="147"/>
      <c r="G98" s="147"/>
      <c r="H98" s="147"/>
      <c r="I98" s="147"/>
      <c r="J98" s="147"/>
      <c r="K98" s="147"/>
      <c r="L98" s="147"/>
      <c r="M98" s="147"/>
      <c r="N98" s="147"/>
      <c r="O98" s="147"/>
      <c r="P98" s="147"/>
      <c r="Q98" s="147"/>
      <c r="R98" s="143"/>
      <c r="S98" s="143"/>
      <c r="T98" s="143"/>
      <c r="U98" s="143"/>
      <c r="V98" s="143"/>
      <c r="W98" s="144"/>
      <c r="X98" s="144"/>
      <c r="Y98" s="144"/>
      <c r="Z98" s="144"/>
      <c r="AA98" s="144"/>
      <c r="AB98" s="145"/>
      <c r="AC98" s="145"/>
      <c r="AD98" s="145"/>
      <c r="AE98" s="145"/>
      <c r="AF98" s="145"/>
      <c r="AG98" s="133" t="str">
        <f t="shared" si="8"/>
        <v/>
      </c>
      <c r="AH98" s="133"/>
      <c r="AI98" s="133"/>
      <c r="AJ98" s="133"/>
      <c r="AK98" s="133"/>
      <c r="AL98" s="121"/>
      <c r="AM98" s="121"/>
      <c r="AN98" s="121"/>
      <c r="AO98" s="121"/>
      <c r="AP98" s="121"/>
      <c r="AQ98" s="121"/>
      <c r="AR98" s="121"/>
      <c r="AS98" s="121"/>
      <c r="AT98" s="121"/>
      <c r="AU98" s="121"/>
      <c r="AV98" s="121"/>
      <c r="AW98" s="122"/>
      <c r="AY98" s="91"/>
      <c r="AZ98" s="73"/>
      <c r="BA98" s="73"/>
    </row>
    <row r="99" spans="2:53" ht="22.5" customHeight="1" thickBot="1" x14ac:dyDescent="0.3">
      <c r="B99" s="146" t="s">
        <v>6146</v>
      </c>
      <c r="C99" s="147"/>
      <c r="D99" s="147"/>
      <c r="E99" s="147"/>
      <c r="F99" s="147"/>
      <c r="G99" s="147"/>
      <c r="H99" s="147"/>
      <c r="I99" s="147"/>
      <c r="J99" s="147"/>
      <c r="K99" s="147"/>
      <c r="L99" s="147"/>
      <c r="M99" s="147"/>
      <c r="N99" s="147"/>
      <c r="O99" s="147"/>
      <c r="P99" s="147"/>
      <c r="Q99" s="147"/>
      <c r="R99" s="143"/>
      <c r="S99" s="143"/>
      <c r="T99" s="143"/>
      <c r="U99" s="143"/>
      <c r="V99" s="143"/>
      <c r="W99" s="144"/>
      <c r="X99" s="144"/>
      <c r="Y99" s="144"/>
      <c r="Z99" s="144"/>
      <c r="AA99" s="144"/>
      <c r="AB99" s="145"/>
      <c r="AC99" s="145"/>
      <c r="AD99" s="145"/>
      <c r="AE99" s="145"/>
      <c r="AF99" s="145"/>
      <c r="AG99" s="133" t="str">
        <f t="shared" si="8"/>
        <v/>
      </c>
      <c r="AH99" s="133"/>
      <c r="AI99" s="133"/>
      <c r="AJ99" s="133"/>
      <c r="AK99" s="133"/>
      <c r="AL99" s="121"/>
      <c r="AM99" s="121"/>
      <c r="AN99" s="121"/>
      <c r="AO99" s="121"/>
      <c r="AP99" s="121"/>
      <c r="AQ99" s="121"/>
      <c r="AR99" s="121"/>
      <c r="AS99" s="121"/>
      <c r="AT99" s="121"/>
      <c r="AU99" s="121"/>
      <c r="AV99" s="121"/>
      <c r="AW99" s="122"/>
      <c r="AY99" s="91"/>
      <c r="AZ99" s="73"/>
      <c r="BA99" s="73"/>
    </row>
    <row r="100" spans="2:53" ht="22.5" customHeight="1" thickBot="1" x14ac:dyDescent="0.3">
      <c r="B100" s="146" t="s">
        <v>6147</v>
      </c>
      <c r="C100" s="147"/>
      <c r="D100" s="147"/>
      <c r="E100" s="147"/>
      <c r="F100" s="147"/>
      <c r="G100" s="147"/>
      <c r="H100" s="147"/>
      <c r="I100" s="147"/>
      <c r="J100" s="147"/>
      <c r="K100" s="147"/>
      <c r="L100" s="147"/>
      <c r="M100" s="147"/>
      <c r="N100" s="147"/>
      <c r="O100" s="147"/>
      <c r="P100" s="147"/>
      <c r="Q100" s="147"/>
      <c r="R100" s="143"/>
      <c r="S100" s="143"/>
      <c r="T100" s="143"/>
      <c r="U100" s="143"/>
      <c r="V100" s="143"/>
      <c r="W100" s="144"/>
      <c r="X100" s="144"/>
      <c r="Y100" s="144"/>
      <c r="Z100" s="144"/>
      <c r="AA100" s="144"/>
      <c r="AB100" s="145"/>
      <c r="AC100" s="145"/>
      <c r="AD100" s="145"/>
      <c r="AE100" s="145"/>
      <c r="AF100" s="145"/>
      <c r="AG100" s="133" t="str">
        <f t="shared" si="8"/>
        <v/>
      </c>
      <c r="AH100" s="133"/>
      <c r="AI100" s="133"/>
      <c r="AJ100" s="133"/>
      <c r="AK100" s="133"/>
      <c r="AL100" s="121"/>
      <c r="AM100" s="121"/>
      <c r="AN100" s="121"/>
      <c r="AO100" s="121"/>
      <c r="AP100" s="121"/>
      <c r="AQ100" s="121"/>
      <c r="AR100" s="121"/>
      <c r="AS100" s="121"/>
      <c r="AT100" s="121"/>
      <c r="AU100" s="121"/>
      <c r="AV100" s="121"/>
      <c r="AW100" s="122"/>
      <c r="AY100" s="91"/>
      <c r="AZ100" s="73"/>
      <c r="BA100" s="73"/>
    </row>
    <row r="101" spans="2:53" ht="22.5" customHeight="1" thickBot="1" x14ac:dyDescent="0.3">
      <c r="B101" s="146" t="s">
        <v>6148</v>
      </c>
      <c r="C101" s="147"/>
      <c r="D101" s="147"/>
      <c r="E101" s="147"/>
      <c r="F101" s="147"/>
      <c r="G101" s="147"/>
      <c r="H101" s="147"/>
      <c r="I101" s="147"/>
      <c r="J101" s="147"/>
      <c r="K101" s="147"/>
      <c r="L101" s="147"/>
      <c r="M101" s="147"/>
      <c r="N101" s="147"/>
      <c r="O101" s="147"/>
      <c r="P101" s="147"/>
      <c r="Q101" s="147"/>
      <c r="R101" s="143"/>
      <c r="S101" s="143"/>
      <c r="T101" s="143"/>
      <c r="U101" s="143"/>
      <c r="V101" s="143"/>
      <c r="W101" s="144"/>
      <c r="X101" s="144"/>
      <c r="Y101" s="144"/>
      <c r="Z101" s="144"/>
      <c r="AA101" s="144"/>
      <c r="AB101" s="145"/>
      <c r="AC101" s="145"/>
      <c r="AD101" s="145"/>
      <c r="AE101" s="145"/>
      <c r="AF101" s="145"/>
      <c r="AG101" s="133" t="str">
        <f t="shared" si="8"/>
        <v/>
      </c>
      <c r="AH101" s="133"/>
      <c r="AI101" s="133"/>
      <c r="AJ101" s="133"/>
      <c r="AK101" s="133"/>
      <c r="AL101" s="121"/>
      <c r="AM101" s="121"/>
      <c r="AN101" s="121"/>
      <c r="AO101" s="121"/>
      <c r="AP101" s="121"/>
      <c r="AQ101" s="121"/>
      <c r="AR101" s="121"/>
      <c r="AS101" s="121"/>
      <c r="AT101" s="121"/>
      <c r="AU101" s="121"/>
      <c r="AV101" s="121"/>
      <c r="AW101" s="122"/>
      <c r="AY101" s="91"/>
      <c r="AZ101" s="73"/>
      <c r="BA101" s="73"/>
    </row>
    <row r="102" spans="2:53" ht="22.5" customHeight="1" thickBot="1" x14ac:dyDescent="0.3">
      <c r="B102" s="146" t="s">
        <v>6149</v>
      </c>
      <c r="C102" s="147"/>
      <c r="D102" s="147"/>
      <c r="E102" s="147"/>
      <c r="F102" s="147"/>
      <c r="G102" s="147"/>
      <c r="H102" s="147"/>
      <c r="I102" s="147"/>
      <c r="J102" s="147"/>
      <c r="K102" s="147"/>
      <c r="L102" s="147"/>
      <c r="M102" s="147"/>
      <c r="N102" s="147"/>
      <c r="O102" s="147"/>
      <c r="P102" s="147"/>
      <c r="Q102" s="147"/>
      <c r="R102" s="143"/>
      <c r="S102" s="143"/>
      <c r="T102" s="143"/>
      <c r="U102" s="143"/>
      <c r="V102" s="143"/>
      <c r="W102" s="144"/>
      <c r="X102" s="144"/>
      <c r="Y102" s="144"/>
      <c r="Z102" s="144"/>
      <c r="AA102" s="144"/>
      <c r="AB102" s="145"/>
      <c r="AC102" s="145"/>
      <c r="AD102" s="145"/>
      <c r="AE102" s="145"/>
      <c r="AF102" s="145"/>
      <c r="AG102" s="133" t="str">
        <f t="shared" si="8"/>
        <v/>
      </c>
      <c r="AH102" s="133"/>
      <c r="AI102" s="133"/>
      <c r="AJ102" s="133"/>
      <c r="AK102" s="133"/>
      <c r="AL102" s="121"/>
      <c r="AM102" s="121"/>
      <c r="AN102" s="121"/>
      <c r="AO102" s="121"/>
      <c r="AP102" s="121"/>
      <c r="AQ102" s="121"/>
      <c r="AR102" s="121"/>
      <c r="AS102" s="121"/>
      <c r="AT102" s="121"/>
      <c r="AU102" s="121"/>
      <c r="AV102" s="121"/>
      <c r="AW102" s="122"/>
      <c r="AY102" s="91"/>
      <c r="AZ102" s="73"/>
      <c r="BA102" s="73"/>
    </row>
    <row r="103" spans="2:53" ht="22.5" customHeight="1" thickBot="1" x14ac:dyDescent="0.3">
      <c r="B103" s="146" t="s">
        <v>6150</v>
      </c>
      <c r="C103" s="147"/>
      <c r="D103" s="147"/>
      <c r="E103" s="147"/>
      <c r="F103" s="147"/>
      <c r="G103" s="147"/>
      <c r="H103" s="147"/>
      <c r="I103" s="147"/>
      <c r="J103" s="147"/>
      <c r="K103" s="147"/>
      <c r="L103" s="147"/>
      <c r="M103" s="147"/>
      <c r="N103" s="147"/>
      <c r="O103" s="147"/>
      <c r="P103" s="147"/>
      <c r="Q103" s="147"/>
      <c r="R103" s="143"/>
      <c r="S103" s="143"/>
      <c r="T103" s="143"/>
      <c r="U103" s="143"/>
      <c r="V103" s="143"/>
      <c r="W103" s="144"/>
      <c r="X103" s="144"/>
      <c r="Y103" s="144"/>
      <c r="Z103" s="144"/>
      <c r="AA103" s="144"/>
      <c r="AB103" s="145"/>
      <c r="AC103" s="145"/>
      <c r="AD103" s="145"/>
      <c r="AE103" s="145"/>
      <c r="AF103" s="145"/>
      <c r="AG103" s="133" t="str">
        <f t="shared" si="8"/>
        <v/>
      </c>
      <c r="AH103" s="133"/>
      <c r="AI103" s="133"/>
      <c r="AJ103" s="133"/>
      <c r="AK103" s="133"/>
      <c r="AL103" s="121"/>
      <c r="AM103" s="121"/>
      <c r="AN103" s="121"/>
      <c r="AO103" s="121"/>
      <c r="AP103" s="121"/>
      <c r="AQ103" s="121"/>
      <c r="AR103" s="121"/>
      <c r="AS103" s="121"/>
      <c r="AT103" s="121"/>
      <c r="AU103" s="121"/>
      <c r="AV103" s="121"/>
      <c r="AW103" s="122"/>
      <c r="AY103" s="91"/>
      <c r="AZ103" s="73"/>
      <c r="BA103" s="73"/>
    </row>
    <row r="104" spans="2:53" ht="22.5" customHeight="1" thickBot="1" x14ac:dyDescent="0.3">
      <c r="B104" s="146" t="s">
        <v>6156</v>
      </c>
      <c r="C104" s="147"/>
      <c r="D104" s="147"/>
      <c r="E104" s="147"/>
      <c r="F104" s="147"/>
      <c r="G104" s="147"/>
      <c r="H104" s="147"/>
      <c r="I104" s="147"/>
      <c r="J104" s="147"/>
      <c r="K104" s="147"/>
      <c r="L104" s="147"/>
      <c r="M104" s="147"/>
      <c r="N104" s="147"/>
      <c r="O104" s="147"/>
      <c r="P104" s="147"/>
      <c r="Q104" s="147"/>
      <c r="R104" s="143"/>
      <c r="S104" s="143"/>
      <c r="T104" s="143"/>
      <c r="U104" s="143"/>
      <c r="V104" s="143"/>
      <c r="W104" s="144"/>
      <c r="X104" s="144"/>
      <c r="Y104" s="144"/>
      <c r="Z104" s="144"/>
      <c r="AA104" s="144"/>
      <c r="AB104" s="145"/>
      <c r="AC104" s="145"/>
      <c r="AD104" s="145"/>
      <c r="AE104" s="145"/>
      <c r="AF104" s="145"/>
      <c r="AG104" s="133" t="str">
        <f t="shared" si="8"/>
        <v/>
      </c>
      <c r="AH104" s="133"/>
      <c r="AI104" s="133"/>
      <c r="AJ104" s="133"/>
      <c r="AK104" s="133"/>
      <c r="AL104" s="121"/>
      <c r="AM104" s="121"/>
      <c r="AN104" s="121"/>
      <c r="AO104" s="121"/>
      <c r="AP104" s="121"/>
      <c r="AQ104" s="121"/>
      <c r="AR104" s="121"/>
      <c r="AS104" s="121"/>
      <c r="AT104" s="121"/>
      <c r="AU104" s="121"/>
      <c r="AV104" s="121"/>
      <c r="AW104" s="122"/>
      <c r="AY104" s="91"/>
      <c r="AZ104" s="73"/>
      <c r="BA104" s="73"/>
    </row>
    <row r="105" spans="2:53" ht="22.5" customHeight="1" thickBot="1" x14ac:dyDescent="0.3">
      <c r="B105" s="146" t="s">
        <v>6151</v>
      </c>
      <c r="C105" s="147"/>
      <c r="D105" s="147"/>
      <c r="E105" s="147"/>
      <c r="F105" s="147"/>
      <c r="G105" s="147"/>
      <c r="H105" s="147"/>
      <c r="I105" s="147"/>
      <c r="J105" s="147"/>
      <c r="K105" s="147"/>
      <c r="L105" s="147"/>
      <c r="M105" s="147"/>
      <c r="N105" s="147"/>
      <c r="O105" s="147"/>
      <c r="P105" s="147"/>
      <c r="Q105" s="147"/>
      <c r="R105" s="143"/>
      <c r="S105" s="143"/>
      <c r="T105" s="143"/>
      <c r="U105" s="143"/>
      <c r="V105" s="143"/>
      <c r="W105" s="144"/>
      <c r="X105" s="144"/>
      <c r="Y105" s="144"/>
      <c r="Z105" s="144"/>
      <c r="AA105" s="144"/>
      <c r="AB105" s="145"/>
      <c r="AC105" s="145"/>
      <c r="AD105" s="145"/>
      <c r="AE105" s="145"/>
      <c r="AF105" s="145"/>
      <c r="AG105" s="133" t="str">
        <f t="shared" si="8"/>
        <v/>
      </c>
      <c r="AH105" s="133"/>
      <c r="AI105" s="133"/>
      <c r="AJ105" s="133"/>
      <c r="AK105" s="133"/>
      <c r="AL105" s="121"/>
      <c r="AM105" s="121"/>
      <c r="AN105" s="121"/>
      <c r="AO105" s="121"/>
      <c r="AP105" s="121"/>
      <c r="AQ105" s="121"/>
      <c r="AR105" s="121"/>
      <c r="AS105" s="121"/>
      <c r="AT105" s="121"/>
      <c r="AU105" s="121"/>
      <c r="AV105" s="121"/>
      <c r="AW105" s="122"/>
      <c r="AY105" s="91"/>
      <c r="AZ105" s="73"/>
      <c r="BA105" s="73"/>
    </row>
    <row r="106" spans="2:53" ht="22.5" customHeight="1" thickBot="1" x14ac:dyDescent="0.3">
      <c r="B106" s="146" t="s">
        <v>6157</v>
      </c>
      <c r="C106" s="147"/>
      <c r="D106" s="147"/>
      <c r="E106" s="147"/>
      <c r="F106" s="147"/>
      <c r="G106" s="147"/>
      <c r="H106" s="147"/>
      <c r="I106" s="147"/>
      <c r="J106" s="147"/>
      <c r="K106" s="147"/>
      <c r="L106" s="147"/>
      <c r="M106" s="147"/>
      <c r="N106" s="147"/>
      <c r="O106" s="147"/>
      <c r="P106" s="147"/>
      <c r="Q106" s="147"/>
      <c r="R106" s="143"/>
      <c r="S106" s="143"/>
      <c r="T106" s="143"/>
      <c r="U106" s="143"/>
      <c r="V106" s="143"/>
      <c r="W106" s="144"/>
      <c r="X106" s="144"/>
      <c r="Y106" s="144"/>
      <c r="Z106" s="144"/>
      <c r="AA106" s="144"/>
      <c r="AB106" s="145"/>
      <c r="AC106" s="145"/>
      <c r="AD106" s="145"/>
      <c r="AE106" s="145"/>
      <c r="AF106" s="145"/>
      <c r="AG106" s="133" t="str">
        <f t="shared" si="8"/>
        <v/>
      </c>
      <c r="AH106" s="133"/>
      <c r="AI106" s="133"/>
      <c r="AJ106" s="133"/>
      <c r="AK106" s="133"/>
      <c r="AL106" s="121"/>
      <c r="AM106" s="121"/>
      <c r="AN106" s="121"/>
      <c r="AO106" s="121"/>
      <c r="AP106" s="121"/>
      <c r="AQ106" s="121"/>
      <c r="AR106" s="121"/>
      <c r="AS106" s="121"/>
      <c r="AT106" s="121"/>
      <c r="AU106" s="121"/>
      <c r="AV106" s="121"/>
      <c r="AW106" s="122"/>
      <c r="AY106" s="91"/>
      <c r="AZ106" s="73"/>
      <c r="BA106" s="73"/>
    </row>
    <row r="107" spans="2:53" ht="22.5" customHeight="1" thickBot="1" x14ac:dyDescent="0.3">
      <c r="B107" s="146" t="s">
        <v>6152</v>
      </c>
      <c r="C107" s="147"/>
      <c r="D107" s="147"/>
      <c r="E107" s="147"/>
      <c r="F107" s="147"/>
      <c r="G107" s="147"/>
      <c r="H107" s="147"/>
      <c r="I107" s="147"/>
      <c r="J107" s="147"/>
      <c r="K107" s="147"/>
      <c r="L107" s="147"/>
      <c r="M107" s="147"/>
      <c r="N107" s="147"/>
      <c r="O107" s="147"/>
      <c r="P107" s="147"/>
      <c r="Q107" s="147"/>
      <c r="R107" s="143"/>
      <c r="S107" s="143"/>
      <c r="T107" s="143"/>
      <c r="U107" s="143"/>
      <c r="V107" s="143"/>
      <c r="W107" s="144"/>
      <c r="X107" s="144"/>
      <c r="Y107" s="144"/>
      <c r="Z107" s="144"/>
      <c r="AA107" s="144"/>
      <c r="AB107" s="145"/>
      <c r="AC107" s="145"/>
      <c r="AD107" s="145"/>
      <c r="AE107" s="145"/>
      <c r="AF107" s="145"/>
      <c r="AG107" s="133" t="str">
        <f t="shared" si="8"/>
        <v/>
      </c>
      <c r="AH107" s="133"/>
      <c r="AI107" s="133"/>
      <c r="AJ107" s="133"/>
      <c r="AK107" s="133"/>
      <c r="AL107" s="121"/>
      <c r="AM107" s="121"/>
      <c r="AN107" s="121"/>
      <c r="AO107" s="121"/>
      <c r="AP107" s="121"/>
      <c r="AQ107" s="121"/>
      <c r="AR107" s="121"/>
      <c r="AS107" s="121"/>
      <c r="AT107" s="121"/>
      <c r="AU107" s="121"/>
      <c r="AV107" s="121"/>
      <c r="AW107" s="122"/>
      <c r="AY107" s="91"/>
      <c r="AZ107" s="73"/>
      <c r="BA107" s="73"/>
    </row>
    <row r="108" spans="2:53" ht="22.5" customHeight="1" thickBot="1" x14ac:dyDescent="0.3">
      <c r="B108" s="146" t="s">
        <v>6153</v>
      </c>
      <c r="C108" s="147"/>
      <c r="D108" s="147"/>
      <c r="E108" s="147"/>
      <c r="F108" s="147"/>
      <c r="G108" s="147"/>
      <c r="H108" s="147"/>
      <c r="I108" s="147"/>
      <c r="J108" s="147"/>
      <c r="K108" s="147"/>
      <c r="L108" s="147"/>
      <c r="M108" s="147"/>
      <c r="N108" s="147"/>
      <c r="O108" s="147"/>
      <c r="P108" s="147"/>
      <c r="Q108" s="147"/>
      <c r="R108" s="143"/>
      <c r="S108" s="143"/>
      <c r="T108" s="143"/>
      <c r="U108" s="143"/>
      <c r="V108" s="143"/>
      <c r="W108" s="144"/>
      <c r="X108" s="144"/>
      <c r="Y108" s="144"/>
      <c r="Z108" s="144"/>
      <c r="AA108" s="144"/>
      <c r="AB108" s="145"/>
      <c r="AC108" s="145"/>
      <c r="AD108" s="145"/>
      <c r="AE108" s="145"/>
      <c r="AF108" s="145"/>
      <c r="AG108" s="133" t="str">
        <f t="shared" si="8"/>
        <v/>
      </c>
      <c r="AH108" s="133"/>
      <c r="AI108" s="133"/>
      <c r="AJ108" s="133"/>
      <c r="AK108" s="133"/>
      <c r="AL108" s="121"/>
      <c r="AM108" s="121"/>
      <c r="AN108" s="121"/>
      <c r="AO108" s="121"/>
      <c r="AP108" s="121"/>
      <c r="AQ108" s="121"/>
      <c r="AR108" s="121"/>
      <c r="AS108" s="121"/>
      <c r="AT108" s="121"/>
      <c r="AU108" s="121"/>
      <c r="AV108" s="121"/>
      <c r="AW108" s="122"/>
      <c r="AY108" s="92"/>
      <c r="AZ108" s="74"/>
      <c r="BA108" s="74"/>
    </row>
    <row r="109" spans="2:53" ht="22.5" customHeight="1" x14ac:dyDescent="0.25">
      <c r="B109" s="148" t="s">
        <v>6154</v>
      </c>
      <c r="C109" s="149"/>
      <c r="D109" s="149"/>
      <c r="E109" s="149"/>
      <c r="F109" s="149"/>
      <c r="G109" s="149"/>
      <c r="H109" s="149"/>
      <c r="I109" s="149"/>
      <c r="J109" s="149"/>
      <c r="K109" s="149"/>
      <c r="L109" s="149"/>
      <c r="M109" s="149"/>
      <c r="N109" s="149"/>
      <c r="O109" s="149"/>
      <c r="P109" s="149"/>
      <c r="Q109" s="149"/>
      <c r="R109" s="150"/>
      <c r="S109" s="150"/>
      <c r="T109" s="150"/>
      <c r="U109" s="150"/>
      <c r="V109" s="150"/>
      <c r="W109" s="151"/>
      <c r="X109" s="151"/>
      <c r="Y109" s="151"/>
      <c r="Z109" s="151"/>
      <c r="AA109" s="151"/>
      <c r="AB109" s="129"/>
      <c r="AC109" s="129"/>
      <c r="AD109" s="129"/>
      <c r="AE109" s="129"/>
      <c r="AF109" s="129"/>
      <c r="AG109" s="115" t="str">
        <f t="shared" si="8"/>
        <v/>
      </c>
      <c r="AH109" s="115"/>
      <c r="AI109" s="115"/>
      <c r="AJ109" s="115"/>
      <c r="AK109" s="115"/>
      <c r="AL109" s="123"/>
      <c r="AM109" s="123"/>
      <c r="AN109" s="123"/>
      <c r="AO109" s="123"/>
      <c r="AP109" s="123"/>
      <c r="AQ109" s="123"/>
      <c r="AR109" s="123"/>
      <c r="AS109" s="123"/>
      <c r="AT109" s="123"/>
      <c r="AU109" s="123"/>
      <c r="AV109" s="123"/>
      <c r="AW109" s="124"/>
    </row>
    <row r="110" spans="2:53" ht="3.75" customHeight="1" x14ac:dyDescent="0.25"/>
    <row r="111" spans="2:53" ht="22.5" customHeight="1" x14ac:dyDescent="0.25">
      <c r="AB111" s="109" t="s">
        <v>6037</v>
      </c>
      <c r="AC111" s="110"/>
      <c r="AD111" s="110"/>
      <c r="AE111" s="110"/>
      <c r="AF111" s="110"/>
      <c r="AG111" s="111">
        <f>SUM(AG95:AK109)</f>
        <v>0</v>
      </c>
      <c r="AH111" s="111"/>
      <c r="AI111" s="111"/>
      <c r="AJ111" s="111"/>
      <c r="AK111" s="112"/>
    </row>
    <row r="112" spans="2:53" ht="18.75" customHeight="1" x14ac:dyDescent="0.25"/>
    <row r="113" spans="2:49" ht="22.5" customHeight="1" thickBot="1" x14ac:dyDescent="0.3">
      <c r="H113" s="134" t="s">
        <v>5994</v>
      </c>
      <c r="I113" s="135"/>
      <c r="J113" s="135"/>
      <c r="K113" s="135"/>
      <c r="L113" s="135"/>
      <c r="M113" s="135"/>
      <c r="N113" s="135"/>
      <c r="O113" s="135"/>
      <c r="P113" s="135"/>
      <c r="Q113" s="135"/>
      <c r="R113" s="135"/>
      <c r="S113" s="135"/>
      <c r="T113" s="135"/>
      <c r="U113" s="135"/>
      <c r="V113" s="136"/>
      <c r="AC113" s="134" t="s">
        <v>6159</v>
      </c>
      <c r="AD113" s="135"/>
      <c r="AE113" s="135"/>
      <c r="AF113" s="135"/>
      <c r="AG113" s="135"/>
      <c r="AH113" s="135"/>
      <c r="AI113" s="135"/>
      <c r="AJ113" s="135"/>
      <c r="AK113" s="135"/>
      <c r="AL113" s="135"/>
      <c r="AM113" s="135"/>
      <c r="AN113" s="135"/>
      <c r="AO113" s="135"/>
      <c r="AP113" s="135"/>
      <c r="AQ113" s="136"/>
    </row>
    <row r="114" spans="2:49" ht="22.5" customHeight="1" thickBot="1" x14ac:dyDescent="0.3">
      <c r="H114" s="156" t="s">
        <v>6233</v>
      </c>
      <c r="I114" s="157"/>
      <c r="J114" s="157"/>
      <c r="K114" s="157"/>
      <c r="L114" s="157"/>
      <c r="M114" s="158" t="str" cm="1">
        <f t="array" ref="M114">IFERROR(_xlfn.IFS(H114="Selecione","",H114="Custo Histórico",R72,H114="CUB Ajustado",(AG111/AB92)+R70),"")</f>
        <v/>
      </c>
      <c r="N114" s="158"/>
      <c r="O114" s="158"/>
      <c r="P114" s="158"/>
      <c r="Q114" s="158"/>
      <c r="R114" s="115" t="str" cm="1">
        <f t="array" ref="R114">IFERROR(_xlfn.IFS(H114="Selecione","",H114="Custo Histórico",M114*J49,H114="CUB Ajustado",M114*AB92),"")</f>
        <v/>
      </c>
      <c r="S114" s="115"/>
      <c r="T114" s="115"/>
      <c r="U114" s="115"/>
      <c r="V114" s="116"/>
      <c r="AC114" s="118" t="s">
        <v>6160</v>
      </c>
      <c r="AD114" s="152"/>
      <c r="AE114" s="152"/>
      <c r="AF114" s="152"/>
      <c r="AG114" s="152"/>
      <c r="AH114" s="152" t="s">
        <v>6161</v>
      </c>
      <c r="AI114" s="152"/>
      <c r="AJ114" s="152"/>
      <c r="AK114" s="152"/>
      <c r="AL114" s="152"/>
      <c r="AM114" s="152" t="s">
        <v>6162</v>
      </c>
      <c r="AN114" s="152"/>
      <c r="AO114" s="152"/>
      <c r="AP114" s="152"/>
      <c r="AQ114" s="153"/>
    </row>
    <row r="115" spans="2:49" ht="22.5" customHeight="1" x14ac:dyDescent="0.25">
      <c r="AC115" s="154"/>
      <c r="AD115" s="114"/>
      <c r="AE115" s="114"/>
      <c r="AF115" s="114"/>
      <c r="AG115" s="114"/>
      <c r="AH115" s="115" t="str">
        <f>IFERROR(AM115/F38,"")</f>
        <v/>
      </c>
      <c r="AI115" s="115"/>
      <c r="AJ115" s="115"/>
      <c r="AK115" s="115"/>
      <c r="AL115" s="115"/>
      <c r="AM115" s="115" t="str">
        <f>IFERROR(R114*AC115,"")</f>
        <v/>
      </c>
      <c r="AN115" s="115"/>
      <c r="AO115" s="115"/>
      <c r="AP115" s="115"/>
      <c r="AQ115" s="116"/>
    </row>
    <row r="116" spans="2:49" ht="18.75" customHeight="1" x14ac:dyDescent="0.25"/>
    <row r="117" spans="2:49" ht="26.25" customHeight="1" x14ac:dyDescent="0.25">
      <c r="B117" s="94" t="s">
        <v>6164</v>
      </c>
      <c r="C117" s="47"/>
      <c r="D117" s="47"/>
      <c r="E117" s="47"/>
      <c r="F117" s="47"/>
      <c r="G117" s="47"/>
      <c r="H117" s="47"/>
      <c r="I117" s="47"/>
      <c r="J117" s="70"/>
      <c r="K117" s="70"/>
      <c r="L117" s="70"/>
      <c r="M117" s="70"/>
      <c r="N117" s="70"/>
      <c r="O117" s="70"/>
      <c r="P117" s="70"/>
      <c r="Q117" s="70"/>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row>
    <row r="118" spans="2:49" ht="3.75" customHeight="1" x14ac:dyDescent="0.25">
      <c r="J118" s="69"/>
      <c r="K118" s="69"/>
      <c r="L118" s="69"/>
      <c r="M118" s="69"/>
      <c r="N118" s="69"/>
      <c r="O118" s="69"/>
      <c r="P118" s="69"/>
      <c r="Q118" s="69"/>
    </row>
    <row r="119" spans="2:49" ht="21" customHeight="1" thickBot="1" x14ac:dyDescent="0.3">
      <c r="B119" s="134" t="s">
        <v>6165</v>
      </c>
      <c r="C119" s="135"/>
      <c r="D119" s="135"/>
      <c r="E119" s="135"/>
      <c r="F119" s="135"/>
      <c r="G119" s="135"/>
      <c r="H119" s="135"/>
      <c r="I119" s="135"/>
      <c r="J119" s="135"/>
      <c r="K119" s="135"/>
      <c r="L119" s="135" t="s">
        <v>6166</v>
      </c>
      <c r="M119" s="135"/>
      <c r="N119" s="135"/>
      <c r="O119" s="135"/>
      <c r="P119" s="135"/>
      <c r="Q119" s="135"/>
      <c r="R119" s="135"/>
      <c r="S119" s="135"/>
      <c r="T119" s="135"/>
      <c r="U119" s="135" t="s">
        <v>6099</v>
      </c>
      <c r="V119" s="135"/>
      <c r="W119" s="135"/>
      <c r="X119" s="135"/>
      <c r="Y119" s="135"/>
      <c r="Z119" s="135"/>
      <c r="AA119" s="135"/>
      <c r="AB119" s="135"/>
      <c r="AC119" s="135"/>
      <c r="AD119" s="135"/>
      <c r="AE119" s="135" t="s">
        <v>6167</v>
      </c>
      <c r="AF119" s="135"/>
      <c r="AG119" s="135"/>
      <c r="AH119" s="135"/>
      <c r="AI119" s="135"/>
      <c r="AJ119" s="135"/>
      <c r="AK119" s="135"/>
      <c r="AL119" s="135"/>
      <c r="AM119" s="135"/>
      <c r="AN119" s="135" t="s">
        <v>6168</v>
      </c>
      <c r="AO119" s="135"/>
      <c r="AP119" s="135"/>
      <c r="AQ119" s="135"/>
      <c r="AR119" s="135"/>
      <c r="AS119" s="135"/>
      <c r="AT119" s="135"/>
      <c r="AU119" s="135"/>
      <c r="AV119" s="135"/>
      <c r="AW119" s="136"/>
    </row>
    <row r="120" spans="2:49" ht="21" customHeight="1" x14ac:dyDescent="0.25">
      <c r="B120" s="137">
        <f>Z56</f>
        <v>0</v>
      </c>
      <c r="C120" s="106"/>
      <c r="D120" s="106"/>
      <c r="E120" s="106"/>
      <c r="F120" s="106"/>
      <c r="G120" s="106"/>
      <c r="H120" s="106"/>
      <c r="I120" s="106"/>
      <c r="J120" s="106"/>
      <c r="K120" s="106"/>
      <c r="L120" s="106">
        <f>Z62</f>
        <v>0</v>
      </c>
      <c r="M120" s="106"/>
      <c r="N120" s="106"/>
      <c r="O120" s="106"/>
      <c r="P120" s="106"/>
      <c r="Q120" s="106"/>
      <c r="R120" s="106"/>
      <c r="S120" s="106"/>
      <c r="T120" s="106"/>
      <c r="U120" s="106" t="str">
        <f>R114</f>
        <v/>
      </c>
      <c r="V120" s="106"/>
      <c r="W120" s="106"/>
      <c r="X120" s="106"/>
      <c r="Y120" s="106"/>
      <c r="Z120" s="106"/>
      <c r="AA120" s="106"/>
      <c r="AB120" s="106"/>
      <c r="AC120" s="106"/>
      <c r="AD120" s="106"/>
      <c r="AE120" s="106">
        <f>AH44</f>
        <v>0</v>
      </c>
      <c r="AF120" s="106"/>
      <c r="AG120" s="106"/>
      <c r="AH120" s="106"/>
      <c r="AI120" s="106"/>
      <c r="AJ120" s="106"/>
      <c r="AK120" s="106"/>
      <c r="AL120" s="106"/>
      <c r="AM120" s="106"/>
      <c r="AN120" s="106">
        <f>AH46</f>
        <v>0</v>
      </c>
      <c r="AO120" s="106"/>
      <c r="AP120" s="106"/>
      <c r="AQ120" s="106"/>
      <c r="AR120" s="106"/>
      <c r="AS120" s="106"/>
      <c r="AT120" s="106"/>
      <c r="AU120" s="106"/>
      <c r="AV120" s="106"/>
      <c r="AW120" s="107"/>
    </row>
    <row r="121" spans="2:49" ht="18.75" customHeight="1" x14ac:dyDescent="0.25"/>
    <row r="122" spans="2:49" ht="21" customHeight="1" thickBot="1" x14ac:dyDescent="0.3">
      <c r="B122" s="134" t="s">
        <v>6169</v>
      </c>
      <c r="C122" s="135"/>
      <c r="D122" s="135"/>
      <c r="E122" s="135"/>
      <c r="F122" s="135"/>
      <c r="G122" s="135"/>
      <c r="H122" s="135"/>
      <c r="I122" s="135"/>
      <c r="J122" s="135"/>
      <c r="K122" s="135"/>
      <c r="L122" s="135" t="s">
        <v>6170</v>
      </c>
      <c r="M122" s="135"/>
      <c r="N122" s="135"/>
      <c r="O122" s="135"/>
      <c r="P122" s="135"/>
      <c r="Q122" s="135"/>
      <c r="R122" s="135"/>
      <c r="S122" s="135"/>
      <c r="T122" s="135"/>
      <c r="U122" s="135" t="s">
        <v>6171</v>
      </c>
      <c r="V122" s="135"/>
      <c r="W122" s="135"/>
      <c r="X122" s="135"/>
      <c r="Y122" s="135"/>
      <c r="Z122" s="135" t="s">
        <v>6172</v>
      </c>
      <c r="AA122" s="135"/>
      <c r="AB122" s="135"/>
      <c r="AC122" s="135"/>
      <c r="AD122" s="136"/>
    </row>
    <row r="123" spans="2:49" ht="21" customHeight="1" thickBot="1" x14ac:dyDescent="0.3">
      <c r="B123" s="142" t="s">
        <v>6176</v>
      </c>
      <c r="C123" s="133"/>
      <c r="D123" s="133"/>
      <c r="E123" s="133"/>
      <c r="F123" s="133"/>
      <c r="G123" s="133"/>
      <c r="H123" s="133"/>
      <c r="I123" s="133"/>
      <c r="J123" s="133"/>
      <c r="K123" s="133"/>
      <c r="L123" s="132" t="s">
        <v>6186</v>
      </c>
      <c r="M123" s="132"/>
      <c r="N123" s="132"/>
      <c r="O123" s="132"/>
      <c r="P123" s="132"/>
      <c r="Q123" s="132"/>
      <c r="R123" s="132"/>
      <c r="S123" s="132"/>
      <c r="T123" s="132"/>
      <c r="U123" s="113"/>
      <c r="V123" s="113"/>
      <c r="W123" s="113"/>
      <c r="X123" s="113"/>
      <c r="Y123" s="113"/>
      <c r="Z123" s="133" t="str">
        <f>IF(U123="","",_xlfn.XLOOKUP(L123,$B$119:$AW$119,$B$120:$AW$120)*U123)</f>
        <v/>
      </c>
      <c r="AA123" s="133"/>
      <c r="AB123" s="133"/>
      <c r="AC123" s="133"/>
      <c r="AD123" s="119"/>
      <c r="AI123" s="134" t="s">
        <v>6173</v>
      </c>
      <c r="AJ123" s="135"/>
      <c r="AK123" s="135"/>
      <c r="AL123" s="135"/>
      <c r="AM123" s="135"/>
      <c r="AN123" s="135"/>
      <c r="AO123" s="135"/>
      <c r="AP123" s="135"/>
      <c r="AQ123" s="135"/>
      <c r="AR123" s="136"/>
    </row>
    <row r="124" spans="2:49" ht="21" customHeight="1" thickBot="1" x14ac:dyDescent="0.3">
      <c r="B124" s="142" t="s">
        <v>6177</v>
      </c>
      <c r="C124" s="133"/>
      <c r="D124" s="133"/>
      <c r="E124" s="133"/>
      <c r="F124" s="133"/>
      <c r="G124" s="133"/>
      <c r="H124" s="133"/>
      <c r="I124" s="133"/>
      <c r="J124" s="133"/>
      <c r="K124" s="133"/>
      <c r="L124" s="132" t="s">
        <v>6186</v>
      </c>
      <c r="M124" s="132"/>
      <c r="N124" s="132"/>
      <c r="O124" s="132"/>
      <c r="P124" s="132"/>
      <c r="Q124" s="132"/>
      <c r="R124" s="132"/>
      <c r="S124" s="132"/>
      <c r="T124" s="132"/>
      <c r="U124" s="113"/>
      <c r="V124" s="113"/>
      <c r="W124" s="113"/>
      <c r="X124" s="113"/>
      <c r="Y124" s="113"/>
      <c r="Z124" s="133" t="str">
        <f t="shared" ref="Z124:Z133" si="9">IF(U124="","",_xlfn.XLOOKUP(L124,$B$119:$AW$119,$B$120:$AW$120)*U124)</f>
        <v/>
      </c>
      <c r="AA124" s="133"/>
      <c r="AB124" s="133"/>
      <c r="AC124" s="133"/>
      <c r="AD124" s="119"/>
      <c r="AI124" s="117" t="s">
        <v>6188</v>
      </c>
      <c r="AJ124" s="117"/>
      <c r="AK124" s="117"/>
      <c r="AL124" s="117"/>
      <c r="AM124" s="118"/>
      <c r="AN124" s="140" t="s">
        <v>6194</v>
      </c>
      <c r="AO124" s="141"/>
      <c r="AP124" s="141"/>
      <c r="AQ124" s="141"/>
      <c r="AR124" s="141"/>
    </row>
    <row r="125" spans="2:49" ht="21" customHeight="1" thickBot="1" x14ac:dyDescent="0.3">
      <c r="B125" s="142" t="s">
        <v>6178</v>
      </c>
      <c r="C125" s="133"/>
      <c r="D125" s="133"/>
      <c r="E125" s="133"/>
      <c r="F125" s="133"/>
      <c r="G125" s="133"/>
      <c r="H125" s="133"/>
      <c r="I125" s="133"/>
      <c r="J125" s="133"/>
      <c r="K125" s="133"/>
      <c r="L125" s="132" t="s">
        <v>6186</v>
      </c>
      <c r="M125" s="132"/>
      <c r="N125" s="132"/>
      <c r="O125" s="132"/>
      <c r="P125" s="132"/>
      <c r="Q125" s="132"/>
      <c r="R125" s="132"/>
      <c r="S125" s="132"/>
      <c r="T125" s="132"/>
      <c r="U125" s="113"/>
      <c r="V125" s="113"/>
      <c r="W125" s="113"/>
      <c r="X125" s="113"/>
      <c r="Y125" s="113"/>
      <c r="Z125" s="133" t="str">
        <f t="shared" si="9"/>
        <v/>
      </c>
      <c r="AA125" s="133"/>
      <c r="AB125" s="133"/>
      <c r="AC125" s="133"/>
      <c r="AD125" s="119"/>
      <c r="AI125" s="117" t="s">
        <v>6160</v>
      </c>
      <c r="AJ125" s="117"/>
      <c r="AK125" s="117"/>
      <c r="AL125" s="117"/>
      <c r="AM125" s="118"/>
      <c r="AN125" s="138"/>
      <c r="AO125" s="139"/>
      <c r="AP125" s="139"/>
      <c r="AQ125" s="139"/>
      <c r="AR125" s="139"/>
    </row>
    <row r="126" spans="2:49" ht="21" customHeight="1" thickBot="1" x14ac:dyDescent="0.3">
      <c r="B126" s="142" t="s">
        <v>6179</v>
      </c>
      <c r="C126" s="133"/>
      <c r="D126" s="133"/>
      <c r="E126" s="133"/>
      <c r="F126" s="133"/>
      <c r="G126" s="133"/>
      <c r="H126" s="133"/>
      <c r="I126" s="133"/>
      <c r="J126" s="133"/>
      <c r="K126" s="133"/>
      <c r="L126" s="132" t="s">
        <v>6186</v>
      </c>
      <c r="M126" s="132"/>
      <c r="N126" s="132"/>
      <c r="O126" s="132"/>
      <c r="P126" s="132"/>
      <c r="Q126" s="132"/>
      <c r="R126" s="132"/>
      <c r="S126" s="132"/>
      <c r="T126" s="132"/>
      <c r="U126" s="113"/>
      <c r="V126" s="113"/>
      <c r="W126" s="113"/>
      <c r="X126" s="113"/>
      <c r="Y126" s="113"/>
      <c r="Z126" s="133" t="str">
        <f t="shared" si="9"/>
        <v/>
      </c>
      <c r="AA126" s="133"/>
      <c r="AB126" s="133"/>
      <c r="AC126" s="133"/>
      <c r="AD126" s="119"/>
      <c r="AI126" s="117" t="s">
        <v>6190</v>
      </c>
      <c r="AJ126" s="117"/>
      <c r="AK126" s="117"/>
      <c r="AL126" s="117"/>
      <c r="AM126" s="118"/>
      <c r="AN126" s="119" t="str">
        <f>IFERROR(AN127/F38,"")</f>
        <v/>
      </c>
      <c r="AO126" s="120"/>
      <c r="AP126" s="120"/>
      <c r="AQ126" s="120"/>
      <c r="AR126" s="120"/>
    </row>
    <row r="127" spans="2:49" ht="21" customHeight="1" thickBot="1" x14ac:dyDescent="0.3">
      <c r="B127" s="142" t="s">
        <v>6180</v>
      </c>
      <c r="C127" s="133"/>
      <c r="D127" s="133"/>
      <c r="E127" s="133"/>
      <c r="F127" s="133"/>
      <c r="G127" s="133"/>
      <c r="H127" s="133"/>
      <c r="I127" s="133"/>
      <c r="J127" s="133"/>
      <c r="K127" s="133"/>
      <c r="L127" s="132" t="s">
        <v>6186</v>
      </c>
      <c r="M127" s="132"/>
      <c r="N127" s="132"/>
      <c r="O127" s="132"/>
      <c r="P127" s="132"/>
      <c r="Q127" s="132"/>
      <c r="R127" s="132"/>
      <c r="S127" s="132"/>
      <c r="T127" s="132"/>
      <c r="U127" s="113"/>
      <c r="V127" s="113"/>
      <c r="W127" s="113"/>
      <c r="X127" s="113"/>
      <c r="Y127" s="113"/>
      <c r="Z127" s="133" t="str">
        <f t="shared" si="9"/>
        <v/>
      </c>
      <c r="AA127" s="133"/>
      <c r="AB127" s="133"/>
      <c r="AC127" s="133"/>
      <c r="AD127" s="119"/>
      <c r="AI127" s="291" t="s">
        <v>6162</v>
      </c>
      <c r="AJ127" s="291"/>
      <c r="AK127" s="291"/>
      <c r="AL127" s="291"/>
      <c r="AM127" s="292"/>
      <c r="AN127" s="116" t="str">
        <f>IF(AN125="","",_xlfn.XLOOKUP(AN124,$B$119:$AW$119,$B$120:$AW$120)*AN125)</f>
        <v/>
      </c>
      <c r="AO127" s="180"/>
      <c r="AP127" s="180"/>
      <c r="AQ127" s="180"/>
      <c r="AR127" s="180"/>
    </row>
    <row r="128" spans="2:49" ht="21" customHeight="1" thickBot="1" x14ac:dyDescent="0.3">
      <c r="B128" s="142" t="s">
        <v>6181</v>
      </c>
      <c r="C128" s="133"/>
      <c r="D128" s="133"/>
      <c r="E128" s="133"/>
      <c r="F128" s="133"/>
      <c r="G128" s="133"/>
      <c r="H128" s="133"/>
      <c r="I128" s="133"/>
      <c r="J128" s="133"/>
      <c r="K128" s="133"/>
      <c r="L128" s="132" t="s">
        <v>6186</v>
      </c>
      <c r="M128" s="132"/>
      <c r="N128" s="132"/>
      <c r="O128" s="132"/>
      <c r="P128" s="132"/>
      <c r="Q128" s="132"/>
      <c r="R128" s="132"/>
      <c r="S128" s="132"/>
      <c r="T128" s="132"/>
      <c r="U128" s="113"/>
      <c r="V128" s="113"/>
      <c r="W128" s="113"/>
      <c r="X128" s="113"/>
      <c r="Y128" s="113"/>
      <c r="Z128" s="133" t="str">
        <f t="shared" si="9"/>
        <v/>
      </c>
      <c r="AA128" s="133"/>
      <c r="AB128" s="133"/>
      <c r="AC128" s="133"/>
      <c r="AD128" s="119"/>
    </row>
    <row r="129" spans="2:49" ht="21" customHeight="1" thickBot="1" x14ac:dyDescent="0.3">
      <c r="B129" s="142" t="s">
        <v>6182</v>
      </c>
      <c r="C129" s="133"/>
      <c r="D129" s="133"/>
      <c r="E129" s="133"/>
      <c r="F129" s="133"/>
      <c r="G129" s="133"/>
      <c r="H129" s="133"/>
      <c r="I129" s="133"/>
      <c r="J129" s="133"/>
      <c r="K129" s="133"/>
      <c r="L129" s="132" t="s">
        <v>6187</v>
      </c>
      <c r="M129" s="132"/>
      <c r="N129" s="132"/>
      <c r="O129" s="132"/>
      <c r="P129" s="132"/>
      <c r="Q129" s="132"/>
      <c r="R129" s="132"/>
      <c r="S129" s="132"/>
      <c r="T129" s="132"/>
      <c r="U129" s="113"/>
      <c r="V129" s="113"/>
      <c r="W129" s="113"/>
      <c r="X129" s="113"/>
      <c r="Y129" s="113"/>
      <c r="Z129" s="133" t="str">
        <f t="shared" si="9"/>
        <v/>
      </c>
      <c r="AA129" s="133"/>
      <c r="AB129" s="133"/>
      <c r="AC129" s="133"/>
      <c r="AD129" s="119"/>
      <c r="AI129" s="174" t="s">
        <v>6174</v>
      </c>
      <c r="AJ129" s="174"/>
      <c r="AK129" s="174"/>
      <c r="AL129" s="174"/>
      <c r="AM129" s="174"/>
      <c r="AN129" s="174"/>
      <c r="AO129" s="174"/>
      <c r="AP129" s="174"/>
      <c r="AQ129" s="174"/>
      <c r="AR129" s="174"/>
    </row>
    <row r="130" spans="2:49" ht="21" customHeight="1" thickBot="1" x14ac:dyDescent="0.3">
      <c r="B130" s="142" t="s">
        <v>6183</v>
      </c>
      <c r="C130" s="133"/>
      <c r="D130" s="133"/>
      <c r="E130" s="133"/>
      <c r="F130" s="133"/>
      <c r="G130" s="133"/>
      <c r="H130" s="133"/>
      <c r="I130" s="133"/>
      <c r="J130" s="133"/>
      <c r="K130" s="133"/>
      <c r="L130" s="132" t="s">
        <v>6186</v>
      </c>
      <c r="M130" s="132"/>
      <c r="N130" s="132"/>
      <c r="O130" s="132"/>
      <c r="P130" s="132"/>
      <c r="Q130" s="132"/>
      <c r="R130" s="132"/>
      <c r="S130" s="132"/>
      <c r="T130" s="132"/>
      <c r="U130" s="113"/>
      <c r="V130" s="113"/>
      <c r="W130" s="113"/>
      <c r="X130" s="113"/>
      <c r="Y130" s="113"/>
      <c r="Z130" s="133" t="str">
        <f t="shared" si="9"/>
        <v/>
      </c>
      <c r="AA130" s="133"/>
      <c r="AB130" s="133"/>
      <c r="AC130" s="133"/>
      <c r="AD130" s="119"/>
      <c r="AI130" s="117" t="s">
        <v>6188</v>
      </c>
      <c r="AJ130" s="117"/>
      <c r="AK130" s="117"/>
      <c r="AL130" s="117"/>
      <c r="AM130" s="118"/>
      <c r="AN130" s="119">
        <f>N60</f>
        <v>0</v>
      </c>
      <c r="AO130" s="120"/>
      <c r="AP130" s="120"/>
      <c r="AQ130" s="120"/>
      <c r="AR130" s="120"/>
    </row>
    <row r="131" spans="2:49" ht="21" customHeight="1" thickBot="1" x14ac:dyDescent="0.3">
      <c r="B131" s="142" t="s">
        <v>6184</v>
      </c>
      <c r="C131" s="133"/>
      <c r="D131" s="133"/>
      <c r="E131" s="133"/>
      <c r="F131" s="133"/>
      <c r="G131" s="133"/>
      <c r="H131" s="133"/>
      <c r="I131" s="133"/>
      <c r="J131" s="133"/>
      <c r="K131" s="133"/>
      <c r="L131" s="132" t="s">
        <v>6186</v>
      </c>
      <c r="M131" s="132"/>
      <c r="N131" s="132"/>
      <c r="O131" s="132"/>
      <c r="P131" s="132"/>
      <c r="Q131" s="132"/>
      <c r="R131" s="132"/>
      <c r="S131" s="132"/>
      <c r="T131" s="132"/>
      <c r="U131" s="113"/>
      <c r="V131" s="113"/>
      <c r="W131" s="113"/>
      <c r="X131" s="113"/>
      <c r="Y131" s="113"/>
      <c r="Z131" s="133" t="str">
        <f t="shared" si="9"/>
        <v/>
      </c>
      <c r="AA131" s="133"/>
      <c r="AB131" s="133"/>
      <c r="AC131" s="133"/>
      <c r="AD131" s="119"/>
      <c r="AI131" s="117" t="s">
        <v>6160</v>
      </c>
      <c r="AJ131" s="117"/>
      <c r="AK131" s="117"/>
      <c r="AL131" s="117"/>
      <c r="AM131" s="118"/>
      <c r="AN131" s="293"/>
      <c r="AO131" s="294"/>
      <c r="AP131" s="294"/>
      <c r="AQ131" s="294"/>
      <c r="AR131" s="294"/>
    </row>
    <row r="132" spans="2:49" ht="21" customHeight="1" thickBot="1" x14ac:dyDescent="0.3">
      <c r="B132" s="172" t="s">
        <v>6249</v>
      </c>
      <c r="C132" s="115"/>
      <c r="D132" s="115"/>
      <c r="E132" s="115"/>
      <c r="F132" s="115"/>
      <c r="G132" s="115"/>
      <c r="H132" s="115"/>
      <c r="I132" s="115"/>
      <c r="J132" s="115"/>
      <c r="K132" s="115"/>
      <c r="L132" s="263" t="s">
        <v>6186</v>
      </c>
      <c r="M132" s="263"/>
      <c r="N132" s="263"/>
      <c r="O132" s="263"/>
      <c r="P132" s="263"/>
      <c r="Q132" s="263"/>
      <c r="R132" s="263"/>
      <c r="S132" s="263"/>
      <c r="T132" s="263"/>
      <c r="U132" s="114"/>
      <c r="V132" s="114"/>
      <c r="W132" s="114"/>
      <c r="X132" s="114"/>
      <c r="Y132" s="114"/>
      <c r="Z132" s="115" t="str">
        <f t="shared" si="9"/>
        <v/>
      </c>
      <c r="AA132" s="115"/>
      <c r="AB132" s="115"/>
      <c r="AC132" s="115"/>
      <c r="AD132" s="116"/>
      <c r="AI132" s="117" t="s">
        <v>6189</v>
      </c>
      <c r="AJ132" s="117"/>
      <c r="AK132" s="117"/>
      <c r="AL132" s="117"/>
      <c r="AM132" s="118"/>
      <c r="AN132" s="119">
        <f>(POWER(1+AN131,1/12)-1)*AN130</f>
        <v>0</v>
      </c>
      <c r="AO132" s="120"/>
      <c r="AP132" s="120"/>
      <c r="AQ132" s="120"/>
      <c r="AR132" s="120"/>
    </row>
    <row r="133" spans="2:49" ht="21" customHeight="1" x14ac:dyDescent="0.25">
      <c r="B133" s="172" t="s">
        <v>6185</v>
      </c>
      <c r="C133" s="115"/>
      <c r="D133" s="115"/>
      <c r="E133" s="115"/>
      <c r="F133" s="115"/>
      <c r="G133" s="115"/>
      <c r="H133" s="115"/>
      <c r="I133" s="115"/>
      <c r="J133" s="115"/>
      <c r="K133" s="115"/>
      <c r="L133" s="263" t="s">
        <v>6186</v>
      </c>
      <c r="M133" s="263"/>
      <c r="N133" s="263"/>
      <c r="O133" s="263"/>
      <c r="P133" s="263"/>
      <c r="Q133" s="263"/>
      <c r="R133" s="263"/>
      <c r="S133" s="263"/>
      <c r="T133" s="263"/>
      <c r="U133" s="114"/>
      <c r="V133" s="114"/>
      <c r="W133" s="114"/>
      <c r="X133" s="114"/>
      <c r="Y133" s="114"/>
      <c r="Z133" s="115" t="str">
        <f t="shared" si="9"/>
        <v/>
      </c>
      <c r="AA133" s="115"/>
      <c r="AB133" s="115"/>
      <c r="AC133" s="115"/>
      <c r="AD133" s="116"/>
      <c r="AI133" s="291" t="s">
        <v>6162</v>
      </c>
      <c r="AJ133" s="291"/>
      <c r="AK133" s="291"/>
      <c r="AL133" s="291"/>
      <c r="AM133" s="292"/>
      <c r="AN133" s="116">
        <f>AN132*(F32+F38+F39)</f>
        <v>0</v>
      </c>
      <c r="AO133" s="180"/>
      <c r="AP133" s="180"/>
      <c r="AQ133" s="180"/>
      <c r="AR133" s="180"/>
    </row>
    <row r="134" spans="2:49" ht="3.75" customHeight="1" x14ac:dyDescent="0.25"/>
    <row r="135" spans="2:49" ht="21" customHeight="1" x14ac:dyDescent="0.25">
      <c r="U135" s="109" t="s">
        <v>6037</v>
      </c>
      <c r="V135" s="110"/>
      <c r="W135" s="110"/>
      <c r="X135" s="110"/>
      <c r="Y135" s="110"/>
      <c r="Z135" s="111">
        <f>SUM(Z123:AD133)</f>
        <v>0</v>
      </c>
      <c r="AA135" s="111"/>
      <c r="AB135" s="111"/>
      <c r="AC135" s="111"/>
      <c r="AD135" s="112"/>
    </row>
    <row r="136" spans="2:49" ht="18.75" customHeight="1" x14ac:dyDescent="0.25"/>
    <row r="137" spans="2:49" ht="26.25" customHeight="1" x14ac:dyDescent="0.25">
      <c r="B137" s="94" t="s">
        <v>6175</v>
      </c>
      <c r="C137" s="47"/>
      <c r="D137" s="47"/>
      <c r="E137" s="47"/>
      <c r="F137" s="47"/>
      <c r="G137" s="47"/>
      <c r="H137" s="47"/>
      <c r="I137" s="47"/>
      <c r="J137" s="70"/>
      <c r="K137" s="70"/>
      <c r="L137" s="70"/>
      <c r="M137" s="70"/>
      <c r="N137" s="70"/>
      <c r="O137" s="70"/>
      <c r="P137" s="70"/>
      <c r="Q137" s="70"/>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row>
    <row r="138" spans="2:49" ht="3.75" customHeight="1" x14ac:dyDescent="0.25">
      <c r="J138" s="69"/>
      <c r="K138" s="69"/>
      <c r="L138" s="69"/>
      <c r="M138" s="69"/>
      <c r="N138" s="69"/>
      <c r="O138" s="69"/>
      <c r="P138" s="69"/>
      <c r="Q138" s="69"/>
    </row>
    <row r="139" spans="2:49" ht="21" customHeight="1" thickBot="1" x14ac:dyDescent="0.3">
      <c r="B139" s="134" t="s">
        <v>6169</v>
      </c>
      <c r="C139" s="135"/>
      <c r="D139" s="135"/>
      <c r="E139" s="135"/>
      <c r="F139" s="135"/>
      <c r="G139" s="135"/>
      <c r="H139" s="135"/>
      <c r="I139" s="135"/>
      <c r="J139" s="135"/>
      <c r="K139" s="135"/>
      <c r="L139" s="135" t="s">
        <v>6170</v>
      </c>
      <c r="M139" s="135"/>
      <c r="N139" s="135"/>
      <c r="O139" s="135"/>
      <c r="P139" s="135"/>
      <c r="Q139" s="135"/>
      <c r="R139" s="135"/>
      <c r="S139" s="135"/>
      <c r="T139" s="135"/>
      <c r="U139" s="135" t="s">
        <v>6171</v>
      </c>
      <c r="V139" s="135"/>
      <c r="W139" s="135"/>
      <c r="X139" s="135"/>
      <c r="Y139" s="135"/>
      <c r="Z139" s="135" t="s">
        <v>6172</v>
      </c>
      <c r="AA139" s="135"/>
      <c r="AB139" s="135"/>
      <c r="AC139" s="135"/>
      <c r="AD139" s="136"/>
    </row>
    <row r="140" spans="2:49" ht="21" customHeight="1" thickBot="1" x14ac:dyDescent="0.3">
      <c r="B140" s="142" t="s">
        <v>6192</v>
      </c>
      <c r="C140" s="133"/>
      <c r="D140" s="133"/>
      <c r="E140" s="133"/>
      <c r="F140" s="133"/>
      <c r="G140" s="133"/>
      <c r="H140" s="133"/>
      <c r="I140" s="133"/>
      <c r="J140" s="133"/>
      <c r="K140" s="133"/>
      <c r="L140" s="132" t="s">
        <v>6186</v>
      </c>
      <c r="M140" s="132"/>
      <c r="N140" s="132"/>
      <c r="O140" s="132"/>
      <c r="P140" s="132"/>
      <c r="Q140" s="132"/>
      <c r="R140" s="132"/>
      <c r="S140" s="132"/>
      <c r="T140" s="132"/>
      <c r="U140" s="113"/>
      <c r="V140" s="113"/>
      <c r="W140" s="113"/>
      <c r="X140" s="113"/>
      <c r="Y140" s="113"/>
      <c r="Z140" s="133" t="str">
        <f>IF(U140="","",_xlfn.XLOOKUP(L140,$B$119:$AW$119,$B$120:$AW$120)*U140)</f>
        <v/>
      </c>
      <c r="AA140" s="133"/>
      <c r="AB140" s="133"/>
      <c r="AC140" s="133"/>
      <c r="AD140" s="119"/>
    </row>
    <row r="141" spans="2:49" ht="21" customHeight="1" x14ac:dyDescent="0.25">
      <c r="B141" s="172" t="s">
        <v>6193</v>
      </c>
      <c r="C141" s="115"/>
      <c r="D141" s="115"/>
      <c r="E141" s="115"/>
      <c r="F141" s="115"/>
      <c r="G141" s="115"/>
      <c r="H141" s="115"/>
      <c r="I141" s="115"/>
      <c r="J141" s="115"/>
      <c r="K141" s="115"/>
      <c r="L141" s="263" t="s">
        <v>6186</v>
      </c>
      <c r="M141" s="263"/>
      <c r="N141" s="263"/>
      <c r="O141" s="263"/>
      <c r="P141" s="263"/>
      <c r="Q141" s="263"/>
      <c r="R141" s="263"/>
      <c r="S141" s="263"/>
      <c r="T141" s="263"/>
      <c r="U141" s="114"/>
      <c r="V141" s="114"/>
      <c r="W141" s="114"/>
      <c r="X141" s="114"/>
      <c r="Y141" s="114"/>
      <c r="Z141" s="115" t="str">
        <f>IF(U141="","",_xlfn.XLOOKUP(L141,$B$119:$AW$119,$B$120:$AW$120)*U141)</f>
        <v/>
      </c>
      <c r="AA141" s="115"/>
      <c r="AB141" s="115"/>
      <c r="AC141" s="115"/>
      <c r="AD141" s="116"/>
    </row>
    <row r="142" spans="2:49" ht="18.75" customHeight="1" x14ac:dyDescent="0.25"/>
    <row r="143" spans="2:49" ht="26.25" customHeight="1" x14ac:dyDescent="0.25">
      <c r="B143" s="94" t="s">
        <v>6191</v>
      </c>
      <c r="C143" s="47"/>
      <c r="D143" s="47"/>
      <c r="E143" s="47"/>
      <c r="F143" s="47"/>
      <c r="G143" s="47"/>
      <c r="H143" s="47"/>
      <c r="I143" s="47"/>
      <c r="J143" s="70"/>
      <c r="K143" s="70"/>
      <c r="L143" s="70"/>
      <c r="M143" s="70"/>
      <c r="N143" s="70"/>
      <c r="O143" s="70"/>
      <c r="P143" s="70"/>
      <c r="Q143" s="70"/>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row>
    <row r="144" spans="2:49" ht="3.75" customHeight="1" x14ac:dyDescent="0.25">
      <c r="J144" s="69"/>
      <c r="K144" s="69"/>
      <c r="L144" s="69"/>
      <c r="M144" s="69"/>
      <c r="N144" s="69"/>
      <c r="O144" s="69"/>
      <c r="P144" s="69"/>
      <c r="Q144" s="69"/>
    </row>
    <row r="145" spans="2:49" ht="21" customHeight="1" thickBot="1" x14ac:dyDescent="0.3">
      <c r="B145" s="134" t="s">
        <v>6169</v>
      </c>
      <c r="C145" s="135"/>
      <c r="D145" s="135"/>
      <c r="E145" s="135"/>
      <c r="F145" s="135"/>
      <c r="G145" s="135"/>
      <c r="H145" s="135"/>
      <c r="I145" s="135"/>
      <c r="J145" s="135"/>
      <c r="K145" s="135"/>
      <c r="L145" s="135" t="s">
        <v>6170</v>
      </c>
      <c r="M145" s="135"/>
      <c r="N145" s="135"/>
      <c r="O145" s="135"/>
      <c r="P145" s="135"/>
      <c r="Q145" s="135"/>
      <c r="R145" s="135"/>
      <c r="S145" s="135"/>
      <c r="T145" s="135"/>
      <c r="U145" s="135" t="s">
        <v>6171</v>
      </c>
      <c r="V145" s="135"/>
      <c r="W145" s="135"/>
      <c r="X145" s="135"/>
      <c r="Y145" s="135"/>
      <c r="Z145" s="135" t="s">
        <v>6172</v>
      </c>
      <c r="AA145" s="135"/>
      <c r="AB145" s="135"/>
      <c r="AC145" s="135"/>
      <c r="AD145" s="136"/>
    </row>
    <row r="146" spans="2:49" ht="21" customHeight="1" thickBot="1" x14ac:dyDescent="0.3">
      <c r="B146" s="142" t="s">
        <v>6196</v>
      </c>
      <c r="C146" s="133"/>
      <c r="D146" s="133"/>
      <c r="E146" s="133"/>
      <c r="F146" s="133"/>
      <c r="G146" s="133"/>
      <c r="H146" s="133"/>
      <c r="I146" s="133"/>
      <c r="J146" s="133"/>
      <c r="K146" s="133"/>
      <c r="L146" s="132" t="s">
        <v>6195</v>
      </c>
      <c r="M146" s="132"/>
      <c r="N146" s="132"/>
      <c r="O146" s="132"/>
      <c r="P146" s="132"/>
      <c r="Q146" s="132"/>
      <c r="R146" s="132"/>
      <c r="S146" s="132"/>
      <c r="T146" s="132"/>
      <c r="U146" s="113"/>
      <c r="V146" s="113"/>
      <c r="W146" s="113"/>
      <c r="X146" s="113"/>
      <c r="Y146" s="113"/>
      <c r="Z146" s="133" t="str">
        <f>IF(U146="","",_xlfn.XLOOKUP(L146,$B$119:$AW$119,$B$120:$AW$120)*U146)</f>
        <v/>
      </c>
      <c r="AA146" s="133"/>
      <c r="AB146" s="133"/>
      <c r="AC146" s="133"/>
      <c r="AD146" s="119"/>
      <c r="AI146" s="134" t="s">
        <v>6173</v>
      </c>
      <c r="AJ146" s="135"/>
      <c r="AK146" s="135"/>
      <c r="AL146" s="135"/>
      <c r="AM146" s="135"/>
      <c r="AN146" s="135"/>
      <c r="AO146" s="135"/>
      <c r="AP146" s="135"/>
      <c r="AQ146" s="135"/>
      <c r="AR146" s="135"/>
      <c r="AS146" s="136"/>
    </row>
    <row r="147" spans="2:49" ht="21" customHeight="1" thickBot="1" x14ac:dyDescent="0.3">
      <c r="B147" s="142" t="s">
        <v>6197</v>
      </c>
      <c r="C147" s="133"/>
      <c r="D147" s="133"/>
      <c r="E147" s="133"/>
      <c r="F147" s="133"/>
      <c r="G147" s="133"/>
      <c r="H147" s="133"/>
      <c r="I147" s="133"/>
      <c r="J147" s="133"/>
      <c r="K147" s="133"/>
      <c r="L147" s="132" t="s">
        <v>6195</v>
      </c>
      <c r="M147" s="132"/>
      <c r="N147" s="132"/>
      <c r="O147" s="132"/>
      <c r="P147" s="132"/>
      <c r="Q147" s="132"/>
      <c r="R147" s="132"/>
      <c r="S147" s="132"/>
      <c r="T147" s="132"/>
      <c r="U147" s="113"/>
      <c r="V147" s="113"/>
      <c r="W147" s="113"/>
      <c r="X147" s="113"/>
      <c r="Y147" s="113"/>
      <c r="Z147" s="133" t="str">
        <f t="shared" ref="Z147:Z152" si="10">IF(U147="","",_xlfn.XLOOKUP(L147,$B$119:$AW$119,$B$120:$AW$120)*U147)</f>
        <v/>
      </c>
      <c r="AA147" s="133"/>
      <c r="AB147" s="133"/>
      <c r="AC147" s="133"/>
      <c r="AD147" s="119"/>
      <c r="AI147" s="118" t="s">
        <v>6188</v>
      </c>
      <c r="AJ147" s="152"/>
      <c r="AK147" s="152"/>
      <c r="AL147" s="152"/>
      <c r="AM147" s="152"/>
      <c r="AN147" s="264" t="s">
        <v>6195</v>
      </c>
      <c r="AO147" s="264"/>
      <c r="AP147" s="264"/>
      <c r="AQ147" s="264"/>
      <c r="AR147" s="264"/>
      <c r="AS147" s="140"/>
    </row>
    <row r="148" spans="2:49" ht="21" customHeight="1" thickBot="1" x14ac:dyDescent="0.3">
      <c r="B148" s="142" t="s">
        <v>6198</v>
      </c>
      <c r="C148" s="133"/>
      <c r="D148" s="133"/>
      <c r="E148" s="133"/>
      <c r="F148" s="133"/>
      <c r="G148" s="133"/>
      <c r="H148" s="133"/>
      <c r="I148" s="133"/>
      <c r="J148" s="133"/>
      <c r="K148" s="133"/>
      <c r="L148" s="132" t="s">
        <v>6195</v>
      </c>
      <c r="M148" s="132"/>
      <c r="N148" s="132"/>
      <c r="O148" s="132"/>
      <c r="P148" s="132"/>
      <c r="Q148" s="132"/>
      <c r="R148" s="132"/>
      <c r="S148" s="132"/>
      <c r="T148" s="132"/>
      <c r="U148" s="113"/>
      <c r="V148" s="113"/>
      <c r="W148" s="113"/>
      <c r="X148" s="113"/>
      <c r="Y148" s="113"/>
      <c r="Z148" s="133" t="str">
        <f t="shared" si="10"/>
        <v/>
      </c>
      <c r="AA148" s="133"/>
      <c r="AB148" s="133"/>
      <c r="AC148" s="133"/>
      <c r="AD148" s="119"/>
      <c r="AI148" s="118" t="s">
        <v>6204</v>
      </c>
      <c r="AJ148" s="152"/>
      <c r="AK148" s="152"/>
      <c r="AL148" s="152"/>
      <c r="AM148" s="152"/>
      <c r="AN148" s="113"/>
      <c r="AO148" s="113"/>
      <c r="AP148" s="133" t="str">
        <f>IF(AN148="","",_xlfn.XLOOKUP(AN147,$B$119:$AW$119,$B$120:$AW$120)*AN148)</f>
        <v/>
      </c>
      <c r="AQ148" s="133"/>
      <c r="AR148" s="133"/>
      <c r="AS148" s="119"/>
    </row>
    <row r="149" spans="2:49" ht="21" customHeight="1" thickBot="1" x14ac:dyDescent="0.3">
      <c r="B149" s="142" t="s">
        <v>6199</v>
      </c>
      <c r="C149" s="133"/>
      <c r="D149" s="133"/>
      <c r="E149" s="133"/>
      <c r="F149" s="133"/>
      <c r="G149" s="133"/>
      <c r="H149" s="133"/>
      <c r="I149" s="133"/>
      <c r="J149" s="133"/>
      <c r="K149" s="133"/>
      <c r="L149" s="132" t="s">
        <v>6195</v>
      </c>
      <c r="M149" s="132"/>
      <c r="N149" s="132"/>
      <c r="O149" s="132"/>
      <c r="P149" s="132"/>
      <c r="Q149" s="132"/>
      <c r="R149" s="132"/>
      <c r="S149" s="132"/>
      <c r="T149" s="132"/>
      <c r="U149" s="113"/>
      <c r="V149" s="113"/>
      <c r="W149" s="113"/>
      <c r="X149" s="113"/>
      <c r="Y149" s="113"/>
      <c r="Z149" s="133" t="str">
        <f t="shared" si="10"/>
        <v/>
      </c>
      <c r="AA149" s="133"/>
      <c r="AB149" s="133"/>
      <c r="AC149" s="133"/>
      <c r="AD149" s="119"/>
      <c r="AI149" s="118" t="s">
        <v>6196</v>
      </c>
      <c r="AJ149" s="152"/>
      <c r="AK149" s="152"/>
      <c r="AL149" s="152"/>
      <c r="AM149" s="152"/>
      <c r="AN149" s="113"/>
      <c r="AO149" s="113"/>
      <c r="AP149" s="133" t="str">
        <f>IF(AN149="","",AN149*AP148)</f>
        <v/>
      </c>
      <c r="AQ149" s="133"/>
      <c r="AR149" s="133"/>
      <c r="AS149" s="119"/>
    </row>
    <row r="150" spans="2:49" ht="21" customHeight="1" thickBot="1" x14ac:dyDescent="0.3">
      <c r="B150" s="142" t="s">
        <v>6200</v>
      </c>
      <c r="C150" s="133"/>
      <c r="D150" s="133"/>
      <c r="E150" s="133"/>
      <c r="F150" s="133"/>
      <c r="G150" s="133"/>
      <c r="H150" s="133"/>
      <c r="I150" s="133"/>
      <c r="J150" s="133"/>
      <c r="K150" s="133"/>
      <c r="L150" s="132" t="s">
        <v>6195</v>
      </c>
      <c r="M150" s="132"/>
      <c r="N150" s="132"/>
      <c r="O150" s="132"/>
      <c r="P150" s="132"/>
      <c r="Q150" s="132"/>
      <c r="R150" s="132"/>
      <c r="S150" s="132"/>
      <c r="T150" s="132"/>
      <c r="U150" s="113"/>
      <c r="V150" s="113"/>
      <c r="W150" s="113"/>
      <c r="X150" s="113"/>
      <c r="Y150" s="113"/>
      <c r="Z150" s="133" t="str">
        <f t="shared" si="10"/>
        <v/>
      </c>
      <c r="AA150" s="133"/>
      <c r="AB150" s="133"/>
      <c r="AC150" s="133"/>
      <c r="AD150" s="119"/>
      <c r="AI150" s="118" t="s">
        <v>6205</v>
      </c>
      <c r="AJ150" s="152"/>
      <c r="AK150" s="152"/>
      <c r="AL150" s="152"/>
      <c r="AM150" s="152"/>
      <c r="AN150" s="113"/>
      <c r="AO150" s="113"/>
      <c r="AP150" s="133" t="str">
        <f>IF(AN150="","",AN150*AP148)</f>
        <v/>
      </c>
      <c r="AQ150" s="133"/>
      <c r="AR150" s="133"/>
      <c r="AS150" s="119"/>
    </row>
    <row r="151" spans="2:49" ht="21" customHeight="1" thickBot="1" x14ac:dyDescent="0.3">
      <c r="B151" s="142" t="s">
        <v>6201</v>
      </c>
      <c r="C151" s="133"/>
      <c r="D151" s="133"/>
      <c r="E151" s="133"/>
      <c r="F151" s="133"/>
      <c r="G151" s="133"/>
      <c r="H151" s="133"/>
      <c r="I151" s="133"/>
      <c r="J151" s="133"/>
      <c r="K151" s="133"/>
      <c r="L151" s="132" t="s">
        <v>6195</v>
      </c>
      <c r="M151" s="132"/>
      <c r="N151" s="132"/>
      <c r="O151" s="132"/>
      <c r="P151" s="132"/>
      <c r="Q151" s="132"/>
      <c r="R151" s="132"/>
      <c r="S151" s="132"/>
      <c r="T151" s="132"/>
      <c r="U151" s="113"/>
      <c r="V151" s="113"/>
      <c r="W151" s="113"/>
      <c r="X151" s="113"/>
      <c r="Y151" s="113"/>
      <c r="Z151" s="133" t="str">
        <f t="shared" si="10"/>
        <v/>
      </c>
      <c r="AA151" s="133"/>
      <c r="AB151" s="133"/>
      <c r="AC151" s="133"/>
      <c r="AD151" s="119"/>
      <c r="AI151" s="292" t="s">
        <v>6206</v>
      </c>
      <c r="AJ151" s="295"/>
      <c r="AK151" s="295"/>
      <c r="AL151" s="295"/>
      <c r="AM151" s="295"/>
      <c r="AN151" s="114"/>
      <c r="AO151" s="114"/>
      <c r="AP151" s="115" t="str">
        <f>IF(AN150="","",AN151*AP150)</f>
        <v/>
      </c>
      <c r="AQ151" s="115"/>
      <c r="AR151" s="115"/>
      <c r="AS151" s="116"/>
    </row>
    <row r="152" spans="2:49" ht="21" customHeight="1" x14ac:dyDescent="0.25">
      <c r="B152" s="172" t="s">
        <v>6202</v>
      </c>
      <c r="C152" s="115"/>
      <c r="D152" s="115"/>
      <c r="E152" s="115"/>
      <c r="F152" s="115"/>
      <c r="G152" s="115"/>
      <c r="H152" s="115"/>
      <c r="I152" s="115"/>
      <c r="J152" s="115"/>
      <c r="K152" s="115"/>
      <c r="L152" s="263" t="s">
        <v>6195</v>
      </c>
      <c r="M152" s="263"/>
      <c r="N152" s="263"/>
      <c r="O152" s="263"/>
      <c r="P152" s="263"/>
      <c r="Q152" s="263"/>
      <c r="R152" s="263"/>
      <c r="S152" s="263"/>
      <c r="T152" s="263"/>
      <c r="U152" s="114"/>
      <c r="V152" s="114"/>
      <c r="W152" s="114"/>
      <c r="X152" s="114"/>
      <c r="Y152" s="114"/>
      <c r="Z152" s="115" t="str">
        <f t="shared" si="10"/>
        <v/>
      </c>
      <c r="AA152" s="115"/>
      <c r="AB152" s="115"/>
      <c r="AC152" s="115"/>
      <c r="AD152" s="116"/>
    </row>
    <row r="153" spans="2:49" ht="3.75" customHeight="1" x14ac:dyDescent="0.25"/>
    <row r="154" spans="2:49" ht="21" customHeight="1" x14ac:dyDescent="0.25">
      <c r="U154" s="109" t="s">
        <v>6037</v>
      </c>
      <c r="V154" s="110"/>
      <c r="W154" s="110"/>
      <c r="X154" s="110"/>
      <c r="Y154" s="110"/>
      <c r="Z154" s="111">
        <f>SUM(Z146:AD152)</f>
        <v>0</v>
      </c>
      <c r="AA154" s="111"/>
      <c r="AB154" s="111"/>
      <c r="AC154" s="111"/>
      <c r="AD154" s="112"/>
    </row>
    <row r="155" spans="2:49" ht="18.75" customHeight="1" x14ac:dyDescent="0.25"/>
    <row r="156" spans="2:49" ht="26.25" customHeight="1" x14ac:dyDescent="0.25">
      <c r="B156" s="94" t="s">
        <v>6203</v>
      </c>
      <c r="C156" s="47"/>
      <c r="D156" s="47"/>
      <c r="E156" s="47"/>
      <c r="F156" s="47"/>
      <c r="G156" s="47"/>
      <c r="H156" s="47"/>
      <c r="I156" s="47"/>
      <c r="J156" s="70"/>
      <c r="K156" s="70"/>
      <c r="L156" s="70"/>
      <c r="M156" s="70"/>
      <c r="N156" s="70"/>
      <c r="O156" s="70"/>
      <c r="P156" s="70"/>
      <c r="Q156" s="70"/>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row>
    <row r="157" spans="2:49" ht="3.75" customHeight="1" x14ac:dyDescent="0.25">
      <c r="J157" s="69"/>
      <c r="K157" s="69"/>
      <c r="L157" s="69"/>
      <c r="M157" s="69"/>
      <c r="N157" s="69"/>
      <c r="O157" s="69"/>
      <c r="P157" s="69"/>
      <c r="Q157" s="69"/>
    </row>
    <row r="158" spans="2:49" ht="21" customHeight="1" thickBot="1" x14ac:dyDescent="0.3">
      <c r="B158" s="134" t="s">
        <v>6169</v>
      </c>
      <c r="C158" s="135"/>
      <c r="D158" s="135"/>
      <c r="E158" s="135"/>
      <c r="F158" s="135"/>
      <c r="G158" s="135"/>
      <c r="H158" s="135"/>
      <c r="I158" s="135"/>
      <c r="J158" s="135"/>
      <c r="K158" s="135"/>
      <c r="L158" s="135" t="s">
        <v>6170</v>
      </c>
      <c r="M158" s="135"/>
      <c r="N158" s="135"/>
      <c r="O158" s="135"/>
      <c r="P158" s="135"/>
      <c r="Q158" s="135"/>
      <c r="R158" s="135"/>
      <c r="S158" s="135"/>
      <c r="T158" s="135"/>
      <c r="U158" s="135" t="s">
        <v>6171</v>
      </c>
      <c r="V158" s="135"/>
      <c r="W158" s="135"/>
      <c r="X158" s="135"/>
      <c r="Y158" s="135"/>
      <c r="Z158" s="135" t="s">
        <v>6172</v>
      </c>
      <c r="AA158" s="135"/>
      <c r="AB158" s="135"/>
      <c r="AC158" s="135"/>
      <c r="AD158" s="136"/>
    </row>
    <row r="159" spans="2:49" ht="21" customHeight="1" thickBot="1" x14ac:dyDescent="0.3">
      <c r="B159" s="142" t="s">
        <v>6207</v>
      </c>
      <c r="C159" s="133"/>
      <c r="D159" s="133"/>
      <c r="E159" s="133"/>
      <c r="F159" s="133"/>
      <c r="G159" s="133"/>
      <c r="H159" s="133"/>
      <c r="I159" s="133"/>
      <c r="J159" s="133"/>
      <c r="K159" s="133"/>
      <c r="L159" s="132" t="s">
        <v>6186</v>
      </c>
      <c r="M159" s="132"/>
      <c r="N159" s="132"/>
      <c r="O159" s="132"/>
      <c r="P159" s="132"/>
      <c r="Q159" s="132"/>
      <c r="R159" s="132"/>
      <c r="S159" s="132"/>
      <c r="T159" s="132"/>
      <c r="U159" s="113"/>
      <c r="V159" s="113"/>
      <c r="W159" s="113"/>
      <c r="X159" s="113"/>
      <c r="Y159" s="113"/>
      <c r="Z159" s="133" t="str">
        <f>IF(U159="","",_xlfn.XLOOKUP(L159,$B$119:$AW$119,$B$120:$AW$120)*U159)</f>
        <v/>
      </c>
      <c r="AA159" s="133"/>
      <c r="AB159" s="133"/>
      <c r="AC159" s="133"/>
      <c r="AD159" s="119"/>
    </row>
    <row r="160" spans="2:49" ht="21" customHeight="1" thickBot="1" x14ac:dyDescent="0.3">
      <c r="B160" s="142" t="s">
        <v>6184</v>
      </c>
      <c r="C160" s="133"/>
      <c r="D160" s="133"/>
      <c r="E160" s="133"/>
      <c r="F160" s="133"/>
      <c r="G160" s="133"/>
      <c r="H160" s="133"/>
      <c r="I160" s="133"/>
      <c r="J160" s="133"/>
      <c r="K160" s="133"/>
      <c r="L160" s="132" t="s">
        <v>6186</v>
      </c>
      <c r="M160" s="132"/>
      <c r="N160" s="132"/>
      <c r="O160" s="132"/>
      <c r="P160" s="132"/>
      <c r="Q160" s="132"/>
      <c r="R160" s="132"/>
      <c r="S160" s="132"/>
      <c r="T160" s="132"/>
      <c r="U160" s="113"/>
      <c r="V160" s="113"/>
      <c r="W160" s="113"/>
      <c r="X160" s="113"/>
      <c r="Y160" s="113"/>
      <c r="Z160" s="133" t="str">
        <f t="shared" ref="Z160:Z162" si="11">IF(U160="","",_xlfn.XLOOKUP(L160,$B$119:$AW$119,$B$120:$AW$120)*U160)</f>
        <v/>
      </c>
      <c r="AA160" s="133"/>
      <c r="AB160" s="133"/>
      <c r="AC160" s="133"/>
      <c r="AD160" s="119"/>
    </row>
    <row r="161" spans="2:49" ht="21" customHeight="1" thickBot="1" x14ac:dyDescent="0.3">
      <c r="B161" s="142" t="s">
        <v>6208</v>
      </c>
      <c r="C161" s="133"/>
      <c r="D161" s="133"/>
      <c r="E161" s="133"/>
      <c r="F161" s="133"/>
      <c r="G161" s="133"/>
      <c r="H161" s="133"/>
      <c r="I161" s="133"/>
      <c r="J161" s="133"/>
      <c r="K161" s="133"/>
      <c r="L161" s="132" t="s">
        <v>6186</v>
      </c>
      <c r="M161" s="132"/>
      <c r="N161" s="132"/>
      <c r="O161" s="132"/>
      <c r="P161" s="132"/>
      <c r="Q161" s="132"/>
      <c r="R161" s="132"/>
      <c r="S161" s="132"/>
      <c r="T161" s="132"/>
      <c r="U161" s="113"/>
      <c r="V161" s="113"/>
      <c r="W161" s="113"/>
      <c r="X161" s="113"/>
      <c r="Y161" s="113"/>
      <c r="Z161" s="133" t="str">
        <f t="shared" si="11"/>
        <v/>
      </c>
      <c r="AA161" s="133"/>
      <c r="AB161" s="133"/>
      <c r="AC161" s="133"/>
      <c r="AD161" s="119"/>
    </row>
    <row r="162" spans="2:49" ht="21" customHeight="1" thickBot="1" x14ac:dyDescent="0.3">
      <c r="B162" s="142" t="s">
        <v>6202</v>
      </c>
      <c r="C162" s="133"/>
      <c r="D162" s="133"/>
      <c r="E162" s="133"/>
      <c r="F162" s="133"/>
      <c r="G162" s="133"/>
      <c r="H162" s="133"/>
      <c r="I162" s="133"/>
      <c r="J162" s="133"/>
      <c r="K162" s="133"/>
      <c r="L162" s="132" t="s">
        <v>6186</v>
      </c>
      <c r="M162" s="132"/>
      <c r="N162" s="132"/>
      <c r="O162" s="132"/>
      <c r="P162" s="132"/>
      <c r="Q162" s="132"/>
      <c r="R162" s="132"/>
      <c r="S162" s="132"/>
      <c r="T162" s="132"/>
      <c r="U162" s="113"/>
      <c r="V162" s="113"/>
      <c r="W162" s="113"/>
      <c r="X162" s="113"/>
      <c r="Y162" s="113"/>
      <c r="Z162" s="133" t="str">
        <f t="shared" si="11"/>
        <v/>
      </c>
      <c r="AA162" s="133"/>
      <c r="AB162" s="133"/>
      <c r="AC162" s="133"/>
      <c r="AD162" s="119"/>
    </row>
    <row r="163" spans="2:49" ht="3.75" customHeight="1" x14ac:dyDescent="0.25"/>
    <row r="164" spans="2:49" ht="21" customHeight="1" x14ac:dyDescent="0.25">
      <c r="U164" s="109" t="s">
        <v>6037</v>
      </c>
      <c r="V164" s="110"/>
      <c r="W164" s="110"/>
      <c r="X164" s="110"/>
      <c r="Y164" s="110"/>
      <c r="Z164" s="111">
        <f>SUM(Z159:AD162)</f>
        <v>0</v>
      </c>
      <c r="AA164" s="111"/>
      <c r="AB164" s="111"/>
      <c r="AC164" s="111"/>
      <c r="AD164" s="112"/>
    </row>
    <row r="165" spans="2:49" ht="18.75" customHeight="1" x14ac:dyDescent="0.25"/>
    <row r="166" spans="2:49" ht="26.25" customHeight="1" x14ac:dyDescent="0.25">
      <c r="B166" s="94" t="s">
        <v>6013</v>
      </c>
      <c r="C166" s="47"/>
      <c r="D166" s="47"/>
      <c r="E166" s="47"/>
      <c r="F166" s="47"/>
      <c r="G166" s="47"/>
      <c r="H166" s="47"/>
      <c r="I166" s="47"/>
      <c r="J166" s="70"/>
      <c r="K166" s="70"/>
      <c r="L166" s="70"/>
      <c r="M166" s="70"/>
      <c r="N166" s="70"/>
      <c r="O166" s="70"/>
      <c r="P166" s="70"/>
      <c r="Q166" s="70"/>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row>
    <row r="167" spans="2:49" ht="3.75" customHeight="1" x14ac:dyDescent="0.25">
      <c r="J167" s="69"/>
      <c r="K167" s="69"/>
      <c r="L167" s="69"/>
      <c r="M167" s="69"/>
      <c r="N167" s="69"/>
      <c r="O167" s="69"/>
      <c r="P167" s="69"/>
      <c r="Q167" s="69"/>
    </row>
    <row r="168" spans="2:49" ht="21" customHeight="1" thickBot="1" x14ac:dyDescent="0.3">
      <c r="B168" s="134" t="s">
        <v>6167</v>
      </c>
      <c r="C168" s="135"/>
      <c r="D168" s="135"/>
      <c r="E168" s="135"/>
      <c r="F168" s="135"/>
      <c r="G168" s="135"/>
      <c r="H168" s="135"/>
      <c r="I168" s="135"/>
      <c r="J168" s="135"/>
      <c r="K168" s="135"/>
      <c r="L168" s="135" t="s">
        <v>6021</v>
      </c>
      <c r="M168" s="135"/>
      <c r="N168" s="135"/>
      <c r="O168" s="135"/>
      <c r="P168" s="135"/>
      <c r="Q168" s="135"/>
      <c r="R168" s="135"/>
      <c r="S168" s="135"/>
      <c r="T168" s="135"/>
      <c r="U168" s="135" t="s">
        <v>6209</v>
      </c>
      <c r="V168" s="135"/>
      <c r="W168" s="135"/>
      <c r="X168" s="135"/>
      <c r="Y168" s="135"/>
      <c r="Z168" s="135"/>
      <c r="AA168" s="135"/>
      <c r="AB168" s="135"/>
      <c r="AC168" s="135"/>
      <c r="AD168" s="136"/>
    </row>
    <row r="169" spans="2:49" ht="21" customHeight="1" x14ac:dyDescent="0.25">
      <c r="B169" s="137">
        <f>AE120</f>
        <v>0</v>
      </c>
      <c r="C169" s="106"/>
      <c r="D169" s="106"/>
      <c r="E169" s="106"/>
      <c r="F169" s="106"/>
      <c r="G169" s="106"/>
      <c r="H169" s="106"/>
      <c r="I169" s="106"/>
      <c r="J169" s="106"/>
      <c r="K169" s="106"/>
      <c r="L169" s="106">
        <f>IF(Z146="",0,Z146)</f>
        <v>0</v>
      </c>
      <c r="M169" s="106"/>
      <c r="N169" s="106"/>
      <c r="O169" s="106"/>
      <c r="P169" s="106"/>
      <c r="Q169" s="106"/>
      <c r="R169" s="106"/>
      <c r="S169" s="106"/>
      <c r="T169" s="106"/>
      <c r="U169" s="106">
        <f>IF(Z147="",0,Z147)</f>
        <v>0</v>
      </c>
      <c r="V169" s="106"/>
      <c r="W169" s="106"/>
      <c r="X169" s="106"/>
      <c r="Y169" s="106"/>
      <c r="Z169" s="106"/>
      <c r="AA169" s="106"/>
      <c r="AB169" s="106"/>
      <c r="AC169" s="106"/>
      <c r="AD169" s="107"/>
    </row>
    <row r="170" spans="2:49" ht="18.75" customHeight="1" x14ac:dyDescent="0.25"/>
    <row r="171" spans="2:49" ht="21" customHeight="1" thickBot="1" x14ac:dyDescent="0.3">
      <c r="B171" s="134" t="s">
        <v>6170</v>
      </c>
      <c r="C171" s="135"/>
      <c r="D171" s="135"/>
      <c r="E171" s="135"/>
      <c r="F171" s="135"/>
      <c r="G171" s="135"/>
      <c r="H171" s="135"/>
      <c r="I171" s="135"/>
      <c r="J171" s="135"/>
      <c r="K171" s="135"/>
      <c r="L171" s="135" t="s">
        <v>6171</v>
      </c>
      <c r="M171" s="135"/>
      <c r="N171" s="135"/>
      <c r="O171" s="135"/>
      <c r="P171" s="135"/>
      <c r="Q171" s="135"/>
      <c r="R171" s="135"/>
      <c r="S171" s="135"/>
      <c r="T171" s="135"/>
      <c r="U171" s="135" t="s">
        <v>6172</v>
      </c>
      <c r="V171" s="135"/>
      <c r="W171" s="135"/>
      <c r="X171" s="135"/>
      <c r="Y171" s="135"/>
      <c r="Z171" s="135"/>
      <c r="AA171" s="135"/>
      <c r="AB171" s="135"/>
      <c r="AC171" s="135"/>
      <c r="AD171" s="136"/>
    </row>
    <row r="172" spans="2:49" ht="21" customHeight="1" x14ac:dyDescent="0.25">
      <c r="B172" s="269" t="s">
        <v>6211</v>
      </c>
      <c r="C172" s="263"/>
      <c r="D172" s="263"/>
      <c r="E172" s="263"/>
      <c r="F172" s="263"/>
      <c r="G172" s="263"/>
      <c r="H172" s="263"/>
      <c r="I172" s="263"/>
      <c r="J172" s="263"/>
      <c r="K172" s="263"/>
      <c r="L172" s="114"/>
      <c r="M172" s="114"/>
      <c r="N172" s="114"/>
      <c r="O172" s="114"/>
      <c r="P172" s="114"/>
      <c r="Q172" s="114"/>
      <c r="R172" s="114"/>
      <c r="S172" s="114"/>
      <c r="T172" s="114"/>
      <c r="U172" s="115" t="str">
        <f>IF(L172="","",IF(B172="VGV Nominal",B169*L172,IF(B172="Sem Corretagem",((B169-L169)*L172),(B169-L169-U169)*L172)))</f>
        <v/>
      </c>
      <c r="V172" s="115"/>
      <c r="W172" s="115"/>
      <c r="X172" s="115"/>
      <c r="Y172" s="115"/>
      <c r="Z172" s="115"/>
      <c r="AA172" s="115"/>
      <c r="AB172" s="115"/>
      <c r="AC172" s="115"/>
      <c r="AD172" s="116"/>
    </row>
    <row r="173" spans="2:49" ht="18.75" customHeight="1" x14ac:dyDescent="0.25"/>
    <row r="174" spans="2:49" ht="26.25" customHeight="1" x14ac:dyDescent="0.25">
      <c r="B174" s="94" t="s">
        <v>6210</v>
      </c>
      <c r="C174" s="47"/>
      <c r="D174" s="47"/>
      <c r="E174" s="47"/>
      <c r="F174" s="47"/>
      <c r="G174" s="47"/>
      <c r="H174" s="47"/>
      <c r="I174" s="47"/>
      <c r="J174" s="70"/>
      <c r="K174" s="70"/>
      <c r="L174" s="70"/>
      <c r="M174" s="70"/>
      <c r="N174" s="70"/>
      <c r="O174" s="70"/>
      <c r="P174" s="70"/>
      <c r="Q174" s="70"/>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row>
    <row r="175" spans="2:49" ht="3.75" customHeight="1" x14ac:dyDescent="0.25">
      <c r="J175" s="69"/>
      <c r="K175" s="69"/>
      <c r="L175" s="69"/>
      <c r="M175" s="69"/>
      <c r="N175" s="69"/>
      <c r="O175" s="69"/>
      <c r="P175" s="69"/>
      <c r="Q175" s="69"/>
    </row>
    <row r="176" spans="2:49" ht="21" customHeight="1" thickBot="1" x14ac:dyDescent="0.3">
      <c r="B176" s="134" t="s">
        <v>6170</v>
      </c>
      <c r="C176" s="135"/>
      <c r="D176" s="135"/>
      <c r="E176" s="135"/>
      <c r="F176" s="135"/>
      <c r="G176" s="135"/>
      <c r="H176" s="135"/>
      <c r="I176" s="135"/>
      <c r="J176" s="135"/>
      <c r="K176" s="135"/>
      <c r="L176" s="135" t="s">
        <v>6212</v>
      </c>
      <c r="M176" s="135"/>
      <c r="N176" s="135"/>
      <c r="O176" s="135"/>
      <c r="P176" s="135"/>
      <c r="Q176" s="135"/>
      <c r="R176" s="135"/>
      <c r="S176" s="135"/>
      <c r="T176" s="135"/>
      <c r="U176" s="135" t="s">
        <v>6213</v>
      </c>
      <c r="V176" s="135"/>
      <c r="W176" s="135"/>
      <c r="X176" s="135"/>
      <c r="Y176" s="135"/>
      <c r="Z176" s="135" t="s">
        <v>6098</v>
      </c>
      <c r="AA176" s="135"/>
      <c r="AB176" s="135"/>
      <c r="AC176" s="135"/>
      <c r="AD176" s="136"/>
    </row>
    <row r="177" spans="2:49" ht="21" customHeight="1" x14ac:dyDescent="0.25">
      <c r="B177" s="267"/>
      <c r="C177" s="268"/>
      <c r="D177" s="268"/>
      <c r="E177" s="268"/>
      <c r="F177" s="268"/>
      <c r="G177" s="268"/>
      <c r="H177" s="268"/>
      <c r="I177" s="268"/>
      <c r="J177" s="268"/>
      <c r="K177" s="268"/>
      <c r="L177" s="265"/>
      <c r="M177" s="265"/>
      <c r="N177" s="265"/>
      <c r="O177" s="265"/>
      <c r="P177" s="265"/>
      <c r="Q177" s="265"/>
      <c r="R177" s="265"/>
      <c r="S177" s="265"/>
      <c r="T177" s="265"/>
      <c r="U177" s="266"/>
      <c r="V177" s="266"/>
      <c r="W177" s="266"/>
      <c r="X177" s="266"/>
      <c r="Y177" s="266"/>
      <c r="Z177" s="115">
        <f>(-FV(L177,U177,,B177))-B177</f>
        <v>0</v>
      </c>
      <c r="AA177" s="115"/>
      <c r="AB177" s="115"/>
      <c r="AC177" s="115"/>
      <c r="AD177" s="116"/>
    </row>
    <row r="178" spans="2:49" ht="18.75" customHeight="1" x14ac:dyDescent="0.25"/>
    <row r="179" spans="2:49" ht="26.25" customHeight="1" x14ac:dyDescent="0.25">
      <c r="B179" s="78" t="s">
        <v>6214</v>
      </c>
      <c r="C179" s="76"/>
      <c r="D179" s="76"/>
      <c r="E179" s="76"/>
      <c r="F179" s="76"/>
      <c r="G179" s="76"/>
      <c r="H179" s="76"/>
      <c r="I179" s="76"/>
      <c r="J179" s="77"/>
      <c r="K179" s="77"/>
      <c r="L179" s="77"/>
      <c r="M179" s="77"/>
      <c r="N179" s="77"/>
      <c r="O179" s="77"/>
      <c r="P179" s="77"/>
      <c r="Q179" s="77"/>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row>
    <row r="180" spans="2:49" ht="3.75" customHeight="1" x14ac:dyDescent="0.25">
      <c r="J180" s="69"/>
      <c r="K180" s="69"/>
      <c r="L180" s="69"/>
      <c r="M180" s="69"/>
      <c r="N180" s="69"/>
      <c r="O180" s="69"/>
      <c r="P180" s="69"/>
      <c r="Q180" s="69"/>
    </row>
    <row r="181" spans="2:49" ht="22.5" customHeight="1" thickBot="1" x14ac:dyDescent="0.3">
      <c r="B181" s="79"/>
      <c r="C181" s="79"/>
      <c r="D181" s="271" t="s">
        <v>6229</v>
      </c>
      <c r="E181" s="271"/>
      <c r="F181" s="271"/>
      <c r="G181" s="271"/>
      <c r="H181" s="271"/>
      <c r="I181" s="271"/>
      <c r="J181" s="271"/>
      <c r="K181" s="271"/>
      <c r="L181" s="271"/>
      <c r="M181" s="271"/>
      <c r="N181" s="271"/>
      <c r="O181" s="88"/>
      <c r="P181" s="88"/>
      <c r="Q181" s="88"/>
      <c r="R181" s="88"/>
      <c r="S181" s="88"/>
      <c r="T181" s="88"/>
      <c r="U181" s="88"/>
      <c r="V181" s="88"/>
      <c r="W181" s="88"/>
      <c r="X181" s="88"/>
      <c r="Y181" s="88"/>
      <c r="Z181" s="88"/>
      <c r="AA181" s="88"/>
      <c r="AB181" s="88"/>
      <c r="AC181" s="88"/>
      <c r="AD181" s="88"/>
      <c r="AE181" s="88"/>
      <c r="AF181" s="88"/>
      <c r="AG181" s="88"/>
      <c r="AH181" s="278">
        <f>AH46</f>
        <v>0</v>
      </c>
      <c r="AI181" s="279"/>
      <c r="AJ181" s="279"/>
      <c r="AK181" s="279"/>
      <c r="AL181" s="279"/>
      <c r="AM181" s="279"/>
      <c r="AN181" s="278" t="str">
        <f>IFERROR(AH181/$J$46,"")</f>
        <v/>
      </c>
      <c r="AO181" s="278"/>
      <c r="AP181" s="278"/>
      <c r="AQ181" s="278"/>
      <c r="AR181" s="278"/>
      <c r="AS181" s="88"/>
      <c r="AT181" s="174" t="s">
        <v>6033</v>
      </c>
      <c r="AU181" s="174"/>
      <c r="AV181" s="174"/>
      <c r="AW181" s="174"/>
    </row>
    <row r="182" spans="2:49" ht="22.5" customHeight="1" x14ac:dyDescent="0.25">
      <c r="B182" s="273" t="s">
        <v>6219</v>
      </c>
      <c r="C182" s="273"/>
      <c r="D182" s="270" t="s">
        <v>6220</v>
      </c>
      <c r="E182" s="270"/>
      <c r="F182" s="270"/>
      <c r="G182" s="270"/>
      <c r="H182" s="270"/>
      <c r="I182" s="270"/>
      <c r="J182" s="270"/>
      <c r="K182" s="270"/>
      <c r="L182" s="270"/>
      <c r="M182" s="270"/>
      <c r="N182" s="270"/>
      <c r="O182" s="82"/>
      <c r="P182" s="82"/>
      <c r="Q182" s="82"/>
      <c r="R182" s="82"/>
      <c r="S182" s="82"/>
      <c r="T182" s="82"/>
      <c r="U182" s="82"/>
      <c r="V182" s="82"/>
      <c r="W182" s="82"/>
      <c r="X182" s="82"/>
      <c r="Y182" s="82"/>
      <c r="Z182" s="82"/>
      <c r="AA182" s="82"/>
      <c r="AB182" s="82"/>
      <c r="AC182" s="82"/>
      <c r="AD182" s="82"/>
      <c r="AE182" s="82"/>
      <c r="AF182" s="82"/>
      <c r="AG182" s="82"/>
      <c r="AH182" s="280">
        <f>IFERROR(-Z56,0)</f>
        <v>0</v>
      </c>
      <c r="AI182" s="280"/>
      <c r="AJ182" s="280"/>
      <c r="AK182" s="280"/>
      <c r="AL182" s="280"/>
      <c r="AM182" s="280"/>
      <c r="AN182" s="280" t="str">
        <f>IFERROR(AH182/$J$46,"")</f>
        <v/>
      </c>
      <c r="AO182" s="280"/>
      <c r="AP182" s="280"/>
      <c r="AQ182" s="280"/>
      <c r="AR182" s="280"/>
      <c r="AS182" s="82"/>
      <c r="AT182" s="286" t="str">
        <f>IFERROR(ABS(AH182/$AH$181),"")</f>
        <v/>
      </c>
      <c r="AU182" s="286"/>
      <c r="AV182" s="286"/>
      <c r="AW182" s="286"/>
    </row>
    <row r="183" spans="2:49" ht="22.5" customHeight="1" x14ac:dyDescent="0.25">
      <c r="B183" s="273"/>
      <c r="C183" s="273"/>
      <c r="D183" s="270" t="s">
        <v>6221</v>
      </c>
      <c r="E183" s="270"/>
      <c r="F183" s="270"/>
      <c r="G183" s="270"/>
      <c r="H183" s="270"/>
      <c r="I183" s="270"/>
      <c r="J183" s="270"/>
      <c r="K183" s="270"/>
      <c r="L183" s="270"/>
      <c r="M183" s="270"/>
      <c r="N183" s="270"/>
      <c r="O183" s="83"/>
      <c r="P183" s="83"/>
      <c r="Q183" s="83"/>
      <c r="R183" s="83"/>
      <c r="S183" s="83"/>
      <c r="T183" s="83"/>
      <c r="U183" s="83"/>
      <c r="V183" s="83"/>
      <c r="W183" s="83"/>
      <c r="X183" s="83"/>
      <c r="Y183" s="83"/>
      <c r="Z183" s="83"/>
      <c r="AA183" s="83"/>
      <c r="AB183" s="83"/>
      <c r="AC183" s="83"/>
      <c r="AD183" s="83"/>
      <c r="AE183" s="83"/>
      <c r="AF183" s="83"/>
      <c r="AG183" s="83"/>
      <c r="AH183" s="281">
        <f>IFERROR(-(N58+N61),0)</f>
        <v>0</v>
      </c>
      <c r="AI183" s="281"/>
      <c r="AJ183" s="281"/>
      <c r="AK183" s="281"/>
      <c r="AL183" s="281"/>
      <c r="AM183" s="281"/>
      <c r="AN183" s="281" t="str">
        <f t="shared" ref="AN183:AN214" si="12">IFERROR(AH183/$J$46,"")</f>
        <v/>
      </c>
      <c r="AO183" s="281"/>
      <c r="AP183" s="281"/>
      <c r="AQ183" s="281"/>
      <c r="AR183" s="281"/>
      <c r="AS183" s="83"/>
      <c r="AT183" s="287" t="str">
        <f t="shared" ref="AT183:AT213" si="13">IFERROR(ABS(AH183/$AH$181),"")</f>
        <v/>
      </c>
      <c r="AU183" s="287"/>
      <c r="AV183" s="287"/>
      <c r="AW183" s="287"/>
    </row>
    <row r="184" spans="2:49" ht="22.5" customHeight="1" x14ac:dyDescent="0.25">
      <c r="B184" s="273"/>
      <c r="C184" s="273"/>
      <c r="D184" s="270" t="s">
        <v>6222</v>
      </c>
      <c r="E184" s="270"/>
      <c r="F184" s="270"/>
      <c r="G184" s="270"/>
      <c r="H184" s="270"/>
      <c r="I184" s="270"/>
      <c r="J184" s="270"/>
      <c r="K184" s="270"/>
      <c r="L184" s="270"/>
      <c r="M184" s="270"/>
      <c r="N184" s="270"/>
      <c r="O184" s="83"/>
      <c r="P184" s="83"/>
      <c r="Q184" s="83"/>
      <c r="R184" s="83"/>
      <c r="S184" s="83"/>
      <c r="T184" s="83"/>
      <c r="U184" s="83"/>
      <c r="V184" s="83"/>
      <c r="W184" s="83"/>
      <c r="X184" s="83"/>
      <c r="Y184" s="83"/>
      <c r="Z184" s="83"/>
      <c r="AA184" s="83"/>
      <c r="AB184" s="83"/>
      <c r="AC184" s="83"/>
      <c r="AD184" s="83"/>
      <c r="AE184" s="83"/>
      <c r="AF184" s="83"/>
      <c r="AG184" s="83"/>
      <c r="AH184" s="281">
        <f>IFERROR(-J63,0)</f>
        <v>0</v>
      </c>
      <c r="AI184" s="281"/>
      <c r="AJ184" s="281"/>
      <c r="AK184" s="281"/>
      <c r="AL184" s="281"/>
      <c r="AM184" s="281"/>
      <c r="AN184" s="281" t="str">
        <f t="shared" si="12"/>
        <v/>
      </c>
      <c r="AO184" s="281"/>
      <c r="AP184" s="281"/>
      <c r="AQ184" s="281"/>
      <c r="AR184" s="281"/>
      <c r="AS184" s="83"/>
      <c r="AT184" s="287" t="str">
        <f t="shared" si="13"/>
        <v/>
      </c>
      <c r="AU184" s="287"/>
      <c r="AV184" s="287"/>
      <c r="AW184" s="287"/>
    </row>
    <row r="185" spans="2:49" ht="22.5" customHeight="1" thickBot="1" x14ac:dyDescent="0.3">
      <c r="B185" s="274"/>
      <c r="C185" s="274"/>
      <c r="D185" s="272" t="s">
        <v>6097</v>
      </c>
      <c r="E185" s="272"/>
      <c r="F185" s="272"/>
      <c r="G185" s="272"/>
      <c r="H185" s="272"/>
      <c r="I185" s="272"/>
      <c r="J185" s="272"/>
      <c r="K185" s="272"/>
      <c r="L185" s="272"/>
      <c r="M185" s="272"/>
      <c r="N185" s="272"/>
      <c r="O185" s="84"/>
      <c r="P185" s="84"/>
      <c r="Q185" s="84"/>
      <c r="R185" s="84"/>
      <c r="S185" s="84"/>
      <c r="T185" s="84"/>
      <c r="U185" s="84"/>
      <c r="V185" s="84"/>
      <c r="W185" s="84"/>
      <c r="X185" s="84"/>
      <c r="Y185" s="84"/>
      <c r="Z185" s="84"/>
      <c r="AA185" s="84"/>
      <c r="AB185" s="84"/>
      <c r="AC185" s="84"/>
      <c r="AD185" s="84"/>
      <c r="AE185" s="84"/>
      <c r="AF185" s="84"/>
      <c r="AG185" s="84"/>
      <c r="AH185" s="282">
        <f>IFERROR(-J64,0)</f>
        <v>0</v>
      </c>
      <c r="AI185" s="282"/>
      <c r="AJ185" s="282"/>
      <c r="AK185" s="282"/>
      <c r="AL185" s="282"/>
      <c r="AM185" s="282"/>
      <c r="AN185" s="282" t="str">
        <f t="shared" si="12"/>
        <v/>
      </c>
      <c r="AO185" s="282"/>
      <c r="AP185" s="282"/>
      <c r="AQ185" s="282"/>
      <c r="AR185" s="282"/>
      <c r="AS185" s="84"/>
      <c r="AT185" s="288" t="str">
        <f t="shared" si="13"/>
        <v/>
      </c>
      <c r="AU185" s="288"/>
      <c r="AV185" s="288"/>
      <c r="AW185" s="288"/>
    </row>
    <row r="186" spans="2:49" ht="22.5" customHeight="1" x14ac:dyDescent="0.25">
      <c r="B186" s="273" t="s">
        <v>6218</v>
      </c>
      <c r="C186" s="273"/>
      <c r="D186" s="270" t="s">
        <v>6186</v>
      </c>
      <c r="E186" s="270"/>
      <c r="F186" s="270"/>
      <c r="G186" s="270"/>
      <c r="H186" s="270"/>
      <c r="I186" s="270"/>
      <c r="J186" s="270"/>
      <c r="K186" s="270"/>
      <c r="L186" s="270"/>
      <c r="M186" s="270"/>
      <c r="N186" s="270"/>
      <c r="O186" s="82"/>
      <c r="P186" s="82"/>
      <c r="Q186" s="82"/>
      <c r="R186" s="82"/>
      <c r="S186" s="82"/>
      <c r="T186" s="82"/>
      <c r="U186" s="82"/>
      <c r="V186" s="82"/>
      <c r="W186" s="82"/>
      <c r="X186" s="82"/>
      <c r="Y186" s="82"/>
      <c r="Z186" s="82"/>
      <c r="AA186" s="82"/>
      <c r="AB186" s="82"/>
      <c r="AC186" s="82"/>
      <c r="AD186" s="82"/>
      <c r="AE186" s="82"/>
      <c r="AF186" s="82"/>
      <c r="AG186" s="82"/>
      <c r="AH186" s="280">
        <f>IFERROR(-R114,0)</f>
        <v>0</v>
      </c>
      <c r="AI186" s="280"/>
      <c r="AJ186" s="280"/>
      <c r="AK186" s="280"/>
      <c r="AL186" s="280"/>
      <c r="AM186" s="280"/>
      <c r="AN186" s="280" t="str">
        <f t="shared" si="12"/>
        <v/>
      </c>
      <c r="AO186" s="280"/>
      <c r="AP186" s="280"/>
      <c r="AQ186" s="280"/>
      <c r="AR186" s="280"/>
      <c r="AS186" s="82"/>
      <c r="AT186" s="286" t="str">
        <f t="shared" si="13"/>
        <v/>
      </c>
      <c r="AU186" s="286"/>
      <c r="AV186" s="286"/>
      <c r="AW186" s="286"/>
    </row>
    <row r="187" spans="2:49" ht="22.5" customHeight="1" thickBot="1" x14ac:dyDescent="0.3">
      <c r="B187" s="274"/>
      <c r="C187" s="274"/>
      <c r="D187" s="272" t="s">
        <v>6223</v>
      </c>
      <c r="E187" s="272"/>
      <c r="F187" s="272"/>
      <c r="G187" s="272"/>
      <c r="H187" s="272"/>
      <c r="I187" s="272"/>
      <c r="J187" s="272"/>
      <c r="K187" s="272"/>
      <c r="L187" s="272"/>
      <c r="M187" s="272"/>
      <c r="N187" s="272"/>
      <c r="O187" s="84"/>
      <c r="P187" s="84"/>
      <c r="Q187" s="84"/>
      <c r="R187" s="84"/>
      <c r="S187" s="84"/>
      <c r="T187" s="84"/>
      <c r="U187" s="84"/>
      <c r="V187" s="84"/>
      <c r="W187" s="84"/>
      <c r="X187" s="84"/>
      <c r="Y187" s="84"/>
      <c r="Z187" s="84"/>
      <c r="AA187" s="84"/>
      <c r="AB187" s="84"/>
      <c r="AC187" s="84"/>
      <c r="AD187" s="84"/>
      <c r="AE187" s="84"/>
      <c r="AF187" s="84"/>
      <c r="AG187" s="84"/>
      <c r="AH187" s="282">
        <f>IFERROR(-AM115,0)</f>
        <v>0</v>
      </c>
      <c r="AI187" s="282"/>
      <c r="AJ187" s="282"/>
      <c r="AK187" s="282"/>
      <c r="AL187" s="282"/>
      <c r="AM187" s="282"/>
      <c r="AN187" s="282" t="str">
        <f t="shared" si="12"/>
        <v/>
      </c>
      <c r="AO187" s="282"/>
      <c r="AP187" s="282"/>
      <c r="AQ187" s="282"/>
      <c r="AR187" s="282"/>
      <c r="AS187" s="84"/>
      <c r="AT187" s="288" t="str">
        <f t="shared" si="13"/>
        <v/>
      </c>
      <c r="AU187" s="288"/>
      <c r="AV187" s="288"/>
      <c r="AW187" s="288"/>
    </row>
    <row r="188" spans="2:49" ht="22.5" customHeight="1" x14ac:dyDescent="0.25">
      <c r="B188" s="273" t="s">
        <v>6217</v>
      </c>
      <c r="C188" s="273"/>
      <c r="D188" s="270" t="s">
        <v>6176</v>
      </c>
      <c r="E188" s="270"/>
      <c r="F188" s="270"/>
      <c r="G188" s="270"/>
      <c r="H188" s="270"/>
      <c r="I188" s="270"/>
      <c r="J188" s="270"/>
      <c r="K188" s="270"/>
      <c r="L188" s="270"/>
      <c r="M188" s="270"/>
      <c r="N188" s="270"/>
      <c r="O188" s="82"/>
      <c r="P188" s="82"/>
      <c r="Q188" s="82"/>
      <c r="R188" s="82"/>
      <c r="S188" s="82"/>
      <c r="T188" s="82"/>
      <c r="U188" s="82"/>
      <c r="V188" s="82"/>
      <c r="W188" s="82"/>
      <c r="X188" s="82"/>
      <c r="Y188" s="82"/>
      <c r="Z188" s="82"/>
      <c r="AA188" s="82"/>
      <c r="AB188" s="82"/>
      <c r="AC188" s="82"/>
      <c r="AD188" s="82"/>
      <c r="AE188" s="82"/>
      <c r="AF188" s="82"/>
      <c r="AG188" s="82"/>
      <c r="AH188" s="280">
        <f t="shared" ref="AH188:AH196" si="14">IFERROR(-Z123,0)</f>
        <v>0</v>
      </c>
      <c r="AI188" s="280"/>
      <c r="AJ188" s="280"/>
      <c r="AK188" s="280"/>
      <c r="AL188" s="280"/>
      <c r="AM188" s="280"/>
      <c r="AN188" s="280" t="str">
        <f t="shared" si="12"/>
        <v/>
      </c>
      <c r="AO188" s="280"/>
      <c r="AP188" s="280"/>
      <c r="AQ188" s="280"/>
      <c r="AR188" s="280"/>
      <c r="AS188" s="82"/>
      <c r="AT188" s="286" t="str">
        <f t="shared" si="13"/>
        <v/>
      </c>
      <c r="AU188" s="286"/>
      <c r="AV188" s="286"/>
      <c r="AW188" s="286"/>
    </row>
    <row r="189" spans="2:49" ht="22.5" customHeight="1" x14ac:dyDescent="0.25">
      <c r="B189" s="273"/>
      <c r="C189" s="273"/>
      <c r="D189" s="270" t="s">
        <v>6177</v>
      </c>
      <c r="E189" s="270"/>
      <c r="F189" s="270"/>
      <c r="G189" s="270"/>
      <c r="H189" s="270"/>
      <c r="I189" s="270"/>
      <c r="J189" s="270"/>
      <c r="K189" s="270"/>
      <c r="L189" s="270"/>
      <c r="M189" s="270"/>
      <c r="N189" s="270"/>
      <c r="O189" s="83"/>
      <c r="P189" s="83"/>
      <c r="Q189" s="83"/>
      <c r="R189" s="83"/>
      <c r="S189" s="83"/>
      <c r="T189" s="83"/>
      <c r="U189" s="83"/>
      <c r="V189" s="83"/>
      <c r="W189" s="83"/>
      <c r="X189" s="83"/>
      <c r="Y189" s="83"/>
      <c r="Z189" s="83"/>
      <c r="AA189" s="83"/>
      <c r="AB189" s="83"/>
      <c r="AC189" s="83"/>
      <c r="AD189" s="83"/>
      <c r="AE189" s="83"/>
      <c r="AF189" s="83"/>
      <c r="AG189" s="83"/>
      <c r="AH189" s="281">
        <f t="shared" si="14"/>
        <v>0</v>
      </c>
      <c r="AI189" s="281"/>
      <c r="AJ189" s="281"/>
      <c r="AK189" s="281"/>
      <c r="AL189" s="281"/>
      <c r="AM189" s="281"/>
      <c r="AN189" s="281" t="str">
        <f t="shared" si="12"/>
        <v/>
      </c>
      <c r="AO189" s="281"/>
      <c r="AP189" s="281"/>
      <c r="AQ189" s="281"/>
      <c r="AR189" s="281"/>
      <c r="AS189" s="83"/>
      <c r="AT189" s="287" t="str">
        <f t="shared" si="13"/>
        <v/>
      </c>
      <c r="AU189" s="287"/>
      <c r="AV189" s="287"/>
      <c r="AW189" s="287"/>
    </row>
    <row r="190" spans="2:49" ht="22.5" customHeight="1" x14ac:dyDescent="0.25">
      <c r="B190" s="273"/>
      <c r="C190" s="273"/>
      <c r="D190" s="270" t="s">
        <v>6178</v>
      </c>
      <c r="E190" s="270"/>
      <c r="F190" s="270"/>
      <c r="G190" s="270"/>
      <c r="H190" s="270"/>
      <c r="I190" s="270"/>
      <c r="J190" s="270"/>
      <c r="K190" s="270"/>
      <c r="L190" s="270"/>
      <c r="M190" s="270"/>
      <c r="N190" s="270"/>
      <c r="O190" s="83"/>
      <c r="P190" s="83"/>
      <c r="Q190" s="83"/>
      <c r="R190" s="83"/>
      <c r="S190" s="83"/>
      <c r="T190" s="83"/>
      <c r="U190" s="83"/>
      <c r="V190" s="83"/>
      <c r="W190" s="83"/>
      <c r="X190" s="83"/>
      <c r="Y190" s="83"/>
      <c r="Z190" s="83"/>
      <c r="AA190" s="83"/>
      <c r="AB190" s="83"/>
      <c r="AC190" s="83"/>
      <c r="AD190" s="83"/>
      <c r="AE190" s="83"/>
      <c r="AF190" s="83"/>
      <c r="AG190" s="83"/>
      <c r="AH190" s="281">
        <f t="shared" si="14"/>
        <v>0</v>
      </c>
      <c r="AI190" s="281"/>
      <c r="AJ190" s="281"/>
      <c r="AK190" s="281"/>
      <c r="AL190" s="281"/>
      <c r="AM190" s="281"/>
      <c r="AN190" s="281" t="str">
        <f t="shared" si="12"/>
        <v/>
      </c>
      <c r="AO190" s="281"/>
      <c r="AP190" s="281"/>
      <c r="AQ190" s="281"/>
      <c r="AR190" s="281"/>
      <c r="AS190" s="83"/>
      <c r="AT190" s="287" t="str">
        <f t="shared" si="13"/>
        <v/>
      </c>
      <c r="AU190" s="287"/>
      <c r="AV190" s="287"/>
      <c r="AW190" s="287"/>
    </row>
    <row r="191" spans="2:49" ht="22.5" customHeight="1" x14ac:dyDescent="0.25">
      <c r="B191" s="273"/>
      <c r="C191" s="273"/>
      <c r="D191" s="270" t="s">
        <v>6179</v>
      </c>
      <c r="E191" s="270"/>
      <c r="F191" s="270"/>
      <c r="G191" s="270"/>
      <c r="H191" s="270"/>
      <c r="I191" s="270"/>
      <c r="J191" s="270"/>
      <c r="K191" s="270"/>
      <c r="L191" s="270"/>
      <c r="M191" s="270"/>
      <c r="N191" s="270"/>
      <c r="O191" s="83"/>
      <c r="P191" s="83"/>
      <c r="Q191" s="83"/>
      <c r="R191" s="83"/>
      <c r="S191" s="83"/>
      <c r="T191" s="83"/>
      <c r="U191" s="83"/>
      <c r="V191" s="83"/>
      <c r="W191" s="83"/>
      <c r="X191" s="83"/>
      <c r="Y191" s="83"/>
      <c r="Z191" s="83"/>
      <c r="AA191" s="83"/>
      <c r="AB191" s="83"/>
      <c r="AC191" s="83"/>
      <c r="AD191" s="83"/>
      <c r="AE191" s="83"/>
      <c r="AF191" s="83"/>
      <c r="AG191" s="83"/>
      <c r="AH191" s="281">
        <f t="shared" si="14"/>
        <v>0</v>
      </c>
      <c r="AI191" s="281"/>
      <c r="AJ191" s="281"/>
      <c r="AK191" s="281"/>
      <c r="AL191" s="281"/>
      <c r="AM191" s="281"/>
      <c r="AN191" s="281" t="str">
        <f t="shared" si="12"/>
        <v/>
      </c>
      <c r="AO191" s="281"/>
      <c r="AP191" s="281"/>
      <c r="AQ191" s="281"/>
      <c r="AR191" s="281"/>
      <c r="AS191" s="83"/>
      <c r="AT191" s="287" t="str">
        <f t="shared" si="13"/>
        <v/>
      </c>
      <c r="AU191" s="287"/>
      <c r="AV191" s="287"/>
      <c r="AW191" s="287"/>
    </row>
    <row r="192" spans="2:49" ht="22.5" customHeight="1" x14ac:dyDescent="0.25">
      <c r="B192" s="273"/>
      <c r="C192" s="273"/>
      <c r="D192" s="270" t="s">
        <v>6180</v>
      </c>
      <c r="E192" s="270"/>
      <c r="F192" s="270"/>
      <c r="G192" s="270"/>
      <c r="H192" s="270"/>
      <c r="I192" s="270"/>
      <c r="J192" s="270"/>
      <c r="K192" s="270"/>
      <c r="L192" s="270"/>
      <c r="M192" s="270"/>
      <c r="N192" s="270"/>
      <c r="O192" s="83"/>
      <c r="P192" s="83"/>
      <c r="Q192" s="83"/>
      <c r="R192" s="83"/>
      <c r="S192" s="83"/>
      <c r="T192" s="83"/>
      <c r="U192" s="83"/>
      <c r="V192" s="83"/>
      <c r="W192" s="83"/>
      <c r="X192" s="83"/>
      <c r="Y192" s="83"/>
      <c r="Z192" s="83"/>
      <c r="AA192" s="83"/>
      <c r="AB192" s="83"/>
      <c r="AC192" s="83"/>
      <c r="AD192" s="83"/>
      <c r="AE192" s="83"/>
      <c r="AF192" s="83"/>
      <c r="AG192" s="83"/>
      <c r="AH192" s="281">
        <f t="shared" si="14"/>
        <v>0</v>
      </c>
      <c r="AI192" s="281"/>
      <c r="AJ192" s="281"/>
      <c r="AK192" s="281"/>
      <c r="AL192" s="281"/>
      <c r="AM192" s="281"/>
      <c r="AN192" s="281" t="str">
        <f t="shared" si="12"/>
        <v/>
      </c>
      <c r="AO192" s="281"/>
      <c r="AP192" s="281"/>
      <c r="AQ192" s="281"/>
      <c r="AR192" s="281"/>
      <c r="AS192" s="83"/>
      <c r="AT192" s="287" t="str">
        <f t="shared" si="13"/>
        <v/>
      </c>
      <c r="AU192" s="287"/>
      <c r="AV192" s="287"/>
      <c r="AW192" s="287"/>
    </row>
    <row r="193" spans="2:49" ht="22.5" customHeight="1" x14ac:dyDescent="0.25">
      <c r="B193" s="273"/>
      <c r="C193" s="273"/>
      <c r="D193" s="270" t="s">
        <v>6181</v>
      </c>
      <c r="E193" s="270"/>
      <c r="F193" s="270"/>
      <c r="G193" s="270"/>
      <c r="H193" s="270"/>
      <c r="I193" s="270"/>
      <c r="J193" s="270"/>
      <c r="K193" s="270"/>
      <c r="L193" s="270"/>
      <c r="M193" s="270"/>
      <c r="N193" s="270"/>
      <c r="O193" s="83"/>
      <c r="P193" s="83"/>
      <c r="Q193" s="83"/>
      <c r="R193" s="83"/>
      <c r="S193" s="83"/>
      <c r="T193" s="83"/>
      <c r="U193" s="83"/>
      <c r="V193" s="83"/>
      <c r="W193" s="83"/>
      <c r="X193" s="83"/>
      <c r="Y193" s="83"/>
      <c r="Z193" s="83"/>
      <c r="AA193" s="83"/>
      <c r="AB193" s="83"/>
      <c r="AC193" s="83"/>
      <c r="AD193" s="83"/>
      <c r="AE193" s="83"/>
      <c r="AF193" s="83"/>
      <c r="AG193" s="83"/>
      <c r="AH193" s="281">
        <f t="shared" si="14"/>
        <v>0</v>
      </c>
      <c r="AI193" s="281"/>
      <c r="AJ193" s="281"/>
      <c r="AK193" s="281"/>
      <c r="AL193" s="281"/>
      <c r="AM193" s="281"/>
      <c r="AN193" s="281" t="str">
        <f t="shared" si="12"/>
        <v/>
      </c>
      <c r="AO193" s="281"/>
      <c r="AP193" s="281"/>
      <c r="AQ193" s="281"/>
      <c r="AR193" s="281"/>
      <c r="AS193" s="83"/>
      <c r="AT193" s="287" t="str">
        <f t="shared" si="13"/>
        <v/>
      </c>
      <c r="AU193" s="287"/>
      <c r="AV193" s="287"/>
      <c r="AW193" s="287"/>
    </row>
    <row r="194" spans="2:49" ht="22.5" customHeight="1" x14ac:dyDescent="0.25">
      <c r="B194" s="273"/>
      <c r="C194" s="273"/>
      <c r="D194" s="270" t="s">
        <v>6182</v>
      </c>
      <c r="E194" s="270"/>
      <c r="F194" s="270"/>
      <c r="G194" s="270"/>
      <c r="H194" s="270"/>
      <c r="I194" s="270"/>
      <c r="J194" s="270"/>
      <c r="K194" s="270"/>
      <c r="L194" s="270"/>
      <c r="M194" s="270"/>
      <c r="N194" s="270"/>
      <c r="O194" s="83"/>
      <c r="P194" s="83"/>
      <c r="Q194" s="83"/>
      <c r="R194" s="83"/>
      <c r="S194" s="83"/>
      <c r="T194" s="83"/>
      <c r="U194" s="83"/>
      <c r="V194" s="83"/>
      <c r="W194" s="83"/>
      <c r="X194" s="83"/>
      <c r="Y194" s="83"/>
      <c r="Z194" s="83"/>
      <c r="AA194" s="83"/>
      <c r="AB194" s="83"/>
      <c r="AC194" s="83"/>
      <c r="AD194" s="83"/>
      <c r="AE194" s="83"/>
      <c r="AF194" s="83"/>
      <c r="AG194" s="83"/>
      <c r="AH194" s="281">
        <f t="shared" si="14"/>
        <v>0</v>
      </c>
      <c r="AI194" s="281"/>
      <c r="AJ194" s="281"/>
      <c r="AK194" s="281"/>
      <c r="AL194" s="281"/>
      <c r="AM194" s="281"/>
      <c r="AN194" s="281" t="str">
        <f t="shared" si="12"/>
        <v/>
      </c>
      <c r="AO194" s="281"/>
      <c r="AP194" s="281"/>
      <c r="AQ194" s="281"/>
      <c r="AR194" s="281"/>
      <c r="AS194" s="83"/>
      <c r="AT194" s="287" t="str">
        <f t="shared" si="13"/>
        <v/>
      </c>
      <c r="AU194" s="287"/>
      <c r="AV194" s="287"/>
      <c r="AW194" s="287"/>
    </row>
    <row r="195" spans="2:49" ht="22.5" customHeight="1" x14ac:dyDescent="0.25">
      <c r="B195" s="273"/>
      <c r="C195" s="273"/>
      <c r="D195" s="270" t="s">
        <v>6183</v>
      </c>
      <c r="E195" s="270"/>
      <c r="F195" s="270"/>
      <c r="G195" s="270"/>
      <c r="H195" s="270"/>
      <c r="I195" s="270"/>
      <c r="J195" s="270"/>
      <c r="K195" s="270"/>
      <c r="L195" s="270"/>
      <c r="M195" s="270"/>
      <c r="N195" s="270"/>
      <c r="O195" s="83"/>
      <c r="P195" s="83"/>
      <c r="Q195" s="83"/>
      <c r="R195" s="83"/>
      <c r="S195" s="83"/>
      <c r="T195" s="83"/>
      <c r="U195" s="83"/>
      <c r="V195" s="83"/>
      <c r="W195" s="83"/>
      <c r="X195" s="83"/>
      <c r="Y195" s="83"/>
      <c r="Z195" s="83"/>
      <c r="AA195" s="83"/>
      <c r="AB195" s="83"/>
      <c r="AC195" s="83"/>
      <c r="AD195" s="83"/>
      <c r="AE195" s="83"/>
      <c r="AF195" s="83"/>
      <c r="AG195" s="83"/>
      <c r="AH195" s="281">
        <f t="shared" si="14"/>
        <v>0</v>
      </c>
      <c r="AI195" s="281"/>
      <c r="AJ195" s="281"/>
      <c r="AK195" s="281"/>
      <c r="AL195" s="281"/>
      <c r="AM195" s="281"/>
      <c r="AN195" s="281" t="str">
        <f t="shared" si="12"/>
        <v/>
      </c>
      <c r="AO195" s="281"/>
      <c r="AP195" s="281"/>
      <c r="AQ195" s="281"/>
      <c r="AR195" s="281"/>
      <c r="AS195" s="83"/>
      <c r="AT195" s="287" t="str">
        <f t="shared" si="13"/>
        <v/>
      </c>
      <c r="AU195" s="287"/>
      <c r="AV195" s="287"/>
      <c r="AW195" s="287"/>
    </row>
    <row r="196" spans="2:49" ht="22.5" customHeight="1" x14ac:dyDescent="0.25">
      <c r="B196" s="273"/>
      <c r="C196" s="273"/>
      <c r="D196" s="270" t="s">
        <v>6184</v>
      </c>
      <c r="E196" s="270"/>
      <c r="F196" s="270"/>
      <c r="G196" s="270"/>
      <c r="H196" s="270"/>
      <c r="I196" s="270"/>
      <c r="J196" s="270"/>
      <c r="K196" s="270"/>
      <c r="L196" s="270"/>
      <c r="M196" s="270"/>
      <c r="N196" s="270"/>
      <c r="O196" s="83"/>
      <c r="P196" s="83"/>
      <c r="Q196" s="83"/>
      <c r="R196" s="83"/>
      <c r="S196" s="83"/>
      <c r="T196" s="83"/>
      <c r="U196" s="83"/>
      <c r="V196" s="83"/>
      <c r="W196" s="83"/>
      <c r="X196" s="83"/>
      <c r="Y196" s="83"/>
      <c r="Z196" s="83"/>
      <c r="AA196" s="83"/>
      <c r="AB196" s="83"/>
      <c r="AC196" s="83"/>
      <c r="AD196" s="83"/>
      <c r="AE196" s="83"/>
      <c r="AF196" s="83"/>
      <c r="AG196" s="83"/>
      <c r="AH196" s="281">
        <f t="shared" si="14"/>
        <v>0</v>
      </c>
      <c r="AI196" s="281"/>
      <c r="AJ196" s="281"/>
      <c r="AK196" s="281"/>
      <c r="AL196" s="281"/>
      <c r="AM196" s="281"/>
      <c r="AN196" s="281" t="str">
        <f t="shared" si="12"/>
        <v/>
      </c>
      <c r="AO196" s="281"/>
      <c r="AP196" s="281"/>
      <c r="AQ196" s="281"/>
      <c r="AR196" s="281"/>
      <c r="AS196" s="83"/>
      <c r="AT196" s="287" t="str">
        <f t="shared" si="13"/>
        <v/>
      </c>
      <c r="AU196" s="287"/>
      <c r="AV196" s="287"/>
      <c r="AW196" s="287"/>
    </row>
    <row r="197" spans="2:49" ht="22.5" customHeight="1" x14ac:dyDescent="0.25">
      <c r="B197" s="273"/>
      <c r="C197" s="273"/>
      <c r="D197" s="270" t="s">
        <v>6224</v>
      </c>
      <c r="E197" s="270"/>
      <c r="F197" s="270"/>
      <c r="G197" s="270"/>
      <c r="H197" s="270"/>
      <c r="I197" s="270"/>
      <c r="J197" s="270"/>
      <c r="K197" s="270"/>
      <c r="L197" s="270"/>
      <c r="M197" s="270"/>
      <c r="N197" s="270"/>
      <c r="O197" s="83"/>
      <c r="P197" s="83"/>
      <c r="Q197" s="83"/>
      <c r="R197" s="83"/>
      <c r="S197" s="83"/>
      <c r="T197" s="83"/>
      <c r="U197" s="83"/>
      <c r="V197" s="83"/>
      <c r="W197" s="83"/>
      <c r="X197" s="83"/>
      <c r="Y197" s="83"/>
      <c r="Z197" s="83"/>
      <c r="AA197" s="83"/>
      <c r="AB197" s="83"/>
      <c r="AC197" s="83"/>
      <c r="AD197" s="83"/>
      <c r="AE197" s="83"/>
      <c r="AF197" s="83"/>
      <c r="AG197" s="83"/>
      <c r="AH197" s="281">
        <f>IFERROR(-AN126,0)</f>
        <v>0</v>
      </c>
      <c r="AI197" s="281"/>
      <c r="AJ197" s="281"/>
      <c r="AK197" s="281"/>
      <c r="AL197" s="281"/>
      <c r="AM197" s="281"/>
      <c r="AN197" s="281" t="str">
        <f t="shared" si="12"/>
        <v/>
      </c>
      <c r="AO197" s="281"/>
      <c r="AP197" s="281"/>
      <c r="AQ197" s="281"/>
      <c r="AR197" s="281"/>
      <c r="AS197" s="83"/>
      <c r="AT197" s="287" t="str">
        <f t="shared" si="13"/>
        <v/>
      </c>
      <c r="AU197" s="287"/>
      <c r="AV197" s="287"/>
      <c r="AW197" s="287"/>
    </row>
    <row r="198" spans="2:49" ht="22.5" customHeight="1" x14ac:dyDescent="0.25">
      <c r="B198" s="273"/>
      <c r="C198" s="273"/>
      <c r="D198" s="270" t="s">
        <v>6174</v>
      </c>
      <c r="E198" s="270"/>
      <c r="F198" s="270"/>
      <c r="G198" s="270"/>
      <c r="H198" s="270"/>
      <c r="I198" s="270"/>
      <c r="J198" s="270"/>
      <c r="K198" s="270"/>
      <c r="L198" s="270"/>
      <c r="M198" s="270"/>
      <c r="N198" s="270"/>
      <c r="O198" s="83"/>
      <c r="P198" s="83"/>
      <c r="Q198" s="83"/>
      <c r="R198" s="83"/>
      <c r="S198" s="83"/>
      <c r="T198" s="83"/>
      <c r="U198" s="83"/>
      <c r="V198" s="83"/>
      <c r="W198" s="83"/>
      <c r="X198" s="83"/>
      <c r="Y198" s="83"/>
      <c r="Z198" s="83"/>
      <c r="AA198" s="83"/>
      <c r="AB198" s="83"/>
      <c r="AC198" s="83"/>
      <c r="AD198" s="83"/>
      <c r="AE198" s="83"/>
      <c r="AF198" s="83"/>
      <c r="AG198" s="83"/>
      <c r="AH198" s="281">
        <f>IFERROR(-AN133,0)</f>
        <v>0</v>
      </c>
      <c r="AI198" s="281"/>
      <c r="AJ198" s="281"/>
      <c r="AK198" s="281"/>
      <c r="AL198" s="281"/>
      <c r="AM198" s="281"/>
      <c r="AN198" s="281" t="str">
        <f t="shared" si="12"/>
        <v/>
      </c>
      <c r="AO198" s="281"/>
      <c r="AP198" s="281"/>
      <c r="AQ198" s="281"/>
      <c r="AR198" s="281"/>
      <c r="AS198" s="83"/>
      <c r="AT198" s="287" t="str">
        <f t="shared" si="13"/>
        <v/>
      </c>
      <c r="AU198" s="287"/>
      <c r="AV198" s="287"/>
      <c r="AW198" s="287"/>
    </row>
    <row r="199" spans="2:49" ht="22.5" customHeight="1" thickBot="1" x14ac:dyDescent="0.3">
      <c r="B199" s="274"/>
      <c r="C199" s="274"/>
      <c r="D199" s="272" t="s">
        <v>6202</v>
      </c>
      <c r="E199" s="272"/>
      <c r="F199" s="272"/>
      <c r="G199" s="272"/>
      <c r="H199" s="272"/>
      <c r="I199" s="272"/>
      <c r="J199" s="272"/>
      <c r="K199" s="272"/>
      <c r="L199" s="272"/>
      <c r="M199" s="272"/>
      <c r="N199" s="272"/>
      <c r="O199" s="84"/>
      <c r="P199" s="84"/>
      <c r="Q199" s="84"/>
      <c r="R199" s="84"/>
      <c r="S199" s="84"/>
      <c r="T199" s="84"/>
      <c r="U199" s="84"/>
      <c r="V199" s="84"/>
      <c r="W199" s="84"/>
      <c r="X199" s="84"/>
      <c r="Y199" s="84"/>
      <c r="Z199" s="84"/>
      <c r="AA199" s="84"/>
      <c r="AB199" s="84"/>
      <c r="AC199" s="84"/>
      <c r="AD199" s="84"/>
      <c r="AE199" s="84"/>
      <c r="AF199" s="84"/>
      <c r="AG199" s="84"/>
      <c r="AH199" s="282">
        <f>IFERROR(-Z133,0)</f>
        <v>0</v>
      </c>
      <c r="AI199" s="282"/>
      <c r="AJ199" s="282"/>
      <c r="AK199" s="282"/>
      <c r="AL199" s="282"/>
      <c r="AM199" s="282"/>
      <c r="AN199" s="282" t="str">
        <f t="shared" si="12"/>
        <v/>
      </c>
      <c r="AO199" s="282"/>
      <c r="AP199" s="282"/>
      <c r="AQ199" s="282"/>
      <c r="AR199" s="282"/>
      <c r="AS199" s="84"/>
      <c r="AT199" s="288" t="str">
        <f t="shared" si="13"/>
        <v/>
      </c>
      <c r="AU199" s="288"/>
      <c r="AV199" s="288"/>
      <c r="AW199" s="288"/>
    </row>
    <row r="200" spans="2:49" ht="22.5" customHeight="1" thickBot="1" x14ac:dyDescent="0.3">
      <c r="B200" s="276"/>
      <c r="C200" s="276"/>
      <c r="D200" s="277" t="s">
        <v>6225</v>
      </c>
      <c r="E200" s="277"/>
      <c r="F200" s="277"/>
      <c r="G200" s="277"/>
      <c r="H200" s="277"/>
      <c r="I200" s="277"/>
      <c r="J200" s="277"/>
      <c r="K200" s="277"/>
      <c r="L200" s="277"/>
      <c r="M200" s="277"/>
      <c r="N200" s="277"/>
      <c r="O200" s="85"/>
      <c r="P200" s="85"/>
      <c r="Q200" s="85"/>
      <c r="R200" s="85"/>
      <c r="S200" s="85"/>
      <c r="T200" s="85"/>
      <c r="U200" s="85"/>
      <c r="V200" s="85"/>
      <c r="W200" s="85"/>
      <c r="X200" s="85"/>
      <c r="Y200" s="85"/>
      <c r="Z200" s="85"/>
      <c r="AA200" s="85"/>
      <c r="AB200" s="85"/>
      <c r="AC200" s="85"/>
      <c r="AD200" s="85"/>
      <c r="AE200" s="85"/>
      <c r="AF200" s="85"/>
      <c r="AG200" s="85"/>
      <c r="AH200" s="285">
        <f>IFERROR(-SUM(Z140:AD141),0)</f>
        <v>0</v>
      </c>
      <c r="AI200" s="285"/>
      <c r="AJ200" s="285"/>
      <c r="AK200" s="285"/>
      <c r="AL200" s="285"/>
      <c r="AM200" s="285"/>
      <c r="AN200" s="285" t="str">
        <f t="shared" si="12"/>
        <v/>
      </c>
      <c r="AO200" s="285"/>
      <c r="AP200" s="285"/>
      <c r="AQ200" s="285"/>
      <c r="AR200" s="285"/>
      <c r="AS200" s="85"/>
      <c r="AT200" s="290" t="str">
        <f t="shared" si="13"/>
        <v/>
      </c>
      <c r="AU200" s="290"/>
      <c r="AV200" s="290"/>
      <c r="AW200" s="290"/>
    </row>
    <row r="201" spans="2:49" ht="22.5" customHeight="1" x14ac:dyDescent="0.25">
      <c r="B201" s="273" t="s">
        <v>6215</v>
      </c>
      <c r="C201" s="273"/>
      <c r="D201" s="270" t="s">
        <v>6196</v>
      </c>
      <c r="E201" s="270"/>
      <c r="F201" s="270"/>
      <c r="G201" s="270"/>
      <c r="H201" s="270"/>
      <c r="I201" s="270"/>
      <c r="J201" s="270"/>
      <c r="K201" s="270"/>
      <c r="L201" s="270"/>
      <c r="M201" s="270"/>
      <c r="N201" s="270"/>
      <c r="O201" s="82"/>
      <c r="P201" s="82"/>
      <c r="Q201" s="82"/>
      <c r="R201" s="82"/>
      <c r="S201" s="82"/>
      <c r="T201" s="82"/>
      <c r="U201" s="82"/>
      <c r="V201" s="82"/>
      <c r="W201" s="82"/>
      <c r="X201" s="82"/>
      <c r="Y201" s="82"/>
      <c r="Z201" s="82"/>
      <c r="AA201" s="82"/>
      <c r="AB201" s="82"/>
      <c r="AC201" s="82"/>
      <c r="AD201" s="82"/>
      <c r="AE201" s="82"/>
      <c r="AF201" s="82"/>
      <c r="AG201" s="82"/>
      <c r="AH201" s="280">
        <f>IFERROR(-Z146,0)</f>
        <v>0</v>
      </c>
      <c r="AI201" s="280"/>
      <c r="AJ201" s="280"/>
      <c r="AK201" s="280"/>
      <c r="AL201" s="280"/>
      <c r="AM201" s="280"/>
      <c r="AN201" s="280" t="str">
        <f t="shared" si="12"/>
        <v/>
      </c>
      <c r="AO201" s="280"/>
      <c r="AP201" s="280"/>
      <c r="AQ201" s="280"/>
      <c r="AR201" s="280"/>
      <c r="AS201" s="82"/>
      <c r="AT201" s="286" t="str">
        <f t="shared" si="13"/>
        <v/>
      </c>
      <c r="AU201" s="286"/>
      <c r="AV201" s="286"/>
      <c r="AW201" s="286"/>
    </row>
    <row r="202" spans="2:49" ht="22.5" customHeight="1" x14ac:dyDescent="0.25">
      <c r="B202" s="273"/>
      <c r="C202" s="273"/>
      <c r="D202" s="270" t="s">
        <v>6197</v>
      </c>
      <c r="E202" s="270"/>
      <c r="F202" s="270"/>
      <c r="G202" s="270"/>
      <c r="H202" s="270"/>
      <c r="I202" s="270"/>
      <c r="J202" s="270"/>
      <c r="K202" s="270"/>
      <c r="L202" s="270"/>
      <c r="M202" s="270"/>
      <c r="N202" s="270"/>
      <c r="O202" s="83"/>
      <c r="P202" s="83"/>
      <c r="Q202" s="83"/>
      <c r="R202" s="83"/>
      <c r="S202" s="83"/>
      <c r="T202" s="83"/>
      <c r="U202" s="83"/>
      <c r="V202" s="83"/>
      <c r="W202" s="83"/>
      <c r="X202" s="83"/>
      <c r="Y202" s="83"/>
      <c r="Z202" s="83"/>
      <c r="AA202" s="83"/>
      <c r="AB202" s="83"/>
      <c r="AC202" s="83"/>
      <c r="AD202" s="83"/>
      <c r="AE202" s="83"/>
      <c r="AF202" s="83"/>
      <c r="AG202" s="83"/>
      <c r="AH202" s="281">
        <f>IFERROR(-Z147,0)</f>
        <v>0</v>
      </c>
      <c r="AI202" s="281"/>
      <c r="AJ202" s="281"/>
      <c r="AK202" s="281"/>
      <c r="AL202" s="281"/>
      <c r="AM202" s="281"/>
      <c r="AN202" s="281" t="str">
        <f t="shared" si="12"/>
        <v/>
      </c>
      <c r="AO202" s="281"/>
      <c r="AP202" s="281"/>
      <c r="AQ202" s="281"/>
      <c r="AR202" s="281"/>
      <c r="AS202" s="83"/>
      <c r="AT202" s="287" t="str">
        <f t="shared" si="13"/>
        <v/>
      </c>
      <c r="AU202" s="287"/>
      <c r="AV202" s="287"/>
      <c r="AW202" s="287"/>
    </row>
    <row r="203" spans="2:49" ht="22.5" customHeight="1" x14ac:dyDescent="0.25">
      <c r="B203" s="273"/>
      <c r="C203" s="273"/>
      <c r="D203" s="270" t="s">
        <v>6198</v>
      </c>
      <c r="E203" s="270"/>
      <c r="F203" s="270"/>
      <c r="G203" s="270"/>
      <c r="H203" s="270"/>
      <c r="I203" s="270"/>
      <c r="J203" s="270"/>
      <c r="K203" s="270"/>
      <c r="L203" s="270"/>
      <c r="M203" s="270"/>
      <c r="N203" s="270"/>
      <c r="O203" s="83"/>
      <c r="P203" s="83"/>
      <c r="Q203" s="83"/>
      <c r="R203" s="83"/>
      <c r="S203" s="83"/>
      <c r="T203" s="83"/>
      <c r="U203" s="83"/>
      <c r="V203" s="83"/>
      <c r="W203" s="83"/>
      <c r="X203" s="83"/>
      <c r="Y203" s="83"/>
      <c r="Z203" s="83"/>
      <c r="AA203" s="83"/>
      <c r="AB203" s="83"/>
      <c r="AC203" s="83"/>
      <c r="AD203" s="83"/>
      <c r="AE203" s="83"/>
      <c r="AF203" s="83"/>
      <c r="AG203" s="83"/>
      <c r="AH203" s="281">
        <f>IFERROR(-Z148,0)</f>
        <v>0</v>
      </c>
      <c r="AI203" s="281"/>
      <c r="AJ203" s="281"/>
      <c r="AK203" s="281"/>
      <c r="AL203" s="281"/>
      <c r="AM203" s="281"/>
      <c r="AN203" s="281" t="str">
        <f t="shared" si="12"/>
        <v/>
      </c>
      <c r="AO203" s="281"/>
      <c r="AP203" s="281"/>
      <c r="AQ203" s="281"/>
      <c r="AR203" s="281"/>
      <c r="AS203" s="83"/>
      <c r="AT203" s="287" t="str">
        <f t="shared" si="13"/>
        <v/>
      </c>
      <c r="AU203" s="287"/>
      <c r="AV203" s="287"/>
      <c r="AW203" s="287"/>
    </row>
    <row r="204" spans="2:49" ht="22.5" customHeight="1" x14ac:dyDescent="0.25">
      <c r="B204" s="273"/>
      <c r="C204" s="273"/>
      <c r="D204" s="270" t="s">
        <v>6199</v>
      </c>
      <c r="E204" s="270"/>
      <c r="F204" s="270"/>
      <c r="G204" s="270"/>
      <c r="H204" s="270"/>
      <c r="I204" s="270"/>
      <c r="J204" s="270"/>
      <c r="K204" s="270"/>
      <c r="L204" s="270"/>
      <c r="M204" s="270"/>
      <c r="N204" s="270"/>
      <c r="O204" s="83"/>
      <c r="P204" s="83"/>
      <c r="Q204" s="83"/>
      <c r="R204" s="83"/>
      <c r="S204" s="83"/>
      <c r="T204" s="83"/>
      <c r="U204" s="83"/>
      <c r="V204" s="83"/>
      <c r="W204" s="83"/>
      <c r="X204" s="83"/>
      <c r="Y204" s="83"/>
      <c r="Z204" s="83"/>
      <c r="AA204" s="83"/>
      <c r="AB204" s="83"/>
      <c r="AC204" s="83"/>
      <c r="AD204" s="83"/>
      <c r="AE204" s="83"/>
      <c r="AF204" s="83"/>
      <c r="AG204" s="83"/>
      <c r="AH204" s="281">
        <f>IFERROR(-Z149,0)</f>
        <v>0</v>
      </c>
      <c r="AI204" s="281"/>
      <c r="AJ204" s="281"/>
      <c r="AK204" s="281"/>
      <c r="AL204" s="281"/>
      <c r="AM204" s="281"/>
      <c r="AN204" s="281" t="str">
        <f t="shared" si="12"/>
        <v/>
      </c>
      <c r="AO204" s="281"/>
      <c r="AP204" s="281"/>
      <c r="AQ204" s="281"/>
      <c r="AR204" s="281"/>
      <c r="AS204" s="83"/>
      <c r="AT204" s="287" t="str">
        <f t="shared" si="13"/>
        <v/>
      </c>
      <c r="AU204" s="287"/>
      <c r="AV204" s="287"/>
      <c r="AW204" s="287"/>
    </row>
    <row r="205" spans="2:49" ht="22.5" customHeight="1" x14ac:dyDescent="0.25">
      <c r="B205" s="273"/>
      <c r="C205" s="273"/>
      <c r="D205" s="270" t="s">
        <v>6200</v>
      </c>
      <c r="E205" s="270"/>
      <c r="F205" s="270"/>
      <c r="G205" s="270"/>
      <c r="H205" s="270"/>
      <c r="I205" s="270"/>
      <c r="J205" s="270"/>
      <c r="K205" s="270"/>
      <c r="L205" s="270"/>
      <c r="M205" s="270"/>
      <c r="N205" s="270"/>
      <c r="O205" s="83"/>
      <c r="P205" s="83"/>
      <c r="Q205" s="83"/>
      <c r="R205" s="83"/>
      <c r="S205" s="83"/>
      <c r="T205" s="83"/>
      <c r="U205" s="83"/>
      <c r="V205" s="83"/>
      <c r="W205" s="83"/>
      <c r="X205" s="83"/>
      <c r="Y205" s="83"/>
      <c r="Z205" s="83"/>
      <c r="AA205" s="83"/>
      <c r="AB205" s="83"/>
      <c r="AC205" s="83"/>
      <c r="AD205" s="83"/>
      <c r="AE205" s="83"/>
      <c r="AF205" s="83"/>
      <c r="AG205" s="83"/>
      <c r="AH205" s="281">
        <f>IFERROR(-Z150,0)</f>
        <v>0</v>
      </c>
      <c r="AI205" s="281"/>
      <c r="AJ205" s="281"/>
      <c r="AK205" s="281"/>
      <c r="AL205" s="281"/>
      <c r="AM205" s="281"/>
      <c r="AN205" s="281" t="str">
        <f t="shared" si="12"/>
        <v/>
      </c>
      <c r="AO205" s="281"/>
      <c r="AP205" s="281"/>
      <c r="AQ205" s="281"/>
      <c r="AR205" s="281"/>
      <c r="AS205" s="83"/>
      <c r="AT205" s="287" t="str">
        <f t="shared" si="13"/>
        <v/>
      </c>
      <c r="AU205" s="287"/>
      <c r="AV205" s="287"/>
      <c r="AW205" s="287"/>
    </row>
    <row r="206" spans="2:49" ht="22.5" customHeight="1" x14ac:dyDescent="0.25">
      <c r="B206" s="273"/>
      <c r="C206" s="273"/>
      <c r="D206" s="270" t="s">
        <v>6226</v>
      </c>
      <c r="E206" s="270"/>
      <c r="F206" s="270"/>
      <c r="G206" s="270"/>
      <c r="H206" s="270"/>
      <c r="I206" s="270"/>
      <c r="J206" s="270"/>
      <c r="K206" s="270"/>
      <c r="L206" s="270"/>
      <c r="M206" s="270"/>
      <c r="N206" s="270"/>
      <c r="O206" s="83"/>
      <c r="P206" s="83"/>
      <c r="Q206" s="83"/>
      <c r="R206" s="83"/>
      <c r="S206" s="83"/>
      <c r="T206" s="83"/>
      <c r="U206" s="83"/>
      <c r="V206" s="83"/>
      <c r="W206" s="83"/>
      <c r="X206" s="83"/>
      <c r="Y206" s="83"/>
      <c r="Z206" s="83"/>
      <c r="AA206" s="83"/>
      <c r="AB206" s="83"/>
      <c r="AC206" s="83"/>
      <c r="AD206" s="83"/>
      <c r="AE206" s="83"/>
      <c r="AF206" s="83"/>
      <c r="AG206" s="83"/>
      <c r="AH206" s="281">
        <f>IFERROR(-AP149+AP151,0)</f>
        <v>0</v>
      </c>
      <c r="AI206" s="281"/>
      <c r="AJ206" s="281"/>
      <c r="AK206" s="281"/>
      <c r="AL206" s="281"/>
      <c r="AM206" s="281"/>
      <c r="AN206" s="281" t="str">
        <f t="shared" si="12"/>
        <v/>
      </c>
      <c r="AO206" s="281"/>
      <c r="AP206" s="281"/>
      <c r="AQ206" s="281"/>
      <c r="AR206" s="281"/>
      <c r="AS206" s="83"/>
      <c r="AT206" s="287" t="str">
        <f t="shared" si="13"/>
        <v/>
      </c>
      <c r="AU206" s="287"/>
      <c r="AV206" s="287"/>
      <c r="AW206" s="287"/>
    </row>
    <row r="207" spans="2:49" ht="22.5" customHeight="1" thickBot="1" x14ac:dyDescent="0.3">
      <c r="B207" s="274"/>
      <c r="C207" s="274"/>
      <c r="D207" s="272" t="s">
        <v>6202</v>
      </c>
      <c r="E207" s="272"/>
      <c r="F207" s="272"/>
      <c r="G207" s="272"/>
      <c r="H207" s="272"/>
      <c r="I207" s="272"/>
      <c r="J207" s="272"/>
      <c r="K207" s="272"/>
      <c r="L207" s="272"/>
      <c r="M207" s="272"/>
      <c r="N207" s="272"/>
      <c r="O207" s="84"/>
      <c r="P207" s="84"/>
      <c r="Q207" s="84"/>
      <c r="R207" s="84"/>
      <c r="S207" s="84"/>
      <c r="T207" s="84"/>
      <c r="U207" s="84"/>
      <c r="V207" s="84"/>
      <c r="W207" s="84"/>
      <c r="X207" s="84"/>
      <c r="Y207" s="84"/>
      <c r="Z207" s="84"/>
      <c r="AA207" s="84"/>
      <c r="AB207" s="84"/>
      <c r="AC207" s="84"/>
      <c r="AD207" s="84"/>
      <c r="AE207" s="84"/>
      <c r="AF207" s="84"/>
      <c r="AG207" s="84"/>
      <c r="AH207" s="282">
        <f>IFERROR(-Z152,0)</f>
        <v>0</v>
      </c>
      <c r="AI207" s="282"/>
      <c r="AJ207" s="282"/>
      <c r="AK207" s="282"/>
      <c r="AL207" s="282"/>
      <c r="AM207" s="282"/>
      <c r="AN207" s="282" t="str">
        <f t="shared" si="12"/>
        <v/>
      </c>
      <c r="AO207" s="282"/>
      <c r="AP207" s="282"/>
      <c r="AQ207" s="282"/>
      <c r="AR207" s="282"/>
      <c r="AS207" s="84"/>
      <c r="AT207" s="288" t="str">
        <f t="shared" si="13"/>
        <v/>
      </c>
      <c r="AU207" s="288"/>
      <c r="AV207" s="288"/>
      <c r="AW207" s="288"/>
    </row>
    <row r="208" spans="2:49" ht="22.5" customHeight="1" x14ac:dyDescent="0.25">
      <c r="B208" s="273" t="s">
        <v>6216</v>
      </c>
      <c r="C208" s="273"/>
      <c r="D208" s="270" t="s">
        <v>6207</v>
      </c>
      <c r="E208" s="270"/>
      <c r="F208" s="270"/>
      <c r="G208" s="270"/>
      <c r="H208" s="270"/>
      <c r="I208" s="270"/>
      <c r="J208" s="270"/>
      <c r="K208" s="270"/>
      <c r="L208" s="270"/>
      <c r="M208" s="270"/>
      <c r="N208" s="270"/>
      <c r="O208" s="82"/>
      <c r="P208" s="82"/>
      <c r="Q208" s="82"/>
      <c r="R208" s="82"/>
      <c r="S208" s="82"/>
      <c r="T208" s="82"/>
      <c r="U208" s="82"/>
      <c r="V208" s="82"/>
      <c r="W208" s="82"/>
      <c r="X208" s="82"/>
      <c r="Y208" s="82"/>
      <c r="Z208" s="82"/>
      <c r="AA208" s="82"/>
      <c r="AB208" s="82"/>
      <c r="AC208" s="82"/>
      <c r="AD208" s="82"/>
      <c r="AE208" s="82"/>
      <c r="AF208" s="82"/>
      <c r="AG208" s="82"/>
      <c r="AH208" s="280">
        <f>IFERROR(-Z159,0)</f>
        <v>0</v>
      </c>
      <c r="AI208" s="280"/>
      <c r="AJ208" s="280"/>
      <c r="AK208" s="280"/>
      <c r="AL208" s="280"/>
      <c r="AM208" s="280"/>
      <c r="AN208" s="280" t="str">
        <f t="shared" si="12"/>
        <v/>
      </c>
      <c r="AO208" s="280"/>
      <c r="AP208" s="280"/>
      <c r="AQ208" s="280"/>
      <c r="AR208" s="280"/>
      <c r="AS208" s="82"/>
      <c r="AT208" s="286" t="str">
        <f t="shared" si="13"/>
        <v/>
      </c>
      <c r="AU208" s="286"/>
      <c r="AV208" s="286"/>
      <c r="AW208" s="286"/>
    </row>
    <row r="209" spans="2:49" ht="22.5" customHeight="1" x14ac:dyDescent="0.25">
      <c r="B209" s="273"/>
      <c r="C209" s="273"/>
      <c r="D209" s="270" t="s">
        <v>6184</v>
      </c>
      <c r="E209" s="270"/>
      <c r="F209" s="270"/>
      <c r="G209" s="270"/>
      <c r="H209" s="270"/>
      <c r="I209" s="270"/>
      <c r="J209" s="270"/>
      <c r="K209" s="270"/>
      <c r="L209" s="270"/>
      <c r="M209" s="270"/>
      <c r="N209" s="270"/>
      <c r="O209" s="83"/>
      <c r="P209" s="83"/>
      <c r="Q209" s="83"/>
      <c r="R209" s="83"/>
      <c r="S209" s="83"/>
      <c r="T209" s="83"/>
      <c r="U209" s="83"/>
      <c r="V209" s="83"/>
      <c r="W209" s="83"/>
      <c r="X209" s="83"/>
      <c r="Y209" s="83"/>
      <c r="Z209" s="83"/>
      <c r="AA209" s="83"/>
      <c r="AB209" s="83"/>
      <c r="AC209" s="83"/>
      <c r="AD209" s="83"/>
      <c r="AE209" s="83"/>
      <c r="AF209" s="83"/>
      <c r="AG209" s="83"/>
      <c r="AH209" s="281">
        <f>IFERROR(-Z160,0)</f>
        <v>0</v>
      </c>
      <c r="AI209" s="281"/>
      <c r="AJ209" s="281"/>
      <c r="AK209" s="281"/>
      <c r="AL209" s="281"/>
      <c r="AM209" s="281"/>
      <c r="AN209" s="281" t="str">
        <f t="shared" si="12"/>
        <v/>
      </c>
      <c r="AO209" s="281"/>
      <c r="AP209" s="281"/>
      <c r="AQ209" s="281"/>
      <c r="AR209" s="281"/>
      <c r="AS209" s="83"/>
      <c r="AT209" s="287" t="str">
        <f t="shared" si="13"/>
        <v/>
      </c>
      <c r="AU209" s="287"/>
      <c r="AV209" s="287"/>
      <c r="AW209" s="287"/>
    </row>
    <row r="210" spans="2:49" ht="22.5" customHeight="1" x14ac:dyDescent="0.25">
      <c r="B210" s="273"/>
      <c r="C210" s="273"/>
      <c r="D210" s="270" t="s">
        <v>6208</v>
      </c>
      <c r="E210" s="270"/>
      <c r="F210" s="270"/>
      <c r="G210" s="270"/>
      <c r="H210" s="270"/>
      <c r="I210" s="270"/>
      <c r="J210" s="270"/>
      <c r="K210" s="270"/>
      <c r="L210" s="270"/>
      <c r="M210" s="270"/>
      <c r="N210" s="270"/>
      <c r="O210" s="83"/>
      <c r="P210" s="83"/>
      <c r="Q210" s="83"/>
      <c r="R210" s="83"/>
      <c r="S210" s="83"/>
      <c r="T210" s="83"/>
      <c r="U210" s="83"/>
      <c r="V210" s="83"/>
      <c r="W210" s="83"/>
      <c r="X210" s="83"/>
      <c r="Y210" s="83"/>
      <c r="Z210" s="83"/>
      <c r="AA210" s="83"/>
      <c r="AB210" s="83"/>
      <c r="AC210" s="83"/>
      <c r="AD210" s="83"/>
      <c r="AE210" s="83"/>
      <c r="AF210" s="83"/>
      <c r="AG210" s="83"/>
      <c r="AH210" s="281">
        <f>IFERROR(-Z161,0)</f>
        <v>0</v>
      </c>
      <c r="AI210" s="281"/>
      <c r="AJ210" s="281"/>
      <c r="AK210" s="281"/>
      <c r="AL210" s="281"/>
      <c r="AM210" s="281"/>
      <c r="AN210" s="281" t="str">
        <f t="shared" si="12"/>
        <v/>
      </c>
      <c r="AO210" s="281"/>
      <c r="AP210" s="281"/>
      <c r="AQ210" s="281"/>
      <c r="AR210" s="281"/>
      <c r="AS210" s="83"/>
      <c r="AT210" s="287" t="str">
        <f t="shared" si="13"/>
        <v/>
      </c>
      <c r="AU210" s="287"/>
      <c r="AV210" s="287"/>
      <c r="AW210" s="287"/>
    </row>
    <row r="211" spans="2:49" ht="22.5" customHeight="1" thickBot="1" x14ac:dyDescent="0.3">
      <c r="B211" s="274"/>
      <c r="C211" s="274"/>
      <c r="D211" s="272" t="s">
        <v>6202</v>
      </c>
      <c r="E211" s="272"/>
      <c r="F211" s="272"/>
      <c r="G211" s="272"/>
      <c r="H211" s="272"/>
      <c r="I211" s="272"/>
      <c r="J211" s="272"/>
      <c r="K211" s="272"/>
      <c r="L211" s="272"/>
      <c r="M211" s="272"/>
      <c r="N211" s="272"/>
      <c r="O211" s="84"/>
      <c r="P211" s="84"/>
      <c r="Q211" s="84"/>
      <c r="R211" s="84"/>
      <c r="S211" s="84"/>
      <c r="T211" s="84"/>
      <c r="U211" s="84"/>
      <c r="V211" s="84"/>
      <c r="W211" s="84"/>
      <c r="X211" s="84"/>
      <c r="Y211" s="84"/>
      <c r="Z211" s="84"/>
      <c r="AA211" s="84"/>
      <c r="AB211" s="84"/>
      <c r="AC211" s="84"/>
      <c r="AD211" s="84"/>
      <c r="AE211" s="84"/>
      <c r="AF211" s="84"/>
      <c r="AG211" s="84"/>
      <c r="AH211" s="282">
        <f>IFERROR(-Z162,0)</f>
        <v>0</v>
      </c>
      <c r="AI211" s="282"/>
      <c r="AJ211" s="282"/>
      <c r="AK211" s="282"/>
      <c r="AL211" s="282"/>
      <c r="AM211" s="282"/>
      <c r="AN211" s="282" t="str">
        <f t="shared" si="12"/>
        <v/>
      </c>
      <c r="AO211" s="282"/>
      <c r="AP211" s="282"/>
      <c r="AQ211" s="282"/>
      <c r="AR211" s="282"/>
      <c r="AS211" s="84"/>
      <c r="AT211" s="288" t="str">
        <f t="shared" si="13"/>
        <v/>
      </c>
      <c r="AU211" s="288"/>
      <c r="AV211" s="288"/>
      <c r="AW211" s="288"/>
    </row>
    <row r="212" spans="2:49" ht="22.5" customHeight="1" x14ac:dyDescent="0.25">
      <c r="B212" s="80"/>
      <c r="C212" s="80"/>
      <c r="D212" s="270" t="s">
        <v>6227</v>
      </c>
      <c r="E212" s="270"/>
      <c r="F212" s="270"/>
      <c r="G212" s="270"/>
      <c r="H212" s="270"/>
      <c r="I212" s="270"/>
      <c r="J212" s="270"/>
      <c r="K212" s="270"/>
      <c r="L212" s="270"/>
      <c r="M212" s="270"/>
      <c r="N212" s="270"/>
      <c r="O212" s="82"/>
      <c r="P212" s="82"/>
      <c r="Q212" s="82"/>
      <c r="R212" s="82"/>
      <c r="S212" s="82"/>
      <c r="T212" s="82"/>
      <c r="U212" s="82"/>
      <c r="V212" s="82"/>
      <c r="W212" s="82"/>
      <c r="X212" s="82"/>
      <c r="Y212" s="82"/>
      <c r="Z212" s="82"/>
      <c r="AA212" s="82"/>
      <c r="AB212" s="82"/>
      <c r="AC212" s="82"/>
      <c r="AD212" s="82"/>
      <c r="AE212" s="82"/>
      <c r="AF212" s="82"/>
      <c r="AG212" s="82"/>
      <c r="AH212" s="280">
        <f>IFERROR(-U172,0)</f>
        <v>0</v>
      </c>
      <c r="AI212" s="280"/>
      <c r="AJ212" s="280"/>
      <c r="AK212" s="280"/>
      <c r="AL212" s="280"/>
      <c r="AM212" s="280"/>
      <c r="AN212" s="280" t="str">
        <f t="shared" si="12"/>
        <v/>
      </c>
      <c r="AO212" s="280"/>
      <c r="AP212" s="280"/>
      <c r="AQ212" s="280"/>
      <c r="AR212" s="280"/>
      <c r="AS212" s="82"/>
      <c r="AT212" s="286" t="str">
        <f t="shared" si="13"/>
        <v/>
      </c>
      <c r="AU212" s="286"/>
      <c r="AV212" s="286"/>
      <c r="AW212" s="286"/>
    </row>
    <row r="213" spans="2:49" ht="22.5" customHeight="1" thickBot="1" x14ac:dyDescent="0.3">
      <c r="B213" s="81"/>
      <c r="C213" s="81"/>
      <c r="D213" s="272" t="s">
        <v>6228</v>
      </c>
      <c r="E213" s="272"/>
      <c r="F213" s="272"/>
      <c r="G213" s="272"/>
      <c r="H213" s="272"/>
      <c r="I213" s="272"/>
      <c r="J213" s="272"/>
      <c r="K213" s="272"/>
      <c r="L213" s="272"/>
      <c r="M213" s="272"/>
      <c r="N213" s="272"/>
      <c r="O213" s="84"/>
      <c r="P213" s="84"/>
      <c r="Q213" s="84"/>
      <c r="R213" s="84"/>
      <c r="S213" s="84"/>
      <c r="T213" s="84"/>
      <c r="U213" s="84"/>
      <c r="V213" s="84"/>
      <c r="W213" s="84"/>
      <c r="X213" s="84"/>
      <c r="Y213" s="84"/>
      <c r="Z213" s="84"/>
      <c r="AA213" s="84"/>
      <c r="AB213" s="84"/>
      <c r="AC213" s="84"/>
      <c r="AD213" s="84"/>
      <c r="AE213" s="84"/>
      <c r="AF213" s="84"/>
      <c r="AG213" s="84"/>
      <c r="AH213" s="282">
        <f>IFERROR(-Z177,0)</f>
        <v>0</v>
      </c>
      <c r="AI213" s="282"/>
      <c r="AJ213" s="282"/>
      <c r="AK213" s="282"/>
      <c r="AL213" s="282"/>
      <c r="AM213" s="282"/>
      <c r="AN213" s="282" t="str">
        <f t="shared" si="12"/>
        <v/>
      </c>
      <c r="AO213" s="282"/>
      <c r="AP213" s="282"/>
      <c r="AQ213" s="282"/>
      <c r="AR213" s="282"/>
      <c r="AS213" s="84"/>
      <c r="AT213" s="288" t="str">
        <f t="shared" si="13"/>
        <v/>
      </c>
      <c r="AU213" s="288"/>
      <c r="AV213" s="288"/>
      <c r="AW213" s="288"/>
    </row>
    <row r="214" spans="2:49" ht="22.5" customHeight="1" x14ac:dyDescent="0.25">
      <c r="B214" s="86"/>
      <c r="C214" s="86"/>
      <c r="D214" s="275" t="s">
        <v>6230</v>
      </c>
      <c r="E214" s="275"/>
      <c r="F214" s="275"/>
      <c r="G214" s="275"/>
      <c r="H214" s="275"/>
      <c r="I214" s="275"/>
      <c r="J214" s="275"/>
      <c r="K214" s="275"/>
      <c r="L214" s="275"/>
      <c r="M214" s="275"/>
      <c r="N214" s="275"/>
      <c r="O214" s="87"/>
      <c r="P214" s="87"/>
      <c r="Q214" s="87"/>
      <c r="R214" s="87"/>
      <c r="S214" s="87"/>
      <c r="T214" s="87"/>
      <c r="U214" s="87"/>
      <c r="V214" s="87"/>
      <c r="W214" s="87"/>
      <c r="X214" s="87"/>
      <c r="Y214" s="87"/>
      <c r="Z214" s="87"/>
      <c r="AA214" s="87"/>
      <c r="AB214" s="87"/>
      <c r="AC214" s="87"/>
      <c r="AD214" s="87"/>
      <c r="AE214" s="87"/>
      <c r="AF214" s="87"/>
      <c r="AG214" s="87"/>
      <c r="AH214" s="283">
        <f>SUM(AH181:AM213)</f>
        <v>0</v>
      </c>
      <c r="AI214" s="284"/>
      <c r="AJ214" s="284"/>
      <c r="AK214" s="284"/>
      <c r="AL214" s="284"/>
      <c r="AM214" s="284"/>
      <c r="AN214" s="283" t="str">
        <f t="shared" si="12"/>
        <v/>
      </c>
      <c r="AO214" s="283"/>
      <c r="AP214" s="283"/>
      <c r="AQ214" s="283"/>
      <c r="AR214" s="283"/>
      <c r="AS214" s="87"/>
      <c r="AT214" s="289" t="str">
        <f>IFERROR(AH214/AH181,"")</f>
        <v/>
      </c>
      <c r="AU214" s="289"/>
      <c r="AV214" s="289"/>
      <c r="AW214" s="289"/>
    </row>
    <row r="215" spans="2:49" ht="22.5" customHeight="1" x14ac:dyDescent="0.25"/>
    <row r="216" spans="2:49" ht="18.75" customHeight="1" x14ac:dyDescent="0.25"/>
    <row r="217" spans="2:49" ht="18.75" customHeight="1" x14ac:dyDescent="0.25"/>
    <row r="218" spans="2:49" ht="18.75" customHeight="1" x14ac:dyDescent="0.25"/>
    <row r="219" spans="2:49" ht="15" customHeight="1" x14ac:dyDescent="0.25"/>
    <row r="220" spans="2:49" ht="15" customHeight="1" x14ac:dyDescent="0.25"/>
    <row r="221" spans="2:49" ht="15" customHeight="1" x14ac:dyDescent="0.25"/>
    <row r="222" spans="2:49" ht="15" customHeight="1" x14ac:dyDescent="0.25"/>
    <row r="223" spans="2:49" ht="15" customHeight="1" x14ac:dyDescent="0.25"/>
    <row r="224" spans="2:49" ht="15" customHeight="1" x14ac:dyDescent="0.25"/>
    <row r="225" ht="15" customHeight="1" x14ac:dyDescent="0.25"/>
    <row r="226"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5" customHeight="1" x14ac:dyDescent="0.25"/>
    <row r="236" ht="15" customHeight="1" x14ac:dyDescent="0.25"/>
    <row r="237" ht="15" customHeight="1" x14ac:dyDescent="0.25"/>
    <row r="238" ht="1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sheetData>
  <sheetProtection sheet="1" objects="1" scenarios="1" selectLockedCells="1"/>
  <mergeCells count="736">
    <mergeCell ref="AI127:AM127"/>
    <mergeCell ref="AN127:AR127"/>
    <mergeCell ref="AI129:AR129"/>
    <mergeCell ref="B14:J14"/>
    <mergeCell ref="K14:S14"/>
    <mergeCell ref="T14:Y14"/>
    <mergeCell ref="Z14:AH14"/>
    <mergeCell ref="AI14:AQ14"/>
    <mergeCell ref="AR14:AW14"/>
    <mergeCell ref="B18:J18"/>
    <mergeCell ref="K18:S18"/>
    <mergeCell ref="T18:Y18"/>
    <mergeCell ref="Z18:AH18"/>
    <mergeCell ref="AI18:AQ18"/>
    <mergeCell ref="AR18:AW18"/>
    <mergeCell ref="B17:J17"/>
    <mergeCell ref="K17:S17"/>
    <mergeCell ref="T17:Y17"/>
    <mergeCell ref="Z17:AH17"/>
    <mergeCell ref="AI17:AQ17"/>
    <mergeCell ref="AR17:AW17"/>
    <mergeCell ref="B20:J20"/>
    <mergeCell ref="K20:S20"/>
    <mergeCell ref="T20:Y20"/>
    <mergeCell ref="AR6:AW6"/>
    <mergeCell ref="B10:G10"/>
    <mergeCell ref="H10:S10"/>
    <mergeCell ref="T10:Y10"/>
    <mergeCell ref="Z10:AH10"/>
    <mergeCell ref="AI10:AN10"/>
    <mergeCell ref="AO10:AW10"/>
    <mergeCell ref="B16:J16"/>
    <mergeCell ref="K16:S16"/>
    <mergeCell ref="T16:Y16"/>
    <mergeCell ref="Z16:AH16"/>
    <mergeCell ref="AI16:AQ16"/>
    <mergeCell ref="AR16:AW16"/>
    <mergeCell ref="B15:J15"/>
    <mergeCell ref="K15:S15"/>
    <mergeCell ref="T15:Y15"/>
    <mergeCell ref="Z15:AH15"/>
    <mergeCell ref="AI15:AQ15"/>
    <mergeCell ref="AR15:AW15"/>
    <mergeCell ref="Z20:AH20"/>
    <mergeCell ref="AI20:AQ20"/>
    <mergeCell ref="AR20:AW20"/>
    <mergeCell ref="B19:J19"/>
    <mergeCell ref="K19:S19"/>
    <mergeCell ref="T19:Y19"/>
    <mergeCell ref="Z19:AH19"/>
    <mergeCell ref="AI19:AQ19"/>
    <mergeCell ref="AR19:AW19"/>
    <mergeCell ref="B22:J22"/>
    <mergeCell ref="K22:S22"/>
    <mergeCell ref="T22:Y22"/>
    <mergeCell ref="Z22:AH22"/>
    <mergeCell ref="AI22:AQ22"/>
    <mergeCell ref="AR22:AW22"/>
    <mergeCell ref="B21:J21"/>
    <mergeCell ref="K21:S21"/>
    <mergeCell ref="T21:Y21"/>
    <mergeCell ref="Z21:AH21"/>
    <mergeCell ref="AI21:AQ21"/>
    <mergeCell ref="AR21:AW21"/>
    <mergeCell ref="B24:J24"/>
    <mergeCell ref="K24:S24"/>
    <mergeCell ref="T24:Y24"/>
    <mergeCell ref="Z24:AH24"/>
    <mergeCell ref="AI24:AQ24"/>
    <mergeCell ref="AR24:AW24"/>
    <mergeCell ref="B23:J23"/>
    <mergeCell ref="K23:S23"/>
    <mergeCell ref="T23:Y23"/>
    <mergeCell ref="Z23:AH23"/>
    <mergeCell ref="AI23:AQ23"/>
    <mergeCell ref="AR23:AW23"/>
    <mergeCell ref="B26:J26"/>
    <mergeCell ref="K26:S26"/>
    <mergeCell ref="T26:Y26"/>
    <mergeCell ref="Z26:AH26"/>
    <mergeCell ref="AI26:AQ26"/>
    <mergeCell ref="AR26:AW26"/>
    <mergeCell ref="B25:J25"/>
    <mergeCell ref="K25:S25"/>
    <mergeCell ref="T25:Y25"/>
    <mergeCell ref="Z25:AH25"/>
    <mergeCell ref="AI25:AQ25"/>
    <mergeCell ref="AR25:AW25"/>
    <mergeCell ref="AI28:AQ28"/>
    <mergeCell ref="AR28:AW28"/>
    <mergeCell ref="B30:E30"/>
    <mergeCell ref="F30:I30"/>
    <mergeCell ref="J30:J34"/>
    <mergeCell ref="K30:K34"/>
    <mergeCell ref="L30:L34"/>
    <mergeCell ref="M30:M34"/>
    <mergeCell ref="N30:N34"/>
    <mergeCell ref="O30:O34"/>
    <mergeCell ref="AF30:AF34"/>
    <mergeCell ref="AG30:AG34"/>
    <mergeCell ref="V30:V34"/>
    <mergeCell ref="W30:W34"/>
    <mergeCell ref="X30:X34"/>
    <mergeCell ref="Y30:Y34"/>
    <mergeCell ref="Z30:Z34"/>
    <mergeCell ref="AA30:AA34"/>
    <mergeCell ref="P30:P34"/>
    <mergeCell ref="Q30:Q34"/>
    <mergeCell ref="R30:R34"/>
    <mergeCell ref="S30:S34"/>
    <mergeCell ref="T30:T34"/>
    <mergeCell ref="U30:U34"/>
    <mergeCell ref="AT30:AT34"/>
    <mergeCell ref="AU30:AU34"/>
    <mergeCell ref="AV30:AV34"/>
    <mergeCell ref="AW30:AW34"/>
    <mergeCell ref="B32:E32"/>
    <mergeCell ref="F32:I32"/>
    <mergeCell ref="B34:E34"/>
    <mergeCell ref="F34:I34"/>
    <mergeCell ref="AN30:AN34"/>
    <mergeCell ref="AO30:AO34"/>
    <mergeCell ref="AP30:AP34"/>
    <mergeCell ref="AQ30:AQ34"/>
    <mergeCell ref="AR30:AR34"/>
    <mergeCell ref="AS30:AS34"/>
    <mergeCell ref="AH30:AH34"/>
    <mergeCell ref="AI30:AI34"/>
    <mergeCell ref="AJ30:AJ34"/>
    <mergeCell ref="AK30:AK34"/>
    <mergeCell ref="AL30:AL34"/>
    <mergeCell ref="AM30:AM34"/>
    <mergeCell ref="AB30:AB34"/>
    <mergeCell ref="AC30:AC34"/>
    <mergeCell ref="AD30:AD34"/>
    <mergeCell ref="AE30:AE34"/>
    <mergeCell ref="B38:E38"/>
    <mergeCell ref="F38:I38"/>
    <mergeCell ref="B39:E39"/>
    <mergeCell ref="F39:I39"/>
    <mergeCell ref="J43:Q43"/>
    <mergeCell ref="R43:AG43"/>
    <mergeCell ref="B35:E35"/>
    <mergeCell ref="F35:I35"/>
    <mergeCell ref="B36:E36"/>
    <mergeCell ref="F36:I36"/>
    <mergeCell ref="B37:E37"/>
    <mergeCell ref="F37:I37"/>
    <mergeCell ref="B45:I45"/>
    <mergeCell ref="J45:Q45"/>
    <mergeCell ref="R45:AA45"/>
    <mergeCell ref="AB45:AG45"/>
    <mergeCell ref="AH45:AQ45"/>
    <mergeCell ref="AR45:AW45"/>
    <mergeCell ref="AH43:AW43"/>
    <mergeCell ref="B44:I44"/>
    <mergeCell ref="J44:Q44"/>
    <mergeCell ref="R44:AA44"/>
    <mergeCell ref="AB44:AG44"/>
    <mergeCell ref="AH44:AQ44"/>
    <mergeCell ref="AR44:AW44"/>
    <mergeCell ref="B49:I49"/>
    <mergeCell ref="J49:Q49"/>
    <mergeCell ref="Z49:AG49"/>
    <mergeCell ref="AH49:AO49"/>
    <mergeCell ref="B50:I50"/>
    <mergeCell ref="J50:Q50"/>
    <mergeCell ref="B46:I46"/>
    <mergeCell ref="J46:Q46"/>
    <mergeCell ref="R46:AG46"/>
    <mergeCell ref="AH46:AW46"/>
    <mergeCell ref="B48:I48"/>
    <mergeCell ref="J48:Q48"/>
    <mergeCell ref="Z48:AG48"/>
    <mergeCell ref="AH48:AO48"/>
    <mergeCell ref="B57:I57"/>
    <mergeCell ref="J57:Q57"/>
    <mergeCell ref="Z57:AO57"/>
    <mergeCell ref="B58:I58"/>
    <mergeCell ref="J58:M58"/>
    <mergeCell ref="N58:Q58"/>
    <mergeCell ref="B54:I54"/>
    <mergeCell ref="J54:Q54"/>
    <mergeCell ref="B55:I55"/>
    <mergeCell ref="J55:Q55"/>
    <mergeCell ref="Z55:AO55"/>
    <mergeCell ref="B56:I56"/>
    <mergeCell ref="J56:Q56"/>
    <mergeCell ref="Z56:AO56"/>
    <mergeCell ref="Z61:AO61"/>
    <mergeCell ref="Z62:AO62"/>
    <mergeCell ref="B63:I63"/>
    <mergeCell ref="J63:Q63"/>
    <mergeCell ref="Z63:AO63"/>
    <mergeCell ref="B64:I64"/>
    <mergeCell ref="J64:Q64"/>
    <mergeCell ref="B60:I60"/>
    <mergeCell ref="J60:M60"/>
    <mergeCell ref="N60:Q60"/>
    <mergeCell ref="B61:I61"/>
    <mergeCell ref="J61:M61"/>
    <mergeCell ref="N61:Q61"/>
    <mergeCell ref="R71:V71"/>
    <mergeCell ref="B72:Q72"/>
    <mergeCell ref="R72:V72"/>
    <mergeCell ref="B74:L74"/>
    <mergeCell ref="M74:Q74"/>
    <mergeCell ref="R74:V74"/>
    <mergeCell ref="B68:Q68"/>
    <mergeCell ref="R68:V68"/>
    <mergeCell ref="B69:Q69"/>
    <mergeCell ref="R69:V69"/>
    <mergeCell ref="B70:Q70"/>
    <mergeCell ref="R70:V70"/>
    <mergeCell ref="W74:AA74"/>
    <mergeCell ref="AB74:AF74"/>
    <mergeCell ref="AG74:AW74"/>
    <mergeCell ref="B75:L75"/>
    <mergeCell ref="M75:Q75"/>
    <mergeCell ref="R75:V75"/>
    <mergeCell ref="W75:AA75"/>
    <mergeCell ref="AB75:AF75"/>
    <mergeCell ref="AG75:AW75"/>
    <mergeCell ref="B77:L77"/>
    <mergeCell ref="M77:Q77"/>
    <mergeCell ref="R77:V77"/>
    <mergeCell ref="W77:AA77"/>
    <mergeCell ref="AB77:AF77"/>
    <mergeCell ref="AG77:AW77"/>
    <mergeCell ref="B76:L76"/>
    <mergeCell ref="M76:Q76"/>
    <mergeCell ref="R76:V76"/>
    <mergeCell ref="W76:AA76"/>
    <mergeCell ref="AB76:AF76"/>
    <mergeCell ref="AG76:AW76"/>
    <mergeCell ref="B79:L79"/>
    <mergeCell ref="M79:Q79"/>
    <mergeCell ref="R79:V79"/>
    <mergeCell ref="W79:AA79"/>
    <mergeCell ref="AB79:AF79"/>
    <mergeCell ref="AG79:AW79"/>
    <mergeCell ref="B78:L78"/>
    <mergeCell ref="M78:Q78"/>
    <mergeCell ref="R78:V78"/>
    <mergeCell ref="W78:AA78"/>
    <mergeCell ref="AB78:AF78"/>
    <mergeCell ref="AG78:AW78"/>
    <mergeCell ref="B81:L81"/>
    <mergeCell ref="M81:Q81"/>
    <mergeCell ref="R81:V81"/>
    <mergeCell ref="W81:AA81"/>
    <mergeCell ref="AB81:AF81"/>
    <mergeCell ref="AG81:AW81"/>
    <mergeCell ref="B80:L80"/>
    <mergeCell ref="M80:Q80"/>
    <mergeCell ref="R80:V80"/>
    <mergeCell ref="W80:AA80"/>
    <mergeCell ref="AB80:AF80"/>
    <mergeCell ref="AG80:AW80"/>
    <mergeCell ref="B83:L83"/>
    <mergeCell ref="M83:Q83"/>
    <mergeCell ref="R83:V83"/>
    <mergeCell ref="W83:AA83"/>
    <mergeCell ref="AB83:AF83"/>
    <mergeCell ref="AG83:AW83"/>
    <mergeCell ref="B82:L82"/>
    <mergeCell ref="M82:Q82"/>
    <mergeCell ref="R82:V82"/>
    <mergeCell ref="W82:AA82"/>
    <mergeCell ref="AB82:AF82"/>
    <mergeCell ref="AG82:AW82"/>
    <mergeCell ref="B85:L85"/>
    <mergeCell ref="M85:Q85"/>
    <mergeCell ref="R85:V85"/>
    <mergeCell ref="W85:AA85"/>
    <mergeCell ref="AB85:AF85"/>
    <mergeCell ref="AG85:AW85"/>
    <mergeCell ref="B84:L84"/>
    <mergeCell ref="M84:Q84"/>
    <mergeCell ref="R84:V84"/>
    <mergeCell ref="W84:AA84"/>
    <mergeCell ref="AB84:AF84"/>
    <mergeCell ref="AG84:AW84"/>
    <mergeCell ref="AG88:AW88"/>
    <mergeCell ref="B87:L87"/>
    <mergeCell ref="M87:Q87"/>
    <mergeCell ref="R87:V87"/>
    <mergeCell ref="W87:AA87"/>
    <mergeCell ref="AB87:AF87"/>
    <mergeCell ref="AG87:AW87"/>
    <mergeCell ref="B86:L86"/>
    <mergeCell ref="M86:Q86"/>
    <mergeCell ref="R86:V86"/>
    <mergeCell ref="W86:AA86"/>
    <mergeCell ref="AB86:AF86"/>
    <mergeCell ref="AG86:AW86"/>
    <mergeCell ref="R90:AA90"/>
    <mergeCell ref="AB90:AF90"/>
    <mergeCell ref="R91:AA91"/>
    <mergeCell ref="AB91:AF91"/>
    <mergeCell ref="R92:AA92"/>
    <mergeCell ref="AB92:AF92"/>
    <mergeCell ref="B88:L88"/>
    <mergeCell ref="M88:Q88"/>
    <mergeCell ref="R88:V88"/>
    <mergeCell ref="W88:AA88"/>
    <mergeCell ref="AB88:AF88"/>
    <mergeCell ref="B95:Q95"/>
    <mergeCell ref="R95:V95"/>
    <mergeCell ref="W95:AA95"/>
    <mergeCell ref="AB95:AF95"/>
    <mergeCell ref="AG95:AK95"/>
    <mergeCell ref="AL95:AW95"/>
    <mergeCell ref="B94:Q94"/>
    <mergeCell ref="R94:V94"/>
    <mergeCell ref="W94:AA94"/>
    <mergeCell ref="AB94:AF94"/>
    <mergeCell ref="AG94:AK94"/>
    <mergeCell ref="AL94:AW94"/>
    <mergeCell ref="B97:Q97"/>
    <mergeCell ref="R97:V97"/>
    <mergeCell ref="W97:AA97"/>
    <mergeCell ref="AB97:AF97"/>
    <mergeCell ref="AG97:AK97"/>
    <mergeCell ref="AL97:AW97"/>
    <mergeCell ref="B96:Q96"/>
    <mergeCell ref="R96:V96"/>
    <mergeCell ref="W96:AA96"/>
    <mergeCell ref="AB96:AF96"/>
    <mergeCell ref="AG96:AK96"/>
    <mergeCell ref="AL96:AW96"/>
    <mergeCell ref="B99:Q99"/>
    <mergeCell ref="R99:V99"/>
    <mergeCell ref="W99:AA99"/>
    <mergeCell ref="AB99:AF99"/>
    <mergeCell ref="AG99:AK99"/>
    <mergeCell ref="AL99:AW99"/>
    <mergeCell ref="B98:Q98"/>
    <mergeCell ref="R98:V98"/>
    <mergeCell ref="W98:AA98"/>
    <mergeCell ref="AB98:AF98"/>
    <mergeCell ref="AG98:AK98"/>
    <mergeCell ref="AL98:AW98"/>
    <mergeCell ref="B101:Q101"/>
    <mergeCell ref="R101:V101"/>
    <mergeCell ref="W101:AA101"/>
    <mergeCell ref="AB101:AF101"/>
    <mergeCell ref="AG101:AK101"/>
    <mergeCell ref="AL101:AW101"/>
    <mergeCell ref="B100:Q100"/>
    <mergeCell ref="R100:V100"/>
    <mergeCell ref="W100:AA100"/>
    <mergeCell ref="AB100:AF100"/>
    <mergeCell ref="AG100:AK100"/>
    <mergeCell ref="AL100:AW100"/>
    <mergeCell ref="B103:Q103"/>
    <mergeCell ref="R103:V103"/>
    <mergeCell ref="W103:AA103"/>
    <mergeCell ref="AB103:AF103"/>
    <mergeCell ref="AG103:AK103"/>
    <mergeCell ref="AL103:AW103"/>
    <mergeCell ref="B102:Q102"/>
    <mergeCell ref="R102:V102"/>
    <mergeCell ref="W102:AA102"/>
    <mergeCell ref="AB102:AF102"/>
    <mergeCell ref="AG102:AK102"/>
    <mergeCell ref="AL102:AW102"/>
    <mergeCell ref="B105:Q105"/>
    <mergeCell ref="R105:V105"/>
    <mergeCell ref="W105:AA105"/>
    <mergeCell ref="AB105:AF105"/>
    <mergeCell ref="AG105:AK105"/>
    <mergeCell ref="AL105:AW105"/>
    <mergeCell ref="B104:Q104"/>
    <mergeCell ref="R104:V104"/>
    <mergeCell ref="W104:AA104"/>
    <mergeCell ref="AB104:AF104"/>
    <mergeCell ref="AG104:AK104"/>
    <mergeCell ref="AL104:AW104"/>
    <mergeCell ref="B107:Q107"/>
    <mergeCell ref="R107:V107"/>
    <mergeCell ref="W107:AA107"/>
    <mergeCell ref="AB107:AF107"/>
    <mergeCell ref="AG107:AK107"/>
    <mergeCell ref="AL107:AW107"/>
    <mergeCell ref="B106:Q106"/>
    <mergeCell ref="R106:V106"/>
    <mergeCell ref="W106:AA106"/>
    <mergeCell ref="AB106:AF106"/>
    <mergeCell ref="AG106:AK106"/>
    <mergeCell ref="AL106:AW106"/>
    <mergeCell ref="B109:Q109"/>
    <mergeCell ref="R109:V109"/>
    <mergeCell ref="W109:AA109"/>
    <mergeCell ref="AB109:AF109"/>
    <mergeCell ref="AG109:AK109"/>
    <mergeCell ref="AL109:AW109"/>
    <mergeCell ref="B108:Q108"/>
    <mergeCell ref="R108:V108"/>
    <mergeCell ref="W108:AA108"/>
    <mergeCell ref="AB108:AF108"/>
    <mergeCell ref="AG108:AK108"/>
    <mergeCell ref="AL108:AW108"/>
    <mergeCell ref="AC115:AG115"/>
    <mergeCell ref="AH115:AL115"/>
    <mergeCell ref="AM115:AQ115"/>
    <mergeCell ref="B119:K119"/>
    <mergeCell ref="L119:T119"/>
    <mergeCell ref="U119:AD119"/>
    <mergeCell ref="AE119:AM119"/>
    <mergeCell ref="AN119:AW119"/>
    <mergeCell ref="AB111:AF111"/>
    <mergeCell ref="AG111:AK111"/>
    <mergeCell ref="H113:V113"/>
    <mergeCell ref="AC113:AQ113"/>
    <mergeCell ref="H114:L114"/>
    <mergeCell ref="M114:Q114"/>
    <mergeCell ref="R114:V114"/>
    <mergeCell ref="AC114:AG114"/>
    <mergeCell ref="AH114:AL114"/>
    <mergeCell ref="AM114:AQ114"/>
    <mergeCell ref="B123:K123"/>
    <mergeCell ref="L123:T123"/>
    <mergeCell ref="U123:Y123"/>
    <mergeCell ref="Z123:AD123"/>
    <mergeCell ref="B120:K120"/>
    <mergeCell ref="L120:T120"/>
    <mergeCell ref="U120:AD120"/>
    <mergeCell ref="AE120:AM120"/>
    <mergeCell ref="AN120:AW120"/>
    <mergeCell ref="B122:K122"/>
    <mergeCell ref="L122:T122"/>
    <mergeCell ref="U122:Y122"/>
    <mergeCell ref="Z122:AD122"/>
    <mergeCell ref="AI123:AR123"/>
    <mergeCell ref="AI126:AM126"/>
    <mergeCell ref="AN126:AR126"/>
    <mergeCell ref="B125:K125"/>
    <mergeCell ref="L125:T125"/>
    <mergeCell ref="U125:Y125"/>
    <mergeCell ref="Z125:AD125"/>
    <mergeCell ref="AI125:AM125"/>
    <mergeCell ref="AN125:AR125"/>
    <mergeCell ref="B124:K124"/>
    <mergeCell ref="L124:T124"/>
    <mergeCell ref="U124:Y124"/>
    <mergeCell ref="Z124:AD124"/>
    <mergeCell ref="AI124:AM124"/>
    <mergeCell ref="AN124:AR124"/>
    <mergeCell ref="B127:K127"/>
    <mergeCell ref="L127:T127"/>
    <mergeCell ref="U127:Y127"/>
    <mergeCell ref="Z127:AD127"/>
    <mergeCell ref="B128:K128"/>
    <mergeCell ref="L128:T128"/>
    <mergeCell ref="U128:Y128"/>
    <mergeCell ref="Z128:AD128"/>
    <mergeCell ref="B126:K126"/>
    <mergeCell ref="L126:T126"/>
    <mergeCell ref="U126:Y126"/>
    <mergeCell ref="Z126:AD126"/>
    <mergeCell ref="B130:K130"/>
    <mergeCell ref="L130:T130"/>
    <mergeCell ref="U130:Y130"/>
    <mergeCell ref="Z130:AD130"/>
    <mergeCell ref="AI130:AM130"/>
    <mergeCell ref="AN130:AR130"/>
    <mergeCell ref="B129:K129"/>
    <mergeCell ref="L129:T129"/>
    <mergeCell ref="U129:Y129"/>
    <mergeCell ref="Z129:AD129"/>
    <mergeCell ref="B133:K133"/>
    <mergeCell ref="L133:T133"/>
    <mergeCell ref="U133:Y133"/>
    <mergeCell ref="Z133:AD133"/>
    <mergeCell ref="AI133:AM133"/>
    <mergeCell ref="AN133:AR133"/>
    <mergeCell ref="B131:K131"/>
    <mergeCell ref="L131:T131"/>
    <mergeCell ref="U131:Y131"/>
    <mergeCell ref="Z131:AD131"/>
    <mergeCell ref="AI131:AM131"/>
    <mergeCell ref="AN131:AR131"/>
    <mergeCell ref="B132:K132"/>
    <mergeCell ref="L132:T132"/>
    <mergeCell ref="U132:Y132"/>
    <mergeCell ref="Z132:AD132"/>
    <mergeCell ref="AI132:AM132"/>
    <mergeCell ref="AN132:AR132"/>
    <mergeCell ref="B140:K140"/>
    <mergeCell ref="L140:T140"/>
    <mergeCell ref="U140:Y140"/>
    <mergeCell ref="Z140:AD140"/>
    <mergeCell ref="B141:K141"/>
    <mergeCell ref="L141:T141"/>
    <mergeCell ref="U141:Y141"/>
    <mergeCell ref="Z141:AD141"/>
    <mergeCell ref="U135:Y135"/>
    <mergeCell ref="Z135:AD135"/>
    <mergeCell ref="B139:K139"/>
    <mergeCell ref="L139:T139"/>
    <mergeCell ref="U139:Y139"/>
    <mergeCell ref="Z139:AD139"/>
    <mergeCell ref="AI146:AS146"/>
    <mergeCell ref="B147:K147"/>
    <mergeCell ref="L147:T147"/>
    <mergeCell ref="U147:Y147"/>
    <mergeCell ref="Z147:AD147"/>
    <mergeCell ref="AI147:AM147"/>
    <mergeCell ref="AN147:AS147"/>
    <mergeCell ref="B145:K145"/>
    <mergeCell ref="L145:T145"/>
    <mergeCell ref="U145:Y145"/>
    <mergeCell ref="Z145:AD145"/>
    <mergeCell ref="B146:K146"/>
    <mergeCell ref="L146:T146"/>
    <mergeCell ref="U146:Y146"/>
    <mergeCell ref="Z146:AD146"/>
    <mergeCell ref="AP148:AS148"/>
    <mergeCell ref="B149:K149"/>
    <mergeCell ref="L149:T149"/>
    <mergeCell ref="U149:Y149"/>
    <mergeCell ref="Z149:AD149"/>
    <mergeCell ref="AI149:AM149"/>
    <mergeCell ref="AN149:AO149"/>
    <mergeCell ref="AP149:AS149"/>
    <mergeCell ref="B148:K148"/>
    <mergeCell ref="L148:T148"/>
    <mergeCell ref="U148:Y148"/>
    <mergeCell ref="Z148:AD148"/>
    <mergeCell ref="AI148:AM148"/>
    <mergeCell ref="AN148:AO148"/>
    <mergeCell ref="B152:K152"/>
    <mergeCell ref="L152:T152"/>
    <mergeCell ref="U152:Y152"/>
    <mergeCell ref="Z152:AD152"/>
    <mergeCell ref="U154:Y154"/>
    <mergeCell ref="Z154:AD154"/>
    <mergeCell ref="AP150:AS150"/>
    <mergeCell ref="B151:K151"/>
    <mergeCell ref="L151:T151"/>
    <mergeCell ref="U151:Y151"/>
    <mergeCell ref="Z151:AD151"/>
    <mergeCell ref="AI151:AM151"/>
    <mergeCell ref="AN151:AO151"/>
    <mergeCell ref="AP151:AS151"/>
    <mergeCell ref="B150:K150"/>
    <mergeCell ref="L150:T150"/>
    <mergeCell ref="U150:Y150"/>
    <mergeCell ref="Z150:AD150"/>
    <mergeCell ref="AI150:AM150"/>
    <mergeCell ref="AN150:AO150"/>
    <mergeCell ref="B160:K160"/>
    <mergeCell ref="L160:T160"/>
    <mergeCell ref="U160:Y160"/>
    <mergeCell ref="Z160:AD160"/>
    <mergeCell ref="B161:K161"/>
    <mergeCell ref="L161:T161"/>
    <mergeCell ref="U161:Y161"/>
    <mergeCell ref="Z161:AD161"/>
    <mergeCell ref="B158:K158"/>
    <mergeCell ref="L158:T158"/>
    <mergeCell ref="U158:Y158"/>
    <mergeCell ref="Z158:AD158"/>
    <mergeCell ref="B159:K159"/>
    <mergeCell ref="L159:T159"/>
    <mergeCell ref="U159:Y159"/>
    <mergeCell ref="Z159:AD159"/>
    <mergeCell ref="B168:K168"/>
    <mergeCell ref="L168:T168"/>
    <mergeCell ref="U168:AD168"/>
    <mergeCell ref="B169:K169"/>
    <mergeCell ref="L169:T169"/>
    <mergeCell ref="U169:AD169"/>
    <mergeCell ref="B162:K162"/>
    <mergeCell ref="L162:T162"/>
    <mergeCell ref="U162:Y162"/>
    <mergeCell ref="Z162:AD162"/>
    <mergeCell ref="U164:Y164"/>
    <mergeCell ref="Z164:AD164"/>
    <mergeCell ref="B176:K176"/>
    <mergeCell ref="L176:T176"/>
    <mergeCell ref="U176:Y176"/>
    <mergeCell ref="Z176:AD176"/>
    <mergeCell ref="B177:K177"/>
    <mergeCell ref="L177:T177"/>
    <mergeCell ref="U177:Y177"/>
    <mergeCell ref="Z177:AD177"/>
    <mergeCell ref="B171:K171"/>
    <mergeCell ref="L171:T171"/>
    <mergeCell ref="U171:AD171"/>
    <mergeCell ref="B172:K172"/>
    <mergeCell ref="L172:T172"/>
    <mergeCell ref="U172:AD172"/>
    <mergeCell ref="D181:N181"/>
    <mergeCell ref="AH181:AM181"/>
    <mergeCell ref="AN181:AR181"/>
    <mergeCell ref="AT181:AW181"/>
    <mergeCell ref="D182:N182"/>
    <mergeCell ref="AH182:AM182"/>
    <mergeCell ref="AN182:AR182"/>
    <mergeCell ref="AT182:AW182"/>
    <mergeCell ref="D183:N183"/>
    <mergeCell ref="D185:N185"/>
    <mergeCell ref="AH185:AM185"/>
    <mergeCell ref="AN185:AR185"/>
    <mergeCell ref="AT185:AW185"/>
    <mergeCell ref="B186:C187"/>
    <mergeCell ref="D186:N186"/>
    <mergeCell ref="AH186:AM186"/>
    <mergeCell ref="AN186:AR186"/>
    <mergeCell ref="AT186:AW186"/>
    <mergeCell ref="D187:N187"/>
    <mergeCell ref="B182:C185"/>
    <mergeCell ref="AH183:AM183"/>
    <mergeCell ref="AN183:AR183"/>
    <mergeCell ref="AT183:AW183"/>
    <mergeCell ref="D184:N184"/>
    <mergeCell ref="AH184:AM184"/>
    <mergeCell ref="AN184:AR184"/>
    <mergeCell ref="AT184:AW184"/>
    <mergeCell ref="AH187:AM187"/>
    <mergeCell ref="AN187:AR187"/>
    <mergeCell ref="AT187:AW187"/>
    <mergeCell ref="D188:N188"/>
    <mergeCell ref="AH188:AM188"/>
    <mergeCell ref="AN188:AR188"/>
    <mergeCell ref="AT188:AW188"/>
    <mergeCell ref="D189:N189"/>
    <mergeCell ref="AH189:AM189"/>
    <mergeCell ref="D191:N191"/>
    <mergeCell ref="AH191:AM191"/>
    <mergeCell ref="AN191:AR191"/>
    <mergeCell ref="AT191:AW191"/>
    <mergeCell ref="D192:N192"/>
    <mergeCell ref="AH192:AM192"/>
    <mergeCell ref="AN192:AR192"/>
    <mergeCell ref="AT192:AW192"/>
    <mergeCell ref="AN189:AR189"/>
    <mergeCell ref="AT189:AW189"/>
    <mergeCell ref="D190:N190"/>
    <mergeCell ref="AH190:AM190"/>
    <mergeCell ref="AN190:AR190"/>
    <mergeCell ref="AT190:AW190"/>
    <mergeCell ref="AN196:AR196"/>
    <mergeCell ref="AT196:AW196"/>
    <mergeCell ref="D193:N193"/>
    <mergeCell ref="AH193:AM193"/>
    <mergeCell ref="AN193:AR193"/>
    <mergeCell ref="AT193:AW193"/>
    <mergeCell ref="D194:N194"/>
    <mergeCell ref="AH194:AM194"/>
    <mergeCell ref="AN194:AR194"/>
    <mergeCell ref="AT194:AW194"/>
    <mergeCell ref="D199:N199"/>
    <mergeCell ref="AH199:AM199"/>
    <mergeCell ref="AN199:AR199"/>
    <mergeCell ref="AT199:AW199"/>
    <mergeCell ref="B200:C200"/>
    <mergeCell ref="D200:N200"/>
    <mergeCell ref="AH200:AM200"/>
    <mergeCell ref="AN200:AR200"/>
    <mergeCell ref="AT200:AW200"/>
    <mergeCell ref="B188:C199"/>
    <mergeCell ref="D197:N197"/>
    <mergeCell ref="AH197:AM197"/>
    <mergeCell ref="AN197:AR197"/>
    <mergeCell ref="AT197:AW197"/>
    <mergeCell ref="D198:N198"/>
    <mergeCell ref="AH198:AM198"/>
    <mergeCell ref="AN198:AR198"/>
    <mergeCell ref="AT198:AW198"/>
    <mergeCell ref="D195:N195"/>
    <mergeCell ref="AH195:AM195"/>
    <mergeCell ref="AN195:AR195"/>
    <mergeCell ref="AT195:AW195"/>
    <mergeCell ref="D196:N196"/>
    <mergeCell ref="AH196:AM196"/>
    <mergeCell ref="AH203:AM203"/>
    <mergeCell ref="AN203:AR203"/>
    <mergeCell ref="AT203:AW203"/>
    <mergeCell ref="D204:N204"/>
    <mergeCell ref="AH204:AM204"/>
    <mergeCell ref="AN204:AR204"/>
    <mergeCell ref="AT204:AW204"/>
    <mergeCell ref="B201:C207"/>
    <mergeCell ref="D201:N201"/>
    <mergeCell ref="AH201:AM201"/>
    <mergeCell ref="AN201:AR201"/>
    <mergeCell ref="AT201:AW201"/>
    <mergeCell ref="D202:N202"/>
    <mergeCell ref="AH202:AM202"/>
    <mergeCell ref="AN202:AR202"/>
    <mergeCell ref="AT202:AW202"/>
    <mergeCell ref="D203:N203"/>
    <mergeCell ref="AT207:AW207"/>
    <mergeCell ref="B208:C211"/>
    <mergeCell ref="D208:N208"/>
    <mergeCell ref="AH208:AM208"/>
    <mergeCell ref="AN208:AR208"/>
    <mergeCell ref="AT208:AW208"/>
    <mergeCell ref="D209:N209"/>
    <mergeCell ref="D205:N205"/>
    <mergeCell ref="AH205:AM205"/>
    <mergeCell ref="AN205:AR205"/>
    <mergeCell ref="AT205:AW205"/>
    <mergeCell ref="D206:N206"/>
    <mergeCell ref="AH206:AM206"/>
    <mergeCell ref="AN206:AR206"/>
    <mergeCell ref="AT206:AW206"/>
    <mergeCell ref="AH209:AM209"/>
    <mergeCell ref="AN209:AR209"/>
    <mergeCell ref="AT209:AW209"/>
    <mergeCell ref="D210:N210"/>
    <mergeCell ref="AH210:AM210"/>
    <mergeCell ref="AN210:AR210"/>
    <mergeCell ref="AT210:AW210"/>
    <mergeCell ref="D207:N207"/>
    <mergeCell ref="AH207:AM207"/>
    <mergeCell ref="AN207:AR207"/>
    <mergeCell ref="D213:N213"/>
    <mergeCell ref="AH213:AM213"/>
    <mergeCell ref="AN213:AR213"/>
    <mergeCell ref="AT213:AW213"/>
    <mergeCell ref="D214:N214"/>
    <mergeCell ref="AH214:AM214"/>
    <mergeCell ref="AN214:AR214"/>
    <mergeCell ref="AT214:AW214"/>
    <mergeCell ref="D211:N211"/>
    <mergeCell ref="AH211:AM211"/>
    <mergeCell ref="AN211:AR211"/>
    <mergeCell ref="AT211:AW211"/>
    <mergeCell ref="D212:N212"/>
    <mergeCell ref="AH212:AM212"/>
    <mergeCell ref="AN212:AR212"/>
    <mergeCell ref="AT212:AW212"/>
  </mergeCells>
  <conditionalFormatting sqref="J35:AW39">
    <cfRule type="cellIs" dxfId="5" priority="2" operator="equal">
      <formula>1</formula>
    </cfRule>
  </conditionalFormatting>
  <conditionalFormatting sqref="AT182:AT213">
    <cfRule type="dataBar" priority="1">
      <dataBar>
        <cfvo type="percent" val="0"/>
        <cfvo type="percent" val="100"/>
        <color rgb="FFED6E1F"/>
      </dataBar>
      <extLst>
        <ext xmlns:x14="http://schemas.microsoft.com/office/spreadsheetml/2009/9/main" uri="{B025F937-C7B1-47D3-B67F-A62EFF666E3E}">
          <x14:id>{F73108A3-3A04-42ED-8D1F-9F6FC874654B}</x14:id>
        </ext>
      </extLst>
    </cfRule>
  </conditionalFormatting>
  <dataValidations count="5">
    <dataValidation type="list" allowBlank="1" showInputMessage="1" showErrorMessage="1" sqref="B172:K172" xr:uid="{972EFA76-3725-4403-B76A-6359E87FE75C}">
      <formula1>"VGV Nominal, Sem Corretagem, Sem Corretagem e Administração"</formula1>
    </dataValidation>
    <dataValidation type="list" allowBlank="1" showInputMessage="1" showErrorMessage="1" sqref="L159:T162 L123:T133 L140:T141 L146:T152 AN147 AN124:AR124" xr:uid="{E124FDB9-63E6-4EFB-92DB-500BF3D59DC9}">
      <formula1>"Valor Terreno, Valor Terreno Geral, Custo Obra, VGV Nominal, VGV Geral"</formula1>
    </dataValidation>
    <dataValidation type="list" allowBlank="1" showInputMessage="1" showErrorMessage="1" sqref="H114:L114" xr:uid="{71AB3691-F130-4315-8556-74B7E6EE2ABA}">
      <formula1>"Selecione, Custo Histórico, CUB Ajustado"</formula1>
    </dataValidation>
    <dataValidation type="list" allowBlank="1" showInputMessage="1" showErrorMessage="1" sqref="R68:V68" xr:uid="{7F5D79FB-ABCF-40AE-9685-F585F445CB09}">
      <formula1>"Selecione, PIS, PP – B, PP – N, R8 – B, R8 – N, R8 – A, R16 – N, R16 – A, CSL – 8, CSL – 16, CAL - 8"</formula1>
    </dataValidation>
    <dataValidation type="list" allowBlank="1" showInputMessage="1" showErrorMessage="1" sqref="AR28:AW28" xr:uid="{7A01773F-1D30-4EF7-B74B-863412863C1A}">
      <formula1>"MENSAL,BIMESTRAL"</formula1>
    </dataValidation>
  </dataValidations>
  <printOptions horizontalCentered="1"/>
  <pageMargins left="0.39370078740157483" right="0.39370078740157483" top="0.31496062992125984" bottom="0.19685039370078741" header="0" footer="0"/>
  <pageSetup paperSize="9" scale="46" fitToHeight="0" orientation="portrait" r:id="rId1"/>
  <headerFooter>
    <oddHeader>&amp;R
&amp;G</oddHeader>
  </headerFooter>
  <rowBreaks count="2" manualBreakCount="2">
    <brk id="93" max="16383" man="1"/>
    <brk id="178" max="16383" man="1"/>
  </rowBreaks>
  <drawing r:id="rId2"/>
  <legacyDrawingHF r:id="rId3"/>
  <extLst>
    <ext xmlns:x14="http://schemas.microsoft.com/office/spreadsheetml/2009/9/main" uri="{78C0D931-6437-407d-A8EE-F0AAD7539E65}">
      <x14:conditionalFormattings>
        <x14:conditionalFormatting xmlns:xm="http://schemas.microsoft.com/office/excel/2006/main">
          <x14:cfRule type="dataBar" id="{F73108A3-3A04-42ED-8D1F-9F6FC874654B}">
            <x14:dataBar minLength="0" maxLength="100" border="1" negativeBarBorderColorSameAsPositive="0">
              <x14:cfvo type="percent">
                <xm:f>0</xm:f>
              </x14:cfvo>
              <x14:cfvo type="percent">
                <xm:f>100</xm:f>
              </x14:cfvo>
              <x14:borderColor theme="2" tint="-0.749992370372631"/>
              <x14:negativeFillColor rgb="FFFF0000"/>
              <x14:negativeBorderColor rgb="FFFF0000"/>
              <x14:axisColor rgb="FF000000"/>
            </x14:dataBar>
          </x14:cfRule>
          <xm:sqref>AT182:AT213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B7B25-E4DE-480D-80FC-CEDB23BCCCCF}">
  <sheetPr>
    <pageSetUpPr fitToPage="1"/>
  </sheetPr>
  <dimension ref="A1:BK73"/>
  <sheetViews>
    <sheetView showGridLines="0" showRowColHeaders="0" zoomScaleNormal="100" workbookViewId="0">
      <pane ySplit="7" topLeftCell="A47" activePane="bottomLeft" state="frozen"/>
      <selection pane="bottomLeft" activeCell="AQ6" sqref="AQ6:AW6"/>
    </sheetView>
  </sheetViews>
  <sheetFormatPr defaultColWidth="0" defaultRowHeight="15" customHeight="1" zeroHeight="1" x14ac:dyDescent="0.25"/>
  <cols>
    <col min="1" max="1" width="2.85546875" customWidth="1"/>
    <col min="2" max="49" width="4.28515625" customWidth="1"/>
    <col min="50" max="50" width="2.85546875" customWidth="1"/>
    <col min="51" max="52" width="10" hidden="1" customWidth="1"/>
    <col min="53" max="53" width="10.7109375" hidden="1" customWidth="1"/>
    <col min="54" max="57" width="4.28515625" hidden="1"/>
    <col min="58" max="58" width="0" hidden="1" customWidth="1"/>
  </cols>
  <sheetData>
    <row r="1" spans="1:63" s="46" customFormat="1" ht="15" customHeight="1" x14ac:dyDescent="0.25">
      <c r="A1" s="95"/>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row>
    <row r="2" spans="1:63" s="46" customFormat="1" ht="15" customHeight="1" x14ac:dyDescent="0.25">
      <c r="A2" s="96"/>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row>
    <row r="3" spans="1:63" s="46" customFormat="1" ht="15" customHeight="1" x14ac:dyDescent="0.25">
      <c r="A3" s="96"/>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5"/>
    </row>
    <row r="4" spans="1:63" ht="30"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row>
    <row r="5" spans="1:63" ht="15" customHeight="1" x14ac:dyDescent="0.25"/>
    <row r="6" spans="1:63" ht="37.5" customHeight="1" x14ac:dyDescent="0.25">
      <c r="B6" s="90" t="s">
        <v>6236</v>
      </c>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313" t="s">
        <v>6239</v>
      </c>
      <c r="AK6" s="313"/>
      <c r="AL6" s="313"/>
      <c r="AM6" s="313"/>
      <c r="AN6" s="313"/>
      <c r="AO6" s="313"/>
      <c r="AP6" s="313"/>
      <c r="AQ6" s="312" t="s">
        <v>6238</v>
      </c>
      <c r="AR6" s="312"/>
      <c r="AS6" s="312"/>
      <c r="AT6" s="312"/>
      <c r="AU6" s="312"/>
      <c r="AV6" s="312"/>
      <c r="AW6" s="312"/>
      <c r="AX6" s="97"/>
    </row>
    <row r="7" spans="1:63" ht="18.75" customHeight="1" x14ac:dyDescent="0.25">
      <c r="J7" s="69"/>
      <c r="K7" s="69"/>
      <c r="L7" s="69"/>
      <c r="M7" s="69"/>
      <c r="N7" s="69"/>
      <c r="O7" s="69"/>
      <c r="P7" s="69"/>
      <c r="Q7" s="69"/>
    </row>
    <row r="8" spans="1:63" ht="26.25" customHeight="1" x14ac:dyDescent="0.25">
      <c r="B8" s="93"/>
      <c r="C8" s="63"/>
      <c r="D8" s="63"/>
      <c r="E8" s="63"/>
      <c r="F8" s="63"/>
      <c r="G8" s="63"/>
      <c r="H8" s="63"/>
      <c r="I8" s="63"/>
      <c r="J8" s="63"/>
      <c r="K8" s="63"/>
      <c r="L8" s="63"/>
      <c r="M8" s="63"/>
      <c r="N8" s="63"/>
      <c r="O8" s="63"/>
      <c r="P8" s="63"/>
      <c r="Q8" s="63"/>
      <c r="R8" s="63"/>
      <c r="S8" s="63"/>
      <c r="T8" s="63"/>
      <c r="U8" s="63"/>
      <c r="V8" s="317" t="s">
        <v>6231</v>
      </c>
      <c r="W8" s="317"/>
      <c r="X8" s="317"/>
      <c r="Y8" s="317"/>
      <c r="Z8" s="317"/>
      <c r="AA8" s="317"/>
      <c r="AB8" s="317"/>
      <c r="AC8" s="317" t="s">
        <v>6232</v>
      </c>
      <c r="AD8" s="317"/>
      <c r="AE8" s="317"/>
      <c r="AF8" s="317"/>
      <c r="AG8" s="317"/>
      <c r="AH8" s="317"/>
      <c r="AI8" s="317"/>
      <c r="AJ8" s="317" t="s">
        <v>6234</v>
      </c>
      <c r="AK8" s="317"/>
      <c r="AL8" s="317"/>
      <c r="AM8" s="317"/>
      <c r="AN8" s="317"/>
      <c r="AO8" s="317"/>
      <c r="AP8" s="317"/>
      <c r="AQ8" s="317" t="s">
        <v>6235</v>
      </c>
      <c r="AR8" s="317"/>
      <c r="AS8" s="317"/>
      <c r="AT8" s="317"/>
      <c r="AU8" s="317"/>
      <c r="AV8" s="317"/>
      <c r="AW8" s="317"/>
    </row>
    <row r="9" spans="1:63" ht="3.75" customHeight="1" x14ac:dyDescent="0.25">
      <c r="J9" s="69"/>
      <c r="K9" s="69"/>
      <c r="L9" s="69"/>
      <c r="M9" s="69"/>
      <c r="N9" s="69"/>
      <c r="O9" s="69"/>
      <c r="P9" s="69"/>
      <c r="Q9" s="69"/>
      <c r="V9" s="318"/>
      <c r="W9" s="318"/>
      <c r="X9" s="318"/>
      <c r="Y9" s="318"/>
      <c r="Z9" s="318"/>
      <c r="AA9" s="318"/>
      <c r="AB9" s="318"/>
      <c r="AC9" s="318"/>
      <c r="AD9" s="318"/>
      <c r="AE9" s="318"/>
      <c r="AF9" s="318"/>
      <c r="AG9" s="318"/>
      <c r="AH9" s="318"/>
      <c r="AI9" s="318"/>
      <c r="AJ9" s="318"/>
      <c r="AK9" s="318"/>
      <c r="AL9" s="318"/>
      <c r="AM9" s="318"/>
      <c r="AN9" s="318"/>
      <c r="AO9" s="318"/>
      <c r="AP9" s="318"/>
      <c r="AQ9" s="318"/>
      <c r="AR9" s="318"/>
      <c r="AS9" s="318"/>
      <c r="AT9" s="318"/>
      <c r="AU9" s="318"/>
      <c r="AV9" s="318"/>
      <c r="AW9" s="318"/>
    </row>
    <row r="10" spans="1:63" ht="22.5" customHeight="1" thickBot="1" x14ac:dyDescent="0.3">
      <c r="B10" s="79"/>
      <c r="C10" s="79"/>
      <c r="D10" s="271" t="s">
        <v>6229</v>
      </c>
      <c r="E10" s="271"/>
      <c r="F10" s="271"/>
      <c r="G10" s="271"/>
      <c r="H10" s="271"/>
      <c r="I10" s="271"/>
      <c r="J10" s="271"/>
      <c r="K10" s="271"/>
      <c r="L10" s="271"/>
      <c r="M10" s="271"/>
      <c r="N10" s="271"/>
      <c r="O10" s="88"/>
      <c r="P10" s="88"/>
      <c r="Q10" s="88"/>
      <c r="R10" s="88"/>
      <c r="S10" s="88"/>
      <c r="T10" s="88"/>
      <c r="U10" s="88"/>
      <c r="V10" s="319" cm="1">
        <f t="array" ref="V10">_xlfn.IFS($AQ$6="GLOBAL",'SIMULAÇÃO 01'!AH181,$AQ$6="POR UNIDADE",'SIMULAÇÃO 01'!AN181)</f>
        <v>9556594.4064569678</v>
      </c>
      <c r="W10" s="319"/>
      <c r="X10" s="319"/>
      <c r="Y10" s="319"/>
      <c r="Z10" s="319"/>
      <c r="AA10" s="319"/>
      <c r="AB10" s="319"/>
      <c r="AC10" s="319" cm="1">
        <f t="array" ref="AC10">_xlfn.IFS($AQ$6="GLOBAL",'SIMULAÇÃO 02'!AO181,$AQ$6="POR UNIDADE",'SIMULAÇÃO 02'!AU181)</f>
        <v>0</v>
      </c>
      <c r="AD10" s="319"/>
      <c r="AE10" s="319"/>
      <c r="AF10" s="319"/>
      <c r="AG10" s="319"/>
      <c r="AH10" s="319"/>
      <c r="AI10" s="319"/>
      <c r="AJ10" s="319" cm="1">
        <f t="array" ref="AJ10">_xlfn.IFS($AQ$6="GLOBAL",'SIMULAÇÃO 03'!AV181,$AQ$6="POR UNIDADE",'SIMULAÇÃO 03'!BB181)</f>
        <v>0</v>
      </c>
      <c r="AK10" s="319"/>
      <c r="AL10" s="319"/>
      <c r="AM10" s="319"/>
      <c r="AN10" s="319"/>
      <c r="AO10" s="319"/>
      <c r="AP10" s="319"/>
      <c r="AQ10" s="319" cm="1">
        <f t="array" ref="AQ10">_xlfn.IFS($AQ$6="GLOBAL",'SIMULAÇÃO 04'!BC181,$AQ$6="POR UNIDADE",'SIMULAÇÃO 04'!BI181)</f>
        <v>0</v>
      </c>
      <c r="AR10" s="319"/>
      <c r="AS10" s="319"/>
      <c r="AT10" s="319"/>
      <c r="AU10" s="319"/>
      <c r="AV10" s="319"/>
      <c r="AW10" s="319"/>
    </row>
    <row r="11" spans="1:63" ht="22.5" customHeight="1" x14ac:dyDescent="0.25">
      <c r="B11" s="273" t="s">
        <v>6219</v>
      </c>
      <c r="C11" s="273"/>
      <c r="D11" s="270" t="s">
        <v>6220</v>
      </c>
      <c r="E11" s="270"/>
      <c r="F11" s="270"/>
      <c r="G11" s="270"/>
      <c r="H11" s="270"/>
      <c r="I11" s="270"/>
      <c r="J11" s="270"/>
      <c r="K11" s="270"/>
      <c r="L11" s="270"/>
      <c r="M11" s="270"/>
      <c r="N11" s="270"/>
      <c r="O11" s="82"/>
      <c r="P11" s="82"/>
      <c r="Q11" s="82"/>
      <c r="R11" s="82"/>
      <c r="S11" s="82"/>
      <c r="T11" s="82"/>
      <c r="U11" s="82"/>
      <c r="V11" s="316" cm="1">
        <f t="array" ref="V11">_xlfn.IFS($AQ$6="GLOBAL",'SIMULAÇÃO 01'!AH182,$AQ$6="POR UNIDADE",'SIMULAÇÃO 01'!AN182)</f>
        <v>-800000</v>
      </c>
      <c r="W11" s="316"/>
      <c r="X11" s="316"/>
      <c r="Y11" s="316"/>
      <c r="Z11" s="316"/>
      <c r="AA11" s="316"/>
      <c r="AB11" s="316"/>
      <c r="AC11" s="316" cm="1">
        <f t="array" ref="AC11">_xlfn.IFS($AQ$6="GLOBAL",'SIMULAÇÃO 02'!AO182,$AQ$6="POR UNIDADE",'SIMULAÇÃO 02'!AU182)</f>
        <v>0</v>
      </c>
      <c r="AD11" s="316"/>
      <c r="AE11" s="316"/>
      <c r="AF11" s="316"/>
      <c r="AG11" s="316"/>
      <c r="AH11" s="316"/>
      <c r="AI11" s="316"/>
      <c r="AJ11" s="316" cm="1">
        <f t="array" ref="AJ11">_xlfn.IFS($AQ$6="GLOBAL",'SIMULAÇÃO 03'!AV182,$AQ$6="POR UNIDADE",'SIMULAÇÃO 03'!BB182)</f>
        <v>0</v>
      </c>
      <c r="AK11" s="316"/>
      <c r="AL11" s="316"/>
      <c r="AM11" s="316"/>
      <c r="AN11" s="316"/>
      <c r="AO11" s="316"/>
      <c r="AP11" s="316"/>
      <c r="AQ11" s="316" cm="1">
        <f t="array" ref="AQ11">_xlfn.IFS($AQ$6="GLOBAL",'SIMULAÇÃO 04'!BC182,$AQ$6="POR UNIDADE",'SIMULAÇÃO 04'!BI182)</f>
        <v>0</v>
      </c>
      <c r="AR11" s="316"/>
      <c r="AS11" s="316"/>
      <c r="AT11" s="316"/>
      <c r="AU11" s="316"/>
      <c r="AV11" s="316"/>
      <c r="AW11" s="316"/>
    </row>
    <row r="12" spans="1:63" ht="22.5" customHeight="1" x14ac:dyDescent="0.25">
      <c r="B12" s="273"/>
      <c r="C12" s="273"/>
      <c r="D12" s="270" t="s">
        <v>6221</v>
      </c>
      <c r="E12" s="270"/>
      <c r="F12" s="270"/>
      <c r="G12" s="270"/>
      <c r="H12" s="270"/>
      <c r="I12" s="270"/>
      <c r="J12" s="270"/>
      <c r="K12" s="270"/>
      <c r="L12" s="270"/>
      <c r="M12" s="270"/>
      <c r="N12" s="270"/>
      <c r="O12" s="83"/>
      <c r="P12" s="83"/>
      <c r="Q12" s="83"/>
      <c r="R12" s="83"/>
      <c r="S12" s="83"/>
      <c r="T12" s="83"/>
      <c r="U12" s="83"/>
      <c r="V12" s="314" cm="1">
        <f t="array" ref="V12">_xlfn.IFS($AQ$6="GLOBAL",'SIMULAÇÃO 01'!AH183,$AQ$6="POR UNIDADE",'SIMULAÇÃO 01'!AN183)</f>
        <v>-4000</v>
      </c>
      <c r="W12" s="314"/>
      <c r="X12" s="314"/>
      <c r="Y12" s="314"/>
      <c r="Z12" s="314"/>
      <c r="AA12" s="314"/>
      <c r="AB12" s="314"/>
      <c r="AC12" s="314" cm="1">
        <f t="array" ref="AC12">_xlfn.IFS($AQ$6="GLOBAL",'SIMULAÇÃO 02'!AO183,$AQ$6="POR UNIDADE",'SIMULAÇÃO 02'!AU183)</f>
        <v>0</v>
      </c>
      <c r="AD12" s="314"/>
      <c r="AE12" s="314"/>
      <c r="AF12" s="314"/>
      <c r="AG12" s="314"/>
      <c r="AH12" s="314"/>
      <c r="AI12" s="314"/>
      <c r="AJ12" s="314" cm="1">
        <f t="array" ref="AJ12">_xlfn.IFS($AQ$6="GLOBAL",'SIMULAÇÃO 03'!AV183,$AQ$6="POR UNIDADE",'SIMULAÇÃO 03'!BB183)</f>
        <v>0</v>
      </c>
      <c r="AK12" s="314"/>
      <c r="AL12" s="314"/>
      <c r="AM12" s="314"/>
      <c r="AN12" s="314"/>
      <c r="AO12" s="314"/>
      <c r="AP12" s="314"/>
      <c r="AQ12" s="314" cm="1">
        <f t="array" ref="AQ12">_xlfn.IFS($AQ$6="GLOBAL",'SIMULAÇÃO 04'!BC183,$AQ$6="POR UNIDADE",'SIMULAÇÃO 04'!BI183)</f>
        <v>0</v>
      </c>
      <c r="AR12" s="314"/>
      <c r="AS12" s="314"/>
      <c r="AT12" s="314"/>
      <c r="AU12" s="314"/>
      <c r="AV12" s="314"/>
      <c r="AW12" s="314"/>
    </row>
    <row r="13" spans="1:63" ht="22.5" customHeight="1" x14ac:dyDescent="0.25">
      <c r="B13" s="273"/>
      <c r="C13" s="273"/>
      <c r="D13" s="270" t="s">
        <v>6222</v>
      </c>
      <c r="E13" s="270"/>
      <c r="F13" s="270"/>
      <c r="G13" s="270"/>
      <c r="H13" s="270"/>
      <c r="I13" s="270"/>
      <c r="J13" s="270"/>
      <c r="K13" s="270"/>
      <c r="L13" s="270"/>
      <c r="M13" s="270"/>
      <c r="N13" s="270"/>
      <c r="O13" s="83"/>
      <c r="P13" s="83"/>
      <c r="Q13" s="83"/>
      <c r="R13" s="83"/>
      <c r="S13" s="83"/>
      <c r="T13" s="83"/>
      <c r="U13" s="83"/>
      <c r="V13" s="314" cm="1">
        <f t="array" ref="V13">_xlfn.IFS($AQ$6="GLOBAL",'SIMULAÇÃO 01'!AH184,$AQ$6="POR UNIDADE",'SIMULAÇÃO 01'!AN184)</f>
        <v>0</v>
      </c>
      <c r="W13" s="314"/>
      <c r="X13" s="314"/>
      <c r="Y13" s="314"/>
      <c r="Z13" s="314"/>
      <c r="AA13" s="314"/>
      <c r="AB13" s="314"/>
      <c r="AC13" s="314" cm="1">
        <f t="array" ref="AC13">_xlfn.IFS($AQ$6="GLOBAL",'SIMULAÇÃO 02'!AO184,$AQ$6="POR UNIDADE",'SIMULAÇÃO 02'!AU184)</f>
        <v>0</v>
      </c>
      <c r="AD13" s="314"/>
      <c r="AE13" s="314"/>
      <c r="AF13" s="314"/>
      <c r="AG13" s="314"/>
      <c r="AH13" s="314"/>
      <c r="AI13" s="314"/>
      <c r="AJ13" s="314" cm="1">
        <f t="array" ref="AJ13">_xlfn.IFS($AQ$6="GLOBAL",'SIMULAÇÃO 03'!AV184,$AQ$6="POR UNIDADE",'SIMULAÇÃO 03'!BB184)</f>
        <v>0</v>
      </c>
      <c r="AK13" s="314"/>
      <c r="AL13" s="314"/>
      <c r="AM13" s="314"/>
      <c r="AN13" s="314"/>
      <c r="AO13" s="314"/>
      <c r="AP13" s="314"/>
      <c r="AQ13" s="314" cm="1">
        <f t="array" ref="AQ13">_xlfn.IFS($AQ$6="GLOBAL",'SIMULAÇÃO 04'!BC184,$AQ$6="POR UNIDADE",'SIMULAÇÃO 04'!BI184)</f>
        <v>0</v>
      </c>
      <c r="AR13" s="314"/>
      <c r="AS13" s="314"/>
      <c r="AT13" s="314"/>
      <c r="AU13" s="314"/>
      <c r="AV13" s="314"/>
      <c r="AW13" s="314"/>
    </row>
    <row r="14" spans="1:63" ht="22.5" customHeight="1" thickBot="1" x14ac:dyDescent="0.3">
      <c r="B14" s="274"/>
      <c r="C14" s="274"/>
      <c r="D14" s="272" t="s">
        <v>6097</v>
      </c>
      <c r="E14" s="272"/>
      <c r="F14" s="272"/>
      <c r="G14" s="272"/>
      <c r="H14" s="272"/>
      <c r="I14" s="272"/>
      <c r="J14" s="272"/>
      <c r="K14" s="272"/>
      <c r="L14" s="272"/>
      <c r="M14" s="272"/>
      <c r="N14" s="272"/>
      <c r="O14" s="84"/>
      <c r="P14" s="84"/>
      <c r="Q14" s="84"/>
      <c r="R14" s="84"/>
      <c r="S14" s="84"/>
      <c r="T14" s="84"/>
      <c r="U14" s="84"/>
      <c r="V14" s="310" cm="1">
        <f t="array" ref="V14">_xlfn.IFS($AQ$6="GLOBAL",'SIMULAÇÃO 01'!AH185,$AQ$6="POR UNIDADE",'SIMULAÇÃO 01'!AN185)</f>
        <v>0</v>
      </c>
      <c r="W14" s="310"/>
      <c r="X14" s="310"/>
      <c r="Y14" s="310"/>
      <c r="Z14" s="310"/>
      <c r="AA14" s="310"/>
      <c r="AB14" s="310"/>
      <c r="AC14" s="310" cm="1">
        <f t="array" ref="AC14">_xlfn.IFS($AQ$6="GLOBAL",'SIMULAÇÃO 02'!AO185,$AQ$6="POR UNIDADE",'SIMULAÇÃO 02'!AU185)</f>
        <v>0</v>
      </c>
      <c r="AD14" s="310"/>
      <c r="AE14" s="310"/>
      <c r="AF14" s="310"/>
      <c r="AG14" s="310"/>
      <c r="AH14" s="310"/>
      <c r="AI14" s="310"/>
      <c r="AJ14" s="310" cm="1">
        <f t="array" ref="AJ14">_xlfn.IFS($AQ$6="GLOBAL",'SIMULAÇÃO 03'!AV185,$AQ$6="POR UNIDADE",'SIMULAÇÃO 03'!BB185)</f>
        <v>0</v>
      </c>
      <c r="AK14" s="310"/>
      <c r="AL14" s="310"/>
      <c r="AM14" s="310"/>
      <c r="AN14" s="310"/>
      <c r="AO14" s="310"/>
      <c r="AP14" s="310"/>
      <c r="AQ14" s="310" cm="1">
        <f t="array" ref="AQ14">_xlfn.IFS($AQ$6="GLOBAL",'SIMULAÇÃO 04'!BC185,$AQ$6="POR UNIDADE",'SIMULAÇÃO 04'!BI185)</f>
        <v>0</v>
      </c>
      <c r="AR14" s="310"/>
      <c r="AS14" s="310"/>
      <c r="AT14" s="310"/>
      <c r="AU14" s="310"/>
      <c r="AV14" s="310"/>
      <c r="AW14" s="310"/>
    </row>
    <row r="15" spans="1:63" ht="22.5" customHeight="1" x14ac:dyDescent="0.25">
      <c r="B15" s="273" t="s">
        <v>6218</v>
      </c>
      <c r="C15" s="273"/>
      <c r="D15" s="270" t="s">
        <v>6186</v>
      </c>
      <c r="E15" s="270"/>
      <c r="F15" s="270"/>
      <c r="G15" s="270"/>
      <c r="H15" s="270"/>
      <c r="I15" s="270"/>
      <c r="J15" s="270"/>
      <c r="K15" s="270"/>
      <c r="L15" s="270"/>
      <c r="M15" s="270"/>
      <c r="N15" s="270"/>
      <c r="O15" s="82"/>
      <c r="P15" s="82"/>
      <c r="Q15" s="82"/>
      <c r="R15" s="82"/>
      <c r="S15" s="82"/>
      <c r="T15" s="82"/>
      <c r="U15" s="82"/>
      <c r="V15" s="309" cm="1">
        <f t="array" ref="V15">_xlfn.IFS($AQ$6="GLOBAL",'SIMULAÇÃO 01'!AH186,$AQ$6="POR UNIDADE",'SIMULAÇÃO 01'!AN186)</f>
        <v>-4433311.8497000001</v>
      </c>
      <c r="W15" s="309"/>
      <c r="X15" s="309"/>
      <c r="Y15" s="309"/>
      <c r="Z15" s="309"/>
      <c r="AA15" s="309"/>
      <c r="AB15" s="309"/>
      <c r="AC15" s="309" cm="1">
        <f t="array" ref="AC15">_xlfn.IFS($AQ$6="GLOBAL",'SIMULAÇÃO 02'!AO186,$AQ$6="POR UNIDADE",'SIMULAÇÃO 02'!AU186)</f>
        <v>0</v>
      </c>
      <c r="AD15" s="309"/>
      <c r="AE15" s="309"/>
      <c r="AF15" s="309"/>
      <c r="AG15" s="309"/>
      <c r="AH15" s="309"/>
      <c r="AI15" s="309"/>
      <c r="AJ15" s="309" cm="1">
        <f t="array" ref="AJ15">_xlfn.IFS($AQ$6="GLOBAL",'SIMULAÇÃO 03'!AV186,$AQ$6="POR UNIDADE",'SIMULAÇÃO 03'!BB186)</f>
        <v>0</v>
      </c>
      <c r="AK15" s="309"/>
      <c r="AL15" s="309"/>
      <c r="AM15" s="309"/>
      <c r="AN15" s="309"/>
      <c r="AO15" s="309"/>
      <c r="AP15" s="309"/>
      <c r="AQ15" s="309" cm="1">
        <f t="array" ref="AQ15">_xlfn.IFS($AQ$6="GLOBAL",'SIMULAÇÃO 04'!BC186,$AQ$6="POR UNIDADE",'SIMULAÇÃO 04'!BI186)</f>
        <v>0</v>
      </c>
      <c r="AR15" s="309"/>
      <c r="AS15" s="309"/>
      <c r="AT15" s="309"/>
      <c r="AU15" s="309"/>
      <c r="AV15" s="309"/>
      <c r="AW15" s="309"/>
    </row>
    <row r="16" spans="1:63" ht="22.5" customHeight="1" thickBot="1" x14ac:dyDescent="0.3">
      <c r="B16" s="274"/>
      <c r="C16" s="274"/>
      <c r="D16" s="272" t="s">
        <v>6223</v>
      </c>
      <c r="E16" s="272"/>
      <c r="F16" s="272"/>
      <c r="G16" s="272"/>
      <c r="H16" s="272"/>
      <c r="I16" s="272"/>
      <c r="J16" s="272"/>
      <c r="K16" s="272"/>
      <c r="L16" s="272"/>
      <c r="M16" s="272"/>
      <c r="N16" s="272"/>
      <c r="O16" s="84"/>
      <c r="P16" s="84"/>
      <c r="Q16" s="84"/>
      <c r="R16" s="84"/>
      <c r="S16" s="84"/>
      <c r="T16" s="84"/>
      <c r="U16" s="84"/>
      <c r="V16" s="310" cm="1">
        <f t="array" ref="V16">_xlfn.IFS($AQ$6="GLOBAL",'SIMULAÇÃO 01'!AH187,$AQ$6="POR UNIDADE",'SIMULAÇÃO 01'!AN187)</f>
        <v>-443331.18497000006</v>
      </c>
      <c r="W16" s="310"/>
      <c r="X16" s="310"/>
      <c r="Y16" s="310"/>
      <c r="Z16" s="310"/>
      <c r="AA16" s="310"/>
      <c r="AB16" s="310"/>
      <c r="AC16" s="310" cm="1">
        <f t="array" ref="AC16">_xlfn.IFS($AQ$6="GLOBAL",'SIMULAÇÃO 02'!AO187,$AQ$6="POR UNIDADE",'SIMULAÇÃO 02'!AU187)</f>
        <v>0</v>
      </c>
      <c r="AD16" s="310"/>
      <c r="AE16" s="310"/>
      <c r="AF16" s="310"/>
      <c r="AG16" s="310"/>
      <c r="AH16" s="310"/>
      <c r="AI16" s="310"/>
      <c r="AJ16" s="310" cm="1">
        <f t="array" ref="AJ16">_xlfn.IFS($AQ$6="GLOBAL",'SIMULAÇÃO 03'!AV187,$AQ$6="POR UNIDADE",'SIMULAÇÃO 03'!BB187)</f>
        <v>0</v>
      </c>
      <c r="AK16" s="310"/>
      <c r="AL16" s="310"/>
      <c r="AM16" s="310"/>
      <c r="AN16" s="310"/>
      <c r="AO16" s="310"/>
      <c r="AP16" s="310"/>
      <c r="AQ16" s="310" cm="1">
        <f t="array" ref="AQ16">_xlfn.IFS($AQ$6="GLOBAL",'SIMULAÇÃO 04'!BC187,$AQ$6="POR UNIDADE",'SIMULAÇÃO 04'!BI187)</f>
        <v>0</v>
      </c>
      <c r="AR16" s="310"/>
      <c r="AS16" s="310"/>
      <c r="AT16" s="310"/>
      <c r="AU16" s="310"/>
      <c r="AV16" s="310"/>
      <c r="AW16" s="310"/>
    </row>
    <row r="17" spans="2:49" ht="22.5" customHeight="1" x14ac:dyDescent="0.25">
      <c r="B17" s="273" t="s">
        <v>6247</v>
      </c>
      <c r="C17" s="273"/>
      <c r="D17" s="270" t="s">
        <v>6176</v>
      </c>
      <c r="E17" s="270"/>
      <c r="F17" s="270"/>
      <c r="G17" s="270"/>
      <c r="H17" s="270"/>
      <c r="I17" s="270"/>
      <c r="J17" s="270"/>
      <c r="K17" s="270"/>
      <c r="L17" s="270"/>
      <c r="M17" s="270"/>
      <c r="N17" s="270"/>
      <c r="O17" s="82"/>
      <c r="P17" s="82"/>
      <c r="Q17" s="82"/>
      <c r="R17" s="82"/>
      <c r="S17" s="82"/>
      <c r="T17" s="82"/>
      <c r="U17" s="82"/>
      <c r="V17" s="309" cm="1">
        <f t="array" ref="V17">_xlfn.IFS($AQ$6="GLOBAL",'SIMULAÇÃO 01'!AH188,$AQ$6="POR UNIDADE",'SIMULAÇÃO 01'!AN188)</f>
        <v>-61999.99999999992</v>
      </c>
      <c r="W17" s="309"/>
      <c r="X17" s="309"/>
      <c r="Y17" s="309"/>
      <c r="Z17" s="309"/>
      <c r="AA17" s="309"/>
      <c r="AB17" s="309"/>
      <c r="AC17" s="309" cm="1">
        <f t="array" ref="AC17">_xlfn.IFS($AQ$6="GLOBAL",'SIMULAÇÃO 02'!AO188,$AQ$6="POR UNIDADE",'SIMULAÇÃO 02'!AU188)</f>
        <v>0</v>
      </c>
      <c r="AD17" s="309"/>
      <c r="AE17" s="309"/>
      <c r="AF17" s="309"/>
      <c r="AG17" s="309"/>
      <c r="AH17" s="309"/>
      <c r="AI17" s="309"/>
      <c r="AJ17" s="309" cm="1">
        <f t="array" ref="AJ17">_xlfn.IFS($AQ$6="GLOBAL",'SIMULAÇÃO 03'!AV188,$AQ$6="POR UNIDADE",'SIMULAÇÃO 03'!BB188)</f>
        <v>0</v>
      </c>
      <c r="AK17" s="309"/>
      <c r="AL17" s="309"/>
      <c r="AM17" s="309"/>
      <c r="AN17" s="309"/>
      <c r="AO17" s="309"/>
      <c r="AP17" s="309"/>
      <c r="AQ17" s="309" cm="1">
        <f t="array" ref="AQ17">_xlfn.IFS($AQ$6="GLOBAL",'SIMULAÇÃO 04'!BC188,$AQ$6="POR UNIDADE",'SIMULAÇÃO 04'!BI188)</f>
        <v>0</v>
      </c>
      <c r="AR17" s="309"/>
      <c r="AS17" s="309"/>
      <c r="AT17" s="309"/>
      <c r="AU17" s="309"/>
      <c r="AV17" s="309"/>
      <c r="AW17" s="309"/>
    </row>
    <row r="18" spans="2:49" ht="22.5" customHeight="1" x14ac:dyDescent="0.25">
      <c r="B18" s="273"/>
      <c r="C18" s="273"/>
      <c r="D18" s="270" t="s">
        <v>6177</v>
      </c>
      <c r="E18" s="270"/>
      <c r="F18" s="270"/>
      <c r="G18" s="270"/>
      <c r="H18" s="270"/>
      <c r="I18" s="270"/>
      <c r="J18" s="270"/>
      <c r="K18" s="270"/>
      <c r="L18" s="270"/>
      <c r="M18" s="270"/>
      <c r="N18" s="270"/>
      <c r="O18" s="83"/>
      <c r="P18" s="83"/>
      <c r="Q18" s="83"/>
      <c r="R18" s="83"/>
      <c r="S18" s="83"/>
      <c r="T18" s="83"/>
      <c r="U18" s="83"/>
      <c r="V18" s="314" cm="1">
        <f t="array" ref="V18">_xlfn.IFS($AQ$6="GLOBAL",'SIMULAÇÃO 01'!AH189,$AQ$6="POR UNIDADE",'SIMULAÇÃO 01'!AN189)</f>
        <v>-7999.9999999999991</v>
      </c>
      <c r="W18" s="314"/>
      <c r="X18" s="314"/>
      <c r="Y18" s="314"/>
      <c r="Z18" s="314"/>
      <c r="AA18" s="314"/>
      <c r="AB18" s="314"/>
      <c r="AC18" s="314" cm="1">
        <f t="array" ref="AC18">_xlfn.IFS($AQ$6="GLOBAL",'SIMULAÇÃO 02'!AO189,$AQ$6="POR UNIDADE",'SIMULAÇÃO 02'!AU189)</f>
        <v>0</v>
      </c>
      <c r="AD18" s="314"/>
      <c r="AE18" s="314"/>
      <c r="AF18" s="314"/>
      <c r="AG18" s="314"/>
      <c r="AH18" s="314"/>
      <c r="AI18" s="314"/>
      <c r="AJ18" s="314" cm="1">
        <f t="array" ref="AJ18">_xlfn.IFS($AQ$6="GLOBAL",'SIMULAÇÃO 03'!AV189,$AQ$6="POR UNIDADE",'SIMULAÇÃO 03'!BB189)</f>
        <v>0</v>
      </c>
      <c r="AK18" s="314"/>
      <c r="AL18" s="314"/>
      <c r="AM18" s="314"/>
      <c r="AN18" s="314"/>
      <c r="AO18" s="314"/>
      <c r="AP18" s="314"/>
      <c r="AQ18" s="314" cm="1">
        <f t="array" ref="AQ18">_xlfn.IFS($AQ$6="GLOBAL",'SIMULAÇÃO 04'!BC189,$AQ$6="POR UNIDADE",'SIMULAÇÃO 04'!BI189)</f>
        <v>0</v>
      </c>
      <c r="AR18" s="314"/>
      <c r="AS18" s="314"/>
      <c r="AT18" s="314"/>
      <c r="AU18" s="314"/>
      <c r="AV18" s="314"/>
      <c r="AW18" s="314"/>
    </row>
    <row r="19" spans="2:49" ht="22.5" customHeight="1" x14ac:dyDescent="0.25">
      <c r="B19" s="273"/>
      <c r="C19" s="273"/>
      <c r="D19" s="270" t="s">
        <v>6178</v>
      </c>
      <c r="E19" s="270"/>
      <c r="F19" s="270"/>
      <c r="G19" s="270"/>
      <c r="H19" s="270"/>
      <c r="I19" s="270"/>
      <c r="J19" s="270"/>
      <c r="K19" s="270"/>
      <c r="L19" s="270"/>
      <c r="M19" s="270"/>
      <c r="N19" s="270"/>
      <c r="O19" s="83"/>
      <c r="P19" s="83"/>
      <c r="Q19" s="83"/>
      <c r="R19" s="83"/>
      <c r="S19" s="83"/>
      <c r="T19" s="83"/>
      <c r="U19" s="83"/>
      <c r="V19" s="314" cm="1">
        <f t="array" ref="V19">_xlfn.IFS($AQ$6="GLOBAL",'SIMULAÇÃO 01'!AH190,$AQ$6="POR UNIDADE",'SIMULAÇÃO 01'!AN190)</f>
        <v>0</v>
      </c>
      <c r="W19" s="314"/>
      <c r="X19" s="314"/>
      <c r="Y19" s="314"/>
      <c r="Z19" s="314"/>
      <c r="AA19" s="314"/>
      <c r="AB19" s="314"/>
      <c r="AC19" s="314" cm="1">
        <f t="array" ref="AC19">_xlfn.IFS($AQ$6="GLOBAL",'SIMULAÇÃO 02'!AO190,$AQ$6="POR UNIDADE",'SIMULAÇÃO 02'!AU190)</f>
        <v>0</v>
      </c>
      <c r="AD19" s="314"/>
      <c r="AE19" s="314"/>
      <c r="AF19" s="314"/>
      <c r="AG19" s="314"/>
      <c r="AH19" s="314"/>
      <c r="AI19" s="314"/>
      <c r="AJ19" s="314" cm="1">
        <f t="array" ref="AJ19">_xlfn.IFS($AQ$6="GLOBAL",'SIMULAÇÃO 03'!AV190,$AQ$6="POR UNIDADE",'SIMULAÇÃO 03'!BB190)</f>
        <v>0</v>
      </c>
      <c r="AK19" s="314"/>
      <c r="AL19" s="314"/>
      <c r="AM19" s="314"/>
      <c r="AN19" s="314"/>
      <c r="AO19" s="314"/>
      <c r="AP19" s="314"/>
      <c r="AQ19" s="314" cm="1">
        <f t="array" ref="AQ19">_xlfn.IFS($AQ$6="GLOBAL",'SIMULAÇÃO 04'!BC190,$AQ$6="POR UNIDADE",'SIMULAÇÃO 04'!BI190)</f>
        <v>0</v>
      </c>
      <c r="AR19" s="314"/>
      <c r="AS19" s="314"/>
      <c r="AT19" s="314"/>
      <c r="AU19" s="314"/>
      <c r="AV19" s="314"/>
      <c r="AW19" s="314"/>
    </row>
    <row r="20" spans="2:49" ht="22.5" customHeight="1" x14ac:dyDescent="0.25">
      <c r="B20" s="273"/>
      <c r="C20" s="273"/>
      <c r="D20" s="270" t="s">
        <v>6179</v>
      </c>
      <c r="E20" s="270"/>
      <c r="F20" s="270"/>
      <c r="G20" s="270"/>
      <c r="H20" s="270"/>
      <c r="I20" s="270"/>
      <c r="J20" s="270"/>
      <c r="K20" s="270"/>
      <c r="L20" s="270"/>
      <c r="M20" s="270"/>
      <c r="N20" s="270"/>
      <c r="O20" s="83"/>
      <c r="P20" s="83"/>
      <c r="Q20" s="83"/>
      <c r="R20" s="83"/>
      <c r="S20" s="83"/>
      <c r="T20" s="83"/>
      <c r="U20" s="83"/>
      <c r="V20" s="314" cm="1">
        <f t="array" ref="V20">_xlfn.IFS($AQ$6="GLOBAL",'SIMULAÇÃO 01'!AH191,$AQ$6="POR UNIDADE",'SIMULAÇÃO 01'!AN191)</f>
        <v>0</v>
      </c>
      <c r="W20" s="314"/>
      <c r="X20" s="314"/>
      <c r="Y20" s="314"/>
      <c r="Z20" s="314"/>
      <c r="AA20" s="314"/>
      <c r="AB20" s="314"/>
      <c r="AC20" s="314" cm="1">
        <f t="array" ref="AC20">_xlfn.IFS($AQ$6="GLOBAL",'SIMULAÇÃO 02'!AO191,$AQ$6="POR UNIDADE",'SIMULAÇÃO 02'!AU191)</f>
        <v>0</v>
      </c>
      <c r="AD20" s="314"/>
      <c r="AE20" s="314"/>
      <c r="AF20" s="314"/>
      <c r="AG20" s="314"/>
      <c r="AH20" s="314"/>
      <c r="AI20" s="314"/>
      <c r="AJ20" s="314" cm="1">
        <f t="array" ref="AJ20">_xlfn.IFS($AQ$6="GLOBAL",'SIMULAÇÃO 03'!AV191,$AQ$6="POR UNIDADE",'SIMULAÇÃO 03'!BB191)</f>
        <v>0</v>
      </c>
      <c r="AK20" s="314"/>
      <c r="AL20" s="314"/>
      <c r="AM20" s="314"/>
      <c r="AN20" s="314"/>
      <c r="AO20" s="314"/>
      <c r="AP20" s="314"/>
      <c r="AQ20" s="314" cm="1">
        <f t="array" ref="AQ20">_xlfn.IFS($AQ$6="GLOBAL",'SIMULAÇÃO 04'!BC191,$AQ$6="POR UNIDADE",'SIMULAÇÃO 04'!BI191)</f>
        <v>0</v>
      </c>
      <c r="AR20" s="314"/>
      <c r="AS20" s="314"/>
      <c r="AT20" s="314"/>
      <c r="AU20" s="314"/>
      <c r="AV20" s="314"/>
      <c r="AW20" s="314"/>
    </row>
    <row r="21" spans="2:49" ht="22.5" customHeight="1" x14ac:dyDescent="0.25">
      <c r="B21" s="273"/>
      <c r="C21" s="273"/>
      <c r="D21" s="270" t="s">
        <v>6180</v>
      </c>
      <c r="E21" s="270"/>
      <c r="F21" s="270"/>
      <c r="G21" s="270"/>
      <c r="H21" s="270"/>
      <c r="I21" s="270"/>
      <c r="J21" s="270"/>
      <c r="K21" s="270"/>
      <c r="L21" s="270"/>
      <c r="M21" s="270"/>
      <c r="N21" s="270"/>
      <c r="O21" s="83"/>
      <c r="P21" s="83"/>
      <c r="Q21" s="83"/>
      <c r="R21" s="83"/>
      <c r="S21" s="83"/>
      <c r="T21" s="83"/>
      <c r="U21" s="83"/>
      <c r="V21" s="314" cm="1">
        <f t="array" ref="V21">_xlfn.IFS($AQ$6="GLOBAL",'SIMULAÇÃO 01'!AH192,$AQ$6="POR UNIDADE",'SIMULAÇÃO 01'!AN192)</f>
        <v>0</v>
      </c>
      <c r="W21" s="314"/>
      <c r="X21" s="314"/>
      <c r="Y21" s="314"/>
      <c r="Z21" s="314"/>
      <c r="AA21" s="314"/>
      <c r="AB21" s="314"/>
      <c r="AC21" s="314" cm="1">
        <f t="array" ref="AC21">_xlfn.IFS($AQ$6="GLOBAL",'SIMULAÇÃO 02'!AO192,$AQ$6="POR UNIDADE",'SIMULAÇÃO 02'!AU192)</f>
        <v>0</v>
      </c>
      <c r="AD21" s="314"/>
      <c r="AE21" s="314"/>
      <c r="AF21" s="314"/>
      <c r="AG21" s="314"/>
      <c r="AH21" s="314"/>
      <c r="AI21" s="314"/>
      <c r="AJ21" s="314" cm="1">
        <f t="array" ref="AJ21">_xlfn.IFS($AQ$6="GLOBAL",'SIMULAÇÃO 03'!AV192,$AQ$6="POR UNIDADE",'SIMULAÇÃO 03'!BB192)</f>
        <v>0</v>
      </c>
      <c r="AK21" s="314"/>
      <c r="AL21" s="314"/>
      <c r="AM21" s="314"/>
      <c r="AN21" s="314"/>
      <c r="AO21" s="314"/>
      <c r="AP21" s="314"/>
      <c r="AQ21" s="314" cm="1">
        <f t="array" ref="AQ21">_xlfn.IFS($AQ$6="GLOBAL",'SIMULAÇÃO 04'!BC192,$AQ$6="POR UNIDADE",'SIMULAÇÃO 04'!BI192)</f>
        <v>0</v>
      </c>
      <c r="AR21" s="314"/>
      <c r="AS21" s="314"/>
      <c r="AT21" s="314"/>
      <c r="AU21" s="314"/>
      <c r="AV21" s="314"/>
      <c r="AW21" s="314"/>
    </row>
    <row r="22" spans="2:49" ht="22.5" customHeight="1" x14ac:dyDescent="0.25">
      <c r="B22" s="273"/>
      <c r="C22" s="273"/>
      <c r="D22" s="270" t="s">
        <v>6181</v>
      </c>
      <c r="E22" s="270"/>
      <c r="F22" s="270"/>
      <c r="G22" s="270"/>
      <c r="H22" s="270"/>
      <c r="I22" s="270"/>
      <c r="J22" s="270"/>
      <c r="K22" s="270"/>
      <c r="L22" s="270"/>
      <c r="M22" s="270"/>
      <c r="N22" s="270"/>
      <c r="O22" s="83"/>
      <c r="P22" s="83"/>
      <c r="Q22" s="83"/>
      <c r="R22" s="83"/>
      <c r="S22" s="83"/>
      <c r="T22" s="83"/>
      <c r="U22" s="83"/>
      <c r="V22" s="314" cm="1">
        <f t="array" ref="V22">_xlfn.IFS($AQ$6="GLOBAL",'SIMULAÇÃO 01'!AH193,$AQ$6="POR UNIDADE",'SIMULAÇÃO 01'!AN193)</f>
        <v>0</v>
      </c>
      <c r="W22" s="314"/>
      <c r="X22" s="314"/>
      <c r="Y22" s="314"/>
      <c r="Z22" s="314"/>
      <c r="AA22" s="314"/>
      <c r="AB22" s="314"/>
      <c r="AC22" s="314" cm="1">
        <f t="array" ref="AC22">_xlfn.IFS($AQ$6="GLOBAL",'SIMULAÇÃO 02'!AO193,$AQ$6="POR UNIDADE",'SIMULAÇÃO 02'!AU193)</f>
        <v>0</v>
      </c>
      <c r="AD22" s="314"/>
      <c r="AE22" s="314"/>
      <c r="AF22" s="314"/>
      <c r="AG22" s="314"/>
      <c r="AH22" s="314"/>
      <c r="AI22" s="314"/>
      <c r="AJ22" s="314" cm="1">
        <f t="array" ref="AJ22">_xlfn.IFS($AQ$6="GLOBAL",'SIMULAÇÃO 03'!AV193,$AQ$6="POR UNIDADE",'SIMULAÇÃO 03'!BB193)</f>
        <v>0</v>
      </c>
      <c r="AK22" s="314"/>
      <c r="AL22" s="314"/>
      <c r="AM22" s="314"/>
      <c r="AN22" s="314"/>
      <c r="AO22" s="314"/>
      <c r="AP22" s="314"/>
      <c r="AQ22" s="314" cm="1">
        <f t="array" ref="AQ22">_xlfn.IFS($AQ$6="GLOBAL",'SIMULAÇÃO 04'!BC193,$AQ$6="POR UNIDADE",'SIMULAÇÃO 04'!BI193)</f>
        <v>0</v>
      </c>
      <c r="AR22" s="314"/>
      <c r="AS22" s="314"/>
      <c r="AT22" s="314"/>
      <c r="AU22" s="314"/>
      <c r="AV22" s="314"/>
      <c r="AW22" s="314"/>
    </row>
    <row r="23" spans="2:49" ht="22.5" customHeight="1" x14ac:dyDescent="0.25">
      <c r="B23" s="273"/>
      <c r="C23" s="273"/>
      <c r="D23" s="270" t="s">
        <v>6182</v>
      </c>
      <c r="E23" s="270"/>
      <c r="F23" s="270"/>
      <c r="G23" s="270"/>
      <c r="H23" s="270"/>
      <c r="I23" s="270"/>
      <c r="J23" s="270"/>
      <c r="K23" s="270"/>
      <c r="L23" s="270"/>
      <c r="M23" s="270"/>
      <c r="N23" s="270"/>
      <c r="O23" s="83"/>
      <c r="P23" s="83"/>
      <c r="Q23" s="83"/>
      <c r="R23" s="83"/>
      <c r="S23" s="83"/>
      <c r="T23" s="83"/>
      <c r="U23" s="83"/>
      <c r="V23" s="314" cm="1">
        <f t="array" ref="V23">_xlfn.IFS($AQ$6="GLOBAL",'SIMULAÇÃO 01'!AH194,$AQ$6="POR UNIDADE",'SIMULAÇÃO 01'!AN194)</f>
        <v>-286697.83219370904</v>
      </c>
      <c r="W23" s="314"/>
      <c r="X23" s="314"/>
      <c r="Y23" s="314"/>
      <c r="Z23" s="314"/>
      <c r="AA23" s="314"/>
      <c r="AB23" s="314"/>
      <c r="AC23" s="314" cm="1">
        <f t="array" ref="AC23">_xlfn.IFS($AQ$6="GLOBAL",'SIMULAÇÃO 02'!AO194,$AQ$6="POR UNIDADE",'SIMULAÇÃO 02'!AU194)</f>
        <v>0</v>
      </c>
      <c r="AD23" s="314"/>
      <c r="AE23" s="314"/>
      <c r="AF23" s="314"/>
      <c r="AG23" s="314"/>
      <c r="AH23" s="314"/>
      <c r="AI23" s="314"/>
      <c r="AJ23" s="314" cm="1">
        <f t="array" ref="AJ23">_xlfn.IFS($AQ$6="GLOBAL",'SIMULAÇÃO 03'!AV194,$AQ$6="POR UNIDADE",'SIMULAÇÃO 03'!BB194)</f>
        <v>0</v>
      </c>
      <c r="AK23" s="314"/>
      <c r="AL23" s="314"/>
      <c r="AM23" s="314"/>
      <c r="AN23" s="314"/>
      <c r="AO23" s="314"/>
      <c r="AP23" s="314"/>
      <c r="AQ23" s="314" cm="1">
        <f t="array" ref="AQ23">_xlfn.IFS($AQ$6="GLOBAL",'SIMULAÇÃO 04'!BC194,$AQ$6="POR UNIDADE",'SIMULAÇÃO 04'!BI194)</f>
        <v>0</v>
      </c>
      <c r="AR23" s="314"/>
      <c r="AS23" s="314"/>
      <c r="AT23" s="314"/>
      <c r="AU23" s="314"/>
      <c r="AV23" s="314"/>
      <c r="AW23" s="314"/>
    </row>
    <row r="24" spans="2:49" ht="22.5" customHeight="1" x14ac:dyDescent="0.25">
      <c r="B24" s="273"/>
      <c r="C24" s="273"/>
      <c r="D24" s="270" t="s">
        <v>6183</v>
      </c>
      <c r="E24" s="270"/>
      <c r="F24" s="270"/>
      <c r="G24" s="270"/>
      <c r="H24" s="270"/>
      <c r="I24" s="270"/>
      <c r="J24" s="270"/>
      <c r="K24" s="270"/>
      <c r="L24" s="270"/>
      <c r="M24" s="270"/>
      <c r="N24" s="270"/>
      <c r="O24" s="83"/>
      <c r="P24" s="83"/>
      <c r="Q24" s="83"/>
      <c r="R24" s="83"/>
      <c r="S24" s="83"/>
      <c r="T24" s="83"/>
      <c r="U24" s="83"/>
      <c r="V24" s="314" cm="1">
        <f t="array" ref="V24">_xlfn.IFS($AQ$6="GLOBAL",'SIMULAÇÃO 01'!AH195,$AQ$6="POR UNIDADE",'SIMULAÇÃO 01'!AN195)</f>
        <v>0</v>
      </c>
      <c r="W24" s="314"/>
      <c r="X24" s="314"/>
      <c r="Y24" s="314"/>
      <c r="Z24" s="314"/>
      <c r="AA24" s="314"/>
      <c r="AB24" s="314"/>
      <c r="AC24" s="314" cm="1">
        <f t="array" ref="AC24">_xlfn.IFS($AQ$6="GLOBAL",'SIMULAÇÃO 02'!AO195,$AQ$6="POR UNIDADE",'SIMULAÇÃO 02'!AU195)</f>
        <v>0</v>
      </c>
      <c r="AD24" s="314"/>
      <c r="AE24" s="314"/>
      <c r="AF24" s="314"/>
      <c r="AG24" s="314"/>
      <c r="AH24" s="314"/>
      <c r="AI24" s="314"/>
      <c r="AJ24" s="314" cm="1">
        <f t="array" ref="AJ24">_xlfn.IFS($AQ$6="GLOBAL",'SIMULAÇÃO 03'!AV195,$AQ$6="POR UNIDADE",'SIMULAÇÃO 03'!BB195)</f>
        <v>0</v>
      </c>
      <c r="AK24" s="314"/>
      <c r="AL24" s="314"/>
      <c r="AM24" s="314"/>
      <c r="AN24" s="314"/>
      <c r="AO24" s="314"/>
      <c r="AP24" s="314"/>
      <c r="AQ24" s="314" cm="1">
        <f t="array" ref="AQ24">_xlfn.IFS($AQ$6="GLOBAL",'SIMULAÇÃO 04'!BC195,$AQ$6="POR UNIDADE",'SIMULAÇÃO 04'!BI195)</f>
        <v>0</v>
      </c>
      <c r="AR24" s="314"/>
      <c r="AS24" s="314"/>
      <c r="AT24" s="314"/>
      <c r="AU24" s="314"/>
      <c r="AV24" s="314"/>
      <c r="AW24" s="314"/>
    </row>
    <row r="25" spans="2:49" ht="22.5" customHeight="1" x14ac:dyDescent="0.25">
      <c r="B25" s="273"/>
      <c r="C25" s="273"/>
      <c r="D25" s="270" t="s">
        <v>6184</v>
      </c>
      <c r="E25" s="270"/>
      <c r="F25" s="270"/>
      <c r="G25" s="270"/>
      <c r="H25" s="270"/>
      <c r="I25" s="270"/>
      <c r="J25" s="270"/>
      <c r="K25" s="270"/>
      <c r="L25" s="270"/>
      <c r="M25" s="270"/>
      <c r="N25" s="270"/>
      <c r="O25" s="83"/>
      <c r="P25" s="83"/>
      <c r="Q25" s="83"/>
      <c r="R25" s="83"/>
      <c r="S25" s="83"/>
      <c r="T25" s="83"/>
      <c r="U25" s="83"/>
      <c r="V25" s="314" cm="1">
        <f t="array" ref="V25">_xlfn.IFS($AQ$6="GLOBAL",'SIMULAÇÃO 01'!AH196,$AQ$6="POR UNIDADE",'SIMULAÇÃO 01'!AN196)</f>
        <v>-44333.118497000003</v>
      </c>
      <c r="W25" s="314"/>
      <c r="X25" s="314"/>
      <c r="Y25" s="314"/>
      <c r="Z25" s="314"/>
      <c r="AA25" s="314"/>
      <c r="AB25" s="314"/>
      <c r="AC25" s="314" cm="1">
        <f t="array" ref="AC25">_xlfn.IFS($AQ$6="GLOBAL",'SIMULAÇÃO 02'!AO196,$AQ$6="POR UNIDADE",'SIMULAÇÃO 02'!AU196)</f>
        <v>0</v>
      </c>
      <c r="AD25" s="314"/>
      <c r="AE25" s="314"/>
      <c r="AF25" s="314"/>
      <c r="AG25" s="314"/>
      <c r="AH25" s="314"/>
      <c r="AI25" s="314"/>
      <c r="AJ25" s="314" cm="1">
        <f t="array" ref="AJ25">_xlfn.IFS($AQ$6="GLOBAL",'SIMULAÇÃO 03'!AV196,$AQ$6="POR UNIDADE",'SIMULAÇÃO 03'!BB196)</f>
        <v>0</v>
      </c>
      <c r="AK25" s="314"/>
      <c r="AL25" s="314"/>
      <c r="AM25" s="314"/>
      <c r="AN25" s="314"/>
      <c r="AO25" s="314"/>
      <c r="AP25" s="314"/>
      <c r="AQ25" s="314" cm="1">
        <f t="array" ref="AQ25">_xlfn.IFS($AQ$6="GLOBAL",'SIMULAÇÃO 04'!BC196,$AQ$6="POR UNIDADE",'SIMULAÇÃO 04'!BI196)</f>
        <v>0</v>
      </c>
      <c r="AR25" s="314"/>
      <c r="AS25" s="314"/>
      <c r="AT25" s="314"/>
      <c r="AU25" s="314"/>
      <c r="AV25" s="314"/>
      <c r="AW25" s="314"/>
    </row>
    <row r="26" spans="2:49" ht="22.5" customHeight="1" x14ac:dyDescent="0.25">
      <c r="B26" s="273"/>
      <c r="C26" s="273"/>
      <c r="D26" s="270" t="s">
        <v>6224</v>
      </c>
      <c r="E26" s="270"/>
      <c r="F26" s="270"/>
      <c r="G26" s="270"/>
      <c r="H26" s="270"/>
      <c r="I26" s="270"/>
      <c r="J26" s="270"/>
      <c r="K26" s="270"/>
      <c r="L26" s="270"/>
      <c r="M26" s="270"/>
      <c r="N26" s="270"/>
      <c r="O26" s="83"/>
      <c r="P26" s="83"/>
      <c r="Q26" s="83"/>
      <c r="R26" s="83"/>
      <c r="S26" s="83"/>
      <c r="T26" s="83"/>
      <c r="U26" s="83"/>
      <c r="V26" s="314" cm="1">
        <f t="array" ref="V26">_xlfn.IFS($AQ$6="GLOBAL",'SIMULAÇÃO 01'!AH197,$AQ$6="POR UNIDADE",'SIMULAÇÃO 01'!AN197)</f>
        <v>0</v>
      </c>
      <c r="W26" s="314"/>
      <c r="X26" s="314"/>
      <c r="Y26" s="314"/>
      <c r="Z26" s="314"/>
      <c r="AA26" s="314"/>
      <c r="AB26" s="314"/>
      <c r="AC26" s="314" cm="1">
        <f t="array" ref="AC26">_xlfn.IFS($AQ$6="GLOBAL",'SIMULAÇÃO 02'!AO197,$AQ$6="POR UNIDADE",'SIMULAÇÃO 02'!AU197)</f>
        <v>0</v>
      </c>
      <c r="AD26" s="314"/>
      <c r="AE26" s="314"/>
      <c r="AF26" s="314"/>
      <c r="AG26" s="314"/>
      <c r="AH26" s="314"/>
      <c r="AI26" s="314"/>
      <c r="AJ26" s="314" cm="1">
        <f t="array" ref="AJ26">_xlfn.IFS($AQ$6="GLOBAL",'SIMULAÇÃO 03'!AV197,$AQ$6="POR UNIDADE",'SIMULAÇÃO 03'!BB197)</f>
        <v>0</v>
      </c>
      <c r="AK26" s="314"/>
      <c r="AL26" s="314"/>
      <c r="AM26" s="314"/>
      <c r="AN26" s="314"/>
      <c r="AO26" s="314"/>
      <c r="AP26" s="314"/>
      <c r="AQ26" s="314" cm="1">
        <f t="array" ref="AQ26">_xlfn.IFS($AQ$6="GLOBAL",'SIMULAÇÃO 04'!BC197,$AQ$6="POR UNIDADE",'SIMULAÇÃO 04'!BI197)</f>
        <v>0</v>
      </c>
      <c r="AR26" s="314"/>
      <c r="AS26" s="314"/>
      <c r="AT26" s="314"/>
      <c r="AU26" s="314"/>
      <c r="AV26" s="314"/>
      <c r="AW26" s="314"/>
    </row>
    <row r="27" spans="2:49" ht="22.5" customHeight="1" x14ac:dyDescent="0.25">
      <c r="B27" s="273"/>
      <c r="C27" s="273"/>
      <c r="D27" s="270" t="s">
        <v>6174</v>
      </c>
      <c r="E27" s="270"/>
      <c r="F27" s="270"/>
      <c r="G27" s="270"/>
      <c r="H27" s="270"/>
      <c r="I27" s="270"/>
      <c r="J27" s="270"/>
      <c r="K27" s="270"/>
      <c r="L27" s="270"/>
      <c r="M27" s="270"/>
      <c r="N27" s="270"/>
      <c r="O27" s="83"/>
      <c r="P27" s="83"/>
      <c r="Q27" s="83"/>
      <c r="R27" s="83"/>
      <c r="S27" s="83"/>
      <c r="T27" s="83"/>
      <c r="U27" s="83"/>
      <c r="V27" s="314" cm="1">
        <f t="array" ref="V27">_xlfn.IFS($AQ$6="GLOBAL",'SIMULAÇÃO 01'!AH198,$AQ$6="POR UNIDADE",'SIMULAÇÃO 01'!AN198)</f>
        <v>0</v>
      </c>
      <c r="W27" s="314"/>
      <c r="X27" s="314"/>
      <c r="Y27" s="314"/>
      <c r="Z27" s="314"/>
      <c r="AA27" s="314"/>
      <c r="AB27" s="314"/>
      <c r="AC27" s="314" cm="1">
        <f t="array" ref="AC27">_xlfn.IFS($AQ$6="GLOBAL",'SIMULAÇÃO 02'!AO198,$AQ$6="POR UNIDADE",'SIMULAÇÃO 02'!AU198)</f>
        <v>0</v>
      </c>
      <c r="AD27" s="314"/>
      <c r="AE27" s="314"/>
      <c r="AF27" s="314"/>
      <c r="AG27" s="314"/>
      <c r="AH27" s="314"/>
      <c r="AI27" s="314"/>
      <c r="AJ27" s="314" cm="1">
        <f t="array" ref="AJ27">_xlfn.IFS($AQ$6="GLOBAL",'SIMULAÇÃO 03'!AV198,$AQ$6="POR UNIDADE",'SIMULAÇÃO 03'!BB198)</f>
        <v>0</v>
      </c>
      <c r="AK27" s="314"/>
      <c r="AL27" s="314"/>
      <c r="AM27" s="314"/>
      <c r="AN27" s="314"/>
      <c r="AO27" s="314"/>
      <c r="AP27" s="314"/>
      <c r="AQ27" s="314" cm="1">
        <f t="array" ref="AQ27">_xlfn.IFS($AQ$6="GLOBAL",'SIMULAÇÃO 04'!BC198,$AQ$6="POR UNIDADE",'SIMULAÇÃO 04'!BI198)</f>
        <v>0</v>
      </c>
      <c r="AR27" s="314"/>
      <c r="AS27" s="314"/>
      <c r="AT27" s="314"/>
      <c r="AU27" s="314"/>
      <c r="AV27" s="314"/>
      <c r="AW27" s="314"/>
    </row>
    <row r="28" spans="2:49" ht="22.5" customHeight="1" thickBot="1" x14ac:dyDescent="0.3">
      <c r="B28" s="274"/>
      <c r="C28" s="274"/>
      <c r="D28" s="272" t="s">
        <v>6202</v>
      </c>
      <c r="E28" s="272"/>
      <c r="F28" s="272"/>
      <c r="G28" s="272"/>
      <c r="H28" s="272"/>
      <c r="I28" s="272"/>
      <c r="J28" s="272"/>
      <c r="K28" s="272"/>
      <c r="L28" s="272"/>
      <c r="M28" s="272"/>
      <c r="N28" s="272"/>
      <c r="O28" s="84"/>
      <c r="P28" s="84"/>
      <c r="Q28" s="84"/>
      <c r="R28" s="84"/>
      <c r="S28" s="84"/>
      <c r="T28" s="84"/>
      <c r="U28" s="84"/>
      <c r="V28" s="310" cm="1">
        <f t="array" ref="V28">_xlfn.IFS($AQ$6="GLOBAL",'SIMULAÇÃO 01'!AH199,$AQ$6="POR UNIDADE",'SIMULAÇÃO 01'!AN199)</f>
        <v>-260000.00000000003</v>
      </c>
      <c r="W28" s="310"/>
      <c r="X28" s="310"/>
      <c r="Y28" s="310"/>
      <c r="Z28" s="310"/>
      <c r="AA28" s="310"/>
      <c r="AB28" s="310"/>
      <c r="AC28" s="310" cm="1">
        <f t="array" ref="AC28">_xlfn.IFS($AQ$6="GLOBAL",'SIMULAÇÃO 02'!AO199,$AQ$6="POR UNIDADE",'SIMULAÇÃO 02'!AU199)</f>
        <v>0</v>
      </c>
      <c r="AD28" s="310"/>
      <c r="AE28" s="310"/>
      <c r="AF28" s="310"/>
      <c r="AG28" s="310"/>
      <c r="AH28" s="310"/>
      <c r="AI28" s="310"/>
      <c r="AJ28" s="310" cm="1">
        <f t="array" ref="AJ28">_xlfn.IFS($AQ$6="GLOBAL",'SIMULAÇÃO 03'!AV199,$AQ$6="POR UNIDADE",'SIMULAÇÃO 03'!BB199)</f>
        <v>0</v>
      </c>
      <c r="AK28" s="310"/>
      <c r="AL28" s="310"/>
      <c r="AM28" s="310"/>
      <c r="AN28" s="310"/>
      <c r="AO28" s="310"/>
      <c r="AP28" s="310"/>
      <c r="AQ28" s="310" cm="1">
        <f t="array" ref="AQ28">_xlfn.IFS($AQ$6="GLOBAL",'SIMULAÇÃO 04'!BC199,$AQ$6="POR UNIDADE",'SIMULAÇÃO 04'!BI199)</f>
        <v>0</v>
      </c>
      <c r="AR28" s="310"/>
      <c r="AS28" s="310"/>
      <c r="AT28" s="310"/>
      <c r="AU28" s="310"/>
      <c r="AV28" s="310"/>
      <c r="AW28" s="310"/>
    </row>
    <row r="29" spans="2:49" ht="22.5" customHeight="1" thickBot="1" x14ac:dyDescent="0.3">
      <c r="B29" s="276"/>
      <c r="C29" s="276"/>
      <c r="D29" s="277" t="s">
        <v>6225</v>
      </c>
      <c r="E29" s="277"/>
      <c r="F29" s="277"/>
      <c r="G29" s="277"/>
      <c r="H29" s="277"/>
      <c r="I29" s="277"/>
      <c r="J29" s="277"/>
      <c r="K29" s="277"/>
      <c r="L29" s="277"/>
      <c r="M29" s="277"/>
      <c r="N29" s="277"/>
      <c r="O29" s="85"/>
      <c r="P29" s="85"/>
      <c r="Q29" s="85"/>
      <c r="R29" s="85"/>
      <c r="S29" s="85"/>
      <c r="T29" s="85"/>
      <c r="U29" s="85"/>
      <c r="V29" s="315" cm="1">
        <f t="array" ref="V29">_xlfn.IFS($AQ$6="GLOBAL",'SIMULAÇÃO 01'!AH200,$AQ$6="POR UNIDADE",'SIMULAÇÃO 01'!AN200)</f>
        <v>-34796.449999999997</v>
      </c>
      <c r="W29" s="315"/>
      <c r="X29" s="315"/>
      <c r="Y29" s="315"/>
      <c r="Z29" s="315"/>
      <c r="AA29" s="315"/>
      <c r="AB29" s="315"/>
      <c r="AC29" s="315" cm="1">
        <f t="array" ref="AC29">_xlfn.IFS($AQ$6="GLOBAL",'SIMULAÇÃO 02'!AO200,$AQ$6="POR UNIDADE",'SIMULAÇÃO 02'!AU200)</f>
        <v>0</v>
      </c>
      <c r="AD29" s="315"/>
      <c r="AE29" s="315"/>
      <c r="AF29" s="315"/>
      <c r="AG29" s="315"/>
      <c r="AH29" s="315"/>
      <c r="AI29" s="315"/>
      <c r="AJ29" s="315" cm="1">
        <f t="array" ref="AJ29">_xlfn.IFS($AQ$6="GLOBAL",'SIMULAÇÃO 03'!AV200,$AQ$6="POR UNIDADE",'SIMULAÇÃO 03'!BB200)</f>
        <v>0</v>
      </c>
      <c r="AK29" s="315"/>
      <c r="AL29" s="315"/>
      <c r="AM29" s="315"/>
      <c r="AN29" s="315"/>
      <c r="AO29" s="315"/>
      <c r="AP29" s="315"/>
      <c r="AQ29" s="315" cm="1">
        <f t="array" ref="AQ29">_xlfn.IFS($AQ$6="GLOBAL",'SIMULAÇÃO 04'!BC200,$AQ$6="POR UNIDADE",'SIMULAÇÃO 04'!BI200)</f>
        <v>0</v>
      </c>
      <c r="AR29" s="315"/>
      <c r="AS29" s="315"/>
      <c r="AT29" s="315"/>
      <c r="AU29" s="315"/>
      <c r="AV29" s="315"/>
      <c r="AW29" s="315"/>
    </row>
    <row r="30" spans="2:49" ht="22.5" customHeight="1" x14ac:dyDescent="0.25">
      <c r="B30" s="273" t="s">
        <v>6215</v>
      </c>
      <c r="C30" s="273"/>
      <c r="D30" s="270" t="s">
        <v>6196</v>
      </c>
      <c r="E30" s="270"/>
      <c r="F30" s="270"/>
      <c r="G30" s="270"/>
      <c r="H30" s="270"/>
      <c r="I30" s="270"/>
      <c r="J30" s="270"/>
      <c r="K30" s="270"/>
      <c r="L30" s="270"/>
      <c r="M30" s="270"/>
      <c r="N30" s="270"/>
      <c r="O30" s="82"/>
      <c r="P30" s="82"/>
      <c r="Q30" s="82"/>
      <c r="R30" s="82"/>
      <c r="S30" s="82"/>
      <c r="T30" s="82"/>
      <c r="U30" s="82"/>
      <c r="V30" s="309" cm="1">
        <f t="array" ref="V30">_xlfn.IFS($AQ$6="GLOBAL",'SIMULAÇÃO 01'!AH201,$AQ$6="POR UNIDADE",'SIMULAÇÃO 01'!AN201)</f>
        <v>-477829.72032284841</v>
      </c>
      <c r="W30" s="309"/>
      <c r="X30" s="309"/>
      <c r="Y30" s="309"/>
      <c r="Z30" s="309"/>
      <c r="AA30" s="309"/>
      <c r="AB30" s="309"/>
      <c r="AC30" s="309" cm="1">
        <f t="array" ref="AC30">_xlfn.IFS($AQ$6="GLOBAL",'SIMULAÇÃO 02'!AO201,$AQ$6="POR UNIDADE",'SIMULAÇÃO 02'!AU201)</f>
        <v>0</v>
      </c>
      <c r="AD30" s="309"/>
      <c r="AE30" s="309"/>
      <c r="AF30" s="309"/>
      <c r="AG30" s="309"/>
      <c r="AH30" s="309"/>
      <c r="AI30" s="309"/>
      <c r="AJ30" s="309" cm="1">
        <f t="array" ref="AJ30">_xlfn.IFS($AQ$6="GLOBAL",'SIMULAÇÃO 03'!AV201,$AQ$6="POR UNIDADE",'SIMULAÇÃO 03'!BB201)</f>
        <v>0</v>
      </c>
      <c r="AK30" s="309"/>
      <c r="AL30" s="309"/>
      <c r="AM30" s="309"/>
      <c r="AN30" s="309"/>
      <c r="AO30" s="309"/>
      <c r="AP30" s="309"/>
      <c r="AQ30" s="309" cm="1">
        <f t="array" ref="AQ30">_xlfn.IFS($AQ$6="GLOBAL",'SIMULAÇÃO 04'!BC201,$AQ$6="POR UNIDADE",'SIMULAÇÃO 04'!BI201)</f>
        <v>0</v>
      </c>
      <c r="AR30" s="309"/>
      <c r="AS30" s="309"/>
      <c r="AT30" s="309"/>
      <c r="AU30" s="309"/>
      <c r="AV30" s="309"/>
      <c r="AW30" s="309"/>
    </row>
    <row r="31" spans="2:49" ht="22.5" customHeight="1" x14ac:dyDescent="0.25">
      <c r="B31" s="273"/>
      <c r="C31" s="273"/>
      <c r="D31" s="270" t="s">
        <v>6197</v>
      </c>
      <c r="E31" s="270"/>
      <c r="F31" s="270"/>
      <c r="G31" s="270"/>
      <c r="H31" s="270"/>
      <c r="I31" s="270"/>
      <c r="J31" s="270"/>
      <c r="K31" s="270"/>
      <c r="L31" s="270"/>
      <c r="M31" s="270"/>
      <c r="N31" s="270"/>
      <c r="O31" s="83"/>
      <c r="P31" s="83"/>
      <c r="Q31" s="83"/>
      <c r="R31" s="83"/>
      <c r="S31" s="83"/>
      <c r="T31" s="83"/>
      <c r="U31" s="83"/>
      <c r="V31" s="314" cm="1">
        <f t="array" ref="V31">_xlfn.IFS($AQ$6="GLOBAL",'SIMULAÇÃO 01'!AH202,$AQ$6="POR UNIDADE",'SIMULAÇÃO 01'!AN202)</f>
        <v>-95565.944064569674</v>
      </c>
      <c r="W31" s="314"/>
      <c r="X31" s="314"/>
      <c r="Y31" s="314"/>
      <c r="Z31" s="314"/>
      <c r="AA31" s="314"/>
      <c r="AB31" s="314"/>
      <c r="AC31" s="314" cm="1">
        <f t="array" ref="AC31">_xlfn.IFS($AQ$6="GLOBAL",'SIMULAÇÃO 02'!AO202,$AQ$6="POR UNIDADE",'SIMULAÇÃO 02'!AU202)</f>
        <v>0</v>
      </c>
      <c r="AD31" s="314"/>
      <c r="AE31" s="314"/>
      <c r="AF31" s="314"/>
      <c r="AG31" s="314"/>
      <c r="AH31" s="314"/>
      <c r="AI31" s="314"/>
      <c r="AJ31" s="314" cm="1">
        <f t="array" ref="AJ31">_xlfn.IFS($AQ$6="GLOBAL",'SIMULAÇÃO 03'!AV202,$AQ$6="POR UNIDADE",'SIMULAÇÃO 03'!BB202)</f>
        <v>0</v>
      </c>
      <c r="AK31" s="314"/>
      <c r="AL31" s="314"/>
      <c r="AM31" s="314"/>
      <c r="AN31" s="314"/>
      <c r="AO31" s="314"/>
      <c r="AP31" s="314"/>
      <c r="AQ31" s="314" cm="1">
        <f t="array" ref="AQ31">_xlfn.IFS($AQ$6="GLOBAL",'SIMULAÇÃO 04'!BC202,$AQ$6="POR UNIDADE",'SIMULAÇÃO 04'!BI202)</f>
        <v>0</v>
      </c>
      <c r="AR31" s="314"/>
      <c r="AS31" s="314"/>
      <c r="AT31" s="314"/>
      <c r="AU31" s="314"/>
      <c r="AV31" s="314"/>
      <c r="AW31" s="314"/>
    </row>
    <row r="32" spans="2:49" ht="22.5" customHeight="1" x14ac:dyDescent="0.25">
      <c r="B32" s="273"/>
      <c r="C32" s="273"/>
      <c r="D32" s="270" t="s">
        <v>6198</v>
      </c>
      <c r="E32" s="270"/>
      <c r="F32" s="270"/>
      <c r="G32" s="270"/>
      <c r="H32" s="270"/>
      <c r="I32" s="270"/>
      <c r="J32" s="270"/>
      <c r="K32" s="270"/>
      <c r="L32" s="270"/>
      <c r="M32" s="270"/>
      <c r="N32" s="270"/>
      <c r="O32" s="83"/>
      <c r="P32" s="83"/>
      <c r="Q32" s="83"/>
      <c r="R32" s="83"/>
      <c r="S32" s="83"/>
      <c r="T32" s="83"/>
      <c r="U32" s="83"/>
      <c r="V32" s="314" cm="1">
        <f t="array" ref="V32">_xlfn.IFS($AQ$6="GLOBAL",'SIMULAÇÃO 01'!AH203,$AQ$6="POR UNIDADE",'SIMULAÇÃO 01'!AN203)</f>
        <v>-47782.972032284837</v>
      </c>
      <c r="W32" s="314"/>
      <c r="X32" s="314"/>
      <c r="Y32" s="314"/>
      <c r="Z32" s="314"/>
      <c r="AA32" s="314"/>
      <c r="AB32" s="314"/>
      <c r="AC32" s="314" cm="1">
        <f t="array" ref="AC32">_xlfn.IFS($AQ$6="GLOBAL",'SIMULAÇÃO 02'!AO203,$AQ$6="POR UNIDADE",'SIMULAÇÃO 02'!AU203)</f>
        <v>0</v>
      </c>
      <c r="AD32" s="314"/>
      <c r="AE32" s="314"/>
      <c r="AF32" s="314"/>
      <c r="AG32" s="314"/>
      <c r="AH32" s="314"/>
      <c r="AI32" s="314"/>
      <c r="AJ32" s="314" cm="1">
        <f t="array" ref="AJ32">_xlfn.IFS($AQ$6="GLOBAL",'SIMULAÇÃO 03'!AV203,$AQ$6="POR UNIDADE",'SIMULAÇÃO 03'!BB203)</f>
        <v>0</v>
      </c>
      <c r="AK32" s="314"/>
      <c r="AL32" s="314"/>
      <c r="AM32" s="314"/>
      <c r="AN32" s="314"/>
      <c r="AO32" s="314"/>
      <c r="AP32" s="314"/>
      <c r="AQ32" s="314" cm="1">
        <f t="array" ref="AQ32">_xlfn.IFS($AQ$6="GLOBAL",'SIMULAÇÃO 04'!BC203,$AQ$6="POR UNIDADE",'SIMULAÇÃO 04'!BI203)</f>
        <v>0</v>
      </c>
      <c r="AR32" s="314"/>
      <c r="AS32" s="314"/>
      <c r="AT32" s="314"/>
      <c r="AU32" s="314"/>
      <c r="AV32" s="314"/>
      <c r="AW32" s="314"/>
    </row>
    <row r="33" spans="2:50" ht="22.5" customHeight="1" x14ac:dyDescent="0.25">
      <c r="B33" s="273"/>
      <c r="C33" s="273"/>
      <c r="D33" s="270" t="s">
        <v>6199</v>
      </c>
      <c r="E33" s="270"/>
      <c r="F33" s="270"/>
      <c r="G33" s="270"/>
      <c r="H33" s="270"/>
      <c r="I33" s="270"/>
      <c r="J33" s="270"/>
      <c r="K33" s="270"/>
      <c r="L33" s="270"/>
      <c r="M33" s="270"/>
      <c r="N33" s="270"/>
      <c r="O33" s="83"/>
      <c r="P33" s="83"/>
      <c r="Q33" s="83"/>
      <c r="R33" s="83"/>
      <c r="S33" s="83"/>
      <c r="T33" s="83"/>
      <c r="U33" s="83"/>
      <c r="V33" s="314" cm="1">
        <f t="array" ref="V33">_xlfn.IFS($AQ$6="GLOBAL",'SIMULAÇÃO 01'!AH204,$AQ$6="POR UNIDADE",'SIMULAÇÃO 01'!AN204)</f>
        <v>0</v>
      </c>
      <c r="W33" s="314"/>
      <c r="X33" s="314"/>
      <c r="Y33" s="314"/>
      <c r="Z33" s="314"/>
      <c r="AA33" s="314"/>
      <c r="AB33" s="314"/>
      <c r="AC33" s="314" cm="1">
        <f t="array" ref="AC33">_xlfn.IFS($AQ$6="GLOBAL",'SIMULAÇÃO 02'!AO204,$AQ$6="POR UNIDADE",'SIMULAÇÃO 02'!AU204)</f>
        <v>0</v>
      </c>
      <c r="AD33" s="314"/>
      <c r="AE33" s="314"/>
      <c r="AF33" s="314"/>
      <c r="AG33" s="314"/>
      <c r="AH33" s="314"/>
      <c r="AI33" s="314"/>
      <c r="AJ33" s="314" cm="1">
        <f t="array" ref="AJ33">_xlfn.IFS($AQ$6="GLOBAL",'SIMULAÇÃO 03'!AV204,$AQ$6="POR UNIDADE",'SIMULAÇÃO 03'!BB204)</f>
        <v>0</v>
      </c>
      <c r="AK33" s="314"/>
      <c r="AL33" s="314"/>
      <c r="AM33" s="314"/>
      <c r="AN33" s="314"/>
      <c r="AO33" s="314"/>
      <c r="AP33" s="314"/>
      <c r="AQ33" s="314" cm="1">
        <f t="array" ref="AQ33">_xlfn.IFS($AQ$6="GLOBAL",'SIMULAÇÃO 04'!BC204,$AQ$6="POR UNIDADE",'SIMULAÇÃO 04'!BI204)</f>
        <v>0</v>
      </c>
      <c r="AR33" s="314"/>
      <c r="AS33" s="314"/>
      <c r="AT33" s="314"/>
      <c r="AU33" s="314"/>
      <c r="AV33" s="314"/>
      <c r="AW33" s="314"/>
    </row>
    <row r="34" spans="2:50" ht="22.5" customHeight="1" x14ac:dyDescent="0.25">
      <c r="B34" s="273"/>
      <c r="C34" s="273"/>
      <c r="D34" s="270" t="s">
        <v>6200</v>
      </c>
      <c r="E34" s="270"/>
      <c r="F34" s="270"/>
      <c r="G34" s="270"/>
      <c r="H34" s="270"/>
      <c r="I34" s="270"/>
      <c r="J34" s="270"/>
      <c r="K34" s="270"/>
      <c r="L34" s="270"/>
      <c r="M34" s="270"/>
      <c r="N34" s="270"/>
      <c r="O34" s="83"/>
      <c r="P34" s="83"/>
      <c r="Q34" s="83"/>
      <c r="R34" s="83"/>
      <c r="S34" s="83"/>
      <c r="T34" s="83"/>
      <c r="U34" s="83"/>
      <c r="V34" s="314" cm="1">
        <f t="array" ref="V34">_xlfn.IFS($AQ$6="GLOBAL",'SIMULAÇÃO 01'!AH205,$AQ$6="POR UNIDADE",'SIMULAÇÃO 01'!AN205)</f>
        <v>0</v>
      </c>
      <c r="W34" s="314"/>
      <c r="X34" s="314"/>
      <c r="Y34" s="314"/>
      <c r="Z34" s="314"/>
      <c r="AA34" s="314"/>
      <c r="AB34" s="314"/>
      <c r="AC34" s="314" cm="1">
        <f t="array" ref="AC34">_xlfn.IFS($AQ$6="GLOBAL",'SIMULAÇÃO 02'!AO205,$AQ$6="POR UNIDADE",'SIMULAÇÃO 02'!AU205)</f>
        <v>0</v>
      </c>
      <c r="AD34" s="314"/>
      <c r="AE34" s="314"/>
      <c r="AF34" s="314"/>
      <c r="AG34" s="314"/>
      <c r="AH34" s="314"/>
      <c r="AI34" s="314"/>
      <c r="AJ34" s="314" cm="1">
        <f t="array" ref="AJ34">_xlfn.IFS($AQ$6="GLOBAL",'SIMULAÇÃO 03'!AV205,$AQ$6="POR UNIDADE",'SIMULAÇÃO 03'!BB205)</f>
        <v>0</v>
      </c>
      <c r="AK34" s="314"/>
      <c r="AL34" s="314"/>
      <c r="AM34" s="314"/>
      <c r="AN34" s="314"/>
      <c r="AO34" s="314"/>
      <c r="AP34" s="314"/>
      <c r="AQ34" s="314" cm="1">
        <f t="array" ref="AQ34">_xlfn.IFS($AQ$6="GLOBAL",'SIMULAÇÃO 04'!BC205,$AQ$6="POR UNIDADE",'SIMULAÇÃO 04'!BI205)</f>
        <v>0</v>
      </c>
      <c r="AR34" s="314"/>
      <c r="AS34" s="314"/>
      <c r="AT34" s="314"/>
      <c r="AU34" s="314"/>
      <c r="AV34" s="314"/>
      <c r="AW34" s="314"/>
    </row>
    <row r="35" spans="2:50" ht="22.5" customHeight="1" x14ac:dyDescent="0.25">
      <c r="B35" s="273"/>
      <c r="C35" s="273"/>
      <c r="D35" s="270" t="s">
        <v>6226</v>
      </c>
      <c r="E35" s="270"/>
      <c r="F35" s="270"/>
      <c r="G35" s="270"/>
      <c r="H35" s="270"/>
      <c r="I35" s="270"/>
      <c r="J35" s="270"/>
      <c r="K35" s="270"/>
      <c r="L35" s="270"/>
      <c r="M35" s="270"/>
      <c r="N35" s="270"/>
      <c r="O35" s="83"/>
      <c r="P35" s="83"/>
      <c r="Q35" s="83"/>
      <c r="R35" s="83"/>
      <c r="S35" s="83"/>
      <c r="T35" s="83"/>
      <c r="U35" s="83"/>
      <c r="V35" s="314" cm="1">
        <f t="array" ref="V35">_xlfn.IFS($AQ$6="GLOBAL",'SIMULAÇÃO 01'!AH206,$AQ$6="POR UNIDADE",'SIMULAÇÃO 01'!AN206)</f>
        <v>0</v>
      </c>
      <c r="W35" s="314"/>
      <c r="X35" s="314"/>
      <c r="Y35" s="314"/>
      <c r="Z35" s="314"/>
      <c r="AA35" s="314"/>
      <c r="AB35" s="314"/>
      <c r="AC35" s="314" cm="1">
        <f t="array" ref="AC35">_xlfn.IFS($AQ$6="GLOBAL",'SIMULAÇÃO 02'!AO206,$AQ$6="POR UNIDADE",'SIMULAÇÃO 02'!AU206)</f>
        <v>0</v>
      </c>
      <c r="AD35" s="314"/>
      <c r="AE35" s="314"/>
      <c r="AF35" s="314"/>
      <c r="AG35" s="314"/>
      <c r="AH35" s="314"/>
      <c r="AI35" s="314"/>
      <c r="AJ35" s="314" cm="1">
        <f t="array" ref="AJ35">_xlfn.IFS($AQ$6="GLOBAL",'SIMULAÇÃO 03'!AV206,$AQ$6="POR UNIDADE",'SIMULAÇÃO 03'!BB206)</f>
        <v>0</v>
      </c>
      <c r="AK35" s="314"/>
      <c r="AL35" s="314"/>
      <c r="AM35" s="314"/>
      <c r="AN35" s="314"/>
      <c r="AO35" s="314"/>
      <c r="AP35" s="314"/>
      <c r="AQ35" s="314" cm="1">
        <f t="array" ref="AQ35">_xlfn.IFS($AQ$6="GLOBAL",'SIMULAÇÃO 04'!BC206,$AQ$6="POR UNIDADE",'SIMULAÇÃO 04'!BI206)</f>
        <v>0</v>
      </c>
      <c r="AR35" s="314"/>
      <c r="AS35" s="314"/>
      <c r="AT35" s="314"/>
      <c r="AU35" s="314"/>
      <c r="AV35" s="314"/>
      <c r="AW35" s="314"/>
    </row>
    <row r="36" spans="2:50" ht="22.5" customHeight="1" thickBot="1" x14ac:dyDescent="0.3">
      <c r="B36" s="274"/>
      <c r="C36" s="274"/>
      <c r="D36" s="272" t="s">
        <v>6202</v>
      </c>
      <c r="E36" s="272"/>
      <c r="F36" s="272"/>
      <c r="G36" s="272"/>
      <c r="H36" s="272"/>
      <c r="I36" s="272"/>
      <c r="J36" s="272"/>
      <c r="K36" s="272"/>
      <c r="L36" s="272"/>
      <c r="M36" s="272"/>
      <c r="N36" s="272"/>
      <c r="O36" s="84"/>
      <c r="P36" s="84"/>
      <c r="Q36" s="84"/>
      <c r="R36" s="84"/>
      <c r="S36" s="84"/>
      <c r="T36" s="84"/>
      <c r="U36" s="84"/>
      <c r="V36" s="310" cm="1">
        <f t="array" ref="V36">_xlfn.IFS($AQ$6="GLOBAL",'SIMULAÇÃO 01'!AH207,$AQ$6="POR UNIDADE",'SIMULAÇÃO 01'!AN207)</f>
        <v>0</v>
      </c>
      <c r="W36" s="310"/>
      <c r="X36" s="310"/>
      <c r="Y36" s="310"/>
      <c r="Z36" s="310"/>
      <c r="AA36" s="310"/>
      <c r="AB36" s="310"/>
      <c r="AC36" s="310" cm="1">
        <f t="array" ref="AC36">_xlfn.IFS($AQ$6="GLOBAL",'SIMULAÇÃO 02'!AO207,$AQ$6="POR UNIDADE",'SIMULAÇÃO 02'!AU207)</f>
        <v>0</v>
      </c>
      <c r="AD36" s="310"/>
      <c r="AE36" s="310"/>
      <c r="AF36" s="310"/>
      <c r="AG36" s="310"/>
      <c r="AH36" s="310"/>
      <c r="AI36" s="310"/>
      <c r="AJ36" s="310" cm="1">
        <f t="array" ref="AJ36">_xlfn.IFS($AQ$6="GLOBAL",'SIMULAÇÃO 03'!AV207,$AQ$6="POR UNIDADE",'SIMULAÇÃO 03'!BB207)</f>
        <v>0</v>
      </c>
      <c r="AK36" s="310"/>
      <c r="AL36" s="310"/>
      <c r="AM36" s="310"/>
      <c r="AN36" s="310"/>
      <c r="AO36" s="310"/>
      <c r="AP36" s="310"/>
      <c r="AQ36" s="310" cm="1">
        <f t="array" ref="AQ36">_xlfn.IFS($AQ$6="GLOBAL",'SIMULAÇÃO 04'!BC207,$AQ$6="POR UNIDADE",'SIMULAÇÃO 04'!BI207)</f>
        <v>0</v>
      </c>
      <c r="AR36" s="310"/>
      <c r="AS36" s="310"/>
      <c r="AT36" s="310"/>
      <c r="AU36" s="310"/>
      <c r="AV36" s="310"/>
      <c r="AW36" s="310"/>
    </row>
    <row r="37" spans="2:50" ht="22.5" customHeight="1" x14ac:dyDescent="0.25">
      <c r="B37" s="273" t="s">
        <v>6216</v>
      </c>
      <c r="C37" s="273"/>
      <c r="D37" s="270" t="s">
        <v>6207</v>
      </c>
      <c r="E37" s="270"/>
      <c r="F37" s="270"/>
      <c r="G37" s="270"/>
      <c r="H37" s="270"/>
      <c r="I37" s="270"/>
      <c r="J37" s="270"/>
      <c r="K37" s="270"/>
      <c r="L37" s="270"/>
      <c r="M37" s="270"/>
      <c r="N37" s="270"/>
      <c r="O37" s="82"/>
      <c r="P37" s="82"/>
      <c r="Q37" s="82"/>
      <c r="R37" s="82"/>
      <c r="S37" s="82"/>
      <c r="T37" s="82"/>
      <c r="U37" s="82"/>
      <c r="V37" s="309" cm="1">
        <f t="array" ref="V37">_xlfn.IFS($AQ$6="GLOBAL",'SIMULAÇÃO 01'!AH208,$AQ$6="POR UNIDADE",'SIMULAÇÃO 01'!AN208)</f>
        <v>-3546.6494797600003</v>
      </c>
      <c r="W37" s="309"/>
      <c r="X37" s="309"/>
      <c r="Y37" s="309"/>
      <c r="Z37" s="309"/>
      <c r="AA37" s="309"/>
      <c r="AB37" s="309"/>
      <c r="AC37" s="309" cm="1">
        <f t="array" ref="AC37">_xlfn.IFS($AQ$6="GLOBAL",'SIMULAÇÃO 02'!AO208,$AQ$6="POR UNIDADE",'SIMULAÇÃO 02'!AU208)</f>
        <v>0</v>
      </c>
      <c r="AD37" s="309"/>
      <c r="AE37" s="309"/>
      <c r="AF37" s="309"/>
      <c r="AG37" s="309"/>
      <c r="AH37" s="309"/>
      <c r="AI37" s="309"/>
      <c r="AJ37" s="309" cm="1">
        <f t="array" ref="AJ37">_xlfn.IFS($AQ$6="GLOBAL",'SIMULAÇÃO 03'!AV208,$AQ$6="POR UNIDADE",'SIMULAÇÃO 03'!BB208)</f>
        <v>0</v>
      </c>
      <c r="AK37" s="309"/>
      <c r="AL37" s="309"/>
      <c r="AM37" s="309"/>
      <c r="AN37" s="309"/>
      <c r="AO37" s="309"/>
      <c r="AP37" s="309"/>
      <c r="AQ37" s="309" cm="1">
        <f t="array" ref="AQ37">_xlfn.IFS($AQ$6="GLOBAL",'SIMULAÇÃO 04'!BC208,$AQ$6="POR UNIDADE",'SIMULAÇÃO 04'!BI208)</f>
        <v>0</v>
      </c>
      <c r="AR37" s="309"/>
      <c r="AS37" s="309"/>
      <c r="AT37" s="309"/>
      <c r="AU37" s="309"/>
      <c r="AV37" s="309"/>
      <c r="AW37" s="309"/>
    </row>
    <row r="38" spans="2:50" ht="22.5" customHeight="1" x14ac:dyDescent="0.25">
      <c r="B38" s="273"/>
      <c r="C38" s="273"/>
      <c r="D38" s="270" t="s">
        <v>6184</v>
      </c>
      <c r="E38" s="270"/>
      <c r="F38" s="270"/>
      <c r="G38" s="270"/>
      <c r="H38" s="270"/>
      <c r="I38" s="270"/>
      <c r="J38" s="270"/>
      <c r="K38" s="270"/>
      <c r="L38" s="270"/>
      <c r="M38" s="270"/>
      <c r="N38" s="270"/>
      <c r="O38" s="83"/>
      <c r="P38" s="83"/>
      <c r="Q38" s="83"/>
      <c r="R38" s="83"/>
      <c r="S38" s="83"/>
      <c r="T38" s="83"/>
      <c r="U38" s="83"/>
      <c r="V38" s="314" cm="1">
        <f t="array" ref="V38">_xlfn.IFS($AQ$6="GLOBAL",'SIMULAÇÃO 01'!AH209,$AQ$6="POR UNIDADE",'SIMULAÇÃO 01'!AN209)</f>
        <v>-3546.6494797600003</v>
      </c>
      <c r="W38" s="314"/>
      <c r="X38" s="314"/>
      <c r="Y38" s="314"/>
      <c r="Z38" s="314"/>
      <c r="AA38" s="314"/>
      <c r="AB38" s="314"/>
      <c r="AC38" s="314" cm="1">
        <f t="array" ref="AC38">_xlfn.IFS($AQ$6="GLOBAL",'SIMULAÇÃO 02'!AO209,$AQ$6="POR UNIDADE",'SIMULAÇÃO 02'!AU209)</f>
        <v>0</v>
      </c>
      <c r="AD38" s="314"/>
      <c r="AE38" s="314"/>
      <c r="AF38" s="314"/>
      <c r="AG38" s="314"/>
      <c r="AH38" s="314"/>
      <c r="AI38" s="314"/>
      <c r="AJ38" s="314" cm="1">
        <f t="array" ref="AJ38">_xlfn.IFS($AQ$6="GLOBAL",'SIMULAÇÃO 03'!AV209,$AQ$6="POR UNIDADE",'SIMULAÇÃO 03'!BB209)</f>
        <v>0</v>
      </c>
      <c r="AK38" s="314"/>
      <c r="AL38" s="314"/>
      <c r="AM38" s="314"/>
      <c r="AN38" s="314"/>
      <c r="AO38" s="314"/>
      <c r="AP38" s="314"/>
      <c r="AQ38" s="314" cm="1">
        <f t="array" ref="AQ38">_xlfn.IFS($AQ$6="GLOBAL",'SIMULAÇÃO 04'!BC209,$AQ$6="POR UNIDADE",'SIMULAÇÃO 04'!BI209)</f>
        <v>0</v>
      </c>
      <c r="AR38" s="314"/>
      <c r="AS38" s="314"/>
      <c r="AT38" s="314"/>
      <c r="AU38" s="314"/>
      <c r="AV38" s="314"/>
      <c r="AW38" s="314"/>
    </row>
    <row r="39" spans="2:50" ht="22.5" customHeight="1" x14ac:dyDescent="0.25">
      <c r="B39" s="273"/>
      <c r="C39" s="273"/>
      <c r="D39" s="270" t="s">
        <v>6208</v>
      </c>
      <c r="E39" s="270"/>
      <c r="F39" s="270"/>
      <c r="G39" s="270"/>
      <c r="H39" s="270"/>
      <c r="I39" s="270"/>
      <c r="J39" s="270"/>
      <c r="K39" s="270"/>
      <c r="L39" s="270"/>
      <c r="M39" s="270"/>
      <c r="N39" s="270"/>
      <c r="O39" s="83"/>
      <c r="P39" s="83"/>
      <c r="Q39" s="83"/>
      <c r="R39" s="83"/>
      <c r="S39" s="83"/>
      <c r="T39" s="83"/>
      <c r="U39" s="83"/>
      <c r="V39" s="314" cm="1">
        <f t="array" ref="V39">_xlfn.IFS($AQ$6="GLOBAL",'SIMULAÇÃO 01'!AH210,$AQ$6="POR UNIDADE",'SIMULAÇÃO 01'!AN210)</f>
        <v>-3546.6494797600003</v>
      </c>
      <c r="W39" s="314"/>
      <c r="X39" s="314"/>
      <c r="Y39" s="314"/>
      <c r="Z39" s="314"/>
      <c r="AA39" s="314"/>
      <c r="AB39" s="314"/>
      <c r="AC39" s="314" cm="1">
        <f t="array" ref="AC39">_xlfn.IFS($AQ$6="GLOBAL",'SIMULAÇÃO 02'!AO210,$AQ$6="POR UNIDADE",'SIMULAÇÃO 02'!AU210)</f>
        <v>0</v>
      </c>
      <c r="AD39" s="314"/>
      <c r="AE39" s="314"/>
      <c r="AF39" s="314"/>
      <c r="AG39" s="314"/>
      <c r="AH39" s="314"/>
      <c r="AI39" s="314"/>
      <c r="AJ39" s="314" cm="1">
        <f t="array" ref="AJ39">_xlfn.IFS($AQ$6="GLOBAL",'SIMULAÇÃO 03'!AV210,$AQ$6="POR UNIDADE",'SIMULAÇÃO 03'!BB210)</f>
        <v>0</v>
      </c>
      <c r="AK39" s="314"/>
      <c r="AL39" s="314"/>
      <c r="AM39" s="314"/>
      <c r="AN39" s="314"/>
      <c r="AO39" s="314"/>
      <c r="AP39" s="314"/>
      <c r="AQ39" s="314" cm="1">
        <f t="array" ref="AQ39">_xlfn.IFS($AQ$6="GLOBAL",'SIMULAÇÃO 04'!BC210,$AQ$6="POR UNIDADE",'SIMULAÇÃO 04'!BI210)</f>
        <v>0</v>
      </c>
      <c r="AR39" s="314"/>
      <c r="AS39" s="314"/>
      <c r="AT39" s="314"/>
      <c r="AU39" s="314"/>
      <c r="AV39" s="314"/>
      <c r="AW39" s="314"/>
    </row>
    <row r="40" spans="2:50" ht="22.5" customHeight="1" thickBot="1" x14ac:dyDescent="0.3">
      <c r="B40" s="274"/>
      <c r="C40" s="274"/>
      <c r="D40" s="272" t="s">
        <v>6202</v>
      </c>
      <c r="E40" s="272"/>
      <c r="F40" s="272"/>
      <c r="G40" s="272"/>
      <c r="H40" s="272"/>
      <c r="I40" s="272"/>
      <c r="J40" s="272"/>
      <c r="K40" s="272"/>
      <c r="L40" s="272"/>
      <c r="M40" s="272"/>
      <c r="N40" s="272"/>
      <c r="O40" s="84"/>
      <c r="P40" s="84"/>
      <c r="Q40" s="84"/>
      <c r="R40" s="84"/>
      <c r="S40" s="84"/>
      <c r="T40" s="84"/>
      <c r="U40" s="84"/>
      <c r="V40" s="310" cm="1">
        <f t="array" ref="V40">_xlfn.IFS($AQ$6="GLOBAL",'SIMULAÇÃO 01'!AH211,$AQ$6="POR UNIDADE",'SIMULAÇÃO 01'!AN211)</f>
        <v>0</v>
      </c>
      <c r="W40" s="310"/>
      <c r="X40" s="310"/>
      <c r="Y40" s="310"/>
      <c r="Z40" s="310"/>
      <c r="AA40" s="310"/>
      <c r="AB40" s="310"/>
      <c r="AC40" s="310" cm="1">
        <f t="array" ref="AC40">_xlfn.IFS($AQ$6="GLOBAL",'SIMULAÇÃO 02'!AO211,$AQ$6="POR UNIDADE",'SIMULAÇÃO 02'!AU211)</f>
        <v>0</v>
      </c>
      <c r="AD40" s="310"/>
      <c r="AE40" s="310"/>
      <c r="AF40" s="310"/>
      <c r="AG40" s="310"/>
      <c r="AH40" s="310"/>
      <c r="AI40" s="310"/>
      <c r="AJ40" s="310" cm="1">
        <f t="array" ref="AJ40">_xlfn.IFS($AQ$6="GLOBAL",'SIMULAÇÃO 03'!AV211,$AQ$6="POR UNIDADE",'SIMULAÇÃO 03'!BB211)</f>
        <v>0</v>
      </c>
      <c r="AK40" s="310"/>
      <c r="AL40" s="310"/>
      <c r="AM40" s="310"/>
      <c r="AN40" s="310"/>
      <c r="AO40" s="310"/>
      <c r="AP40" s="310"/>
      <c r="AQ40" s="310" cm="1">
        <f t="array" ref="AQ40">_xlfn.IFS($AQ$6="GLOBAL",'SIMULAÇÃO 04'!BC211,$AQ$6="POR UNIDADE",'SIMULAÇÃO 04'!BI211)</f>
        <v>0</v>
      </c>
      <c r="AR40" s="310"/>
      <c r="AS40" s="310"/>
      <c r="AT40" s="310"/>
      <c r="AU40" s="310"/>
      <c r="AV40" s="310"/>
      <c r="AW40" s="310"/>
    </row>
    <row r="41" spans="2:50" ht="22.5" customHeight="1" x14ac:dyDescent="0.25">
      <c r="B41" s="80"/>
      <c r="C41" s="80"/>
      <c r="D41" s="270" t="s">
        <v>6227</v>
      </c>
      <c r="E41" s="270"/>
      <c r="F41" s="270"/>
      <c r="G41" s="270"/>
      <c r="H41" s="270"/>
      <c r="I41" s="270"/>
      <c r="J41" s="270"/>
      <c r="K41" s="270"/>
      <c r="L41" s="270"/>
      <c r="M41" s="270"/>
      <c r="N41" s="270"/>
      <c r="O41" s="82"/>
      <c r="P41" s="82"/>
      <c r="Q41" s="82"/>
      <c r="R41" s="82"/>
      <c r="S41" s="82"/>
      <c r="T41" s="82"/>
      <c r="U41" s="82"/>
      <c r="V41" s="309" cm="1">
        <f t="array" ref="V41">_xlfn.IFS($AQ$6="GLOBAL",'SIMULAÇÃO 01'!AH212,$AQ$6="POR UNIDADE",'SIMULAÇÃO 01'!AN212)</f>
        <v>-359327.94968278194</v>
      </c>
      <c r="W41" s="309"/>
      <c r="X41" s="309"/>
      <c r="Y41" s="309"/>
      <c r="Z41" s="309"/>
      <c r="AA41" s="309"/>
      <c r="AB41" s="309"/>
      <c r="AC41" s="309" cm="1">
        <f t="array" ref="AC41">_xlfn.IFS($AQ$6="GLOBAL",'SIMULAÇÃO 02'!AO212,$AQ$6="POR UNIDADE",'SIMULAÇÃO 02'!AU212)</f>
        <v>0</v>
      </c>
      <c r="AD41" s="309"/>
      <c r="AE41" s="309"/>
      <c r="AF41" s="309"/>
      <c r="AG41" s="309"/>
      <c r="AH41" s="309"/>
      <c r="AI41" s="309"/>
      <c r="AJ41" s="309" cm="1">
        <f t="array" ref="AJ41">_xlfn.IFS($AQ$6="GLOBAL",'SIMULAÇÃO 03'!AV212,$AQ$6="POR UNIDADE",'SIMULAÇÃO 03'!BB212)</f>
        <v>0</v>
      </c>
      <c r="AK41" s="309"/>
      <c r="AL41" s="309"/>
      <c r="AM41" s="309"/>
      <c r="AN41" s="309"/>
      <c r="AO41" s="309"/>
      <c r="AP41" s="309"/>
      <c r="AQ41" s="309" cm="1">
        <f t="array" ref="AQ41">_xlfn.IFS($AQ$6="GLOBAL",'SIMULAÇÃO 04'!BC212,$AQ$6="POR UNIDADE",'SIMULAÇÃO 04'!BI212)</f>
        <v>0</v>
      </c>
      <c r="AR41" s="309"/>
      <c r="AS41" s="309"/>
      <c r="AT41" s="309"/>
      <c r="AU41" s="309"/>
      <c r="AV41" s="309"/>
      <c r="AW41" s="309"/>
    </row>
    <row r="42" spans="2:50" ht="22.5" customHeight="1" thickBot="1" x14ac:dyDescent="0.3">
      <c r="B42" s="81"/>
      <c r="C42" s="81"/>
      <c r="D42" s="272" t="s">
        <v>6228</v>
      </c>
      <c r="E42" s="272"/>
      <c r="F42" s="272"/>
      <c r="G42" s="272"/>
      <c r="H42" s="272"/>
      <c r="I42" s="272"/>
      <c r="J42" s="272"/>
      <c r="K42" s="272"/>
      <c r="L42" s="272"/>
      <c r="M42" s="272"/>
      <c r="N42" s="272"/>
      <c r="O42" s="84"/>
      <c r="P42" s="84"/>
      <c r="Q42" s="84"/>
      <c r="R42" s="84"/>
      <c r="S42" s="84"/>
      <c r="T42" s="84"/>
      <c r="U42" s="84"/>
      <c r="V42" s="310" cm="1">
        <f t="array" ref="V42">_xlfn.IFS($AQ$6="GLOBAL",'SIMULAÇÃO 01'!AH213,$AQ$6="POR UNIDADE",'SIMULAÇÃO 01'!AN213)</f>
        <v>-466979.46802948695</v>
      </c>
      <c r="W42" s="310"/>
      <c r="X42" s="310"/>
      <c r="Y42" s="310"/>
      <c r="Z42" s="310"/>
      <c r="AA42" s="310"/>
      <c r="AB42" s="310"/>
      <c r="AC42" s="310" cm="1">
        <f t="array" ref="AC42">_xlfn.IFS($AQ$6="GLOBAL",'SIMULAÇÃO 02'!AO213,$AQ$6="POR UNIDADE",'SIMULAÇÃO 02'!AU213)</f>
        <v>0</v>
      </c>
      <c r="AD42" s="310"/>
      <c r="AE42" s="310"/>
      <c r="AF42" s="310"/>
      <c r="AG42" s="310"/>
      <c r="AH42" s="310"/>
      <c r="AI42" s="310"/>
      <c r="AJ42" s="310" cm="1">
        <f t="array" ref="AJ42">_xlfn.IFS($AQ$6="GLOBAL",'SIMULAÇÃO 03'!AV213,$AQ$6="POR UNIDADE",'SIMULAÇÃO 03'!BB213)</f>
        <v>0</v>
      </c>
      <c r="AK42" s="310"/>
      <c r="AL42" s="310"/>
      <c r="AM42" s="310"/>
      <c r="AN42" s="310"/>
      <c r="AO42" s="310"/>
      <c r="AP42" s="310"/>
      <c r="AQ42" s="310" cm="1">
        <f t="array" ref="AQ42">_xlfn.IFS($AQ$6="GLOBAL",'SIMULAÇÃO 04'!BC213,$AQ$6="POR UNIDADE",'SIMULAÇÃO 04'!BI213)</f>
        <v>0</v>
      </c>
      <c r="AR42" s="310"/>
      <c r="AS42" s="310"/>
      <c r="AT42" s="310"/>
      <c r="AU42" s="310"/>
      <c r="AV42" s="310"/>
      <c r="AW42" s="310"/>
    </row>
    <row r="43" spans="2:50" ht="18.75" customHeight="1" x14ac:dyDescent="0.25">
      <c r="B43" s="86"/>
      <c r="C43" s="86"/>
      <c r="D43" s="275" t="s">
        <v>6230</v>
      </c>
      <c r="E43" s="275"/>
      <c r="F43" s="275"/>
      <c r="G43" s="275"/>
      <c r="H43" s="275"/>
      <c r="I43" s="275"/>
      <c r="J43" s="275"/>
      <c r="K43" s="275"/>
      <c r="L43" s="275"/>
      <c r="M43" s="275"/>
      <c r="N43" s="275"/>
      <c r="O43" s="87"/>
      <c r="P43" s="87"/>
      <c r="Q43" s="87"/>
      <c r="R43" s="87"/>
      <c r="S43" s="87"/>
      <c r="T43" s="87"/>
      <c r="U43" s="87"/>
      <c r="V43" s="311" cm="1">
        <f t="array" ref="V43">_xlfn.IFS($AQ$6="GLOBAL",'SIMULAÇÃO 01'!AH214,$AQ$6="POR UNIDADE",'SIMULAÇÃO 01'!AN214)</f>
        <v>1721997.9685250074</v>
      </c>
      <c r="W43" s="311"/>
      <c r="X43" s="311"/>
      <c r="Y43" s="311"/>
      <c r="Z43" s="311"/>
      <c r="AA43" s="311"/>
      <c r="AB43" s="311"/>
      <c r="AC43" s="311" cm="1">
        <f t="array" ref="AC43">_xlfn.IFS($AQ$6="GLOBAL",'SIMULAÇÃO 02'!AO214,$AQ$6="POR UNIDADE",'SIMULAÇÃO 02'!AU214)</f>
        <v>0</v>
      </c>
      <c r="AD43" s="311"/>
      <c r="AE43" s="311"/>
      <c r="AF43" s="311"/>
      <c r="AG43" s="311"/>
      <c r="AH43" s="311"/>
      <c r="AI43" s="311"/>
      <c r="AJ43" s="311" cm="1">
        <f t="array" ref="AJ43">_xlfn.IFS($AQ$6="GLOBAL",'SIMULAÇÃO 03'!AV214,$AQ$6="POR UNIDADE",'SIMULAÇÃO 03'!BB214)</f>
        <v>0</v>
      </c>
      <c r="AK43" s="311"/>
      <c r="AL43" s="311"/>
      <c r="AM43" s="311"/>
      <c r="AN43" s="311"/>
      <c r="AO43" s="311"/>
      <c r="AP43" s="311"/>
      <c r="AQ43" s="311" cm="1">
        <f t="array" ref="AQ43">_xlfn.IFS($AQ$6="GLOBAL",'SIMULAÇÃO 04'!BC214,$AQ$6="POR UNIDADE",'SIMULAÇÃO 04'!BI214)</f>
        <v>0</v>
      </c>
      <c r="AR43" s="311"/>
      <c r="AS43" s="311"/>
      <c r="AT43" s="311"/>
      <c r="AU43" s="311"/>
      <c r="AV43" s="311"/>
      <c r="AW43" s="311"/>
    </row>
    <row r="44" spans="2:50" ht="18.75" customHeight="1" x14ac:dyDescent="0.25">
      <c r="B44" s="98"/>
      <c r="C44" s="98"/>
      <c r="D44" s="307"/>
      <c r="E44" s="307"/>
      <c r="F44" s="307"/>
      <c r="G44" s="307"/>
      <c r="H44" s="307"/>
      <c r="I44" s="307"/>
      <c r="J44" s="307"/>
      <c r="K44" s="307"/>
      <c r="L44" s="307"/>
      <c r="M44" s="307"/>
      <c r="N44" s="307"/>
      <c r="O44" s="99"/>
      <c r="P44" s="99"/>
      <c r="Q44" s="99"/>
      <c r="R44" s="99"/>
      <c r="S44" s="99"/>
      <c r="T44" s="99"/>
      <c r="U44" s="99"/>
      <c r="V44" s="320">
        <f>IFERROR(V43/V10,0)</f>
        <v>0.18018950007562626</v>
      </c>
      <c r="W44" s="320"/>
      <c r="X44" s="320"/>
      <c r="Y44" s="320"/>
      <c r="Z44" s="320"/>
      <c r="AA44" s="320"/>
      <c r="AB44" s="320"/>
      <c r="AC44" s="320">
        <f t="shared" ref="AC44" si="0">IFERROR(AC43/AC10,0)</f>
        <v>0</v>
      </c>
      <c r="AD44" s="320"/>
      <c r="AE44" s="320"/>
      <c r="AF44" s="320"/>
      <c r="AG44" s="320"/>
      <c r="AH44" s="320"/>
      <c r="AI44" s="320"/>
      <c r="AJ44" s="320">
        <f t="shared" ref="AJ44" si="1">IFERROR(AJ43/AJ10,0)</f>
        <v>0</v>
      </c>
      <c r="AK44" s="320"/>
      <c r="AL44" s="320"/>
      <c r="AM44" s="320"/>
      <c r="AN44" s="320"/>
      <c r="AO44" s="320"/>
      <c r="AP44" s="320"/>
      <c r="AQ44" s="320">
        <f t="shared" ref="AQ44" si="2">IFERROR(AQ43/AQ10,0)</f>
        <v>0</v>
      </c>
      <c r="AR44" s="320"/>
      <c r="AS44" s="320"/>
      <c r="AT44" s="320"/>
      <c r="AU44" s="320"/>
      <c r="AV44" s="320"/>
      <c r="AW44" s="320"/>
    </row>
    <row r="45" spans="2:50" ht="18.75" customHeight="1" x14ac:dyDescent="0.25"/>
    <row r="46" spans="2:50" ht="26.25" customHeight="1" x14ac:dyDescent="0.25">
      <c r="B46" s="93" t="s">
        <v>6246</v>
      </c>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308" t="s">
        <v>6231</v>
      </c>
      <c r="AR46" s="308"/>
      <c r="AS46" s="308"/>
      <c r="AT46" s="308"/>
      <c r="AU46" s="308"/>
      <c r="AV46" s="308"/>
      <c r="AW46" s="308"/>
      <c r="AX46" s="101"/>
    </row>
    <row r="47" spans="2:50" ht="3.75" customHeight="1" x14ac:dyDescent="0.25"/>
    <row r="48" spans="2:50" ht="22.5" customHeight="1" x14ac:dyDescent="0.25"/>
    <row r="49" spans="2:11" ht="22.5" customHeight="1" x14ac:dyDescent="0.25">
      <c r="B49" s="102"/>
      <c r="C49" s="103" t="str">
        <f>AQ46</f>
        <v>SIMULAÇÃO 01</v>
      </c>
      <c r="D49" s="102"/>
      <c r="E49" s="103" t="s">
        <v>6231</v>
      </c>
      <c r="F49" s="103" t="s">
        <v>6232</v>
      </c>
      <c r="G49" s="103" t="s">
        <v>6234</v>
      </c>
      <c r="H49" s="103" t="s">
        <v>6235</v>
      </c>
      <c r="I49" s="102"/>
      <c r="J49" s="102"/>
      <c r="K49" s="102"/>
    </row>
    <row r="50" spans="2:11" ht="22.5" customHeight="1" x14ac:dyDescent="0.25">
      <c r="B50" s="102" t="s">
        <v>6244</v>
      </c>
      <c r="C50" s="104" cm="1">
        <f t="array" ref="C50">_xlfn.IFS($AQ$46="SIMULAÇÃO 01",E50,$AQ$46="SIMULAÇÃO 02",F50,$AQ$46="SIMULAÇÃO 03",G50,$AQ$46="SIMULAÇÃO 04",H50)</f>
        <v>9556594.4064569678</v>
      </c>
      <c r="D50" s="102"/>
      <c r="E50" s="105">
        <f>V10</f>
        <v>9556594.4064569678</v>
      </c>
      <c r="F50" s="105">
        <f>AC10</f>
        <v>0</v>
      </c>
      <c r="G50" s="105">
        <f>AJ10</f>
        <v>0</v>
      </c>
      <c r="H50" s="105">
        <f>AQ10</f>
        <v>0</v>
      </c>
      <c r="I50" s="102"/>
      <c r="J50" s="102"/>
      <c r="K50" s="102"/>
    </row>
    <row r="51" spans="2:11" ht="22.5" customHeight="1" x14ac:dyDescent="0.25">
      <c r="B51" s="102" t="s">
        <v>6240</v>
      </c>
      <c r="C51" s="104" cm="1">
        <f t="array" ref="C51">_xlfn.IFS($AQ$46="SIMULAÇÃO 01",E51,$AQ$46="SIMULAÇÃO 02",F51,$AQ$46="SIMULAÇÃO 03",G51,$AQ$46="SIMULAÇÃO 04",H51)</f>
        <v>-804000</v>
      </c>
      <c r="D51" s="102"/>
      <c r="E51" s="105">
        <f>SUM(V11:AB14)</f>
        <v>-804000</v>
      </c>
      <c r="F51" s="105">
        <f>SUM(AC11:AI14)</f>
        <v>0</v>
      </c>
      <c r="G51" s="105">
        <f>SUM(AJ11:AP14)</f>
        <v>0</v>
      </c>
      <c r="H51" s="105">
        <f>SUM(AQ11:AW14)</f>
        <v>0</v>
      </c>
      <c r="I51" s="102"/>
      <c r="J51" s="102"/>
      <c r="K51" s="102"/>
    </row>
    <row r="52" spans="2:11" ht="22.5" customHeight="1" x14ac:dyDescent="0.25">
      <c r="B52" s="102" t="s">
        <v>6241</v>
      </c>
      <c r="C52" s="104" cm="1">
        <f t="array" ref="C52">_xlfn.IFS($AQ$46="SIMULAÇÃO 01",E52,$AQ$46="SIMULAÇÃO 02",F52,$AQ$46="SIMULAÇÃO 03",G52,$AQ$46="SIMULAÇÃO 04",H52)</f>
        <v>-4876643.03467</v>
      </c>
      <c r="D52" s="102"/>
      <c r="E52" s="105">
        <f>SUM(V15:AB16)</f>
        <v>-4876643.03467</v>
      </c>
      <c r="F52" s="105">
        <f>SUM(AC15:AI16)</f>
        <v>0</v>
      </c>
      <c r="G52" s="105">
        <f>SUM(AJ15:AP16)</f>
        <v>0</v>
      </c>
      <c r="H52" s="105">
        <f>SUM(AQ15:AW16)</f>
        <v>0</v>
      </c>
      <c r="I52" s="102"/>
      <c r="J52" s="102"/>
      <c r="K52" s="102"/>
    </row>
    <row r="53" spans="2:11" ht="22.5" customHeight="1" x14ac:dyDescent="0.25">
      <c r="B53" s="102" t="s">
        <v>6248</v>
      </c>
      <c r="C53" s="104" cm="1">
        <f t="array" ref="C53">_xlfn.IFS($AQ$46="SIMULAÇÃO 01",E53,$AQ$46="SIMULAÇÃO 02",F53,$AQ$46="SIMULAÇÃO 03",G53,$AQ$46="SIMULAÇÃO 04",H53)</f>
        <v>-661030.95069070905</v>
      </c>
      <c r="D53" s="102"/>
      <c r="E53" s="105">
        <f>SUM(V17:AB28)</f>
        <v>-661030.95069070905</v>
      </c>
      <c r="F53" s="105">
        <f>SUM(AC17:AI28)</f>
        <v>0</v>
      </c>
      <c r="G53" s="105">
        <f>SUM(AJ17:AP28)</f>
        <v>0</v>
      </c>
      <c r="H53" s="105">
        <f>SUM(AQ17:AW28)</f>
        <v>0</v>
      </c>
      <c r="I53" s="102"/>
      <c r="J53" s="102"/>
      <c r="K53" s="102"/>
    </row>
    <row r="54" spans="2:11" ht="22.5" customHeight="1" x14ac:dyDescent="0.25">
      <c r="B54" s="102" t="s">
        <v>6225</v>
      </c>
      <c r="C54" s="104" cm="1">
        <f t="array" ref="C54">_xlfn.IFS($AQ$46="SIMULAÇÃO 01",E54,$AQ$46="SIMULAÇÃO 02",F54,$AQ$46="SIMULAÇÃO 03",G54,$AQ$46="SIMULAÇÃO 04",H54)</f>
        <v>-34796.449999999997</v>
      </c>
      <c r="D54" s="102"/>
      <c r="E54" s="105">
        <f>SUM(V29)</f>
        <v>-34796.449999999997</v>
      </c>
      <c r="F54" s="105">
        <f>SUM(AC29)</f>
        <v>0</v>
      </c>
      <c r="G54" s="105">
        <f>SUM(AJ29)</f>
        <v>0</v>
      </c>
      <c r="H54" s="105">
        <f>SUM(AQ29)</f>
        <v>0</v>
      </c>
      <c r="I54" s="102"/>
      <c r="J54" s="102"/>
      <c r="K54" s="102"/>
    </row>
    <row r="55" spans="2:11" ht="22.5" customHeight="1" x14ac:dyDescent="0.25">
      <c r="B55" s="102" t="s">
        <v>6242</v>
      </c>
      <c r="C55" s="104" cm="1">
        <f t="array" ref="C55">_xlfn.IFS($AQ$46="SIMULAÇÃO 01",E55,$AQ$46="SIMULAÇÃO 02",F55,$AQ$46="SIMULAÇÃO 03",G55,$AQ$46="SIMULAÇÃO 04",H55)</f>
        <v>-621178.6364197029</v>
      </c>
      <c r="D55" s="102"/>
      <c r="E55" s="105">
        <f>SUM(V30:AB36)</f>
        <v>-621178.6364197029</v>
      </c>
      <c r="F55" s="105">
        <f>SUM(AC30:AI36)</f>
        <v>0</v>
      </c>
      <c r="G55" s="105">
        <f>SUM(AJ30:AP36)</f>
        <v>0</v>
      </c>
      <c r="H55" s="105">
        <f>SUM(AQ30:AW36)</f>
        <v>0</v>
      </c>
      <c r="I55" s="102"/>
      <c r="J55" s="102"/>
      <c r="K55" s="102"/>
    </row>
    <row r="56" spans="2:11" ht="22.5" customHeight="1" x14ac:dyDescent="0.25">
      <c r="B56" s="102" t="s">
        <v>6243</v>
      </c>
      <c r="C56" s="104" cm="1">
        <f t="array" ref="C56">_xlfn.IFS($AQ$46="SIMULAÇÃO 01",E56,$AQ$46="SIMULAÇÃO 02",F56,$AQ$46="SIMULAÇÃO 03",G56,$AQ$46="SIMULAÇÃO 04",H56)</f>
        <v>-10639.94843928</v>
      </c>
      <c r="D56" s="102"/>
      <c r="E56" s="105">
        <f>SUM(V37:AB40)</f>
        <v>-10639.94843928</v>
      </c>
      <c r="F56" s="105">
        <f>SUM(AC37:AI40)</f>
        <v>0</v>
      </c>
      <c r="G56" s="105">
        <f>SUM(AJ37:AP40)</f>
        <v>0</v>
      </c>
      <c r="H56" s="105">
        <f>SUM(AQ37:AW40)</f>
        <v>0</v>
      </c>
      <c r="I56" s="102"/>
      <c r="J56" s="102"/>
      <c r="K56" s="102"/>
    </row>
    <row r="57" spans="2:11" ht="22.5" customHeight="1" x14ac:dyDescent="0.25">
      <c r="B57" s="102" t="s">
        <v>6227</v>
      </c>
      <c r="C57" s="104" cm="1">
        <f t="array" ref="C57">_xlfn.IFS($AQ$46="SIMULAÇÃO 01",E57,$AQ$46="SIMULAÇÃO 02",F57,$AQ$46="SIMULAÇÃO 03",G57,$AQ$46="SIMULAÇÃO 04",H57)</f>
        <v>-826307.41771226889</v>
      </c>
      <c r="D57" s="102"/>
      <c r="E57" s="105">
        <f>SUM(V41:AB42)</f>
        <v>-826307.41771226889</v>
      </c>
      <c r="F57" s="105">
        <f>SUM(AC41:AI42)</f>
        <v>0</v>
      </c>
      <c r="G57" s="105">
        <f>SUM(AJ41:AP42)</f>
        <v>0</v>
      </c>
      <c r="H57" s="105">
        <f>SUM(AQ41:AW42)</f>
        <v>0</v>
      </c>
      <c r="I57" s="102"/>
      <c r="J57" s="102"/>
      <c r="K57" s="102"/>
    </row>
    <row r="58" spans="2:11" ht="22.5" customHeight="1" x14ac:dyDescent="0.25">
      <c r="B58" s="102" t="s">
        <v>6245</v>
      </c>
      <c r="C58" s="104" cm="1">
        <f t="array" ref="C58">_xlfn.IFS($AQ$46="SIMULAÇÃO 01",E58,$AQ$46="SIMULAÇÃO 02",F58,$AQ$46="SIMULAÇÃO 03",G58,$AQ$46="SIMULAÇÃO 04",H58)</f>
        <v>1721997.9685250074</v>
      </c>
      <c r="D58" s="102"/>
      <c r="E58" s="105">
        <f>V43</f>
        <v>1721997.9685250074</v>
      </c>
      <c r="F58" s="105">
        <f>AC43</f>
        <v>0</v>
      </c>
      <c r="G58" s="105">
        <f>AJ43</f>
        <v>0</v>
      </c>
      <c r="H58" s="105">
        <f>AQ43</f>
        <v>0</v>
      </c>
      <c r="I58" s="102"/>
      <c r="J58" s="102"/>
      <c r="K58" s="102"/>
    </row>
    <row r="59" spans="2:11" ht="22.5" customHeight="1" x14ac:dyDescent="0.25">
      <c r="B59" s="102"/>
      <c r="C59" s="102"/>
      <c r="D59" s="102"/>
      <c r="E59" s="102"/>
      <c r="F59" s="102"/>
      <c r="G59" s="102"/>
      <c r="H59" s="102"/>
      <c r="I59" s="102"/>
      <c r="J59" s="102"/>
      <c r="K59" s="102"/>
    </row>
    <row r="60" spans="2:11" ht="22.5" customHeight="1" x14ac:dyDescent="0.25">
      <c r="B60" s="102"/>
      <c r="C60" s="102"/>
      <c r="D60" s="102"/>
      <c r="E60" s="102"/>
      <c r="F60" s="102"/>
      <c r="G60" s="102"/>
      <c r="H60" s="102"/>
      <c r="I60" s="102"/>
      <c r="J60" s="102"/>
      <c r="K60" s="102"/>
    </row>
    <row r="61" spans="2:11" ht="22.5" customHeight="1" x14ac:dyDescent="0.25">
      <c r="B61" s="102"/>
      <c r="C61" s="102"/>
      <c r="D61" s="102"/>
      <c r="E61" s="102"/>
      <c r="F61" s="102"/>
      <c r="G61" s="102"/>
      <c r="H61" s="102"/>
      <c r="I61" s="102"/>
      <c r="J61" s="102"/>
      <c r="K61" s="102"/>
    </row>
    <row r="62" spans="2:11" ht="22.5" customHeight="1" x14ac:dyDescent="0.25">
      <c r="B62" s="102"/>
      <c r="C62" s="102"/>
      <c r="D62" s="102"/>
      <c r="E62" s="102"/>
      <c r="F62" s="102"/>
      <c r="G62" s="102"/>
      <c r="H62" s="102"/>
      <c r="I62" s="102"/>
      <c r="J62" s="102"/>
      <c r="K62" s="102"/>
    </row>
    <row r="63" spans="2:11" ht="22.5" customHeight="1" x14ac:dyDescent="0.25">
      <c r="B63" s="103"/>
      <c r="C63" s="105"/>
      <c r="D63" s="105"/>
      <c r="E63" s="102"/>
      <c r="F63" s="102"/>
      <c r="G63" s="102"/>
      <c r="H63" s="102"/>
      <c r="I63" s="102"/>
      <c r="J63" s="102"/>
      <c r="K63" s="102"/>
    </row>
    <row r="64" spans="2:11" ht="22.5" customHeight="1" x14ac:dyDescent="0.25">
      <c r="B64" s="103"/>
      <c r="C64" s="105"/>
      <c r="D64" s="105"/>
      <c r="E64" s="102"/>
      <c r="F64" s="102"/>
      <c r="G64" s="102"/>
      <c r="H64" s="102"/>
      <c r="I64" s="102"/>
      <c r="J64" s="102"/>
      <c r="K64" s="102"/>
    </row>
    <row r="65" spans="2:4" ht="22.5" customHeight="1" x14ac:dyDescent="0.25">
      <c r="B65" s="100"/>
      <c r="C65" s="25"/>
      <c r="D65" s="25"/>
    </row>
    <row r="66" spans="2:4" ht="22.5" customHeight="1" x14ac:dyDescent="0.25">
      <c r="B66" s="100"/>
      <c r="C66" s="25"/>
      <c r="D66" s="25"/>
    </row>
    <row r="67" spans="2:4" ht="22.5" customHeight="1" x14ac:dyDescent="0.25"/>
    <row r="68" spans="2:4" ht="22.5" customHeight="1" x14ac:dyDescent="0.25"/>
    <row r="69" spans="2:4" ht="22.5" customHeight="1" x14ac:dyDescent="0.25"/>
    <row r="70" spans="2:4" ht="22.5" customHeight="1" x14ac:dyDescent="0.25"/>
    <row r="71" spans="2:4" ht="22.5" customHeight="1" x14ac:dyDescent="0.25"/>
    <row r="72" spans="2:4" ht="15" customHeight="1" x14ac:dyDescent="0.25"/>
    <row r="73" spans="2:4" ht="15" customHeight="1" x14ac:dyDescent="0.25"/>
  </sheetData>
  <sheetProtection sheet="1" objects="1" scenarios="1" selectLockedCells="1"/>
  <mergeCells count="191">
    <mergeCell ref="AQ8:AW8"/>
    <mergeCell ref="AQ9:AW9"/>
    <mergeCell ref="AQ10:AW10"/>
    <mergeCell ref="V8:AB8"/>
    <mergeCell ref="V9:AB9"/>
    <mergeCell ref="V10:AB10"/>
    <mergeCell ref="AC8:AI8"/>
    <mergeCell ref="AC9:AI9"/>
    <mergeCell ref="AC10:AI10"/>
    <mergeCell ref="AC11:AI11"/>
    <mergeCell ref="AC12:AI12"/>
    <mergeCell ref="AC13:AI13"/>
    <mergeCell ref="V11:AB11"/>
    <mergeCell ref="V12:AB12"/>
    <mergeCell ref="V13:AB13"/>
    <mergeCell ref="AJ17:AP17"/>
    <mergeCell ref="AQ17:AW17"/>
    <mergeCell ref="AC18:AI18"/>
    <mergeCell ref="AC19:AI19"/>
    <mergeCell ref="AJ16:AP16"/>
    <mergeCell ref="AQ16:AW16"/>
    <mergeCell ref="AC15:AI15"/>
    <mergeCell ref="AJ15:AP15"/>
    <mergeCell ref="AC14:AI14"/>
    <mergeCell ref="AJ14:AP14"/>
    <mergeCell ref="V44:AB44"/>
    <mergeCell ref="AC42:AI42"/>
    <mergeCell ref="AJ34:AP34"/>
    <mergeCell ref="AQ34:AW34"/>
    <mergeCell ref="AC26:AI26"/>
    <mergeCell ref="AJ26:AP26"/>
    <mergeCell ref="AQ26:AW26"/>
    <mergeCell ref="AC25:AI25"/>
    <mergeCell ref="AJ25:AP25"/>
    <mergeCell ref="AQ25:AW25"/>
    <mergeCell ref="AJ27:AP27"/>
    <mergeCell ref="AJ28:AP28"/>
    <mergeCell ref="AJ29:AP29"/>
    <mergeCell ref="AJ30:AP30"/>
    <mergeCell ref="AJ31:AP31"/>
    <mergeCell ref="AJ32:AP32"/>
    <mergeCell ref="AJ33:AP33"/>
    <mergeCell ref="AC44:AI44"/>
    <mergeCell ref="AJ44:AP44"/>
    <mergeCell ref="AQ44:AW44"/>
    <mergeCell ref="V21:AB21"/>
    <mergeCell ref="D19:N19"/>
    <mergeCell ref="V19:AB19"/>
    <mergeCell ref="D14:N14"/>
    <mergeCell ref="B15:C16"/>
    <mergeCell ref="D15:N15"/>
    <mergeCell ref="D16:N16"/>
    <mergeCell ref="D13:N13"/>
    <mergeCell ref="D10:N10"/>
    <mergeCell ref="B11:C14"/>
    <mergeCell ref="D11:N11"/>
    <mergeCell ref="D12:N12"/>
    <mergeCell ref="V17:AB17"/>
    <mergeCell ref="V14:AB14"/>
    <mergeCell ref="V15:AB15"/>
    <mergeCell ref="V16:AB16"/>
    <mergeCell ref="D28:N28"/>
    <mergeCell ref="B29:C29"/>
    <mergeCell ref="D29:N29"/>
    <mergeCell ref="V28:AB28"/>
    <mergeCell ref="D26:N26"/>
    <mergeCell ref="D27:N27"/>
    <mergeCell ref="V26:AB26"/>
    <mergeCell ref="V27:AB27"/>
    <mergeCell ref="D24:N24"/>
    <mergeCell ref="D25:N25"/>
    <mergeCell ref="V24:AB24"/>
    <mergeCell ref="V25:AB25"/>
    <mergeCell ref="B17:C28"/>
    <mergeCell ref="D17:N17"/>
    <mergeCell ref="D18:N18"/>
    <mergeCell ref="V29:AB29"/>
    <mergeCell ref="V18:AB18"/>
    <mergeCell ref="D22:N22"/>
    <mergeCell ref="D23:N23"/>
    <mergeCell ref="V22:AB22"/>
    <mergeCell ref="V23:AB23"/>
    <mergeCell ref="D20:N20"/>
    <mergeCell ref="D21:N21"/>
    <mergeCell ref="V20:AB20"/>
    <mergeCell ref="B37:C40"/>
    <mergeCell ref="D37:N37"/>
    <mergeCell ref="D38:N38"/>
    <mergeCell ref="D34:N34"/>
    <mergeCell ref="D35:N35"/>
    <mergeCell ref="V35:AB35"/>
    <mergeCell ref="AC34:AI34"/>
    <mergeCell ref="D33:N33"/>
    <mergeCell ref="AC33:AI33"/>
    <mergeCell ref="B30:C36"/>
    <mergeCell ref="D30:N30"/>
    <mergeCell ref="D31:N31"/>
    <mergeCell ref="D32:N32"/>
    <mergeCell ref="V30:AB30"/>
    <mergeCell ref="V31:AB31"/>
    <mergeCell ref="V32:AB32"/>
    <mergeCell ref="V33:AB33"/>
    <mergeCell ref="V34:AB34"/>
    <mergeCell ref="D42:N42"/>
    <mergeCell ref="V42:AB42"/>
    <mergeCell ref="V43:AB43"/>
    <mergeCell ref="D40:N40"/>
    <mergeCell ref="D41:N41"/>
    <mergeCell ref="AC41:AI41"/>
    <mergeCell ref="AJ41:AP41"/>
    <mergeCell ref="D39:N39"/>
    <mergeCell ref="D36:N36"/>
    <mergeCell ref="AC43:AI43"/>
    <mergeCell ref="V39:AB39"/>
    <mergeCell ref="V40:AB40"/>
    <mergeCell ref="V41:AB41"/>
    <mergeCell ref="V36:AB36"/>
    <mergeCell ref="V37:AB37"/>
    <mergeCell ref="V38:AB38"/>
    <mergeCell ref="AC38:AI38"/>
    <mergeCell ref="AC39:AI39"/>
    <mergeCell ref="AC40:AI40"/>
    <mergeCell ref="AJ36:AP36"/>
    <mergeCell ref="AJ37:AP37"/>
    <mergeCell ref="AJ38:AP38"/>
    <mergeCell ref="AJ39:AP39"/>
    <mergeCell ref="AJ40:AP40"/>
    <mergeCell ref="AC24:AI24"/>
    <mergeCell ref="AC23:AI23"/>
    <mergeCell ref="AC22:AI22"/>
    <mergeCell ref="AC21:AI21"/>
    <mergeCell ref="AC20:AI20"/>
    <mergeCell ref="AC16:AI16"/>
    <mergeCell ref="AC35:AI35"/>
    <mergeCell ref="AC36:AI36"/>
    <mergeCell ref="AC37:AI37"/>
    <mergeCell ref="AC27:AI27"/>
    <mergeCell ref="AC28:AI28"/>
    <mergeCell ref="AC29:AI29"/>
    <mergeCell ref="AC30:AI30"/>
    <mergeCell ref="AC31:AI31"/>
    <mergeCell ref="AC32:AI32"/>
    <mergeCell ref="AC17:AI17"/>
    <mergeCell ref="AQ14:AW14"/>
    <mergeCell ref="AQ15:AW15"/>
    <mergeCell ref="AJ35:AP35"/>
    <mergeCell ref="AJ8:AP8"/>
    <mergeCell ref="AJ9:AP9"/>
    <mergeCell ref="AJ10:AP10"/>
    <mergeCell ref="AJ11:AP11"/>
    <mergeCell ref="AJ12:AP12"/>
    <mergeCell ref="AJ13:AP13"/>
    <mergeCell ref="AQ33:AW33"/>
    <mergeCell ref="AJ24:AP24"/>
    <mergeCell ref="AQ24:AW24"/>
    <mergeCell ref="AJ23:AP23"/>
    <mergeCell ref="AQ23:AW23"/>
    <mergeCell ref="AJ22:AP22"/>
    <mergeCell ref="AQ22:AW22"/>
    <mergeCell ref="AJ21:AP21"/>
    <mergeCell ref="AQ21:AW21"/>
    <mergeCell ref="AJ20:AP20"/>
    <mergeCell ref="AQ20:AW20"/>
    <mergeCell ref="AJ19:AP19"/>
    <mergeCell ref="AQ19:AW19"/>
    <mergeCell ref="AJ18:AP18"/>
    <mergeCell ref="AQ18:AW18"/>
    <mergeCell ref="D43:N44"/>
    <mergeCell ref="AQ46:AW46"/>
    <mergeCell ref="AQ41:AW41"/>
    <mergeCell ref="AQ42:AW42"/>
    <mergeCell ref="AQ43:AW43"/>
    <mergeCell ref="AQ6:AW6"/>
    <mergeCell ref="AJ6:AP6"/>
    <mergeCell ref="AQ35:AW35"/>
    <mergeCell ref="AQ36:AW36"/>
    <mergeCell ref="AQ37:AW37"/>
    <mergeCell ref="AQ38:AW38"/>
    <mergeCell ref="AQ39:AW39"/>
    <mergeCell ref="AQ40:AW40"/>
    <mergeCell ref="AQ27:AW27"/>
    <mergeCell ref="AQ28:AW28"/>
    <mergeCell ref="AQ29:AW29"/>
    <mergeCell ref="AQ30:AW30"/>
    <mergeCell ref="AQ31:AW31"/>
    <mergeCell ref="AQ32:AW32"/>
    <mergeCell ref="AJ42:AP42"/>
    <mergeCell ref="AJ43:AP43"/>
    <mergeCell ref="AQ11:AW11"/>
    <mergeCell ref="AQ12:AW12"/>
    <mergeCell ref="AQ13:AW13"/>
  </mergeCells>
  <phoneticPr fontId="37" type="noConversion"/>
  <conditionalFormatting sqref="V11:AB42">
    <cfRule type="dataBar" priority="4">
      <dataBar>
        <cfvo type="percent" val="0"/>
        <cfvo type="formula" val="$V$11/$V$10"/>
        <color rgb="FFED6E1F"/>
      </dataBar>
      <extLst>
        <ext xmlns:x14="http://schemas.microsoft.com/office/spreadsheetml/2009/9/main" uri="{B025F937-C7B1-47D3-B67F-A62EFF666E3E}">
          <x14:id>{D297CC23-5835-497A-B309-1DCFB5C3E30F}</x14:id>
        </ext>
      </extLst>
    </cfRule>
  </conditionalFormatting>
  <conditionalFormatting sqref="AC11:AI42">
    <cfRule type="dataBar" priority="3">
      <dataBar>
        <cfvo type="percent" val="0"/>
        <cfvo type="formula" val="$V$11/$V$10"/>
        <color rgb="FFED6E1F"/>
      </dataBar>
      <extLst>
        <ext xmlns:x14="http://schemas.microsoft.com/office/spreadsheetml/2009/9/main" uri="{B025F937-C7B1-47D3-B67F-A62EFF666E3E}">
          <x14:id>{30BE356B-8DF1-4EE7-A1F4-4045C4D8FAD6}</x14:id>
        </ext>
      </extLst>
    </cfRule>
  </conditionalFormatting>
  <conditionalFormatting sqref="AJ11:AP42">
    <cfRule type="dataBar" priority="2">
      <dataBar>
        <cfvo type="percent" val="0"/>
        <cfvo type="formula" val="$V$11/$V$10"/>
        <color rgb="FFED6E1F"/>
      </dataBar>
      <extLst>
        <ext xmlns:x14="http://schemas.microsoft.com/office/spreadsheetml/2009/9/main" uri="{B025F937-C7B1-47D3-B67F-A62EFF666E3E}">
          <x14:id>{9328F554-F81E-403D-83B5-85477FB324A8}</x14:id>
        </ext>
      </extLst>
    </cfRule>
  </conditionalFormatting>
  <conditionalFormatting sqref="AQ11:AW42">
    <cfRule type="dataBar" priority="1">
      <dataBar>
        <cfvo type="percent" val="0"/>
        <cfvo type="formula" val="$V$11/$V$10"/>
        <color rgb="FFED6E1F"/>
      </dataBar>
      <extLst>
        <ext xmlns:x14="http://schemas.microsoft.com/office/spreadsheetml/2009/9/main" uri="{B025F937-C7B1-47D3-B67F-A62EFF666E3E}">
          <x14:id>{93AEB778-07D0-4C41-B7EE-15612F26AFF1}</x14:id>
        </ext>
      </extLst>
    </cfRule>
  </conditionalFormatting>
  <dataValidations disablePrompts="1" count="2">
    <dataValidation type="list" allowBlank="1" showInputMessage="1" showErrorMessage="1" sqref="AQ6:AW6" xr:uid="{CF9E5E04-E6F7-4AE5-A4DA-C639F6F56E68}">
      <formula1>"GLOBAL,POR UNIDADE"</formula1>
    </dataValidation>
    <dataValidation type="list" allowBlank="1" showInputMessage="1" showErrorMessage="1" sqref="AQ46:AW46" xr:uid="{0EECA14B-9808-4DAD-AF99-39BDE9E42C57}">
      <formula1>"SIMULAÇÃO 01,SIMULAÇÃO 02,SIMULAÇÃO 03,SIMULAÇÃO 04"</formula1>
    </dataValidation>
  </dataValidations>
  <printOptions horizontalCentered="1"/>
  <pageMargins left="0.39370078740157483" right="0.39370078740157483" top="0.31496062992125984" bottom="0.19685039370078741" header="0" footer="0"/>
  <pageSetup paperSize="9" scale="46" fitToHeight="0" orientation="portrait" r:id="rId1"/>
  <headerFooter>
    <oddHeader>&amp;R
&amp;G</oddHeader>
  </headerFooter>
  <rowBreaks count="1" manualBreakCount="1">
    <brk id="5" max="16383" man="1"/>
  </rowBreaks>
  <drawing r:id="rId2"/>
  <legacyDrawingHF r:id="rId3"/>
  <extLst>
    <ext xmlns:x14="http://schemas.microsoft.com/office/spreadsheetml/2009/9/main" uri="{78C0D931-6437-407d-A8EE-F0AAD7539E65}">
      <x14:conditionalFormattings>
        <x14:conditionalFormatting xmlns:xm="http://schemas.microsoft.com/office/excel/2006/main">
          <x14:cfRule type="dataBar" id="{D297CC23-5835-497A-B309-1DCFB5C3E30F}">
            <x14:dataBar minLength="0" maxLength="100" border="1" negativeBarColorSameAsPositive="1">
              <x14:cfvo type="percent">
                <xm:f>0</xm:f>
              </x14:cfvo>
              <x14:cfvo type="formula">
                <xm:f>$V$11/$V$10</xm:f>
              </x14:cfvo>
              <x14:borderColor theme="2" tint="-0.749992370372631"/>
              <x14:axisColor rgb="FF000000"/>
            </x14:dataBar>
          </x14:cfRule>
          <xm:sqref>V11:AB42</xm:sqref>
        </x14:conditionalFormatting>
        <x14:conditionalFormatting xmlns:xm="http://schemas.microsoft.com/office/excel/2006/main">
          <x14:cfRule type="dataBar" id="{30BE356B-8DF1-4EE7-A1F4-4045C4D8FAD6}">
            <x14:dataBar minLength="0" maxLength="100" border="1" negativeBarColorSameAsPositive="1">
              <x14:cfvo type="percent">
                <xm:f>0</xm:f>
              </x14:cfvo>
              <x14:cfvo type="formula">
                <xm:f>$V$11/$V$10</xm:f>
              </x14:cfvo>
              <x14:borderColor theme="2" tint="-0.749992370372631"/>
              <x14:axisColor rgb="FF000000"/>
            </x14:dataBar>
          </x14:cfRule>
          <xm:sqref>AC11:AI42</xm:sqref>
        </x14:conditionalFormatting>
        <x14:conditionalFormatting xmlns:xm="http://schemas.microsoft.com/office/excel/2006/main">
          <x14:cfRule type="dataBar" id="{9328F554-F81E-403D-83B5-85477FB324A8}">
            <x14:dataBar minLength="0" maxLength="100" border="1" negativeBarColorSameAsPositive="1">
              <x14:cfvo type="percent">
                <xm:f>0</xm:f>
              </x14:cfvo>
              <x14:cfvo type="formula">
                <xm:f>$V$11/$V$10</xm:f>
              </x14:cfvo>
              <x14:borderColor theme="2" tint="-0.749992370372631"/>
              <x14:axisColor rgb="FF000000"/>
            </x14:dataBar>
          </x14:cfRule>
          <xm:sqref>AJ11:AP42</xm:sqref>
        </x14:conditionalFormatting>
        <x14:conditionalFormatting xmlns:xm="http://schemas.microsoft.com/office/excel/2006/main">
          <x14:cfRule type="dataBar" id="{93AEB778-07D0-4C41-B7EE-15612F26AFF1}">
            <x14:dataBar minLength="0" maxLength="100" border="1" negativeBarColorSameAsPositive="1">
              <x14:cfvo type="percent">
                <xm:f>0</xm:f>
              </x14:cfvo>
              <x14:cfvo type="formula">
                <xm:f>$V$11/$V$10</xm:f>
              </x14:cfvo>
              <x14:borderColor theme="2" tint="-0.749992370372631"/>
              <x14:axisColor rgb="FF000000"/>
            </x14:dataBar>
          </x14:cfRule>
          <xm:sqref>AQ11:AW42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C46B-FAE1-4764-A8E8-EB4A4F8E0BCF}">
  <sheetPr codeName="Planilha39">
    <tabColor rgb="FF0070C0"/>
  </sheetPr>
  <dimension ref="A1:FS58"/>
  <sheetViews>
    <sheetView showGridLines="0" showRowColHeaders="0" showZeros="0" showRuler="0" view="pageLayout" zoomScaleNormal="100" workbookViewId="0">
      <selection activeCell="C3" sqref="C3:K5"/>
    </sheetView>
  </sheetViews>
  <sheetFormatPr defaultColWidth="0" defaultRowHeight="18.75" customHeight="1" zeroHeight="1" x14ac:dyDescent="0.25"/>
  <cols>
    <col min="1" max="1" width="3.42578125" customWidth="1"/>
    <col min="2" max="2" width="10" customWidth="1"/>
    <col min="3" max="3" width="35.85546875" customWidth="1"/>
    <col min="4" max="4" width="18" customWidth="1"/>
    <col min="5" max="5" width="0.7109375" customWidth="1"/>
    <col min="6" max="7" width="18" customWidth="1"/>
    <col min="8" max="8" width="0.7109375" customWidth="1"/>
    <col min="9" max="9" width="18" customWidth="1"/>
    <col min="10" max="10" width="6.7109375" customWidth="1"/>
    <col min="11" max="11" width="16" customWidth="1"/>
    <col min="12" max="13" width="3.42578125" customWidth="1"/>
    <col min="14" max="14" width="8.140625" customWidth="1"/>
    <col min="15" max="15" width="35.42578125" customWidth="1"/>
    <col min="16" max="16" width="12.5703125" customWidth="1"/>
    <col min="17" max="17" width="8" customWidth="1"/>
    <col min="18" max="18" width="0.7109375" customWidth="1"/>
    <col min="19" max="30" width="6.42578125" customWidth="1"/>
    <col min="31" max="32" width="3.42578125" customWidth="1"/>
    <col min="33" max="33" width="8.140625" customWidth="1"/>
    <col min="34" max="34" width="35.42578125" customWidth="1"/>
    <col min="35" max="35" width="12.5703125" customWidth="1"/>
    <col min="36" max="36" width="8" customWidth="1"/>
    <col min="37" max="37" width="0.7109375" customWidth="1"/>
    <col min="38" max="49" width="6.42578125" customWidth="1"/>
    <col min="50" max="51" width="3.42578125" customWidth="1"/>
    <col min="52" max="52" width="11.85546875" customWidth="1"/>
    <col min="53" max="76" width="5.42578125" customWidth="1"/>
    <col min="77" max="77" width="3.42578125" customWidth="1"/>
    <col min="78" max="78" width="3" hidden="1" customWidth="1"/>
    <col min="79" max="82" width="3.28515625" hidden="1" customWidth="1"/>
    <col min="83" max="83" width="3.42578125" hidden="1" customWidth="1"/>
    <col min="84" max="84" width="46" hidden="1" customWidth="1"/>
    <col min="85" max="90" width="16" hidden="1" customWidth="1"/>
    <col min="91" max="91" width="3.42578125" hidden="1" customWidth="1"/>
    <col min="92" max="99" width="9.140625" hidden="1" customWidth="1"/>
    <col min="100" max="100" width="46" hidden="1" customWidth="1"/>
    <col min="101" max="106" width="16" hidden="1" customWidth="1"/>
    <col min="107" max="107" width="3.42578125" hidden="1" customWidth="1"/>
    <col min="108" max="122" width="9.140625" hidden="1" customWidth="1"/>
    <col min="123" max="123" width="3.42578125" hidden="1" customWidth="1"/>
    <col min="124" max="137" width="10.140625" hidden="1" customWidth="1"/>
    <col min="138" max="140" width="3.42578125" hidden="1" customWidth="1"/>
    <col min="141" max="141" width="46" hidden="1" customWidth="1"/>
    <col min="142" max="147" width="16" hidden="1" customWidth="1"/>
    <col min="148" max="149" width="3.42578125" hidden="1" customWidth="1"/>
    <col min="150" max="150" width="46" hidden="1" customWidth="1"/>
    <col min="151" max="156" width="16" hidden="1" customWidth="1"/>
    <col min="157" max="157" width="3.42578125" hidden="1" customWidth="1"/>
    <col min="158" max="165" width="9.140625" hidden="1" customWidth="1"/>
    <col min="166" max="166" width="46" hidden="1" customWidth="1"/>
    <col min="167" max="172" width="16" hidden="1" customWidth="1"/>
    <col min="173" max="175" width="3.42578125" hidden="1" customWidth="1"/>
    <col min="176" max="16384" width="9.140625" hidden="1"/>
  </cols>
  <sheetData>
    <row r="1" spans="1:76" ht="15" x14ac:dyDescent="0.25">
      <c r="A1" s="6"/>
      <c r="D1" s="10"/>
      <c r="BU1" s="5"/>
    </row>
    <row r="2" spans="1:76" ht="7.5" customHeight="1" x14ac:dyDescent="0.25">
      <c r="A2" s="6"/>
      <c r="D2" s="11"/>
      <c r="E2" s="11"/>
      <c r="F2" s="11"/>
      <c r="G2" s="11"/>
      <c r="H2" s="11"/>
      <c r="I2" s="11"/>
      <c r="J2" s="11"/>
      <c r="K2" s="11"/>
      <c r="O2" s="11"/>
      <c r="P2" s="11"/>
      <c r="Q2" s="11"/>
      <c r="R2" s="11"/>
      <c r="S2" s="11"/>
      <c r="T2" s="11"/>
      <c r="U2" s="11"/>
      <c r="V2" s="11"/>
      <c r="W2" s="11"/>
      <c r="X2" s="11"/>
      <c r="Y2" s="11"/>
      <c r="Z2" s="11"/>
      <c r="AA2" s="11"/>
      <c r="AB2" s="11"/>
      <c r="AC2" s="11"/>
      <c r="AD2" s="11"/>
      <c r="AH2" s="11"/>
      <c r="AI2" s="11"/>
      <c r="AJ2" s="11"/>
      <c r="AK2" s="11"/>
      <c r="AL2" s="11"/>
      <c r="AM2" s="11"/>
      <c r="AN2" s="11"/>
      <c r="AO2" s="11"/>
      <c r="AP2" s="11"/>
      <c r="AQ2" s="11"/>
      <c r="AR2" s="11"/>
      <c r="AS2" s="11"/>
      <c r="AT2" s="11"/>
      <c r="AU2" s="11"/>
      <c r="AV2" s="11"/>
      <c r="AW2" s="11"/>
      <c r="BA2" s="11"/>
      <c r="BB2" s="11"/>
      <c r="BC2" s="11"/>
      <c r="BD2" s="11"/>
      <c r="BE2" s="11"/>
      <c r="BF2" s="11"/>
      <c r="BG2" s="11"/>
      <c r="BH2" s="11"/>
      <c r="BI2" s="11"/>
      <c r="BJ2" s="11"/>
      <c r="BK2" s="11"/>
      <c r="BL2" s="11"/>
      <c r="BM2" s="11"/>
      <c r="BN2" s="11"/>
      <c r="BO2" s="11"/>
      <c r="BP2" s="11"/>
      <c r="BU2" s="5"/>
    </row>
    <row r="3" spans="1:76" ht="7.5" customHeight="1" x14ac:dyDescent="0.25">
      <c r="A3" s="6"/>
      <c r="C3" s="359" t="s">
        <v>6043</v>
      </c>
      <c r="D3" s="359"/>
      <c r="E3" s="359"/>
      <c r="F3" s="359"/>
      <c r="G3" s="359"/>
      <c r="H3" s="359"/>
      <c r="I3" s="359"/>
      <c r="J3" s="359"/>
      <c r="K3" s="359"/>
      <c r="L3" s="11"/>
      <c r="M3" s="11"/>
      <c r="O3" s="11"/>
      <c r="P3" s="359" t="s">
        <v>6043</v>
      </c>
      <c r="Q3" s="359"/>
      <c r="R3" s="359"/>
      <c r="S3" s="359"/>
      <c r="T3" s="359"/>
      <c r="U3" s="359"/>
      <c r="V3" s="359"/>
      <c r="W3" s="359"/>
      <c r="X3" s="359"/>
      <c r="Y3" s="359"/>
      <c r="Z3" s="359"/>
      <c r="AA3" s="359"/>
      <c r="AB3" s="359"/>
      <c r="AC3" s="359"/>
      <c r="AD3" s="359"/>
      <c r="AF3" s="11"/>
      <c r="AH3" s="11"/>
      <c r="AI3" s="359" t="s">
        <v>6043</v>
      </c>
      <c r="AJ3" s="359"/>
      <c r="AK3" s="359"/>
      <c r="AL3" s="359"/>
      <c r="AM3" s="359"/>
      <c r="AN3" s="359"/>
      <c r="AO3" s="359"/>
      <c r="AP3" s="359"/>
      <c r="AQ3" s="359"/>
      <c r="AR3" s="359"/>
      <c r="AS3" s="359"/>
      <c r="AT3" s="359"/>
      <c r="AU3" s="359"/>
      <c r="AV3" s="359"/>
      <c r="AW3" s="359"/>
      <c r="AY3" s="11"/>
      <c r="BA3" s="11"/>
      <c r="BB3" s="359" t="s">
        <v>6043</v>
      </c>
      <c r="BC3" s="359"/>
      <c r="BD3" s="359"/>
      <c r="BE3" s="359"/>
      <c r="BF3" s="359"/>
      <c r="BG3" s="359"/>
      <c r="BH3" s="359"/>
      <c r="BI3" s="359"/>
      <c r="BJ3" s="359"/>
      <c r="BK3" s="359"/>
      <c r="BL3" s="359"/>
      <c r="BM3" s="359"/>
      <c r="BN3" s="359"/>
      <c r="BO3" s="359"/>
      <c r="BP3" s="359"/>
      <c r="BQ3" s="359"/>
      <c r="BR3" s="359"/>
      <c r="BS3" s="359"/>
      <c r="BT3" s="359"/>
      <c r="BU3" s="359"/>
      <c r="BV3" s="359"/>
      <c r="BW3" s="359"/>
      <c r="BX3" s="359"/>
    </row>
    <row r="4" spans="1:76" ht="15" customHeight="1" x14ac:dyDescent="0.25">
      <c r="A4" s="6"/>
      <c r="C4" s="359"/>
      <c r="D4" s="359"/>
      <c r="E4" s="359"/>
      <c r="F4" s="359"/>
      <c r="G4" s="359"/>
      <c r="H4" s="359"/>
      <c r="I4" s="359"/>
      <c r="J4" s="359"/>
      <c r="K4" s="359"/>
      <c r="L4" s="11"/>
      <c r="M4" s="11"/>
      <c r="O4" s="11"/>
      <c r="P4" s="359"/>
      <c r="Q4" s="359"/>
      <c r="R4" s="359"/>
      <c r="S4" s="359"/>
      <c r="T4" s="359"/>
      <c r="U4" s="359"/>
      <c r="V4" s="359"/>
      <c r="W4" s="359"/>
      <c r="X4" s="359"/>
      <c r="Y4" s="359"/>
      <c r="Z4" s="359"/>
      <c r="AA4" s="359"/>
      <c r="AB4" s="359"/>
      <c r="AC4" s="359"/>
      <c r="AD4" s="359"/>
      <c r="AF4" s="11"/>
      <c r="AH4" s="11"/>
      <c r="AI4" s="359"/>
      <c r="AJ4" s="359"/>
      <c r="AK4" s="359"/>
      <c r="AL4" s="359"/>
      <c r="AM4" s="359"/>
      <c r="AN4" s="359"/>
      <c r="AO4" s="359"/>
      <c r="AP4" s="359"/>
      <c r="AQ4" s="359"/>
      <c r="AR4" s="359"/>
      <c r="AS4" s="359"/>
      <c r="AT4" s="359"/>
      <c r="AU4" s="359"/>
      <c r="AV4" s="359"/>
      <c r="AW4" s="359"/>
      <c r="AY4" s="11"/>
      <c r="BA4" s="11"/>
      <c r="BB4" s="359"/>
      <c r="BC4" s="359"/>
      <c r="BD4" s="359"/>
      <c r="BE4" s="359"/>
      <c r="BF4" s="359"/>
      <c r="BG4" s="359"/>
      <c r="BH4" s="359"/>
      <c r="BI4" s="359"/>
      <c r="BJ4" s="359"/>
      <c r="BK4" s="359"/>
      <c r="BL4" s="359"/>
      <c r="BM4" s="359"/>
      <c r="BN4" s="359"/>
      <c r="BO4" s="359"/>
      <c r="BP4" s="359"/>
      <c r="BQ4" s="359"/>
      <c r="BR4" s="359"/>
      <c r="BS4" s="359"/>
      <c r="BT4" s="359"/>
      <c r="BU4" s="359"/>
      <c r="BV4" s="359"/>
      <c r="BW4" s="359"/>
      <c r="BX4" s="359"/>
    </row>
    <row r="5" spans="1:76" ht="7.5" customHeight="1" x14ac:dyDescent="0.25">
      <c r="A5" s="6"/>
      <c r="C5" s="359"/>
      <c r="D5" s="359"/>
      <c r="E5" s="359"/>
      <c r="F5" s="359"/>
      <c r="G5" s="359"/>
      <c r="H5" s="359"/>
      <c r="I5" s="359"/>
      <c r="J5" s="359"/>
      <c r="K5" s="359"/>
      <c r="L5" s="11"/>
      <c r="M5" s="11"/>
      <c r="O5" s="11"/>
      <c r="P5" s="359"/>
      <c r="Q5" s="359"/>
      <c r="R5" s="359"/>
      <c r="S5" s="359"/>
      <c r="T5" s="359"/>
      <c r="U5" s="359"/>
      <c r="V5" s="359"/>
      <c r="W5" s="359"/>
      <c r="X5" s="359"/>
      <c r="Y5" s="359"/>
      <c r="Z5" s="359"/>
      <c r="AA5" s="359"/>
      <c r="AB5" s="359"/>
      <c r="AC5" s="359"/>
      <c r="AD5" s="359"/>
      <c r="AF5" s="11"/>
      <c r="AH5" s="11"/>
      <c r="AI5" s="359"/>
      <c r="AJ5" s="359"/>
      <c r="AK5" s="359"/>
      <c r="AL5" s="359"/>
      <c r="AM5" s="359"/>
      <c r="AN5" s="359"/>
      <c r="AO5" s="359"/>
      <c r="AP5" s="359"/>
      <c r="AQ5" s="359"/>
      <c r="AR5" s="359"/>
      <c r="AS5" s="359"/>
      <c r="AT5" s="359"/>
      <c r="AU5" s="359"/>
      <c r="AV5" s="359"/>
      <c r="AW5" s="359"/>
      <c r="AY5" s="11"/>
      <c r="BA5" s="11"/>
      <c r="BB5" s="359"/>
      <c r="BC5" s="359"/>
      <c r="BD5" s="359"/>
      <c r="BE5" s="359"/>
      <c r="BF5" s="359"/>
      <c r="BG5" s="359"/>
      <c r="BH5" s="359"/>
      <c r="BI5" s="359"/>
      <c r="BJ5" s="359"/>
      <c r="BK5" s="359"/>
      <c r="BL5" s="359"/>
      <c r="BM5" s="359"/>
      <c r="BN5" s="359"/>
      <c r="BO5" s="359"/>
      <c r="BP5" s="359"/>
      <c r="BQ5" s="359"/>
      <c r="BR5" s="359"/>
      <c r="BS5" s="359"/>
      <c r="BT5" s="359"/>
      <c r="BU5" s="359"/>
      <c r="BV5" s="359"/>
      <c r="BW5" s="359"/>
      <c r="BX5" s="359"/>
    </row>
    <row r="6" spans="1:76" ht="16.5" customHeight="1" x14ac:dyDescent="0.25">
      <c r="A6" s="6"/>
      <c r="D6" s="10"/>
      <c r="P6" s="10"/>
      <c r="AI6" s="10"/>
      <c r="BB6" s="10"/>
      <c r="BU6" s="5"/>
    </row>
    <row r="7" spans="1:76" ht="22.5" customHeight="1" x14ac:dyDescent="0.25">
      <c r="B7" s="18" t="s">
        <v>6030</v>
      </c>
      <c r="C7" s="329">
        <f>'SIMULAÇÃO 01'!$S$10</f>
        <v>0</v>
      </c>
      <c r="D7" s="329"/>
      <c r="E7" s="14"/>
      <c r="F7" s="18" t="s">
        <v>6035</v>
      </c>
      <c r="G7" s="22" t="e">
        <f>'SIMULAÇÃO 01'!#REF!</f>
        <v>#REF!</v>
      </c>
      <c r="H7" s="15"/>
      <c r="I7" s="18" t="s">
        <v>6044</v>
      </c>
      <c r="J7" s="325" t="str">
        <f>'SIMULAÇÃO 01'!$Z$10</f>
        <v>Ribeirão Preto / SP</v>
      </c>
      <c r="K7" s="326"/>
      <c r="N7" s="18" t="s">
        <v>6030</v>
      </c>
      <c r="O7" s="329">
        <f>'SIMULAÇÃO 01'!$S$10</f>
        <v>0</v>
      </c>
      <c r="P7" s="329"/>
      <c r="Q7" s="329"/>
      <c r="S7" s="353" t="s">
        <v>6035</v>
      </c>
      <c r="T7" s="353"/>
      <c r="U7" s="325" t="e">
        <f>'SIMULAÇÃO 01'!#REF!</f>
        <v>#REF!</v>
      </c>
      <c r="V7" s="325"/>
      <c r="W7" s="325"/>
      <c r="X7" s="325"/>
      <c r="Y7" s="353" t="s">
        <v>6044</v>
      </c>
      <c r="Z7" s="353"/>
      <c r="AA7" s="325" t="str">
        <f>'SIMULAÇÃO 01'!$Z$10</f>
        <v>Ribeirão Preto / SP</v>
      </c>
      <c r="AB7" s="325"/>
      <c r="AC7" s="325"/>
      <c r="AD7" s="325"/>
      <c r="AG7" s="18" t="s">
        <v>6030</v>
      </c>
      <c r="AH7" s="329">
        <f>'SIMULAÇÃO 01'!$S$10</f>
        <v>0</v>
      </c>
      <c r="AI7" s="329"/>
      <c r="AJ7" s="329"/>
      <c r="AL7" s="353" t="s">
        <v>6035</v>
      </c>
      <c r="AM7" s="353"/>
      <c r="AN7" s="325" t="e">
        <f>'SIMULAÇÃO 01'!#REF!</f>
        <v>#REF!</v>
      </c>
      <c r="AO7" s="325"/>
      <c r="AP7" s="325"/>
      <c r="AQ7" s="325"/>
      <c r="AR7" s="353" t="s">
        <v>6044</v>
      </c>
      <c r="AS7" s="353"/>
      <c r="AT7" s="325" t="str">
        <f>'SIMULAÇÃO 01'!$Z$10</f>
        <v>Ribeirão Preto / SP</v>
      </c>
      <c r="AU7" s="325"/>
      <c r="AV7" s="325"/>
      <c r="AW7" s="325"/>
    </row>
    <row r="8" spans="1:76" ht="3.75" customHeight="1" x14ac:dyDescent="0.25">
      <c r="D8" s="10"/>
    </row>
    <row r="9" spans="1:76" ht="22.5" customHeight="1" x14ac:dyDescent="0.25">
      <c r="B9" s="19" t="s">
        <v>39</v>
      </c>
      <c r="C9" s="20" t="s">
        <v>6031</v>
      </c>
      <c r="D9" s="17" t="s">
        <v>6032</v>
      </c>
      <c r="E9" s="14"/>
      <c r="F9" s="21" t="s">
        <v>6036</v>
      </c>
      <c r="G9" s="12" t="s">
        <v>6042</v>
      </c>
      <c r="H9" s="13"/>
      <c r="I9" s="327" t="s">
        <v>6045</v>
      </c>
      <c r="J9" s="328"/>
      <c r="K9" s="16" t="s">
        <v>6033</v>
      </c>
      <c r="N9" s="19" t="s">
        <v>39</v>
      </c>
      <c r="O9" s="20" t="s">
        <v>6031</v>
      </c>
      <c r="P9" s="27" t="s">
        <v>6037</v>
      </c>
      <c r="Q9" s="17" t="s">
        <v>6047</v>
      </c>
      <c r="R9" s="28"/>
      <c r="S9" s="44" t="e">
        <f>#REF!</f>
        <v>#REF!</v>
      </c>
      <c r="T9" s="30" t="e">
        <f>#REF!</f>
        <v>#REF!</v>
      </c>
      <c r="U9" s="30" t="e">
        <f>#REF!</f>
        <v>#REF!</v>
      </c>
      <c r="V9" s="30" t="e">
        <f>#REF!</f>
        <v>#REF!</v>
      </c>
      <c r="W9" s="30" t="e">
        <f>#REF!</f>
        <v>#REF!</v>
      </c>
      <c r="X9" s="30" t="e">
        <f>#REF!</f>
        <v>#REF!</v>
      </c>
      <c r="Y9" s="30" t="e">
        <f>#REF!</f>
        <v>#REF!</v>
      </c>
      <c r="Z9" s="30" t="e">
        <f>#REF!</f>
        <v>#REF!</v>
      </c>
      <c r="AA9" s="30" t="e">
        <f>#REF!</f>
        <v>#REF!</v>
      </c>
      <c r="AB9" s="30" t="e">
        <f>#REF!</f>
        <v>#REF!</v>
      </c>
      <c r="AC9" s="30" t="e">
        <f>#REF!</f>
        <v>#REF!</v>
      </c>
      <c r="AD9" s="30" t="e">
        <f>#REF!</f>
        <v>#REF!</v>
      </c>
      <c r="AG9" s="19" t="s">
        <v>39</v>
      </c>
      <c r="AH9" s="20" t="s">
        <v>6031</v>
      </c>
      <c r="AI9" s="27" t="s">
        <v>6037</v>
      </c>
      <c r="AJ9" s="17" t="s">
        <v>6047</v>
      </c>
      <c r="AK9" s="28"/>
      <c r="AL9" s="44" t="e">
        <f>#REF!</f>
        <v>#REF!</v>
      </c>
      <c r="AM9" s="30" t="e">
        <f>#REF!</f>
        <v>#REF!</v>
      </c>
      <c r="AN9" s="30" t="e">
        <f>#REF!</f>
        <v>#REF!</v>
      </c>
      <c r="AO9" s="30" t="e">
        <f>#REF!</f>
        <v>#REF!</v>
      </c>
      <c r="AP9" s="30" t="e">
        <f>#REF!</f>
        <v>#REF!</v>
      </c>
      <c r="AQ9" s="30" t="e">
        <f>#REF!</f>
        <v>#REF!</v>
      </c>
      <c r="AR9" s="30" t="e">
        <f>#REF!</f>
        <v>#REF!</v>
      </c>
      <c r="AS9" s="30" t="e">
        <f>#REF!</f>
        <v>#REF!</v>
      </c>
      <c r="AT9" s="30" t="e">
        <f>#REF!</f>
        <v>#REF!</v>
      </c>
      <c r="AU9" s="30" t="e">
        <f>#REF!</f>
        <v>#REF!</v>
      </c>
      <c r="AV9" s="30" t="e">
        <f>#REF!</f>
        <v>#REF!</v>
      </c>
      <c r="AW9" s="30" t="e">
        <f>#REF!</f>
        <v>#REF!</v>
      </c>
    </row>
    <row r="10" spans="1:76" ht="3.75" customHeight="1" x14ac:dyDescent="0.25">
      <c r="D10" s="10"/>
    </row>
    <row r="11" spans="1:76" ht="9.75" customHeight="1" x14ac:dyDescent="0.25">
      <c r="B11" s="343">
        <v>1</v>
      </c>
      <c r="C11" s="340" t="e">
        <f>VLOOKUP(B11,#REF!,2,0)</f>
        <v>#REF!</v>
      </c>
      <c r="D11" s="341" t="e">
        <f>VLOOKUP(B11,#REF!,10,0)</f>
        <v>#REF!</v>
      </c>
      <c r="E11" s="23"/>
      <c r="F11" s="342" t="e">
        <f>VLOOKUP(B11,#REF!,15,0)</f>
        <v>#REF!</v>
      </c>
      <c r="G11" s="330" t="e">
        <f>D11-F11</f>
        <v>#REF!</v>
      </c>
      <c r="H11" s="24"/>
      <c r="I11" s="332" t="e">
        <f>VLOOKUP(B11,#REF!,11,0)</f>
        <v>#REF!</v>
      </c>
      <c r="J11" s="333"/>
      <c r="K11" s="331" t="e">
        <f>I11/SUM($I$11:$J$50)</f>
        <v>#REF!</v>
      </c>
      <c r="N11" s="343">
        <v>1</v>
      </c>
      <c r="O11" s="340" t="e">
        <f>C11</f>
        <v>#REF!</v>
      </c>
      <c r="P11" s="351" t="e">
        <f>I11</f>
        <v>#REF!</v>
      </c>
      <c r="Q11" s="331" t="e">
        <f>K11</f>
        <v>#REF!</v>
      </c>
      <c r="S11" s="33" t="e">
        <f>#REF!</f>
        <v>#REF!</v>
      </c>
      <c r="T11" s="33" t="e">
        <f>#REF!</f>
        <v>#REF!</v>
      </c>
      <c r="U11" s="33" t="e">
        <f>#REF!</f>
        <v>#REF!</v>
      </c>
      <c r="V11" s="33" t="e">
        <f>#REF!</f>
        <v>#REF!</v>
      </c>
      <c r="W11" s="33" t="e">
        <f>#REF!</f>
        <v>#REF!</v>
      </c>
      <c r="X11" s="33" t="e">
        <f>#REF!</f>
        <v>#REF!</v>
      </c>
      <c r="Y11" s="33" t="e">
        <f>#REF!</f>
        <v>#REF!</v>
      </c>
      <c r="Z11" s="33" t="e">
        <f>#REF!</f>
        <v>#REF!</v>
      </c>
      <c r="AA11" s="33" t="e">
        <f>#REF!</f>
        <v>#REF!</v>
      </c>
      <c r="AB11" s="33" t="e">
        <f>#REF!</f>
        <v>#REF!</v>
      </c>
      <c r="AC11" s="33" t="e">
        <f>#REF!</f>
        <v>#REF!</v>
      </c>
      <c r="AD11" s="33" t="e">
        <f>#REF!</f>
        <v>#REF!</v>
      </c>
      <c r="AG11" s="343">
        <v>1</v>
      </c>
      <c r="AH11" s="340" t="e">
        <f>O11</f>
        <v>#REF!</v>
      </c>
      <c r="AI11" s="351" t="e">
        <f>P11</f>
        <v>#REF!</v>
      </c>
      <c r="AJ11" s="331" t="e">
        <f>Q11</f>
        <v>#REF!</v>
      </c>
      <c r="AL11" s="29" t="e">
        <f>#REF!</f>
        <v>#REF!</v>
      </c>
      <c r="AM11" s="29" t="e">
        <f>#REF!</f>
        <v>#REF!</v>
      </c>
      <c r="AN11" s="29" t="e">
        <f>#REF!</f>
        <v>#REF!</v>
      </c>
      <c r="AO11" s="29" t="e">
        <f>#REF!</f>
        <v>#REF!</v>
      </c>
      <c r="AP11" s="29" t="e">
        <f>#REF!</f>
        <v>#REF!</v>
      </c>
      <c r="AQ11" s="29" t="e">
        <f>#REF!</f>
        <v>#REF!</v>
      </c>
      <c r="AR11" s="29" t="e">
        <f>#REF!</f>
        <v>#REF!</v>
      </c>
      <c r="AS11" s="29" t="e">
        <f>#REF!</f>
        <v>#REF!</v>
      </c>
      <c r="AT11" s="29" t="e">
        <f>#REF!</f>
        <v>#REF!</v>
      </c>
      <c r="AU11" s="29" t="e">
        <f>#REF!</f>
        <v>#REF!</v>
      </c>
      <c r="AV11" s="29" t="e">
        <f>#REF!</f>
        <v>#REF!</v>
      </c>
      <c r="AW11" s="29" t="e">
        <f>#REF!</f>
        <v>#REF!</v>
      </c>
    </row>
    <row r="12" spans="1:76" ht="9.75" customHeight="1" x14ac:dyDescent="0.25">
      <c r="B12" s="336"/>
      <c r="C12" s="324"/>
      <c r="D12" s="337"/>
      <c r="E12" s="23"/>
      <c r="F12" s="322"/>
      <c r="G12" s="323"/>
      <c r="H12" s="24"/>
      <c r="I12" s="334"/>
      <c r="J12" s="335"/>
      <c r="K12" s="321"/>
      <c r="N12" s="336"/>
      <c r="O12" s="324"/>
      <c r="P12" s="338"/>
      <c r="Q12" s="321"/>
      <c r="S12" s="40" t="e">
        <f>#REF!</f>
        <v>#REF!</v>
      </c>
      <c r="T12" s="40" t="e">
        <f>#REF!</f>
        <v>#REF!</v>
      </c>
      <c r="U12" s="40" t="e">
        <f>#REF!</f>
        <v>#REF!</v>
      </c>
      <c r="V12" s="40" t="e">
        <f>#REF!</f>
        <v>#REF!</v>
      </c>
      <c r="W12" s="40" t="e">
        <f>#REF!</f>
        <v>#REF!</v>
      </c>
      <c r="X12" s="40" t="e">
        <f>#REF!</f>
        <v>#REF!</v>
      </c>
      <c r="Y12" s="40" t="e">
        <f>#REF!</f>
        <v>#REF!</v>
      </c>
      <c r="Z12" s="40" t="e">
        <f>#REF!</f>
        <v>#REF!</v>
      </c>
      <c r="AA12" s="40" t="e">
        <f>#REF!</f>
        <v>#REF!</v>
      </c>
      <c r="AB12" s="40" t="e">
        <f>#REF!</f>
        <v>#REF!</v>
      </c>
      <c r="AC12" s="40" t="e">
        <f>#REF!</f>
        <v>#REF!</v>
      </c>
      <c r="AD12" s="40" t="e">
        <f>#REF!</f>
        <v>#REF!</v>
      </c>
      <c r="AG12" s="336"/>
      <c r="AH12" s="324"/>
      <c r="AI12" s="338"/>
      <c r="AJ12" s="321"/>
      <c r="AL12" s="37" t="e">
        <f>#REF!</f>
        <v>#REF!</v>
      </c>
      <c r="AM12" s="37" t="e">
        <f>#REF!</f>
        <v>#REF!</v>
      </c>
      <c r="AN12" s="37" t="e">
        <f>#REF!</f>
        <v>#REF!</v>
      </c>
      <c r="AO12" s="37" t="e">
        <f>#REF!</f>
        <v>#REF!</v>
      </c>
      <c r="AP12" s="37" t="e">
        <f>#REF!</f>
        <v>#REF!</v>
      </c>
      <c r="AQ12" s="37" t="e">
        <f>#REF!</f>
        <v>#REF!</v>
      </c>
      <c r="AR12" s="37" t="e">
        <f>#REF!</f>
        <v>#REF!</v>
      </c>
      <c r="AS12" s="37" t="e">
        <f>#REF!</f>
        <v>#REF!</v>
      </c>
      <c r="AT12" s="37" t="e">
        <f>#REF!</f>
        <v>#REF!</v>
      </c>
      <c r="AU12" s="37" t="e">
        <f>#REF!</f>
        <v>#REF!</v>
      </c>
      <c r="AV12" s="37" t="e">
        <f>#REF!</f>
        <v>#REF!</v>
      </c>
      <c r="AW12" s="37" t="e">
        <f>#REF!</f>
        <v>#REF!</v>
      </c>
    </row>
    <row r="13" spans="1:76" ht="9.75" customHeight="1" x14ac:dyDescent="0.25">
      <c r="B13" s="336">
        <v>2</v>
      </c>
      <c r="C13" s="324" t="e">
        <f>VLOOKUP(B13,#REF!,2,0)</f>
        <v>#REF!</v>
      </c>
      <c r="D13" s="337" t="e">
        <f>VLOOKUP(B13,#REF!,10,0)</f>
        <v>#REF!</v>
      </c>
      <c r="E13" s="23"/>
      <c r="F13" s="322" t="e">
        <f>VLOOKUP(B13,#REF!,15,0)</f>
        <v>#REF!</v>
      </c>
      <c r="G13" s="323" t="e">
        <f t="shared" ref="G13" si="0">D13-F13</f>
        <v>#REF!</v>
      </c>
      <c r="H13" s="24"/>
      <c r="I13" s="334" t="e">
        <f>VLOOKUP(B13,#REF!,11,0)</f>
        <v>#REF!</v>
      </c>
      <c r="J13" s="335"/>
      <c r="K13" s="321" t="e">
        <f t="shared" ref="K13" si="1">I13/SUM($I$11:$J$50)</f>
        <v>#REF!</v>
      </c>
      <c r="N13" s="336">
        <v>2</v>
      </c>
      <c r="O13" s="324" t="e">
        <f t="shared" ref="O13" si="2">C13</f>
        <v>#REF!</v>
      </c>
      <c r="P13" s="338" t="e">
        <f t="shared" ref="P13" si="3">I13</f>
        <v>#REF!</v>
      </c>
      <c r="Q13" s="321" t="e">
        <f t="shared" ref="Q13" si="4">K13</f>
        <v>#REF!</v>
      </c>
      <c r="S13" s="33" t="e">
        <f>#REF!</f>
        <v>#REF!</v>
      </c>
      <c r="T13" s="33" t="e">
        <f>#REF!</f>
        <v>#REF!</v>
      </c>
      <c r="U13" s="33" t="e">
        <f>#REF!</f>
        <v>#REF!</v>
      </c>
      <c r="V13" s="33" t="e">
        <f>#REF!</f>
        <v>#REF!</v>
      </c>
      <c r="W13" s="33" t="e">
        <f>#REF!</f>
        <v>#REF!</v>
      </c>
      <c r="X13" s="33" t="e">
        <f>#REF!</f>
        <v>#REF!</v>
      </c>
      <c r="Y13" s="33" t="e">
        <f>#REF!</f>
        <v>#REF!</v>
      </c>
      <c r="Z13" s="33" t="e">
        <f>#REF!</f>
        <v>#REF!</v>
      </c>
      <c r="AA13" s="33" t="e">
        <f>#REF!</f>
        <v>#REF!</v>
      </c>
      <c r="AB13" s="33" t="e">
        <f>#REF!</f>
        <v>#REF!</v>
      </c>
      <c r="AC13" s="33" t="e">
        <f>#REF!</f>
        <v>#REF!</v>
      </c>
      <c r="AD13" s="33" t="e">
        <f>#REF!</f>
        <v>#REF!</v>
      </c>
      <c r="AG13" s="336">
        <v>2</v>
      </c>
      <c r="AH13" s="324" t="e">
        <f t="shared" ref="AH13" si="5">O13</f>
        <v>#REF!</v>
      </c>
      <c r="AI13" s="338" t="e">
        <f t="shared" ref="AI13" si="6">P13</f>
        <v>#REF!</v>
      </c>
      <c r="AJ13" s="321" t="e">
        <f t="shared" ref="AJ13" si="7">Q13</f>
        <v>#REF!</v>
      </c>
      <c r="AL13" s="29" t="e">
        <f>#REF!</f>
        <v>#REF!</v>
      </c>
      <c r="AM13" s="29" t="e">
        <f>#REF!</f>
        <v>#REF!</v>
      </c>
      <c r="AN13" s="29" t="e">
        <f>#REF!</f>
        <v>#REF!</v>
      </c>
      <c r="AO13" s="29" t="e">
        <f>#REF!</f>
        <v>#REF!</v>
      </c>
      <c r="AP13" s="29" t="e">
        <f>#REF!</f>
        <v>#REF!</v>
      </c>
      <c r="AQ13" s="29" t="e">
        <f>#REF!</f>
        <v>#REF!</v>
      </c>
      <c r="AR13" s="29" t="e">
        <f>#REF!</f>
        <v>#REF!</v>
      </c>
      <c r="AS13" s="29" t="e">
        <f>#REF!</f>
        <v>#REF!</v>
      </c>
      <c r="AT13" s="29" t="e">
        <f>#REF!</f>
        <v>#REF!</v>
      </c>
      <c r="AU13" s="29" t="e">
        <f>#REF!</f>
        <v>#REF!</v>
      </c>
      <c r="AV13" s="29" t="e">
        <f>#REF!</f>
        <v>#REF!</v>
      </c>
      <c r="AW13" s="29" t="e">
        <f>#REF!</f>
        <v>#REF!</v>
      </c>
    </row>
    <row r="14" spans="1:76" ht="9.75" customHeight="1" x14ac:dyDescent="0.25">
      <c r="B14" s="336"/>
      <c r="C14" s="324"/>
      <c r="D14" s="337"/>
      <c r="E14" s="23"/>
      <c r="F14" s="322"/>
      <c r="G14" s="323"/>
      <c r="H14" s="24"/>
      <c r="I14" s="334"/>
      <c r="J14" s="335"/>
      <c r="K14" s="321"/>
      <c r="N14" s="336"/>
      <c r="O14" s="324"/>
      <c r="P14" s="338"/>
      <c r="Q14" s="321"/>
      <c r="S14" s="40" t="e">
        <f>#REF!</f>
        <v>#REF!</v>
      </c>
      <c r="T14" s="40" t="e">
        <f>#REF!</f>
        <v>#REF!</v>
      </c>
      <c r="U14" s="40" t="e">
        <f>#REF!</f>
        <v>#REF!</v>
      </c>
      <c r="V14" s="40" t="e">
        <f>#REF!</f>
        <v>#REF!</v>
      </c>
      <c r="W14" s="40" t="e">
        <f>#REF!</f>
        <v>#REF!</v>
      </c>
      <c r="X14" s="40" t="e">
        <f>#REF!</f>
        <v>#REF!</v>
      </c>
      <c r="Y14" s="40" t="e">
        <f>#REF!</f>
        <v>#REF!</v>
      </c>
      <c r="Z14" s="40" t="e">
        <f>#REF!</f>
        <v>#REF!</v>
      </c>
      <c r="AA14" s="40" t="e">
        <f>#REF!</f>
        <v>#REF!</v>
      </c>
      <c r="AB14" s="40" t="e">
        <f>#REF!</f>
        <v>#REF!</v>
      </c>
      <c r="AC14" s="40" t="e">
        <f>#REF!</f>
        <v>#REF!</v>
      </c>
      <c r="AD14" s="40" t="e">
        <f>#REF!</f>
        <v>#REF!</v>
      </c>
      <c r="AG14" s="336"/>
      <c r="AH14" s="324"/>
      <c r="AI14" s="338"/>
      <c r="AJ14" s="321"/>
      <c r="AL14" s="37" t="e">
        <f>#REF!</f>
        <v>#REF!</v>
      </c>
      <c r="AM14" s="37" t="e">
        <f>#REF!</f>
        <v>#REF!</v>
      </c>
      <c r="AN14" s="37" t="e">
        <f>#REF!</f>
        <v>#REF!</v>
      </c>
      <c r="AO14" s="37" t="e">
        <f>#REF!</f>
        <v>#REF!</v>
      </c>
      <c r="AP14" s="37" t="e">
        <f>#REF!</f>
        <v>#REF!</v>
      </c>
      <c r="AQ14" s="37" t="e">
        <f>#REF!</f>
        <v>#REF!</v>
      </c>
      <c r="AR14" s="37" t="e">
        <f>#REF!</f>
        <v>#REF!</v>
      </c>
      <c r="AS14" s="37" t="e">
        <f>#REF!</f>
        <v>#REF!</v>
      </c>
      <c r="AT14" s="37" t="e">
        <f>#REF!</f>
        <v>#REF!</v>
      </c>
      <c r="AU14" s="37" t="e">
        <f>#REF!</f>
        <v>#REF!</v>
      </c>
      <c r="AV14" s="37" t="e">
        <f>#REF!</f>
        <v>#REF!</v>
      </c>
      <c r="AW14" s="37" t="e">
        <f>#REF!</f>
        <v>#REF!</v>
      </c>
    </row>
    <row r="15" spans="1:76" ht="9.75" customHeight="1" x14ac:dyDescent="0.25">
      <c r="B15" s="336">
        <v>3</v>
      </c>
      <c r="C15" s="324" t="e">
        <f>VLOOKUP(B15,#REF!,2,0)</f>
        <v>#REF!</v>
      </c>
      <c r="D15" s="337" t="e">
        <f>VLOOKUP(B15,#REF!,10,0)</f>
        <v>#REF!</v>
      </c>
      <c r="E15" s="23"/>
      <c r="F15" s="322" t="e">
        <f>VLOOKUP(B15,#REF!,15,0)</f>
        <v>#REF!</v>
      </c>
      <c r="G15" s="323" t="e">
        <f t="shared" ref="G15" si="8">D15-F15</f>
        <v>#REF!</v>
      </c>
      <c r="H15" s="24"/>
      <c r="I15" s="334" t="e">
        <f>VLOOKUP(B15,#REF!,11,0)</f>
        <v>#REF!</v>
      </c>
      <c r="J15" s="335"/>
      <c r="K15" s="321" t="e">
        <f t="shared" ref="K15" si="9">I15/SUM($I$11:$J$50)</f>
        <v>#REF!</v>
      </c>
      <c r="N15" s="336">
        <v>3</v>
      </c>
      <c r="O15" s="324" t="e">
        <f t="shared" ref="O15" si="10">C15</f>
        <v>#REF!</v>
      </c>
      <c r="P15" s="338" t="e">
        <f t="shared" ref="P15" si="11">I15</f>
        <v>#REF!</v>
      </c>
      <c r="Q15" s="321" t="e">
        <f t="shared" ref="Q15" si="12">K15</f>
        <v>#REF!</v>
      </c>
      <c r="S15" s="33" t="e">
        <f>#REF!</f>
        <v>#REF!</v>
      </c>
      <c r="T15" s="33" t="e">
        <f>#REF!</f>
        <v>#REF!</v>
      </c>
      <c r="U15" s="33" t="e">
        <f>#REF!</f>
        <v>#REF!</v>
      </c>
      <c r="V15" s="33" t="e">
        <f>#REF!</f>
        <v>#REF!</v>
      </c>
      <c r="W15" s="33" t="e">
        <f>#REF!</f>
        <v>#REF!</v>
      </c>
      <c r="X15" s="33" t="e">
        <f>#REF!</f>
        <v>#REF!</v>
      </c>
      <c r="Y15" s="33" t="e">
        <f>#REF!</f>
        <v>#REF!</v>
      </c>
      <c r="Z15" s="33" t="e">
        <f>#REF!</f>
        <v>#REF!</v>
      </c>
      <c r="AA15" s="33" t="e">
        <f>#REF!</f>
        <v>#REF!</v>
      </c>
      <c r="AB15" s="33" t="e">
        <f>#REF!</f>
        <v>#REF!</v>
      </c>
      <c r="AC15" s="33" t="e">
        <f>#REF!</f>
        <v>#REF!</v>
      </c>
      <c r="AD15" s="33" t="e">
        <f>#REF!</f>
        <v>#REF!</v>
      </c>
      <c r="AG15" s="336">
        <v>3</v>
      </c>
      <c r="AH15" s="324" t="e">
        <f t="shared" ref="AH15" si="13">O15</f>
        <v>#REF!</v>
      </c>
      <c r="AI15" s="338" t="e">
        <f t="shared" ref="AI15" si="14">P15</f>
        <v>#REF!</v>
      </c>
      <c r="AJ15" s="321" t="e">
        <f t="shared" ref="AJ15" si="15">Q15</f>
        <v>#REF!</v>
      </c>
      <c r="AL15" s="29" t="e">
        <f>#REF!</f>
        <v>#REF!</v>
      </c>
      <c r="AM15" s="29" t="e">
        <f>#REF!</f>
        <v>#REF!</v>
      </c>
      <c r="AN15" s="29" t="e">
        <f>#REF!</f>
        <v>#REF!</v>
      </c>
      <c r="AO15" s="29" t="e">
        <f>#REF!</f>
        <v>#REF!</v>
      </c>
      <c r="AP15" s="29" t="e">
        <f>#REF!</f>
        <v>#REF!</v>
      </c>
      <c r="AQ15" s="29" t="e">
        <f>#REF!</f>
        <v>#REF!</v>
      </c>
      <c r="AR15" s="29" t="e">
        <f>#REF!</f>
        <v>#REF!</v>
      </c>
      <c r="AS15" s="29" t="e">
        <f>#REF!</f>
        <v>#REF!</v>
      </c>
      <c r="AT15" s="29" t="e">
        <f>#REF!</f>
        <v>#REF!</v>
      </c>
      <c r="AU15" s="29" t="e">
        <f>#REF!</f>
        <v>#REF!</v>
      </c>
      <c r="AV15" s="29" t="e">
        <f>#REF!</f>
        <v>#REF!</v>
      </c>
      <c r="AW15" s="29" t="e">
        <f>#REF!</f>
        <v>#REF!</v>
      </c>
    </row>
    <row r="16" spans="1:76" ht="9.75" customHeight="1" x14ac:dyDescent="0.25">
      <c r="B16" s="336"/>
      <c r="C16" s="324"/>
      <c r="D16" s="337"/>
      <c r="E16" s="23"/>
      <c r="F16" s="322"/>
      <c r="G16" s="323"/>
      <c r="H16" s="24"/>
      <c r="I16" s="334"/>
      <c r="J16" s="335"/>
      <c r="K16" s="321"/>
      <c r="N16" s="336"/>
      <c r="O16" s="324"/>
      <c r="P16" s="338"/>
      <c r="Q16" s="321"/>
      <c r="S16" s="40" t="e">
        <f>#REF!</f>
        <v>#REF!</v>
      </c>
      <c r="T16" s="40" t="e">
        <f>#REF!</f>
        <v>#REF!</v>
      </c>
      <c r="U16" s="40" t="e">
        <f>#REF!</f>
        <v>#REF!</v>
      </c>
      <c r="V16" s="40" t="e">
        <f>#REF!</f>
        <v>#REF!</v>
      </c>
      <c r="W16" s="40" t="e">
        <f>#REF!</f>
        <v>#REF!</v>
      </c>
      <c r="X16" s="40" t="e">
        <f>#REF!</f>
        <v>#REF!</v>
      </c>
      <c r="Y16" s="40" t="e">
        <f>#REF!</f>
        <v>#REF!</v>
      </c>
      <c r="Z16" s="40" t="e">
        <f>#REF!</f>
        <v>#REF!</v>
      </c>
      <c r="AA16" s="40" t="e">
        <f>#REF!</f>
        <v>#REF!</v>
      </c>
      <c r="AB16" s="40" t="e">
        <f>#REF!</f>
        <v>#REF!</v>
      </c>
      <c r="AC16" s="40" t="e">
        <f>#REF!</f>
        <v>#REF!</v>
      </c>
      <c r="AD16" s="40" t="e">
        <f>#REF!</f>
        <v>#REF!</v>
      </c>
      <c r="AG16" s="336"/>
      <c r="AH16" s="324"/>
      <c r="AI16" s="338"/>
      <c r="AJ16" s="321"/>
      <c r="AL16" s="37" t="e">
        <f>#REF!</f>
        <v>#REF!</v>
      </c>
      <c r="AM16" s="37" t="e">
        <f>#REF!</f>
        <v>#REF!</v>
      </c>
      <c r="AN16" s="37" t="e">
        <f>#REF!</f>
        <v>#REF!</v>
      </c>
      <c r="AO16" s="37" t="e">
        <f>#REF!</f>
        <v>#REF!</v>
      </c>
      <c r="AP16" s="37" t="e">
        <f>#REF!</f>
        <v>#REF!</v>
      </c>
      <c r="AQ16" s="37" t="e">
        <f>#REF!</f>
        <v>#REF!</v>
      </c>
      <c r="AR16" s="37" t="e">
        <f>#REF!</f>
        <v>#REF!</v>
      </c>
      <c r="AS16" s="37" t="e">
        <f>#REF!</f>
        <v>#REF!</v>
      </c>
      <c r="AT16" s="37" t="e">
        <f>#REF!</f>
        <v>#REF!</v>
      </c>
      <c r="AU16" s="37" t="e">
        <f>#REF!</f>
        <v>#REF!</v>
      </c>
      <c r="AV16" s="37" t="e">
        <f>#REF!</f>
        <v>#REF!</v>
      </c>
      <c r="AW16" s="37" t="e">
        <f>#REF!</f>
        <v>#REF!</v>
      </c>
    </row>
    <row r="17" spans="1:76" ht="9.75" customHeight="1" x14ac:dyDescent="0.25">
      <c r="B17" s="336">
        <v>4</v>
      </c>
      <c r="C17" s="324" t="e">
        <f>VLOOKUP(B17,#REF!,2,0)</f>
        <v>#REF!</v>
      </c>
      <c r="D17" s="337" t="e">
        <f>VLOOKUP(B17,#REF!,10,0)</f>
        <v>#REF!</v>
      </c>
      <c r="E17" s="23"/>
      <c r="F17" s="322" t="e">
        <f>VLOOKUP(B17,#REF!,15,0)</f>
        <v>#REF!</v>
      </c>
      <c r="G17" s="323" t="e">
        <f t="shared" ref="G17" si="16">D17-F17</f>
        <v>#REF!</v>
      </c>
      <c r="H17" s="24"/>
      <c r="I17" s="334" t="e">
        <f>VLOOKUP(B17,#REF!,11,0)</f>
        <v>#REF!</v>
      </c>
      <c r="J17" s="335"/>
      <c r="K17" s="321" t="e">
        <f t="shared" ref="K17" si="17">I17/SUM($I$11:$J$50)</f>
        <v>#REF!</v>
      </c>
      <c r="N17" s="336">
        <v>4</v>
      </c>
      <c r="O17" s="324" t="e">
        <f t="shared" ref="O17" si="18">C17</f>
        <v>#REF!</v>
      </c>
      <c r="P17" s="338" t="e">
        <f t="shared" ref="P17" si="19">I17</f>
        <v>#REF!</v>
      </c>
      <c r="Q17" s="321" t="e">
        <f t="shared" ref="Q17" si="20">K17</f>
        <v>#REF!</v>
      </c>
      <c r="S17" s="33" t="e">
        <f>#REF!</f>
        <v>#REF!</v>
      </c>
      <c r="T17" s="33" t="e">
        <f>#REF!</f>
        <v>#REF!</v>
      </c>
      <c r="U17" s="33" t="e">
        <f>#REF!</f>
        <v>#REF!</v>
      </c>
      <c r="V17" s="33" t="e">
        <f>#REF!</f>
        <v>#REF!</v>
      </c>
      <c r="W17" s="33" t="e">
        <f>#REF!</f>
        <v>#REF!</v>
      </c>
      <c r="X17" s="33" t="e">
        <f>#REF!</f>
        <v>#REF!</v>
      </c>
      <c r="Y17" s="33" t="e">
        <f>#REF!</f>
        <v>#REF!</v>
      </c>
      <c r="Z17" s="33" t="e">
        <f>#REF!</f>
        <v>#REF!</v>
      </c>
      <c r="AA17" s="33" t="e">
        <f>#REF!</f>
        <v>#REF!</v>
      </c>
      <c r="AB17" s="33" t="e">
        <f>#REF!</f>
        <v>#REF!</v>
      </c>
      <c r="AC17" s="33" t="e">
        <f>#REF!</f>
        <v>#REF!</v>
      </c>
      <c r="AD17" s="33" t="e">
        <f>#REF!</f>
        <v>#REF!</v>
      </c>
      <c r="AG17" s="336">
        <v>4</v>
      </c>
      <c r="AH17" s="324" t="e">
        <f t="shared" ref="AH17" si="21">O17</f>
        <v>#REF!</v>
      </c>
      <c r="AI17" s="338" t="e">
        <f t="shared" ref="AI17" si="22">P17</f>
        <v>#REF!</v>
      </c>
      <c r="AJ17" s="321" t="e">
        <f t="shared" ref="AJ17" si="23">Q17</f>
        <v>#REF!</v>
      </c>
      <c r="AL17" s="29" t="e">
        <f>#REF!</f>
        <v>#REF!</v>
      </c>
      <c r="AM17" s="29" t="e">
        <f>#REF!</f>
        <v>#REF!</v>
      </c>
      <c r="AN17" s="29" t="e">
        <f>#REF!</f>
        <v>#REF!</v>
      </c>
      <c r="AO17" s="29" t="e">
        <f>#REF!</f>
        <v>#REF!</v>
      </c>
      <c r="AP17" s="29" t="e">
        <f>#REF!</f>
        <v>#REF!</v>
      </c>
      <c r="AQ17" s="29" t="e">
        <f>#REF!</f>
        <v>#REF!</v>
      </c>
      <c r="AR17" s="29" t="e">
        <f>#REF!</f>
        <v>#REF!</v>
      </c>
      <c r="AS17" s="29" t="e">
        <f>#REF!</f>
        <v>#REF!</v>
      </c>
      <c r="AT17" s="29" t="e">
        <f>#REF!</f>
        <v>#REF!</v>
      </c>
      <c r="AU17" s="29" t="e">
        <f>#REF!</f>
        <v>#REF!</v>
      </c>
      <c r="AV17" s="29" t="e">
        <f>#REF!</f>
        <v>#REF!</v>
      </c>
      <c r="AW17" s="29" t="e">
        <f>#REF!</f>
        <v>#REF!</v>
      </c>
    </row>
    <row r="18" spans="1:76" ht="9.75" customHeight="1" x14ac:dyDescent="0.25">
      <c r="B18" s="336"/>
      <c r="C18" s="324"/>
      <c r="D18" s="337"/>
      <c r="E18" s="23"/>
      <c r="F18" s="322"/>
      <c r="G18" s="323"/>
      <c r="H18" s="24"/>
      <c r="I18" s="334"/>
      <c r="J18" s="335"/>
      <c r="K18" s="321"/>
      <c r="N18" s="336"/>
      <c r="O18" s="324"/>
      <c r="P18" s="338"/>
      <c r="Q18" s="321"/>
      <c r="S18" s="40" t="e">
        <f>#REF!</f>
        <v>#REF!</v>
      </c>
      <c r="T18" s="40" t="e">
        <f>#REF!</f>
        <v>#REF!</v>
      </c>
      <c r="U18" s="40" t="e">
        <f>#REF!</f>
        <v>#REF!</v>
      </c>
      <c r="V18" s="40" t="e">
        <f>#REF!</f>
        <v>#REF!</v>
      </c>
      <c r="W18" s="40" t="e">
        <f>#REF!</f>
        <v>#REF!</v>
      </c>
      <c r="X18" s="40" t="e">
        <f>#REF!</f>
        <v>#REF!</v>
      </c>
      <c r="Y18" s="40" t="e">
        <f>#REF!</f>
        <v>#REF!</v>
      </c>
      <c r="Z18" s="40" t="e">
        <f>#REF!</f>
        <v>#REF!</v>
      </c>
      <c r="AA18" s="40" t="e">
        <f>#REF!</f>
        <v>#REF!</v>
      </c>
      <c r="AB18" s="40" t="e">
        <f>#REF!</f>
        <v>#REF!</v>
      </c>
      <c r="AC18" s="40" t="e">
        <f>#REF!</f>
        <v>#REF!</v>
      </c>
      <c r="AD18" s="40" t="e">
        <f>#REF!</f>
        <v>#REF!</v>
      </c>
      <c r="AG18" s="336"/>
      <c r="AH18" s="324"/>
      <c r="AI18" s="338"/>
      <c r="AJ18" s="321"/>
      <c r="AL18" s="37" t="e">
        <f>#REF!</f>
        <v>#REF!</v>
      </c>
      <c r="AM18" s="37" t="e">
        <f>#REF!</f>
        <v>#REF!</v>
      </c>
      <c r="AN18" s="37" t="e">
        <f>#REF!</f>
        <v>#REF!</v>
      </c>
      <c r="AO18" s="37" t="e">
        <f>#REF!</f>
        <v>#REF!</v>
      </c>
      <c r="AP18" s="37" t="e">
        <f>#REF!</f>
        <v>#REF!</v>
      </c>
      <c r="AQ18" s="37" t="e">
        <f>#REF!</f>
        <v>#REF!</v>
      </c>
      <c r="AR18" s="37" t="e">
        <f>#REF!</f>
        <v>#REF!</v>
      </c>
      <c r="AS18" s="37" t="e">
        <f>#REF!</f>
        <v>#REF!</v>
      </c>
      <c r="AT18" s="37" t="e">
        <f>#REF!</f>
        <v>#REF!</v>
      </c>
      <c r="AU18" s="37" t="e">
        <f>#REF!</f>
        <v>#REF!</v>
      </c>
      <c r="AV18" s="37" t="e">
        <f>#REF!</f>
        <v>#REF!</v>
      </c>
      <c r="AW18" s="37" t="e">
        <f>#REF!</f>
        <v>#REF!</v>
      </c>
    </row>
    <row r="19" spans="1:76" ht="9.75" customHeight="1" x14ac:dyDescent="0.25">
      <c r="B19" s="336">
        <v>5</v>
      </c>
      <c r="C19" s="324" t="e">
        <f>VLOOKUP(B19,#REF!,2,0)</f>
        <v>#REF!</v>
      </c>
      <c r="D19" s="337" t="e">
        <f>VLOOKUP(B19,#REF!,10,0)</f>
        <v>#REF!</v>
      </c>
      <c r="E19" s="23"/>
      <c r="F19" s="322" t="e">
        <f>VLOOKUP(B19,#REF!,15,0)</f>
        <v>#REF!</v>
      </c>
      <c r="G19" s="323" t="e">
        <f t="shared" ref="G19" si="24">D19-F19</f>
        <v>#REF!</v>
      </c>
      <c r="H19" s="24"/>
      <c r="I19" s="334" t="e">
        <f>VLOOKUP(B19,#REF!,11,0)</f>
        <v>#REF!</v>
      </c>
      <c r="J19" s="335"/>
      <c r="K19" s="321" t="e">
        <f t="shared" ref="K19" si="25">I19/SUM($I$11:$J$50)</f>
        <v>#REF!</v>
      </c>
      <c r="N19" s="336">
        <v>5</v>
      </c>
      <c r="O19" s="324" t="e">
        <f t="shared" ref="O19" si="26">C19</f>
        <v>#REF!</v>
      </c>
      <c r="P19" s="338" t="e">
        <f t="shared" ref="P19" si="27">I19</f>
        <v>#REF!</v>
      </c>
      <c r="Q19" s="321" t="e">
        <f t="shared" ref="Q19" si="28">K19</f>
        <v>#REF!</v>
      </c>
      <c r="S19" s="33" t="e">
        <f>#REF!</f>
        <v>#REF!</v>
      </c>
      <c r="T19" s="33" t="e">
        <f>#REF!</f>
        <v>#REF!</v>
      </c>
      <c r="U19" s="33" t="e">
        <f>#REF!</f>
        <v>#REF!</v>
      </c>
      <c r="V19" s="33" t="e">
        <f>#REF!</f>
        <v>#REF!</v>
      </c>
      <c r="W19" s="33" t="e">
        <f>#REF!</f>
        <v>#REF!</v>
      </c>
      <c r="X19" s="33" t="e">
        <f>#REF!</f>
        <v>#REF!</v>
      </c>
      <c r="Y19" s="33" t="e">
        <f>#REF!</f>
        <v>#REF!</v>
      </c>
      <c r="Z19" s="33" t="e">
        <f>#REF!</f>
        <v>#REF!</v>
      </c>
      <c r="AA19" s="33" t="e">
        <f>#REF!</f>
        <v>#REF!</v>
      </c>
      <c r="AB19" s="33" t="e">
        <f>#REF!</f>
        <v>#REF!</v>
      </c>
      <c r="AC19" s="33" t="e">
        <f>#REF!</f>
        <v>#REF!</v>
      </c>
      <c r="AD19" s="33" t="e">
        <f>#REF!</f>
        <v>#REF!</v>
      </c>
      <c r="AG19" s="336">
        <v>5</v>
      </c>
      <c r="AH19" s="324" t="e">
        <f t="shared" ref="AH19" si="29">O19</f>
        <v>#REF!</v>
      </c>
      <c r="AI19" s="338" t="e">
        <f t="shared" ref="AI19" si="30">P19</f>
        <v>#REF!</v>
      </c>
      <c r="AJ19" s="321" t="e">
        <f t="shared" ref="AJ19" si="31">Q19</f>
        <v>#REF!</v>
      </c>
      <c r="AL19" s="29" t="e">
        <f>#REF!</f>
        <v>#REF!</v>
      </c>
      <c r="AM19" s="29" t="e">
        <f>#REF!</f>
        <v>#REF!</v>
      </c>
      <c r="AN19" s="29" t="e">
        <f>#REF!</f>
        <v>#REF!</v>
      </c>
      <c r="AO19" s="29" t="e">
        <f>#REF!</f>
        <v>#REF!</v>
      </c>
      <c r="AP19" s="29" t="e">
        <f>#REF!</f>
        <v>#REF!</v>
      </c>
      <c r="AQ19" s="29" t="e">
        <f>#REF!</f>
        <v>#REF!</v>
      </c>
      <c r="AR19" s="29" t="e">
        <f>#REF!</f>
        <v>#REF!</v>
      </c>
      <c r="AS19" s="29" t="e">
        <f>#REF!</f>
        <v>#REF!</v>
      </c>
      <c r="AT19" s="29" t="e">
        <f>#REF!</f>
        <v>#REF!</v>
      </c>
      <c r="AU19" s="29" t="e">
        <f>#REF!</f>
        <v>#REF!</v>
      </c>
      <c r="AV19" s="29" t="e">
        <f>#REF!</f>
        <v>#REF!</v>
      </c>
      <c r="AW19" s="29" t="e">
        <f>#REF!</f>
        <v>#REF!</v>
      </c>
    </row>
    <row r="20" spans="1:76" ht="9.75" customHeight="1" x14ac:dyDescent="0.25">
      <c r="B20" s="336"/>
      <c r="C20" s="324"/>
      <c r="D20" s="337"/>
      <c r="E20" s="23"/>
      <c r="F20" s="322"/>
      <c r="G20" s="323"/>
      <c r="H20" s="24"/>
      <c r="I20" s="334"/>
      <c r="J20" s="335"/>
      <c r="K20" s="321"/>
      <c r="N20" s="336"/>
      <c r="O20" s="324"/>
      <c r="P20" s="338"/>
      <c r="Q20" s="321"/>
      <c r="S20" s="40" t="e">
        <f>#REF!</f>
        <v>#REF!</v>
      </c>
      <c r="T20" s="40" t="e">
        <f>#REF!</f>
        <v>#REF!</v>
      </c>
      <c r="U20" s="40" t="e">
        <f>#REF!</f>
        <v>#REF!</v>
      </c>
      <c r="V20" s="40" t="e">
        <f>#REF!</f>
        <v>#REF!</v>
      </c>
      <c r="W20" s="40" t="e">
        <f>#REF!</f>
        <v>#REF!</v>
      </c>
      <c r="X20" s="40" t="e">
        <f>#REF!</f>
        <v>#REF!</v>
      </c>
      <c r="Y20" s="40" t="e">
        <f>#REF!</f>
        <v>#REF!</v>
      </c>
      <c r="Z20" s="40" t="e">
        <f>#REF!</f>
        <v>#REF!</v>
      </c>
      <c r="AA20" s="40" t="e">
        <f>#REF!</f>
        <v>#REF!</v>
      </c>
      <c r="AB20" s="40" t="e">
        <f>#REF!</f>
        <v>#REF!</v>
      </c>
      <c r="AC20" s="40" t="e">
        <f>#REF!</f>
        <v>#REF!</v>
      </c>
      <c r="AD20" s="40" t="e">
        <f>#REF!</f>
        <v>#REF!</v>
      </c>
      <c r="AG20" s="336"/>
      <c r="AH20" s="324"/>
      <c r="AI20" s="338"/>
      <c r="AJ20" s="321"/>
      <c r="AL20" s="37" t="e">
        <f>#REF!</f>
        <v>#REF!</v>
      </c>
      <c r="AM20" s="37" t="e">
        <f>#REF!</f>
        <v>#REF!</v>
      </c>
      <c r="AN20" s="37" t="e">
        <f>#REF!</f>
        <v>#REF!</v>
      </c>
      <c r="AO20" s="37" t="e">
        <f>#REF!</f>
        <v>#REF!</v>
      </c>
      <c r="AP20" s="37" t="e">
        <f>#REF!</f>
        <v>#REF!</v>
      </c>
      <c r="AQ20" s="37" t="e">
        <f>#REF!</f>
        <v>#REF!</v>
      </c>
      <c r="AR20" s="37" t="e">
        <f>#REF!</f>
        <v>#REF!</v>
      </c>
      <c r="AS20" s="37" t="e">
        <f>#REF!</f>
        <v>#REF!</v>
      </c>
      <c r="AT20" s="37" t="e">
        <f>#REF!</f>
        <v>#REF!</v>
      </c>
      <c r="AU20" s="37" t="e">
        <f>#REF!</f>
        <v>#REF!</v>
      </c>
      <c r="AV20" s="37" t="e">
        <f>#REF!</f>
        <v>#REF!</v>
      </c>
      <c r="AW20" s="37" t="e">
        <f>#REF!</f>
        <v>#REF!</v>
      </c>
    </row>
    <row r="21" spans="1:76" ht="9.75" customHeight="1" x14ac:dyDescent="0.25">
      <c r="B21" s="336">
        <v>6</v>
      </c>
      <c r="C21" s="324" t="e">
        <f>VLOOKUP(B21,#REF!,2,0)</f>
        <v>#REF!</v>
      </c>
      <c r="D21" s="337" t="e">
        <f>VLOOKUP(B21,#REF!,10,0)</f>
        <v>#REF!</v>
      </c>
      <c r="E21" s="23"/>
      <c r="F21" s="322" t="e">
        <f>VLOOKUP(B21,#REF!,15,0)</f>
        <v>#REF!</v>
      </c>
      <c r="G21" s="323" t="e">
        <f t="shared" ref="G21" si="32">D21-F21</f>
        <v>#REF!</v>
      </c>
      <c r="H21" s="24"/>
      <c r="I21" s="334" t="e">
        <f>VLOOKUP(B21,#REF!,11,0)</f>
        <v>#REF!</v>
      </c>
      <c r="J21" s="335"/>
      <c r="K21" s="321" t="e">
        <f t="shared" ref="K21" si="33">I21/SUM($I$11:$J$50)</f>
        <v>#REF!</v>
      </c>
      <c r="N21" s="336">
        <v>6</v>
      </c>
      <c r="O21" s="324" t="e">
        <f t="shared" ref="O21" si="34">C21</f>
        <v>#REF!</v>
      </c>
      <c r="P21" s="338" t="e">
        <f t="shared" ref="P21" si="35">I21</f>
        <v>#REF!</v>
      </c>
      <c r="Q21" s="321" t="e">
        <f t="shared" ref="Q21" si="36">K21</f>
        <v>#REF!</v>
      </c>
      <c r="S21" s="33" t="e">
        <f>#REF!</f>
        <v>#REF!</v>
      </c>
      <c r="T21" s="33" t="e">
        <f>#REF!</f>
        <v>#REF!</v>
      </c>
      <c r="U21" s="33" t="e">
        <f>#REF!</f>
        <v>#REF!</v>
      </c>
      <c r="V21" s="33" t="e">
        <f>#REF!</f>
        <v>#REF!</v>
      </c>
      <c r="W21" s="33" t="e">
        <f>#REF!</f>
        <v>#REF!</v>
      </c>
      <c r="X21" s="33" t="e">
        <f>#REF!</f>
        <v>#REF!</v>
      </c>
      <c r="Y21" s="33" t="e">
        <f>#REF!</f>
        <v>#REF!</v>
      </c>
      <c r="Z21" s="33" t="e">
        <f>#REF!</f>
        <v>#REF!</v>
      </c>
      <c r="AA21" s="33" t="e">
        <f>#REF!</f>
        <v>#REF!</v>
      </c>
      <c r="AB21" s="33" t="e">
        <f>#REF!</f>
        <v>#REF!</v>
      </c>
      <c r="AC21" s="33" t="e">
        <f>#REF!</f>
        <v>#REF!</v>
      </c>
      <c r="AD21" s="33" t="e">
        <f>#REF!</f>
        <v>#REF!</v>
      </c>
      <c r="AG21" s="336">
        <v>6</v>
      </c>
      <c r="AH21" s="324" t="e">
        <f t="shared" ref="AH21" si="37">O21</f>
        <v>#REF!</v>
      </c>
      <c r="AI21" s="338" t="e">
        <f t="shared" ref="AI21" si="38">P21</f>
        <v>#REF!</v>
      </c>
      <c r="AJ21" s="321" t="e">
        <f t="shared" ref="AJ21" si="39">Q21</f>
        <v>#REF!</v>
      </c>
      <c r="AL21" s="29" t="e">
        <f>#REF!</f>
        <v>#REF!</v>
      </c>
      <c r="AM21" s="29" t="e">
        <f>#REF!</f>
        <v>#REF!</v>
      </c>
      <c r="AN21" s="29" t="e">
        <f>#REF!</f>
        <v>#REF!</v>
      </c>
      <c r="AO21" s="29" t="e">
        <f>#REF!</f>
        <v>#REF!</v>
      </c>
      <c r="AP21" s="29" t="e">
        <f>#REF!</f>
        <v>#REF!</v>
      </c>
      <c r="AQ21" s="29" t="e">
        <f>#REF!</f>
        <v>#REF!</v>
      </c>
      <c r="AR21" s="29" t="e">
        <f>#REF!</f>
        <v>#REF!</v>
      </c>
      <c r="AS21" s="29" t="e">
        <f>#REF!</f>
        <v>#REF!</v>
      </c>
      <c r="AT21" s="29" t="e">
        <f>#REF!</f>
        <v>#REF!</v>
      </c>
      <c r="AU21" s="29" t="e">
        <f>#REF!</f>
        <v>#REF!</v>
      </c>
      <c r="AV21" s="29" t="e">
        <f>#REF!</f>
        <v>#REF!</v>
      </c>
      <c r="AW21" s="29" t="e">
        <f>#REF!</f>
        <v>#REF!</v>
      </c>
    </row>
    <row r="22" spans="1:76" ht="9.75" customHeight="1" x14ac:dyDescent="0.25">
      <c r="A22" s="6"/>
      <c r="B22" s="336"/>
      <c r="C22" s="324"/>
      <c r="D22" s="337"/>
      <c r="E22" s="23"/>
      <c r="F22" s="322"/>
      <c r="G22" s="323"/>
      <c r="H22" s="24"/>
      <c r="I22" s="334"/>
      <c r="J22" s="335"/>
      <c r="K22" s="321"/>
      <c r="N22" s="336"/>
      <c r="O22" s="324"/>
      <c r="P22" s="338"/>
      <c r="Q22" s="321"/>
      <c r="S22" s="40" t="e">
        <f>#REF!</f>
        <v>#REF!</v>
      </c>
      <c r="T22" s="40" t="e">
        <f>#REF!</f>
        <v>#REF!</v>
      </c>
      <c r="U22" s="40" t="e">
        <f>#REF!</f>
        <v>#REF!</v>
      </c>
      <c r="V22" s="40" t="e">
        <f>#REF!</f>
        <v>#REF!</v>
      </c>
      <c r="W22" s="40" t="e">
        <f>#REF!</f>
        <v>#REF!</v>
      </c>
      <c r="X22" s="40" t="e">
        <f>#REF!</f>
        <v>#REF!</v>
      </c>
      <c r="Y22" s="40" t="e">
        <f>#REF!</f>
        <v>#REF!</v>
      </c>
      <c r="Z22" s="40" t="e">
        <f>#REF!</f>
        <v>#REF!</v>
      </c>
      <c r="AA22" s="40" t="e">
        <f>#REF!</f>
        <v>#REF!</v>
      </c>
      <c r="AB22" s="40" t="e">
        <f>#REF!</f>
        <v>#REF!</v>
      </c>
      <c r="AC22" s="40" t="e">
        <f>#REF!</f>
        <v>#REF!</v>
      </c>
      <c r="AD22" s="40" t="e">
        <f>#REF!</f>
        <v>#REF!</v>
      </c>
      <c r="AG22" s="336"/>
      <c r="AH22" s="324"/>
      <c r="AI22" s="338"/>
      <c r="AJ22" s="321"/>
      <c r="AL22" s="37" t="e">
        <f>#REF!</f>
        <v>#REF!</v>
      </c>
      <c r="AM22" s="37" t="e">
        <f>#REF!</f>
        <v>#REF!</v>
      </c>
      <c r="AN22" s="37" t="e">
        <f>#REF!</f>
        <v>#REF!</v>
      </c>
      <c r="AO22" s="37" t="e">
        <f>#REF!</f>
        <v>#REF!</v>
      </c>
      <c r="AP22" s="37" t="e">
        <f>#REF!</f>
        <v>#REF!</v>
      </c>
      <c r="AQ22" s="37" t="e">
        <f>#REF!</f>
        <v>#REF!</v>
      </c>
      <c r="AR22" s="37" t="e">
        <f>#REF!</f>
        <v>#REF!</v>
      </c>
      <c r="AS22" s="37" t="e">
        <f>#REF!</f>
        <v>#REF!</v>
      </c>
      <c r="AT22" s="37" t="e">
        <f>#REF!</f>
        <v>#REF!</v>
      </c>
      <c r="AU22" s="37" t="e">
        <f>#REF!</f>
        <v>#REF!</v>
      </c>
      <c r="AV22" s="37" t="e">
        <f>#REF!</f>
        <v>#REF!</v>
      </c>
      <c r="AW22" s="37" t="e">
        <f>#REF!</f>
        <v>#REF!</v>
      </c>
      <c r="BU22" s="5"/>
    </row>
    <row r="23" spans="1:76" ht="9.75" customHeight="1" x14ac:dyDescent="0.25">
      <c r="A23" s="6"/>
      <c r="B23" s="336">
        <v>7</v>
      </c>
      <c r="C23" s="324" t="e">
        <f>VLOOKUP(B23,#REF!,2,0)</f>
        <v>#REF!</v>
      </c>
      <c r="D23" s="337" t="e">
        <f>VLOOKUP(B23,#REF!,10,0)</f>
        <v>#REF!</v>
      </c>
      <c r="E23" s="23"/>
      <c r="F23" s="322" t="e">
        <f>VLOOKUP(B23,#REF!,15,0)</f>
        <v>#REF!</v>
      </c>
      <c r="G23" s="323" t="e">
        <f t="shared" ref="G23" si="40">D23-F23</f>
        <v>#REF!</v>
      </c>
      <c r="H23" s="24"/>
      <c r="I23" s="334" t="e">
        <f>VLOOKUP(B23,#REF!,11,0)</f>
        <v>#REF!</v>
      </c>
      <c r="J23" s="335"/>
      <c r="K23" s="321" t="e">
        <f t="shared" ref="K23" si="41">I23/SUM($I$11:$J$50)</f>
        <v>#REF!</v>
      </c>
      <c r="N23" s="336">
        <v>7</v>
      </c>
      <c r="O23" s="324" t="e">
        <f t="shared" ref="O23" si="42">C23</f>
        <v>#REF!</v>
      </c>
      <c r="P23" s="338" t="e">
        <f t="shared" ref="P23" si="43">I23</f>
        <v>#REF!</v>
      </c>
      <c r="Q23" s="321" t="e">
        <f t="shared" ref="Q23" si="44">K23</f>
        <v>#REF!</v>
      </c>
      <c r="S23" s="33" t="e">
        <f>#REF!</f>
        <v>#REF!</v>
      </c>
      <c r="T23" s="33" t="e">
        <f>#REF!</f>
        <v>#REF!</v>
      </c>
      <c r="U23" s="33" t="e">
        <f>#REF!</f>
        <v>#REF!</v>
      </c>
      <c r="V23" s="33" t="e">
        <f>#REF!</f>
        <v>#REF!</v>
      </c>
      <c r="W23" s="33" t="e">
        <f>#REF!</f>
        <v>#REF!</v>
      </c>
      <c r="X23" s="33" t="e">
        <f>#REF!</f>
        <v>#REF!</v>
      </c>
      <c r="Y23" s="33" t="e">
        <f>#REF!</f>
        <v>#REF!</v>
      </c>
      <c r="Z23" s="33" t="e">
        <f>#REF!</f>
        <v>#REF!</v>
      </c>
      <c r="AA23" s="33" t="e">
        <f>#REF!</f>
        <v>#REF!</v>
      </c>
      <c r="AB23" s="33" t="e">
        <f>#REF!</f>
        <v>#REF!</v>
      </c>
      <c r="AC23" s="33" t="e">
        <f>#REF!</f>
        <v>#REF!</v>
      </c>
      <c r="AD23" s="33" t="e">
        <f>#REF!</f>
        <v>#REF!</v>
      </c>
      <c r="AG23" s="336">
        <v>7</v>
      </c>
      <c r="AH23" s="324" t="e">
        <f t="shared" ref="AH23" si="45">O23</f>
        <v>#REF!</v>
      </c>
      <c r="AI23" s="338" t="e">
        <f t="shared" ref="AI23" si="46">P23</f>
        <v>#REF!</v>
      </c>
      <c r="AJ23" s="321" t="e">
        <f t="shared" ref="AJ23" si="47">Q23</f>
        <v>#REF!</v>
      </c>
      <c r="AL23" s="29" t="e">
        <f>#REF!</f>
        <v>#REF!</v>
      </c>
      <c r="AM23" s="29" t="e">
        <f>#REF!</f>
        <v>#REF!</v>
      </c>
      <c r="AN23" s="29" t="e">
        <f>#REF!</f>
        <v>#REF!</v>
      </c>
      <c r="AO23" s="29" t="e">
        <f>#REF!</f>
        <v>#REF!</v>
      </c>
      <c r="AP23" s="29" t="e">
        <f>#REF!</f>
        <v>#REF!</v>
      </c>
      <c r="AQ23" s="29" t="e">
        <f>#REF!</f>
        <v>#REF!</v>
      </c>
      <c r="AR23" s="29" t="e">
        <f>#REF!</f>
        <v>#REF!</v>
      </c>
      <c r="AS23" s="29" t="e">
        <f>#REF!</f>
        <v>#REF!</v>
      </c>
      <c r="AT23" s="29" t="e">
        <f>#REF!</f>
        <v>#REF!</v>
      </c>
      <c r="AU23" s="29" t="e">
        <f>#REF!</f>
        <v>#REF!</v>
      </c>
      <c r="AV23" s="29" t="e">
        <f>#REF!</f>
        <v>#REF!</v>
      </c>
      <c r="AW23" s="29" t="e">
        <f>#REF!</f>
        <v>#REF!</v>
      </c>
      <c r="BU23" s="5"/>
    </row>
    <row r="24" spans="1:76" ht="9.75" customHeight="1" x14ac:dyDescent="0.25">
      <c r="A24" s="6"/>
      <c r="B24" s="336"/>
      <c r="C24" s="324"/>
      <c r="D24" s="337"/>
      <c r="E24" s="23"/>
      <c r="F24" s="322"/>
      <c r="G24" s="323"/>
      <c r="H24" s="24"/>
      <c r="I24" s="334"/>
      <c r="J24" s="335"/>
      <c r="K24" s="321"/>
      <c r="N24" s="336"/>
      <c r="O24" s="324"/>
      <c r="P24" s="338"/>
      <c r="Q24" s="321"/>
      <c r="R24" s="11"/>
      <c r="S24" s="40" t="e">
        <f>#REF!</f>
        <v>#REF!</v>
      </c>
      <c r="T24" s="40" t="e">
        <f>#REF!</f>
        <v>#REF!</v>
      </c>
      <c r="U24" s="40" t="e">
        <f>#REF!</f>
        <v>#REF!</v>
      </c>
      <c r="V24" s="40" t="e">
        <f>#REF!</f>
        <v>#REF!</v>
      </c>
      <c r="W24" s="40" t="e">
        <f>#REF!</f>
        <v>#REF!</v>
      </c>
      <c r="X24" s="40" t="e">
        <f>#REF!</f>
        <v>#REF!</v>
      </c>
      <c r="Y24" s="40" t="e">
        <f>#REF!</f>
        <v>#REF!</v>
      </c>
      <c r="Z24" s="40" t="e">
        <f>#REF!</f>
        <v>#REF!</v>
      </c>
      <c r="AA24" s="40" t="e">
        <f>#REF!</f>
        <v>#REF!</v>
      </c>
      <c r="AB24" s="40" t="e">
        <f>#REF!</f>
        <v>#REF!</v>
      </c>
      <c r="AC24" s="40" t="e">
        <f>#REF!</f>
        <v>#REF!</v>
      </c>
      <c r="AD24" s="40" t="e">
        <f>#REF!</f>
        <v>#REF!</v>
      </c>
      <c r="AG24" s="336"/>
      <c r="AH24" s="324"/>
      <c r="AI24" s="338"/>
      <c r="AJ24" s="321"/>
      <c r="AK24" s="11"/>
      <c r="AL24" s="37" t="e">
        <f>#REF!</f>
        <v>#REF!</v>
      </c>
      <c r="AM24" s="37" t="e">
        <f>#REF!</f>
        <v>#REF!</v>
      </c>
      <c r="AN24" s="37" t="e">
        <f>#REF!</f>
        <v>#REF!</v>
      </c>
      <c r="AO24" s="37" t="e">
        <f>#REF!</f>
        <v>#REF!</v>
      </c>
      <c r="AP24" s="37" t="e">
        <f>#REF!</f>
        <v>#REF!</v>
      </c>
      <c r="AQ24" s="37" t="e">
        <f>#REF!</f>
        <v>#REF!</v>
      </c>
      <c r="AR24" s="37" t="e">
        <f>#REF!</f>
        <v>#REF!</v>
      </c>
      <c r="AS24" s="37" t="e">
        <f>#REF!</f>
        <v>#REF!</v>
      </c>
      <c r="AT24" s="37" t="e">
        <f>#REF!</f>
        <v>#REF!</v>
      </c>
      <c r="AU24" s="37" t="e">
        <f>#REF!</f>
        <v>#REF!</v>
      </c>
      <c r="AV24" s="37" t="e">
        <f>#REF!</f>
        <v>#REF!</v>
      </c>
      <c r="AW24" s="37" t="e">
        <f>#REF!</f>
        <v>#REF!</v>
      </c>
      <c r="BU24" s="5"/>
    </row>
    <row r="25" spans="1:76" ht="9.75" customHeight="1" x14ac:dyDescent="0.25">
      <c r="A25" s="6"/>
      <c r="B25" s="336">
        <v>8</v>
      </c>
      <c r="C25" s="324" t="e">
        <f>VLOOKUP(B25,#REF!,2,0)</f>
        <v>#REF!</v>
      </c>
      <c r="D25" s="337" t="e">
        <f>VLOOKUP(B25,#REF!,10,0)</f>
        <v>#REF!</v>
      </c>
      <c r="E25" s="23"/>
      <c r="F25" s="322" t="e">
        <f>VLOOKUP(B25,#REF!,15,0)</f>
        <v>#REF!</v>
      </c>
      <c r="G25" s="323" t="e">
        <f t="shared" ref="G25" si="48">D25-F25</f>
        <v>#REF!</v>
      </c>
      <c r="H25" s="24"/>
      <c r="I25" s="334" t="e">
        <f>VLOOKUP(B25,#REF!,11,0)</f>
        <v>#REF!</v>
      </c>
      <c r="J25" s="335"/>
      <c r="K25" s="321" t="e">
        <f t="shared" ref="K25" si="49">I25/SUM($I$11:$J$50)</f>
        <v>#REF!</v>
      </c>
      <c r="N25" s="336">
        <v>8</v>
      </c>
      <c r="O25" s="324" t="e">
        <f t="shared" ref="O25" si="50">C25</f>
        <v>#REF!</v>
      </c>
      <c r="P25" s="338" t="e">
        <f t="shared" ref="P25" si="51">I25</f>
        <v>#REF!</v>
      </c>
      <c r="Q25" s="321" t="e">
        <f t="shared" ref="Q25" si="52">K25</f>
        <v>#REF!</v>
      </c>
      <c r="R25" s="11"/>
      <c r="S25" s="33" t="e">
        <f>#REF!</f>
        <v>#REF!</v>
      </c>
      <c r="T25" s="33" t="e">
        <f>#REF!</f>
        <v>#REF!</v>
      </c>
      <c r="U25" s="33" t="e">
        <f>#REF!</f>
        <v>#REF!</v>
      </c>
      <c r="V25" s="33" t="e">
        <f>#REF!</f>
        <v>#REF!</v>
      </c>
      <c r="W25" s="33" t="e">
        <f>#REF!</f>
        <v>#REF!</v>
      </c>
      <c r="X25" s="33" t="e">
        <f>#REF!</f>
        <v>#REF!</v>
      </c>
      <c r="Y25" s="33" t="e">
        <f>#REF!</f>
        <v>#REF!</v>
      </c>
      <c r="Z25" s="33" t="e">
        <f>#REF!</f>
        <v>#REF!</v>
      </c>
      <c r="AA25" s="33" t="e">
        <f>#REF!</f>
        <v>#REF!</v>
      </c>
      <c r="AB25" s="33" t="e">
        <f>#REF!</f>
        <v>#REF!</v>
      </c>
      <c r="AC25" s="33" t="e">
        <f>#REF!</f>
        <v>#REF!</v>
      </c>
      <c r="AD25" s="33" t="e">
        <f>#REF!</f>
        <v>#REF!</v>
      </c>
      <c r="AG25" s="336">
        <v>8</v>
      </c>
      <c r="AH25" s="324" t="e">
        <f t="shared" ref="AH25" si="53">O25</f>
        <v>#REF!</v>
      </c>
      <c r="AI25" s="338" t="e">
        <f t="shared" ref="AI25" si="54">P25</f>
        <v>#REF!</v>
      </c>
      <c r="AJ25" s="321" t="e">
        <f t="shared" ref="AJ25" si="55">Q25</f>
        <v>#REF!</v>
      </c>
      <c r="AK25" s="11"/>
      <c r="AL25" s="29" t="e">
        <f>#REF!</f>
        <v>#REF!</v>
      </c>
      <c r="AM25" s="29" t="e">
        <f>#REF!</f>
        <v>#REF!</v>
      </c>
      <c r="AN25" s="29" t="e">
        <f>#REF!</f>
        <v>#REF!</v>
      </c>
      <c r="AO25" s="29" t="e">
        <f>#REF!</f>
        <v>#REF!</v>
      </c>
      <c r="AP25" s="29" t="e">
        <f>#REF!</f>
        <v>#REF!</v>
      </c>
      <c r="AQ25" s="29" t="e">
        <f>#REF!</f>
        <v>#REF!</v>
      </c>
      <c r="AR25" s="29" t="e">
        <f>#REF!</f>
        <v>#REF!</v>
      </c>
      <c r="AS25" s="29" t="e">
        <f>#REF!</f>
        <v>#REF!</v>
      </c>
      <c r="AT25" s="29" t="e">
        <f>#REF!</f>
        <v>#REF!</v>
      </c>
      <c r="AU25" s="29" t="e">
        <f>#REF!</f>
        <v>#REF!</v>
      </c>
      <c r="AV25" s="29" t="e">
        <f>#REF!</f>
        <v>#REF!</v>
      </c>
      <c r="AW25" s="29" t="e">
        <f>#REF!</f>
        <v>#REF!</v>
      </c>
      <c r="BU25" s="5"/>
    </row>
    <row r="26" spans="1:76" ht="9.75" customHeight="1" x14ac:dyDescent="0.25">
      <c r="A26" s="6"/>
      <c r="B26" s="336"/>
      <c r="C26" s="324"/>
      <c r="D26" s="337"/>
      <c r="E26" s="23"/>
      <c r="F26" s="322"/>
      <c r="G26" s="323"/>
      <c r="H26" s="24"/>
      <c r="I26" s="334"/>
      <c r="J26" s="335"/>
      <c r="K26" s="321"/>
      <c r="N26" s="336"/>
      <c r="O26" s="324"/>
      <c r="P26" s="338"/>
      <c r="Q26" s="321"/>
      <c r="R26" s="11"/>
      <c r="S26" s="40" t="e">
        <f>#REF!</f>
        <v>#REF!</v>
      </c>
      <c r="T26" s="40" t="e">
        <f>#REF!</f>
        <v>#REF!</v>
      </c>
      <c r="U26" s="40" t="e">
        <f>#REF!</f>
        <v>#REF!</v>
      </c>
      <c r="V26" s="40" t="e">
        <f>#REF!</f>
        <v>#REF!</v>
      </c>
      <c r="W26" s="40" t="e">
        <f>#REF!</f>
        <v>#REF!</v>
      </c>
      <c r="X26" s="40" t="e">
        <f>#REF!</f>
        <v>#REF!</v>
      </c>
      <c r="Y26" s="40" t="e">
        <f>#REF!</f>
        <v>#REF!</v>
      </c>
      <c r="Z26" s="40" t="e">
        <f>#REF!</f>
        <v>#REF!</v>
      </c>
      <c r="AA26" s="40" t="e">
        <f>#REF!</f>
        <v>#REF!</v>
      </c>
      <c r="AB26" s="40" t="e">
        <f>#REF!</f>
        <v>#REF!</v>
      </c>
      <c r="AC26" s="40" t="e">
        <f>#REF!</f>
        <v>#REF!</v>
      </c>
      <c r="AD26" s="40" t="e">
        <f>#REF!</f>
        <v>#REF!</v>
      </c>
      <c r="AG26" s="336"/>
      <c r="AH26" s="324"/>
      <c r="AI26" s="338"/>
      <c r="AJ26" s="321"/>
      <c r="AK26" s="11"/>
      <c r="AL26" s="37" t="e">
        <f>#REF!</f>
        <v>#REF!</v>
      </c>
      <c r="AM26" s="37" t="e">
        <f>#REF!</f>
        <v>#REF!</v>
      </c>
      <c r="AN26" s="37" t="e">
        <f>#REF!</f>
        <v>#REF!</v>
      </c>
      <c r="AO26" s="37" t="e">
        <f>#REF!</f>
        <v>#REF!</v>
      </c>
      <c r="AP26" s="37" t="e">
        <f>#REF!</f>
        <v>#REF!</v>
      </c>
      <c r="AQ26" s="37" t="e">
        <f>#REF!</f>
        <v>#REF!</v>
      </c>
      <c r="AR26" s="37" t="e">
        <f>#REF!</f>
        <v>#REF!</v>
      </c>
      <c r="AS26" s="37" t="e">
        <f>#REF!</f>
        <v>#REF!</v>
      </c>
      <c r="AT26" s="37" t="e">
        <f>#REF!</f>
        <v>#REF!</v>
      </c>
      <c r="AU26" s="37" t="e">
        <f>#REF!</f>
        <v>#REF!</v>
      </c>
      <c r="AV26" s="37" t="e">
        <f>#REF!</f>
        <v>#REF!</v>
      </c>
      <c r="AW26" s="37" t="e">
        <f>#REF!</f>
        <v>#REF!</v>
      </c>
      <c r="BU26" s="5"/>
    </row>
    <row r="27" spans="1:76" ht="9.75" customHeight="1" x14ac:dyDescent="0.25">
      <c r="A27" s="6"/>
      <c r="B27" s="336">
        <v>9</v>
      </c>
      <c r="C27" s="324" t="e">
        <f>VLOOKUP(B27,#REF!,2,0)</f>
        <v>#REF!</v>
      </c>
      <c r="D27" s="337" t="e">
        <f>VLOOKUP(B27,#REF!,10,0)</f>
        <v>#REF!</v>
      </c>
      <c r="E27" s="23"/>
      <c r="F27" s="322" t="e">
        <f>VLOOKUP(B27,#REF!,15,0)</f>
        <v>#REF!</v>
      </c>
      <c r="G27" s="323" t="e">
        <f t="shared" ref="G27" si="56">D27-F27</f>
        <v>#REF!</v>
      </c>
      <c r="H27" s="24"/>
      <c r="I27" s="334" t="e">
        <f>VLOOKUP(B27,#REF!,11,0)</f>
        <v>#REF!</v>
      </c>
      <c r="J27" s="335"/>
      <c r="K27" s="321" t="e">
        <f t="shared" ref="K27" si="57">I27/SUM($I$11:$J$50)</f>
        <v>#REF!</v>
      </c>
      <c r="N27" s="336">
        <v>9</v>
      </c>
      <c r="O27" s="324" t="e">
        <f t="shared" ref="O27" si="58">C27</f>
        <v>#REF!</v>
      </c>
      <c r="P27" s="338" t="e">
        <f t="shared" ref="P27" si="59">I27</f>
        <v>#REF!</v>
      </c>
      <c r="Q27" s="321" t="e">
        <f t="shared" ref="Q27" si="60">K27</f>
        <v>#REF!</v>
      </c>
      <c r="S27" s="33" t="e">
        <f>#REF!</f>
        <v>#REF!</v>
      </c>
      <c r="T27" s="33" t="e">
        <f>#REF!</f>
        <v>#REF!</v>
      </c>
      <c r="U27" s="33" t="e">
        <f>#REF!</f>
        <v>#REF!</v>
      </c>
      <c r="V27" s="33" t="e">
        <f>#REF!</f>
        <v>#REF!</v>
      </c>
      <c r="W27" s="33" t="e">
        <f>#REF!</f>
        <v>#REF!</v>
      </c>
      <c r="X27" s="33" t="e">
        <f>#REF!</f>
        <v>#REF!</v>
      </c>
      <c r="Y27" s="33" t="e">
        <f>#REF!</f>
        <v>#REF!</v>
      </c>
      <c r="Z27" s="33" t="e">
        <f>#REF!</f>
        <v>#REF!</v>
      </c>
      <c r="AA27" s="33" t="e">
        <f>#REF!</f>
        <v>#REF!</v>
      </c>
      <c r="AB27" s="33" t="e">
        <f>#REF!</f>
        <v>#REF!</v>
      </c>
      <c r="AC27" s="33" t="e">
        <f>#REF!</f>
        <v>#REF!</v>
      </c>
      <c r="AD27" s="33" t="e">
        <f>#REF!</f>
        <v>#REF!</v>
      </c>
      <c r="AG27" s="336">
        <v>9</v>
      </c>
      <c r="AH27" s="324" t="e">
        <f t="shared" ref="AH27" si="61">O27</f>
        <v>#REF!</v>
      </c>
      <c r="AI27" s="338" t="e">
        <f t="shared" ref="AI27" si="62">P27</f>
        <v>#REF!</v>
      </c>
      <c r="AJ27" s="321" t="e">
        <f t="shared" ref="AJ27" si="63">Q27</f>
        <v>#REF!</v>
      </c>
      <c r="AL27" s="29" t="e">
        <f>#REF!</f>
        <v>#REF!</v>
      </c>
      <c r="AM27" s="29" t="e">
        <f>#REF!</f>
        <v>#REF!</v>
      </c>
      <c r="AN27" s="29" t="e">
        <f>#REF!</f>
        <v>#REF!</v>
      </c>
      <c r="AO27" s="29" t="e">
        <f>#REF!</f>
        <v>#REF!</v>
      </c>
      <c r="AP27" s="29" t="e">
        <f>#REF!</f>
        <v>#REF!</v>
      </c>
      <c r="AQ27" s="29" t="e">
        <f>#REF!</f>
        <v>#REF!</v>
      </c>
      <c r="AR27" s="29" t="e">
        <f>#REF!</f>
        <v>#REF!</v>
      </c>
      <c r="AS27" s="29" t="e">
        <f>#REF!</f>
        <v>#REF!</v>
      </c>
      <c r="AT27" s="29" t="e">
        <f>#REF!</f>
        <v>#REF!</v>
      </c>
      <c r="AU27" s="29" t="e">
        <f>#REF!</f>
        <v>#REF!</v>
      </c>
      <c r="AV27" s="29" t="e">
        <f>#REF!</f>
        <v>#REF!</v>
      </c>
      <c r="AW27" s="29" t="e">
        <f>#REF!</f>
        <v>#REF!</v>
      </c>
      <c r="BU27" s="5"/>
    </row>
    <row r="28" spans="1:76" ht="9.75" customHeight="1" x14ac:dyDescent="0.25">
      <c r="B28" s="336"/>
      <c r="C28" s="324"/>
      <c r="D28" s="337"/>
      <c r="E28" s="23"/>
      <c r="F28" s="322"/>
      <c r="G28" s="323"/>
      <c r="H28" s="24"/>
      <c r="I28" s="334"/>
      <c r="J28" s="335"/>
      <c r="K28" s="321"/>
      <c r="N28" s="336"/>
      <c r="O28" s="324"/>
      <c r="P28" s="338"/>
      <c r="Q28" s="321"/>
      <c r="S28" s="40" t="e">
        <f>#REF!</f>
        <v>#REF!</v>
      </c>
      <c r="T28" s="40" t="e">
        <f>#REF!</f>
        <v>#REF!</v>
      </c>
      <c r="U28" s="40" t="e">
        <f>#REF!</f>
        <v>#REF!</v>
      </c>
      <c r="V28" s="40" t="e">
        <f>#REF!</f>
        <v>#REF!</v>
      </c>
      <c r="W28" s="40" t="e">
        <f>#REF!</f>
        <v>#REF!</v>
      </c>
      <c r="X28" s="40" t="e">
        <f>#REF!</f>
        <v>#REF!</v>
      </c>
      <c r="Y28" s="40" t="e">
        <f>#REF!</f>
        <v>#REF!</v>
      </c>
      <c r="Z28" s="40" t="e">
        <f>#REF!</f>
        <v>#REF!</v>
      </c>
      <c r="AA28" s="40" t="e">
        <f>#REF!</f>
        <v>#REF!</v>
      </c>
      <c r="AB28" s="40" t="e">
        <f>#REF!</f>
        <v>#REF!</v>
      </c>
      <c r="AC28" s="40" t="e">
        <f>#REF!</f>
        <v>#REF!</v>
      </c>
      <c r="AD28" s="40" t="e">
        <f>#REF!</f>
        <v>#REF!</v>
      </c>
      <c r="AG28" s="336"/>
      <c r="AH28" s="324"/>
      <c r="AI28" s="338"/>
      <c r="AJ28" s="321"/>
      <c r="AL28" s="37" t="e">
        <f>#REF!</f>
        <v>#REF!</v>
      </c>
      <c r="AM28" s="37" t="e">
        <f>#REF!</f>
        <v>#REF!</v>
      </c>
      <c r="AN28" s="37" t="e">
        <f>#REF!</f>
        <v>#REF!</v>
      </c>
      <c r="AO28" s="37" t="e">
        <f>#REF!</f>
        <v>#REF!</v>
      </c>
      <c r="AP28" s="37" t="e">
        <f>#REF!</f>
        <v>#REF!</v>
      </c>
      <c r="AQ28" s="37" t="e">
        <f>#REF!</f>
        <v>#REF!</v>
      </c>
      <c r="AR28" s="37" t="e">
        <f>#REF!</f>
        <v>#REF!</v>
      </c>
      <c r="AS28" s="37" t="e">
        <f>#REF!</f>
        <v>#REF!</v>
      </c>
      <c r="AT28" s="37" t="e">
        <f>#REF!</f>
        <v>#REF!</v>
      </c>
      <c r="AU28" s="37" t="e">
        <f>#REF!</f>
        <v>#REF!</v>
      </c>
      <c r="AV28" s="37" t="e">
        <f>#REF!</f>
        <v>#REF!</v>
      </c>
      <c r="AW28" s="37" t="e">
        <f>#REF!</f>
        <v>#REF!</v>
      </c>
    </row>
    <row r="29" spans="1:76" ht="9.75" customHeight="1" x14ac:dyDescent="0.25">
      <c r="B29" s="336">
        <v>10</v>
      </c>
      <c r="C29" s="324" t="e">
        <f>VLOOKUP(B29,#REF!,2,0)</f>
        <v>#REF!</v>
      </c>
      <c r="D29" s="337" t="e">
        <f>VLOOKUP(B29,#REF!,10,0)</f>
        <v>#REF!</v>
      </c>
      <c r="E29" s="23"/>
      <c r="F29" s="322" t="e">
        <f>VLOOKUP(B29,#REF!,15,0)</f>
        <v>#REF!</v>
      </c>
      <c r="G29" s="323" t="e">
        <f t="shared" ref="G29" si="64">D29-F29</f>
        <v>#REF!</v>
      </c>
      <c r="H29" s="24"/>
      <c r="I29" s="334" t="e">
        <f>VLOOKUP(B29,#REF!,11,0)</f>
        <v>#REF!</v>
      </c>
      <c r="J29" s="335"/>
      <c r="K29" s="321" t="e">
        <f t="shared" ref="K29" si="65">I29/SUM($I$11:$J$50)</f>
        <v>#REF!</v>
      </c>
      <c r="N29" s="336">
        <v>10</v>
      </c>
      <c r="O29" s="324" t="e">
        <f t="shared" ref="O29" si="66">C29</f>
        <v>#REF!</v>
      </c>
      <c r="P29" s="338" t="e">
        <f t="shared" ref="P29" si="67">I29</f>
        <v>#REF!</v>
      </c>
      <c r="Q29" s="321" t="e">
        <f t="shared" ref="Q29" si="68">K29</f>
        <v>#REF!</v>
      </c>
      <c r="S29" s="33" t="e">
        <f>#REF!</f>
        <v>#REF!</v>
      </c>
      <c r="T29" s="33" t="e">
        <f>#REF!</f>
        <v>#REF!</v>
      </c>
      <c r="U29" s="33" t="e">
        <f>#REF!</f>
        <v>#REF!</v>
      </c>
      <c r="V29" s="33" t="e">
        <f>#REF!</f>
        <v>#REF!</v>
      </c>
      <c r="W29" s="33" t="e">
        <f>#REF!</f>
        <v>#REF!</v>
      </c>
      <c r="X29" s="33" t="e">
        <f>#REF!</f>
        <v>#REF!</v>
      </c>
      <c r="Y29" s="33" t="e">
        <f>#REF!</f>
        <v>#REF!</v>
      </c>
      <c r="Z29" s="33" t="e">
        <f>#REF!</f>
        <v>#REF!</v>
      </c>
      <c r="AA29" s="33" t="e">
        <f>#REF!</f>
        <v>#REF!</v>
      </c>
      <c r="AB29" s="33" t="e">
        <f>#REF!</f>
        <v>#REF!</v>
      </c>
      <c r="AC29" s="33" t="e">
        <f>#REF!</f>
        <v>#REF!</v>
      </c>
      <c r="AD29" s="33" t="e">
        <f>#REF!</f>
        <v>#REF!</v>
      </c>
      <c r="AG29" s="336">
        <v>10</v>
      </c>
      <c r="AH29" s="324" t="e">
        <f t="shared" ref="AH29" si="69">O29</f>
        <v>#REF!</v>
      </c>
      <c r="AI29" s="338" t="e">
        <f t="shared" ref="AI29" si="70">P29</f>
        <v>#REF!</v>
      </c>
      <c r="AJ29" s="321" t="e">
        <f t="shared" ref="AJ29" si="71">Q29</f>
        <v>#REF!</v>
      </c>
      <c r="AL29" s="29" t="e">
        <f>#REF!</f>
        <v>#REF!</v>
      </c>
      <c r="AM29" s="29" t="e">
        <f>#REF!</f>
        <v>#REF!</v>
      </c>
      <c r="AN29" s="29" t="e">
        <f>#REF!</f>
        <v>#REF!</v>
      </c>
      <c r="AO29" s="29" t="e">
        <f>#REF!</f>
        <v>#REF!</v>
      </c>
      <c r="AP29" s="29" t="e">
        <f>#REF!</f>
        <v>#REF!</v>
      </c>
      <c r="AQ29" s="29" t="e">
        <f>#REF!</f>
        <v>#REF!</v>
      </c>
      <c r="AR29" s="29" t="e">
        <f>#REF!</f>
        <v>#REF!</v>
      </c>
      <c r="AS29" s="29" t="e">
        <f>#REF!</f>
        <v>#REF!</v>
      </c>
      <c r="AT29" s="29" t="e">
        <f>#REF!</f>
        <v>#REF!</v>
      </c>
      <c r="AU29" s="29" t="e">
        <f>#REF!</f>
        <v>#REF!</v>
      </c>
      <c r="AV29" s="29" t="e">
        <f>#REF!</f>
        <v>#REF!</v>
      </c>
      <c r="AW29" s="29" t="e">
        <f>#REF!</f>
        <v>#REF!</v>
      </c>
    </row>
    <row r="30" spans="1:76" ht="9.75" customHeight="1" x14ac:dyDescent="0.25">
      <c r="B30" s="336"/>
      <c r="C30" s="324"/>
      <c r="D30" s="337"/>
      <c r="E30" s="23"/>
      <c r="F30" s="322"/>
      <c r="G30" s="323"/>
      <c r="H30" s="24"/>
      <c r="I30" s="334"/>
      <c r="J30" s="335"/>
      <c r="K30" s="321"/>
      <c r="N30" s="336"/>
      <c r="O30" s="324"/>
      <c r="P30" s="338"/>
      <c r="Q30" s="321"/>
      <c r="S30" s="40" t="e">
        <f>#REF!</f>
        <v>#REF!</v>
      </c>
      <c r="T30" s="40" t="e">
        <f>#REF!</f>
        <v>#REF!</v>
      </c>
      <c r="U30" s="40" t="e">
        <f>#REF!</f>
        <v>#REF!</v>
      </c>
      <c r="V30" s="40" t="e">
        <f>#REF!</f>
        <v>#REF!</v>
      </c>
      <c r="W30" s="40" t="e">
        <f>#REF!</f>
        <v>#REF!</v>
      </c>
      <c r="X30" s="40" t="e">
        <f>#REF!</f>
        <v>#REF!</v>
      </c>
      <c r="Y30" s="40" t="e">
        <f>#REF!</f>
        <v>#REF!</v>
      </c>
      <c r="Z30" s="40" t="e">
        <f>#REF!</f>
        <v>#REF!</v>
      </c>
      <c r="AA30" s="40" t="e">
        <f>#REF!</f>
        <v>#REF!</v>
      </c>
      <c r="AB30" s="40" t="e">
        <f>#REF!</f>
        <v>#REF!</v>
      </c>
      <c r="AC30" s="40" t="e">
        <f>#REF!</f>
        <v>#REF!</v>
      </c>
      <c r="AD30" s="40" t="e">
        <f>#REF!</f>
        <v>#REF!</v>
      </c>
      <c r="AG30" s="336"/>
      <c r="AH30" s="324"/>
      <c r="AI30" s="338"/>
      <c r="AJ30" s="321"/>
      <c r="AL30" s="37" t="e">
        <f>#REF!</f>
        <v>#REF!</v>
      </c>
      <c r="AM30" s="37" t="e">
        <f>#REF!</f>
        <v>#REF!</v>
      </c>
      <c r="AN30" s="37" t="e">
        <f>#REF!</f>
        <v>#REF!</v>
      </c>
      <c r="AO30" s="37" t="e">
        <f>#REF!</f>
        <v>#REF!</v>
      </c>
      <c r="AP30" s="37" t="e">
        <f>#REF!</f>
        <v>#REF!</v>
      </c>
      <c r="AQ30" s="37" t="e">
        <f>#REF!</f>
        <v>#REF!</v>
      </c>
      <c r="AR30" s="37" t="e">
        <f>#REF!</f>
        <v>#REF!</v>
      </c>
      <c r="AS30" s="37" t="e">
        <f>#REF!</f>
        <v>#REF!</v>
      </c>
      <c r="AT30" s="37" t="e">
        <f>#REF!</f>
        <v>#REF!</v>
      </c>
      <c r="AU30" s="37" t="e">
        <f>#REF!</f>
        <v>#REF!</v>
      </c>
      <c r="AV30" s="37" t="e">
        <f>#REF!</f>
        <v>#REF!</v>
      </c>
      <c r="AW30" s="37" t="e">
        <f>#REF!</f>
        <v>#REF!</v>
      </c>
      <c r="AZ30" s="373"/>
      <c r="BA30" s="368" t="e">
        <f>S9</f>
        <v>#REF!</v>
      </c>
      <c r="BB30" s="368" t="e">
        <f t="shared" ref="BB30:BL30" si="72">T9</f>
        <v>#REF!</v>
      </c>
      <c r="BC30" s="368" t="e">
        <f t="shared" si="72"/>
        <v>#REF!</v>
      </c>
      <c r="BD30" s="368" t="e">
        <f t="shared" si="72"/>
        <v>#REF!</v>
      </c>
      <c r="BE30" s="368" t="e">
        <f t="shared" si="72"/>
        <v>#REF!</v>
      </c>
      <c r="BF30" s="368" t="e">
        <f t="shared" si="72"/>
        <v>#REF!</v>
      </c>
      <c r="BG30" s="368" t="e">
        <f t="shared" si="72"/>
        <v>#REF!</v>
      </c>
      <c r="BH30" s="368" t="e">
        <f t="shared" si="72"/>
        <v>#REF!</v>
      </c>
      <c r="BI30" s="368" t="e">
        <f t="shared" si="72"/>
        <v>#REF!</v>
      </c>
      <c r="BJ30" s="368" t="e">
        <f t="shared" si="72"/>
        <v>#REF!</v>
      </c>
      <c r="BK30" s="368" t="e">
        <f t="shared" si="72"/>
        <v>#REF!</v>
      </c>
      <c r="BL30" s="368" t="e">
        <f t="shared" si="72"/>
        <v>#REF!</v>
      </c>
      <c r="BM30" s="368" t="e">
        <f>AL9</f>
        <v>#REF!</v>
      </c>
      <c r="BN30" s="368" t="e">
        <f t="shared" ref="BN30:BX30" si="73">AM9</f>
        <v>#REF!</v>
      </c>
      <c r="BO30" s="368" t="e">
        <f t="shared" si="73"/>
        <v>#REF!</v>
      </c>
      <c r="BP30" s="368" t="e">
        <f t="shared" si="73"/>
        <v>#REF!</v>
      </c>
      <c r="BQ30" s="368" t="e">
        <f t="shared" si="73"/>
        <v>#REF!</v>
      </c>
      <c r="BR30" s="368" t="e">
        <f t="shared" si="73"/>
        <v>#REF!</v>
      </c>
      <c r="BS30" s="368" t="e">
        <f t="shared" si="73"/>
        <v>#REF!</v>
      </c>
      <c r="BT30" s="368" t="e">
        <f t="shared" si="73"/>
        <v>#REF!</v>
      </c>
      <c r="BU30" s="368" t="e">
        <f t="shared" si="73"/>
        <v>#REF!</v>
      </c>
      <c r="BV30" s="368" t="e">
        <f t="shared" si="73"/>
        <v>#REF!</v>
      </c>
      <c r="BW30" s="368" t="e">
        <f t="shared" si="73"/>
        <v>#REF!</v>
      </c>
      <c r="BX30" s="371" t="e">
        <f t="shared" si="73"/>
        <v>#REF!</v>
      </c>
    </row>
    <row r="31" spans="1:76" ht="9.75" customHeight="1" x14ac:dyDescent="0.25">
      <c r="B31" s="336">
        <v>11</v>
      </c>
      <c r="C31" s="324" t="e">
        <f>VLOOKUP(B31,#REF!,2,0)</f>
        <v>#REF!</v>
      </c>
      <c r="D31" s="337" t="e">
        <f>VLOOKUP(B31,#REF!,10,0)</f>
        <v>#REF!</v>
      </c>
      <c r="E31" s="23"/>
      <c r="F31" s="322" t="e">
        <f>VLOOKUP(B31,#REF!,15,0)</f>
        <v>#REF!</v>
      </c>
      <c r="G31" s="323" t="e">
        <f t="shared" ref="G31" si="74">D31-F31</f>
        <v>#REF!</v>
      </c>
      <c r="H31" s="24"/>
      <c r="I31" s="334" t="e">
        <f>VLOOKUP(B31,#REF!,11,0)</f>
        <v>#REF!</v>
      </c>
      <c r="J31" s="335"/>
      <c r="K31" s="321" t="e">
        <f t="shared" ref="K31" si="75">I31/SUM($I$11:$J$50)</f>
        <v>#REF!</v>
      </c>
      <c r="N31" s="336">
        <v>11</v>
      </c>
      <c r="O31" s="324" t="e">
        <f t="shared" ref="O31" si="76">C31</f>
        <v>#REF!</v>
      </c>
      <c r="P31" s="338" t="e">
        <f t="shared" ref="P31" si="77">I31</f>
        <v>#REF!</v>
      </c>
      <c r="Q31" s="321" t="e">
        <f t="shared" ref="Q31" si="78">K31</f>
        <v>#REF!</v>
      </c>
      <c r="S31" s="33" t="e">
        <f>#REF!</f>
        <v>#REF!</v>
      </c>
      <c r="T31" s="33" t="e">
        <f>#REF!</f>
        <v>#REF!</v>
      </c>
      <c r="U31" s="33" t="e">
        <f>#REF!</f>
        <v>#REF!</v>
      </c>
      <c r="V31" s="33" t="e">
        <f>#REF!</f>
        <v>#REF!</v>
      </c>
      <c r="W31" s="33" t="e">
        <f>#REF!</f>
        <v>#REF!</v>
      </c>
      <c r="X31" s="33" t="e">
        <f>#REF!</f>
        <v>#REF!</v>
      </c>
      <c r="Y31" s="33" t="e">
        <f>#REF!</f>
        <v>#REF!</v>
      </c>
      <c r="Z31" s="33" t="e">
        <f>#REF!</f>
        <v>#REF!</v>
      </c>
      <c r="AA31" s="33" t="e">
        <f>#REF!</f>
        <v>#REF!</v>
      </c>
      <c r="AB31" s="33" t="e">
        <f>#REF!</f>
        <v>#REF!</v>
      </c>
      <c r="AC31" s="33" t="e">
        <f>#REF!</f>
        <v>#REF!</v>
      </c>
      <c r="AD31" s="33" t="e">
        <f>#REF!</f>
        <v>#REF!</v>
      </c>
      <c r="AG31" s="336">
        <v>11</v>
      </c>
      <c r="AH31" s="324" t="e">
        <f t="shared" ref="AH31" si="79">O31</f>
        <v>#REF!</v>
      </c>
      <c r="AI31" s="338" t="e">
        <f t="shared" ref="AI31" si="80">P31</f>
        <v>#REF!</v>
      </c>
      <c r="AJ31" s="321" t="e">
        <f t="shared" ref="AJ31" si="81">Q31</f>
        <v>#REF!</v>
      </c>
      <c r="AL31" s="29" t="e">
        <f>#REF!</f>
        <v>#REF!</v>
      </c>
      <c r="AM31" s="29" t="e">
        <f>#REF!</f>
        <v>#REF!</v>
      </c>
      <c r="AN31" s="29" t="e">
        <f>#REF!</f>
        <v>#REF!</v>
      </c>
      <c r="AO31" s="29" t="e">
        <f>#REF!</f>
        <v>#REF!</v>
      </c>
      <c r="AP31" s="29" t="e">
        <f>#REF!</f>
        <v>#REF!</v>
      </c>
      <c r="AQ31" s="29" t="e">
        <f>#REF!</f>
        <v>#REF!</v>
      </c>
      <c r="AR31" s="29" t="e">
        <f>#REF!</f>
        <v>#REF!</v>
      </c>
      <c r="AS31" s="29" t="e">
        <f>#REF!</f>
        <v>#REF!</v>
      </c>
      <c r="AT31" s="29" t="e">
        <f>#REF!</f>
        <v>#REF!</v>
      </c>
      <c r="AU31" s="29" t="e">
        <f>#REF!</f>
        <v>#REF!</v>
      </c>
      <c r="AV31" s="29" t="e">
        <f>#REF!</f>
        <v>#REF!</v>
      </c>
      <c r="AW31" s="29" t="e">
        <f>#REF!</f>
        <v>#REF!</v>
      </c>
      <c r="AZ31" s="374"/>
      <c r="BA31" s="369"/>
      <c r="BB31" s="369"/>
      <c r="BC31" s="369"/>
      <c r="BD31" s="369"/>
      <c r="BE31" s="369"/>
      <c r="BF31" s="369"/>
      <c r="BG31" s="369"/>
      <c r="BH31" s="369"/>
      <c r="BI31" s="369"/>
      <c r="BJ31" s="369"/>
      <c r="BK31" s="369"/>
      <c r="BL31" s="369"/>
      <c r="BM31" s="369"/>
      <c r="BN31" s="369"/>
      <c r="BO31" s="369"/>
      <c r="BP31" s="369"/>
      <c r="BQ31" s="369"/>
      <c r="BR31" s="369"/>
      <c r="BS31" s="369"/>
      <c r="BT31" s="369"/>
      <c r="BU31" s="369"/>
      <c r="BV31" s="369"/>
      <c r="BW31" s="369"/>
      <c r="BX31" s="372"/>
    </row>
    <row r="32" spans="1:76" ht="9.75" customHeight="1" x14ac:dyDescent="0.25">
      <c r="B32" s="336"/>
      <c r="C32" s="324"/>
      <c r="D32" s="337"/>
      <c r="E32" s="23"/>
      <c r="F32" s="322"/>
      <c r="G32" s="323"/>
      <c r="H32" s="24"/>
      <c r="I32" s="334"/>
      <c r="J32" s="335"/>
      <c r="K32" s="321"/>
      <c r="N32" s="336"/>
      <c r="O32" s="324"/>
      <c r="P32" s="338"/>
      <c r="Q32" s="321"/>
      <c r="S32" s="40" t="e">
        <f>#REF!</f>
        <v>#REF!</v>
      </c>
      <c r="T32" s="40" t="e">
        <f>#REF!</f>
        <v>#REF!</v>
      </c>
      <c r="U32" s="40" t="e">
        <f>#REF!</f>
        <v>#REF!</v>
      </c>
      <c r="V32" s="40" t="e">
        <f>#REF!</f>
        <v>#REF!</v>
      </c>
      <c r="W32" s="40" t="e">
        <f>#REF!</f>
        <v>#REF!</v>
      </c>
      <c r="X32" s="40" t="e">
        <f>#REF!</f>
        <v>#REF!</v>
      </c>
      <c r="Y32" s="40" t="e">
        <f>#REF!</f>
        <v>#REF!</v>
      </c>
      <c r="Z32" s="40" t="e">
        <f>#REF!</f>
        <v>#REF!</v>
      </c>
      <c r="AA32" s="40" t="e">
        <f>#REF!</f>
        <v>#REF!</v>
      </c>
      <c r="AB32" s="40" t="e">
        <f>#REF!</f>
        <v>#REF!</v>
      </c>
      <c r="AC32" s="40" t="e">
        <f>#REF!</f>
        <v>#REF!</v>
      </c>
      <c r="AD32" s="40" t="e">
        <f>#REF!</f>
        <v>#REF!</v>
      </c>
      <c r="AG32" s="336"/>
      <c r="AH32" s="324"/>
      <c r="AI32" s="338"/>
      <c r="AJ32" s="321"/>
      <c r="AL32" s="37" t="e">
        <f>#REF!</f>
        <v>#REF!</v>
      </c>
      <c r="AM32" s="37" t="e">
        <f>#REF!</f>
        <v>#REF!</v>
      </c>
      <c r="AN32" s="37" t="e">
        <f>#REF!</f>
        <v>#REF!</v>
      </c>
      <c r="AO32" s="37" t="e">
        <f>#REF!</f>
        <v>#REF!</v>
      </c>
      <c r="AP32" s="37" t="e">
        <f>#REF!</f>
        <v>#REF!</v>
      </c>
      <c r="AQ32" s="37" t="e">
        <f>#REF!</f>
        <v>#REF!</v>
      </c>
      <c r="AR32" s="37" t="e">
        <f>#REF!</f>
        <v>#REF!</v>
      </c>
      <c r="AS32" s="37" t="e">
        <f>#REF!</f>
        <v>#REF!</v>
      </c>
      <c r="AT32" s="37" t="e">
        <f>#REF!</f>
        <v>#REF!</v>
      </c>
      <c r="AU32" s="37" t="e">
        <f>#REF!</f>
        <v>#REF!</v>
      </c>
      <c r="AV32" s="37" t="e">
        <f>#REF!</f>
        <v>#REF!</v>
      </c>
      <c r="AW32" s="37" t="e">
        <f>#REF!</f>
        <v>#REF!</v>
      </c>
      <c r="AZ32" s="374"/>
      <c r="BA32" s="369"/>
      <c r="BB32" s="369"/>
      <c r="BC32" s="369"/>
      <c r="BD32" s="369"/>
      <c r="BE32" s="369"/>
      <c r="BF32" s="369"/>
      <c r="BG32" s="369"/>
      <c r="BH32" s="369"/>
      <c r="BI32" s="369"/>
      <c r="BJ32" s="369"/>
      <c r="BK32" s="369"/>
      <c r="BL32" s="369"/>
      <c r="BM32" s="369"/>
      <c r="BN32" s="369"/>
      <c r="BO32" s="369"/>
      <c r="BP32" s="369"/>
      <c r="BQ32" s="369"/>
      <c r="BR32" s="369"/>
      <c r="BS32" s="369"/>
      <c r="BT32" s="369"/>
      <c r="BU32" s="369"/>
      <c r="BV32" s="369"/>
      <c r="BW32" s="369"/>
      <c r="BX32" s="372"/>
    </row>
    <row r="33" spans="1:76" ht="9.75" customHeight="1" x14ac:dyDescent="0.25">
      <c r="B33" s="336">
        <v>12</v>
      </c>
      <c r="C33" s="324" t="e">
        <f>VLOOKUP(B33,#REF!,2,0)</f>
        <v>#REF!</v>
      </c>
      <c r="D33" s="337" t="e">
        <f>VLOOKUP(B33,#REF!,10,0)</f>
        <v>#REF!</v>
      </c>
      <c r="E33" s="23"/>
      <c r="F33" s="322" t="e">
        <f>VLOOKUP(B33,#REF!,15,0)</f>
        <v>#REF!</v>
      </c>
      <c r="G33" s="323" t="e">
        <f t="shared" ref="G33" si="82">D33-F33</f>
        <v>#REF!</v>
      </c>
      <c r="H33" s="24"/>
      <c r="I33" s="334" t="e">
        <f>VLOOKUP(B33,#REF!,11,0)</f>
        <v>#REF!</v>
      </c>
      <c r="J33" s="335"/>
      <c r="K33" s="321" t="e">
        <f t="shared" ref="K33" si="83">I33/SUM($I$11:$J$50)</f>
        <v>#REF!</v>
      </c>
      <c r="N33" s="336">
        <v>12</v>
      </c>
      <c r="O33" s="324" t="e">
        <f t="shared" ref="O33" si="84">C33</f>
        <v>#REF!</v>
      </c>
      <c r="P33" s="338" t="e">
        <f t="shared" ref="P33" si="85">I33</f>
        <v>#REF!</v>
      </c>
      <c r="Q33" s="321" t="e">
        <f t="shared" ref="Q33" si="86">K33</f>
        <v>#REF!</v>
      </c>
      <c r="S33" s="33" t="e">
        <f>#REF!</f>
        <v>#REF!</v>
      </c>
      <c r="T33" s="33" t="e">
        <f>#REF!</f>
        <v>#REF!</v>
      </c>
      <c r="U33" s="33" t="e">
        <f>#REF!</f>
        <v>#REF!</v>
      </c>
      <c r="V33" s="33" t="e">
        <f>#REF!</f>
        <v>#REF!</v>
      </c>
      <c r="W33" s="33" t="e">
        <f>#REF!</f>
        <v>#REF!</v>
      </c>
      <c r="X33" s="33" t="e">
        <f>#REF!</f>
        <v>#REF!</v>
      </c>
      <c r="Y33" s="33" t="e">
        <f>#REF!</f>
        <v>#REF!</v>
      </c>
      <c r="Z33" s="33" t="e">
        <f>#REF!</f>
        <v>#REF!</v>
      </c>
      <c r="AA33" s="33" t="e">
        <f>#REF!</f>
        <v>#REF!</v>
      </c>
      <c r="AB33" s="33" t="e">
        <f>#REF!</f>
        <v>#REF!</v>
      </c>
      <c r="AC33" s="33" t="e">
        <f>#REF!</f>
        <v>#REF!</v>
      </c>
      <c r="AD33" s="33" t="e">
        <f>#REF!</f>
        <v>#REF!</v>
      </c>
      <c r="AG33" s="336">
        <v>12</v>
      </c>
      <c r="AH33" s="324" t="e">
        <f t="shared" ref="AH33" si="87">O33</f>
        <v>#REF!</v>
      </c>
      <c r="AI33" s="338" t="e">
        <f t="shared" ref="AI33" si="88">P33</f>
        <v>#REF!</v>
      </c>
      <c r="AJ33" s="321" t="e">
        <f t="shared" ref="AJ33" si="89">Q33</f>
        <v>#REF!</v>
      </c>
      <c r="AL33" s="29" t="e">
        <f>#REF!</f>
        <v>#REF!</v>
      </c>
      <c r="AM33" s="29" t="e">
        <f>#REF!</f>
        <v>#REF!</v>
      </c>
      <c r="AN33" s="29" t="e">
        <f>#REF!</f>
        <v>#REF!</v>
      </c>
      <c r="AO33" s="29" t="e">
        <f>#REF!</f>
        <v>#REF!</v>
      </c>
      <c r="AP33" s="29" t="e">
        <f>#REF!</f>
        <v>#REF!</v>
      </c>
      <c r="AQ33" s="29" t="e">
        <f>#REF!</f>
        <v>#REF!</v>
      </c>
      <c r="AR33" s="29" t="e">
        <f>#REF!</f>
        <v>#REF!</v>
      </c>
      <c r="AS33" s="29" t="e">
        <f>#REF!</f>
        <v>#REF!</v>
      </c>
      <c r="AT33" s="29" t="e">
        <f>#REF!</f>
        <v>#REF!</v>
      </c>
      <c r="AU33" s="29" t="e">
        <f>#REF!</f>
        <v>#REF!</v>
      </c>
      <c r="AV33" s="29" t="e">
        <f>#REF!</f>
        <v>#REF!</v>
      </c>
      <c r="AW33" s="29" t="e">
        <f>#REF!</f>
        <v>#REF!</v>
      </c>
      <c r="AZ33" s="374"/>
      <c r="BA33" s="369"/>
      <c r="BB33" s="369"/>
      <c r="BC33" s="369"/>
      <c r="BD33" s="369"/>
      <c r="BE33" s="369"/>
      <c r="BF33" s="369"/>
      <c r="BG33" s="369"/>
      <c r="BH33" s="369"/>
      <c r="BI33" s="369"/>
      <c r="BJ33" s="369"/>
      <c r="BK33" s="369"/>
      <c r="BL33" s="369"/>
      <c r="BM33" s="369"/>
      <c r="BN33" s="369"/>
      <c r="BO33" s="369"/>
      <c r="BP33" s="369"/>
      <c r="BQ33" s="369"/>
      <c r="BR33" s="369"/>
      <c r="BS33" s="369"/>
      <c r="BT33" s="369"/>
      <c r="BU33" s="369"/>
      <c r="BV33" s="369"/>
      <c r="BW33" s="369"/>
      <c r="BX33" s="372"/>
    </row>
    <row r="34" spans="1:76" ht="9.75" customHeight="1" x14ac:dyDescent="0.25">
      <c r="B34" s="336"/>
      <c r="C34" s="324"/>
      <c r="D34" s="337"/>
      <c r="E34" s="23"/>
      <c r="F34" s="322"/>
      <c r="G34" s="323"/>
      <c r="H34" s="24"/>
      <c r="I34" s="334"/>
      <c r="J34" s="335"/>
      <c r="K34" s="321"/>
      <c r="N34" s="336"/>
      <c r="O34" s="324"/>
      <c r="P34" s="338"/>
      <c r="Q34" s="321"/>
      <c r="S34" s="40" t="e">
        <f>#REF!</f>
        <v>#REF!</v>
      </c>
      <c r="T34" s="40" t="e">
        <f>#REF!</f>
        <v>#REF!</v>
      </c>
      <c r="U34" s="40" t="e">
        <f>#REF!</f>
        <v>#REF!</v>
      </c>
      <c r="V34" s="40" t="e">
        <f>#REF!</f>
        <v>#REF!</v>
      </c>
      <c r="W34" s="40" t="e">
        <f>#REF!</f>
        <v>#REF!</v>
      </c>
      <c r="X34" s="40" t="e">
        <f>#REF!</f>
        <v>#REF!</v>
      </c>
      <c r="Y34" s="40" t="e">
        <f>#REF!</f>
        <v>#REF!</v>
      </c>
      <c r="Z34" s="40" t="e">
        <f>#REF!</f>
        <v>#REF!</v>
      </c>
      <c r="AA34" s="40" t="e">
        <f>#REF!</f>
        <v>#REF!</v>
      </c>
      <c r="AB34" s="40" t="e">
        <f>#REF!</f>
        <v>#REF!</v>
      </c>
      <c r="AC34" s="40" t="e">
        <f>#REF!</f>
        <v>#REF!</v>
      </c>
      <c r="AD34" s="40" t="e">
        <f>#REF!</f>
        <v>#REF!</v>
      </c>
      <c r="AG34" s="336"/>
      <c r="AH34" s="324"/>
      <c r="AI34" s="338"/>
      <c r="AJ34" s="321"/>
      <c r="AL34" s="37" t="e">
        <f>#REF!</f>
        <v>#REF!</v>
      </c>
      <c r="AM34" s="37" t="e">
        <f>#REF!</f>
        <v>#REF!</v>
      </c>
      <c r="AN34" s="37" t="e">
        <f>#REF!</f>
        <v>#REF!</v>
      </c>
      <c r="AO34" s="37" t="e">
        <f>#REF!</f>
        <v>#REF!</v>
      </c>
      <c r="AP34" s="37" t="e">
        <f>#REF!</f>
        <v>#REF!</v>
      </c>
      <c r="AQ34" s="37" t="e">
        <f>#REF!</f>
        <v>#REF!</v>
      </c>
      <c r="AR34" s="37" t="e">
        <f>#REF!</f>
        <v>#REF!</v>
      </c>
      <c r="AS34" s="37" t="e">
        <f>#REF!</f>
        <v>#REF!</v>
      </c>
      <c r="AT34" s="37" t="e">
        <f>#REF!</f>
        <v>#REF!</v>
      </c>
      <c r="AU34" s="37" t="e">
        <f>#REF!</f>
        <v>#REF!</v>
      </c>
      <c r="AV34" s="37" t="e">
        <f>#REF!</f>
        <v>#REF!</v>
      </c>
      <c r="AW34" s="37" t="e">
        <f>#REF!</f>
        <v>#REF!</v>
      </c>
      <c r="AZ34" s="374"/>
      <c r="BA34" s="369"/>
      <c r="BB34" s="369"/>
      <c r="BC34" s="369"/>
      <c r="BD34" s="369"/>
      <c r="BE34" s="369"/>
      <c r="BF34" s="369"/>
      <c r="BG34" s="369"/>
      <c r="BH34" s="369"/>
      <c r="BI34" s="369"/>
      <c r="BJ34" s="369"/>
      <c r="BK34" s="369"/>
      <c r="BL34" s="369"/>
      <c r="BM34" s="369"/>
      <c r="BN34" s="369"/>
      <c r="BO34" s="369"/>
      <c r="BP34" s="369"/>
      <c r="BQ34" s="369"/>
      <c r="BR34" s="369"/>
      <c r="BS34" s="369"/>
      <c r="BT34" s="369"/>
      <c r="BU34" s="369"/>
      <c r="BV34" s="369"/>
      <c r="BW34" s="369"/>
      <c r="BX34" s="372"/>
    </row>
    <row r="35" spans="1:76" ht="9.75" customHeight="1" x14ac:dyDescent="0.25">
      <c r="B35" s="336">
        <v>13</v>
      </c>
      <c r="C35" s="324" t="e">
        <f>VLOOKUP(B35,#REF!,2,0)</f>
        <v>#REF!</v>
      </c>
      <c r="D35" s="337" t="e">
        <f>VLOOKUP(B35,#REF!,10,0)</f>
        <v>#REF!</v>
      </c>
      <c r="E35" s="23"/>
      <c r="F35" s="322" t="e">
        <f>VLOOKUP(B35,#REF!,15,0)</f>
        <v>#REF!</v>
      </c>
      <c r="G35" s="323" t="e">
        <f t="shared" ref="G35" si="90">D35-F35</f>
        <v>#REF!</v>
      </c>
      <c r="H35" s="24"/>
      <c r="I35" s="334" t="e">
        <f>VLOOKUP(B35,#REF!,11,0)</f>
        <v>#REF!</v>
      </c>
      <c r="J35" s="335"/>
      <c r="K35" s="321" t="e">
        <f t="shared" ref="K35" si="91">I35/SUM($I$11:$J$50)</f>
        <v>#REF!</v>
      </c>
      <c r="N35" s="336">
        <v>13</v>
      </c>
      <c r="O35" s="324" t="e">
        <f t="shared" ref="O35" si="92">C35</f>
        <v>#REF!</v>
      </c>
      <c r="P35" s="338" t="e">
        <f t="shared" ref="P35" si="93">I35</f>
        <v>#REF!</v>
      </c>
      <c r="Q35" s="321" t="e">
        <f t="shared" ref="Q35" si="94">K35</f>
        <v>#REF!</v>
      </c>
      <c r="S35" s="33" t="e">
        <f>#REF!</f>
        <v>#REF!</v>
      </c>
      <c r="T35" s="33" t="e">
        <f>#REF!</f>
        <v>#REF!</v>
      </c>
      <c r="U35" s="33" t="e">
        <f>#REF!</f>
        <v>#REF!</v>
      </c>
      <c r="V35" s="33" t="e">
        <f>#REF!</f>
        <v>#REF!</v>
      </c>
      <c r="W35" s="33" t="e">
        <f>#REF!</f>
        <v>#REF!</v>
      </c>
      <c r="X35" s="33" t="e">
        <f>#REF!</f>
        <v>#REF!</v>
      </c>
      <c r="Y35" s="33" t="e">
        <f>#REF!</f>
        <v>#REF!</v>
      </c>
      <c r="Z35" s="33" t="e">
        <f>#REF!</f>
        <v>#REF!</v>
      </c>
      <c r="AA35" s="33" t="e">
        <f>#REF!</f>
        <v>#REF!</v>
      </c>
      <c r="AB35" s="33" t="e">
        <f>#REF!</f>
        <v>#REF!</v>
      </c>
      <c r="AC35" s="33" t="e">
        <f>#REF!</f>
        <v>#REF!</v>
      </c>
      <c r="AD35" s="33" t="e">
        <f>#REF!</f>
        <v>#REF!</v>
      </c>
      <c r="AG35" s="336">
        <v>13</v>
      </c>
      <c r="AH35" s="324" t="e">
        <f t="shared" ref="AH35" si="95">O35</f>
        <v>#REF!</v>
      </c>
      <c r="AI35" s="338" t="e">
        <f t="shared" ref="AI35" si="96">P35</f>
        <v>#REF!</v>
      </c>
      <c r="AJ35" s="321" t="e">
        <f t="shared" ref="AJ35" si="97">Q35</f>
        <v>#REF!</v>
      </c>
      <c r="AL35" s="29" t="e">
        <f>#REF!</f>
        <v>#REF!</v>
      </c>
      <c r="AM35" s="29" t="e">
        <f>#REF!</f>
        <v>#REF!</v>
      </c>
      <c r="AN35" s="29" t="e">
        <f>#REF!</f>
        <v>#REF!</v>
      </c>
      <c r="AO35" s="29" t="e">
        <f>#REF!</f>
        <v>#REF!</v>
      </c>
      <c r="AP35" s="29" t="e">
        <f>#REF!</f>
        <v>#REF!</v>
      </c>
      <c r="AQ35" s="29" t="e">
        <f>#REF!</f>
        <v>#REF!</v>
      </c>
      <c r="AR35" s="29" t="e">
        <f>#REF!</f>
        <v>#REF!</v>
      </c>
      <c r="AS35" s="29" t="e">
        <f>#REF!</f>
        <v>#REF!</v>
      </c>
      <c r="AT35" s="29" t="e">
        <f>#REF!</f>
        <v>#REF!</v>
      </c>
      <c r="AU35" s="29" t="e">
        <f>#REF!</f>
        <v>#REF!</v>
      </c>
      <c r="AV35" s="29" t="e">
        <f>#REF!</f>
        <v>#REF!</v>
      </c>
      <c r="AW35" s="29" t="e">
        <f>#REF!</f>
        <v>#REF!</v>
      </c>
      <c r="AZ35" s="363" t="s">
        <v>6048</v>
      </c>
      <c r="BA35" s="360" t="e">
        <f>S55</f>
        <v>#REF!</v>
      </c>
      <c r="BB35" s="360" t="e">
        <f t="shared" ref="BB35:BL35" si="98">T55</f>
        <v>#REF!</v>
      </c>
      <c r="BC35" s="360" t="e">
        <f t="shared" si="98"/>
        <v>#REF!</v>
      </c>
      <c r="BD35" s="360" t="e">
        <f t="shared" si="98"/>
        <v>#REF!</v>
      </c>
      <c r="BE35" s="360" t="e">
        <f t="shared" si="98"/>
        <v>#REF!</v>
      </c>
      <c r="BF35" s="360" t="e">
        <f t="shared" si="98"/>
        <v>#REF!</v>
      </c>
      <c r="BG35" s="360" t="e">
        <f t="shared" si="98"/>
        <v>#REF!</v>
      </c>
      <c r="BH35" s="360" t="e">
        <f t="shared" si="98"/>
        <v>#REF!</v>
      </c>
      <c r="BI35" s="360" t="e">
        <f t="shared" si="98"/>
        <v>#REF!</v>
      </c>
      <c r="BJ35" s="360" t="e">
        <f t="shared" si="98"/>
        <v>#REF!</v>
      </c>
      <c r="BK35" s="360" t="e">
        <f t="shared" si="98"/>
        <v>#REF!</v>
      </c>
      <c r="BL35" s="360" t="e">
        <f t="shared" si="98"/>
        <v>#REF!</v>
      </c>
      <c r="BM35" s="360" t="e">
        <f>AL55</f>
        <v>#REF!</v>
      </c>
      <c r="BN35" s="360" t="e">
        <f t="shared" ref="BN35:BX35" si="99">AM55</f>
        <v>#REF!</v>
      </c>
      <c r="BO35" s="360" t="e">
        <f t="shared" si="99"/>
        <v>#REF!</v>
      </c>
      <c r="BP35" s="360" t="e">
        <f t="shared" si="99"/>
        <v>#REF!</v>
      </c>
      <c r="BQ35" s="360" t="e">
        <f t="shared" si="99"/>
        <v>#REF!</v>
      </c>
      <c r="BR35" s="360" t="e">
        <f t="shared" si="99"/>
        <v>#REF!</v>
      </c>
      <c r="BS35" s="360" t="e">
        <f t="shared" si="99"/>
        <v>#REF!</v>
      </c>
      <c r="BT35" s="360" t="e">
        <f t="shared" si="99"/>
        <v>#REF!</v>
      </c>
      <c r="BU35" s="360" t="e">
        <f t="shared" si="99"/>
        <v>#REF!</v>
      </c>
      <c r="BV35" s="360" t="e">
        <f t="shared" si="99"/>
        <v>#REF!</v>
      </c>
      <c r="BW35" s="360" t="e">
        <f t="shared" si="99"/>
        <v>#REF!</v>
      </c>
      <c r="BX35" s="370" t="e">
        <f t="shared" si="99"/>
        <v>#REF!</v>
      </c>
    </row>
    <row r="36" spans="1:76" ht="9.75" customHeight="1" x14ac:dyDescent="0.25">
      <c r="B36" s="336"/>
      <c r="C36" s="324"/>
      <c r="D36" s="337"/>
      <c r="E36" s="23"/>
      <c r="F36" s="322"/>
      <c r="G36" s="323"/>
      <c r="H36" s="24"/>
      <c r="I36" s="334"/>
      <c r="J36" s="335"/>
      <c r="K36" s="321"/>
      <c r="N36" s="336"/>
      <c r="O36" s="324"/>
      <c r="P36" s="338"/>
      <c r="Q36" s="321"/>
      <c r="S36" s="40" t="e">
        <f>#REF!</f>
        <v>#REF!</v>
      </c>
      <c r="T36" s="40" t="e">
        <f>#REF!</f>
        <v>#REF!</v>
      </c>
      <c r="U36" s="40" t="e">
        <f>#REF!</f>
        <v>#REF!</v>
      </c>
      <c r="V36" s="40" t="e">
        <f>#REF!</f>
        <v>#REF!</v>
      </c>
      <c r="W36" s="40" t="e">
        <f>#REF!</f>
        <v>#REF!</v>
      </c>
      <c r="X36" s="40" t="e">
        <f>#REF!</f>
        <v>#REF!</v>
      </c>
      <c r="Y36" s="40" t="e">
        <f>#REF!</f>
        <v>#REF!</v>
      </c>
      <c r="Z36" s="40" t="e">
        <f>#REF!</f>
        <v>#REF!</v>
      </c>
      <c r="AA36" s="40" t="e">
        <f>#REF!</f>
        <v>#REF!</v>
      </c>
      <c r="AB36" s="40" t="e">
        <f>#REF!</f>
        <v>#REF!</v>
      </c>
      <c r="AC36" s="40" t="e">
        <f>#REF!</f>
        <v>#REF!</v>
      </c>
      <c r="AD36" s="40" t="e">
        <f>#REF!</f>
        <v>#REF!</v>
      </c>
      <c r="AG36" s="336"/>
      <c r="AH36" s="324"/>
      <c r="AI36" s="338"/>
      <c r="AJ36" s="321"/>
      <c r="AL36" s="37" t="e">
        <f>#REF!</f>
        <v>#REF!</v>
      </c>
      <c r="AM36" s="37" t="e">
        <f>#REF!</f>
        <v>#REF!</v>
      </c>
      <c r="AN36" s="37" t="e">
        <f>#REF!</f>
        <v>#REF!</v>
      </c>
      <c r="AO36" s="37" t="e">
        <f>#REF!</f>
        <v>#REF!</v>
      </c>
      <c r="AP36" s="37" t="e">
        <f>#REF!</f>
        <v>#REF!</v>
      </c>
      <c r="AQ36" s="37" t="e">
        <f>#REF!</f>
        <v>#REF!</v>
      </c>
      <c r="AR36" s="37" t="e">
        <f>#REF!</f>
        <v>#REF!</v>
      </c>
      <c r="AS36" s="37" t="e">
        <f>#REF!</f>
        <v>#REF!</v>
      </c>
      <c r="AT36" s="37" t="e">
        <f>#REF!</f>
        <v>#REF!</v>
      </c>
      <c r="AU36" s="37" t="e">
        <f>#REF!</f>
        <v>#REF!</v>
      </c>
      <c r="AV36" s="37" t="e">
        <f>#REF!</f>
        <v>#REF!</v>
      </c>
      <c r="AW36" s="37" t="e">
        <f>#REF!</f>
        <v>#REF!</v>
      </c>
      <c r="AZ36" s="363"/>
      <c r="BA36" s="360"/>
      <c r="BB36" s="360"/>
      <c r="BC36" s="360"/>
      <c r="BD36" s="360"/>
      <c r="BE36" s="360"/>
      <c r="BF36" s="360"/>
      <c r="BG36" s="360"/>
      <c r="BH36" s="360"/>
      <c r="BI36" s="360"/>
      <c r="BJ36" s="360"/>
      <c r="BK36" s="360"/>
      <c r="BL36" s="360"/>
      <c r="BM36" s="360"/>
      <c r="BN36" s="360"/>
      <c r="BO36" s="360"/>
      <c r="BP36" s="360"/>
      <c r="BQ36" s="360"/>
      <c r="BR36" s="360"/>
      <c r="BS36" s="360"/>
      <c r="BT36" s="360"/>
      <c r="BU36" s="360"/>
      <c r="BV36" s="360"/>
      <c r="BW36" s="360"/>
      <c r="BX36" s="370"/>
    </row>
    <row r="37" spans="1:76" ht="9.75" customHeight="1" x14ac:dyDescent="0.25">
      <c r="B37" s="336">
        <v>14</v>
      </c>
      <c r="C37" s="324" t="e">
        <f>VLOOKUP(B37,#REF!,2,0)</f>
        <v>#REF!</v>
      </c>
      <c r="D37" s="337" t="e">
        <f>VLOOKUP(B37,#REF!,10,0)</f>
        <v>#REF!</v>
      </c>
      <c r="E37" s="23"/>
      <c r="F37" s="322" t="e">
        <f>VLOOKUP(B37,#REF!,15,0)</f>
        <v>#REF!</v>
      </c>
      <c r="G37" s="323" t="e">
        <f t="shared" ref="G37" si="100">D37-F37</f>
        <v>#REF!</v>
      </c>
      <c r="H37" s="24"/>
      <c r="I37" s="334" t="e">
        <f>VLOOKUP(B37,#REF!,11,0)</f>
        <v>#REF!</v>
      </c>
      <c r="J37" s="335"/>
      <c r="K37" s="321" t="e">
        <f t="shared" ref="K37" si="101">I37/SUM($I$11:$J$50)</f>
        <v>#REF!</v>
      </c>
      <c r="N37" s="336">
        <v>14</v>
      </c>
      <c r="O37" s="324" t="e">
        <f t="shared" ref="O37" si="102">C37</f>
        <v>#REF!</v>
      </c>
      <c r="P37" s="338" t="e">
        <f t="shared" ref="P37" si="103">I37</f>
        <v>#REF!</v>
      </c>
      <c r="Q37" s="321" t="e">
        <f t="shared" ref="Q37" si="104">K37</f>
        <v>#REF!</v>
      </c>
      <c r="S37" s="33" t="e">
        <f>#REF!</f>
        <v>#REF!</v>
      </c>
      <c r="T37" s="33" t="e">
        <f>#REF!</f>
        <v>#REF!</v>
      </c>
      <c r="U37" s="33" t="e">
        <f>#REF!</f>
        <v>#REF!</v>
      </c>
      <c r="V37" s="33" t="e">
        <f>#REF!</f>
        <v>#REF!</v>
      </c>
      <c r="W37" s="33" t="e">
        <f>#REF!</f>
        <v>#REF!</v>
      </c>
      <c r="X37" s="33" t="e">
        <f>#REF!</f>
        <v>#REF!</v>
      </c>
      <c r="Y37" s="33" t="e">
        <f>#REF!</f>
        <v>#REF!</v>
      </c>
      <c r="Z37" s="33" t="e">
        <f>#REF!</f>
        <v>#REF!</v>
      </c>
      <c r="AA37" s="33" t="e">
        <f>#REF!</f>
        <v>#REF!</v>
      </c>
      <c r="AB37" s="33" t="e">
        <f>#REF!</f>
        <v>#REF!</v>
      </c>
      <c r="AC37" s="33" t="e">
        <f>#REF!</f>
        <v>#REF!</v>
      </c>
      <c r="AD37" s="33" t="e">
        <f>#REF!</f>
        <v>#REF!</v>
      </c>
      <c r="AG37" s="336">
        <v>14</v>
      </c>
      <c r="AH37" s="324" t="e">
        <f t="shared" ref="AH37" si="105">O37</f>
        <v>#REF!</v>
      </c>
      <c r="AI37" s="338" t="e">
        <f t="shared" ref="AI37" si="106">P37</f>
        <v>#REF!</v>
      </c>
      <c r="AJ37" s="321" t="e">
        <f t="shared" ref="AJ37" si="107">Q37</f>
        <v>#REF!</v>
      </c>
      <c r="AL37" s="29" t="e">
        <f>#REF!</f>
        <v>#REF!</v>
      </c>
      <c r="AM37" s="29" t="e">
        <f>#REF!</f>
        <v>#REF!</v>
      </c>
      <c r="AN37" s="29" t="e">
        <f>#REF!</f>
        <v>#REF!</v>
      </c>
      <c r="AO37" s="29" t="e">
        <f>#REF!</f>
        <v>#REF!</v>
      </c>
      <c r="AP37" s="29" t="e">
        <f>#REF!</f>
        <v>#REF!</v>
      </c>
      <c r="AQ37" s="29" t="e">
        <f>#REF!</f>
        <v>#REF!</v>
      </c>
      <c r="AR37" s="29" t="e">
        <f>#REF!</f>
        <v>#REF!</v>
      </c>
      <c r="AS37" s="29" t="e">
        <f>#REF!</f>
        <v>#REF!</v>
      </c>
      <c r="AT37" s="29" t="e">
        <f>#REF!</f>
        <v>#REF!</v>
      </c>
      <c r="AU37" s="29" t="e">
        <f>#REF!</f>
        <v>#REF!</v>
      </c>
      <c r="AV37" s="29" t="e">
        <f>#REF!</f>
        <v>#REF!</v>
      </c>
      <c r="AW37" s="29" t="e">
        <f>#REF!</f>
        <v>#REF!</v>
      </c>
      <c r="AZ37" s="363"/>
      <c r="BA37" s="360"/>
      <c r="BB37" s="360"/>
      <c r="BC37" s="360"/>
      <c r="BD37" s="360"/>
      <c r="BE37" s="360"/>
      <c r="BF37" s="360"/>
      <c r="BG37" s="360"/>
      <c r="BH37" s="360"/>
      <c r="BI37" s="360"/>
      <c r="BJ37" s="360"/>
      <c r="BK37" s="360"/>
      <c r="BL37" s="360"/>
      <c r="BM37" s="360"/>
      <c r="BN37" s="360"/>
      <c r="BO37" s="360"/>
      <c r="BP37" s="360"/>
      <c r="BQ37" s="360"/>
      <c r="BR37" s="360"/>
      <c r="BS37" s="360"/>
      <c r="BT37" s="360"/>
      <c r="BU37" s="360"/>
      <c r="BV37" s="360"/>
      <c r="BW37" s="360"/>
      <c r="BX37" s="370"/>
    </row>
    <row r="38" spans="1:76" ht="9.75" customHeight="1" x14ac:dyDescent="0.25">
      <c r="B38" s="336"/>
      <c r="C38" s="324"/>
      <c r="D38" s="337"/>
      <c r="E38" s="23"/>
      <c r="F38" s="322"/>
      <c r="G38" s="323"/>
      <c r="H38" s="24"/>
      <c r="I38" s="334"/>
      <c r="J38" s="335"/>
      <c r="K38" s="321"/>
      <c r="N38" s="336"/>
      <c r="O38" s="324"/>
      <c r="P38" s="338"/>
      <c r="Q38" s="321"/>
      <c r="S38" s="40" t="e">
        <f>#REF!</f>
        <v>#REF!</v>
      </c>
      <c r="T38" s="40" t="e">
        <f>#REF!</f>
        <v>#REF!</v>
      </c>
      <c r="U38" s="40" t="e">
        <f>#REF!</f>
        <v>#REF!</v>
      </c>
      <c r="V38" s="40" t="e">
        <f>#REF!</f>
        <v>#REF!</v>
      </c>
      <c r="W38" s="40" t="e">
        <f>#REF!</f>
        <v>#REF!</v>
      </c>
      <c r="X38" s="40" t="e">
        <f>#REF!</f>
        <v>#REF!</v>
      </c>
      <c r="Y38" s="40" t="e">
        <f>#REF!</f>
        <v>#REF!</v>
      </c>
      <c r="Z38" s="40" t="e">
        <f>#REF!</f>
        <v>#REF!</v>
      </c>
      <c r="AA38" s="40" t="e">
        <f>#REF!</f>
        <v>#REF!</v>
      </c>
      <c r="AB38" s="40" t="e">
        <f>#REF!</f>
        <v>#REF!</v>
      </c>
      <c r="AC38" s="40" t="e">
        <f>#REF!</f>
        <v>#REF!</v>
      </c>
      <c r="AD38" s="40" t="e">
        <f>#REF!</f>
        <v>#REF!</v>
      </c>
      <c r="AG38" s="336"/>
      <c r="AH38" s="324"/>
      <c r="AI38" s="338"/>
      <c r="AJ38" s="321"/>
      <c r="AL38" s="37" t="e">
        <f>#REF!</f>
        <v>#REF!</v>
      </c>
      <c r="AM38" s="37" t="e">
        <f>#REF!</f>
        <v>#REF!</v>
      </c>
      <c r="AN38" s="37" t="e">
        <f>#REF!</f>
        <v>#REF!</v>
      </c>
      <c r="AO38" s="37" t="e">
        <f>#REF!</f>
        <v>#REF!</v>
      </c>
      <c r="AP38" s="37" t="e">
        <f>#REF!</f>
        <v>#REF!</v>
      </c>
      <c r="AQ38" s="37" t="e">
        <f>#REF!</f>
        <v>#REF!</v>
      </c>
      <c r="AR38" s="37" t="e">
        <f>#REF!</f>
        <v>#REF!</v>
      </c>
      <c r="AS38" s="37" t="e">
        <f>#REF!</f>
        <v>#REF!</v>
      </c>
      <c r="AT38" s="37" t="e">
        <f>#REF!</f>
        <v>#REF!</v>
      </c>
      <c r="AU38" s="37" t="e">
        <f>#REF!</f>
        <v>#REF!</v>
      </c>
      <c r="AV38" s="37" t="e">
        <f>#REF!</f>
        <v>#REF!</v>
      </c>
      <c r="AW38" s="37" t="e">
        <f>#REF!</f>
        <v>#REF!</v>
      </c>
      <c r="AZ38" s="363"/>
      <c r="BA38" s="360"/>
      <c r="BB38" s="360"/>
      <c r="BC38" s="360"/>
      <c r="BD38" s="360"/>
      <c r="BE38" s="360"/>
      <c r="BF38" s="360"/>
      <c r="BG38" s="360"/>
      <c r="BH38" s="360"/>
      <c r="BI38" s="360"/>
      <c r="BJ38" s="360"/>
      <c r="BK38" s="360"/>
      <c r="BL38" s="360"/>
      <c r="BM38" s="360"/>
      <c r="BN38" s="360"/>
      <c r="BO38" s="360"/>
      <c r="BP38" s="360"/>
      <c r="BQ38" s="360"/>
      <c r="BR38" s="360"/>
      <c r="BS38" s="360"/>
      <c r="BT38" s="360"/>
      <c r="BU38" s="360"/>
      <c r="BV38" s="360"/>
      <c r="BW38" s="360"/>
      <c r="BX38" s="370"/>
    </row>
    <row r="39" spans="1:76" ht="9.75" customHeight="1" x14ac:dyDescent="0.25">
      <c r="B39" s="336">
        <v>15</v>
      </c>
      <c r="C39" s="324" t="e">
        <f>VLOOKUP(B39,#REF!,2,0)</f>
        <v>#REF!</v>
      </c>
      <c r="D39" s="337" t="e">
        <f>VLOOKUP(B39,#REF!,10,0)</f>
        <v>#REF!</v>
      </c>
      <c r="E39" s="23"/>
      <c r="F39" s="322" t="e">
        <f>VLOOKUP(B39,#REF!,15,0)</f>
        <v>#REF!</v>
      </c>
      <c r="G39" s="323" t="e">
        <f t="shared" ref="G39" si="108">D39-F39</f>
        <v>#REF!</v>
      </c>
      <c r="H39" s="24"/>
      <c r="I39" s="334" t="e">
        <f>VLOOKUP(B39,#REF!,11,0)</f>
        <v>#REF!</v>
      </c>
      <c r="J39" s="335"/>
      <c r="K39" s="321" t="e">
        <f t="shared" ref="K39" si="109">I39/SUM($I$11:$J$50)</f>
        <v>#REF!</v>
      </c>
      <c r="N39" s="336">
        <v>15</v>
      </c>
      <c r="O39" s="324" t="e">
        <f t="shared" ref="O39" si="110">C39</f>
        <v>#REF!</v>
      </c>
      <c r="P39" s="338" t="e">
        <f t="shared" ref="P39" si="111">I39</f>
        <v>#REF!</v>
      </c>
      <c r="Q39" s="321" t="e">
        <f t="shared" ref="Q39" si="112">K39</f>
        <v>#REF!</v>
      </c>
      <c r="S39" s="33" t="e">
        <f>#REF!</f>
        <v>#REF!</v>
      </c>
      <c r="T39" s="33" t="e">
        <f>#REF!</f>
        <v>#REF!</v>
      </c>
      <c r="U39" s="33" t="e">
        <f>#REF!</f>
        <v>#REF!</v>
      </c>
      <c r="V39" s="33" t="e">
        <f>#REF!</f>
        <v>#REF!</v>
      </c>
      <c r="W39" s="33" t="e">
        <f>#REF!</f>
        <v>#REF!</v>
      </c>
      <c r="X39" s="33" t="e">
        <f>#REF!</f>
        <v>#REF!</v>
      </c>
      <c r="Y39" s="33" t="e">
        <f>#REF!</f>
        <v>#REF!</v>
      </c>
      <c r="Z39" s="33" t="e">
        <f>#REF!</f>
        <v>#REF!</v>
      </c>
      <c r="AA39" s="33" t="e">
        <f>#REF!</f>
        <v>#REF!</v>
      </c>
      <c r="AB39" s="33" t="e">
        <f>#REF!</f>
        <v>#REF!</v>
      </c>
      <c r="AC39" s="33" t="e">
        <f>#REF!</f>
        <v>#REF!</v>
      </c>
      <c r="AD39" s="33" t="e">
        <f>#REF!</f>
        <v>#REF!</v>
      </c>
      <c r="AG39" s="336">
        <v>15</v>
      </c>
      <c r="AH39" s="324" t="e">
        <f t="shared" ref="AH39" si="113">O39</f>
        <v>#REF!</v>
      </c>
      <c r="AI39" s="338" t="e">
        <f t="shared" ref="AI39" si="114">P39</f>
        <v>#REF!</v>
      </c>
      <c r="AJ39" s="321" t="e">
        <f t="shared" ref="AJ39" si="115">Q39</f>
        <v>#REF!</v>
      </c>
      <c r="AL39" s="29" t="e">
        <f>#REF!</f>
        <v>#REF!</v>
      </c>
      <c r="AM39" s="29" t="e">
        <f>#REF!</f>
        <v>#REF!</v>
      </c>
      <c r="AN39" s="29" t="e">
        <f>#REF!</f>
        <v>#REF!</v>
      </c>
      <c r="AO39" s="29" t="e">
        <f>#REF!</f>
        <v>#REF!</v>
      </c>
      <c r="AP39" s="29" t="e">
        <f>#REF!</f>
        <v>#REF!</v>
      </c>
      <c r="AQ39" s="29" t="e">
        <f>#REF!</f>
        <v>#REF!</v>
      </c>
      <c r="AR39" s="29" t="e">
        <f>#REF!</f>
        <v>#REF!</v>
      </c>
      <c r="AS39" s="29" t="e">
        <f>#REF!</f>
        <v>#REF!</v>
      </c>
      <c r="AT39" s="29" t="e">
        <f>#REF!</f>
        <v>#REF!</v>
      </c>
      <c r="AU39" s="29" t="e">
        <f>#REF!</f>
        <v>#REF!</v>
      </c>
      <c r="AV39" s="29" t="e">
        <f>#REF!</f>
        <v>#REF!</v>
      </c>
      <c r="AW39" s="29" t="e">
        <f>#REF!</f>
        <v>#REF!</v>
      </c>
      <c r="AZ39" s="363"/>
      <c r="BA39" s="360"/>
      <c r="BB39" s="360"/>
      <c r="BC39" s="360"/>
      <c r="BD39" s="360"/>
      <c r="BE39" s="360"/>
      <c r="BF39" s="360"/>
      <c r="BG39" s="360"/>
      <c r="BH39" s="360"/>
      <c r="BI39" s="360"/>
      <c r="BJ39" s="360"/>
      <c r="BK39" s="360"/>
      <c r="BL39" s="360"/>
      <c r="BM39" s="360"/>
      <c r="BN39" s="360"/>
      <c r="BO39" s="360"/>
      <c r="BP39" s="360"/>
      <c r="BQ39" s="360"/>
      <c r="BR39" s="360"/>
      <c r="BS39" s="360"/>
      <c r="BT39" s="360"/>
      <c r="BU39" s="360"/>
      <c r="BV39" s="360"/>
      <c r="BW39" s="360"/>
      <c r="BX39" s="370"/>
    </row>
    <row r="40" spans="1:76" ht="9.75" customHeight="1" x14ac:dyDescent="0.25">
      <c r="B40" s="336"/>
      <c r="C40" s="324"/>
      <c r="D40" s="337"/>
      <c r="E40" s="23"/>
      <c r="F40" s="322"/>
      <c r="G40" s="323"/>
      <c r="H40" s="24"/>
      <c r="I40" s="334"/>
      <c r="J40" s="335"/>
      <c r="K40" s="321"/>
      <c r="N40" s="336"/>
      <c r="O40" s="324"/>
      <c r="P40" s="338"/>
      <c r="Q40" s="321"/>
      <c r="S40" s="40" t="e">
        <f>#REF!</f>
        <v>#REF!</v>
      </c>
      <c r="T40" s="40" t="e">
        <f>#REF!</f>
        <v>#REF!</v>
      </c>
      <c r="U40" s="40" t="e">
        <f>#REF!</f>
        <v>#REF!</v>
      </c>
      <c r="V40" s="40" t="e">
        <f>#REF!</f>
        <v>#REF!</v>
      </c>
      <c r="W40" s="40" t="e">
        <f>#REF!</f>
        <v>#REF!</v>
      </c>
      <c r="X40" s="40" t="e">
        <f>#REF!</f>
        <v>#REF!</v>
      </c>
      <c r="Y40" s="40" t="e">
        <f>#REF!</f>
        <v>#REF!</v>
      </c>
      <c r="Z40" s="40" t="e">
        <f>#REF!</f>
        <v>#REF!</v>
      </c>
      <c r="AA40" s="40" t="e">
        <f>#REF!</f>
        <v>#REF!</v>
      </c>
      <c r="AB40" s="40" t="e">
        <f>#REF!</f>
        <v>#REF!</v>
      </c>
      <c r="AC40" s="40" t="e">
        <f>#REF!</f>
        <v>#REF!</v>
      </c>
      <c r="AD40" s="40" t="e">
        <f>#REF!</f>
        <v>#REF!</v>
      </c>
      <c r="AG40" s="336"/>
      <c r="AH40" s="324"/>
      <c r="AI40" s="338"/>
      <c r="AJ40" s="321"/>
      <c r="AL40" s="37" t="e">
        <f>#REF!</f>
        <v>#REF!</v>
      </c>
      <c r="AM40" s="37" t="e">
        <f>#REF!</f>
        <v>#REF!</v>
      </c>
      <c r="AN40" s="37" t="e">
        <f>#REF!</f>
        <v>#REF!</v>
      </c>
      <c r="AO40" s="37" t="e">
        <f>#REF!</f>
        <v>#REF!</v>
      </c>
      <c r="AP40" s="37" t="e">
        <f>#REF!</f>
        <v>#REF!</v>
      </c>
      <c r="AQ40" s="37" t="e">
        <f>#REF!</f>
        <v>#REF!</v>
      </c>
      <c r="AR40" s="37" t="e">
        <f>#REF!</f>
        <v>#REF!</v>
      </c>
      <c r="AS40" s="37" t="e">
        <f>#REF!</f>
        <v>#REF!</v>
      </c>
      <c r="AT40" s="37" t="e">
        <f>#REF!</f>
        <v>#REF!</v>
      </c>
      <c r="AU40" s="37" t="e">
        <f>#REF!</f>
        <v>#REF!</v>
      </c>
      <c r="AV40" s="37" t="e">
        <f>#REF!</f>
        <v>#REF!</v>
      </c>
      <c r="AW40" s="37" t="e">
        <f>#REF!</f>
        <v>#REF!</v>
      </c>
      <c r="AZ40" s="363"/>
      <c r="BA40" s="360"/>
      <c r="BB40" s="360"/>
      <c r="BC40" s="360"/>
      <c r="BD40" s="360"/>
      <c r="BE40" s="360"/>
      <c r="BF40" s="360"/>
      <c r="BG40" s="360"/>
      <c r="BH40" s="360"/>
      <c r="BI40" s="360"/>
      <c r="BJ40" s="360"/>
      <c r="BK40" s="360"/>
      <c r="BL40" s="360"/>
      <c r="BM40" s="360"/>
      <c r="BN40" s="360"/>
      <c r="BO40" s="360"/>
      <c r="BP40" s="360"/>
      <c r="BQ40" s="360"/>
      <c r="BR40" s="360"/>
      <c r="BS40" s="360"/>
      <c r="BT40" s="360"/>
      <c r="BU40" s="360"/>
      <c r="BV40" s="360"/>
      <c r="BW40" s="360"/>
      <c r="BX40" s="370"/>
    </row>
    <row r="41" spans="1:76" ht="9.75" customHeight="1" x14ac:dyDescent="0.25">
      <c r="B41" s="336">
        <v>16</v>
      </c>
      <c r="C41" s="324" t="e">
        <f>VLOOKUP(B41,#REF!,2,0)</f>
        <v>#REF!</v>
      </c>
      <c r="D41" s="337" t="e">
        <f>VLOOKUP(B41,#REF!,10,0)</f>
        <v>#REF!</v>
      </c>
      <c r="E41" s="23"/>
      <c r="F41" s="322" t="e">
        <f>VLOOKUP(B41,#REF!,15,0)</f>
        <v>#REF!</v>
      </c>
      <c r="G41" s="323" t="e">
        <f t="shared" ref="G41" si="116">D41-F41</f>
        <v>#REF!</v>
      </c>
      <c r="H41" s="24"/>
      <c r="I41" s="334" t="e">
        <f>VLOOKUP(B41,#REF!,11,0)</f>
        <v>#REF!</v>
      </c>
      <c r="J41" s="335"/>
      <c r="K41" s="321" t="e">
        <f t="shared" ref="K41" si="117">I41/SUM($I$11:$J$50)</f>
        <v>#REF!</v>
      </c>
      <c r="N41" s="336">
        <v>16</v>
      </c>
      <c r="O41" s="324" t="e">
        <f t="shared" ref="O41" si="118">C41</f>
        <v>#REF!</v>
      </c>
      <c r="P41" s="338" t="e">
        <f t="shared" ref="P41" si="119">I41</f>
        <v>#REF!</v>
      </c>
      <c r="Q41" s="321" t="e">
        <f t="shared" ref="Q41" si="120">K41</f>
        <v>#REF!</v>
      </c>
      <c r="S41" s="33" t="e">
        <f>#REF!</f>
        <v>#REF!</v>
      </c>
      <c r="T41" s="33" t="e">
        <f>#REF!</f>
        <v>#REF!</v>
      </c>
      <c r="U41" s="33" t="e">
        <f>#REF!</f>
        <v>#REF!</v>
      </c>
      <c r="V41" s="33" t="e">
        <f>#REF!</f>
        <v>#REF!</v>
      </c>
      <c r="W41" s="33" t="e">
        <f>#REF!</f>
        <v>#REF!</v>
      </c>
      <c r="X41" s="33" t="e">
        <f>#REF!</f>
        <v>#REF!</v>
      </c>
      <c r="Y41" s="33" t="e">
        <f>#REF!</f>
        <v>#REF!</v>
      </c>
      <c r="Z41" s="33" t="e">
        <f>#REF!</f>
        <v>#REF!</v>
      </c>
      <c r="AA41" s="33" t="e">
        <f>#REF!</f>
        <v>#REF!</v>
      </c>
      <c r="AB41" s="33" t="e">
        <f>#REF!</f>
        <v>#REF!</v>
      </c>
      <c r="AC41" s="33" t="e">
        <f>#REF!</f>
        <v>#REF!</v>
      </c>
      <c r="AD41" s="33" t="e">
        <f>#REF!</f>
        <v>#REF!</v>
      </c>
      <c r="AG41" s="336">
        <v>16</v>
      </c>
      <c r="AH41" s="324" t="e">
        <f t="shared" ref="AH41" si="121">O41</f>
        <v>#REF!</v>
      </c>
      <c r="AI41" s="338" t="e">
        <f t="shared" ref="AI41" si="122">P41</f>
        <v>#REF!</v>
      </c>
      <c r="AJ41" s="321" t="e">
        <f t="shared" ref="AJ41" si="123">Q41</f>
        <v>#REF!</v>
      </c>
      <c r="AL41" s="29" t="e">
        <f>#REF!</f>
        <v>#REF!</v>
      </c>
      <c r="AM41" s="29" t="e">
        <f>#REF!</f>
        <v>#REF!</v>
      </c>
      <c r="AN41" s="29" t="e">
        <f>#REF!</f>
        <v>#REF!</v>
      </c>
      <c r="AO41" s="29" t="e">
        <f>#REF!</f>
        <v>#REF!</v>
      </c>
      <c r="AP41" s="29" t="e">
        <f>#REF!</f>
        <v>#REF!</v>
      </c>
      <c r="AQ41" s="29" t="e">
        <f>#REF!</f>
        <v>#REF!</v>
      </c>
      <c r="AR41" s="29" t="e">
        <f>#REF!</f>
        <v>#REF!</v>
      </c>
      <c r="AS41" s="29" t="e">
        <f>#REF!</f>
        <v>#REF!</v>
      </c>
      <c r="AT41" s="29" t="e">
        <f>#REF!</f>
        <v>#REF!</v>
      </c>
      <c r="AU41" s="29" t="e">
        <f>#REF!</f>
        <v>#REF!</v>
      </c>
      <c r="AV41" s="29" t="e">
        <f>#REF!</f>
        <v>#REF!</v>
      </c>
      <c r="AW41" s="29" t="e">
        <f>#REF!</f>
        <v>#REF!</v>
      </c>
      <c r="AZ41" s="363"/>
      <c r="BA41" s="360"/>
      <c r="BB41" s="360"/>
      <c r="BC41" s="360"/>
      <c r="BD41" s="360"/>
      <c r="BE41" s="360"/>
      <c r="BF41" s="360"/>
      <c r="BG41" s="360"/>
      <c r="BH41" s="360"/>
      <c r="BI41" s="360"/>
      <c r="BJ41" s="360"/>
      <c r="BK41" s="360"/>
      <c r="BL41" s="360"/>
      <c r="BM41" s="360"/>
      <c r="BN41" s="360"/>
      <c r="BO41" s="360"/>
      <c r="BP41" s="360"/>
      <c r="BQ41" s="360"/>
      <c r="BR41" s="360"/>
      <c r="BS41" s="360"/>
      <c r="BT41" s="360"/>
      <c r="BU41" s="360"/>
      <c r="BV41" s="360"/>
      <c r="BW41" s="360"/>
      <c r="BX41" s="370"/>
    </row>
    <row r="42" spans="1:76" ht="9.75" customHeight="1" x14ac:dyDescent="0.25">
      <c r="A42" s="6"/>
      <c r="B42" s="336"/>
      <c r="C42" s="324"/>
      <c r="D42" s="337"/>
      <c r="E42" s="23"/>
      <c r="F42" s="322"/>
      <c r="G42" s="323"/>
      <c r="H42" s="24"/>
      <c r="I42" s="334"/>
      <c r="J42" s="335"/>
      <c r="K42" s="321"/>
      <c r="N42" s="336"/>
      <c r="O42" s="324"/>
      <c r="P42" s="338"/>
      <c r="Q42" s="321"/>
      <c r="S42" s="40" t="e">
        <f>#REF!</f>
        <v>#REF!</v>
      </c>
      <c r="T42" s="40" t="e">
        <f>#REF!</f>
        <v>#REF!</v>
      </c>
      <c r="U42" s="40" t="e">
        <f>#REF!</f>
        <v>#REF!</v>
      </c>
      <c r="V42" s="40" t="e">
        <f>#REF!</f>
        <v>#REF!</v>
      </c>
      <c r="W42" s="40" t="e">
        <f>#REF!</f>
        <v>#REF!</v>
      </c>
      <c r="X42" s="40" t="e">
        <f>#REF!</f>
        <v>#REF!</v>
      </c>
      <c r="Y42" s="40" t="e">
        <f>#REF!</f>
        <v>#REF!</v>
      </c>
      <c r="Z42" s="40" t="e">
        <f>#REF!</f>
        <v>#REF!</v>
      </c>
      <c r="AA42" s="40" t="e">
        <f>#REF!</f>
        <v>#REF!</v>
      </c>
      <c r="AB42" s="40" t="e">
        <f>#REF!</f>
        <v>#REF!</v>
      </c>
      <c r="AC42" s="40" t="e">
        <f>#REF!</f>
        <v>#REF!</v>
      </c>
      <c r="AD42" s="40" t="e">
        <f>#REF!</f>
        <v>#REF!</v>
      </c>
      <c r="AG42" s="336"/>
      <c r="AH42" s="324"/>
      <c r="AI42" s="338"/>
      <c r="AJ42" s="321"/>
      <c r="AL42" s="37" t="e">
        <f>#REF!</f>
        <v>#REF!</v>
      </c>
      <c r="AM42" s="37" t="e">
        <f>#REF!</f>
        <v>#REF!</v>
      </c>
      <c r="AN42" s="37" t="e">
        <f>#REF!</f>
        <v>#REF!</v>
      </c>
      <c r="AO42" s="37" t="e">
        <f>#REF!</f>
        <v>#REF!</v>
      </c>
      <c r="AP42" s="37" t="e">
        <f>#REF!</f>
        <v>#REF!</v>
      </c>
      <c r="AQ42" s="37" t="e">
        <f>#REF!</f>
        <v>#REF!</v>
      </c>
      <c r="AR42" s="37" t="e">
        <f>#REF!</f>
        <v>#REF!</v>
      </c>
      <c r="AS42" s="37" t="e">
        <f>#REF!</f>
        <v>#REF!</v>
      </c>
      <c r="AT42" s="37" t="e">
        <f>#REF!</f>
        <v>#REF!</v>
      </c>
      <c r="AU42" s="37" t="e">
        <f>#REF!</f>
        <v>#REF!</v>
      </c>
      <c r="AV42" s="37" t="e">
        <f>#REF!</f>
        <v>#REF!</v>
      </c>
      <c r="AW42" s="37" t="e">
        <f>#REF!</f>
        <v>#REF!</v>
      </c>
      <c r="AZ42" s="363"/>
      <c r="BA42" s="360"/>
      <c r="BB42" s="360"/>
      <c r="BC42" s="360"/>
      <c r="BD42" s="360"/>
      <c r="BE42" s="360"/>
      <c r="BF42" s="360"/>
      <c r="BG42" s="360"/>
      <c r="BH42" s="360"/>
      <c r="BI42" s="360"/>
      <c r="BJ42" s="360"/>
      <c r="BK42" s="360"/>
      <c r="BL42" s="360"/>
      <c r="BM42" s="360"/>
      <c r="BN42" s="360"/>
      <c r="BO42" s="360"/>
      <c r="BP42" s="360"/>
      <c r="BQ42" s="360"/>
      <c r="BR42" s="360"/>
      <c r="BS42" s="360"/>
      <c r="BT42" s="360"/>
      <c r="BU42" s="360"/>
      <c r="BV42" s="360"/>
      <c r="BW42" s="360"/>
      <c r="BX42" s="370"/>
    </row>
    <row r="43" spans="1:76" ht="9.75" customHeight="1" x14ac:dyDescent="0.25">
      <c r="A43" s="6"/>
      <c r="B43" s="336">
        <v>17</v>
      </c>
      <c r="C43" s="324" t="e">
        <f>VLOOKUP(B43,#REF!,2,0)</f>
        <v>#REF!</v>
      </c>
      <c r="D43" s="337" t="e">
        <f>VLOOKUP(B43,#REF!,10,0)</f>
        <v>#REF!</v>
      </c>
      <c r="E43" s="23"/>
      <c r="F43" s="322" t="e">
        <f>VLOOKUP(B43,#REF!,15,0)</f>
        <v>#REF!</v>
      </c>
      <c r="G43" s="323" t="e">
        <f t="shared" ref="G43" si="124">D43-F43</f>
        <v>#REF!</v>
      </c>
      <c r="H43" s="24"/>
      <c r="I43" s="334" t="e">
        <f>VLOOKUP(B43,#REF!,11,0)</f>
        <v>#REF!</v>
      </c>
      <c r="J43" s="335"/>
      <c r="K43" s="321" t="e">
        <f t="shared" ref="K43" si="125">I43/SUM($I$11:$J$50)</f>
        <v>#REF!</v>
      </c>
      <c r="N43" s="336">
        <v>17</v>
      </c>
      <c r="O43" s="324" t="e">
        <f t="shared" ref="O43" si="126">C43</f>
        <v>#REF!</v>
      </c>
      <c r="P43" s="338" t="e">
        <f t="shared" ref="P43" si="127">I43</f>
        <v>#REF!</v>
      </c>
      <c r="Q43" s="321" t="e">
        <f t="shared" ref="Q43" si="128">K43</f>
        <v>#REF!</v>
      </c>
      <c r="S43" s="33" t="e">
        <f>#REF!</f>
        <v>#REF!</v>
      </c>
      <c r="T43" s="33" t="e">
        <f>#REF!</f>
        <v>#REF!</v>
      </c>
      <c r="U43" s="33" t="e">
        <f>#REF!</f>
        <v>#REF!</v>
      </c>
      <c r="V43" s="33" t="e">
        <f>#REF!</f>
        <v>#REF!</v>
      </c>
      <c r="W43" s="33" t="e">
        <f>#REF!</f>
        <v>#REF!</v>
      </c>
      <c r="X43" s="33" t="e">
        <f>#REF!</f>
        <v>#REF!</v>
      </c>
      <c r="Y43" s="33" t="e">
        <f>#REF!</f>
        <v>#REF!</v>
      </c>
      <c r="Z43" s="33" t="e">
        <f>#REF!</f>
        <v>#REF!</v>
      </c>
      <c r="AA43" s="33" t="e">
        <f>#REF!</f>
        <v>#REF!</v>
      </c>
      <c r="AB43" s="33" t="e">
        <f>#REF!</f>
        <v>#REF!</v>
      </c>
      <c r="AC43" s="33" t="e">
        <f>#REF!</f>
        <v>#REF!</v>
      </c>
      <c r="AD43" s="33" t="e">
        <f>#REF!</f>
        <v>#REF!</v>
      </c>
      <c r="AG43" s="336">
        <v>17</v>
      </c>
      <c r="AH43" s="324" t="e">
        <f t="shared" ref="AH43" si="129">O43</f>
        <v>#REF!</v>
      </c>
      <c r="AI43" s="338" t="e">
        <f t="shared" ref="AI43" si="130">P43</f>
        <v>#REF!</v>
      </c>
      <c r="AJ43" s="321" t="e">
        <f t="shared" ref="AJ43" si="131">Q43</f>
        <v>#REF!</v>
      </c>
      <c r="AL43" s="29" t="e">
        <f>#REF!</f>
        <v>#REF!</v>
      </c>
      <c r="AM43" s="29" t="e">
        <f>#REF!</f>
        <v>#REF!</v>
      </c>
      <c r="AN43" s="29" t="e">
        <f>#REF!</f>
        <v>#REF!</v>
      </c>
      <c r="AO43" s="29" t="e">
        <f>#REF!</f>
        <v>#REF!</v>
      </c>
      <c r="AP43" s="29" t="e">
        <f>#REF!</f>
        <v>#REF!</v>
      </c>
      <c r="AQ43" s="29" t="e">
        <f>#REF!</f>
        <v>#REF!</v>
      </c>
      <c r="AR43" s="29" t="e">
        <f>#REF!</f>
        <v>#REF!</v>
      </c>
      <c r="AS43" s="29" t="e">
        <f>#REF!</f>
        <v>#REF!</v>
      </c>
      <c r="AT43" s="29" t="e">
        <f>#REF!</f>
        <v>#REF!</v>
      </c>
      <c r="AU43" s="29" t="e">
        <f>#REF!</f>
        <v>#REF!</v>
      </c>
      <c r="AV43" s="29" t="e">
        <f>#REF!</f>
        <v>#REF!</v>
      </c>
      <c r="AW43" s="29" t="e">
        <f>#REF!</f>
        <v>#REF!</v>
      </c>
      <c r="AZ43" s="363"/>
      <c r="BA43" s="360"/>
      <c r="BB43" s="360"/>
      <c r="BC43" s="360"/>
      <c r="BD43" s="360"/>
      <c r="BE43" s="360"/>
      <c r="BF43" s="360"/>
      <c r="BG43" s="360"/>
      <c r="BH43" s="360"/>
      <c r="BI43" s="360"/>
      <c r="BJ43" s="360"/>
      <c r="BK43" s="360"/>
      <c r="BL43" s="360"/>
      <c r="BM43" s="360"/>
      <c r="BN43" s="360"/>
      <c r="BO43" s="360"/>
      <c r="BP43" s="360"/>
      <c r="BQ43" s="360"/>
      <c r="BR43" s="360"/>
      <c r="BS43" s="360"/>
      <c r="BT43" s="360"/>
      <c r="BU43" s="360"/>
      <c r="BV43" s="360"/>
      <c r="BW43" s="360"/>
      <c r="BX43" s="370"/>
    </row>
    <row r="44" spans="1:76" ht="9.75" customHeight="1" x14ac:dyDescent="0.25">
      <c r="A44" s="6"/>
      <c r="B44" s="336"/>
      <c r="C44" s="324"/>
      <c r="D44" s="337"/>
      <c r="E44" s="23"/>
      <c r="F44" s="322"/>
      <c r="G44" s="323"/>
      <c r="H44" s="24"/>
      <c r="I44" s="334"/>
      <c r="J44" s="335"/>
      <c r="K44" s="321"/>
      <c r="N44" s="336"/>
      <c r="O44" s="324"/>
      <c r="P44" s="338"/>
      <c r="Q44" s="321"/>
      <c r="R44" s="11"/>
      <c r="S44" s="40" t="e">
        <f>#REF!</f>
        <v>#REF!</v>
      </c>
      <c r="T44" s="40" t="e">
        <f>#REF!</f>
        <v>#REF!</v>
      </c>
      <c r="U44" s="40" t="e">
        <f>#REF!</f>
        <v>#REF!</v>
      </c>
      <c r="V44" s="40" t="e">
        <f>#REF!</f>
        <v>#REF!</v>
      </c>
      <c r="W44" s="40" t="e">
        <f>#REF!</f>
        <v>#REF!</v>
      </c>
      <c r="X44" s="40" t="e">
        <f>#REF!</f>
        <v>#REF!</v>
      </c>
      <c r="Y44" s="40" t="e">
        <f>#REF!</f>
        <v>#REF!</v>
      </c>
      <c r="Z44" s="40" t="e">
        <f>#REF!</f>
        <v>#REF!</v>
      </c>
      <c r="AA44" s="40" t="e">
        <f>#REF!</f>
        <v>#REF!</v>
      </c>
      <c r="AB44" s="40" t="e">
        <f>#REF!</f>
        <v>#REF!</v>
      </c>
      <c r="AC44" s="40" t="e">
        <f>#REF!</f>
        <v>#REF!</v>
      </c>
      <c r="AD44" s="40" t="e">
        <f>#REF!</f>
        <v>#REF!</v>
      </c>
      <c r="AG44" s="336"/>
      <c r="AH44" s="324"/>
      <c r="AI44" s="338"/>
      <c r="AJ44" s="321"/>
      <c r="AK44" s="11"/>
      <c r="AL44" s="37" t="e">
        <f>#REF!</f>
        <v>#REF!</v>
      </c>
      <c r="AM44" s="37" t="e">
        <f>#REF!</f>
        <v>#REF!</v>
      </c>
      <c r="AN44" s="37" t="e">
        <f>#REF!</f>
        <v>#REF!</v>
      </c>
      <c r="AO44" s="37" t="e">
        <f>#REF!</f>
        <v>#REF!</v>
      </c>
      <c r="AP44" s="37" t="e">
        <f>#REF!</f>
        <v>#REF!</v>
      </c>
      <c r="AQ44" s="37" t="e">
        <f>#REF!</f>
        <v>#REF!</v>
      </c>
      <c r="AR44" s="37" t="e">
        <f>#REF!</f>
        <v>#REF!</v>
      </c>
      <c r="AS44" s="37" t="e">
        <f>#REF!</f>
        <v>#REF!</v>
      </c>
      <c r="AT44" s="37" t="e">
        <f>#REF!</f>
        <v>#REF!</v>
      </c>
      <c r="AU44" s="37" t="e">
        <f>#REF!</f>
        <v>#REF!</v>
      </c>
      <c r="AV44" s="37" t="e">
        <f>#REF!</f>
        <v>#REF!</v>
      </c>
      <c r="AW44" s="37" t="e">
        <f>#REF!</f>
        <v>#REF!</v>
      </c>
      <c r="AZ44" s="363"/>
      <c r="BA44" s="360"/>
      <c r="BB44" s="360"/>
      <c r="BC44" s="360"/>
      <c r="BD44" s="360"/>
      <c r="BE44" s="360"/>
      <c r="BF44" s="360"/>
      <c r="BG44" s="360"/>
      <c r="BH44" s="360"/>
      <c r="BI44" s="360"/>
      <c r="BJ44" s="360"/>
      <c r="BK44" s="360"/>
      <c r="BL44" s="360"/>
      <c r="BM44" s="360"/>
      <c r="BN44" s="360"/>
      <c r="BO44" s="360"/>
      <c r="BP44" s="360"/>
      <c r="BQ44" s="360"/>
      <c r="BR44" s="360"/>
      <c r="BS44" s="360"/>
      <c r="BT44" s="360"/>
      <c r="BU44" s="360"/>
      <c r="BV44" s="360"/>
      <c r="BW44" s="360"/>
      <c r="BX44" s="370"/>
    </row>
    <row r="45" spans="1:76" ht="9.75" customHeight="1" x14ac:dyDescent="0.25">
      <c r="A45" s="6"/>
      <c r="B45" s="336">
        <v>18</v>
      </c>
      <c r="C45" s="324" t="e">
        <f>VLOOKUP(B45,#REF!,2,0)</f>
        <v>#REF!</v>
      </c>
      <c r="D45" s="337" t="e">
        <f>VLOOKUP(B45,#REF!,10,0)</f>
        <v>#REF!</v>
      </c>
      <c r="E45" s="23"/>
      <c r="F45" s="322" t="e">
        <f>VLOOKUP(B45,#REF!,15,0)</f>
        <v>#REF!</v>
      </c>
      <c r="G45" s="323" t="e">
        <f t="shared" ref="G45" si="132">D45-F45</f>
        <v>#REF!</v>
      </c>
      <c r="H45" s="24"/>
      <c r="I45" s="334" t="e">
        <f>VLOOKUP(B45,#REF!,11,0)</f>
        <v>#REF!</v>
      </c>
      <c r="J45" s="335"/>
      <c r="K45" s="321" t="e">
        <f t="shared" ref="K45" si="133">I45/SUM($I$11:$J$50)</f>
        <v>#REF!</v>
      </c>
      <c r="N45" s="336">
        <v>18</v>
      </c>
      <c r="O45" s="324" t="e">
        <f t="shared" ref="O45" si="134">C45</f>
        <v>#REF!</v>
      </c>
      <c r="P45" s="338" t="e">
        <f t="shared" ref="P45" si="135">I45</f>
        <v>#REF!</v>
      </c>
      <c r="Q45" s="321" t="e">
        <f t="shared" ref="Q45" si="136">K45</f>
        <v>#REF!</v>
      </c>
      <c r="R45" s="11"/>
      <c r="S45" s="33" t="e">
        <f>#REF!</f>
        <v>#REF!</v>
      </c>
      <c r="T45" s="33" t="e">
        <f>#REF!</f>
        <v>#REF!</v>
      </c>
      <c r="U45" s="33" t="e">
        <f>#REF!</f>
        <v>#REF!</v>
      </c>
      <c r="V45" s="33" t="e">
        <f>#REF!</f>
        <v>#REF!</v>
      </c>
      <c r="W45" s="33" t="e">
        <f>#REF!</f>
        <v>#REF!</v>
      </c>
      <c r="X45" s="33" t="e">
        <f>#REF!</f>
        <v>#REF!</v>
      </c>
      <c r="Y45" s="33" t="e">
        <f>#REF!</f>
        <v>#REF!</v>
      </c>
      <c r="Z45" s="33" t="e">
        <f>#REF!</f>
        <v>#REF!</v>
      </c>
      <c r="AA45" s="33" t="e">
        <f>#REF!</f>
        <v>#REF!</v>
      </c>
      <c r="AB45" s="33" t="e">
        <f>#REF!</f>
        <v>#REF!</v>
      </c>
      <c r="AC45" s="33" t="e">
        <f>#REF!</f>
        <v>#REF!</v>
      </c>
      <c r="AD45" s="33" t="e">
        <f>#REF!</f>
        <v>#REF!</v>
      </c>
      <c r="AG45" s="336">
        <v>18</v>
      </c>
      <c r="AH45" s="324" t="e">
        <f t="shared" ref="AH45" si="137">O45</f>
        <v>#REF!</v>
      </c>
      <c r="AI45" s="338" t="e">
        <f t="shared" ref="AI45" si="138">P45</f>
        <v>#REF!</v>
      </c>
      <c r="AJ45" s="321" t="e">
        <f t="shared" ref="AJ45" si="139">Q45</f>
        <v>#REF!</v>
      </c>
      <c r="AK45" s="11"/>
      <c r="AL45" s="29" t="e">
        <f>#REF!</f>
        <v>#REF!</v>
      </c>
      <c r="AM45" s="29" t="e">
        <f>#REF!</f>
        <v>#REF!</v>
      </c>
      <c r="AN45" s="29" t="e">
        <f>#REF!</f>
        <v>#REF!</v>
      </c>
      <c r="AO45" s="29" t="e">
        <f>#REF!</f>
        <v>#REF!</v>
      </c>
      <c r="AP45" s="29" t="e">
        <f>#REF!</f>
        <v>#REF!</v>
      </c>
      <c r="AQ45" s="29" t="e">
        <f>#REF!</f>
        <v>#REF!</v>
      </c>
      <c r="AR45" s="29" t="e">
        <f>#REF!</f>
        <v>#REF!</v>
      </c>
      <c r="AS45" s="29" t="e">
        <f>#REF!</f>
        <v>#REF!</v>
      </c>
      <c r="AT45" s="29" t="e">
        <f>#REF!</f>
        <v>#REF!</v>
      </c>
      <c r="AU45" s="29" t="e">
        <f>#REF!</f>
        <v>#REF!</v>
      </c>
      <c r="AV45" s="29" t="e">
        <f>#REF!</f>
        <v>#REF!</v>
      </c>
      <c r="AW45" s="29" t="e">
        <f>#REF!</f>
        <v>#REF!</v>
      </c>
      <c r="AZ45" s="363"/>
      <c r="BA45" s="360"/>
      <c r="BB45" s="360"/>
      <c r="BC45" s="360"/>
      <c r="BD45" s="360"/>
      <c r="BE45" s="360"/>
      <c r="BF45" s="360"/>
      <c r="BG45" s="360"/>
      <c r="BH45" s="360"/>
      <c r="BI45" s="360"/>
      <c r="BJ45" s="360"/>
      <c r="BK45" s="360"/>
      <c r="BL45" s="360"/>
      <c r="BM45" s="360"/>
      <c r="BN45" s="360"/>
      <c r="BO45" s="360"/>
      <c r="BP45" s="360"/>
      <c r="BQ45" s="360"/>
      <c r="BR45" s="360"/>
      <c r="BS45" s="360"/>
      <c r="BT45" s="360"/>
      <c r="BU45" s="360"/>
      <c r="BV45" s="360"/>
      <c r="BW45" s="360"/>
      <c r="BX45" s="370"/>
    </row>
    <row r="46" spans="1:76" ht="9.75" customHeight="1" x14ac:dyDescent="0.25">
      <c r="A46" s="6"/>
      <c r="B46" s="336"/>
      <c r="C46" s="324"/>
      <c r="D46" s="337"/>
      <c r="E46" s="23"/>
      <c r="F46" s="322"/>
      <c r="G46" s="323"/>
      <c r="H46" s="24"/>
      <c r="I46" s="334"/>
      <c r="J46" s="335"/>
      <c r="K46" s="321"/>
      <c r="N46" s="336"/>
      <c r="O46" s="324"/>
      <c r="P46" s="338"/>
      <c r="Q46" s="321"/>
      <c r="R46" s="11"/>
      <c r="S46" s="40" t="e">
        <f>#REF!</f>
        <v>#REF!</v>
      </c>
      <c r="T46" s="40" t="e">
        <f>#REF!</f>
        <v>#REF!</v>
      </c>
      <c r="U46" s="40" t="e">
        <f>#REF!</f>
        <v>#REF!</v>
      </c>
      <c r="V46" s="40" t="e">
        <f>#REF!</f>
        <v>#REF!</v>
      </c>
      <c r="W46" s="40" t="e">
        <f>#REF!</f>
        <v>#REF!</v>
      </c>
      <c r="X46" s="40" t="e">
        <f>#REF!</f>
        <v>#REF!</v>
      </c>
      <c r="Y46" s="40" t="e">
        <f>#REF!</f>
        <v>#REF!</v>
      </c>
      <c r="Z46" s="40" t="e">
        <f>#REF!</f>
        <v>#REF!</v>
      </c>
      <c r="AA46" s="40" t="e">
        <f>#REF!</f>
        <v>#REF!</v>
      </c>
      <c r="AB46" s="40" t="e">
        <f>#REF!</f>
        <v>#REF!</v>
      </c>
      <c r="AC46" s="40" t="e">
        <f>#REF!</f>
        <v>#REF!</v>
      </c>
      <c r="AD46" s="40" t="e">
        <f>#REF!</f>
        <v>#REF!</v>
      </c>
      <c r="AG46" s="336"/>
      <c r="AH46" s="324"/>
      <c r="AI46" s="338"/>
      <c r="AJ46" s="321"/>
      <c r="AK46" s="11"/>
      <c r="AL46" s="37" t="e">
        <f>#REF!</f>
        <v>#REF!</v>
      </c>
      <c r="AM46" s="37" t="e">
        <f>#REF!</f>
        <v>#REF!</v>
      </c>
      <c r="AN46" s="37" t="e">
        <f>#REF!</f>
        <v>#REF!</v>
      </c>
      <c r="AO46" s="37" t="e">
        <f>#REF!</f>
        <v>#REF!</v>
      </c>
      <c r="AP46" s="37" t="e">
        <f>#REF!</f>
        <v>#REF!</v>
      </c>
      <c r="AQ46" s="37" t="e">
        <f>#REF!</f>
        <v>#REF!</v>
      </c>
      <c r="AR46" s="37" t="e">
        <f>#REF!</f>
        <v>#REF!</v>
      </c>
      <c r="AS46" s="37" t="e">
        <f>#REF!</f>
        <v>#REF!</v>
      </c>
      <c r="AT46" s="37" t="e">
        <f>#REF!</f>
        <v>#REF!</v>
      </c>
      <c r="AU46" s="37" t="e">
        <f>#REF!</f>
        <v>#REF!</v>
      </c>
      <c r="AV46" s="37" t="e">
        <f>#REF!</f>
        <v>#REF!</v>
      </c>
      <c r="AW46" s="37" t="e">
        <f>#REF!</f>
        <v>#REF!</v>
      </c>
      <c r="AZ46" s="364" t="s">
        <v>6049</v>
      </c>
      <c r="BA46" s="361" t="e">
        <f>S56</f>
        <v>#REF!</v>
      </c>
      <c r="BB46" s="361" t="e">
        <f t="shared" ref="BB46:BL46" si="140">T56</f>
        <v>#REF!</v>
      </c>
      <c r="BC46" s="361" t="e">
        <f t="shared" si="140"/>
        <v>#REF!</v>
      </c>
      <c r="BD46" s="361" t="e">
        <f t="shared" si="140"/>
        <v>#REF!</v>
      </c>
      <c r="BE46" s="361" t="e">
        <f t="shared" si="140"/>
        <v>#REF!</v>
      </c>
      <c r="BF46" s="361" t="e">
        <f t="shared" si="140"/>
        <v>#REF!</v>
      </c>
      <c r="BG46" s="361" t="e">
        <f t="shared" si="140"/>
        <v>#REF!</v>
      </c>
      <c r="BH46" s="361" t="e">
        <f t="shared" si="140"/>
        <v>#REF!</v>
      </c>
      <c r="BI46" s="361" t="e">
        <f t="shared" si="140"/>
        <v>#REF!</v>
      </c>
      <c r="BJ46" s="361" t="e">
        <f t="shared" si="140"/>
        <v>#REF!</v>
      </c>
      <c r="BK46" s="361" t="e">
        <f t="shared" si="140"/>
        <v>#REF!</v>
      </c>
      <c r="BL46" s="361" t="e">
        <f t="shared" si="140"/>
        <v>#REF!</v>
      </c>
      <c r="BM46" s="361" t="e">
        <f>AL56</f>
        <v>#REF!</v>
      </c>
      <c r="BN46" s="361" t="e">
        <f t="shared" ref="BN46:BX46" si="141">AM56</f>
        <v>#REF!</v>
      </c>
      <c r="BO46" s="361" t="e">
        <f t="shared" si="141"/>
        <v>#REF!</v>
      </c>
      <c r="BP46" s="361" t="e">
        <f t="shared" si="141"/>
        <v>#REF!</v>
      </c>
      <c r="BQ46" s="361" t="e">
        <f t="shared" si="141"/>
        <v>#REF!</v>
      </c>
      <c r="BR46" s="361" t="e">
        <f t="shared" si="141"/>
        <v>#REF!</v>
      </c>
      <c r="BS46" s="361" t="e">
        <f t="shared" si="141"/>
        <v>#REF!</v>
      </c>
      <c r="BT46" s="361" t="e">
        <f t="shared" si="141"/>
        <v>#REF!</v>
      </c>
      <c r="BU46" s="361" t="e">
        <f t="shared" si="141"/>
        <v>#REF!</v>
      </c>
      <c r="BV46" s="361" t="e">
        <f t="shared" si="141"/>
        <v>#REF!</v>
      </c>
      <c r="BW46" s="361" t="e">
        <f t="shared" si="141"/>
        <v>#REF!</v>
      </c>
      <c r="BX46" s="366" t="e">
        <f t="shared" si="141"/>
        <v>#REF!</v>
      </c>
    </row>
    <row r="47" spans="1:76" ht="9.75" customHeight="1" x14ac:dyDescent="0.25">
      <c r="A47" s="6"/>
      <c r="B47" s="336">
        <v>19</v>
      </c>
      <c r="C47" s="324" t="e">
        <f>VLOOKUP(B47,#REF!,2,0)</f>
        <v>#REF!</v>
      </c>
      <c r="D47" s="337" t="e">
        <f>VLOOKUP(B47,#REF!,10,0)</f>
        <v>#REF!</v>
      </c>
      <c r="E47" s="23"/>
      <c r="F47" s="322" t="e">
        <f>VLOOKUP(B47,#REF!,15,0)</f>
        <v>#REF!</v>
      </c>
      <c r="G47" s="323" t="e">
        <f t="shared" ref="G47" si="142">D47-F47</f>
        <v>#REF!</v>
      </c>
      <c r="H47" s="24"/>
      <c r="I47" s="334" t="e">
        <f>VLOOKUP(B47,#REF!,11,0)</f>
        <v>#REF!</v>
      </c>
      <c r="J47" s="335"/>
      <c r="K47" s="321" t="e">
        <f t="shared" ref="K47" si="143">I47/SUM($I$11:$J$50)</f>
        <v>#REF!</v>
      </c>
      <c r="N47" s="336">
        <v>19</v>
      </c>
      <c r="O47" s="324" t="e">
        <f t="shared" ref="O47" si="144">C47</f>
        <v>#REF!</v>
      </c>
      <c r="P47" s="338" t="e">
        <f t="shared" ref="P47" si="145">I47</f>
        <v>#REF!</v>
      </c>
      <c r="Q47" s="321" t="e">
        <f t="shared" ref="Q47" si="146">K47</f>
        <v>#REF!</v>
      </c>
      <c r="S47" s="33" t="e">
        <f>#REF!</f>
        <v>#REF!</v>
      </c>
      <c r="T47" s="33" t="e">
        <f>#REF!</f>
        <v>#REF!</v>
      </c>
      <c r="U47" s="33" t="e">
        <f>#REF!</f>
        <v>#REF!</v>
      </c>
      <c r="V47" s="33" t="e">
        <f>#REF!</f>
        <v>#REF!</v>
      </c>
      <c r="W47" s="33" t="e">
        <f>#REF!</f>
        <v>#REF!</v>
      </c>
      <c r="X47" s="33" t="e">
        <f>#REF!</f>
        <v>#REF!</v>
      </c>
      <c r="Y47" s="33" t="e">
        <f>#REF!</f>
        <v>#REF!</v>
      </c>
      <c r="Z47" s="33" t="e">
        <f>#REF!</f>
        <v>#REF!</v>
      </c>
      <c r="AA47" s="33" t="e">
        <f>#REF!</f>
        <v>#REF!</v>
      </c>
      <c r="AB47" s="33" t="e">
        <f>#REF!</f>
        <v>#REF!</v>
      </c>
      <c r="AC47" s="33" t="e">
        <f>#REF!</f>
        <v>#REF!</v>
      </c>
      <c r="AD47" s="33" t="e">
        <f>#REF!</f>
        <v>#REF!</v>
      </c>
      <c r="AG47" s="336">
        <v>19</v>
      </c>
      <c r="AH47" s="324" t="e">
        <f t="shared" ref="AH47" si="147">O47</f>
        <v>#REF!</v>
      </c>
      <c r="AI47" s="338" t="e">
        <f t="shared" ref="AI47" si="148">P47</f>
        <v>#REF!</v>
      </c>
      <c r="AJ47" s="321" t="e">
        <f t="shared" ref="AJ47" si="149">Q47</f>
        <v>#REF!</v>
      </c>
      <c r="AL47" s="29" t="e">
        <f>#REF!</f>
        <v>#REF!</v>
      </c>
      <c r="AM47" s="29" t="e">
        <f>#REF!</f>
        <v>#REF!</v>
      </c>
      <c r="AN47" s="29" t="e">
        <f>#REF!</f>
        <v>#REF!</v>
      </c>
      <c r="AO47" s="29" t="e">
        <f>#REF!</f>
        <v>#REF!</v>
      </c>
      <c r="AP47" s="29" t="e">
        <f>#REF!</f>
        <v>#REF!</v>
      </c>
      <c r="AQ47" s="29" t="e">
        <f>#REF!</f>
        <v>#REF!</v>
      </c>
      <c r="AR47" s="29" t="e">
        <f>#REF!</f>
        <v>#REF!</v>
      </c>
      <c r="AS47" s="29" t="e">
        <f>#REF!</f>
        <v>#REF!</v>
      </c>
      <c r="AT47" s="29" t="e">
        <f>#REF!</f>
        <v>#REF!</v>
      </c>
      <c r="AU47" s="29" t="e">
        <f>#REF!</f>
        <v>#REF!</v>
      </c>
      <c r="AV47" s="29" t="e">
        <f>#REF!</f>
        <v>#REF!</v>
      </c>
      <c r="AW47" s="29" t="e">
        <f>#REF!</f>
        <v>#REF!</v>
      </c>
      <c r="AZ47" s="364"/>
      <c r="BA47" s="361"/>
      <c r="BB47" s="361"/>
      <c r="BC47" s="361"/>
      <c r="BD47" s="361"/>
      <c r="BE47" s="361"/>
      <c r="BF47" s="361"/>
      <c r="BG47" s="361"/>
      <c r="BH47" s="361"/>
      <c r="BI47" s="361"/>
      <c r="BJ47" s="361"/>
      <c r="BK47" s="361"/>
      <c r="BL47" s="361"/>
      <c r="BM47" s="361"/>
      <c r="BN47" s="361"/>
      <c r="BO47" s="361"/>
      <c r="BP47" s="361"/>
      <c r="BQ47" s="361"/>
      <c r="BR47" s="361"/>
      <c r="BS47" s="361"/>
      <c r="BT47" s="361"/>
      <c r="BU47" s="361"/>
      <c r="BV47" s="361"/>
      <c r="BW47" s="361"/>
      <c r="BX47" s="366"/>
    </row>
    <row r="48" spans="1:76" ht="9.75" customHeight="1" x14ac:dyDescent="0.25">
      <c r="B48" s="336"/>
      <c r="C48" s="324"/>
      <c r="D48" s="337"/>
      <c r="E48" s="23"/>
      <c r="F48" s="322"/>
      <c r="G48" s="323"/>
      <c r="H48" s="24"/>
      <c r="I48" s="334"/>
      <c r="J48" s="335"/>
      <c r="K48" s="321"/>
      <c r="N48" s="336"/>
      <c r="O48" s="324"/>
      <c r="P48" s="338"/>
      <c r="Q48" s="321"/>
      <c r="S48" s="40" t="e">
        <f>#REF!</f>
        <v>#REF!</v>
      </c>
      <c r="T48" s="40" t="e">
        <f>#REF!</f>
        <v>#REF!</v>
      </c>
      <c r="U48" s="40" t="e">
        <f>#REF!</f>
        <v>#REF!</v>
      </c>
      <c r="V48" s="40" t="e">
        <f>#REF!</f>
        <v>#REF!</v>
      </c>
      <c r="W48" s="40" t="e">
        <f>#REF!</f>
        <v>#REF!</v>
      </c>
      <c r="X48" s="40" t="e">
        <f>#REF!</f>
        <v>#REF!</v>
      </c>
      <c r="Y48" s="40" t="e">
        <f>#REF!</f>
        <v>#REF!</v>
      </c>
      <c r="Z48" s="40" t="e">
        <f>#REF!</f>
        <v>#REF!</v>
      </c>
      <c r="AA48" s="40" t="e">
        <f>#REF!</f>
        <v>#REF!</v>
      </c>
      <c r="AB48" s="40" t="e">
        <f>#REF!</f>
        <v>#REF!</v>
      </c>
      <c r="AC48" s="40" t="e">
        <f>#REF!</f>
        <v>#REF!</v>
      </c>
      <c r="AD48" s="40" t="e">
        <f>#REF!</f>
        <v>#REF!</v>
      </c>
      <c r="AG48" s="336"/>
      <c r="AH48" s="324"/>
      <c r="AI48" s="338"/>
      <c r="AJ48" s="321"/>
      <c r="AL48" s="37" t="e">
        <f>#REF!</f>
        <v>#REF!</v>
      </c>
      <c r="AM48" s="37" t="e">
        <f>#REF!</f>
        <v>#REF!</v>
      </c>
      <c r="AN48" s="37" t="e">
        <f>#REF!</f>
        <v>#REF!</v>
      </c>
      <c r="AO48" s="37" t="e">
        <f>#REF!</f>
        <v>#REF!</v>
      </c>
      <c r="AP48" s="37" t="e">
        <f>#REF!</f>
        <v>#REF!</v>
      </c>
      <c r="AQ48" s="37" t="e">
        <f>#REF!</f>
        <v>#REF!</v>
      </c>
      <c r="AR48" s="37" t="e">
        <f>#REF!</f>
        <v>#REF!</v>
      </c>
      <c r="AS48" s="37" t="e">
        <f>#REF!</f>
        <v>#REF!</v>
      </c>
      <c r="AT48" s="37" t="e">
        <f>#REF!</f>
        <v>#REF!</v>
      </c>
      <c r="AU48" s="37" t="e">
        <f>#REF!</f>
        <v>#REF!</v>
      </c>
      <c r="AV48" s="37" t="e">
        <f>#REF!</f>
        <v>#REF!</v>
      </c>
      <c r="AW48" s="37" t="e">
        <f>#REF!</f>
        <v>#REF!</v>
      </c>
      <c r="AZ48" s="364"/>
      <c r="BA48" s="361"/>
      <c r="BB48" s="361"/>
      <c r="BC48" s="361"/>
      <c r="BD48" s="361"/>
      <c r="BE48" s="361"/>
      <c r="BF48" s="361"/>
      <c r="BG48" s="361"/>
      <c r="BH48" s="361"/>
      <c r="BI48" s="361"/>
      <c r="BJ48" s="361"/>
      <c r="BK48" s="361"/>
      <c r="BL48" s="361"/>
      <c r="BM48" s="361"/>
      <c r="BN48" s="361"/>
      <c r="BO48" s="361"/>
      <c r="BP48" s="361"/>
      <c r="BQ48" s="361"/>
      <c r="BR48" s="361"/>
      <c r="BS48" s="361"/>
      <c r="BT48" s="361"/>
      <c r="BU48" s="361"/>
      <c r="BV48" s="361"/>
      <c r="BW48" s="361"/>
      <c r="BX48" s="366"/>
    </row>
    <row r="49" spans="2:76" ht="9.75" customHeight="1" x14ac:dyDescent="0.25">
      <c r="B49" s="336">
        <v>20</v>
      </c>
      <c r="C49" s="324" t="e">
        <f>VLOOKUP(B49,#REF!,2,0)</f>
        <v>#REF!</v>
      </c>
      <c r="D49" s="337" t="e">
        <f>VLOOKUP(B49,#REF!,10,0)</f>
        <v>#REF!</v>
      </c>
      <c r="E49" s="23"/>
      <c r="F49" s="322" t="e">
        <f>VLOOKUP(B49,#REF!,15,0)</f>
        <v>#REF!</v>
      </c>
      <c r="G49" s="323" t="e">
        <f t="shared" ref="G49" si="150">D49-F49</f>
        <v>#REF!</v>
      </c>
      <c r="H49" s="24"/>
      <c r="I49" s="334" t="e">
        <f>VLOOKUP(B49,#REF!,11,0)</f>
        <v>#REF!</v>
      </c>
      <c r="J49" s="335"/>
      <c r="K49" s="321" t="e">
        <f t="shared" ref="K49" si="151">I49/SUM($I$11:$J$50)</f>
        <v>#REF!</v>
      </c>
      <c r="N49" s="336">
        <v>20</v>
      </c>
      <c r="O49" s="324" t="e">
        <f t="shared" ref="O49" si="152">C49</f>
        <v>#REF!</v>
      </c>
      <c r="P49" s="338" t="e">
        <f t="shared" ref="P49" si="153">I49</f>
        <v>#REF!</v>
      </c>
      <c r="Q49" s="321" t="e">
        <f t="shared" ref="Q49" si="154">K49</f>
        <v>#REF!</v>
      </c>
      <c r="S49" s="33" t="e">
        <f>#REF!</f>
        <v>#REF!</v>
      </c>
      <c r="T49" s="33" t="e">
        <f>#REF!</f>
        <v>#REF!</v>
      </c>
      <c r="U49" s="33" t="e">
        <f>#REF!</f>
        <v>#REF!</v>
      </c>
      <c r="V49" s="33" t="e">
        <f>#REF!</f>
        <v>#REF!</v>
      </c>
      <c r="W49" s="33" t="e">
        <f>#REF!</f>
        <v>#REF!</v>
      </c>
      <c r="X49" s="33" t="e">
        <f>#REF!</f>
        <v>#REF!</v>
      </c>
      <c r="Y49" s="33" t="e">
        <f>#REF!</f>
        <v>#REF!</v>
      </c>
      <c r="Z49" s="33" t="e">
        <f>#REF!</f>
        <v>#REF!</v>
      </c>
      <c r="AA49" s="33" t="e">
        <f>#REF!</f>
        <v>#REF!</v>
      </c>
      <c r="AB49" s="33" t="e">
        <f>#REF!</f>
        <v>#REF!</v>
      </c>
      <c r="AC49" s="33" t="e">
        <f>#REF!</f>
        <v>#REF!</v>
      </c>
      <c r="AD49" s="33" t="e">
        <f>#REF!</f>
        <v>#REF!</v>
      </c>
      <c r="AG49" s="336">
        <v>20</v>
      </c>
      <c r="AH49" s="324" t="e">
        <f t="shared" ref="AH49" si="155">O49</f>
        <v>#REF!</v>
      </c>
      <c r="AI49" s="338" t="e">
        <f t="shared" ref="AI49" si="156">P49</f>
        <v>#REF!</v>
      </c>
      <c r="AJ49" s="321" t="e">
        <f t="shared" ref="AJ49" si="157">Q49</f>
        <v>#REF!</v>
      </c>
      <c r="AL49" s="29" t="e">
        <f>#REF!</f>
        <v>#REF!</v>
      </c>
      <c r="AM49" s="29" t="e">
        <f>#REF!</f>
        <v>#REF!</v>
      </c>
      <c r="AN49" s="29" t="e">
        <f>#REF!</f>
        <v>#REF!</v>
      </c>
      <c r="AO49" s="29" t="e">
        <f>#REF!</f>
        <v>#REF!</v>
      </c>
      <c r="AP49" s="29" t="e">
        <f>#REF!</f>
        <v>#REF!</v>
      </c>
      <c r="AQ49" s="29" t="e">
        <f>#REF!</f>
        <v>#REF!</v>
      </c>
      <c r="AR49" s="29" t="e">
        <f>#REF!</f>
        <v>#REF!</v>
      </c>
      <c r="AS49" s="29" t="e">
        <f>#REF!</f>
        <v>#REF!</v>
      </c>
      <c r="AT49" s="29" t="e">
        <f>#REF!</f>
        <v>#REF!</v>
      </c>
      <c r="AU49" s="29" t="e">
        <f>#REF!</f>
        <v>#REF!</v>
      </c>
      <c r="AV49" s="29" t="e">
        <f>#REF!</f>
        <v>#REF!</v>
      </c>
      <c r="AW49" s="29" t="e">
        <f>#REF!</f>
        <v>#REF!</v>
      </c>
      <c r="AZ49" s="364"/>
      <c r="BA49" s="361"/>
      <c r="BB49" s="361"/>
      <c r="BC49" s="361"/>
      <c r="BD49" s="361"/>
      <c r="BE49" s="361"/>
      <c r="BF49" s="361"/>
      <c r="BG49" s="361"/>
      <c r="BH49" s="361"/>
      <c r="BI49" s="361"/>
      <c r="BJ49" s="361"/>
      <c r="BK49" s="361"/>
      <c r="BL49" s="361"/>
      <c r="BM49" s="361"/>
      <c r="BN49" s="361"/>
      <c r="BO49" s="361"/>
      <c r="BP49" s="361"/>
      <c r="BQ49" s="361"/>
      <c r="BR49" s="361"/>
      <c r="BS49" s="361"/>
      <c r="BT49" s="361"/>
      <c r="BU49" s="361"/>
      <c r="BV49" s="361"/>
      <c r="BW49" s="361"/>
      <c r="BX49" s="366"/>
    </row>
    <row r="50" spans="2:76" ht="9.75" customHeight="1" x14ac:dyDescent="0.25">
      <c r="B50" s="339"/>
      <c r="C50" s="345"/>
      <c r="D50" s="346"/>
      <c r="E50" s="23"/>
      <c r="F50" s="344"/>
      <c r="G50" s="347"/>
      <c r="H50" s="24"/>
      <c r="I50" s="348"/>
      <c r="J50" s="349"/>
      <c r="K50" s="350"/>
      <c r="N50" s="339"/>
      <c r="O50" s="345"/>
      <c r="P50" s="352"/>
      <c r="Q50" s="350"/>
      <c r="S50" s="40" t="e">
        <f>#REF!</f>
        <v>#REF!</v>
      </c>
      <c r="T50" s="40" t="e">
        <f>#REF!</f>
        <v>#REF!</v>
      </c>
      <c r="U50" s="40" t="e">
        <f>#REF!</f>
        <v>#REF!</v>
      </c>
      <c r="V50" s="40" t="e">
        <f>#REF!</f>
        <v>#REF!</v>
      </c>
      <c r="W50" s="40" t="e">
        <f>#REF!</f>
        <v>#REF!</v>
      </c>
      <c r="X50" s="40" t="e">
        <f>#REF!</f>
        <v>#REF!</v>
      </c>
      <c r="Y50" s="40" t="e">
        <f>#REF!</f>
        <v>#REF!</v>
      </c>
      <c r="Z50" s="40" t="e">
        <f>#REF!</f>
        <v>#REF!</v>
      </c>
      <c r="AA50" s="40" t="e">
        <f>#REF!</f>
        <v>#REF!</v>
      </c>
      <c r="AB50" s="40" t="e">
        <f>#REF!</f>
        <v>#REF!</v>
      </c>
      <c r="AC50" s="40" t="e">
        <f>#REF!</f>
        <v>#REF!</v>
      </c>
      <c r="AD50" s="40" t="e">
        <f>#REF!</f>
        <v>#REF!</v>
      </c>
      <c r="AG50" s="339"/>
      <c r="AH50" s="345"/>
      <c r="AI50" s="352"/>
      <c r="AJ50" s="350"/>
      <c r="AL50" s="37" t="e">
        <f>#REF!</f>
        <v>#REF!</v>
      </c>
      <c r="AM50" s="37" t="e">
        <f>#REF!</f>
        <v>#REF!</v>
      </c>
      <c r="AN50" s="37" t="e">
        <f>#REF!</f>
        <v>#REF!</v>
      </c>
      <c r="AO50" s="37" t="e">
        <f>#REF!</f>
        <v>#REF!</v>
      </c>
      <c r="AP50" s="37" t="e">
        <f>#REF!</f>
        <v>#REF!</v>
      </c>
      <c r="AQ50" s="37" t="e">
        <f>#REF!</f>
        <v>#REF!</v>
      </c>
      <c r="AR50" s="37" t="e">
        <f>#REF!</f>
        <v>#REF!</v>
      </c>
      <c r="AS50" s="37" t="e">
        <f>#REF!</f>
        <v>#REF!</v>
      </c>
      <c r="AT50" s="37" t="e">
        <f>#REF!</f>
        <v>#REF!</v>
      </c>
      <c r="AU50" s="37" t="e">
        <f>#REF!</f>
        <v>#REF!</v>
      </c>
      <c r="AV50" s="37" t="e">
        <f>#REF!</f>
        <v>#REF!</v>
      </c>
      <c r="AW50" s="37" t="e">
        <f>#REF!</f>
        <v>#REF!</v>
      </c>
      <c r="AZ50" s="364"/>
      <c r="BA50" s="361"/>
      <c r="BB50" s="361"/>
      <c r="BC50" s="361"/>
      <c r="BD50" s="361"/>
      <c r="BE50" s="361"/>
      <c r="BF50" s="361"/>
      <c r="BG50" s="361"/>
      <c r="BH50" s="361"/>
      <c r="BI50" s="361"/>
      <c r="BJ50" s="361"/>
      <c r="BK50" s="361"/>
      <c r="BL50" s="361"/>
      <c r="BM50" s="361"/>
      <c r="BN50" s="361"/>
      <c r="BO50" s="361"/>
      <c r="BP50" s="361"/>
      <c r="BQ50" s="361"/>
      <c r="BR50" s="361"/>
      <c r="BS50" s="361"/>
      <c r="BT50" s="361"/>
      <c r="BU50" s="361"/>
      <c r="BV50" s="361"/>
      <c r="BW50" s="361"/>
      <c r="BX50" s="366"/>
    </row>
    <row r="51" spans="2:76" ht="3.75" customHeight="1" x14ac:dyDescent="0.25">
      <c r="S51" s="26"/>
      <c r="T51" s="26"/>
      <c r="U51" s="26"/>
      <c r="V51" s="26"/>
      <c r="W51" s="26"/>
      <c r="X51" s="26"/>
      <c r="Y51" s="26"/>
      <c r="Z51" s="26"/>
      <c r="AA51" s="26"/>
      <c r="AB51" s="26"/>
      <c r="AC51" s="26"/>
      <c r="AD51" s="26"/>
      <c r="AL51" s="28"/>
      <c r="AM51" s="28"/>
      <c r="AN51" s="28"/>
      <c r="AO51" s="28"/>
      <c r="AP51" s="28"/>
      <c r="AQ51" s="28"/>
      <c r="AR51" s="28"/>
      <c r="AS51" s="28"/>
      <c r="AT51" s="28"/>
      <c r="AU51" s="28"/>
      <c r="AV51" s="28"/>
      <c r="AW51" s="28"/>
      <c r="AZ51" s="364"/>
      <c r="BA51" s="361"/>
      <c r="BB51" s="361"/>
      <c r="BC51" s="361"/>
      <c r="BD51" s="361"/>
      <c r="BE51" s="361"/>
      <c r="BF51" s="361"/>
      <c r="BG51" s="361"/>
      <c r="BH51" s="361"/>
      <c r="BI51" s="361"/>
      <c r="BJ51" s="361"/>
      <c r="BK51" s="361"/>
      <c r="BL51" s="361"/>
      <c r="BM51" s="361"/>
      <c r="BN51" s="361"/>
      <c r="BO51" s="361"/>
      <c r="BP51" s="361"/>
      <c r="BQ51" s="361"/>
      <c r="BR51" s="361"/>
      <c r="BS51" s="361"/>
      <c r="BT51" s="361"/>
      <c r="BU51" s="361"/>
      <c r="BV51" s="361"/>
      <c r="BW51" s="361"/>
      <c r="BX51" s="366"/>
    </row>
    <row r="52" spans="2:76" ht="13.5" customHeight="1" x14ac:dyDescent="0.25">
      <c r="B52" s="354" t="s">
        <v>6034</v>
      </c>
      <c r="C52" s="354"/>
      <c r="D52" s="354"/>
      <c r="E52" s="354"/>
      <c r="F52" s="354"/>
      <c r="G52" s="354"/>
      <c r="I52" s="356" t="e">
        <f>SUM(D11:D30)</f>
        <v>#REF!</v>
      </c>
      <c r="J52" s="356"/>
      <c r="K52" s="356"/>
      <c r="N52" s="357" t="s">
        <v>6038</v>
      </c>
      <c r="O52" s="357"/>
      <c r="P52" s="357"/>
      <c r="Q52" s="357"/>
      <c r="R52" s="7"/>
      <c r="S52" s="31" t="e">
        <f>#REF!</f>
        <v>#REF!</v>
      </c>
      <c r="T52" s="31" t="e">
        <f>#REF!</f>
        <v>#REF!</v>
      </c>
      <c r="U52" s="31" t="e">
        <f>#REF!</f>
        <v>#REF!</v>
      </c>
      <c r="V52" s="31" t="e">
        <f>#REF!</f>
        <v>#REF!</v>
      </c>
      <c r="W52" s="31" t="e">
        <f>#REF!</f>
        <v>#REF!</v>
      </c>
      <c r="X52" s="31" t="e">
        <f>#REF!</f>
        <v>#REF!</v>
      </c>
      <c r="Y52" s="31" t="e">
        <f>#REF!</f>
        <v>#REF!</v>
      </c>
      <c r="Z52" s="31" t="e">
        <f>#REF!</f>
        <v>#REF!</v>
      </c>
      <c r="AA52" s="31" t="e">
        <f>#REF!</f>
        <v>#REF!</v>
      </c>
      <c r="AB52" s="31" t="e">
        <f>#REF!</f>
        <v>#REF!</v>
      </c>
      <c r="AC52" s="31" t="e">
        <f>#REF!</f>
        <v>#REF!</v>
      </c>
      <c r="AD52" s="31" t="e">
        <f>#REF!</f>
        <v>#REF!</v>
      </c>
      <c r="AG52" s="357" t="s">
        <v>6038</v>
      </c>
      <c r="AH52" s="357"/>
      <c r="AI52" s="357"/>
      <c r="AJ52" s="357"/>
      <c r="AK52" s="7"/>
      <c r="AL52" s="34" t="e">
        <f>#REF!</f>
        <v>#REF!</v>
      </c>
      <c r="AM52" s="34" t="e">
        <f>#REF!</f>
        <v>#REF!</v>
      </c>
      <c r="AN52" s="34" t="e">
        <f>#REF!</f>
        <v>#REF!</v>
      </c>
      <c r="AO52" s="34" t="e">
        <f>#REF!</f>
        <v>#REF!</v>
      </c>
      <c r="AP52" s="34" t="e">
        <f>#REF!</f>
        <v>#REF!</v>
      </c>
      <c r="AQ52" s="34" t="e">
        <f>#REF!</f>
        <v>#REF!</v>
      </c>
      <c r="AR52" s="34" t="e">
        <f>#REF!</f>
        <v>#REF!</v>
      </c>
      <c r="AS52" s="34" t="e">
        <f>#REF!</f>
        <v>#REF!</v>
      </c>
      <c r="AT52" s="34" t="e">
        <f>#REF!</f>
        <v>#REF!</v>
      </c>
      <c r="AU52" s="34" t="e">
        <f>#REF!</f>
        <v>#REF!</v>
      </c>
      <c r="AV52" s="34" t="e">
        <f>#REF!</f>
        <v>#REF!</v>
      </c>
      <c r="AW52" s="34" t="e">
        <f>#REF!</f>
        <v>#REF!</v>
      </c>
      <c r="AZ52" s="364"/>
      <c r="BA52" s="361"/>
      <c r="BB52" s="361"/>
      <c r="BC52" s="361"/>
      <c r="BD52" s="361"/>
      <c r="BE52" s="361"/>
      <c r="BF52" s="361"/>
      <c r="BG52" s="361"/>
      <c r="BH52" s="361"/>
      <c r="BI52" s="361"/>
      <c r="BJ52" s="361"/>
      <c r="BK52" s="361"/>
      <c r="BL52" s="361"/>
      <c r="BM52" s="361"/>
      <c r="BN52" s="361"/>
      <c r="BO52" s="361"/>
      <c r="BP52" s="361"/>
      <c r="BQ52" s="361"/>
      <c r="BR52" s="361"/>
      <c r="BS52" s="361"/>
      <c r="BT52" s="361"/>
      <c r="BU52" s="361"/>
      <c r="BV52" s="361"/>
      <c r="BW52" s="361"/>
      <c r="BX52" s="366"/>
    </row>
    <row r="53" spans="2:76" ht="13.5" customHeight="1" x14ac:dyDescent="0.25">
      <c r="B53" s="354"/>
      <c r="C53" s="354"/>
      <c r="D53" s="354"/>
      <c r="E53" s="354"/>
      <c r="F53" s="354"/>
      <c r="G53" s="354"/>
      <c r="I53" s="356"/>
      <c r="J53" s="356"/>
      <c r="K53" s="356"/>
      <c r="N53" s="358" t="s">
        <v>6039</v>
      </c>
      <c r="O53" s="358"/>
      <c r="P53" s="358"/>
      <c r="Q53" s="358"/>
      <c r="R53" s="7"/>
      <c r="S53" s="32" t="e">
        <f>#REF!</f>
        <v>#REF!</v>
      </c>
      <c r="T53" s="32" t="e">
        <f>#REF!</f>
        <v>#REF!</v>
      </c>
      <c r="U53" s="32" t="e">
        <f>#REF!</f>
        <v>#REF!</v>
      </c>
      <c r="V53" s="32" t="e">
        <f>#REF!</f>
        <v>#REF!</v>
      </c>
      <c r="W53" s="32" t="e">
        <f>#REF!</f>
        <v>#REF!</v>
      </c>
      <c r="X53" s="32" t="e">
        <f>#REF!</f>
        <v>#REF!</v>
      </c>
      <c r="Y53" s="32" t="e">
        <f>#REF!</f>
        <v>#REF!</v>
      </c>
      <c r="Z53" s="32" t="e">
        <f>#REF!</f>
        <v>#REF!</v>
      </c>
      <c r="AA53" s="32" t="e">
        <f>#REF!</f>
        <v>#REF!</v>
      </c>
      <c r="AB53" s="32" t="e">
        <f>#REF!</f>
        <v>#REF!</v>
      </c>
      <c r="AC53" s="32" t="e">
        <f>#REF!</f>
        <v>#REF!</v>
      </c>
      <c r="AD53" s="32" t="e">
        <f>#REF!</f>
        <v>#REF!</v>
      </c>
      <c r="AG53" s="358" t="s">
        <v>6039</v>
      </c>
      <c r="AH53" s="358"/>
      <c r="AI53" s="358"/>
      <c r="AJ53" s="358"/>
      <c r="AK53" s="7"/>
      <c r="AL53" s="35" t="e">
        <f>#REF!</f>
        <v>#REF!</v>
      </c>
      <c r="AM53" s="35" t="e">
        <f>#REF!</f>
        <v>#REF!</v>
      </c>
      <c r="AN53" s="35" t="e">
        <f>#REF!</f>
        <v>#REF!</v>
      </c>
      <c r="AO53" s="35" t="e">
        <f>#REF!</f>
        <v>#REF!</v>
      </c>
      <c r="AP53" s="35" t="e">
        <f>#REF!</f>
        <v>#REF!</v>
      </c>
      <c r="AQ53" s="35" t="e">
        <f>#REF!</f>
        <v>#REF!</v>
      </c>
      <c r="AR53" s="35" t="e">
        <f>#REF!</f>
        <v>#REF!</v>
      </c>
      <c r="AS53" s="35" t="e">
        <f>#REF!</f>
        <v>#REF!</v>
      </c>
      <c r="AT53" s="35" t="e">
        <f>#REF!</f>
        <v>#REF!</v>
      </c>
      <c r="AU53" s="35" t="e">
        <f>#REF!</f>
        <v>#REF!</v>
      </c>
      <c r="AV53" s="35" t="e">
        <f>#REF!</f>
        <v>#REF!</v>
      </c>
      <c r="AW53" s="35" t="e">
        <f>#REF!</f>
        <v>#REF!</v>
      </c>
      <c r="AZ53" s="364"/>
      <c r="BA53" s="361"/>
      <c r="BB53" s="361"/>
      <c r="BC53" s="361"/>
      <c r="BD53" s="361"/>
      <c r="BE53" s="361"/>
      <c r="BF53" s="361"/>
      <c r="BG53" s="361"/>
      <c r="BH53" s="361"/>
      <c r="BI53" s="361"/>
      <c r="BJ53" s="361"/>
      <c r="BK53" s="361"/>
      <c r="BL53" s="361"/>
      <c r="BM53" s="361"/>
      <c r="BN53" s="361"/>
      <c r="BO53" s="361"/>
      <c r="BP53" s="361"/>
      <c r="BQ53" s="361"/>
      <c r="BR53" s="361"/>
      <c r="BS53" s="361"/>
      <c r="BT53" s="361"/>
      <c r="BU53" s="361"/>
      <c r="BV53" s="361"/>
      <c r="BW53" s="361"/>
      <c r="BX53" s="366"/>
    </row>
    <row r="54" spans="2:76" ht="3.75" customHeight="1" x14ac:dyDescent="0.3">
      <c r="G54" s="9"/>
      <c r="N54" s="8"/>
      <c r="O54" s="8"/>
      <c r="P54" s="8"/>
      <c r="Q54" s="8"/>
      <c r="R54" s="7"/>
      <c r="S54" s="41"/>
      <c r="T54" s="41"/>
      <c r="U54" s="41"/>
      <c r="V54" s="41"/>
      <c r="W54" s="41"/>
      <c r="X54" s="41"/>
      <c r="Y54" s="41"/>
      <c r="Z54" s="41"/>
      <c r="AA54" s="41"/>
      <c r="AB54" s="41"/>
      <c r="AC54" s="41"/>
      <c r="AD54" s="41"/>
      <c r="AG54" s="8"/>
      <c r="AH54" s="8"/>
      <c r="AI54" s="8"/>
      <c r="AJ54" s="8"/>
      <c r="AK54" s="7"/>
      <c r="AL54" s="36"/>
      <c r="AM54" s="36"/>
      <c r="AN54" s="36"/>
      <c r="AO54" s="36"/>
      <c r="AP54" s="36"/>
      <c r="AQ54" s="36"/>
      <c r="AR54" s="36"/>
      <c r="AS54" s="36"/>
      <c r="AT54" s="36"/>
      <c r="AU54" s="36"/>
      <c r="AV54" s="36"/>
      <c r="AW54" s="36"/>
      <c r="AZ54" s="364"/>
      <c r="BA54" s="361"/>
      <c r="BB54" s="361"/>
      <c r="BC54" s="361"/>
      <c r="BD54" s="361"/>
      <c r="BE54" s="361"/>
      <c r="BF54" s="361"/>
      <c r="BG54" s="361"/>
      <c r="BH54" s="361"/>
      <c r="BI54" s="361"/>
      <c r="BJ54" s="361"/>
      <c r="BK54" s="361"/>
      <c r="BL54" s="361"/>
      <c r="BM54" s="361"/>
      <c r="BN54" s="361"/>
      <c r="BO54" s="361"/>
      <c r="BP54" s="361"/>
      <c r="BQ54" s="361"/>
      <c r="BR54" s="361"/>
      <c r="BS54" s="361"/>
      <c r="BT54" s="361"/>
      <c r="BU54" s="361"/>
      <c r="BV54" s="361"/>
      <c r="BW54" s="361"/>
      <c r="BX54" s="366"/>
    </row>
    <row r="55" spans="2:76" ht="13.5" customHeight="1" x14ac:dyDescent="0.25">
      <c r="B55" s="354" t="s">
        <v>6046</v>
      </c>
      <c r="C55" s="354"/>
      <c r="D55" s="354"/>
      <c r="E55" s="354"/>
      <c r="F55" s="354"/>
      <c r="G55" s="355">
        <v>0.06</v>
      </c>
      <c r="I55" s="356" t="e">
        <f>SUM(I11:I30)</f>
        <v>#REF!</v>
      </c>
      <c r="J55" s="356"/>
      <c r="K55" s="356"/>
      <c r="N55" s="357" t="s">
        <v>6040</v>
      </c>
      <c r="O55" s="357"/>
      <c r="P55" s="357"/>
      <c r="Q55" s="357"/>
      <c r="R55" s="7"/>
      <c r="S55" s="42" t="e">
        <f>#REF!</f>
        <v>#REF!</v>
      </c>
      <c r="T55" s="42" t="e">
        <f>#REF!</f>
        <v>#REF!</v>
      </c>
      <c r="U55" s="42" t="e">
        <f>#REF!</f>
        <v>#REF!</v>
      </c>
      <c r="V55" s="42" t="e">
        <f>#REF!</f>
        <v>#REF!</v>
      </c>
      <c r="W55" s="42" t="e">
        <f>#REF!</f>
        <v>#REF!</v>
      </c>
      <c r="X55" s="42" t="e">
        <f>#REF!</f>
        <v>#REF!</v>
      </c>
      <c r="Y55" s="42" t="e">
        <f>#REF!</f>
        <v>#REF!</v>
      </c>
      <c r="Z55" s="42" t="e">
        <f>#REF!</f>
        <v>#REF!</v>
      </c>
      <c r="AA55" s="42" t="e">
        <f>#REF!</f>
        <v>#REF!</v>
      </c>
      <c r="AB55" s="42" t="e">
        <f>#REF!</f>
        <v>#REF!</v>
      </c>
      <c r="AC55" s="42" t="e">
        <f>#REF!</f>
        <v>#REF!</v>
      </c>
      <c r="AD55" s="42" t="e">
        <f>#REF!</f>
        <v>#REF!</v>
      </c>
      <c r="AG55" s="357" t="s">
        <v>6040</v>
      </c>
      <c r="AH55" s="357"/>
      <c r="AI55" s="357"/>
      <c r="AJ55" s="357"/>
      <c r="AK55" s="7"/>
      <c r="AL55" s="38" t="e">
        <f>#REF!</f>
        <v>#REF!</v>
      </c>
      <c r="AM55" s="38" t="e">
        <f>#REF!</f>
        <v>#REF!</v>
      </c>
      <c r="AN55" s="38" t="e">
        <f>#REF!</f>
        <v>#REF!</v>
      </c>
      <c r="AO55" s="38" t="e">
        <f>#REF!</f>
        <v>#REF!</v>
      </c>
      <c r="AP55" s="38" t="e">
        <f>#REF!</f>
        <v>#REF!</v>
      </c>
      <c r="AQ55" s="38" t="e">
        <f>#REF!</f>
        <v>#REF!</v>
      </c>
      <c r="AR55" s="38" t="e">
        <f>#REF!</f>
        <v>#REF!</v>
      </c>
      <c r="AS55" s="38" t="e">
        <f>#REF!</f>
        <v>#REF!</v>
      </c>
      <c r="AT55" s="38" t="e">
        <f>#REF!</f>
        <v>#REF!</v>
      </c>
      <c r="AU55" s="38" t="e">
        <f>#REF!</f>
        <v>#REF!</v>
      </c>
      <c r="AV55" s="38" t="e">
        <f>#REF!</f>
        <v>#REF!</v>
      </c>
      <c r="AW55" s="38" t="e">
        <f>#REF!</f>
        <v>#REF!</v>
      </c>
      <c r="AZ55" s="364"/>
      <c r="BA55" s="361"/>
      <c r="BB55" s="361"/>
      <c r="BC55" s="361"/>
      <c r="BD55" s="361"/>
      <c r="BE55" s="361"/>
      <c r="BF55" s="361"/>
      <c r="BG55" s="361"/>
      <c r="BH55" s="361"/>
      <c r="BI55" s="361"/>
      <c r="BJ55" s="361"/>
      <c r="BK55" s="361"/>
      <c r="BL55" s="361"/>
      <c r="BM55" s="361"/>
      <c r="BN55" s="361"/>
      <c r="BO55" s="361"/>
      <c r="BP55" s="361"/>
      <c r="BQ55" s="361"/>
      <c r="BR55" s="361"/>
      <c r="BS55" s="361"/>
      <c r="BT55" s="361"/>
      <c r="BU55" s="361"/>
      <c r="BV55" s="361"/>
      <c r="BW55" s="361"/>
      <c r="BX55" s="366"/>
    </row>
    <row r="56" spans="2:76" ht="13.5" customHeight="1" x14ac:dyDescent="0.25">
      <c r="B56" s="354"/>
      <c r="C56" s="354"/>
      <c r="D56" s="354"/>
      <c r="E56" s="354"/>
      <c r="F56" s="354"/>
      <c r="G56" s="355"/>
      <c r="I56" s="356"/>
      <c r="J56" s="356"/>
      <c r="K56" s="356"/>
      <c r="N56" s="358" t="s">
        <v>6041</v>
      </c>
      <c r="O56" s="358"/>
      <c r="P56" s="358"/>
      <c r="Q56" s="358"/>
      <c r="R56" s="7"/>
      <c r="S56" s="43" t="e">
        <f>#REF!</f>
        <v>#REF!</v>
      </c>
      <c r="T56" s="43" t="e">
        <f>#REF!</f>
        <v>#REF!</v>
      </c>
      <c r="U56" s="43" t="e">
        <f>#REF!</f>
        <v>#REF!</v>
      </c>
      <c r="V56" s="43" t="e">
        <f>#REF!</f>
        <v>#REF!</v>
      </c>
      <c r="W56" s="43" t="e">
        <f>#REF!</f>
        <v>#REF!</v>
      </c>
      <c r="X56" s="43" t="e">
        <f>#REF!</f>
        <v>#REF!</v>
      </c>
      <c r="Y56" s="43" t="e">
        <f>#REF!</f>
        <v>#REF!</v>
      </c>
      <c r="Z56" s="43" t="e">
        <f>#REF!</f>
        <v>#REF!</v>
      </c>
      <c r="AA56" s="43" t="e">
        <f>#REF!</f>
        <v>#REF!</v>
      </c>
      <c r="AB56" s="43" t="e">
        <f>#REF!</f>
        <v>#REF!</v>
      </c>
      <c r="AC56" s="43" t="e">
        <f>#REF!</f>
        <v>#REF!</v>
      </c>
      <c r="AD56" s="43" t="e">
        <f>#REF!</f>
        <v>#REF!</v>
      </c>
      <c r="AG56" s="358" t="s">
        <v>6041</v>
      </c>
      <c r="AH56" s="358"/>
      <c r="AI56" s="358"/>
      <c r="AJ56" s="358"/>
      <c r="AK56" s="7"/>
      <c r="AL56" s="39" t="e">
        <f>#REF!</f>
        <v>#REF!</v>
      </c>
      <c r="AM56" s="39" t="e">
        <f>#REF!</f>
        <v>#REF!</v>
      </c>
      <c r="AN56" s="39" t="e">
        <f>#REF!</f>
        <v>#REF!</v>
      </c>
      <c r="AO56" s="39" t="e">
        <f>#REF!</f>
        <v>#REF!</v>
      </c>
      <c r="AP56" s="39" t="e">
        <f>#REF!</f>
        <v>#REF!</v>
      </c>
      <c r="AQ56" s="39" t="e">
        <f>#REF!</f>
        <v>#REF!</v>
      </c>
      <c r="AR56" s="39" t="e">
        <f>#REF!</f>
        <v>#REF!</v>
      </c>
      <c r="AS56" s="39" t="e">
        <f>#REF!</f>
        <v>#REF!</v>
      </c>
      <c r="AT56" s="39" t="e">
        <f>#REF!</f>
        <v>#REF!</v>
      </c>
      <c r="AU56" s="39" t="e">
        <f>#REF!</f>
        <v>#REF!</v>
      </c>
      <c r="AV56" s="39" t="e">
        <f>#REF!</f>
        <v>#REF!</v>
      </c>
      <c r="AW56" s="39" t="e">
        <f>#REF!</f>
        <v>#REF!</v>
      </c>
      <c r="AZ56" s="365"/>
      <c r="BA56" s="362"/>
      <c r="BB56" s="362"/>
      <c r="BC56" s="362"/>
      <c r="BD56" s="362"/>
      <c r="BE56" s="362"/>
      <c r="BF56" s="362"/>
      <c r="BG56" s="362"/>
      <c r="BH56" s="362"/>
      <c r="BI56" s="362"/>
      <c r="BJ56" s="362"/>
      <c r="BK56" s="362"/>
      <c r="BL56" s="362"/>
      <c r="BM56" s="362"/>
      <c r="BN56" s="362"/>
      <c r="BO56" s="362"/>
      <c r="BP56" s="362"/>
      <c r="BQ56" s="362"/>
      <c r="BR56" s="362"/>
      <c r="BS56" s="362"/>
      <c r="BT56" s="362"/>
      <c r="BU56" s="362"/>
      <c r="BV56" s="362"/>
      <c r="BW56" s="362"/>
      <c r="BX56" s="367"/>
    </row>
    <row r="57" spans="2:76" ht="11.25" customHeight="1" x14ac:dyDescent="0.25">
      <c r="I57" s="25"/>
    </row>
    <row r="58" spans="2:76" ht="18.75" customHeight="1" x14ac:dyDescent="0.25"/>
  </sheetData>
  <sheetProtection sheet="1" selectLockedCells="1"/>
  <mergeCells count="405">
    <mergeCell ref="BW30:BW34"/>
    <mergeCell ref="BX30:BX34"/>
    <mergeCell ref="AZ30:AZ34"/>
    <mergeCell ref="BB3:BX5"/>
    <mergeCell ref="BR30:BR34"/>
    <mergeCell ref="BS30:BS34"/>
    <mergeCell ref="BT30:BT34"/>
    <mergeCell ref="BU30:BU34"/>
    <mergeCell ref="BV30:BV34"/>
    <mergeCell ref="BM30:BM34"/>
    <mergeCell ref="BN30:BN34"/>
    <mergeCell ref="BO30:BO34"/>
    <mergeCell ref="BP30:BP34"/>
    <mergeCell ref="BQ30:BQ34"/>
    <mergeCell ref="BH35:BH45"/>
    <mergeCell ref="BU46:BU56"/>
    <mergeCell ref="BV46:BV56"/>
    <mergeCell ref="BW46:BW56"/>
    <mergeCell ref="BX46:BX56"/>
    <mergeCell ref="BA30:BA34"/>
    <mergeCell ref="BB30:BB34"/>
    <mergeCell ref="BC30:BC34"/>
    <mergeCell ref="BD30:BD34"/>
    <mergeCell ref="BE30:BE34"/>
    <mergeCell ref="BF30:BF34"/>
    <mergeCell ref="BG30:BG34"/>
    <mergeCell ref="BH30:BH34"/>
    <mergeCell ref="BI30:BI34"/>
    <mergeCell ref="BJ30:BJ34"/>
    <mergeCell ref="BK30:BK34"/>
    <mergeCell ref="BL30:BL34"/>
    <mergeCell ref="BX35:BX45"/>
    <mergeCell ref="BA46:BA56"/>
    <mergeCell ref="BB46:BB56"/>
    <mergeCell ref="BC46:BC56"/>
    <mergeCell ref="BD46:BD56"/>
    <mergeCell ref="BE46:BE56"/>
    <mergeCell ref="BF46:BF56"/>
    <mergeCell ref="AZ35:AZ45"/>
    <mergeCell ref="AZ46:AZ56"/>
    <mergeCell ref="BA35:BA45"/>
    <mergeCell ref="BB35:BB45"/>
    <mergeCell ref="BC35:BC45"/>
    <mergeCell ref="BD35:BD45"/>
    <mergeCell ref="BE35:BE45"/>
    <mergeCell ref="BF35:BF45"/>
    <mergeCell ref="BG35:BG45"/>
    <mergeCell ref="BG46:BG56"/>
    <mergeCell ref="BP46:BP56"/>
    <mergeCell ref="BQ46:BQ56"/>
    <mergeCell ref="BR46:BR56"/>
    <mergeCell ref="BS46:BS56"/>
    <mergeCell ref="BT46:BT56"/>
    <mergeCell ref="BH46:BH56"/>
    <mergeCell ref="BI46:BI56"/>
    <mergeCell ref="BJ46:BJ56"/>
    <mergeCell ref="BK46:BK56"/>
    <mergeCell ref="BL46:BL56"/>
    <mergeCell ref="BM46:BM56"/>
    <mergeCell ref="BN46:BN56"/>
    <mergeCell ref="BO46:BO56"/>
    <mergeCell ref="BU35:BU45"/>
    <mergeCell ref="BV35:BV45"/>
    <mergeCell ref="BW35:BW45"/>
    <mergeCell ref="BN35:BN45"/>
    <mergeCell ref="BO35:BO45"/>
    <mergeCell ref="BI35:BI45"/>
    <mergeCell ref="BJ35:BJ45"/>
    <mergeCell ref="BK35:BK45"/>
    <mergeCell ref="BL35:BL45"/>
    <mergeCell ref="BM35:BM45"/>
    <mergeCell ref="BP35:BP45"/>
    <mergeCell ref="BQ35:BQ45"/>
    <mergeCell ref="BR35:BR45"/>
    <mergeCell ref="BS35:BS45"/>
    <mergeCell ref="BT35:BT45"/>
    <mergeCell ref="AG52:AJ52"/>
    <mergeCell ref="AG53:AJ53"/>
    <mergeCell ref="AG55:AJ55"/>
    <mergeCell ref="AG56:AJ56"/>
    <mergeCell ref="C3:K5"/>
    <mergeCell ref="P3:AD5"/>
    <mergeCell ref="AI3:AW5"/>
    <mergeCell ref="AG47:AG48"/>
    <mergeCell ref="AH47:AH48"/>
    <mergeCell ref="AI47:AI48"/>
    <mergeCell ref="AJ47:AJ48"/>
    <mergeCell ref="AG49:AG50"/>
    <mergeCell ref="AH49:AH50"/>
    <mergeCell ref="AI49:AI50"/>
    <mergeCell ref="AJ49:AJ50"/>
    <mergeCell ref="AG43:AG44"/>
    <mergeCell ref="AH43:AH44"/>
    <mergeCell ref="AI43:AI44"/>
    <mergeCell ref="AJ43:AJ44"/>
    <mergeCell ref="AG45:AG46"/>
    <mergeCell ref="AH45:AH46"/>
    <mergeCell ref="AI45:AI46"/>
    <mergeCell ref="AJ45:AJ46"/>
    <mergeCell ref="AG39:AG40"/>
    <mergeCell ref="AH39:AH40"/>
    <mergeCell ref="AI39:AI40"/>
    <mergeCell ref="AJ39:AJ40"/>
    <mergeCell ref="AG41:AG42"/>
    <mergeCell ref="AH41:AH42"/>
    <mergeCell ref="AI41:AI42"/>
    <mergeCell ref="AJ41:AJ42"/>
    <mergeCell ref="AG35:AG36"/>
    <mergeCell ref="AH35:AH36"/>
    <mergeCell ref="AI35:AI36"/>
    <mergeCell ref="AJ35:AJ36"/>
    <mergeCell ref="AG37:AG38"/>
    <mergeCell ref="AH37:AH38"/>
    <mergeCell ref="AI37:AI38"/>
    <mergeCell ref="AJ37:AJ38"/>
    <mergeCell ref="AG31:AG32"/>
    <mergeCell ref="AH31:AH32"/>
    <mergeCell ref="AI31:AI32"/>
    <mergeCell ref="AJ31:AJ32"/>
    <mergeCell ref="AG33:AG34"/>
    <mergeCell ref="AH33:AH34"/>
    <mergeCell ref="AI33:AI34"/>
    <mergeCell ref="AJ33:AJ34"/>
    <mergeCell ref="AG27:AG28"/>
    <mergeCell ref="AH27:AH28"/>
    <mergeCell ref="AI27:AI28"/>
    <mergeCell ref="AJ27:AJ28"/>
    <mergeCell ref="AG29:AG30"/>
    <mergeCell ref="AH29:AH30"/>
    <mergeCell ref="AI29:AI30"/>
    <mergeCell ref="AJ29:AJ30"/>
    <mergeCell ref="AI23:AI24"/>
    <mergeCell ref="AJ23:AJ24"/>
    <mergeCell ref="AG25:AG26"/>
    <mergeCell ref="AH25:AH26"/>
    <mergeCell ref="AI25:AI26"/>
    <mergeCell ref="AJ25:AJ26"/>
    <mergeCell ref="AG19:AG20"/>
    <mergeCell ref="AH19:AH20"/>
    <mergeCell ref="AI19:AI20"/>
    <mergeCell ref="AJ19:AJ20"/>
    <mergeCell ref="AG21:AG22"/>
    <mergeCell ref="AH21:AH22"/>
    <mergeCell ref="AI21:AI22"/>
    <mergeCell ref="AJ21:AJ22"/>
    <mergeCell ref="AR7:AS7"/>
    <mergeCell ref="AT7:AW7"/>
    <mergeCell ref="B52:G53"/>
    <mergeCell ref="B55:F56"/>
    <mergeCell ref="G55:G56"/>
    <mergeCell ref="I52:K53"/>
    <mergeCell ref="I55:K56"/>
    <mergeCell ref="N52:Q52"/>
    <mergeCell ref="N53:Q53"/>
    <mergeCell ref="N56:Q56"/>
    <mergeCell ref="N55:Q55"/>
    <mergeCell ref="O7:Q7"/>
    <mergeCell ref="AA7:AD7"/>
    <mergeCell ref="Y7:Z7"/>
    <mergeCell ref="U7:X7"/>
    <mergeCell ref="S7:T7"/>
    <mergeCell ref="Q41:Q42"/>
    <mergeCell ref="Q43:Q44"/>
    <mergeCell ref="Q45:Q46"/>
    <mergeCell ref="Q47:Q48"/>
    <mergeCell ref="Q49:Q50"/>
    <mergeCell ref="AG15:AG16"/>
    <mergeCell ref="AH15:AH16"/>
    <mergeCell ref="AI15:AI16"/>
    <mergeCell ref="Q39:Q40"/>
    <mergeCell ref="Q21:Q22"/>
    <mergeCell ref="Q23:Q24"/>
    <mergeCell ref="Q25:Q26"/>
    <mergeCell ref="Q27:Q28"/>
    <mergeCell ref="Q29:Q30"/>
    <mergeCell ref="AH7:AJ7"/>
    <mergeCell ref="AL7:AM7"/>
    <mergeCell ref="AN7:AQ7"/>
    <mergeCell ref="AJ15:AJ16"/>
    <mergeCell ref="AG17:AG18"/>
    <mergeCell ref="AH17:AH18"/>
    <mergeCell ref="AI17:AI18"/>
    <mergeCell ref="AJ17:AJ18"/>
    <mergeCell ref="AG11:AG12"/>
    <mergeCell ref="AH11:AH12"/>
    <mergeCell ref="AI11:AI12"/>
    <mergeCell ref="AJ11:AJ12"/>
    <mergeCell ref="AG13:AG14"/>
    <mergeCell ref="AH13:AH14"/>
    <mergeCell ref="AI13:AI14"/>
    <mergeCell ref="AJ13:AJ14"/>
    <mergeCell ref="AG23:AG24"/>
    <mergeCell ref="AH23:AH24"/>
    <mergeCell ref="N37:N38"/>
    <mergeCell ref="O37:O38"/>
    <mergeCell ref="P37:P38"/>
    <mergeCell ref="N31:N32"/>
    <mergeCell ref="O31:O32"/>
    <mergeCell ref="Q31:Q32"/>
    <mergeCell ref="Q33:Q34"/>
    <mergeCell ref="Q35:Q36"/>
    <mergeCell ref="Q37:Q38"/>
    <mergeCell ref="N49:N50"/>
    <mergeCell ref="O49:O50"/>
    <mergeCell ref="P49:P50"/>
    <mergeCell ref="N39:N40"/>
    <mergeCell ref="O39:O40"/>
    <mergeCell ref="P39:P40"/>
    <mergeCell ref="N41:N42"/>
    <mergeCell ref="O41:O42"/>
    <mergeCell ref="P41:P42"/>
    <mergeCell ref="P45:P46"/>
    <mergeCell ref="N47:N48"/>
    <mergeCell ref="O47:O48"/>
    <mergeCell ref="P47:P48"/>
    <mergeCell ref="Q11:Q12"/>
    <mergeCell ref="Q13:Q14"/>
    <mergeCell ref="Q15:Q16"/>
    <mergeCell ref="Q17:Q18"/>
    <mergeCell ref="Q19:Q20"/>
    <mergeCell ref="N23:N24"/>
    <mergeCell ref="O23:O24"/>
    <mergeCell ref="P23:P24"/>
    <mergeCell ref="N25:N26"/>
    <mergeCell ref="O25:O26"/>
    <mergeCell ref="P25:P26"/>
    <mergeCell ref="P19:P20"/>
    <mergeCell ref="N21:N22"/>
    <mergeCell ref="O21:O22"/>
    <mergeCell ref="P21:P22"/>
    <mergeCell ref="K49:K50"/>
    <mergeCell ref="N11:N12"/>
    <mergeCell ref="O11:O12"/>
    <mergeCell ref="P11:P12"/>
    <mergeCell ref="N13:N14"/>
    <mergeCell ref="O13:O14"/>
    <mergeCell ref="P13:P14"/>
    <mergeCell ref="N15:N16"/>
    <mergeCell ref="O15:O16"/>
    <mergeCell ref="P15:P16"/>
    <mergeCell ref="N17:N18"/>
    <mergeCell ref="O17:O18"/>
    <mergeCell ref="P17:P18"/>
    <mergeCell ref="N19:N20"/>
    <mergeCell ref="O19:O20"/>
    <mergeCell ref="K39:K40"/>
    <mergeCell ref="K47:K48"/>
    <mergeCell ref="N43:N44"/>
    <mergeCell ref="O43:O44"/>
    <mergeCell ref="P43:P44"/>
    <mergeCell ref="N45:N46"/>
    <mergeCell ref="O45:O46"/>
    <mergeCell ref="N27:N28"/>
    <mergeCell ref="O27:O28"/>
    <mergeCell ref="G49:G50"/>
    <mergeCell ref="I13:J14"/>
    <mergeCell ref="I15:J16"/>
    <mergeCell ref="I17:J18"/>
    <mergeCell ref="I19:J20"/>
    <mergeCell ref="I21:J22"/>
    <mergeCell ref="I23:J24"/>
    <mergeCell ref="I25:J26"/>
    <mergeCell ref="I27:J28"/>
    <mergeCell ref="G43:G44"/>
    <mergeCell ref="G31:G32"/>
    <mergeCell ref="G19:G20"/>
    <mergeCell ref="I41:J42"/>
    <mergeCell ref="G33:G34"/>
    <mergeCell ref="G35:G36"/>
    <mergeCell ref="G25:G26"/>
    <mergeCell ref="I47:J48"/>
    <mergeCell ref="I43:J44"/>
    <mergeCell ref="I33:J34"/>
    <mergeCell ref="I35:J36"/>
    <mergeCell ref="I37:J38"/>
    <mergeCell ref="G27:G28"/>
    <mergeCell ref="I31:J32"/>
    <mergeCell ref="I49:J50"/>
    <mergeCell ref="G47:G48"/>
    <mergeCell ref="G37:G38"/>
    <mergeCell ref="F39:F40"/>
    <mergeCell ref="G39:G40"/>
    <mergeCell ref="F41:F42"/>
    <mergeCell ref="G41:G42"/>
    <mergeCell ref="F35:F36"/>
    <mergeCell ref="F31:F32"/>
    <mergeCell ref="F37:F38"/>
    <mergeCell ref="F43:F44"/>
    <mergeCell ref="F49:F50"/>
    <mergeCell ref="C41:C42"/>
    <mergeCell ref="D41:D42"/>
    <mergeCell ref="C43:C44"/>
    <mergeCell ref="D43:D44"/>
    <mergeCell ref="C45:C46"/>
    <mergeCell ref="D45:D46"/>
    <mergeCell ref="C35:C36"/>
    <mergeCell ref="D35:D36"/>
    <mergeCell ref="C37:C38"/>
    <mergeCell ref="D37:D38"/>
    <mergeCell ref="C39:C40"/>
    <mergeCell ref="D39:D40"/>
    <mergeCell ref="C49:C50"/>
    <mergeCell ref="D49:D50"/>
    <mergeCell ref="F45:F46"/>
    <mergeCell ref="C47:C48"/>
    <mergeCell ref="D47:D48"/>
    <mergeCell ref="F47:F48"/>
    <mergeCell ref="B47:B48"/>
    <mergeCell ref="B49:B50"/>
    <mergeCell ref="C11:C12"/>
    <mergeCell ref="D11:D12"/>
    <mergeCell ref="F11:F12"/>
    <mergeCell ref="C13:C14"/>
    <mergeCell ref="D13:D14"/>
    <mergeCell ref="C15:C16"/>
    <mergeCell ref="D15:D16"/>
    <mergeCell ref="C17:C18"/>
    <mergeCell ref="D17:D18"/>
    <mergeCell ref="C19:C20"/>
    <mergeCell ref="D19:D20"/>
    <mergeCell ref="C21:C22"/>
    <mergeCell ref="D21:D22"/>
    <mergeCell ref="C23:C24"/>
    <mergeCell ref="B37:B38"/>
    <mergeCell ref="B39:B40"/>
    <mergeCell ref="B41:B42"/>
    <mergeCell ref="B43:B44"/>
    <mergeCell ref="B45:B46"/>
    <mergeCell ref="B11:B12"/>
    <mergeCell ref="B13:B14"/>
    <mergeCell ref="B15:B16"/>
    <mergeCell ref="P31:P32"/>
    <mergeCell ref="N33:N34"/>
    <mergeCell ref="O33:O34"/>
    <mergeCell ref="P33:P34"/>
    <mergeCell ref="N35:N36"/>
    <mergeCell ref="O35:O36"/>
    <mergeCell ref="P35:P36"/>
    <mergeCell ref="B17:B18"/>
    <mergeCell ref="B19:B20"/>
    <mergeCell ref="B21:B22"/>
    <mergeCell ref="B23:B24"/>
    <mergeCell ref="B25:B26"/>
    <mergeCell ref="B27:B28"/>
    <mergeCell ref="B29:B30"/>
    <mergeCell ref="B31:B32"/>
    <mergeCell ref="B33:B34"/>
    <mergeCell ref="F29:F30"/>
    <mergeCell ref="G29:G30"/>
    <mergeCell ref="P27:P28"/>
    <mergeCell ref="N29:N30"/>
    <mergeCell ref="O29:O30"/>
    <mergeCell ref="P29:P30"/>
    <mergeCell ref="B35:B36"/>
    <mergeCell ref="I45:J46"/>
    <mergeCell ref="K45:K46"/>
    <mergeCell ref="D29:D30"/>
    <mergeCell ref="C31:C32"/>
    <mergeCell ref="D31:D32"/>
    <mergeCell ref="C33:C34"/>
    <mergeCell ref="D33:D34"/>
    <mergeCell ref="D23:D24"/>
    <mergeCell ref="C25:C26"/>
    <mergeCell ref="D25:D26"/>
    <mergeCell ref="C27:C28"/>
    <mergeCell ref="D27:D28"/>
    <mergeCell ref="K31:K32"/>
    <mergeCell ref="K41:K42"/>
    <mergeCell ref="K43:K44"/>
    <mergeCell ref="K33:K34"/>
    <mergeCell ref="K35:K36"/>
    <mergeCell ref="K37:K38"/>
    <mergeCell ref="G45:G46"/>
    <mergeCell ref="I39:J40"/>
    <mergeCell ref="F33:F34"/>
    <mergeCell ref="C29:C30"/>
    <mergeCell ref="F27:F28"/>
    <mergeCell ref="J7:K7"/>
    <mergeCell ref="I9:J9"/>
    <mergeCell ref="C7:D7"/>
    <mergeCell ref="G11:G12"/>
    <mergeCell ref="K11:K12"/>
    <mergeCell ref="I11:J12"/>
    <mergeCell ref="K27:K28"/>
    <mergeCell ref="I29:J30"/>
    <mergeCell ref="K29:K30"/>
    <mergeCell ref="G13:G14"/>
    <mergeCell ref="F15:F16"/>
    <mergeCell ref="G15:G16"/>
    <mergeCell ref="F17:F18"/>
    <mergeCell ref="G17:G18"/>
    <mergeCell ref="K13:K14"/>
    <mergeCell ref="K15:K16"/>
    <mergeCell ref="K17:K18"/>
    <mergeCell ref="K19:K20"/>
    <mergeCell ref="K21:K22"/>
    <mergeCell ref="K23:K24"/>
    <mergeCell ref="K25:K26"/>
    <mergeCell ref="F13:F14"/>
    <mergeCell ref="F19:F20"/>
    <mergeCell ref="F25:F26"/>
    <mergeCell ref="F21:F22"/>
    <mergeCell ref="G21:G22"/>
    <mergeCell ref="F23:F24"/>
    <mergeCell ref="G23:G24"/>
  </mergeCells>
  <conditionalFormatting sqref="G11 G13 G15 G17 G19 G21 G23 G25 G27 G29 G31 G33 G35 G37 G39 G41 G43 G45 G47 G49">
    <cfRule type="expression" dxfId="4" priority="9">
      <formula>G11&lt;0</formula>
    </cfRule>
  </conditionalFormatting>
  <conditionalFormatting sqref="S11:AD11 S13:AD13 S15:AD15 S17:AD17 S19:AD19 S21:AD21 S23:AD23 S25:AD25 S27:AD27 S29:AD29 S31:AD31 S33:AD33 S35:AD35 S37:AD37 S39:AD39 S41:AD41 S43:AD43 S45:AD45 S47:AD47 S49:AD49">
    <cfRule type="cellIs" dxfId="3" priority="6" operator="greaterThan">
      <formula>0</formula>
    </cfRule>
  </conditionalFormatting>
  <conditionalFormatting sqref="S12:AD12 S14:AD14 S16:AD16 S18:AD18 S20:AD20 S22:AD22 S24:AD24 S26:AD26 S28:AD28 S30:AD30 S32:AD32 S34:AD34 S36:AD36 S38:AD38 S40:AD40 S42:AD42 S44:AD44 S46:AD46 S48:AD48 S50:AD50">
    <cfRule type="cellIs" dxfId="2" priority="7" operator="greaterThan">
      <formula>0</formula>
    </cfRule>
  </conditionalFormatting>
  <conditionalFormatting sqref="AL11:AW11 AL13:AW13 AL15:AW15 AL17:AW17 AL19:AW19 AL21:AW21 AL23:AW23 AL25:AW25 AL27:AW27 AL29:AW29 AL31:AW31 AL33:AW33 AL35:AW35 AL37:AW37 AL39:AW39 AL41:AW41 AL43:AW43 AL45:AW45 AL47:AW47 AL49:AW49">
    <cfRule type="cellIs" dxfId="1" priority="3" operator="greaterThan">
      <formula>0</formula>
    </cfRule>
  </conditionalFormatting>
  <conditionalFormatting sqref="AL12:AW12 AL14:AW14 AL16:AW16 AL18:AW18 AL20:AW20 AL22:AW22 AL24:AW24 AL26:AW26 AL28:AW28 AL30:AW30 AL32:AW32 AL34:AW34 AL36:AW36 AL38:AW38 AL40:AW40 AL42:AW42 AL44:AW44 AL46:AW46 AL48:AW48 AL50:AW50">
    <cfRule type="cellIs" dxfId="0" priority="4" operator="greaterThan">
      <formula>0</formula>
    </cfRule>
  </conditionalFormatting>
  <pageMargins left="0" right="0" top="0" bottom="0" header="0" footer="0"/>
  <pageSetup paperSize="9" fitToHeight="0" pageOrder="overThenDown" orientation="landscape" r:id="rId1"/>
  <headerFooter>
    <oddHeader>&amp;L        
         &amp;G</oddHead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79A8E4A-ED18-4A48-83AE-CA32AD35F3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8</vt:i4>
      </vt:variant>
      <vt:variant>
        <vt:lpstr>Intervalos Nomeados</vt:lpstr>
      </vt:variant>
      <vt:variant>
        <vt:i4>9</vt:i4>
      </vt:variant>
    </vt:vector>
  </HeadingPairs>
  <TitlesOfParts>
    <vt:vector size="17" baseType="lpstr">
      <vt:lpstr>ORÇ#1</vt:lpstr>
      <vt:lpstr>Planilha1</vt:lpstr>
      <vt:lpstr>SIMULAÇÃO 01</vt:lpstr>
      <vt:lpstr>SIMULAÇÃO 02</vt:lpstr>
      <vt:lpstr>SIMULAÇÃO 03</vt:lpstr>
      <vt:lpstr>SIMULAÇÃO 04</vt:lpstr>
      <vt:lpstr>COMPARATIVO</vt:lpstr>
      <vt:lpstr>RELATÓRIO</vt:lpstr>
      <vt:lpstr>COMPARATIVO!Area_de_impressao</vt:lpstr>
      <vt:lpstr>'SIMULAÇÃO 01'!Area_de_impressao</vt:lpstr>
      <vt:lpstr>'SIMULAÇÃO 02'!Area_de_impressao</vt:lpstr>
      <vt:lpstr>'SIMULAÇÃO 03'!Area_de_impressao</vt:lpstr>
      <vt:lpstr>'SIMULAÇÃO 04'!Area_de_impressao</vt:lpstr>
      <vt:lpstr>'SIMULAÇÃO 01'!Titulos_de_impressao</vt:lpstr>
      <vt:lpstr>'SIMULAÇÃO 02'!Titulos_de_impressao</vt:lpstr>
      <vt:lpstr>'SIMULAÇÃO 03'!Titulos_de_impressao</vt:lpstr>
      <vt:lpstr>'SIMULAÇÃO 04'!Titulos_de_impressao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CAIO CAVALCANTE DE AGUIAR</dc:creator>
  <cp:lastModifiedBy>CAIO CAVALCANTE DE AGUIAR</cp:lastModifiedBy>
  <cp:lastPrinted>2023-11-23T19:56:20Z</cp:lastPrinted>
  <dcterms:created xsi:type="dcterms:W3CDTF">2023-10-11T21:37:07Z</dcterms:created>
  <dcterms:modified xsi:type="dcterms:W3CDTF">2023-11-23T19:56:57Z</dcterms:modified>
</cp:coreProperties>
</file>